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D5ED3EF4-C1A9-47BE-BFE7-2EB03AE0253B}" xr6:coauthVersionLast="47" xr6:coauthVersionMax="47" xr10:uidLastSave="{00000000-0000-0000-0000-000000000000}"/>
  <bookViews>
    <workbookView xWindow="-120" yWindow="-120" windowWidth="29040" windowHeight="16440" firstSheet="1" activeTab="2" xr2:uid="{1DED43E1-C979-419C-90BB-6D754B3B8A13}"/>
  </bookViews>
  <sheets>
    <sheet name="StdData" sheetId="5" r:id="rId1"/>
    <sheet name="InData" sheetId="4" r:id="rId2"/>
    <sheet name="OutData" sheetId="8" r:id="rId3"/>
  </sheets>
  <functionGroups builtInGroupCount="19"/>
  <definedNames>
    <definedName name="_xlnm._FilterDatabase" localSheetId="1" hidden="1">InData!#REF!</definedName>
    <definedName name="ExternalData_1" localSheetId="1" hidden="1">InData!#REF!</definedName>
    <definedName name="ExternalData_1" localSheetId="2" hidden="1">OutData!$B$2:$I$7750</definedName>
    <definedName name="ExternalData_2" localSheetId="2" hidden="1">OutData!$L$2:$O$4132</definedName>
    <definedName name="ExternalData_3" localSheetId="1" hidden="1">InData!#REF!</definedName>
    <definedName name="ExternalData_3" localSheetId="2" hidden="1">OutData!$R$2:$U$285</definedName>
    <definedName name="LngS">InData!$K$2</definedName>
    <definedName name="LvE">InData!$C$4</definedName>
    <definedName name="OsyS">InData!$K$3</definedName>
    <definedName name="Prj0_Id">InData!$C$11</definedName>
    <definedName name="Prj0M_Id">InData!$E$11</definedName>
    <definedName name="Prj1_Id">InData!$C$12</definedName>
    <definedName name="Prj1M_Id">InData!$E$12</definedName>
    <definedName name="Prj2_Id">InData!$C$13</definedName>
    <definedName name="Prj2M_Id">InData!$E$13</definedName>
    <definedName name="PrjX_Id" localSheetId="0">InData!$C$6</definedName>
    <definedName name="PrjX_Id">InData!$C$6</definedName>
    <definedName name="Pth">InData!$C$2</definedName>
    <definedName name="Vrs">InData!$C$7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4" l="1"/>
  <c r="L40" i="5"/>
  <c r="L39" i="5"/>
  <c r="L37" i="5"/>
  <c r="L35" i="5"/>
  <c r="L33" i="5"/>
  <c r="L32" i="5"/>
  <c r="L31" i="5"/>
  <c r="L30" i="5"/>
  <c r="N29" i="5"/>
  <c r="L29" i="5"/>
  <c r="L28" i="5"/>
  <c r="L27" i="5"/>
  <c r="L26" i="5"/>
  <c r="L25" i="5"/>
  <c r="L23" i="5"/>
  <c r="L22" i="5"/>
  <c r="L21" i="5"/>
  <c r="L20" i="5"/>
  <c r="L19" i="5"/>
  <c r="L18" i="5"/>
  <c r="L17" i="5"/>
  <c r="L16" i="5"/>
  <c r="L15" i="5"/>
  <c r="L14" i="5"/>
  <c r="L13" i="5"/>
  <c r="L12" i="5"/>
  <c r="D12" i="5"/>
  <c r="L11" i="5"/>
  <c r="D11" i="5"/>
  <c r="L10" i="5"/>
  <c r="D10" i="5"/>
  <c r="L9" i="5"/>
  <c r="L8" i="5"/>
  <c r="L7" i="5"/>
  <c r="L6" i="5"/>
  <c r="L5" i="5"/>
  <c r="L4" i="5"/>
  <c r="L3" i="5"/>
  <c r="E13" i="4"/>
  <c r="E12" i="4"/>
  <c r="K2" i="4"/>
  <c r="K3" i="4" a="1"/>
  <c r="D5" i="4" a="1"/>
  <c r="K3" i="4" l="1"/>
  <c r="C3" i="4" s="1"/>
  <c r="C4" i="4"/>
  <c r="D5" i="4"/>
  <c r="C2" i="4" l="1"/>
  <c r="C5" i="4"/>
  <c r="E11" i="4" l="1"/>
  <c r="C6" i="4"/>
  <c r="G3" i="4" s="1" a="1"/>
  <c r="G3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6F6CC5-2525-4329-A1B3-A0DAA162D693}" keepAlive="1" name="Query - AsgCst0" description="Connection to the 'AsgCst0' query in the workbook." type="5" refreshedVersion="0" background="1">
    <dbPr connection="Provider=Microsoft.Mashup.OleDb.1;Data Source=$Workbook$;Location=AsgCst0;Extended Properties=&quot;&quot;" command="SELECT * FROM [AsgCst0]"/>
  </connection>
  <connection id="2" xr16:uid="{5B5D0F7F-13B1-4EC3-BB20-C03BFB905FD0}" keepAlive="1" name="Query - AsgCst1" description="Connection to the 'AsgCst1' query in the workbook." type="5" refreshedVersion="0" background="1">
    <dbPr connection="Provider=Microsoft.Mashup.OleDb.1;Data Source=$Workbook$;Location=AsgCst1;Extended Properties=&quot;&quot;" command="SELECT * FROM [AsgCst1]"/>
  </connection>
  <connection id="3" xr16:uid="{41173CCC-F1B6-496A-B0C5-D22E9445D36A}" keepAlive="1" name="Query - AsgCst2" description="Connection to the 'AsgCst2' query in the workbook." type="5" refreshedVersion="0" background="1">
    <dbPr connection="Provider=Microsoft.Mashup.OleDb.1;Data Source=$Workbook$;Location=AsgCst2;Extended Properties=&quot;&quot;" command="SELECT * FROM [AsgCst2]"/>
  </connection>
  <connection id="4" xr16:uid="{31AE307A-4370-4D17-A3B5-FF57DC39269B}" keepAlive="1" name="Query - AsgCst3" description="Connection to the 'AsgCst3' query in the workbook." type="5" refreshedVersion="8" background="1" saveData="1">
    <dbPr connection="Provider=Microsoft.Mashup.OleDb.1;Data Source=$Workbook$;Location=AsgCst3;Extended Properties=&quot;&quot;" command="SELECT * FROM [AsgCst3]"/>
  </connection>
  <connection id="5" xr16:uid="{C8D8B6D5-F1C2-4799-8676-3EC3B06E0B93}" keepAlive="1" name="Query - AsgCst4" description="Connection to the 'AsgCst4' query in the workbook." type="5" refreshedVersion="8" background="1" saveData="1">
    <dbPr connection="Provider=Microsoft.Mashup.OleDb.1;Data Source=$Workbook$;Location=AsgCst4;Extended Properties=&quot;&quot;" command="SELECT * FROM [AsgCst4]"/>
  </connection>
  <connection id="6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7" xr16:uid="{86828F57-0AED-4721-AF30-A2FF895C5E4A}" keepAlive="1" name="Query - DetailsCst4" description="Connection to the 'DetailsCst4' query in the workbook." type="5" refreshedVersion="0" background="1">
    <dbPr connection="Provider=Microsoft.Mashup.OleDb.1;Data Source=$Workbook$;Location=DetailsCst4;Extended Properties=&quot;&quot;" command="SELECT * FROM [DetailsCst4]"/>
  </connection>
  <connection id="8" xr16:uid="{94090E7B-6821-43F6-98B2-CC686EB85B41}" keepAlive="1" name="Query - DetailsCst5" description="Connection to the 'DetailsCst5' query in the workbook." type="5" refreshedVersion="0" background="1">
    <dbPr connection="Provider=Microsoft.Mashup.OleDb.1;Data Source=$Workbook$;Location=DetailsCst5;Extended Properties=&quot;&quot;" command="SELECT * FROM [DetailsCst5]"/>
  </connection>
  <connection id="9" xr16:uid="{32D70CDB-4A0A-4D1A-98C5-970E6B291B4A}" keepAlive="1" name="Query - DetailsExp0" description="Connection to the 'DetailsExp0' query in the workbook." type="5" refreshedVersion="0" background="1">
    <dbPr connection="Provider=Microsoft.Mashup.OleDb.1;Data Source=$Workbook$;Location=DetailsExp0;Extended Properties=&quot;&quot;" command="SELECT * FROM [DetailsExp0]"/>
  </connection>
  <connection id="10" xr16:uid="{57133165-6099-4538-9D11-CE6401729077}" keepAlive="1" name="Query - DetailsExp1" description="Connection to the 'DetailsExp1' query in the workbook." type="5" refreshedVersion="0" background="1">
    <dbPr connection="Provider=Microsoft.Mashup.OleDb.1;Data Source=$Workbook$;Location=DetailsExp1;Extended Properties=&quot;&quot;" command="SELECT * FROM [DetailsExp1]"/>
  </connection>
  <connection id="11" xr16:uid="{D08EF113-A0C7-4685-AB93-53A304883808}" keepAlive="1" name="Query - DetailsExp2" description="Connection to the 'DetailsExp2' query in the workbook." type="5" refreshedVersion="0" background="1">
    <dbPr connection="Provider=Microsoft.Mashup.OleDb.1;Data Source=$Workbook$;Location=DetailsExp2;Extended Properties=&quot;&quot;" command="SELECT * FROM [DetailsExp2]"/>
  </connection>
  <connection id="12" xr16:uid="{28BB02EF-6978-4663-BE30-7CDA0C97D1A1}" keepAlive="1" name="Query - DetailsExp4" description="Connection to the 'DetailsExp4' query in the workbook." type="5" refreshedVersion="0" background="1">
    <dbPr connection="Provider=Microsoft.Mashup.OleDb.1;Data Source=$Workbook$;Location=DetailsExp4;Extended Properties=&quot;&quot;" command="SELECT * FROM [DetailsExp4]"/>
  </connection>
  <connection id="13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14" xr16:uid="{210C37F9-4C74-4176-B927-EEE95F416030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15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16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17" xr16:uid="{5BB526FB-A1E8-4386-828F-14AB552B3771}" keepAlive="1" name="Query - FilAsg" description="Connection to the 'FilAsg' query in the workbook." type="5" refreshedVersion="0" background="1">
    <dbPr connection="Provider=Microsoft.Mashup.OleDb.1;Data Source=$Workbook$;Location=FilAsg;Extended Properties=&quot;&quot;" command="SELECT * FROM [FilAsg]"/>
  </connection>
  <connection id="18" xr16:uid="{22DB94A8-4799-49E7-9751-9A5CE141333E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19" xr16:uid="{F0D39BCA-0179-4628-813B-EFF021D74788}" keepAlive="1" name="Query - FilGEn" description="Connection to the 'FilGEn' query in the workbook." type="5" refreshedVersion="0" background="1">
    <dbPr connection="Provider=Microsoft.Mashup.OleDb.1;Data Source=$Workbook$;Location=FilGEn;Extended Properties=&quot;&quot;" command="SELECT * FROM [FilGEn]"/>
  </connection>
  <connection id="20" xr16:uid="{980256EA-B659-4417-8968-529E9F5BE7C1}" keepAlive="1" name="Query - FilItm" description="Connection to the 'FilItm' query in the workbook." type="5" refreshedVersion="0" background="1">
    <dbPr connection="Provider=Microsoft.Mashup.OleDb.1;Data Source=$Workbook$;Location=FilItm;Extended Properties=&quot;&quot;" command="SELECT * FROM [FilItm]"/>
  </connection>
  <connection id="21" xr16:uid="{305A8F80-A9FF-431E-B1D4-F6D035E1F3E3}" keepAlive="1" name="Query - FilMod" description="Connection to the 'FilMod' query in the workbook." type="5" refreshedVersion="0" background="1">
    <dbPr connection="Provider=Microsoft.Mashup.OleDb.1;Data Source=$Workbook$;Location=FilMod;Extended Properties=&quot;&quot;" command="SELECT * FROM [FilMod]"/>
  </connection>
  <connection id="22" xr16:uid="{A2E45655-7076-48C3-BF84-7AA425ED6BC0}" keepAlive="1" name="Query - GEn_00" description="Connection to the 'GEn_00' query in the workbook." type="5" refreshedVersion="0" background="1">
    <dbPr connection="Provider=Microsoft.Mashup.OleDb.1;Data Source=$Workbook$;Location=GEn_00;Extended Properties=&quot;&quot;" command="SELECT * FROM [GEn_00]"/>
  </connection>
  <connection id="23" xr16:uid="{E80904FF-7002-4CA5-BBE5-323773F54364}" keepAlive="1" name="Query - GEn_01" description="Connection to the 'GEn_01' query in the workbook." type="5" refreshedVersion="0" background="1">
    <dbPr connection="Provider=Microsoft.Mashup.OleDb.1;Data Source=$Workbook$;Location=GEn_01;Extended Properties=&quot;&quot;" command="SELECT * FROM [GEn_01]"/>
  </connection>
  <connection id="24" xr16:uid="{B677B82F-6A45-40E7-BD1F-9019B2A9DAA9}" keepAlive="1" name="Query - GEn_02" description="Connection to the 'GEn_02' query in the workbook." type="5" refreshedVersion="0" background="1">
    <dbPr connection="Provider=Microsoft.Mashup.OleDb.1;Data Source=$Workbook$;Location=GEn_02;Extended Properties=&quot;&quot;" command="SELECT * FROM [GEn_02]"/>
  </connection>
  <connection id="25" xr16:uid="{01273D0E-5D47-4FA1-B021-B221A54BF0DC}" keepAlive="1" name="Query - ItmCst0" description="Connection to the 'ItmCst0' query in the workbook." type="5" refreshedVersion="0" background="1">
    <dbPr connection="Provider=Microsoft.Mashup.OleDb.1;Data Source=$Workbook$;Location=ItmCst0;Extended Properties=&quot;&quot;" command="SELECT * FROM [ItmCst0]"/>
  </connection>
  <connection id="26" xr16:uid="{0BF79FBD-B45B-4977-9567-21EEC2E188BA}" keepAlive="1" name="Query - ItmCst1" description="Connection to the 'ItmCst1' query in the workbook." type="5" refreshedVersion="8" background="1" saveData="1">
    <dbPr connection="Provider=Microsoft.Mashup.OleDb.1;Data Source=$Workbook$;Location=ItmCst1;Extended Properties=&quot;&quot;" command="SELECT * FROM [ItmCst1]"/>
  </connection>
  <connection id="27" xr16:uid="{3C3E6E34-AE99-4018-AD66-4B67FC016D8E}" keepAlive="1" name="Query - ModCst0" description="Connection to the 'ModCst0' query in the workbook." type="5" refreshedVersion="8" background="1" saveData="1">
    <dbPr connection="Provider=Microsoft.Mashup.OleDb.1;Data Source=$Workbook$;Location=ModCst0;Extended Properties=&quot;&quot;" command="SELECT * FROM [ModCst0]"/>
  </connection>
  <connection id="28" xr16:uid="{7A1B45FE-DE94-42A7-B6FE-F8C057E34018}" keepAlive="1" name="Query - ParamAsg" description="Connection to the 'ParamAsg' query in the workbook." type="5" refreshedVersion="0" background="1">
    <dbPr connection="Provider=Microsoft.Mashup.OleDb.1;Data Source=$Workbook$;Location=ParamAsg;Extended Properties=&quot;&quot;" command="SELECT * FROM [ParamAsg]"/>
  </connection>
  <connection id="29" xr16:uid="{F5C35402-E4BB-4635-B96E-B1897F994EC5}" keepAlive="1" name="Query - ParamGEn" description="Connection to the 'ParamGEn' query in the workbook." type="5" refreshedVersion="0" background="1">
    <dbPr connection="Provider=Microsoft.Mashup.OleDb.1;Data Source=$Workbook$;Location=ParamGEn;Extended Properties=&quot;&quot;" command="SELECT * FROM [ParamGEn]"/>
  </connection>
  <connection id="30" xr16:uid="{A33F5004-D0D5-4312-BEED-A19FC7212F58}" keepAlive="1" name="Query - ParamItm" description="Connection to the 'ParamItm' query in the workbook." type="5" refreshedVersion="0" background="1">
    <dbPr connection="Provider=Microsoft.Mashup.OleDb.1;Data Source=$Workbook$;Location=ParamItm;Extended Properties=&quot;&quot;" command="SELECT * FROM [ParamItm]"/>
  </connection>
  <connection id="31" xr16:uid="{E34FDEFD-9D07-49C2-9EF7-210390B1B1C6}" keepAlive="1" name="Query - ParamMod" description="Connection to the 'ParamMod' query in the workbook." type="5" refreshedVersion="0" background="1">
    <dbPr connection="Provider=Microsoft.Mashup.OleDb.1;Data Source=$Workbook$;Location=ParamMod;Extended Properties=&quot;&quot;" command="SELECT * FROM [ParamMod]"/>
  </connection>
  <connection id="32" xr16:uid="{A77D2B60-CFCD-43AD-A8F4-D7D693F48C98}" keepAlive="1" name="Query - SampleAsg" description="Connection to the 'SampleAsg' query in the workbook." type="5" refreshedVersion="0" background="1">
    <dbPr connection="Provider=Microsoft.Mashup.OleDb.1;Data Source=$Workbook$;Location=SampleAsg;Extended Properties=&quot;&quot;" command="SELECT * FROM [SampleAsg]"/>
  </connection>
  <connection id="33" xr16:uid="{D846246C-7F82-4AF7-9D19-795B39750E41}" keepAlive="1" name="Query - SampleGEn" description="Connection to the 'SampleGEn' query in the workbook." type="5" refreshedVersion="0" background="1">
    <dbPr connection="Provider=Microsoft.Mashup.OleDb.1;Data Source=$Workbook$;Location=SampleGEn;Extended Properties=&quot;&quot;" command="SELECT * FROM [SampleGEn]"/>
  </connection>
  <connection id="34" xr16:uid="{A405473F-682C-4309-B405-2D136CF62B0C}" keepAlive="1" name="Query - SampleItm" description="Connection to the 'SampleItm' query in the workbook." type="5" refreshedVersion="0" background="1">
    <dbPr connection="Provider=Microsoft.Mashup.OleDb.1;Data Source=$Workbook$;Location=SampleItm;Extended Properties=&quot;&quot;" command="SELECT * FROM [SampleItm]"/>
  </connection>
  <connection id="35" xr16:uid="{43289FA5-964A-4AF1-8C4A-985FEE0A8F44}" keepAlive="1" name="Query - SampleMod" description="Connection to the 'SampleMod' query in the workbook." type="5" refreshedVersion="0" background="1">
    <dbPr connection="Provider=Microsoft.Mashup.OleDb.1;Data Source=$Workbook$;Location=SampleMod;Extended Properties=&quot;&quot;" command="SELECT * FROM [SampleMod]"/>
  </connection>
  <connection id="36" xr16:uid="{A9DF95AF-ED34-4098-B357-8F4A1F6CEF5F}" keepAlive="1" name="Query - TbAssign" description="Connection to the 'TbAssign' query in the workbook." type="5" refreshedVersion="0" background="1">
    <dbPr connection="Provider=Microsoft.Mashup.OleDb.1;Data Source=$Workbook$;Location=TbAssign;Extended Properties=&quot;&quot;" command="SELECT * FROM [TbAssign]"/>
  </connection>
  <connection id="37" xr16:uid="{B7812FB5-F340-4EFA-8AD2-212CE7F75367}" keepAlive="1" name="Query - TrfGEn" description="Connection to the 'TrfGEn' query in the workbook." type="5" refreshedVersion="0" background="1">
    <dbPr connection="Provider=Microsoft.Mashup.OleDb.1;Data Source=$Workbook$;Location=TrfGEn;Extended Properties=&quot;&quot;" command="SELECT * FROM [TrfGEn]"/>
  </connection>
  <connection id="38" xr16:uid="{B3AD45D2-B800-445F-AC53-49D6B0A998BB}" keepAlive="1" name="Query - TrfX" description="Connection to the 'TrfX' query in the workbook." type="5" refreshedVersion="0" background="1">
    <dbPr connection="Provider=Microsoft.Mashup.OleDb.1;Data Source=$Workbook$;Location=TrfX;Extended Properties=&quot;&quot;" command="SELECT * FROM [Trf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<sst xmlns="http://schemas.openxmlformats.org/spreadsheetml/2006/main" count="54502" uniqueCount="13017">
  <si>
    <t>EOL</t>
  </si>
  <si>
    <t>PathName</t>
  </si>
  <si>
    <t>SelPrj</t>
  </si>
  <si>
    <t>SOR</t>
  </si>
  <si>
    <t>Windows System</t>
  </si>
  <si>
    <t>English Version</t>
  </si>
  <si>
    <t>Sheet Name</t>
  </si>
  <si>
    <t>Multi</t>
  </si>
  <si>
    <t>Attribute</t>
  </si>
  <si>
    <t>Spain</t>
  </si>
  <si>
    <t>ValSp</t>
  </si>
  <si>
    <t>Mexico</t>
  </si>
  <si>
    <t>ValMx</t>
  </si>
  <si>
    <t>Main</t>
  </si>
  <si>
    <t>Auxiliary 0</t>
  </si>
  <si>
    <t>O</t>
  </si>
  <si>
    <t>X</t>
  </si>
  <si>
    <t>Auxiliary 1</t>
  </si>
  <si>
    <t>Auxiliary 2</t>
  </si>
  <si>
    <t>31199</t>
  </si>
  <si>
    <t>CstS</t>
  </si>
  <si>
    <t>CstId</t>
  </si>
  <si>
    <t>CstNam</t>
  </si>
  <si>
    <t>GrpInE</t>
  </si>
  <si>
    <t>CstTyp</t>
  </si>
  <si>
    <t>RowPI</t>
  </si>
  <si>
    <t>RowPpto</t>
  </si>
  <si>
    <t>CstGrpS</t>
  </si>
  <si>
    <t>CstGrpId</t>
  </si>
  <si>
    <t>GrpPpto</t>
  </si>
  <si>
    <t>GrpPrv</t>
  </si>
  <si>
    <t>GrpRates</t>
  </si>
  <si>
    <t>GprDest</t>
  </si>
  <si>
    <t>GrpCTs</t>
  </si>
  <si>
    <t>Assign</t>
  </si>
  <si>
    <t>Order</t>
  </si>
  <si>
    <t>Nature</t>
  </si>
  <si>
    <t>OTAOffer</t>
  </si>
  <si>
    <t>TskS</t>
  </si>
  <si>
    <t>TskId</t>
  </si>
  <si>
    <t>TskNam</t>
  </si>
  <si>
    <t>TskNmo</t>
  </si>
  <si>
    <t>TskTyp</t>
  </si>
  <si>
    <t>CtrS</t>
  </si>
  <si>
    <t>CtrId</t>
  </si>
  <si>
    <t>GtoCua</t>
  </si>
  <si>
    <t>GtoCuaId</t>
  </si>
  <si>
    <t>Origin</t>
  </si>
  <si>
    <t>GtoCuaNam</t>
  </si>
  <si>
    <t>GtoCuaPrt</t>
  </si>
  <si>
    <t>LngS</t>
  </si>
  <si>
    <t>ADR</t>
  </si>
  <si>
    <t>001</t>
  </si>
  <si>
    <t>Materiales</t>
  </si>
  <si>
    <t>Material Mecánico Ext.</t>
  </si>
  <si>
    <t>Material</t>
  </si>
  <si>
    <t>PEXX</t>
  </si>
  <si>
    <t>Gestión de Proyectos</t>
  </si>
  <si>
    <t>Procesos</t>
  </si>
  <si>
    <t>Gestión Proyectos</t>
  </si>
  <si>
    <t>GESTIÓN DE PROYECTOS</t>
  </si>
  <si>
    <t>GP</t>
  </si>
  <si>
    <t>GPR</t>
  </si>
  <si>
    <t>01</t>
  </si>
  <si>
    <t>Hrs</t>
  </si>
  <si>
    <t/>
  </si>
  <si>
    <t>Gestión Ing. Procesos (ESP)</t>
  </si>
  <si>
    <t>GESTIÓN ING. PRO</t>
  </si>
  <si>
    <t>Op.No Mec.</t>
  </si>
  <si>
    <t>2DA</t>
  </si>
  <si>
    <t xml:space="preserve"> 10</t>
  </si>
  <si>
    <t>GDT</t>
  </si>
  <si>
    <t>GEn</t>
  </si>
  <si>
    <t>TRANSPORTES Y EMBALAJES</t>
  </si>
  <si>
    <t>Fabricación Mecánica</t>
  </si>
  <si>
    <t>002</t>
  </si>
  <si>
    <t>Materiales alto valor</t>
  </si>
  <si>
    <t>A00X</t>
  </si>
  <si>
    <t>Gestión Ing. Procesos (PNS)</t>
  </si>
  <si>
    <t>ING.PROCESOS PNS</t>
  </si>
  <si>
    <t>FAB</t>
  </si>
  <si>
    <t xml:space="preserve"> 20</t>
  </si>
  <si>
    <t>GDD</t>
  </si>
  <si>
    <t>GASTOS DE DESPLAZAMIENTO</t>
  </si>
  <si>
    <t>003</t>
  </si>
  <si>
    <t>Subconjuntos</t>
  </si>
  <si>
    <t>Gestión Mecánica</t>
  </si>
  <si>
    <t>Definición</t>
  </si>
  <si>
    <t>INGENIERÍA DEFINICIÓN</t>
  </si>
  <si>
    <t>OTM (Gestión)</t>
  </si>
  <si>
    <t>OTM</t>
  </si>
  <si>
    <t>02</t>
  </si>
  <si>
    <t>Gestión Ing. Procesos (AERO)</t>
  </si>
  <si>
    <t>3DA</t>
  </si>
  <si>
    <t xml:space="preserve"> 11</t>
  </si>
  <si>
    <t>GDG</t>
  </si>
  <si>
    <t>GASTOS GENERALES</t>
  </si>
  <si>
    <t>Metrología</t>
  </si>
  <si>
    <t>004</t>
  </si>
  <si>
    <t>Subcontratación completa</t>
  </si>
  <si>
    <t>Subcontratación Completa Ext.</t>
  </si>
  <si>
    <t>Gestión Ing. Procesos (STD)</t>
  </si>
  <si>
    <t>ATA</t>
  </si>
  <si>
    <t xml:space="preserve"> 26</t>
  </si>
  <si>
    <t>GDA</t>
  </si>
  <si>
    <t>GASTOS ADUANALES</t>
  </si>
  <si>
    <t>005</t>
  </si>
  <si>
    <t>Controles Serra</t>
  </si>
  <si>
    <t>Material Eléctrico Ext.</t>
  </si>
  <si>
    <t>Diseño Mecánico</t>
  </si>
  <si>
    <t>Diseño  Mecánico</t>
  </si>
  <si>
    <t>DISEÑO MECÁNICO</t>
  </si>
  <si>
    <t>OTM (Diseño)</t>
  </si>
  <si>
    <t>03</t>
  </si>
  <si>
    <t>Planificación / Producción STD</t>
  </si>
  <si>
    <t>PLANIFICACIÓN /</t>
  </si>
  <si>
    <t>IEA</t>
  </si>
  <si>
    <t xml:space="preserve"> 13</t>
  </si>
  <si>
    <t>CDC</t>
  </si>
  <si>
    <t>CDc</t>
  </si>
  <si>
    <t>CUADRANTES CD2</t>
  </si>
  <si>
    <t>006</t>
  </si>
  <si>
    <t>Transformadores Serra</t>
  </si>
  <si>
    <t>Proyecto mecánico (ESP)</t>
  </si>
  <si>
    <t>PROYECTO MECÁNIC</t>
  </si>
  <si>
    <t>MEA</t>
  </si>
  <si>
    <t xml:space="preserve"> 24</t>
  </si>
  <si>
    <t>CPE</t>
  </si>
  <si>
    <t>OFb</t>
  </si>
  <si>
    <t>CUADRANTE ESTRUCTURADO</t>
  </si>
  <si>
    <t>007</t>
  </si>
  <si>
    <t>Materiales subcontratados</t>
  </si>
  <si>
    <t>Operación</t>
  </si>
  <si>
    <t>Robcad</t>
  </si>
  <si>
    <t>ROBCAD</t>
  </si>
  <si>
    <t>04</t>
  </si>
  <si>
    <t>Proyecto mecánico (PNS)</t>
  </si>
  <si>
    <t>PROYECTO MEC.PNS</t>
  </si>
  <si>
    <t>MMA</t>
  </si>
  <si>
    <t xml:space="preserve"> 22</t>
  </si>
  <si>
    <t>008</t>
  </si>
  <si>
    <t>Transp. &amp; Desplaz. Serra</t>
  </si>
  <si>
    <t>General</t>
  </si>
  <si>
    <t>G001</t>
  </si>
  <si>
    <t>Proyecto mecánico (STD)</t>
  </si>
  <si>
    <t>PROYECTO MEC.STD</t>
  </si>
  <si>
    <t>RBA</t>
  </si>
  <si>
    <t xml:space="preserve"> 50</t>
  </si>
  <si>
    <t>009</t>
  </si>
  <si>
    <t>Diseño Eléctrico</t>
  </si>
  <si>
    <t>Automatismos</t>
  </si>
  <si>
    <t>DISEÑO ELÉCTRICO</t>
  </si>
  <si>
    <t>OT Eléctrica</t>
  </si>
  <si>
    <t>OTA</t>
  </si>
  <si>
    <t>05</t>
  </si>
  <si>
    <t>Gestion Ing.Mecánica (ESP)</t>
  </si>
  <si>
    <t>GESTION ING.MECÁ</t>
  </si>
  <si>
    <t>XI1</t>
  </si>
  <si>
    <t>DISEÑO HARDWARE</t>
  </si>
  <si>
    <t>010</t>
  </si>
  <si>
    <t>Diseño Mecánico Serra</t>
  </si>
  <si>
    <t>Gestion Ing.Mecánica (AERO)</t>
  </si>
  <si>
    <t>XI2</t>
  </si>
  <si>
    <t>DISEÑO SOFTWARE</t>
  </si>
  <si>
    <t>011</t>
  </si>
  <si>
    <t>Horas Robcad Serra</t>
  </si>
  <si>
    <t>Robcad Serra</t>
  </si>
  <si>
    <t>G010</t>
  </si>
  <si>
    <t>Diseño NR</t>
  </si>
  <si>
    <t>Diseño Fluidos</t>
  </si>
  <si>
    <t>DISEÑO NR</t>
  </si>
  <si>
    <t>OT N.R.</t>
  </si>
  <si>
    <t>06</t>
  </si>
  <si>
    <t>DN</t>
  </si>
  <si>
    <t>Diseño 2D mecánico (ESP)</t>
  </si>
  <si>
    <t>DISEÑO 2D MECÁNI</t>
  </si>
  <si>
    <t>XI3</t>
  </si>
  <si>
    <t>012</t>
  </si>
  <si>
    <t>Horas OTM E.T.T.</t>
  </si>
  <si>
    <t>Diseño 2D mecánico (PNS)</t>
  </si>
  <si>
    <t>DISEÑO 2D PNS</t>
  </si>
  <si>
    <t>XI4</t>
  </si>
  <si>
    <t>013</t>
  </si>
  <si>
    <t>Horas OTA Serra</t>
  </si>
  <si>
    <t>Diseño Eléctrico Serra</t>
  </si>
  <si>
    <t>G011</t>
  </si>
  <si>
    <t>Robótica</t>
  </si>
  <si>
    <t>ROBÓTICA</t>
  </si>
  <si>
    <t>07</t>
  </si>
  <si>
    <t>Diseño 2D mecánico (STD)</t>
  </si>
  <si>
    <t>DISEÑO 2D STD</t>
  </si>
  <si>
    <t>XT1</t>
  </si>
  <si>
    <t>014</t>
  </si>
  <si>
    <t>Horas OTA E.T.T.</t>
  </si>
  <si>
    <t>Diseño 3D mecánico (ESP)</t>
  </si>
  <si>
    <t>DISEÑO 3D MECÁNI</t>
  </si>
  <si>
    <t>XT2</t>
  </si>
  <si>
    <t>015</t>
  </si>
  <si>
    <t>Horas Procesos+Produc.+Planif.</t>
  </si>
  <si>
    <t>Gestión de Proyectos Serra</t>
  </si>
  <si>
    <t>G003</t>
  </si>
  <si>
    <t>Fabricación Mecánica (INCLUYE MATERIAS PRIMAS)</t>
  </si>
  <si>
    <t>FABRICACIÓN MECÁNICA</t>
  </si>
  <si>
    <t>Mecanización</t>
  </si>
  <si>
    <t>WSM</t>
  </si>
  <si>
    <t>08</t>
  </si>
  <si>
    <t>Diseño 3D mecánico (PNS)</t>
  </si>
  <si>
    <t>DISEÑO 3D PNS</t>
  </si>
  <si>
    <t>XT3</t>
  </si>
  <si>
    <t>016</t>
  </si>
  <si>
    <t>Horas OTM EXTERIOR</t>
  </si>
  <si>
    <t>Diseño Mecánico Ext.</t>
  </si>
  <si>
    <t>XT4</t>
  </si>
  <si>
    <t>017</t>
  </si>
  <si>
    <t>Horas OTA EXTERIOR</t>
  </si>
  <si>
    <t>Diseño Eléctrico Ext.</t>
  </si>
  <si>
    <t>Montaje Mecánico</t>
  </si>
  <si>
    <t>MONTAJE MECÁNICO</t>
  </si>
  <si>
    <t>Montaje Mec.</t>
  </si>
  <si>
    <t>09</t>
  </si>
  <si>
    <t>Diseño 3D mecánico (AERO)</t>
  </si>
  <si>
    <t>A11</t>
  </si>
  <si>
    <t>111</t>
  </si>
  <si>
    <t>018</t>
  </si>
  <si>
    <t>Horas OTM AUXILIAR</t>
  </si>
  <si>
    <t>Diseño Hardware (ESP)</t>
  </si>
  <si>
    <t>A12</t>
  </si>
  <si>
    <t>131</t>
  </si>
  <si>
    <t>019</t>
  </si>
  <si>
    <t>Horas OTA AUXILIAR</t>
  </si>
  <si>
    <t>METROLOGÍA</t>
  </si>
  <si>
    <t>10</t>
  </si>
  <si>
    <t>Diseño NR (ESP)</t>
  </si>
  <si>
    <t>DISEÑO NR (ESP)</t>
  </si>
  <si>
    <t>A1T</t>
  </si>
  <si>
    <t>451</t>
  </si>
  <si>
    <t>020</t>
  </si>
  <si>
    <t>Horas Fabricación SERRA</t>
  </si>
  <si>
    <t>Fabricación Mecánica Serra</t>
  </si>
  <si>
    <t>Diseño Software (ESP)</t>
  </si>
  <si>
    <t>A21</t>
  </si>
  <si>
    <t>411</t>
  </si>
  <si>
    <t>021</t>
  </si>
  <si>
    <t>Horas Fabricación AUXILIAR</t>
  </si>
  <si>
    <t>Fabricación Mecánica Ext.</t>
  </si>
  <si>
    <t>Subcontratación Completa</t>
  </si>
  <si>
    <t>SUBCONTRATACIÓN COMPLETA</t>
  </si>
  <si>
    <t>SUBCONTRATACION COMPLETA</t>
  </si>
  <si>
    <t>Mat</t>
  </si>
  <si>
    <t>Gestión Ing.Automatismos(STD)</t>
  </si>
  <si>
    <t>GESTIÓN ING.AUTO</t>
  </si>
  <si>
    <t>A22</t>
  </si>
  <si>
    <t>491</t>
  </si>
  <si>
    <t>022</t>
  </si>
  <si>
    <t>Horas Montaje mec. SERRA</t>
  </si>
  <si>
    <t>Montaje Mecánico Serra</t>
  </si>
  <si>
    <t>Diseño Hardware (AERO)</t>
  </si>
  <si>
    <t>A2T</t>
  </si>
  <si>
    <t>551</t>
  </si>
  <si>
    <t>023</t>
  </si>
  <si>
    <t>Horas Montaje mec. AUXILIAR</t>
  </si>
  <si>
    <t>Montaje Mecánico Ext.</t>
  </si>
  <si>
    <t>Fabricación Eléctrica</t>
  </si>
  <si>
    <t>FABRICACIÓN ELÉCTRICA</t>
  </si>
  <si>
    <t>Taller ENR</t>
  </si>
  <si>
    <t>WSA</t>
  </si>
  <si>
    <t>11</t>
  </si>
  <si>
    <t>TF</t>
  </si>
  <si>
    <t>Diseño NR (AERO)</t>
  </si>
  <si>
    <t>DISEÑO NR (AERO)</t>
  </si>
  <si>
    <t>A31</t>
  </si>
  <si>
    <t>511</t>
  </si>
  <si>
    <t>024</t>
  </si>
  <si>
    <t>Horas Mont. eléctr./ENR SERRA</t>
  </si>
  <si>
    <t>Instalación E.N.R. Serra</t>
  </si>
  <si>
    <t>Diseño Software (AERO)</t>
  </si>
  <si>
    <t>A32</t>
  </si>
  <si>
    <t>591</t>
  </si>
  <si>
    <t>025</t>
  </si>
  <si>
    <t>Horas Mont. eléctr./ENR AUX.</t>
  </si>
  <si>
    <t>Instalación E.N.R. Ext.</t>
  </si>
  <si>
    <t>Instalación Eléctrica</t>
  </si>
  <si>
    <t>Instalación ENR</t>
  </si>
  <si>
    <t>INSTALACIÓN ELÉCTRICA</t>
  </si>
  <si>
    <t>Instalación E.N.R.</t>
  </si>
  <si>
    <t>12</t>
  </si>
  <si>
    <t>TI</t>
  </si>
  <si>
    <t>Gestión Ing.Automatismos(AERO)</t>
  </si>
  <si>
    <t>A3T</t>
  </si>
  <si>
    <t>5E1</t>
  </si>
  <si>
    <t>026</t>
  </si>
  <si>
    <t>Horas AT SERRA</t>
  </si>
  <si>
    <t>Asist. Técnica Serra</t>
  </si>
  <si>
    <t>G005</t>
  </si>
  <si>
    <t>Proyecto eléctrico (PNS)</t>
  </si>
  <si>
    <t>PROYECTO ELÉCTRI</t>
  </si>
  <si>
    <t>A41</t>
  </si>
  <si>
    <t>5A1</t>
  </si>
  <si>
    <t>027</t>
  </si>
  <si>
    <t>Horas AT AUXILIAR</t>
  </si>
  <si>
    <t>Asist. Técnica Ext.</t>
  </si>
  <si>
    <t>Instalación NR</t>
  </si>
  <si>
    <t>INSTALACIÓN NR</t>
  </si>
  <si>
    <t>13</t>
  </si>
  <si>
    <t>TIN</t>
  </si>
  <si>
    <t>Programación automatas  (PNS)</t>
  </si>
  <si>
    <t>PROGRAMACIÓN AUT</t>
  </si>
  <si>
    <t>A42</t>
  </si>
  <si>
    <t>711</t>
  </si>
  <si>
    <t>028</t>
  </si>
  <si>
    <t>Horas Fabricación EXTERIOR</t>
  </si>
  <si>
    <t>Proyecto N/R (PNS)</t>
  </si>
  <si>
    <t>PROYECTO N/R (PN</t>
  </si>
  <si>
    <t>B11</t>
  </si>
  <si>
    <t>311</t>
  </si>
  <si>
    <t>029</t>
  </si>
  <si>
    <t>Horas Montaje mec. EXTERIOR</t>
  </si>
  <si>
    <t>Asist. Técnica</t>
  </si>
  <si>
    <t>ASIST. TÉCNICA</t>
  </si>
  <si>
    <t>A.T.</t>
  </si>
  <si>
    <t>14</t>
  </si>
  <si>
    <t>Proyecto eléctrico (STD)</t>
  </si>
  <si>
    <t>C11</t>
  </si>
  <si>
    <t>141</t>
  </si>
  <si>
    <t>030</t>
  </si>
  <si>
    <t>Horas Mont. eléctr./ENR EXT.</t>
  </si>
  <si>
    <t>Fabricación Eléctrica Ext.</t>
  </si>
  <si>
    <t>Laboratorio I+D</t>
  </si>
  <si>
    <t>LABORATORIO I+D</t>
  </si>
  <si>
    <t>C21</t>
  </si>
  <si>
    <t>211</t>
  </si>
  <si>
    <t>031</t>
  </si>
  <si>
    <t>Horas AT EXTERIOR</t>
  </si>
  <si>
    <t>G009</t>
  </si>
  <si>
    <t>Material Mecánico +%</t>
  </si>
  <si>
    <t>Material  Mecánico +%</t>
  </si>
  <si>
    <t>Material  Mecánico (SOLO COMERCIO)</t>
  </si>
  <si>
    <t>MATERIAL MECÁNICO +%</t>
  </si>
  <si>
    <t>Material Mecánico (SOLO COMERCIO)</t>
  </si>
  <si>
    <t>MAT. MEC</t>
  </si>
  <si>
    <t>MTM</t>
  </si>
  <si>
    <t>15</t>
  </si>
  <si>
    <t>Calderería</t>
  </si>
  <si>
    <t>CALDERERÍA</t>
  </si>
  <si>
    <t>C31</t>
  </si>
  <si>
    <t>221</t>
  </si>
  <si>
    <t>032</t>
  </si>
  <si>
    <t>Horas Fabricacion E.T.T.</t>
  </si>
  <si>
    <t>Materia Prima</t>
  </si>
  <si>
    <t>Adicionales</t>
  </si>
  <si>
    <t>Mecanización general</t>
  </si>
  <si>
    <t>MECANIZACIÓN GEN</t>
  </si>
  <si>
    <t>C41</t>
  </si>
  <si>
    <t>231</t>
  </si>
  <si>
    <t>033</t>
  </si>
  <si>
    <t>Horas Montaje mec. E.T.T.</t>
  </si>
  <si>
    <t>Material Eléctrico +%</t>
  </si>
  <si>
    <t>Material  Eléctrico +%</t>
  </si>
  <si>
    <t>Material  Eléctrico</t>
  </si>
  <si>
    <t>Material Eléctrico</t>
  </si>
  <si>
    <t>MAT. ELEC</t>
  </si>
  <si>
    <t>MTA</t>
  </si>
  <si>
    <t>16</t>
  </si>
  <si>
    <t>Mecanizazión CNC</t>
  </si>
  <si>
    <t>MECANIZAZIÓN CNC</t>
  </si>
  <si>
    <t>C51</t>
  </si>
  <si>
    <t>421</t>
  </si>
  <si>
    <t>034</t>
  </si>
  <si>
    <t>Gastos Facturas AEUS</t>
  </si>
  <si>
    <t>Programación CAM</t>
  </si>
  <si>
    <t>PROGRAMACIÓN CAM</t>
  </si>
  <si>
    <t>C61</t>
  </si>
  <si>
    <t>521</t>
  </si>
  <si>
    <t>035</t>
  </si>
  <si>
    <t>Compensación Hrs Taller E.T.T.</t>
  </si>
  <si>
    <t>G002</t>
  </si>
  <si>
    <t>Material Fluidos +%</t>
  </si>
  <si>
    <t>Material Fluidos</t>
  </si>
  <si>
    <t>MAT. N.R.</t>
  </si>
  <si>
    <t>17</t>
  </si>
  <si>
    <t>Fabric. eléctrica STANDARD</t>
  </si>
  <si>
    <t>FABRIC. ELÉCTRIC</t>
  </si>
  <si>
    <t>C71</t>
  </si>
  <si>
    <t>5B1</t>
  </si>
  <si>
    <t>036</t>
  </si>
  <si>
    <t>Horas Mont. eléctr./ENR E.T.T.</t>
  </si>
  <si>
    <t>Ing. Fabricación eléctrica</t>
  </si>
  <si>
    <t>ING. FABR. ELEC.</t>
  </si>
  <si>
    <t>E13</t>
  </si>
  <si>
    <t>471</t>
  </si>
  <si>
    <t>037</t>
  </si>
  <si>
    <t>Horas AT E.T.T.</t>
  </si>
  <si>
    <t>Transp. &amp; Desplaz.</t>
  </si>
  <si>
    <t>Transp + Dieta</t>
  </si>
  <si>
    <t>18</t>
  </si>
  <si>
    <t>Gto</t>
  </si>
  <si>
    <t>Montaje Transformadores</t>
  </si>
  <si>
    <t>MONTAJE TRANSFOR</t>
  </si>
  <si>
    <t>E23</t>
  </si>
  <si>
    <t>481</t>
  </si>
  <si>
    <t>038</t>
  </si>
  <si>
    <t>Desplazam. Talleres Aux.</t>
  </si>
  <si>
    <t>Transp. &amp; Desplaz. Ext.</t>
  </si>
  <si>
    <t>Montaje mecánico STD</t>
  </si>
  <si>
    <t>MONTAJE MEC. STD</t>
  </si>
  <si>
    <t>E33</t>
  </si>
  <si>
    <t>571</t>
  </si>
  <si>
    <t>039</t>
  </si>
  <si>
    <t>Robcad EXTERIOR</t>
  </si>
  <si>
    <t>Robcad Ext.</t>
  </si>
  <si>
    <t>Montaje mecánico (ESP)</t>
  </si>
  <si>
    <t>E43</t>
  </si>
  <si>
    <t>581</t>
  </si>
  <si>
    <t>040</t>
  </si>
  <si>
    <t>Dietas y desplazamientos</t>
  </si>
  <si>
    <t>Montaje mecánico (PNS)</t>
  </si>
  <si>
    <t>E53</t>
  </si>
  <si>
    <t>751</t>
  </si>
  <si>
    <t>041</t>
  </si>
  <si>
    <t>Transportes de Compra</t>
  </si>
  <si>
    <t>Montaje eléctrico (PNS)</t>
  </si>
  <si>
    <t>MONTAJE ELÉCTRIC</t>
  </si>
  <si>
    <t>E63</t>
  </si>
  <si>
    <t>761</t>
  </si>
  <si>
    <t>042</t>
  </si>
  <si>
    <t>Otros Gastos de venta</t>
  </si>
  <si>
    <t>ASISTENCIA PHARMA</t>
  </si>
  <si>
    <t>ASISTENCIA PHARM</t>
  </si>
  <si>
    <t>E73</t>
  </si>
  <si>
    <t>771</t>
  </si>
  <si>
    <t>043</t>
  </si>
  <si>
    <t>Comisiones</t>
  </si>
  <si>
    <t>Metrología 3D</t>
  </si>
  <si>
    <t>METROLOGÍA 3D</t>
  </si>
  <si>
    <t>F11</t>
  </si>
  <si>
    <t>721</t>
  </si>
  <si>
    <t>044</t>
  </si>
  <si>
    <t>Gastos financieros</t>
  </si>
  <si>
    <t>Instalaciones E.N.R.</t>
  </si>
  <si>
    <t>INSTALACIONES E.</t>
  </si>
  <si>
    <t>M11</t>
  </si>
  <si>
    <t>441</t>
  </si>
  <si>
    <t>045</t>
  </si>
  <si>
    <t>Transportes de Venta</t>
  </si>
  <si>
    <t>A.T. y Postventa</t>
  </si>
  <si>
    <t>A.T. Y POSTVENTA</t>
  </si>
  <si>
    <t>M21</t>
  </si>
  <si>
    <t>461</t>
  </si>
  <si>
    <t>046</t>
  </si>
  <si>
    <t>Embalajes</t>
  </si>
  <si>
    <t>Diseño Robótica</t>
  </si>
  <si>
    <t>DISEÑO ROBÓTICA</t>
  </si>
  <si>
    <t>M31</t>
  </si>
  <si>
    <t>541</t>
  </si>
  <si>
    <t>050</t>
  </si>
  <si>
    <t>Horas Robótica SERRA</t>
  </si>
  <si>
    <t>Robótica Serra</t>
  </si>
  <si>
    <t>G012</t>
  </si>
  <si>
    <t>Coste Calidad Ing.Mec.(AUTO)</t>
  </si>
  <si>
    <t>COSTE CALIDAD IN</t>
  </si>
  <si>
    <t>M41</t>
  </si>
  <si>
    <t>561</t>
  </si>
  <si>
    <t>051</t>
  </si>
  <si>
    <t>Horas Robótica E.T.T.</t>
  </si>
  <si>
    <t>Coste Calidad Ing.Aut.(AUTO)</t>
  </si>
  <si>
    <t>M51</t>
  </si>
  <si>
    <t>731</t>
  </si>
  <si>
    <t>052</t>
  </si>
  <si>
    <t>Horas Robótica AUXILIAR</t>
  </si>
  <si>
    <t>Robótica Ext.</t>
  </si>
  <si>
    <t>Coste Calidad Ing.Pro.(AUTO)</t>
  </si>
  <si>
    <t>M61</t>
  </si>
  <si>
    <t>5D1</t>
  </si>
  <si>
    <t>053</t>
  </si>
  <si>
    <t>Horas Robótica EXTERIOR</t>
  </si>
  <si>
    <t>Coste Calidad ROBCAD AUTO</t>
  </si>
  <si>
    <t>COSTE CALIDAD RO</t>
  </si>
  <si>
    <t>M71</t>
  </si>
  <si>
    <t>741</t>
  </si>
  <si>
    <t>068</t>
  </si>
  <si>
    <t>Desplaz. Exteriores NO CALIDAD</t>
  </si>
  <si>
    <t>Coste Calidad Ing.Aut.(PNS)</t>
  </si>
  <si>
    <t>P1A</t>
  </si>
  <si>
    <t>121</t>
  </si>
  <si>
    <t>070</t>
  </si>
  <si>
    <t>Dietas y desplaz. NO CALIDAD</t>
  </si>
  <si>
    <t>Coste Calidad Ing.Pro.(PNS)</t>
  </si>
  <si>
    <t>R11</t>
  </si>
  <si>
    <t>241</t>
  </si>
  <si>
    <t>071</t>
  </si>
  <si>
    <t>Transportes Compra NO CALIDAD</t>
  </si>
  <si>
    <t>Coste Calidad Ing.Mec.(STD)</t>
  </si>
  <si>
    <t>R21</t>
  </si>
  <si>
    <t>431</t>
  </si>
  <si>
    <t>075</t>
  </si>
  <si>
    <t>Transportes Ventas NO CALIDAD</t>
  </si>
  <si>
    <t>Coste Calidad Ing.Elec.(STD)</t>
  </si>
  <si>
    <t>R31</t>
  </si>
  <si>
    <t>531</t>
  </si>
  <si>
    <t>076</t>
  </si>
  <si>
    <t>Embalajes NO CALIDAD</t>
  </si>
  <si>
    <t>Coste Calidad Ing.Elec.(FAB)</t>
  </si>
  <si>
    <t>R41</t>
  </si>
  <si>
    <t>5C1</t>
  </si>
  <si>
    <t>080</t>
  </si>
  <si>
    <t>Corrección por dif. de coste</t>
  </si>
  <si>
    <t>Coste Calidad Fab.Elec.(FAB)</t>
  </si>
  <si>
    <t>COSTE CALIDAD FA</t>
  </si>
  <si>
    <t>CNC</t>
  </si>
  <si>
    <t>081</t>
  </si>
  <si>
    <t>Gastos aduanales</t>
  </si>
  <si>
    <t>Coste Calidad Transformadores</t>
  </si>
  <si>
    <t>COSTE CALIDAD TR</t>
  </si>
  <si>
    <t>TRD</t>
  </si>
  <si>
    <t>082</t>
  </si>
  <si>
    <t>Impuestos aduanales</t>
  </si>
  <si>
    <t>Coste Calidad Mon.Mec.(AUTO)</t>
  </si>
  <si>
    <t>COSTE CALIDAD MO</t>
  </si>
  <si>
    <t>I+D</t>
  </si>
  <si>
    <t>099</t>
  </si>
  <si>
    <t>Costos generales</t>
  </si>
  <si>
    <t>Coste Calidad Mon.(STD)</t>
  </si>
  <si>
    <t>M12</t>
  </si>
  <si>
    <t>7C1</t>
  </si>
  <si>
    <t>ANT</t>
  </si>
  <si>
    <t>ANTICIPOS</t>
  </si>
  <si>
    <t>Coste Calidad Mon.(PNS)</t>
  </si>
  <si>
    <t>A15</t>
  </si>
  <si>
    <t>251</t>
  </si>
  <si>
    <t>A10</t>
  </si>
  <si>
    <t>Coste Calidad Metrologia AUTO</t>
  </si>
  <si>
    <t>COSTE CALIDAD ME</t>
  </si>
  <si>
    <t>999</t>
  </si>
  <si>
    <t xml:space="preserve"> 07</t>
  </si>
  <si>
    <t>A20</t>
  </si>
  <si>
    <t>Subconjuntos Completos</t>
  </si>
  <si>
    <t>Coste Calidad Inst.ENR (AUTO)</t>
  </si>
  <si>
    <t>M22</t>
  </si>
  <si>
    <t>7E1</t>
  </si>
  <si>
    <t>Subconjuntos Mecánicos</t>
  </si>
  <si>
    <t>Conjunto</t>
  </si>
  <si>
    <t>Coste Calidad Asist.Tec.AUTO</t>
  </si>
  <si>
    <t>COSTE CALIDAD AS</t>
  </si>
  <si>
    <t>P11</t>
  </si>
  <si>
    <t>Subconjuntos Eléctricos</t>
  </si>
  <si>
    <t>Coste Calidad Robotica AUTO</t>
  </si>
  <si>
    <t>C13</t>
  </si>
  <si>
    <t>261</t>
  </si>
  <si>
    <t>A23</t>
  </si>
  <si>
    <t>Subconjuntos NR</t>
  </si>
  <si>
    <t>Material Fluidos Ext.</t>
  </si>
  <si>
    <t>Coste Calidad Planif.AUTO</t>
  </si>
  <si>
    <t>COSTE CALIDAD PL</t>
  </si>
  <si>
    <t>P12</t>
  </si>
  <si>
    <t>A30</t>
  </si>
  <si>
    <t>Coste Calidad Caldereria</t>
  </si>
  <si>
    <t>COSTE CALIDAD CA</t>
  </si>
  <si>
    <t>E21</t>
  </si>
  <si>
    <t>7D1</t>
  </si>
  <si>
    <t>A40</t>
  </si>
  <si>
    <t>Controles STD</t>
  </si>
  <si>
    <t>Coste Calidad Mecanizacion</t>
  </si>
  <si>
    <t>Armarios STD</t>
  </si>
  <si>
    <t>E001</t>
  </si>
  <si>
    <t>Coste Calidad Verif. Dim.AUTO</t>
  </si>
  <si>
    <t>COSTE CALIDAD VE</t>
  </si>
  <si>
    <t>A45</t>
  </si>
  <si>
    <t>Máquinas STD</t>
  </si>
  <si>
    <t>Coste Calidad Gestión AERO</t>
  </si>
  <si>
    <t>COSTE CALIDAD GE</t>
  </si>
  <si>
    <t>A46</t>
  </si>
  <si>
    <t>Pinzas de soldadura STD</t>
  </si>
  <si>
    <t>Coste Calidad Ing.Aut.(AERO)</t>
  </si>
  <si>
    <t>A47</t>
  </si>
  <si>
    <t>Alimentadores STD</t>
  </si>
  <si>
    <t>Coste Calidad Ing.Mec.(AERO)</t>
  </si>
  <si>
    <t>A50</t>
  </si>
  <si>
    <t>Transformadores STD</t>
  </si>
  <si>
    <t>Coste Calidad Ing.Pro.(AERO)</t>
  </si>
  <si>
    <t>A60</t>
  </si>
  <si>
    <t>Materiales Exterior (M,E,NR)</t>
  </si>
  <si>
    <t>Coste Calidad Calidad(AERO)</t>
  </si>
  <si>
    <t>A98</t>
  </si>
  <si>
    <t>Taller Auxiliares 1998</t>
  </si>
  <si>
    <t>Coste Calidad Mon.Mec.(AERO)</t>
  </si>
  <si>
    <t>E10</t>
  </si>
  <si>
    <t>Armarios Eléctricos</t>
  </si>
  <si>
    <t>E011</t>
  </si>
  <si>
    <t>Coste Calidad Metrologia AERO</t>
  </si>
  <si>
    <t>E20</t>
  </si>
  <si>
    <t>Vallados y seguridades</t>
  </si>
  <si>
    <t>E002</t>
  </si>
  <si>
    <t>Coste Calidad Inst.ENR (AERO)</t>
  </si>
  <si>
    <t>E30</t>
  </si>
  <si>
    <t>Implantación general</t>
  </si>
  <si>
    <t>E003</t>
  </si>
  <si>
    <t>Coste Calidad Asist.Tec.AERO</t>
  </si>
  <si>
    <t>E40</t>
  </si>
  <si>
    <t>Robots</t>
  </si>
  <si>
    <t>E004</t>
  </si>
  <si>
    <t>Coste Calidad Robotica AERO</t>
  </si>
  <si>
    <t>E50</t>
  </si>
  <si>
    <t>Garras</t>
  </si>
  <si>
    <t>E005</t>
  </si>
  <si>
    <t>Coste Calidad Planif.AERO</t>
  </si>
  <si>
    <t>G98</t>
  </si>
  <si>
    <t>Gastos Obras 1998</t>
  </si>
  <si>
    <t>Coste Calidad Verif. Dim.AERO</t>
  </si>
  <si>
    <t>H98</t>
  </si>
  <si>
    <t>Horas Oficina Tecnica 1998</t>
  </si>
  <si>
    <t>Gestión Mecánica Serra</t>
  </si>
  <si>
    <t>Coste Calidad Materiales Subco</t>
  </si>
  <si>
    <t>COSTE CALIDAD MA</t>
  </si>
  <si>
    <t>M10</t>
  </si>
  <si>
    <t>Material mecánico</t>
  </si>
  <si>
    <t>Material subcontratado</t>
  </si>
  <si>
    <t>MATERIAL SUBCONT</t>
  </si>
  <si>
    <t>M20</t>
  </si>
  <si>
    <t>Material eléctrico</t>
  </si>
  <si>
    <t>Gestion de Proyectos AUTO</t>
  </si>
  <si>
    <t>GESTION DE PROYE</t>
  </si>
  <si>
    <t>M30</t>
  </si>
  <si>
    <t>Material fluidos</t>
  </si>
  <si>
    <t>Gestion de Proyectos (AERO)</t>
  </si>
  <si>
    <t>M98</t>
  </si>
  <si>
    <t>Material Obras 1998</t>
  </si>
  <si>
    <t>Gestion Planif./Produc.AUTO</t>
  </si>
  <si>
    <t>GESTION PLANIF./</t>
  </si>
  <si>
    <t>O98</t>
  </si>
  <si>
    <t>Horas Oficina Tec. exterior 98</t>
  </si>
  <si>
    <t>Gestión Mecánica Ext.</t>
  </si>
  <si>
    <t>Gestion Planif./Produc.AERO</t>
  </si>
  <si>
    <t>P00</t>
  </si>
  <si>
    <t>Puestos</t>
  </si>
  <si>
    <t>Gestion Compras AERO</t>
  </si>
  <si>
    <t>GESTION COMPRAS</t>
  </si>
  <si>
    <t>P03</t>
  </si>
  <si>
    <t>Materiales alto valor3 (Pres.)</t>
  </si>
  <si>
    <t>Gestion de Calidad AUTO</t>
  </si>
  <si>
    <t>GESTION DE CALID</t>
  </si>
  <si>
    <t>P40</t>
  </si>
  <si>
    <t>Dietas y Desplazam.(Presup.)</t>
  </si>
  <si>
    <t>Gestion de Calidad (AERO)</t>
  </si>
  <si>
    <t>P41</t>
  </si>
  <si>
    <t>Tptes. y Embalajes (Presup.)</t>
  </si>
  <si>
    <t>Definicion de Ing.Mec.AUTO</t>
  </si>
  <si>
    <t>DEFINICION DE IN</t>
  </si>
  <si>
    <t>T98</t>
  </si>
  <si>
    <t>Horas Taller 1998</t>
  </si>
  <si>
    <t>Layout y simulaciones</t>
  </si>
  <si>
    <t>LAYOUT Y SIMULAC</t>
  </si>
  <si>
    <t>100</t>
  </si>
  <si>
    <t>Coordinación y Gestión</t>
  </si>
  <si>
    <t>Definicion de Ing.Mec.(AERO)</t>
  </si>
  <si>
    <t>Gestión Procesos INT.</t>
  </si>
  <si>
    <t>Gestion de Ing.Autom.auto</t>
  </si>
  <si>
    <t>GESTION DE ING.A</t>
  </si>
  <si>
    <t>112</t>
  </si>
  <si>
    <t>Gestión Procesos ETT.</t>
  </si>
  <si>
    <t>Gestion de Ing.Autom.AERO</t>
  </si>
  <si>
    <t>113</t>
  </si>
  <si>
    <t>Gestion Procesos EXT.</t>
  </si>
  <si>
    <t>Gestión de Proyectos Ext.</t>
  </si>
  <si>
    <t>Gestion Montaje mecánico AUTO</t>
  </si>
  <si>
    <t>GESTION MONTAJE</t>
  </si>
  <si>
    <t>114</t>
  </si>
  <si>
    <t>Gestión Procesos AUX.</t>
  </si>
  <si>
    <t>Gestion Metrologia AUTO</t>
  </si>
  <si>
    <t>GESTION METROLOG</t>
  </si>
  <si>
    <t>Gestión Producción INT.</t>
  </si>
  <si>
    <t>Gestion Montaje mecánico AERO</t>
  </si>
  <si>
    <t>122</t>
  </si>
  <si>
    <t>Gestión Producción ETT.</t>
  </si>
  <si>
    <t>Gestion Metrologia AERO</t>
  </si>
  <si>
    <t>123</t>
  </si>
  <si>
    <t>Gestión Producción EXT.</t>
  </si>
  <si>
    <t>Gestion Instalacion ENR AUTO</t>
  </si>
  <si>
    <t>GESTION INSTALAC</t>
  </si>
  <si>
    <t>124</t>
  </si>
  <si>
    <t>Gestión Producción AUX.</t>
  </si>
  <si>
    <t>Gestion Instalacion ENR AERO</t>
  </si>
  <si>
    <t>Gestión Ing. Mec. INT.</t>
  </si>
  <si>
    <t>G004</t>
  </si>
  <si>
    <t>Gestion Robotica AUTO</t>
  </si>
  <si>
    <t>GESTION ROBOTICA</t>
  </si>
  <si>
    <t>132</t>
  </si>
  <si>
    <t>Gestión Ing. Mec. ETT.</t>
  </si>
  <si>
    <t>Gestion Robotica AERO</t>
  </si>
  <si>
    <t>133</t>
  </si>
  <si>
    <t>Gestión Ing. Mec. EXT.</t>
  </si>
  <si>
    <t>Jefes equipo Mecanizacion</t>
  </si>
  <si>
    <t>JEFES EQUIPO MEC</t>
  </si>
  <si>
    <t>134</t>
  </si>
  <si>
    <t>Gestión Ing. Mec. AUX.</t>
  </si>
  <si>
    <t>Gestion de Cálculo Mec.AUTO</t>
  </si>
  <si>
    <t>GESTION DE CÁLCU</t>
  </si>
  <si>
    <t>Gestión Ing. Aut. INT.</t>
  </si>
  <si>
    <t>Gestion de Cálculo Mec.AERO</t>
  </si>
  <si>
    <t>142</t>
  </si>
  <si>
    <t>Gestión Ing. Aut. ETT.</t>
  </si>
  <si>
    <t>Diseño Hardware AUTO</t>
  </si>
  <si>
    <t>143</t>
  </si>
  <si>
    <t>Gestión Ing. Aut. EXT.</t>
  </si>
  <si>
    <t>Diseño Hardware AERO</t>
  </si>
  <si>
    <t>144</t>
  </si>
  <si>
    <t>Gestión Ing. Aut. AUX.</t>
  </si>
  <si>
    <t>Diseño Software AUTO</t>
  </si>
  <si>
    <t>200</t>
  </si>
  <si>
    <t>Diseño Automatismos</t>
  </si>
  <si>
    <t>Diseño Software AERO</t>
  </si>
  <si>
    <t>Diseño Hardware INT.</t>
  </si>
  <si>
    <t>Diseño NR AUTO</t>
  </si>
  <si>
    <t>DISEÑO NR AUTO</t>
  </si>
  <si>
    <t>212</t>
  </si>
  <si>
    <t>Diseño Hardware ETT.</t>
  </si>
  <si>
    <t>Diseño NR AERO</t>
  </si>
  <si>
    <t>DISEÑO NR AERO</t>
  </si>
  <si>
    <t>213</t>
  </si>
  <si>
    <t>Diseño Hardware EXT.</t>
  </si>
  <si>
    <t>Diseño Robótica AUTO</t>
  </si>
  <si>
    <t>214</t>
  </si>
  <si>
    <t>Diseño Hardware AUX.</t>
  </si>
  <si>
    <t>Diseño Robótica AERO</t>
  </si>
  <si>
    <t>Diseño Software INT.</t>
  </si>
  <si>
    <t>Ingenieria mecánica (STD)</t>
  </si>
  <si>
    <t>INGENIERIA MECÁN</t>
  </si>
  <si>
    <t>222</t>
  </si>
  <si>
    <t>Diseño Software ETT.</t>
  </si>
  <si>
    <t>Ingenieria electrica (STD)</t>
  </si>
  <si>
    <t>INGENIERIA ELECT</t>
  </si>
  <si>
    <t>223</t>
  </si>
  <si>
    <t>Diseño Software EXT.</t>
  </si>
  <si>
    <t>Robcad Preestudios Basic.AUTO</t>
  </si>
  <si>
    <t>ROBCAD PREESTUDI</t>
  </si>
  <si>
    <t>224</t>
  </si>
  <si>
    <t>Diseño Software AUX.</t>
  </si>
  <si>
    <t>Robcad Preestudios Basic.AERO</t>
  </si>
  <si>
    <t>Diseño NR INT.</t>
  </si>
  <si>
    <t>Diseño NR Serra</t>
  </si>
  <si>
    <t>Robcad Verif.Tray.por zona AUT</t>
  </si>
  <si>
    <t>ROBCAD VERIF.TRA</t>
  </si>
  <si>
    <t>232</t>
  </si>
  <si>
    <t>Diseño NR ETT.</t>
  </si>
  <si>
    <t>Robcad Prog.Offline AUTO</t>
  </si>
  <si>
    <t>ROBCAD PROG.OFFL</t>
  </si>
  <si>
    <t>233</t>
  </si>
  <si>
    <t>Diseño NR EXT.</t>
  </si>
  <si>
    <t>Diseño NR Ext.</t>
  </si>
  <si>
    <t>Robcad Est.viab.Layout AUTO</t>
  </si>
  <si>
    <t>ROBCAD EST.VIAB.</t>
  </si>
  <si>
    <t>234</t>
  </si>
  <si>
    <t>Diseño NR AUX.</t>
  </si>
  <si>
    <t>PMS Gestion Proyectos AUTO</t>
  </si>
  <si>
    <t>PMS GESTION PROY</t>
  </si>
  <si>
    <t>Diseño Robótica INT.</t>
  </si>
  <si>
    <t>PMS Gestion Proyectos AERO</t>
  </si>
  <si>
    <t>242</t>
  </si>
  <si>
    <t>Diseño Robótica ETT.</t>
  </si>
  <si>
    <t>PMS Ing.Automatismos AUTO</t>
  </si>
  <si>
    <t>PMS ING.AUTOMATI</t>
  </si>
  <si>
    <t>243</t>
  </si>
  <si>
    <t>Diseño Robótica EXT.</t>
  </si>
  <si>
    <t>PMS Ing.Automatismos AERO</t>
  </si>
  <si>
    <t>244</t>
  </si>
  <si>
    <t>Diseño Robótica AUX.</t>
  </si>
  <si>
    <t>PMS Robotica AUTO</t>
  </si>
  <si>
    <t>PMS ROBOTICA AUT</t>
  </si>
  <si>
    <t>Ingeniería mecánica STD INT.</t>
  </si>
  <si>
    <t>PMS Robotica AERO</t>
  </si>
  <si>
    <t>PMS ROBOTICA AER</t>
  </si>
  <si>
    <t>252</t>
  </si>
  <si>
    <t>Ingeniería mecánica STD ETT.</t>
  </si>
  <si>
    <t>PMS Montaje Mecanico AUTO</t>
  </si>
  <si>
    <t>PMS MONTAJE MECA</t>
  </si>
  <si>
    <t>253</t>
  </si>
  <si>
    <t>Ingeniería mecánica STD EXT.</t>
  </si>
  <si>
    <t>PMS Montaje Mecanico AERO</t>
  </si>
  <si>
    <t>254</t>
  </si>
  <si>
    <t>Ingeniería mecánica STD AUX.</t>
  </si>
  <si>
    <t>METALOGRAFIA</t>
  </si>
  <si>
    <t>Ingeniería eléctrica STD INT.</t>
  </si>
  <si>
    <t>PMS Asistencia Tecnica AUTO</t>
  </si>
  <si>
    <t>PMS ASISTENCIA T</t>
  </si>
  <si>
    <t>262</t>
  </si>
  <si>
    <t>Ingeniería eléctrica STD ETT.</t>
  </si>
  <si>
    <t>PMS Asistencia Tecnica AERO</t>
  </si>
  <si>
    <t>263</t>
  </si>
  <si>
    <t>Ingeniería eléctrica STD EXT.</t>
  </si>
  <si>
    <t>Desmontaje mecanico AUTO</t>
  </si>
  <si>
    <t>DESMONTAJE MECAN</t>
  </si>
  <si>
    <t>264</t>
  </si>
  <si>
    <t>Ingeniería eléctrica STD AUX.</t>
  </si>
  <si>
    <t>Desmontaje mecanico AERO</t>
  </si>
  <si>
    <t>271</t>
  </si>
  <si>
    <t>Ingeniería electrónica STD INT</t>
  </si>
  <si>
    <t>Desmontaje electrico AUTO</t>
  </si>
  <si>
    <t>DESMONTAJE ELECT</t>
  </si>
  <si>
    <t>272</t>
  </si>
  <si>
    <t>Ingeniería electrónica STD ETT</t>
  </si>
  <si>
    <t>Desmontaje electrico AERO</t>
  </si>
  <si>
    <t>273</t>
  </si>
  <si>
    <t>Ingeniería electrónica STD EXT</t>
  </si>
  <si>
    <t>Desmontaje NR AUTO</t>
  </si>
  <si>
    <t>DESMONTAJE NR AU</t>
  </si>
  <si>
    <t>274</t>
  </si>
  <si>
    <t>Ingeniería electrónica STD AUX</t>
  </si>
  <si>
    <t>Desmontaje NR AERO</t>
  </si>
  <si>
    <t>DESMONTAJE NR AE</t>
  </si>
  <si>
    <t>300</t>
  </si>
  <si>
    <t>PMS Ing.Mecanica AUTO</t>
  </si>
  <si>
    <t>PMS ING.MECANICA</t>
  </si>
  <si>
    <t>Robcad INT.</t>
  </si>
  <si>
    <t>PMS Ing.Mecanica AERO</t>
  </si>
  <si>
    <t>312</t>
  </si>
  <si>
    <t>Robcad ETT.</t>
  </si>
  <si>
    <t>Robcad EXT.</t>
  </si>
  <si>
    <t>Tr.Planta Gestion Proy.AUTO</t>
  </si>
  <si>
    <t>TR.PLANTA GESTIO</t>
  </si>
  <si>
    <t>313</t>
  </si>
  <si>
    <t>Desplazamientos Ges.Proy.AUTO</t>
  </si>
  <si>
    <t>DESPLAZAMIENTOS</t>
  </si>
  <si>
    <t>314</t>
  </si>
  <si>
    <t>Robcad AUX.</t>
  </si>
  <si>
    <t>Tr.Planta Gestion Proy.AERO</t>
  </si>
  <si>
    <t>400</t>
  </si>
  <si>
    <t>PMS</t>
  </si>
  <si>
    <t>Trabajos Planta Ing.Autom.AUTO</t>
  </si>
  <si>
    <t>TRABAJOS PLANTA</t>
  </si>
  <si>
    <t>PMS Procesos INT.</t>
  </si>
  <si>
    <t>Desplaz.Ing.Automatism AUTO</t>
  </si>
  <si>
    <t>DESPLAZ.ING.AUTO</t>
  </si>
  <si>
    <t>412</t>
  </si>
  <si>
    <t>PMS Procesos ETT.</t>
  </si>
  <si>
    <t>Trabajos Planta Ing.Autom.AERO</t>
  </si>
  <si>
    <t>413</t>
  </si>
  <si>
    <t>PMS Procesos EXT.</t>
  </si>
  <si>
    <t>Trabajos Planta Robotica AUTO</t>
  </si>
  <si>
    <t>414</t>
  </si>
  <si>
    <t>PMS Procesos AUX.</t>
  </si>
  <si>
    <t>Desplazamientos Robotica AUTO</t>
  </si>
  <si>
    <t>PMS Automatismos INT.</t>
  </si>
  <si>
    <t>Trabajos Planta Robotica AERO</t>
  </si>
  <si>
    <t>422</t>
  </si>
  <si>
    <t>PMS Automatismos ETT.</t>
  </si>
  <si>
    <t>Trabajos Planta Mon.Mec.AUTO</t>
  </si>
  <si>
    <t>423</t>
  </si>
  <si>
    <t>PMS Automatismos EXT.</t>
  </si>
  <si>
    <t>Desplazamientos Mon.Mec.AUTO</t>
  </si>
  <si>
    <t>424</t>
  </si>
  <si>
    <t>PMS Automatismos AUX.</t>
  </si>
  <si>
    <t>Trabajos Planta Mon.Mec.AERO</t>
  </si>
  <si>
    <t>PMS Robótica INT.</t>
  </si>
  <si>
    <t>Trabajos Planta Asis.Tec.AUTO</t>
  </si>
  <si>
    <t>432</t>
  </si>
  <si>
    <t>PMS Robótica ETT.</t>
  </si>
  <si>
    <t>Desplazamientos Asis.Tec.AUTO</t>
  </si>
  <si>
    <t>433</t>
  </si>
  <si>
    <t>PMS Robótica EXT.</t>
  </si>
  <si>
    <t>Trabajos Planta Asis.Tec.AERO</t>
  </si>
  <si>
    <t>434</t>
  </si>
  <si>
    <t>PMS Robótica AUX.</t>
  </si>
  <si>
    <t>Remontaje mecanico AUTO</t>
  </si>
  <si>
    <t>REMONTAJE MECANI</t>
  </si>
  <si>
    <t>PMS Montaje Mec. INT.</t>
  </si>
  <si>
    <t>Remontaje mecanico AERO</t>
  </si>
  <si>
    <t>442</t>
  </si>
  <si>
    <t>PMS Montaje Mec. ETT.</t>
  </si>
  <si>
    <t>Remontaje electrico AUTO</t>
  </si>
  <si>
    <t>REMONTAJE ELECTR</t>
  </si>
  <si>
    <t>443</t>
  </si>
  <si>
    <t>PMS Montaje Mec. EXT.</t>
  </si>
  <si>
    <t>Desplazamientos ENR AUTO</t>
  </si>
  <si>
    <t>444</t>
  </si>
  <si>
    <t>PMS Montaje Mec. AUX.</t>
  </si>
  <si>
    <t>Remontaje electrico AERO</t>
  </si>
  <si>
    <t>PMS A.T. INT.</t>
  </si>
  <si>
    <t>Remontaje NR AUTO</t>
  </si>
  <si>
    <t>REMONTAJE NR AUT</t>
  </si>
  <si>
    <t>452</t>
  </si>
  <si>
    <t>PMS A.T. ETT.</t>
  </si>
  <si>
    <t>Remontaje NR AERO</t>
  </si>
  <si>
    <t>REMONTAJE NR AER</t>
  </si>
  <si>
    <t>453</t>
  </si>
  <si>
    <t>PMS A.T. EXT.</t>
  </si>
  <si>
    <t>Trabajos Planta Ing.Mec.AUTO</t>
  </si>
  <si>
    <t>454</t>
  </si>
  <si>
    <t>PMS A.T. AUX.</t>
  </si>
  <si>
    <t>Desplazamientos Ing.Mec.AUTO</t>
  </si>
  <si>
    <t>Desmontaje Mecánico INT.</t>
  </si>
  <si>
    <t>G006</t>
  </si>
  <si>
    <t>Trabajos Planta Ing.Mec.AERO</t>
  </si>
  <si>
    <t>462</t>
  </si>
  <si>
    <t>Desmontaje Mecánico ETT.</t>
  </si>
  <si>
    <t>Asist.Planta Ges.Proy.AUTO</t>
  </si>
  <si>
    <t>ASIST.PLANTA GES</t>
  </si>
  <si>
    <t>463</t>
  </si>
  <si>
    <t>Desmontaje Mecánico EXT.</t>
  </si>
  <si>
    <t>Asist.Planta Ges.Proy.AERO</t>
  </si>
  <si>
    <t>464</t>
  </si>
  <si>
    <t>Desmontaje Mecánico AUX.</t>
  </si>
  <si>
    <t>Asistencia Planta Ing.Aut.AUTO</t>
  </si>
  <si>
    <t>ASISTENCIA PLANT</t>
  </si>
  <si>
    <t>Desmontaje Eléctrico INT.</t>
  </si>
  <si>
    <t>Asistencia Planta Ing.Aut.AERO</t>
  </si>
  <si>
    <t>472</t>
  </si>
  <si>
    <t>Desmontaje Eléctrico ETT.</t>
  </si>
  <si>
    <t>Asistencia Planta Robotica AUT</t>
  </si>
  <si>
    <t>473</t>
  </si>
  <si>
    <t>Desmontaje Eléctrico EXT.</t>
  </si>
  <si>
    <t>Asistencia Planta Robotica AER</t>
  </si>
  <si>
    <t>474</t>
  </si>
  <si>
    <t>Desmontaje Eléctrico AUX.</t>
  </si>
  <si>
    <t>Asistencia Planta Mon.Mec.AUTO</t>
  </si>
  <si>
    <t>Desmontaje NR INT.</t>
  </si>
  <si>
    <t>Asistencia Planta Mon.Mec.AERO</t>
  </si>
  <si>
    <t>482</t>
  </si>
  <si>
    <t>Desmontaje NR ETT.</t>
  </si>
  <si>
    <t>Asistencia Planta Asis.Tec.AUT</t>
  </si>
  <si>
    <t>483</t>
  </si>
  <si>
    <t>Desmontaje NR EXT.</t>
  </si>
  <si>
    <t>Asistencia Planta Asis.Tec.AER</t>
  </si>
  <si>
    <t>484</t>
  </si>
  <si>
    <t>Desmontaje NR AUX.</t>
  </si>
  <si>
    <t>Asistencia Planta Inst.ENR AUT</t>
  </si>
  <si>
    <t>PMS Ing. Mec. INT.</t>
  </si>
  <si>
    <t>Asistencia Planta Inst.ENR AER</t>
  </si>
  <si>
    <t>492</t>
  </si>
  <si>
    <t>PMS Ing. Mec. ETT.</t>
  </si>
  <si>
    <t>Diseño Ing.Mecanica AUTO</t>
  </si>
  <si>
    <t>DISEÑO ING.MECAN</t>
  </si>
  <si>
    <t>493</t>
  </si>
  <si>
    <t>PMS Ing. Mec. EXT.</t>
  </si>
  <si>
    <t>Diseño Ing.Mecanica (AERO)</t>
  </si>
  <si>
    <t>494</t>
  </si>
  <si>
    <t>PMS Ing. Mec. AUX.</t>
  </si>
  <si>
    <t>Cálculo Mecánico AUTO</t>
  </si>
  <si>
    <t>CÁLCULO MECÁNICO</t>
  </si>
  <si>
    <t>Asist. planta Procesos INT.</t>
  </si>
  <si>
    <t>Cálculo Mecánico AERO</t>
  </si>
  <si>
    <t>5A2</t>
  </si>
  <si>
    <t>Asist. planta Procesos ETT.</t>
  </si>
  <si>
    <t>5A3</t>
  </si>
  <si>
    <t>Asist. planta Procesos EXT.</t>
  </si>
  <si>
    <t>5A4</t>
  </si>
  <si>
    <t>Asist. planta Procesos AUX.</t>
  </si>
  <si>
    <t>Ajuste</t>
  </si>
  <si>
    <t>AJUSTE</t>
  </si>
  <si>
    <t>Asist. planta OTE/Aut. INT.</t>
  </si>
  <si>
    <t>Mecanización CAM</t>
  </si>
  <si>
    <t>MECANIZACIÓN CAM</t>
  </si>
  <si>
    <t>5B2</t>
  </si>
  <si>
    <t>Asist. planta OTE/Aut. ETT.</t>
  </si>
  <si>
    <t>Pintura</t>
  </si>
  <si>
    <t>PINTURA</t>
  </si>
  <si>
    <t>5B3</t>
  </si>
  <si>
    <t>Asist. planta OTE/Aut. EXT.</t>
  </si>
  <si>
    <t>Montaje mecánico AUTO</t>
  </si>
  <si>
    <t>5B4</t>
  </si>
  <si>
    <t>Asist. planta OTE/Aut. AUX.</t>
  </si>
  <si>
    <t>Montaje mecánico AERO</t>
  </si>
  <si>
    <t>Asist. planta Robótica INT.</t>
  </si>
  <si>
    <t>Metrología 3D AUTO</t>
  </si>
  <si>
    <t>METROLOGÍA 3D AU</t>
  </si>
  <si>
    <t>5C2</t>
  </si>
  <si>
    <t>Asist. planta Robótica ETT.</t>
  </si>
  <si>
    <t>Metrología 3D AERO</t>
  </si>
  <si>
    <t>METROLOGÍA 3D AE</t>
  </si>
  <si>
    <t>5C3</t>
  </si>
  <si>
    <t>Asist. planta Robótica EXT.</t>
  </si>
  <si>
    <t>Fabric.Elec.Armarios AUTO</t>
  </si>
  <si>
    <t>FABRIC.ELEC.ARMA</t>
  </si>
  <si>
    <t>5C4</t>
  </si>
  <si>
    <t>Asist. planta Robótica AUX.</t>
  </si>
  <si>
    <t>Fabric.Elec.Armarios AERO</t>
  </si>
  <si>
    <t>Asist. planta Mont. Mec. INT.</t>
  </si>
  <si>
    <t>Instalacion Electrica AUTO</t>
  </si>
  <si>
    <t>INSTALACION ELEC</t>
  </si>
  <si>
    <t>5D2</t>
  </si>
  <si>
    <t>Asist. planta Mont. Mec. ETT.</t>
  </si>
  <si>
    <t>Instalacion Electrica AERO</t>
  </si>
  <si>
    <t>5D3</t>
  </si>
  <si>
    <t>Asist. planta Mont. Mec. EXT.</t>
  </si>
  <si>
    <t>Instalacion NR AUTO</t>
  </si>
  <si>
    <t>INSTALACION NR A</t>
  </si>
  <si>
    <t>5D4</t>
  </si>
  <si>
    <t>Asist. planta Mont. Mec. AUX.</t>
  </si>
  <si>
    <t>Instalacion NR AERO</t>
  </si>
  <si>
    <t>Asist. planta A.T. INT.</t>
  </si>
  <si>
    <t>Programacion CAM</t>
  </si>
  <si>
    <t>PROGRAMACION CAM</t>
  </si>
  <si>
    <t>5E2</t>
  </si>
  <si>
    <t>Asist. planta A.T. ETT.</t>
  </si>
  <si>
    <t>Verificación Dimensional AUTO</t>
  </si>
  <si>
    <t>VERIFICACIÓN DIM</t>
  </si>
  <si>
    <t>5E3</t>
  </si>
  <si>
    <t>Asist. planta A.T. EXT.</t>
  </si>
  <si>
    <t>Verificación Dimensional AERO</t>
  </si>
  <si>
    <t>5E4</t>
  </si>
  <si>
    <t>Asist. planta A.T. AUX.</t>
  </si>
  <si>
    <t>Montaje mecanico STD</t>
  </si>
  <si>
    <t>MONTAJE MECANICO</t>
  </si>
  <si>
    <t>5ZZ</t>
  </si>
  <si>
    <t>Asistencia en planta</t>
  </si>
  <si>
    <t>Verificacion Maquinas STD</t>
  </si>
  <si>
    <t>VERIFICACION MAQ</t>
  </si>
  <si>
    <t>500</t>
  </si>
  <si>
    <t>Trabajos en Planta</t>
  </si>
  <si>
    <t>G008</t>
  </si>
  <si>
    <t>Verificacion Electronica</t>
  </si>
  <si>
    <t>VERIFICACION ELE</t>
  </si>
  <si>
    <t>Trab. Planta Procesos INT.</t>
  </si>
  <si>
    <t>ASUNTOS SINDICALES</t>
  </si>
  <si>
    <t>ASUNTOS SINDICAL</t>
  </si>
  <si>
    <t>512</t>
  </si>
  <si>
    <t>Trab. Planta Procesos ETT.</t>
  </si>
  <si>
    <t>Horas directas improductivas</t>
  </si>
  <si>
    <t>HORAS DIRECTAS I</t>
  </si>
  <si>
    <t>513</t>
  </si>
  <si>
    <t>Trab. Planta Procesos EXT.</t>
  </si>
  <si>
    <t>VACACIONES</t>
  </si>
  <si>
    <t>Ausencia</t>
  </si>
  <si>
    <t>514</t>
  </si>
  <si>
    <t>Trab. Planta Procesos AUX.</t>
  </si>
  <si>
    <t>BAJA TEMPORAL</t>
  </si>
  <si>
    <t>Trab. Planta OTE/Auto. INT.</t>
  </si>
  <si>
    <t>ASUNTOS PARTICULARES</t>
  </si>
  <si>
    <t>ASUNTOS PARTICUL</t>
  </si>
  <si>
    <t>522</t>
  </si>
  <si>
    <t>Trab. Planta OTE/Auto. ETT.</t>
  </si>
  <si>
    <t>VISITA AL MEDICO</t>
  </si>
  <si>
    <t>523</t>
  </si>
  <si>
    <t>Trab. Planta OTE/Auto. EXT.</t>
  </si>
  <si>
    <t>CURSILLOS EXTERIORES</t>
  </si>
  <si>
    <t>CURSILLOS EXTERI</t>
  </si>
  <si>
    <t>524</t>
  </si>
  <si>
    <t>Trab. Planta OTE/Auto. AUX.</t>
  </si>
  <si>
    <t>Trab. Planta Robótica INT.</t>
  </si>
  <si>
    <t>REGULACIÓN DE EMPLEO</t>
  </si>
  <si>
    <t>REGULACIÓN EMPL</t>
  </si>
  <si>
    <t>532</t>
  </si>
  <si>
    <t>Trab. Planta Robótica ETT.</t>
  </si>
  <si>
    <t>533</t>
  </si>
  <si>
    <t>Trab. Planta Robótica EXT.</t>
  </si>
  <si>
    <t>534</t>
  </si>
  <si>
    <t>Trab. Planta Robótica AUX.</t>
  </si>
  <si>
    <t>Trab. Planta Mont. Mec. INT.</t>
  </si>
  <si>
    <t>542</t>
  </si>
  <si>
    <t>Trab. Planta Mont. Mec. ETT.</t>
  </si>
  <si>
    <t>543</t>
  </si>
  <si>
    <t>Trab. Planta Mont. Mec. EXT.</t>
  </si>
  <si>
    <t>544</t>
  </si>
  <si>
    <t>Trab. Planta Mont. Mec. AUX.</t>
  </si>
  <si>
    <t>Trab. Planta A.T. INT.</t>
  </si>
  <si>
    <t>552</t>
  </si>
  <si>
    <t>Trab. Planta A.T. ETT.</t>
  </si>
  <si>
    <t>553</t>
  </si>
  <si>
    <t>Trab. Planta A.T. EXT.</t>
  </si>
  <si>
    <t>554</t>
  </si>
  <si>
    <t>Trab. Planta A.T. AUX.</t>
  </si>
  <si>
    <t>Remontaje Mecánico INT.</t>
  </si>
  <si>
    <t>G007</t>
  </si>
  <si>
    <t>562</t>
  </si>
  <si>
    <t>Remontaje Mecánico ETT.</t>
  </si>
  <si>
    <t>563</t>
  </si>
  <si>
    <t>Remontaje Mecánico EXT.</t>
  </si>
  <si>
    <t>564</t>
  </si>
  <si>
    <t>Remontaje Mecánico AUX.</t>
  </si>
  <si>
    <t>Remontaje Eléctrico INT.</t>
  </si>
  <si>
    <t>572</t>
  </si>
  <si>
    <t>Remontaje Eléctrico ETT.</t>
  </si>
  <si>
    <t>573</t>
  </si>
  <si>
    <t>Remontaje Eléctrico EXT.</t>
  </si>
  <si>
    <t>574</t>
  </si>
  <si>
    <t>Remontaje Eléctrico AUX.</t>
  </si>
  <si>
    <t>Remontaje NR INT.</t>
  </si>
  <si>
    <t>582</t>
  </si>
  <si>
    <t>Remontaje NR ETT.</t>
  </si>
  <si>
    <t>583</t>
  </si>
  <si>
    <t>Remontaje NR EXT.</t>
  </si>
  <si>
    <t>584</t>
  </si>
  <si>
    <t>Remontaje NR AUX.</t>
  </si>
  <si>
    <t>Trab. planta Ing. Mec. INT</t>
  </si>
  <si>
    <t>592</t>
  </si>
  <si>
    <t>Trab. planta Ing. Mec. ETT</t>
  </si>
  <si>
    <t>593</t>
  </si>
  <si>
    <t>Trab. planta Ing. Mec. EXT</t>
  </si>
  <si>
    <t>594</t>
  </si>
  <si>
    <t>Trab. planta Ing. Mec. AUX</t>
  </si>
  <si>
    <t>7A1</t>
  </si>
  <si>
    <t>Fabricación eléctrica STD INT.</t>
  </si>
  <si>
    <t>7A2</t>
  </si>
  <si>
    <t>Fabricación eléctrica STD ETT.</t>
  </si>
  <si>
    <t>7A3</t>
  </si>
  <si>
    <t>Fabricación eléctrica STD EXT.</t>
  </si>
  <si>
    <t>7A4</t>
  </si>
  <si>
    <t>Fabricación eléctrica STD AUX.</t>
  </si>
  <si>
    <t>7B1</t>
  </si>
  <si>
    <t>Montaje trafos STD INT.</t>
  </si>
  <si>
    <t>7B2</t>
  </si>
  <si>
    <t>Montaje trafos STD ETT.</t>
  </si>
  <si>
    <t>7B3</t>
  </si>
  <si>
    <t>Montaje trafos STD EXT.</t>
  </si>
  <si>
    <t>7B4</t>
  </si>
  <si>
    <t>Montaje trafos STD AUX.</t>
  </si>
  <si>
    <t>Montaje mecánico STD INT.</t>
  </si>
  <si>
    <t>7C2</t>
  </si>
  <si>
    <t>Montaje mecánico STD ETT.</t>
  </si>
  <si>
    <t>7C3</t>
  </si>
  <si>
    <t>Montaje mecánico STD EXT.</t>
  </si>
  <si>
    <t>7C4</t>
  </si>
  <si>
    <t>Montaje mecánico STD AUX.</t>
  </si>
  <si>
    <t>7C5</t>
  </si>
  <si>
    <t>Montaje mecánico STD Comun</t>
  </si>
  <si>
    <t>Instalación eléctrica STD INT.</t>
  </si>
  <si>
    <t>7D2</t>
  </si>
  <si>
    <t>Instalación eléctrica STD ETT.</t>
  </si>
  <si>
    <t>7D3</t>
  </si>
  <si>
    <t>Instalación eléctrica STD EXT.</t>
  </si>
  <si>
    <t>7D4</t>
  </si>
  <si>
    <t>Instalación eléctrica STD AUX.</t>
  </si>
  <si>
    <t>Verificación máquinas STD INT.</t>
  </si>
  <si>
    <t>7E2</t>
  </si>
  <si>
    <t>Verificación máquinas STD ETT.</t>
  </si>
  <si>
    <t>7E3</t>
  </si>
  <si>
    <t>Verificación máquinas STD EXT.</t>
  </si>
  <si>
    <t>7E4</t>
  </si>
  <si>
    <t>Verificación máquinas STD AUX.</t>
  </si>
  <si>
    <t>Ing. Mecánica-Diseño INT.</t>
  </si>
  <si>
    <t>712</t>
  </si>
  <si>
    <t>Ing. Mecánica-Diseño ETT.</t>
  </si>
  <si>
    <t>713</t>
  </si>
  <si>
    <t>Ing. Mecánica-Diseño EXT.</t>
  </si>
  <si>
    <t>714</t>
  </si>
  <si>
    <t>Ing. Mecánica-Diseño AUX.</t>
  </si>
  <si>
    <t>Fabricación Mecánica INT.</t>
  </si>
  <si>
    <t>722</t>
  </si>
  <si>
    <t>Fabricación Mecánica ETT.</t>
  </si>
  <si>
    <t>723</t>
  </si>
  <si>
    <t>Fabricación Mecánica EXT.</t>
  </si>
  <si>
    <t>724</t>
  </si>
  <si>
    <t>Fabricación Mecánica AUX.</t>
  </si>
  <si>
    <t>Montaje Mecánico INT.</t>
  </si>
  <si>
    <t>732</t>
  </si>
  <si>
    <t>Montaje Mecánico ETT.</t>
  </si>
  <si>
    <t>733</t>
  </si>
  <si>
    <t>Montaje Mecánico EXT.</t>
  </si>
  <si>
    <t>734</t>
  </si>
  <si>
    <t>Montaje Mecánico AUX.</t>
  </si>
  <si>
    <t>740</t>
  </si>
  <si>
    <t>Metrología Serra</t>
  </si>
  <si>
    <t>Metrología INT.</t>
  </si>
  <si>
    <t>742</t>
  </si>
  <si>
    <t>Metrología ETT.</t>
  </si>
  <si>
    <t>743</t>
  </si>
  <si>
    <t>Metrología EXT.</t>
  </si>
  <si>
    <t>Metrología Ext.</t>
  </si>
  <si>
    <t>744</t>
  </si>
  <si>
    <t>Metrología AUX.</t>
  </si>
  <si>
    <t>Fabric. Elétr. Armarios INT.</t>
  </si>
  <si>
    <t>Fabricación Eléctrica Serra</t>
  </si>
  <si>
    <t>752</t>
  </si>
  <si>
    <t>Fabric. Elétr. Armarios ETT.</t>
  </si>
  <si>
    <t>753</t>
  </si>
  <si>
    <t>Fabric. Elétr. Armarios EXT.</t>
  </si>
  <si>
    <t>754</t>
  </si>
  <si>
    <t>Fabric. Elétr. Armarios AUX.</t>
  </si>
  <si>
    <t>Instalación Eléctrica INT.</t>
  </si>
  <si>
    <t>762</t>
  </si>
  <si>
    <t>Instalación Eléctrica ETT.</t>
  </si>
  <si>
    <t>763</t>
  </si>
  <si>
    <t>Instalación Eléctrica EXT.</t>
  </si>
  <si>
    <t>764</t>
  </si>
  <si>
    <t>Instalación Eléctrica AUX.</t>
  </si>
  <si>
    <t>Instalación NR INT.</t>
  </si>
  <si>
    <t>772</t>
  </si>
  <si>
    <t>Instalación NR ETT.</t>
  </si>
  <si>
    <t>773</t>
  </si>
  <si>
    <t>Instalación NR EXT.</t>
  </si>
  <si>
    <t>774</t>
  </si>
  <si>
    <t>Instalación NR AUX.</t>
  </si>
  <si>
    <t>781</t>
  </si>
  <si>
    <t>Fabricación CNC INT.</t>
  </si>
  <si>
    <t>782</t>
  </si>
  <si>
    <t>Fabricación CNC ETT.</t>
  </si>
  <si>
    <t>783</t>
  </si>
  <si>
    <t>Fabricación CNC EXT.</t>
  </si>
  <si>
    <t>784</t>
  </si>
  <si>
    <t>Fabricación CNC AUX.</t>
  </si>
  <si>
    <t>Proy.</t>
  </si>
  <si>
    <t>Artículo</t>
  </si>
  <si>
    <t>Orden</t>
  </si>
  <si>
    <t>Ord</t>
  </si>
  <si>
    <t>31173</t>
  </si>
  <si>
    <t>66001</t>
  </si>
  <si>
    <t>670941</t>
  </si>
  <si>
    <t>66002</t>
  </si>
  <si>
    <t>66003</t>
  </si>
  <si>
    <t>66004</t>
  </si>
  <si>
    <t>385445</t>
  </si>
  <si>
    <t>66005</t>
  </si>
  <si>
    <t>385466</t>
  </si>
  <si>
    <t>66006</t>
  </si>
  <si>
    <t>385512</t>
  </si>
  <si>
    <t>66007</t>
  </si>
  <si>
    <t>385530</t>
  </si>
  <si>
    <t>66008</t>
  </si>
  <si>
    <t>385596</t>
  </si>
  <si>
    <t>66009</t>
  </si>
  <si>
    <t>153308</t>
  </si>
  <si>
    <t>66010</t>
  </si>
  <si>
    <t>66011</t>
  </si>
  <si>
    <t>385646</t>
  </si>
  <si>
    <t>66012</t>
  </si>
  <si>
    <t>385671</t>
  </si>
  <si>
    <t>66014</t>
  </si>
  <si>
    <t>672800</t>
  </si>
  <si>
    <t>66013</t>
  </si>
  <si>
    <t>385749</t>
  </si>
  <si>
    <t>66015</t>
  </si>
  <si>
    <t>44000</t>
  </si>
  <si>
    <t>475868</t>
  </si>
  <si>
    <t>66016</t>
  </si>
  <si>
    <t>385783</t>
  </si>
  <si>
    <t>66017</t>
  </si>
  <si>
    <t>385787</t>
  </si>
  <si>
    <t>66018</t>
  </si>
  <si>
    <t>66020</t>
  </si>
  <si>
    <t>385797</t>
  </si>
  <si>
    <t>66021</t>
  </si>
  <si>
    <t>66024</t>
  </si>
  <si>
    <t>673221</t>
  </si>
  <si>
    <t>66025</t>
  </si>
  <si>
    <t>66022</t>
  </si>
  <si>
    <t>385804</t>
  </si>
  <si>
    <t>66023</t>
  </si>
  <si>
    <t>66026</t>
  </si>
  <si>
    <t>385807</t>
  </si>
  <si>
    <t>66019</t>
  </si>
  <si>
    <t>475991</t>
  </si>
  <si>
    <t>66027</t>
  </si>
  <si>
    <t>385814</t>
  </si>
  <si>
    <t>66028</t>
  </si>
  <si>
    <t>476031</t>
  </si>
  <si>
    <t>144772</t>
  </si>
  <si>
    <t>377911</t>
  </si>
  <si>
    <t>144775</t>
  </si>
  <si>
    <t>66034</t>
  </si>
  <si>
    <t>673520</t>
  </si>
  <si>
    <t>66035</t>
  </si>
  <si>
    <t>66033</t>
  </si>
  <si>
    <t>673522</t>
  </si>
  <si>
    <t>66032</t>
  </si>
  <si>
    <t>673523</t>
  </si>
  <si>
    <t>44001</t>
  </si>
  <si>
    <t>476115</t>
  </si>
  <si>
    <t>66040</t>
  </si>
  <si>
    <t>385821</t>
  </si>
  <si>
    <t>66037</t>
  </si>
  <si>
    <t>385820</t>
  </si>
  <si>
    <t>66038</t>
  </si>
  <si>
    <t>66039</t>
  </si>
  <si>
    <t>99000</t>
  </si>
  <si>
    <t>673340</t>
  </si>
  <si>
    <t>99001</t>
  </si>
  <si>
    <t>99002</t>
  </si>
  <si>
    <t>99003</t>
  </si>
  <si>
    <t>99004</t>
  </si>
  <si>
    <t>99005</t>
  </si>
  <si>
    <t>99006</t>
  </si>
  <si>
    <t>99007</t>
  </si>
  <si>
    <t>66029</t>
  </si>
  <si>
    <t>153382</t>
  </si>
  <si>
    <t>66030</t>
  </si>
  <si>
    <t>153381</t>
  </si>
  <si>
    <t>66031</t>
  </si>
  <si>
    <t>44003</t>
  </si>
  <si>
    <t>673711</t>
  </si>
  <si>
    <t>44002</t>
  </si>
  <si>
    <t>476173</t>
  </si>
  <si>
    <t>66042</t>
  </si>
  <si>
    <t>476185</t>
  </si>
  <si>
    <t>66043</t>
  </si>
  <si>
    <t>99008</t>
  </si>
  <si>
    <t>673578</t>
  </si>
  <si>
    <t>99009</t>
  </si>
  <si>
    <t>673569</t>
  </si>
  <si>
    <t>66044</t>
  </si>
  <si>
    <t>385843</t>
  </si>
  <si>
    <t>66045</t>
  </si>
  <si>
    <t>385847</t>
  </si>
  <si>
    <t>66046</t>
  </si>
  <si>
    <t>385844</t>
  </si>
  <si>
    <t>44004</t>
  </si>
  <si>
    <t>476253</t>
  </si>
  <si>
    <t>44006</t>
  </si>
  <si>
    <t>476276</t>
  </si>
  <si>
    <t>137577</t>
  </si>
  <si>
    <t>153406</t>
  </si>
  <si>
    <t>99010</t>
  </si>
  <si>
    <t>378029</t>
  </si>
  <si>
    <t>142951</t>
  </si>
  <si>
    <t>44005</t>
  </si>
  <si>
    <t>476279</t>
  </si>
  <si>
    <t>66047</t>
  </si>
  <si>
    <t>385851</t>
  </si>
  <si>
    <t>66048</t>
  </si>
  <si>
    <t>673851</t>
  </si>
  <si>
    <t>44008</t>
  </si>
  <si>
    <t>673871</t>
  </si>
  <si>
    <t>44007</t>
  </si>
  <si>
    <t>673870</t>
  </si>
  <si>
    <t>66050</t>
  </si>
  <si>
    <t>385879</t>
  </si>
  <si>
    <t>66049</t>
  </si>
  <si>
    <t>385880</t>
  </si>
  <si>
    <t>66051</t>
  </si>
  <si>
    <t>385883</t>
  </si>
  <si>
    <t>99011</t>
  </si>
  <si>
    <t>378117</t>
  </si>
  <si>
    <t>66052</t>
  </si>
  <si>
    <t>385890</t>
  </si>
  <si>
    <t>44009</t>
  </si>
  <si>
    <t>476473</t>
  </si>
  <si>
    <t>66053</t>
  </si>
  <si>
    <t>385907</t>
  </si>
  <si>
    <t>99013</t>
  </si>
  <si>
    <t>674157</t>
  </si>
  <si>
    <t>99012</t>
  </si>
  <si>
    <t>674156</t>
  </si>
  <si>
    <t>126041</t>
  </si>
  <si>
    <t>144927</t>
  </si>
  <si>
    <t>378115</t>
  </si>
  <si>
    <t>66054</t>
  </si>
  <si>
    <t>385925</t>
  </si>
  <si>
    <t>66055</t>
  </si>
  <si>
    <t>385932</t>
  </si>
  <si>
    <t>66058</t>
  </si>
  <si>
    <t>385934</t>
  </si>
  <si>
    <t>66056</t>
  </si>
  <si>
    <t>385931</t>
  </si>
  <si>
    <t>66057</t>
  </si>
  <si>
    <t>385933</t>
  </si>
  <si>
    <t>44010</t>
  </si>
  <si>
    <t>476583</t>
  </si>
  <si>
    <t>66059</t>
  </si>
  <si>
    <t>385942</t>
  </si>
  <si>
    <t>138559</t>
  </si>
  <si>
    <t>378394</t>
  </si>
  <si>
    <t>66060</t>
  </si>
  <si>
    <t>674782</t>
  </si>
  <si>
    <t>66061</t>
  </si>
  <si>
    <t>476895</t>
  </si>
  <si>
    <t>66062</t>
  </si>
  <si>
    <t>386070</t>
  </si>
  <si>
    <t>66063</t>
  </si>
  <si>
    <t>386071</t>
  </si>
  <si>
    <t>66067</t>
  </si>
  <si>
    <t>386081</t>
  </si>
  <si>
    <t>99014</t>
  </si>
  <si>
    <t>378589</t>
  </si>
  <si>
    <t>99015</t>
  </si>
  <si>
    <t>378631</t>
  </si>
  <si>
    <t>66068</t>
  </si>
  <si>
    <t>386089</t>
  </si>
  <si>
    <t>66070</t>
  </si>
  <si>
    <t>386116</t>
  </si>
  <si>
    <t>44011</t>
  </si>
  <si>
    <t>476973</t>
  </si>
  <si>
    <t>66064</t>
  </si>
  <si>
    <t>386072</t>
  </si>
  <si>
    <t>66069</t>
  </si>
  <si>
    <t>476988</t>
  </si>
  <si>
    <t>141606</t>
  </si>
  <si>
    <t>153429</t>
  </si>
  <si>
    <t>141690</t>
  </si>
  <si>
    <t>142591</t>
  </si>
  <si>
    <t>142623</t>
  </si>
  <si>
    <t>145013</t>
  </si>
  <si>
    <t>141296</t>
  </si>
  <si>
    <t>675050</t>
  </si>
  <si>
    <t>122379</t>
  </si>
  <si>
    <t>675054</t>
  </si>
  <si>
    <t>126507</t>
  </si>
  <si>
    <t>145713</t>
  </si>
  <si>
    <t>99016</t>
  </si>
  <si>
    <t>675055</t>
  </si>
  <si>
    <t>99017</t>
  </si>
  <si>
    <t>138104</t>
  </si>
  <si>
    <t>100749</t>
  </si>
  <si>
    <t>140294</t>
  </si>
  <si>
    <t>153434</t>
  </si>
  <si>
    <t>130908</t>
  </si>
  <si>
    <t>675060</t>
  </si>
  <si>
    <t>66065</t>
  </si>
  <si>
    <t>66074</t>
  </si>
  <si>
    <t>153458</t>
  </si>
  <si>
    <t>66075</t>
  </si>
  <si>
    <t>66076</t>
  </si>
  <si>
    <t>66077</t>
  </si>
  <si>
    <t>66080</t>
  </si>
  <si>
    <t>66081</t>
  </si>
  <si>
    <t>66086</t>
  </si>
  <si>
    <t>386182</t>
  </si>
  <si>
    <t>145895</t>
  </si>
  <si>
    <t>378743</t>
  </si>
  <si>
    <t>145896</t>
  </si>
  <si>
    <t>118909</t>
  </si>
  <si>
    <t>378750</t>
  </si>
  <si>
    <t>144474</t>
  </si>
  <si>
    <t>113838</t>
  </si>
  <si>
    <t>144399</t>
  </si>
  <si>
    <t>144401</t>
  </si>
  <si>
    <t>477086</t>
  </si>
  <si>
    <t>44012</t>
  </si>
  <si>
    <t>477115</t>
  </si>
  <si>
    <t>66087</t>
  </si>
  <si>
    <t>386191</t>
  </si>
  <si>
    <t>66088</t>
  </si>
  <si>
    <t>386194</t>
  </si>
  <si>
    <t>66092</t>
  </si>
  <si>
    <t>386196</t>
  </si>
  <si>
    <t>44013</t>
  </si>
  <si>
    <t>477148</t>
  </si>
  <si>
    <t>66093</t>
  </si>
  <si>
    <t>477146</t>
  </si>
  <si>
    <t>66094</t>
  </si>
  <si>
    <t>386226</t>
  </si>
  <si>
    <t>66095</t>
  </si>
  <si>
    <t>477314</t>
  </si>
  <si>
    <t>66036</t>
  </si>
  <si>
    <t>673599</t>
  </si>
  <si>
    <t>66096</t>
  </si>
  <si>
    <t>386374</t>
  </si>
  <si>
    <t>31179</t>
  </si>
  <si>
    <t>55000</t>
  </si>
  <si>
    <t>671835</t>
  </si>
  <si>
    <t>672059</t>
  </si>
  <si>
    <t>133258</t>
  </si>
  <si>
    <t>671976</t>
  </si>
  <si>
    <t>99120</t>
  </si>
  <si>
    <t>377243</t>
  </si>
  <si>
    <t>385590</t>
  </si>
  <si>
    <t>672062</t>
  </si>
  <si>
    <t>377138</t>
  </si>
  <si>
    <t>377245</t>
  </si>
  <si>
    <t>141691</t>
  </si>
  <si>
    <t>141783</t>
  </si>
  <si>
    <t>140451</t>
  </si>
  <si>
    <t>145339</t>
  </si>
  <si>
    <t>114350</t>
  </si>
  <si>
    <t>126499</t>
  </si>
  <si>
    <t>136188</t>
  </si>
  <si>
    <t>136191</t>
  </si>
  <si>
    <t>137289</t>
  </si>
  <si>
    <t>137292</t>
  </si>
  <si>
    <t>141396</t>
  </si>
  <si>
    <t>141591</t>
  </si>
  <si>
    <t>141599</t>
  </si>
  <si>
    <t>141609</t>
  </si>
  <si>
    <t>141612</t>
  </si>
  <si>
    <t>141620</t>
  </si>
  <si>
    <t>142556</t>
  </si>
  <si>
    <t>142592</t>
  </si>
  <si>
    <t>142593</t>
  </si>
  <si>
    <t>142596</t>
  </si>
  <si>
    <t>99119</t>
  </si>
  <si>
    <t>377271</t>
  </si>
  <si>
    <t>111610</t>
  </si>
  <si>
    <t>377247</t>
  </si>
  <si>
    <t>118552</t>
  </si>
  <si>
    <t>124803</t>
  </si>
  <si>
    <t>140752</t>
  </si>
  <si>
    <t>140753</t>
  </si>
  <si>
    <t>142228</t>
  </si>
  <si>
    <t>144960</t>
  </si>
  <si>
    <t>145335</t>
  </si>
  <si>
    <t>145336</t>
  </si>
  <si>
    <t>145337</t>
  </si>
  <si>
    <t>145338</t>
  </si>
  <si>
    <t>142247</t>
  </si>
  <si>
    <t>142589</t>
  </si>
  <si>
    <t>135211</t>
  </si>
  <si>
    <t>377251</t>
  </si>
  <si>
    <t>127248</t>
  </si>
  <si>
    <t>129840</t>
  </si>
  <si>
    <t>110859</t>
  </si>
  <si>
    <t>377270</t>
  </si>
  <si>
    <t>99118</t>
  </si>
  <si>
    <t>377274</t>
  </si>
  <si>
    <t>141685</t>
  </si>
  <si>
    <t>377253</t>
  </si>
  <si>
    <t>128808</t>
  </si>
  <si>
    <t>475172</t>
  </si>
  <si>
    <t>99026</t>
  </si>
  <si>
    <t>141249</t>
  </si>
  <si>
    <t>377233</t>
  </si>
  <si>
    <t>141762</t>
  </si>
  <si>
    <t>672127</t>
  </si>
  <si>
    <t>135745</t>
  </si>
  <si>
    <t>99112</t>
  </si>
  <si>
    <t>377237</t>
  </si>
  <si>
    <t>99105</t>
  </si>
  <si>
    <t>672087</t>
  </si>
  <si>
    <t>99113</t>
  </si>
  <si>
    <t>113692</t>
  </si>
  <si>
    <t>475137</t>
  </si>
  <si>
    <t>113027</t>
  </si>
  <si>
    <t>99102</t>
  </si>
  <si>
    <t>672084</t>
  </si>
  <si>
    <t>99103</t>
  </si>
  <si>
    <t>377232</t>
  </si>
  <si>
    <t>99064</t>
  </si>
  <si>
    <t>99065</t>
  </si>
  <si>
    <t>99066</t>
  </si>
  <si>
    <t>99021</t>
  </si>
  <si>
    <t>672039</t>
  </si>
  <si>
    <t>99022</t>
  </si>
  <si>
    <t>99023</t>
  </si>
  <si>
    <t>99024</t>
  </si>
  <si>
    <t>99025</t>
  </si>
  <si>
    <t>99114</t>
  </si>
  <si>
    <t>672095</t>
  </si>
  <si>
    <t>672098</t>
  </si>
  <si>
    <t>143742</t>
  </si>
  <si>
    <t>377212</t>
  </si>
  <si>
    <t>144556</t>
  </si>
  <si>
    <t>143596</t>
  </si>
  <si>
    <t>672213</t>
  </si>
  <si>
    <t>143597</t>
  </si>
  <si>
    <t>131421</t>
  </si>
  <si>
    <t>124083</t>
  </si>
  <si>
    <t>672211</t>
  </si>
  <si>
    <t>143413</t>
  </si>
  <si>
    <t>99092</t>
  </si>
  <si>
    <t>672212</t>
  </si>
  <si>
    <t>130107</t>
  </si>
  <si>
    <t>99140</t>
  </si>
  <si>
    <t>672118</t>
  </si>
  <si>
    <t>136070</t>
  </si>
  <si>
    <t>136071</t>
  </si>
  <si>
    <t>141385</t>
  </si>
  <si>
    <t>142590</t>
  </si>
  <si>
    <t>144636</t>
  </si>
  <si>
    <t>145341</t>
  </si>
  <si>
    <t>132456</t>
  </si>
  <si>
    <t>99121</t>
  </si>
  <si>
    <t>377246</t>
  </si>
  <si>
    <t>99122</t>
  </si>
  <si>
    <t>99123</t>
  </si>
  <si>
    <t>99124</t>
  </si>
  <si>
    <t>140931</t>
  </si>
  <si>
    <t>377252</t>
  </si>
  <si>
    <t>140932</t>
  </si>
  <si>
    <t>141439</t>
  </si>
  <si>
    <t>141440</t>
  </si>
  <si>
    <t>672081</t>
  </si>
  <si>
    <t>99067</t>
  </si>
  <si>
    <t>99068</t>
  </si>
  <si>
    <t>99069</t>
  </si>
  <si>
    <t>99070</t>
  </si>
  <si>
    <t>99071</t>
  </si>
  <si>
    <t>99072</t>
  </si>
  <si>
    <t>99073</t>
  </si>
  <si>
    <t>99074</t>
  </si>
  <si>
    <t>99075</t>
  </si>
  <si>
    <t>99076</t>
  </si>
  <si>
    <t>99077</t>
  </si>
  <si>
    <t>99078</t>
  </si>
  <si>
    <t>99079</t>
  </si>
  <si>
    <t>99080</t>
  </si>
  <si>
    <t>99081</t>
  </si>
  <si>
    <t>99082</t>
  </si>
  <si>
    <t>99083</t>
  </si>
  <si>
    <t>99084</t>
  </si>
  <si>
    <t>99085</t>
  </si>
  <si>
    <t>99086</t>
  </si>
  <si>
    <t>99087</t>
  </si>
  <si>
    <t>99088</t>
  </si>
  <si>
    <t>99089</t>
  </si>
  <si>
    <t>99090</t>
  </si>
  <si>
    <t>123730</t>
  </si>
  <si>
    <t>672082</t>
  </si>
  <si>
    <t>129220</t>
  </si>
  <si>
    <t>475159</t>
  </si>
  <si>
    <t>672126</t>
  </si>
  <si>
    <t>99126</t>
  </si>
  <si>
    <t>377250</t>
  </si>
  <si>
    <t>99127</t>
  </si>
  <si>
    <t>99130</t>
  </si>
  <si>
    <t>385602</t>
  </si>
  <si>
    <t>140293</t>
  </si>
  <si>
    <t>99104</t>
  </si>
  <si>
    <t>672094</t>
  </si>
  <si>
    <t>143739</t>
  </si>
  <si>
    <t>144374</t>
  </si>
  <si>
    <t>99051</t>
  </si>
  <si>
    <t>385585</t>
  </si>
  <si>
    <t>99052</t>
  </si>
  <si>
    <t>99053</t>
  </si>
  <si>
    <t>99054</t>
  </si>
  <si>
    <t>99055</t>
  </si>
  <si>
    <t>21020.00.400.010</t>
  </si>
  <si>
    <t>887783</t>
  </si>
  <si>
    <t>138466</t>
  </si>
  <si>
    <t>672100</t>
  </si>
  <si>
    <t>138467</t>
  </si>
  <si>
    <t>138502</t>
  </si>
  <si>
    <t>672085</t>
  </si>
  <si>
    <t>99106</t>
  </si>
  <si>
    <t>99109</t>
  </si>
  <si>
    <t>99108</t>
  </si>
  <si>
    <t>136331</t>
  </si>
  <si>
    <t>131455</t>
  </si>
  <si>
    <t>126224</t>
  </si>
  <si>
    <t>672090</t>
  </si>
  <si>
    <t>126225</t>
  </si>
  <si>
    <t>101609</t>
  </si>
  <si>
    <t>138387</t>
  </si>
  <si>
    <t>131410</t>
  </si>
  <si>
    <t>142171</t>
  </si>
  <si>
    <t>130905</t>
  </si>
  <si>
    <t>140833</t>
  </si>
  <si>
    <t>141833</t>
  </si>
  <si>
    <t>141834</t>
  </si>
  <si>
    <t>141040</t>
  </si>
  <si>
    <t>377284</t>
  </si>
  <si>
    <t>141043</t>
  </si>
  <si>
    <t>141045</t>
  </si>
  <si>
    <t>141046</t>
  </si>
  <si>
    <t>141049</t>
  </si>
  <si>
    <t>141047</t>
  </si>
  <si>
    <t>141447</t>
  </si>
  <si>
    <t>141448</t>
  </si>
  <si>
    <t>100706</t>
  </si>
  <si>
    <t>475173</t>
  </si>
  <si>
    <t>100712</t>
  </si>
  <si>
    <t>100709</t>
  </si>
  <si>
    <t>99161</t>
  </si>
  <si>
    <t>377304</t>
  </si>
  <si>
    <t>117525</t>
  </si>
  <si>
    <t>138880</t>
  </si>
  <si>
    <t>141429</t>
  </si>
  <si>
    <t>141618</t>
  </si>
  <si>
    <t>141621</t>
  </si>
  <si>
    <t>142625</t>
  </si>
  <si>
    <t>113121</t>
  </si>
  <si>
    <t>377298</t>
  </si>
  <si>
    <t>122178</t>
  </si>
  <si>
    <t>144073</t>
  </si>
  <si>
    <t>144506</t>
  </si>
  <si>
    <t>144657</t>
  </si>
  <si>
    <t>110896</t>
  </si>
  <si>
    <t>143712</t>
  </si>
  <si>
    <t>143753</t>
  </si>
  <si>
    <t>143754</t>
  </si>
  <si>
    <t>143755</t>
  </si>
  <si>
    <t>143756</t>
  </si>
  <si>
    <t>143767</t>
  </si>
  <si>
    <t>144162</t>
  </si>
  <si>
    <t>144912</t>
  </si>
  <si>
    <t>377299</t>
  </si>
  <si>
    <t>143252</t>
  </si>
  <si>
    <t>377296</t>
  </si>
  <si>
    <t>143486</t>
  </si>
  <si>
    <t>672184</t>
  </si>
  <si>
    <t>142432</t>
  </si>
  <si>
    <t>672170</t>
  </si>
  <si>
    <t>109211</t>
  </si>
  <si>
    <t>112110</t>
  </si>
  <si>
    <t>116699</t>
  </si>
  <si>
    <t>116596</t>
  </si>
  <si>
    <t>116470</t>
  </si>
  <si>
    <t>116471</t>
  </si>
  <si>
    <t>116238</t>
  </si>
  <si>
    <t>111097</t>
  </si>
  <si>
    <t>111098</t>
  </si>
  <si>
    <t>104253</t>
  </si>
  <si>
    <t>104286</t>
  </si>
  <si>
    <t>99099</t>
  </si>
  <si>
    <t>672088</t>
  </si>
  <si>
    <t>99100</t>
  </si>
  <si>
    <t>377335</t>
  </si>
  <si>
    <t>145331</t>
  </si>
  <si>
    <t>377303</t>
  </si>
  <si>
    <t>99027</t>
  </si>
  <si>
    <t>672153</t>
  </si>
  <si>
    <t>109596</t>
  </si>
  <si>
    <t>113144</t>
  </si>
  <si>
    <t>116203</t>
  </si>
  <si>
    <t>103131</t>
  </si>
  <si>
    <t>672078</t>
  </si>
  <si>
    <t>122992</t>
  </si>
  <si>
    <t>122993</t>
  </si>
  <si>
    <t>99110</t>
  </si>
  <si>
    <t>99111</t>
  </si>
  <si>
    <t>99165</t>
  </si>
  <si>
    <t>672181</t>
  </si>
  <si>
    <t>377308</t>
  </si>
  <si>
    <t>99171</t>
  </si>
  <si>
    <t>138727</t>
  </si>
  <si>
    <t>99035</t>
  </si>
  <si>
    <t>99141</t>
  </si>
  <si>
    <t>672113</t>
  </si>
  <si>
    <t>99159</t>
  </si>
  <si>
    <t>377297</t>
  </si>
  <si>
    <t>99160</t>
  </si>
  <si>
    <t>145354</t>
  </si>
  <si>
    <t>135896</t>
  </si>
  <si>
    <t>145362</t>
  </si>
  <si>
    <t>672156</t>
  </si>
  <si>
    <t>111306</t>
  </si>
  <si>
    <t>475158</t>
  </si>
  <si>
    <t>139197</t>
  </si>
  <si>
    <t>133629</t>
  </si>
  <si>
    <t>377249</t>
  </si>
  <si>
    <t>141411</t>
  </si>
  <si>
    <t>141412</t>
  </si>
  <si>
    <t>141413</t>
  </si>
  <si>
    <t>141809</t>
  </si>
  <si>
    <t>99093</t>
  </si>
  <si>
    <t>99095</t>
  </si>
  <si>
    <t>99097</t>
  </si>
  <si>
    <t>99125</t>
  </si>
  <si>
    <t>99128</t>
  </si>
  <si>
    <t>99129</t>
  </si>
  <si>
    <t>137272</t>
  </si>
  <si>
    <t>672165</t>
  </si>
  <si>
    <t>99094</t>
  </si>
  <si>
    <t>99096</t>
  </si>
  <si>
    <t>C03/04M040-6-00</t>
  </si>
  <si>
    <t>764731</t>
  </si>
  <si>
    <t>C03/04M015-3-00</t>
  </si>
  <si>
    <t>764735</t>
  </si>
  <si>
    <t>COS626400</t>
  </si>
  <si>
    <t>475314</t>
  </si>
  <si>
    <t>99162</t>
  </si>
  <si>
    <t>377309</t>
  </si>
  <si>
    <t>99149</t>
  </si>
  <si>
    <t>672152</t>
  </si>
  <si>
    <t>99152</t>
  </si>
  <si>
    <t>99153</t>
  </si>
  <si>
    <t>99154</t>
  </si>
  <si>
    <t>99155</t>
  </si>
  <si>
    <t>142085</t>
  </si>
  <si>
    <t>142618</t>
  </si>
  <si>
    <t>142679</t>
  </si>
  <si>
    <t>142680</t>
  </si>
  <si>
    <t>142877</t>
  </si>
  <si>
    <t>144101</t>
  </si>
  <si>
    <t>144102</t>
  </si>
  <si>
    <t>144123</t>
  </si>
  <si>
    <t>144903</t>
  </si>
  <si>
    <t>145350</t>
  </si>
  <si>
    <t>145351</t>
  </si>
  <si>
    <t>99190</t>
  </si>
  <si>
    <t>672245</t>
  </si>
  <si>
    <t>99191</t>
  </si>
  <si>
    <t>99192</t>
  </si>
  <si>
    <t>99193</t>
  </si>
  <si>
    <t>99194</t>
  </si>
  <si>
    <t>116162</t>
  </si>
  <si>
    <t>672158</t>
  </si>
  <si>
    <t>116243</t>
  </si>
  <si>
    <t>116245</t>
  </si>
  <si>
    <t>99156</t>
  </si>
  <si>
    <t>672132</t>
  </si>
  <si>
    <t>99157</t>
  </si>
  <si>
    <t>104226</t>
  </si>
  <si>
    <t>109590</t>
  </si>
  <si>
    <t>116594</t>
  </si>
  <si>
    <t>116668</t>
  </si>
  <si>
    <t>145229</t>
  </si>
  <si>
    <t>144502</t>
  </si>
  <si>
    <t>99147</t>
  </si>
  <si>
    <t>672160</t>
  </si>
  <si>
    <t>99148</t>
  </si>
  <si>
    <t>138958</t>
  </si>
  <si>
    <t>142224</t>
  </si>
  <si>
    <t>139970</t>
  </si>
  <si>
    <t>475249</t>
  </si>
  <si>
    <t>377269</t>
  </si>
  <si>
    <t>99226</t>
  </si>
  <si>
    <t>377398</t>
  </si>
  <si>
    <t>99227</t>
  </si>
  <si>
    <t>99228</t>
  </si>
  <si>
    <t>99229</t>
  </si>
  <si>
    <t>144453</t>
  </si>
  <si>
    <t>377268</t>
  </si>
  <si>
    <t>144457</t>
  </si>
  <si>
    <t>144791</t>
  </si>
  <si>
    <t>140425</t>
  </si>
  <si>
    <t>377325</t>
  </si>
  <si>
    <t>140426</t>
  </si>
  <si>
    <t>140429</t>
  </si>
  <si>
    <t>140430</t>
  </si>
  <si>
    <t>140431</t>
  </si>
  <si>
    <t>140432</t>
  </si>
  <si>
    <t>140433</t>
  </si>
  <si>
    <t>140434</t>
  </si>
  <si>
    <t>140535</t>
  </si>
  <si>
    <t>140536</t>
  </si>
  <si>
    <t>124259</t>
  </si>
  <si>
    <t>377272</t>
  </si>
  <si>
    <t>142626</t>
  </si>
  <si>
    <t>142677</t>
  </si>
  <si>
    <t>142786</t>
  </si>
  <si>
    <t>122390</t>
  </si>
  <si>
    <t>137453</t>
  </si>
  <si>
    <t>143935</t>
  </si>
  <si>
    <t>140418</t>
  </si>
  <si>
    <t>475248</t>
  </si>
  <si>
    <t>140421</t>
  </si>
  <si>
    <t>99030</t>
  </si>
  <si>
    <t>377338</t>
  </si>
  <si>
    <t>385611</t>
  </si>
  <si>
    <t>99145</t>
  </si>
  <si>
    <t>672155</t>
  </si>
  <si>
    <t>99146</t>
  </si>
  <si>
    <t>99091</t>
  </si>
  <si>
    <t>99101</t>
  </si>
  <si>
    <t>144537</t>
  </si>
  <si>
    <t>377263</t>
  </si>
  <si>
    <t>141089</t>
  </si>
  <si>
    <t>377254</t>
  </si>
  <si>
    <t>141090</t>
  </si>
  <si>
    <t>141091</t>
  </si>
  <si>
    <t>141092</t>
  </si>
  <si>
    <t>141110</t>
  </si>
  <si>
    <t>141115</t>
  </si>
  <si>
    <t>141272</t>
  </si>
  <si>
    <t>142026</t>
  </si>
  <si>
    <t>142027</t>
  </si>
  <si>
    <t>142028</t>
  </si>
  <si>
    <t>142029</t>
  </si>
  <si>
    <t>142107</t>
  </si>
  <si>
    <t>142108</t>
  </si>
  <si>
    <t>142112</t>
  </si>
  <si>
    <t>142113</t>
  </si>
  <si>
    <t>142467</t>
  </si>
  <si>
    <t>C00M099-2-00</t>
  </si>
  <si>
    <t>C00M99-1-01</t>
  </si>
  <si>
    <t>377336</t>
  </si>
  <si>
    <t>141727</t>
  </si>
  <si>
    <t>141728</t>
  </si>
  <si>
    <t>377380</t>
  </si>
  <si>
    <t>99036</t>
  </si>
  <si>
    <t>377337</t>
  </si>
  <si>
    <t>144385</t>
  </si>
  <si>
    <t>110390</t>
  </si>
  <si>
    <t>377339</t>
  </si>
  <si>
    <t>110855</t>
  </si>
  <si>
    <t>129151</t>
  </si>
  <si>
    <t>129877</t>
  </si>
  <si>
    <t>142250</t>
  </si>
  <si>
    <t>377347</t>
  </si>
  <si>
    <t>475273</t>
  </si>
  <si>
    <t>99208</t>
  </si>
  <si>
    <t>377388</t>
  </si>
  <si>
    <t>99209</t>
  </si>
  <si>
    <t>475272</t>
  </si>
  <si>
    <t>133519</t>
  </si>
  <si>
    <t>377430</t>
  </si>
  <si>
    <t>385614</t>
  </si>
  <si>
    <t>66146</t>
  </si>
  <si>
    <t>99249</t>
  </si>
  <si>
    <t>377437</t>
  </si>
  <si>
    <t>99250</t>
  </si>
  <si>
    <t>99251</t>
  </si>
  <si>
    <t>672361</t>
  </si>
  <si>
    <t>99107</t>
  </si>
  <si>
    <t>672243</t>
  </si>
  <si>
    <t>377342</t>
  </si>
  <si>
    <t>142624</t>
  </si>
  <si>
    <t>377343</t>
  </si>
  <si>
    <t>672258</t>
  </si>
  <si>
    <t>131328</t>
  </si>
  <si>
    <t>475279</t>
  </si>
  <si>
    <t>377445</t>
  </si>
  <si>
    <t>99115</t>
  </si>
  <si>
    <t>377262</t>
  </si>
  <si>
    <t>99116</t>
  </si>
  <si>
    <t>99117</t>
  </si>
  <si>
    <t>377442</t>
  </si>
  <si>
    <t>99217</t>
  </si>
  <si>
    <t>377344</t>
  </si>
  <si>
    <t>99031</t>
  </si>
  <si>
    <t>116669</t>
  </si>
  <si>
    <t>672378</t>
  </si>
  <si>
    <t>116700</t>
  </si>
  <si>
    <t>109230</t>
  </si>
  <si>
    <t>377301</t>
  </si>
  <si>
    <t>99131</t>
  </si>
  <si>
    <t>99182</t>
  </si>
  <si>
    <t>672222</t>
  </si>
  <si>
    <t>99183</t>
  </si>
  <si>
    <t>99184</t>
  </si>
  <si>
    <t>99185</t>
  </si>
  <si>
    <t>99186</t>
  </si>
  <si>
    <t>99187</t>
  </si>
  <si>
    <t>99188</t>
  </si>
  <si>
    <t>99189</t>
  </si>
  <si>
    <t>672224</t>
  </si>
  <si>
    <t>99174</t>
  </si>
  <si>
    <t>99175</t>
  </si>
  <si>
    <t>99177</t>
  </si>
  <si>
    <t>99178</t>
  </si>
  <si>
    <t>99181</t>
  </si>
  <si>
    <t>118060</t>
  </si>
  <si>
    <t>99098</t>
  </si>
  <si>
    <t>99252</t>
  </si>
  <si>
    <t>377436</t>
  </si>
  <si>
    <t>143031</t>
  </si>
  <si>
    <t>475365</t>
  </si>
  <si>
    <t>145199</t>
  </si>
  <si>
    <t>124266</t>
  </si>
  <si>
    <t>475384</t>
  </si>
  <si>
    <t>138439</t>
  </si>
  <si>
    <t>111044</t>
  </si>
  <si>
    <t>122393</t>
  </si>
  <si>
    <t>123417</t>
  </si>
  <si>
    <t>672161</t>
  </si>
  <si>
    <t>99205</t>
  </si>
  <si>
    <t>99206</t>
  </si>
  <si>
    <t>141695</t>
  </si>
  <si>
    <t>141822</t>
  </si>
  <si>
    <t>141254</t>
  </si>
  <si>
    <t>377418</t>
  </si>
  <si>
    <t>99163</t>
  </si>
  <si>
    <t>672183</t>
  </si>
  <si>
    <t>99164</t>
  </si>
  <si>
    <t>99166</t>
  </si>
  <si>
    <t>99168</t>
  </si>
  <si>
    <t>99169</t>
  </si>
  <si>
    <t>99170</t>
  </si>
  <si>
    <t>99199</t>
  </si>
  <si>
    <t>672244</t>
  </si>
  <si>
    <t>99200</t>
  </si>
  <si>
    <t>99201</t>
  </si>
  <si>
    <t>99172</t>
  </si>
  <si>
    <t>99173</t>
  </si>
  <si>
    <t>99202</t>
  </si>
  <si>
    <t>99232</t>
  </si>
  <si>
    <t>377414</t>
  </si>
  <si>
    <t>99218</t>
  </si>
  <si>
    <t>672330</t>
  </si>
  <si>
    <t>99219</t>
  </si>
  <si>
    <t>99221</t>
  </si>
  <si>
    <t>99222</t>
  </si>
  <si>
    <t>99223</t>
  </si>
  <si>
    <t>99207</t>
  </si>
  <si>
    <t>672249</t>
  </si>
  <si>
    <t>377383</t>
  </si>
  <si>
    <t>99198</t>
  </si>
  <si>
    <t>672253</t>
  </si>
  <si>
    <t>377333</t>
  </si>
  <si>
    <t>99211</t>
  </si>
  <si>
    <t>99176</t>
  </si>
  <si>
    <t>144225</t>
  </si>
  <si>
    <t>377390</t>
  </si>
  <si>
    <t>99230</t>
  </si>
  <si>
    <t>99231</t>
  </si>
  <si>
    <t>475437</t>
  </si>
  <si>
    <t>153311</t>
  </si>
  <si>
    <t>141722</t>
  </si>
  <si>
    <t>475382</t>
  </si>
  <si>
    <t>475450</t>
  </si>
  <si>
    <t>475460</t>
  </si>
  <si>
    <t>C03/04M010-6-00</t>
  </si>
  <si>
    <t>764749</t>
  </si>
  <si>
    <t>99167</t>
  </si>
  <si>
    <t>385598</t>
  </si>
  <si>
    <t>123797</t>
  </si>
  <si>
    <t>672436</t>
  </si>
  <si>
    <t>117700</t>
  </si>
  <si>
    <t>672437</t>
  </si>
  <si>
    <t>672432</t>
  </si>
  <si>
    <t>110825</t>
  </si>
  <si>
    <t>377208</t>
  </si>
  <si>
    <t>110826</t>
  </si>
  <si>
    <t>126940</t>
  </si>
  <si>
    <t>137290</t>
  </si>
  <si>
    <t>137291</t>
  </si>
  <si>
    <t>139049</t>
  </si>
  <si>
    <t>139127</t>
  </si>
  <si>
    <t>140017</t>
  </si>
  <si>
    <t>140370</t>
  </si>
  <si>
    <t>140449</t>
  </si>
  <si>
    <t>141306</t>
  </si>
  <si>
    <t>141397</t>
  </si>
  <si>
    <t>141430</t>
  </si>
  <si>
    <t>141592</t>
  </si>
  <si>
    <t>141598</t>
  </si>
  <si>
    <t>141779</t>
  </si>
  <si>
    <t>142258</t>
  </si>
  <si>
    <t>142277</t>
  </si>
  <si>
    <t>142307</t>
  </si>
  <si>
    <t>142489</t>
  </si>
  <si>
    <t>142594</t>
  </si>
  <si>
    <t>142595</t>
  </si>
  <si>
    <t>142597</t>
  </si>
  <si>
    <t>142619</t>
  </si>
  <si>
    <t>142621</t>
  </si>
  <si>
    <t>143070</t>
  </si>
  <si>
    <t>144389</t>
  </si>
  <si>
    <t>144563</t>
  </si>
  <si>
    <t>144941</t>
  </si>
  <si>
    <t>145328</t>
  </si>
  <si>
    <t>145329</t>
  </si>
  <si>
    <t>145330</t>
  </si>
  <si>
    <t>99032</t>
  </si>
  <si>
    <t>99033</t>
  </si>
  <si>
    <t>99034</t>
  </si>
  <si>
    <t>99037</t>
  </si>
  <si>
    <t>99038</t>
  </si>
  <si>
    <t>99039</t>
  </si>
  <si>
    <t>99040</t>
  </si>
  <si>
    <t>99041</t>
  </si>
  <si>
    <t>99043</t>
  </si>
  <si>
    <t>99044</t>
  </si>
  <si>
    <t>99045</t>
  </si>
  <si>
    <t>99046</t>
  </si>
  <si>
    <t>140195</t>
  </si>
  <si>
    <t>143416</t>
  </si>
  <si>
    <t>672458</t>
  </si>
  <si>
    <t>377199</t>
  </si>
  <si>
    <t>114520</t>
  </si>
  <si>
    <t>123931</t>
  </si>
  <si>
    <t>135466</t>
  </si>
  <si>
    <t>135545</t>
  </si>
  <si>
    <t>136186</t>
  </si>
  <si>
    <t>136842</t>
  </si>
  <si>
    <t>138710</t>
  </si>
  <si>
    <t>140444</t>
  </si>
  <si>
    <t>140699</t>
  </si>
  <si>
    <t>141116</t>
  </si>
  <si>
    <t>141147</t>
  </si>
  <si>
    <t>141185</t>
  </si>
  <si>
    <t>141317</t>
  </si>
  <si>
    <t>141366</t>
  </si>
  <si>
    <t>141368</t>
  </si>
  <si>
    <t>141983</t>
  </si>
  <si>
    <t>141984</t>
  </si>
  <si>
    <t>142588</t>
  </si>
  <si>
    <t>143746</t>
  </si>
  <si>
    <t>143750</t>
  </si>
  <si>
    <t>143751</t>
  </si>
  <si>
    <t>144384</t>
  </si>
  <si>
    <t>144386</t>
  </si>
  <si>
    <t>144638</t>
  </si>
  <si>
    <t>144945</t>
  </si>
  <si>
    <t>144946</t>
  </si>
  <si>
    <t>377200</t>
  </si>
  <si>
    <t>140939</t>
  </si>
  <si>
    <t>141248</t>
  </si>
  <si>
    <t>377214</t>
  </si>
  <si>
    <t>377438</t>
  </si>
  <si>
    <t>475349</t>
  </si>
  <si>
    <t>127244</t>
  </si>
  <si>
    <t>377201</t>
  </si>
  <si>
    <t>131752</t>
  </si>
  <si>
    <t>132138</t>
  </si>
  <si>
    <t>132139</t>
  </si>
  <si>
    <t>672201</t>
  </si>
  <si>
    <t>672367</t>
  </si>
  <si>
    <t>377209</t>
  </si>
  <si>
    <t>120010</t>
  </si>
  <si>
    <t>122546</t>
  </si>
  <si>
    <t>123415</t>
  </si>
  <si>
    <t>140009</t>
  </si>
  <si>
    <t>140010</t>
  </si>
  <si>
    <t>140012</t>
  </si>
  <si>
    <t>141326</t>
  </si>
  <si>
    <t>142696</t>
  </si>
  <si>
    <t>99047</t>
  </si>
  <si>
    <t>99048</t>
  </si>
  <si>
    <t>99049</t>
  </si>
  <si>
    <t>99050</t>
  </si>
  <si>
    <t>475109</t>
  </si>
  <si>
    <t>140472</t>
  </si>
  <si>
    <t>475131</t>
  </si>
  <si>
    <t>140367</t>
  </si>
  <si>
    <t>475247</t>
  </si>
  <si>
    <t>99224</t>
  </si>
  <si>
    <t>672336</t>
  </si>
  <si>
    <t>140491</t>
  </si>
  <si>
    <t>377202</t>
  </si>
  <si>
    <t>140492</t>
  </si>
  <si>
    <t>145252</t>
  </si>
  <si>
    <t>672463</t>
  </si>
  <si>
    <t>100762</t>
  </si>
  <si>
    <t>377203</t>
  </si>
  <si>
    <t>118831</t>
  </si>
  <si>
    <t>127667</t>
  </si>
  <si>
    <t>140606</t>
  </si>
  <si>
    <t>672260</t>
  </si>
  <si>
    <t>377327</t>
  </si>
  <si>
    <t>136301</t>
  </si>
  <si>
    <t>138408</t>
  </si>
  <si>
    <t>141736</t>
  </si>
  <si>
    <t>137875</t>
  </si>
  <si>
    <t>377213</t>
  </si>
  <si>
    <t>141666</t>
  </si>
  <si>
    <t>142950</t>
  </si>
  <si>
    <t>143021</t>
  </si>
  <si>
    <t>99029</t>
  </si>
  <si>
    <t>377221</t>
  </si>
  <si>
    <t>99028</t>
  </si>
  <si>
    <t>672467</t>
  </si>
  <si>
    <t>475278</t>
  </si>
  <si>
    <t>99253</t>
  </si>
  <si>
    <t>672423</t>
  </si>
  <si>
    <t>99254</t>
  </si>
  <si>
    <t>99255</t>
  </si>
  <si>
    <t>99256</t>
  </si>
  <si>
    <t>99257</t>
  </si>
  <si>
    <t>99258</t>
  </si>
  <si>
    <t>99259</t>
  </si>
  <si>
    <t>99260</t>
  </si>
  <si>
    <t>99261</t>
  </si>
  <si>
    <t>99262</t>
  </si>
  <si>
    <t>99263</t>
  </si>
  <si>
    <t>99264</t>
  </si>
  <si>
    <t>99265</t>
  </si>
  <si>
    <t>99266</t>
  </si>
  <si>
    <t>99267</t>
  </si>
  <si>
    <t>99268</t>
  </si>
  <si>
    <t>99269</t>
  </si>
  <si>
    <t>99270</t>
  </si>
  <si>
    <t>99271</t>
  </si>
  <si>
    <t>99272</t>
  </si>
  <si>
    <t>99273</t>
  </si>
  <si>
    <t>99274</t>
  </si>
  <si>
    <t>131278</t>
  </si>
  <si>
    <t>99196</t>
  </si>
  <si>
    <t>377340</t>
  </si>
  <si>
    <t>99214</t>
  </si>
  <si>
    <t>99215</t>
  </si>
  <si>
    <t>99216</t>
  </si>
  <si>
    <t>99240</t>
  </si>
  <si>
    <t>377410</t>
  </si>
  <si>
    <t>99241</t>
  </si>
  <si>
    <t>99242</t>
  </si>
  <si>
    <t>99243</t>
  </si>
  <si>
    <t>99244</t>
  </si>
  <si>
    <t>99245</t>
  </si>
  <si>
    <t>99246</t>
  </si>
  <si>
    <t>99247</t>
  </si>
  <si>
    <t>99248</t>
  </si>
  <si>
    <t>127316</t>
  </si>
  <si>
    <t>475466</t>
  </si>
  <si>
    <t>672607</t>
  </si>
  <si>
    <t>385644</t>
  </si>
  <si>
    <t>672484</t>
  </si>
  <si>
    <t>C03/04M075-6-00</t>
  </si>
  <si>
    <t>672631</t>
  </si>
  <si>
    <t>99301</t>
  </si>
  <si>
    <t>672527</t>
  </si>
  <si>
    <t>99302</t>
  </si>
  <si>
    <t>99303</t>
  </si>
  <si>
    <t>672125</t>
  </si>
  <si>
    <t>99142</t>
  </si>
  <si>
    <t>99143</t>
  </si>
  <si>
    <t>99144</t>
  </si>
  <si>
    <t>672246</t>
  </si>
  <si>
    <t>99225</t>
  </si>
  <si>
    <t>672342</t>
  </si>
  <si>
    <t>66215</t>
  </si>
  <si>
    <t>385648</t>
  </si>
  <si>
    <t>377224</t>
  </si>
  <si>
    <t>145327</t>
  </si>
  <si>
    <t>385651</t>
  </si>
  <si>
    <t>143485</t>
  </si>
  <si>
    <t>475170</t>
  </si>
  <si>
    <t>122394</t>
  </si>
  <si>
    <t>139929</t>
  </si>
  <si>
    <t>140465</t>
  </si>
  <si>
    <t>140466</t>
  </si>
  <si>
    <t>145340</t>
  </si>
  <si>
    <t>385653</t>
  </si>
  <si>
    <t>66066</t>
  </si>
  <si>
    <t>385654</t>
  </si>
  <si>
    <t>66089</t>
  </si>
  <si>
    <t>66090</t>
  </si>
  <si>
    <t>66097</t>
  </si>
  <si>
    <t>66111</t>
  </si>
  <si>
    <t>66112</t>
  </si>
  <si>
    <t>66113</t>
  </si>
  <si>
    <t>66114</t>
  </si>
  <si>
    <t>66126</t>
  </si>
  <si>
    <t>66127</t>
  </si>
  <si>
    <t>66144</t>
  </si>
  <si>
    <t>66145</t>
  </si>
  <si>
    <t>66162</t>
  </si>
  <si>
    <t>66163</t>
  </si>
  <si>
    <t>66164</t>
  </si>
  <si>
    <t>66165</t>
  </si>
  <si>
    <t>66166</t>
  </si>
  <si>
    <t>66174</t>
  </si>
  <si>
    <t>66175</t>
  </si>
  <si>
    <t>66186</t>
  </si>
  <si>
    <t>66187</t>
  </si>
  <si>
    <t>66188</t>
  </si>
  <si>
    <t>66189</t>
  </si>
  <si>
    <t>66190</t>
  </si>
  <si>
    <t>385650</t>
  </si>
  <si>
    <t>672635</t>
  </si>
  <si>
    <t>672220</t>
  </si>
  <si>
    <t>377406</t>
  </si>
  <si>
    <t>99210</t>
  </si>
  <si>
    <t>672257</t>
  </si>
  <si>
    <t>99212</t>
  </si>
  <si>
    <t>99213</t>
  </si>
  <si>
    <t>144408</t>
  </si>
  <si>
    <t>475261</t>
  </si>
  <si>
    <t>145380</t>
  </si>
  <si>
    <t>475332</t>
  </si>
  <si>
    <t>116848</t>
  </si>
  <si>
    <t>99204</t>
  </si>
  <si>
    <t>672254</t>
  </si>
  <si>
    <t>99062</t>
  </si>
  <si>
    <t>377259</t>
  </si>
  <si>
    <t>99063</t>
  </si>
  <si>
    <t>99276</t>
  </si>
  <si>
    <t>672574</t>
  </si>
  <si>
    <t>99277</t>
  </si>
  <si>
    <t>99278</t>
  </si>
  <si>
    <t>99279</t>
  </si>
  <si>
    <t>99280</t>
  </si>
  <si>
    <t>99281</t>
  </si>
  <si>
    <t>99282</t>
  </si>
  <si>
    <t>99283</t>
  </si>
  <si>
    <t>99284</t>
  </si>
  <si>
    <t>99285</t>
  </si>
  <si>
    <t>99286</t>
  </si>
  <si>
    <t>99287</t>
  </si>
  <si>
    <t>99288</t>
  </si>
  <si>
    <t>99289</t>
  </si>
  <si>
    <t>99290</t>
  </si>
  <si>
    <t>99291</t>
  </si>
  <si>
    <t>99292</t>
  </si>
  <si>
    <t>99293</t>
  </si>
  <si>
    <t>99294</t>
  </si>
  <si>
    <t>99295</t>
  </si>
  <si>
    <t>99296</t>
  </si>
  <si>
    <t>99297</t>
  </si>
  <si>
    <t>99298</t>
  </si>
  <si>
    <t>99299</t>
  </si>
  <si>
    <t>99300</t>
  </si>
  <si>
    <t>99304</t>
  </si>
  <si>
    <t>377415</t>
  </si>
  <si>
    <t>145385</t>
  </si>
  <si>
    <t>377417</t>
  </si>
  <si>
    <t>377431</t>
  </si>
  <si>
    <t>99311</t>
  </si>
  <si>
    <t>672516</t>
  </si>
  <si>
    <t>377116</t>
  </si>
  <si>
    <t>141694</t>
  </si>
  <si>
    <t>139050</t>
  </si>
  <si>
    <t>139609</t>
  </si>
  <si>
    <t>140276</t>
  </si>
  <si>
    <t>140454</t>
  </si>
  <si>
    <t>141329</t>
  </si>
  <si>
    <t>141688</t>
  </si>
  <si>
    <t>141693</t>
  </si>
  <si>
    <t>141702</t>
  </si>
  <si>
    <t>142314</t>
  </si>
  <si>
    <t>142510</t>
  </si>
  <si>
    <t>142887</t>
  </si>
  <si>
    <t>142888</t>
  </si>
  <si>
    <t>142889</t>
  </si>
  <si>
    <t>142890</t>
  </si>
  <si>
    <t>142898</t>
  </si>
  <si>
    <t>143030</t>
  </si>
  <si>
    <t>144969</t>
  </si>
  <si>
    <t>144970</t>
  </si>
  <si>
    <t>145060</t>
  </si>
  <si>
    <t>145294</t>
  </si>
  <si>
    <t>377135</t>
  </si>
  <si>
    <t>475455</t>
  </si>
  <si>
    <t>377117</t>
  </si>
  <si>
    <t>672495</t>
  </si>
  <si>
    <t>109545</t>
  </si>
  <si>
    <t>672498</t>
  </si>
  <si>
    <t>144375</t>
  </si>
  <si>
    <t>475457</t>
  </si>
  <si>
    <t>C07/08M020-1-00</t>
  </si>
  <si>
    <t>764739</t>
  </si>
  <si>
    <t>672671</t>
  </si>
  <si>
    <t>672519</t>
  </si>
  <si>
    <t>141659</t>
  </si>
  <si>
    <t>672614</t>
  </si>
  <si>
    <t>377407</t>
  </si>
  <si>
    <t>672670</t>
  </si>
  <si>
    <t>99195</t>
  </si>
  <si>
    <t>99197</t>
  </si>
  <si>
    <t>672252</t>
  </si>
  <si>
    <t>114642</t>
  </si>
  <si>
    <t>672464</t>
  </si>
  <si>
    <t>672344</t>
  </si>
  <si>
    <t>672426</t>
  </si>
  <si>
    <t>99319</t>
  </si>
  <si>
    <t>377456</t>
  </si>
  <si>
    <t>144229</t>
  </si>
  <si>
    <t>377366</t>
  </si>
  <si>
    <t>100735</t>
  </si>
  <si>
    <t>377370</t>
  </si>
  <si>
    <t>100752</t>
  </si>
  <si>
    <t>100755</t>
  </si>
  <si>
    <t>137454</t>
  </si>
  <si>
    <t>109800</t>
  </si>
  <si>
    <t>110933</t>
  </si>
  <si>
    <t>110976</t>
  </si>
  <si>
    <t>114056</t>
  </si>
  <si>
    <t>114338</t>
  </si>
  <si>
    <t>114643</t>
  </si>
  <si>
    <t>114646</t>
  </si>
  <si>
    <t>120114</t>
  </si>
  <si>
    <t>125511</t>
  </si>
  <si>
    <t>140504</t>
  </si>
  <si>
    <t>140505</t>
  </si>
  <si>
    <t>141771</t>
  </si>
  <si>
    <t>145025</t>
  </si>
  <si>
    <t>145373</t>
  </si>
  <si>
    <t>145374</t>
  </si>
  <si>
    <t>145375</t>
  </si>
  <si>
    <t>145376</t>
  </si>
  <si>
    <t>145377</t>
  </si>
  <si>
    <t>145378</t>
  </si>
  <si>
    <t>119943</t>
  </si>
  <si>
    <t>475309</t>
  </si>
  <si>
    <t>EMBALAJE</t>
  </si>
  <si>
    <t>C03/04M020-6-00</t>
  </si>
  <si>
    <t>764752</t>
  </si>
  <si>
    <t>C03/04M050-6-00</t>
  </si>
  <si>
    <t>C07/08M040-1-00</t>
  </si>
  <si>
    <t>C03/04M060-6-00</t>
  </si>
  <si>
    <t>C03/04M030-6-00</t>
  </si>
  <si>
    <t>C03/04M035-3-00</t>
  </si>
  <si>
    <t>C07/08M030-6-00</t>
  </si>
  <si>
    <t>C07/08M010-6-00</t>
  </si>
  <si>
    <t>99179</t>
  </si>
  <si>
    <t>99180</t>
  </si>
  <si>
    <t>672341</t>
  </si>
  <si>
    <t>99056</t>
  </si>
  <si>
    <t>385583</t>
  </si>
  <si>
    <t>99057</t>
  </si>
  <si>
    <t>99058</t>
  </si>
  <si>
    <t>99059</t>
  </si>
  <si>
    <t>99060</t>
  </si>
  <si>
    <t>99061</t>
  </si>
  <si>
    <t>142261</t>
  </si>
  <si>
    <t>672494</t>
  </si>
  <si>
    <t>377134</t>
  </si>
  <si>
    <t>672385</t>
  </si>
  <si>
    <t>120596</t>
  </si>
  <si>
    <t>672526</t>
  </si>
  <si>
    <t>130019</t>
  </si>
  <si>
    <t>143230</t>
  </si>
  <si>
    <t>C03/04M085-6-00</t>
  </si>
  <si>
    <t>C07/08M050-6-00</t>
  </si>
  <si>
    <t>672465</t>
  </si>
  <si>
    <t>141792</t>
  </si>
  <si>
    <t>672532</t>
  </si>
  <si>
    <t>672490</t>
  </si>
  <si>
    <t>110055</t>
  </si>
  <si>
    <t>377498</t>
  </si>
  <si>
    <t>142086</t>
  </si>
  <si>
    <t>672489</t>
  </si>
  <si>
    <t>144122</t>
  </si>
  <si>
    <t>475456</t>
  </si>
  <si>
    <t>672493</t>
  </si>
  <si>
    <t>385667</t>
  </si>
  <si>
    <t>377411</t>
  </si>
  <si>
    <t>672382</t>
  </si>
  <si>
    <t>672440</t>
  </si>
  <si>
    <t>672386</t>
  </si>
  <si>
    <t>672424</t>
  </si>
  <si>
    <t>672442</t>
  </si>
  <si>
    <t>672387</t>
  </si>
  <si>
    <t>672425</t>
  </si>
  <si>
    <t>672787</t>
  </si>
  <si>
    <t>475494</t>
  </si>
  <si>
    <t>134854</t>
  </si>
  <si>
    <t>475511</t>
  </si>
  <si>
    <t>672531</t>
  </si>
  <si>
    <t>66000</t>
  </si>
  <si>
    <t>385577</t>
  </si>
  <si>
    <t>C9000-02M01-3-01</t>
  </si>
  <si>
    <t>764738</t>
  </si>
  <si>
    <t>C9000-02M01-3-03</t>
  </si>
  <si>
    <t>C9000-02M01-3-05</t>
  </si>
  <si>
    <t>C9000-02M01-3-10</t>
  </si>
  <si>
    <t>138433</t>
  </si>
  <si>
    <t>475230</t>
  </si>
  <si>
    <t>377500</t>
  </si>
  <si>
    <t>377502</t>
  </si>
  <si>
    <t>377519</t>
  </si>
  <si>
    <t>138979</t>
  </si>
  <si>
    <t>99324</t>
  </si>
  <si>
    <t>377524</t>
  </si>
  <si>
    <t>99325</t>
  </si>
  <si>
    <t>99326</t>
  </si>
  <si>
    <t>99327</t>
  </si>
  <si>
    <t>99328</t>
  </si>
  <si>
    <t>377532</t>
  </si>
  <si>
    <t>99329</t>
  </si>
  <si>
    <t>99330</t>
  </si>
  <si>
    <t>99331</t>
  </si>
  <si>
    <t>99332</t>
  </si>
  <si>
    <t>764784</t>
  </si>
  <si>
    <t>140427</t>
  </si>
  <si>
    <t>475443</t>
  </si>
  <si>
    <t>99315</t>
  </si>
  <si>
    <t>377465</t>
  </si>
  <si>
    <t>672765</t>
  </si>
  <si>
    <t>672411</t>
  </si>
  <si>
    <t>672433</t>
  </si>
  <si>
    <t>385683</t>
  </si>
  <si>
    <t>377533</t>
  </si>
  <si>
    <t>475402</t>
  </si>
  <si>
    <t>475550</t>
  </si>
  <si>
    <t>66078</t>
  </si>
  <si>
    <t>385685</t>
  </si>
  <si>
    <t>99318</t>
  </si>
  <si>
    <t>672689</t>
  </si>
  <si>
    <t>385687</t>
  </si>
  <si>
    <t>C03/04M090-6-00</t>
  </si>
  <si>
    <t>C07/08M060-1-00</t>
  </si>
  <si>
    <t>764768</t>
  </si>
  <si>
    <t>377544</t>
  </si>
  <si>
    <t>99320</t>
  </si>
  <si>
    <t>377515</t>
  </si>
  <si>
    <t>377520</t>
  </si>
  <si>
    <t>475573</t>
  </si>
  <si>
    <t>139559</t>
  </si>
  <si>
    <t>377602</t>
  </si>
  <si>
    <t>99321</t>
  </si>
  <si>
    <t>99322</t>
  </si>
  <si>
    <t>99323</t>
  </si>
  <si>
    <t>145162</t>
  </si>
  <si>
    <t>672768</t>
  </si>
  <si>
    <t>C07M020-2-01</t>
  </si>
  <si>
    <t>764753</t>
  </si>
  <si>
    <t>C03M070-2-01</t>
  </si>
  <si>
    <t>21006.00.001.001</t>
  </si>
  <si>
    <t>764763</t>
  </si>
  <si>
    <t>475617</t>
  </si>
  <si>
    <t>44014</t>
  </si>
  <si>
    <t>99275</t>
  </si>
  <si>
    <t>66079</t>
  </si>
  <si>
    <t>475616</t>
  </si>
  <si>
    <t>377593</t>
  </si>
  <si>
    <t>99335</t>
  </si>
  <si>
    <t>153331</t>
  </si>
  <si>
    <t>99336</t>
  </si>
  <si>
    <t>99337</t>
  </si>
  <si>
    <t>99338</t>
  </si>
  <si>
    <t>99339</t>
  </si>
  <si>
    <t>99370</t>
  </si>
  <si>
    <t>139853</t>
  </si>
  <si>
    <t>377610</t>
  </si>
  <si>
    <t>99334</t>
  </si>
  <si>
    <t>377577</t>
  </si>
  <si>
    <t>99341</t>
  </si>
  <si>
    <t>475638</t>
  </si>
  <si>
    <t>C03M120-8-00</t>
  </si>
  <si>
    <t>C03/04M070-1-00</t>
  </si>
  <si>
    <t>C03/04M010-8-00</t>
  </si>
  <si>
    <t>C01/02M012-3-00</t>
  </si>
  <si>
    <t>142587</t>
  </si>
  <si>
    <t>475570</t>
  </si>
  <si>
    <t>153348</t>
  </si>
  <si>
    <t>C00M099-6-01</t>
  </si>
  <si>
    <t>764776</t>
  </si>
  <si>
    <t>C00M099-5-01</t>
  </si>
  <si>
    <t>377473</t>
  </si>
  <si>
    <t>385700</t>
  </si>
  <si>
    <t>44018</t>
  </si>
  <si>
    <t>475677</t>
  </si>
  <si>
    <t>44015</t>
  </si>
  <si>
    <t>475678</t>
  </si>
  <si>
    <t>44016</t>
  </si>
  <si>
    <t>377658</t>
  </si>
  <si>
    <t>475671</t>
  </si>
  <si>
    <t>44017</t>
  </si>
  <si>
    <t>475679</t>
  </si>
  <si>
    <t>C01/02M005-6-00</t>
  </si>
  <si>
    <t>C01/02M015-3-00</t>
  </si>
  <si>
    <t>C01/02M015-6-00</t>
  </si>
  <si>
    <t>764773</t>
  </si>
  <si>
    <t>C07M065-8-00</t>
  </si>
  <si>
    <t>C08M065-8-00</t>
  </si>
  <si>
    <t>C05M005-6-00</t>
  </si>
  <si>
    <t>C05M015-6-00</t>
  </si>
  <si>
    <t>C07/08M065-6-00</t>
  </si>
  <si>
    <t>C05M035-6-00</t>
  </si>
  <si>
    <t>C05/06M025-6-00</t>
  </si>
  <si>
    <t>C07M010-8-00</t>
  </si>
  <si>
    <t>C05/06M012-3-00</t>
  </si>
  <si>
    <t>66082</t>
  </si>
  <si>
    <t>153352</t>
  </si>
  <si>
    <t>99132</t>
  </si>
  <si>
    <t>385597</t>
  </si>
  <si>
    <t>99133</t>
  </si>
  <si>
    <t>99134</t>
  </si>
  <si>
    <t>99135</t>
  </si>
  <si>
    <t>99136</t>
  </si>
  <si>
    <t>99137</t>
  </si>
  <si>
    <t>99138</t>
  </si>
  <si>
    <t>99139</t>
  </si>
  <si>
    <t>105978</t>
  </si>
  <si>
    <t>475651</t>
  </si>
  <si>
    <t>105280</t>
  </si>
  <si>
    <t>109117</t>
  </si>
  <si>
    <t>105434</t>
  </si>
  <si>
    <t>385725</t>
  </si>
  <si>
    <t>99020</t>
  </si>
  <si>
    <t>385581</t>
  </si>
  <si>
    <t>99340</t>
  </si>
  <si>
    <t>377606</t>
  </si>
  <si>
    <t>C00M99-7-01</t>
  </si>
  <si>
    <t>764780</t>
  </si>
  <si>
    <t>C00M99-7-02</t>
  </si>
  <si>
    <t>C00M99-7-03</t>
  </si>
  <si>
    <t>C00M99-7-04</t>
  </si>
  <si>
    <t>377656</t>
  </si>
  <si>
    <t>672461</t>
  </si>
  <si>
    <t>153353</t>
  </si>
  <si>
    <t>110843</t>
  </si>
  <si>
    <t>377628</t>
  </si>
  <si>
    <t>66083</t>
  </si>
  <si>
    <t>475712</t>
  </si>
  <si>
    <t>66084</t>
  </si>
  <si>
    <t>385731</t>
  </si>
  <si>
    <t>44019</t>
  </si>
  <si>
    <t>475709</t>
  </si>
  <si>
    <t>377580</t>
  </si>
  <si>
    <t>44020</t>
  </si>
  <si>
    <t>475729</t>
  </si>
  <si>
    <t>44021</t>
  </si>
  <si>
    <t>44022</t>
  </si>
  <si>
    <t>66085</t>
  </si>
  <si>
    <t>475728</t>
  </si>
  <si>
    <t>377683</t>
  </si>
  <si>
    <t>C01/02M050-6-00</t>
  </si>
  <si>
    <t>C05M045-6-00</t>
  </si>
  <si>
    <t>C08M010-8-00</t>
  </si>
  <si>
    <t>C05/06M015-3-00</t>
  </si>
  <si>
    <t>C01M050-1-01</t>
  </si>
  <si>
    <t>764782</t>
  </si>
  <si>
    <t>C07M065-1-01</t>
  </si>
  <si>
    <t>C08M065-1-01</t>
  </si>
  <si>
    <t>672811</t>
  </si>
  <si>
    <t>99314</t>
  </si>
  <si>
    <t>377452</t>
  </si>
  <si>
    <t>99316</t>
  </si>
  <si>
    <t>99317</t>
  </si>
  <si>
    <t>132152</t>
  </si>
  <si>
    <t>133078</t>
  </si>
  <si>
    <t>672812</t>
  </si>
  <si>
    <t>144640</t>
  </si>
  <si>
    <t>153334</t>
  </si>
  <si>
    <t>99019</t>
  </si>
  <si>
    <t>385567</t>
  </si>
  <si>
    <t>C03M120-3-03</t>
  </si>
  <si>
    <t>764778</t>
  </si>
  <si>
    <t>C03M120-3-05</t>
  </si>
  <si>
    <t>C03M120-3-07</t>
  </si>
  <si>
    <t>C03M120-3-09</t>
  </si>
  <si>
    <t>C03M005-3-03</t>
  </si>
  <si>
    <t>C03M005-3-05</t>
  </si>
  <si>
    <t>C03M005-3-07</t>
  </si>
  <si>
    <t>C03M005-3-09/10</t>
  </si>
  <si>
    <t>C03M120-3-01</t>
  </si>
  <si>
    <t>764779</t>
  </si>
  <si>
    <t>C01M005-3-01</t>
  </si>
  <si>
    <t>672870</t>
  </si>
  <si>
    <t>377626</t>
  </si>
  <si>
    <t>133635</t>
  </si>
  <si>
    <t>134352</t>
  </si>
  <si>
    <t>C03/04M100-6-00</t>
  </si>
  <si>
    <t>66100</t>
  </si>
  <si>
    <t>672793</t>
  </si>
  <si>
    <t>140368</t>
  </si>
  <si>
    <t>672256</t>
  </si>
  <si>
    <t>66099</t>
  </si>
  <si>
    <t>672801</t>
  </si>
  <si>
    <t>66098</t>
  </si>
  <si>
    <t>385743</t>
  </si>
  <si>
    <t>385742</t>
  </si>
  <si>
    <t>377655</t>
  </si>
  <si>
    <t>377690</t>
  </si>
  <si>
    <t>377711</t>
  </si>
  <si>
    <t>377697</t>
  </si>
  <si>
    <t>672817</t>
  </si>
  <si>
    <t>99346</t>
  </si>
  <si>
    <t>99345</t>
  </si>
  <si>
    <t>153360</t>
  </si>
  <si>
    <t>128455</t>
  </si>
  <si>
    <t>128454</t>
  </si>
  <si>
    <t>138829</t>
  </si>
  <si>
    <t>125161</t>
  </si>
  <si>
    <t>138845</t>
  </si>
  <si>
    <t>99351</t>
  </si>
  <si>
    <t>126874</t>
  </si>
  <si>
    <t>99352</t>
  </si>
  <si>
    <t>672815</t>
  </si>
  <si>
    <t>99353</t>
  </si>
  <si>
    <t>475720</t>
  </si>
  <si>
    <t>672900</t>
  </si>
  <si>
    <t>66106</t>
  </si>
  <si>
    <t>475786</t>
  </si>
  <si>
    <t>66107</t>
  </si>
  <si>
    <t>99343</t>
  </si>
  <si>
    <t>377622</t>
  </si>
  <si>
    <t>140292</t>
  </si>
  <si>
    <t>475244</t>
  </si>
  <si>
    <t>99158</t>
  </si>
  <si>
    <t>377314</t>
  </si>
  <si>
    <t>66110</t>
  </si>
  <si>
    <t>385752</t>
  </si>
  <si>
    <t>143743</t>
  </si>
  <si>
    <t>377323</t>
  </si>
  <si>
    <t>44023</t>
  </si>
  <si>
    <t>475790</t>
  </si>
  <si>
    <t>44024</t>
  </si>
  <si>
    <t>475766</t>
  </si>
  <si>
    <t>475792</t>
  </si>
  <si>
    <t>C03M120-6-00</t>
  </si>
  <si>
    <t>44025</t>
  </si>
  <si>
    <t>475811</t>
  </si>
  <si>
    <t>44026</t>
  </si>
  <si>
    <t>44027</t>
  </si>
  <si>
    <t>44028</t>
  </si>
  <si>
    <t>44029</t>
  </si>
  <si>
    <t>44030</t>
  </si>
  <si>
    <t>44031</t>
  </si>
  <si>
    <t>66101</t>
  </si>
  <si>
    <t>475807</t>
  </si>
  <si>
    <t>66102</t>
  </si>
  <si>
    <t>66103</t>
  </si>
  <si>
    <t>66104</t>
  </si>
  <si>
    <t>66105</t>
  </si>
  <si>
    <t>66202</t>
  </si>
  <si>
    <t>141584</t>
  </si>
  <si>
    <t>672905</t>
  </si>
  <si>
    <t>66108</t>
  </si>
  <si>
    <t>475808</t>
  </si>
  <si>
    <t>66109</t>
  </si>
  <si>
    <t>377732</t>
  </si>
  <si>
    <t>475768</t>
  </si>
  <si>
    <t>141474</t>
  </si>
  <si>
    <t>377731</t>
  </si>
  <si>
    <t>66119</t>
  </si>
  <si>
    <t>672973</t>
  </si>
  <si>
    <t>111249</t>
  </si>
  <si>
    <t>99342</t>
  </si>
  <si>
    <t>377627</t>
  </si>
  <si>
    <t>145522</t>
  </si>
  <si>
    <t>99347</t>
  </si>
  <si>
    <t>672831</t>
  </si>
  <si>
    <t>99348</t>
  </si>
  <si>
    <t>99349</t>
  </si>
  <si>
    <t>377750</t>
  </si>
  <si>
    <t>66116</t>
  </si>
  <si>
    <t>672951</t>
  </si>
  <si>
    <t>00M099-0-05A</t>
  </si>
  <si>
    <t>764800</t>
  </si>
  <si>
    <t>672962</t>
  </si>
  <si>
    <t>66120</t>
  </si>
  <si>
    <t>672791</t>
  </si>
  <si>
    <t>99360</t>
  </si>
  <si>
    <t>377704</t>
  </si>
  <si>
    <t>99306</t>
  </si>
  <si>
    <t>377483</t>
  </si>
  <si>
    <t>99309</t>
  </si>
  <si>
    <t>137689</t>
  </si>
  <si>
    <t>672981</t>
  </si>
  <si>
    <t>145550</t>
  </si>
  <si>
    <t>672971</t>
  </si>
  <si>
    <t>44032</t>
  </si>
  <si>
    <t>475841</t>
  </si>
  <si>
    <t>44033</t>
  </si>
  <si>
    <t>PINTURAS</t>
  </si>
  <si>
    <t>142922</t>
  </si>
  <si>
    <t>377767</t>
  </si>
  <si>
    <t>143794</t>
  </si>
  <si>
    <t>143795</t>
  </si>
  <si>
    <t>66117</t>
  </si>
  <si>
    <t>385763</t>
  </si>
  <si>
    <t>134338</t>
  </si>
  <si>
    <t>672868</t>
  </si>
  <si>
    <t>66121</t>
  </si>
  <si>
    <t>475846</t>
  </si>
  <si>
    <t>66122</t>
  </si>
  <si>
    <t>44034</t>
  </si>
  <si>
    <t>475843</t>
  </si>
  <si>
    <t>44035</t>
  </si>
  <si>
    <t>114144</t>
  </si>
  <si>
    <t>377793</t>
  </si>
  <si>
    <t>99362</t>
  </si>
  <si>
    <t>672942</t>
  </si>
  <si>
    <t>66128</t>
  </si>
  <si>
    <t>385769</t>
  </si>
  <si>
    <t>66129</t>
  </si>
  <si>
    <t>66133</t>
  </si>
  <si>
    <t>672987</t>
  </si>
  <si>
    <t>66091</t>
  </si>
  <si>
    <t>153358</t>
  </si>
  <si>
    <t>66123</t>
  </si>
  <si>
    <t>475863</t>
  </si>
  <si>
    <t>66124</t>
  </si>
  <si>
    <t>66125</t>
  </si>
  <si>
    <t>44036</t>
  </si>
  <si>
    <t>475861</t>
  </si>
  <si>
    <t>44037</t>
  </si>
  <si>
    <t>99357</t>
  </si>
  <si>
    <t>385732</t>
  </si>
  <si>
    <t>377726</t>
  </si>
  <si>
    <t>475831</t>
  </si>
  <si>
    <t>377730</t>
  </si>
  <si>
    <t>377434</t>
  </si>
  <si>
    <t>377521</t>
  </si>
  <si>
    <t>377560</t>
  </si>
  <si>
    <t>377718</t>
  </si>
  <si>
    <t>377719</t>
  </si>
  <si>
    <t>99333</t>
  </si>
  <si>
    <t>377564</t>
  </si>
  <si>
    <t>110840</t>
  </si>
  <si>
    <t>99350</t>
  </si>
  <si>
    <t>672835</t>
  </si>
  <si>
    <t>377783</t>
  </si>
  <si>
    <t>COS626800</t>
  </si>
  <si>
    <t>475851</t>
  </si>
  <si>
    <t>377701</t>
  </si>
  <si>
    <t>673003</t>
  </si>
  <si>
    <t>377689</t>
  </si>
  <si>
    <t>99344</t>
  </si>
  <si>
    <t>66134</t>
  </si>
  <si>
    <t>673075</t>
  </si>
  <si>
    <t>66135</t>
  </si>
  <si>
    <t>673074</t>
  </si>
  <si>
    <t>66130</t>
  </si>
  <si>
    <t>475889</t>
  </si>
  <si>
    <t>66131</t>
  </si>
  <si>
    <t>66118</t>
  </si>
  <si>
    <t>385784</t>
  </si>
  <si>
    <t>66554</t>
  </si>
  <si>
    <t>99371</t>
  </si>
  <si>
    <t>377804</t>
  </si>
  <si>
    <t>66137</t>
  </si>
  <si>
    <t>385785</t>
  </si>
  <si>
    <t>66138</t>
  </si>
  <si>
    <t>377790</t>
  </si>
  <si>
    <t>99374</t>
  </si>
  <si>
    <t>673081</t>
  </si>
  <si>
    <t>103841</t>
  </si>
  <si>
    <t>475836</t>
  </si>
  <si>
    <t>66142</t>
  </si>
  <si>
    <t>385791</t>
  </si>
  <si>
    <t>66143</t>
  </si>
  <si>
    <t>99220</t>
  </si>
  <si>
    <t>137452</t>
  </si>
  <si>
    <t>66136</t>
  </si>
  <si>
    <t>385779</t>
  </si>
  <si>
    <t>C01/02M050-4-01</t>
  </si>
  <si>
    <t>764774</t>
  </si>
  <si>
    <t>C03/04M085-3-01</t>
  </si>
  <si>
    <t>C05/06M045-4-01</t>
  </si>
  <si>
    <t>140959</t>
  </si>
  <si>
    <t>44038</t>
  </si>
  <si>
    <t>475939</t>
  </si>
  <si>
    <t>44039</t>
  </si>
  <si>
    <t>66132</t>
  </si>
  <si>
    <t>475919</t>
  </si>
  <si>
    <t>44040</t>
  </si>
  <si>
    <t>475938</t>
  </si>
  <si>
    <t>44041</t>
  </si>
  <si>
    <t>44042</t>
  </si>
  <si>
    <t>44043</t>
  </si>
  <si>
    <t>44044</t>
  </si>
  <si>
    <t>475941</t>
  </si>
  <si>
    <t>144327</t>
  </si>
  <si>
    <t>377733</t>
  </si>
  <si>
    <t>475469</t>
  </si>
  <si>
    <t>99378</t>
  </si>
  <si>
    <t>673088</t>
  </si>
  <si>
    <t>673098</t>
  </si>
  <si>
    <t>475921</t>
  </si>
  <si>
    <t>140755</t>
  </si>
  <si>
    <t>377805</t>
  </si>
  <si>
    <t>377776</t>
  </si>
  <si>
    <t>44045</t>
  </si>
  <si>
    <t>475943</t>
  </si>
  <si>
    <t>66148</t>
  </si>
  <si>
    <t>673190</t>
  </si>
  <si>
    <t>673109</t>
  </si>
  <si>
    <t>99375</t>
  </si>
  <si>
    <t>673089</t>
  </si>
  <si>
    <t>99376</t>
  </si>
  <si>
    <t>673090</t>
  </si>
  <si>
    <t>99377</t>
  </si>
  <si>
    <t>66139</t>
  </si>
  <si>
    <t>475950</t>
  </si>
  <si>
    <t>66140</t>
  </si>
  <si>
    <t>66141</t>
  </si>
  <si>
    <t>99354</t>
  </si>
  <si>
    <t>377691</t>
  </si>
  <si>
    <t>44046</t>
  </si>
  <si>
    <t>475949</t>
  </si>
  <si>
    <t>141979</t>
  </si>
  <si>
    <t>475363</t>
  </si>
  <si>
    <t>99364</t>
  </si>
  <si>
    <t>672986</t>
  </si>
  <si>
    <t>99365</t>
  </si>
  <si>
    <t>99366</t>
  </si>
  <si>
    <t>99367</t>
  </si>
  <si>
    <t>99368</t>
  </si>
  <si>
    <t>99369</t>
  </si>
  <si>
    <t>44047</t>
  </si>
  <si>
    <t>475961</t>
  </si>
  <si>
    <t>44048</t>
  </si>
  <si>
    <t>44049</t>
  </si>
  <si>
    <t>44050</t>
  </si>
  <si>
    <t>44051</t>
  </si>
  <si>
    <t>99363</t>
  </si>
  <si>
    <t>672943</t>
  </si>
  <si>
    <t>103879</t>
  </si>
  <si>
    <t>673131</t>
  </si>
  <si>
    <t>377825</t>
  </si>
  <si>
    <t>C05/06M040-1-00</t>
  </si>
  <si>
    <t>764803</t>
  </si>
  <si>
    <t>44052</t>
  </si>
  <si>
    <t>673222</t>
  </si>
  <si>
    <t>141557</t>
  </si>
  <si>
    <t>673146</t>
  </si>
  <si>
    <t>66152</t>
  </si>
  <si>
    <t>673170</t>
  </si>
  <si>
    <t>673139</t>
  </si>
  <si>
    <t>66159</t>
  </si>
  <si>
    <t>673229</t>
  </si>
  <si>
    <t>66160</t>
  </si>
  <si>
    <t>66161</t>
  </si>
  <si>
    <t>99382</t>
  </si>
  <si>
    <t>673166</t>
  </si>
  <si>
    <t>99383</t>
  </si>
  <si>
    <t>673004</t>
  </si>
  <si>
    <t>377765</t>
  </si>
  <si>
    <t>475822</t>
  </si>
  <si>
    <t>145552</t>
  </si>
  <si>
    <t>99387</t>
  </si>
  <si>
    <t>377844</t>
  </si>
  <si>
    <t>99388</t>
  </si>
  <si>
    <t>99386</t>
  </si>
  <si>
    <t>475974</t>
  </si>
  <si>
    <t>66150</t>
  </si>
  <si>
    <t>385809</t>
  </si>
  <si>
    <t>66167</t>
  </si>
  <si>
    <t>673219</t>
  </si>
  <si>
    <t>99384</t>
  </si>
  <si>
    <t>673159</t>
  </si>
  <si>
    <t>99385</t>
  </si>
  <si>
    <t>136521</t>
  </si>
  <si>
    <t>66153</t>
  </si>
  <si>
    <t>476004</t>
  </si>
  <si>
    <t>66154</t>
  </si>
  <si>
    <t>66155</t>
  </si>
  <si>
    <t>66156</t>
  </si>
  <si>
    <t>66157</t>
  </si>
  <si>
    <t>66158</t>
  </si>
  <si>
    <t>66168</t>
  </si>
  <si>
    <t>385813</t>
  </si>
  <si>
    <t>673213</t>
  </si>
  <si>
    <t>99391</t>
  </si>
  <si>
    <t>377852</t>
  </si>
  <si>
    <t>377879</t>
  </si>
  <si>
    <t>99305</t>
  </si>
  <si>
    <t>99310</t>
  </si>
  <si>
    <t>673208</t>
  </si>
  <si>
    <t>672976</t>
  </si>
  <si>
    <t>66169</t>
  </si>
  <si>
    <t>673022</t>
  </si>
  <si>
    <t>377812</t>
  </si>
  <si>
    <t>142306</t>
  </si>
  <si>
    <t>673175</t>
  </si>
  <si>
    <t>139410</t>
  </si>
  <si>
    <t>139412</t>
  </si>
  <si>
    <t>139443</t>
  </si>
  <si>
    <t>141362</t>
  </si>
  <si>
    <t>66149</t>
  </si>
  <si>
    <t>673191</t>
  </si>
  <si>
    <t>672980</t>
  </si>
  <si>
    <t>99393</t>
  </si>
  <si>
    <t>673278</t>
  </si>
  <si>
    <t>377845</t>
  </si>
  <si>
    <t>66147</t>
  </si>
  <si>
    <t>476021</t>
  </si>
  <si>
    <t>66151</t>
  </si>
  <si>
    <t>476022</t>
  </si>
  <si>
    <t>44053</t>
  </si>
  <si>
    <t>476025</t>
  </si>
  <si>
    <t>44054</t>
  </si>
  <si>
    <t>99394</t>
  </si>
  <si>
    <t>377868</t>
  </si>
  <si>
    <t>139358</t>
  </si>
  <si>
    <t>377853</t>
  </si>
  <si>
    <t>106434</t>
  </si>
  <si>
    <t>153372</t>
  </si>
  <si>
    <t>113006</t>
  </si>
  <si>
    <t>113008</t>
  </si>
  <si>
    <t>138765</t>
  </si>
  <si>
    <t>138766</t>
  </si>
  <si>
    <t>141056</t>
  </si>
  <si>
    <t>145560</t>
  </si>
  <si>
    <t>99379</t>
  </si>
  <si>
    <t>377842</t>
  </si>
  <si>
    <t>139795</t>
  </si>
  <si>
    <t>377877</t>
  </si>
  <si>
    <t>673101</t>
  </si>
  <si>
    <t>476040</t>
  </si>
  <si>
    <t>475937</t>
  </si>
  <si>
    <t>44055</t>
  </si>
  <si>
    <t>476042</t>
  </si>
  <si>
    <t>44056</t>
  </si>
  <si>
    <t>44057</t>
  </si>
  <si>
    <t>44058</t>
  </si>
  <si>
    <t>44059</t>
  </si>
  <si>
    <t>385709</t>
  </si>
  <si>
    <t>66176</t>
  </si>
  <si>
    <t>476046</t>
  </si>
  <si>
    <t>66177</t>
  </si>
  <si>
    <t>66178</t>
  </si>
  <si>
    <t>672955</t>
  </si>
  <si>
    <t>138598</t>
  </si>
  <si>
    <t>377888</t>
  </si>
  <si>
    <t>138599</t>
  </si>
  <si>
    <t>140001</t>
  </si>
  <si>
    <t>143042</t>
  </si>
  <si>
    <t>99355</t>
  </si>
  <si>
    <t>672807</t>
  </si>
  <si>
    <t>99356</t>
  </si>
  <si>
    <t>66170</t>
  </si>
  <si>
    <t>476053</t>
  </si>
  <si>
    <t>66171</t>
  </si>
  <si>
    <t>66172</t>
  </si>
  <si>
    <t>66173</t>
  </si>
  <si>
    <t>377889</t>
  </si>
  <si>
    <t>134774</t>
  </si>
  <si>
    <t>140831</t>
  </si>
  <si>
    <t>99358</t>
  </si>
  <si>
    <t>672818</t>
  </si>
  <si>
    <t>99359</t>
  </si>
  <si>
    <t>141662</t>
  </si>
  <si>
    <t>377882</t>
  </si>
  <si>
    <t>141663</t>
  </si>
  <si>
    <t>123905</t>
  </si>
  <si>
    <t>673344</t>
  </si>
  <si>
    <t>377880</t>
  </si>
  <si>
    <t>66180</t>
  </si>
  <si>
    <t>673454</t>
  </si>
  <si>
    <t>99372</t>
  </si>
  <si>
    <t>673069</t>
  </si>
  <si>
    <t>99373</t>
  </si>
  <si>
    <t>99389</t>
  </si>
  <si>
    <t>673211</t>
  </si>
  <si>
    <t>99390</t>
  </si>
  <si>
    <t>673203</t>
  </si>
  <si>
    <t>118436</t>
  </si>
  <si>
    <t>673214</t>
  </si>
  <si>
    <t>132449</t>
  </si>
  <si>
    <t>377900</t>
  </si>
  <si>
    <t>66182</t>
  </si>
  <si>
    <t>673487</t>
  </si>
  <si>
    <t>66183</t>
  </si>
  <si>
    <t>66184</t>
  </si>
  <si>
    <t>44060</t>
  </si>
  <si>
    <t>476064</t>
  </si>
  <si>
    <t>C04M110-1-00</t>
  </si>
  <si>
    <t>764817</t>
  </si>
  <si>
    <t>C03M110-1-00</t>
  </si>
  <si>
    <t>C05/06M030-1-00</t>
  </si>
  <si>
    <t>99395</t>
  </si>
  <si>
    <t>673408</t>
  </si>
  <si>
    <t>99396</t>
  </si>
  <si>
    <t>99397</t>
  </si>
  <si>
    <t>99398</t>
  </si>
  <si>
    <t>66195</t>
  </si>
  <si>
    <t>673500</t>
  </si>
  <si>
    <t>99361</t>
  </si>
  <si>
    <t>672891</t>
  </si>
  <si>
    <t>66191</t>
  </si>
  <si>
    <t>476083</t>
  </si>
  <si>
    <t>66192</t>
  </si>
  <si>
    <t>673215</t>
  </si>
  <si>
    <t>44061</t>
  </si>
  <si>
    <t>476082</t>
  </si>
  <si>
    <t>44062</t>
  </si>
  <si>
    <t>44065</t>
  </si>
  <si>
    <t>476086</t>
  </si>
  <si>
    <t>44066</t>
  </si>
  <si>
    <t>44067</t>
  </si>
  <si>
    <t>44068</t>
  </si>
  <si>
    <t>44069</t>
  </si>
  <si>
    <t>44070</t>
  </si>
  <si>
    <t>44071</t>
  </si>
  <si>
    <t>132450</t>
  </si>
  <si>
    <t>377945</t>
  </si>
  <si>
    <t>66185</t>
  </si>
  <si>
    <t>153388</t>
  </si>
  <si>
    <t>66193</t>
  </si>
  <si>
    <t>476088</t>
  </si>
  <si>
    <t>66194</t>
  </si>
  <si>
    <t>673470</t>
  </si>
  <si>
    <t>66197</t>
  </si>
  <si>
    <t>142886</t>
  </si>
  <si>
    <t>673499</t>
  </si>
  <si>
    <t>142992</t>
  </si>
  <si>
    <t>673502</t>
  </si>
  <si>
    <t>66196</t>
  </si>
  <si>
    <t>673451</t>
  </si>
  <si>
    <t>673517</t>
  </si>
  <si>
    <t>135998</t>
  </si>
  <si>
    <t>673417</t>
  </si>
  <si>
    <t>66198</t>
  </si>
  <si>
    <t>673544</t>
  </si>
  <si>
    <t>66274</t>
  </si>
  <si>
    <t>673516</t>
  </si>
  <si>
    <t>140073</t>
  </si>
  <si>
    <t>377965</t>
  </si>
  <si>
    <t>66201</t>
  </si>
  <si>
    <t>673559</t>
  </si>
  <si>
    <t>377926</t>
  </si>
  <si>
    <t>44072</t>
  </si>
  <si>
    <t>476114</t>
  </si>
  <si>
    <t>44063</t>
  </si>
  <si>
    <t>476112</t>
  </si>
  <si>
    <t>44064</t>
  </si>
  <si>
    <t>44073</t>
  </si>
  <si>
    <t>476116</t>
  </si>
  <si>
    <t>44074</t>
  </si>
  <si>
    <t>44075</t>
  </si>
  <si>
    <t>44076</t>
  </si>
  <si>
    <t>44077</t>
  </si>
  <si>
    <t>44078</t>
  </si>
  <si>
    <t>377248</t>
  </si>
  <si>
    <t>66200</t>
  </si>
  <si>
    <t>673557</t>
  </si>
  <si>
    <t>99410</t>
  </si>
  <si>
    <t>673552</t>
  </si>
  <si>
    <t>673341</t>
  </si>
  <si>
    <t>44079</t>
  </si>
  <si>
    <t>476147</t>
  </si>
  <si>
    <t>44080</t>
  </si>
  <si>
    <t>673634</t>
  </si>
  <si>
    <t>66205</t>
  </si>
  <si>
    <t>673647</t>
  </si>
  <si>
    <t>377899</t>
  </si>
  <si>
    <t>377917</t>
  </si>
  <si>
    <t>99399</t>
  </si>
  <si>
    <t>377922</t>
  </si>
  <si>
    <t>99401</t>
  </si>
  <si>
    <t>115213</t>
  </si>
  <si>
    <t>144064</t>
  </si>
  <si>
    <t>377950</t>
  </si>
  <si>
    <t>377940</t>
  </si>
  <si>
    <t>377951</t>
  </si>
  <si>
    <t>673539</t>
  </si>
  <si>
    <t>377952</t>
  </si>
  <si>
    <t>99402</t>
  </si>
  <si>
    <t>99403</t>
  </si>
  <si>
    <t>66072</t>
  </si>
  <si>
    <t>385676</t>
  </si>
  <si>
    <t>66073</t>
  </si>
  <si>
    <t>66179</t>
  </si>
  <si>
    <t>153378</t>
  </si>
  <si>
    <t>385674</t>
  </si>
  <si>
    <t>66071</t>
  </si>
  <si>
    <t>44081</t>
  </si>
  <si>
    <t>99404</t>
  </si>
  <si>
    <t>673541</t>
  </si>
  <si>
    <t>99405</t>
  </si>
  <si>
    <t>99406</t>
  </si>
  <si>
    <t>99407</t>
  </si>
  <si>
    <t>99408</t>
  </si>
  <si>
    <t>66203</t>
  </si>
  <si>
    <t>153393</t>
  </si>
  <si>
    <t>44082</t>
  </si>
  <si>
    <t>476175</t>
  </si>
  <si>
    <t>C01/02M040-1-00</t>
  </si>
  <si>
    <t>764824</t>
  </si>
  <si>
    <t>66206</t>
  </si>
  <si>
    <t>476189</t>
  </si>
  <si>
    <t>66207</t>
  </si>
  <si>
    <t>66208</t>
  </si>
  <si>
    <t>66209</t>
  </si>
  <si>
    <t>66210</t>
  </si>
  <si>
    <t>66211</t>
  </si>
  <si>
    <t>66212</t>
  </si>
  <si>
    <t>476190</t>
  </si>
  <si>
    <t>66216</t>
  </si>
  <si>
    <t>66217</t>
  </si>
  <si>
    <t>66227</t>
  </si>
  <si>
    <t>385832</t>
  </si>
  <si>
    <t>377855</t>
  </si>
  <si>
    <t>66218</t>
  </si>
  <si>
    <t>476208</t>
  </si>
  <si>
    <t>66221</t>
  </si>
  <si>
    <t>476210</t>
  </si>
  <si>
    <t>66222</t>
  </si>
  <si>
    <t>44083</t>
  </si>
  <si>
    <t>476211</t>
  </si>
  <si>
    <t>133631</t>
  </si>
  <si>
    <t>673687</t>
  </si>
  <si>
    <t>476224</t>
  </si>
  <si>
    <t>44086</t>
  </si>
  <si>
    <t>44087</t>
  </si>
  <si>
    <t>66213</t>
  </si>
  <si>
    <t>476226</t>
  </si>
  <si>
    <t>66214</t>
  </si>
  <si>
    <t>99411</t>
  </si>
  <si>
    <t>476172</t>
  </si>
  <si>
    <t>377944</t>
  </si>
  <si>
    <t>66223</t>
  </si>
  <si>
    <t>476225</t>
  </si>
  <si>
    <t>66231</t>
  </si>
  <si>
    <t>673762</t>
  </si>
  <si>
    <t>44084</t>
  </si>
  <si>
    <t>476223</t>
  </si>
  <si>
    <t>44085</t>
  </si>
  <si>
    <t>66228</t>
  </si>
  <si>
    <t>385839</t>
  </si>
  <si>
    <t>66229</t>
  </si>
  <si>
    <t>66230</t>
  </si>
  <si>
    <t>385845</t>
  </si>
  <si>
    <t>44090</t>
  </si>
  <si>
    <t>476251</t>
  </si>
  <si>
    <t>44088</t>
  </si>
  <si>
    <t>476254</t>
  </si>
  <si>
    <t>44089</t>
  </si>
  <si>
    <t>377881</t>
  </si>
  <si>
    <t>476250</t>
  </si>
  <si>
    <t>378034</t>
  </si>
  <si>
    <t>378035</t>
  </si>
  <si>
    <t>145642</t>
  </si>
  <si>
    <t>673758</t>
  </si>
  <si>
    <t>145643</t>
  </si>
  <si>
    <t>673776</t>
  </si>
  <si>
    <t>673507</t>
  </si>
  <si>
    <t>44091</t>
  </si>
  <si>
    <t>44092</t>
  </si>
  <si>
    <t>44093</t>
  </si>
  <si>
    <t>99418</t>
  </si>
  <si>
    <t>378058</t>
  </si>
  <si>
    <t>C03M070-2-05</t>
  </si>
  <si>
    <t>764837</t>
  </si>
  <si>
    <t>C07M040-2-05</t>
  </si>
  <si>
    <t>673810</t>
  </si>
  <si>
    <t>C03M070-2-03</t>
  </si>
  <si>
    <t>764836</t>
  </si>
  <si>
    <t>378046</t>
  </si>
  <si>
    <t>377916</t>
  </si>
  <si>
    <t>44095</t>
  </si>
  <si>
    <t>673872</t>
  </si>
  <si>
    <t>66233</t>
  </si>
  <si>
    <t>673869</t>
  </si>
  <si>
    <t>99412</t>
  </si>
  <si>
    <t>378055</t>
  </si>
  <si>
    <t>476290</t>
  </si>
  <si>
    <t>99421</t>
  </si>
  <si>
    <t>378077</t>
  </si>
  <si>
    <t>66234</t>
  </si>
  <si>
    <t>385858</t>
  </si>
  <si>
    <t>66235</t>
  </si>
  <si>
    <t>66236</t>
  </si>
  <si>
    <t>66237</t>
  </si>
  <si>
    <t>130924</t>
  </si>
  <si>
    <t>476294</t>
  </si>
  <si>
    <t>44096</t>
  </si>
  <si>
    <t>476298</t>
  </si>
  <si>
    <t>44097</t>
  </si>
  <si>
    <t>C07M040-2-03</t>
  </si>
  <si>
    <t>99417</t>
  </si>
  <si>
    <t>378068</t>
  </si>
  <si>
    <t>673921</t>
  </si>
  <si>
    <t>44098</t>
  </si>
  <si>
    <t>476318</t>
  </si>
  <si>
    <t>378061</t>
  </si>
  <si>
    <t>99420</t>
  </si>
  <si>
    <t>673858</t>
  </si>
  <si>
    <t>673899</t>
  </si>
  <si>
    <t>99422</t>
  </si>
  <si>
    <t>673927</t>
  </si>
  <si>
    <t>66242</t>
  </si>
  <si>
    <t>476341</t>
  </si>
  <si>
    <t>66243</t>
  </si>
  <si>
    <t>66244</t>
  </si>
  <si>
    <t>66245</t>
  </si>
  <si>
    <t>66246</t>
  </si>
  <si>
    <t>378048</t>
  </si>
  <si>
    <t>145520</t>
  </si>
  <si>
    <t>475603</t>
  </si>
  <si>
    <t>66238</t>
  </si>
  <si>
    <t>476342</t>
  </si>
  <si>
    <t>44100</t>
  </si>
  <si>
    <t>476353</t>
  </si>
  <si>
    <t>44094</t>
  </si>
  <si>
    <t>44101</t>
  </si>
  <si>
    <t>123065</t>
  </si>
  <si>
    <t>476343</t>
  </si>
  <si>
    <t>66240</t>
  </si>
  <si>
    <t>476358</t>
  </si>
  <si>
    <t>66247</t>
  </si>
  <si>
    <t>476360</t>
  </si>
  <si>
    <t>66248</t>
  </si>
  <si>
    <t>66249</t>
  </si>
  <si>
    <t>44099</t>
  </si>
  <si>
    <t>476359</t>
  </si>
  <si>
    <t>66239</t>
  </si>
  <si>
    <t>476357</t>
  </si>
  <si>
    <t>378088</t>
  </si>
  <si>
    <t>475371</t>
  </si>
  <si>
    <t>66254</t>
  </si>
  <si>
    <t>673994</t>
  </si>
  <si>
    <t>377133</t>
  </si>
  <si>
    <t>44102</t>
  </si>
  <si>
    <t>673993</t>
  </si>
  <si>
    <t>44103</t>
  </si>
  <si>
    <t>44104</t>
  </si>
  <si>
    <t>44105</t>
  </si>
  <si>
    <t>44106</t>
  </si>
  <si>
    <t>66115</t>
  </si>
  <si>
    <t>385772</t>
  </si>
  <si>
    <t>378082</t>
  </si>
  <si>
    <t>66257</t>
  </si>
  <si>
    <t>385876</t>
  </si>
  <si>
    <t>66256</t>
  </si>
  <si>
    <t>385881</t>
  </si>
  <si>
    <t>99414</t>
  </si>
  <si>
    <t>673913</t>
  </si>
  <si>
    <t>110114</t>
  </si>
  <si>
    <t>674000</t>
  </si>
  <si>
    <t>121667</t>
  </si>
  <si>
    <t>378044</t>
  </si>
  <si>
    <t>44112</t>
  </si>
  <si>
    <t>674035</t>
  </si>
  <si>
    <t>135277</t>
  </si>
  <si>
    <t>378112</t>
  </si>
  <si>
    <t>44107</t>
  </si>
  <si>
    <t>476401</t>
  </si>
  <si>
    <t>44108</t>
  </si>
  <si>
    <t>44109</t>
  </si>
  <si>
    <t>44110</t>
  </si>
  <si>
    <t>44111</t>
  </si>
  <si>
    <t>66258</t>
  </si>
  <si>
    <t>674060</t>
  </si>
  <si>
    <t>66259</t>
  </si>
  <si>
    <t>07/08M040-1-00A</t>
  </si>
  <si>
    <t>764848</t>
  </si>
  <si>
    <t>673830</t>
  </si>
  <si>
    <t>99416</t>
  </si>
  <si>
    <t>07/08M060-1-00A</t>
  </si>
  <si>
    <t>764850</t>
  </si>
  <si>
    <t>44116</t>
  </si>
  <si>
    <t>674077</t>
  </si>
  <si>
    <t>66262</t>
  </si>
  <si>
    <t>674078</t>
  </si>
  <si>
    <t>44114</t>
  </si>
  <si>
    <t>674076</t>
  </si>
  <si>
    <t>44115</t>
  </si>
  <si>
    <t>385636</t>
  </si>
  <si>
    <t>66041</t>
  </si>
  <si>
    <t>385637</t>
  </si>
  <si>
    <t>385638</t>
  </si>
  <si>
    <t>476429</t>
  </si>
  <si>
    <t>44113</t>
  </si>
  <si>
    <t>476439</t>
  </si>
  <si>
    <t>674040</t>
  </si>
  <si>
    <t>141419</t>
  </si>
  <si>
    <t>133627</t>
  </si>
  <si>
    <t>378137</t>
  </si>
  <si>
    <t>103711</t>
  </si>
  <si>
    <t>476400</t>
  </si>
  <si>
    <t>378138</t>
  </si>
  <si>
    <t>66264</t>
  </si>
  <si>
    <t>674095</t>
  </si>
  <si>
    <t>116884</t>
  </si>
  <si>
    <t>674049</t>
  </si>
  <si>
    <t>99413</t>
  </si>
  <si>
    <t>673798</t>
  </si>
  <si>
    <t>673846</t>
  </si>
  <si>
    <t>66260</t>
  </si>
  <si>
    <t>476461</t>
  </si>
  <si>
    <t>66265</t>
  </si>
  <si>
    <t>385900</t>
  </si>
  <si>
    <t>66266</t>
  </si>
  <si>
    <t>66267</t>
  </si>
  <si>
    <t>66268</t>
  </si>
  <si>
    <t>44117</t>
  </si>
  <si>
    <t>44118</t>
  </si>
  <si>
    <t>44119</t>
  </si>
  <si>
    <t>476472</t>
  </si>
  <si>
    <t>99423</t>
  </si>
  <si>
    <t>378183</t>
  </si>
  <si>
    <t>99424</t>
  </si>
  <si>
    <t>378164</t>
  </si>
  <si>
    <t>99381</t>
  </si>
  <si>
    <t>44125</t>
  </si>
  <si>
    <t>476475</t>
  </si>
  <si>
    <t>44126</t>
  </si>
  <si>
    <t>145665</t>
  </si>
  <si>
    <t>476457</t>
  </si>
  <si>
    <t>99415</t>
  </si>
  <si>
    <t>378051</t>
  </si>
  <si>
    <t>44120</t>
  </si>
  <si>
    <t>476482</t>
  </si>
  <si>
    <t>44121</t>
  </si>
  <si>
    <t>44122</t>
  </si>
  <si>
    <t>44123</t>
  </si>
  <si>
    <t>44124</t>
  </si>
  <si>
    <t>99203</t>
  </si>
  <si>
    <t>117838</t>
  </si>
  <si>
    <t>674070</t>
  </si>
  <si>
    <t>66269</t>
  </si>
  <si>
    <t>476488</t>
  </si>
  <si>
    <t>66270</t>
  </si>
  <si>
    <t>66271</t>
  </si>
  <si>
    <t>66272</t>
  </si>
  <si>
    <t>378087</t>
  </si>
  <si>
    <t>674112</t>
  </si>
  <si>
    <t>139170</t>
  </si>
  <si>
    <t>378185</t>
  </si>
  <si>
    <t>378211</t>
  </si>
  <si>
    <t>673929</t>
  </si>
  <si>
    <t>66276</t>
  </si>
  <si>
    <t>674196</t>
  </si>
  <si>
    <t>378158</t>
  </si>
  <si>
    <t>66277</t>
  </si>
  <si>
    <t>476525</t>
  </si>
  <si>
    <t>66278</t>
  </si>
  <si>
    <t>66279</t>
  </si>
  <si>
    <t>66273</t>
  </si>
  <si>
    <t>476523</t>
  </si>
  <si>
    <t>44127</t>
  </si>
  <si>
    <t>476526</t>
  </si>
  <si>
    <t>44128</t>
  </si>
  <si>
    <t>44129</t>
  </si>
  <si>
    <t>44130</t>
  </si>
  <si>
    <t>99427</t>
  </si>
  <si>
    <t>378240</t>
  </si>
  <si>
    <t>99428</t>
  </si>
  <si>
    <t>144487</t>
  </si>
  <si>
    <t>44133</t>
  </si>
  <si>
    <t>476539</t>
  </si>
  <si>
    <t>66275</t>
  </si>
  <si>
    <t>476540</t>
  </si>
  <si>
    <t>99419</t>
  </si>
  <si>
    <t>378063</t>
  </si>
  <si>
    <t>378130</t>
  </si>
  <si>
    <t>120271</t>
  </si>
  <si>
    <t>378196</t>
  </si>
  <si>
    <t>129210</t>
  </si>
  <si>
    <t>674243</t>
  </si>
  <si>
    <t>141044</t>
  </si>
  <si>
    <t>378194</t>
  </si>
  <si>
    <t>141048</t>
  </si>
  <si>
    <t>674129</t>
  </si>
  <si>
    <t>119898</t>
  </si>
  <si>
    <t>378173</t>
  </si>
  <si>
    <t>134775</t>
  </si>
  <si>
    <t>476468</t>
  </si>
  <si>
    <t>140283</t>
  </si>
  <si>
    <t>44131</t>
  </si>
  <si>
    <t>476569</t>
  </si>
  <si>
    <t>44132</t>
  </si>
  <si>
    <t>476577</t>
  </si>
  <si>
    <t>378261</t>
  </si>
  <si>
    <t>99431</t>
  </si>
  <si>
    <t>378260</t>
  </si>
  <si>
    <t>99432</t>
  </si>
  <si>
    <t>99433</t>
  </si>
  <si>
    <t>99434</t>
  </si>
  <si>
    <t>99435</t>
  </si>
  <si>
    <t>66280</t>
  </si>
  <si>
    <t>476581</t>
  </si>
  <si>
    <t>385649</t>
  </si>
  <si>
    <t>44134</t>
  </si>
  <si>
    <t>66285</t>
  </si>
  <si>
    <t>385940</t>
  </si>
  <si>
    <t>378227</t>
  </si>
  <si>
    <t>66283</t>
  </si>
  <si>
    <t>476588</t>
  </si>
  <si>
    <t>66284</t>
  </si>
  <si>
    <t>66286</t>
  </si>
  <si>
    <t>385943</t>
  </si>
  <si>
    <t>99425</t>
  </si>
  <si>
    <t>99426</t>
  </si>
  <si>
    <t>99429</t>
  </si>
  <si>
    <t>44135</t>
  </si>
  <si>
    <t>476612</t>
  </si>
  <si>
    <t>66282</t>
  </si>
  <si>
    <t>674275</t>
  </si>
  <si>
    <t>66287</t>
  </si>
  <si>
    <t>674345</t>
  </si>
  <si>
    <t>378269</t>
  </si>
  <si>
    <t>66290</t>
  </si>
  <si>
    <t>385953</t>
  </si>
  <si>
    <t>66555</t>
  </si>
  <si>
    <t>475330</t>
  </si>
  <si>
    <t>674350</t>
  </si>
  <si>
    <t>674406</t>
  </si>
  <si>
    <t>99441</t>
  </si>
  <si>
    <t>674296</t>
  </si>
  <si>
    <t>66291</t>
  </si>
  <si>
    <t>385961</t>
  </si>
  <si>
    <t>99430</t>
  </si>
  <si>
    <t>378239</t>
  </si>
  <si>
    <t>66293</t>
  </si>
  <si>
    <t>476640</t>
  </si>
  <si>
    <t>66294</t>
  </si>
  <si>
    <t>674450</t>
  </si>
  <si>
    <t>66288</t>
  </si>
  <si>
    <t>476645</t>
  </si>
  <si>
    <t>C03M120-4-01</t>
  </si>
  <si>
    <t>764873</t>
  </si>
  <si>
    <t>66292</t>
  </si>
  <si>
    <t>476650</t>
  </si>
  <si>
    <t>128012</t>
  </si>
  <si>
    <t>377885</t>
  </si>
  <si>
    <t>378157</t>
  </si>
  <si>
    <t>C03M120-3-03+2</t>
  </si>
  <si>
    <t>764867</t>
  </si>
  <si>
    <t>C03M120-3-05+2</t>
  </si>
  <si>
    <t>03M070-2-00B</t>
  </si>
  <si>
    <t>764878</t>
  </si>
  <si>
    <t>66289</t>
  </si>
  <si>
    <t>385952</t>
  </si>
  <si>
    <t>66297</t>
  </si>
  <si>
    <t>476698</t>
  </si>
  <si>
    <t>66298</t>
  </si>
  <si>
    <t>66299</t>
  </si>
  <si>
    <t>66300</t>
  </si>
  <si>
    <t>66301</t>
  </si>
  <si>
    <t>44136</t>
  </si>
  <si>
    <t>476705</t>
  </si>
  <si>
    <t>44137</t>
  </si>
  <si>
    <t>C00M099-0-07</t>
  </si>
  <si>
    <t>764875</t>
  </si>
  <si>
    <t>378332</t>
  </si>
  <si>
    <t>66302</t>
  </si>
  <si>
    <t>674533</t>
  </si>
  <si>
    <t>378204</t>
  </si>
  <si>
    <t>66303</t>
  </si>
  <si>
    <t>385985</t>
  </si>
  <si>
    <t>44138</t>
  </si>
  <si>
    <t>476719</t>
  </si>
  <si>
    <t>44141</t>
  </si>
  <si>
    <t>476723</t>
  </si>
  <si>
    <t>44139</t>
  </si>
  <si>
    <t>476721</t>
  </si>
  <si>
    <t>44140</t>
  </si>
  <si>
    <t>476722</t>
  </si>
  <si>
    <t>66311</t>
  </si>
  <si>
    <t>385991</t>
  </si>
  <si>
    <t>66304</t>
  </si>
  <si>
    <t>476725</t>
  </si>
  <si>
    <t>110881</t>
  </si>
  <si>
    <t>66312</t>
  </si>
  <si>
    <t>385995</t>
  </si>
  <si>
    <t>66309</t>
  </si>
  <si>
    <t>476752</t>
  </si>
  <si>
    <t>66310</t>
  </si>
  <si>
    <t>03M070-2-00A</t>
  </si>
  <si>
    <t>674441</t>
  </si>
  <si>
    <t>66318</t>
  </si>
  <si>
    <t>674622</t>
  </si>
  <si>
    <t>66314</t>
  </si>
  <si>
    <t>386005</t>
  </si>
  <si>
    <t>378453</t>
  </si>
  <si>
    <t>66319</t>
  </si>
  <si>
    <t>386007</t>
  </si>
  <si>
    <t>44142</t>
  </si>
  <si>
    <t>476809</t>
  </si>
  <si>
    <t>105073</t>
  </si>
  <si>
    <t>476788</t>
  </si>
  <si>
    <t>126209</t>
  </si>
  <si>
    <t>120687</t>
  </si>
  <si>
    <t>66306</t>
  </si>
  <si>
    <t>476808</t>
  </si>
  <si>
    <t>66307</t>
  </si>
  <si>
    <t>66308</t>
  </si>
  <si>
    <t>66313</t>
  </si>
  <si>
    <t>476807</t>
  </si>
  <si>
    <t>378408</t>
  </si>
  <si>
    <t>99445</t>
  </si>
  <si>
    <t>674650</t>
  </si>
  <si>
    <t>673345</t>
  </si>
  <si>
    <t>66315</t>
  </si>
  <si>
    <t>386017</t>
  </si>
  <si>
    <t>66316</t>
  </si>
  <si>
    <t>66322</t>
  </si>
  <si>
    <t>386021</t>
  </si>
  <si>
    <t>66323</t>
  </si>
  <si>
    <t>66324</t>
  </si>
  <si>
    <t>386023</t>
  </si>
  <si>
    <t>66325</t>
  </si>
  <si>
    <t>66326</t>
  </si>
  <si>
    <t>66317</t>
  </si>
  <si>
    <t>476813</t>
  </si>
  <si>
    <t>66331</t>
  </si>
  <si>
    <t>386029</t>
  </si>
  <si>
    <t>66332</t>
  </si>
  <si>
    <t>66333</t>
  </si>
  <si>
    <t>386030</t>
  </si>
  <si>
    <t>66321</t>
  </si>
  <si>
    <t>378500</t>
  </si>
  <si>
    <t>99446</t>
  </si>
  <si>
    <t>386031</t>
  </si>
  <si>
    <t>99443</t>
  </si>
  <si>
    <t>674598</t>
  </si>
  <si>
    <t>66334</t>
  </si>
  <si>
    <t>386032</t>
  </si>
  <si>
    <t>66335</t>
  </si>
  <si>
    <t>66336</t>
  </si>
  <si>
    <t>66337</t>
  </si>
  <si>
    <t>44143</t>
  </si>
  <si>
    <t>476842</t>
  </si>
  <si>
    <t>44144</t>
  </si>
  <si>
    <t>44145</t>
  </si>
  <si>
    <t>44146</t>
  </si>
  <si>
    <t>476841</t>
  </si>
  <si>
    <t>66327</t>
  </si>
  <si>
    <t>476857</t>
  </si>
  <si>
    <t>66328</t>
  </si>
  <si>
    <t>66329</t>
  </si>
  <si>
    <t>66330</t>
  </si>
  <si>
    <t>99447</t>
  </si>
  <si>
    <t>674780</t>
  </si>
  <si>
    <t>44147</t>
  </si>
  <si>
    <t>476870</t>
  </si>
  <si>
    <t>66339</t>
  </si>
  <si>
    <t>386037</t>
  </si>
  <si>
    <t>476875</t>
  </si>
  <si>
    <t>66338</t>
  </si>
  <si>
    <t>476881</t>
  </si>
  <si>
    <t>66340</t>
  </si>
  <si>
    <t>66341</t>
  </si>
  <si>
    <t>66342</t>
  </si>
  <si>
    <t>66343</t>
  </si>
  <si>
    <t>66344</t>
  </si>
  <si>
    <t>66350</t>
  </si>
  <si>
    <t>386061</t>
  </si>
  <si>
    <t>99442</t>
  </si>
  <si>
    <t>378400</t>
  </si>
  <si>
    <t>21006.00.001.004</t>
  </si>
  <si>
    <t>889910</t>
  </si>
  <si>
    <t>44148</t>
  </si>
  <si>
    <t>476910</t>
  </si>
  <si>
    <t>44149</t>
  </si>
  <si>
    <t>99448</t>
  </si>
  <si>
    <t>378519</t>
  </si>
  <si>
    <t>66354</t>
  </si>
  <si>
    <t>386069</t>
  </si>
  <si>
    <t>378565</t>
  </si>
  <si>
    <t>66352</t>
  </si>
  <si>
    <t>386066</t>
  </si>
  <si>
    <t>66351</t>
  </si>
  <si>
    <t>66353</t>
  </si>
  <si>
    <t>674502</t>
  </si>
  <si>
    <t>66345</t>
  </si>
  <si>
    <t>476920</t>
  </si>
  <si>
    <t>66346</t>
  </si>
  <si>
    <t>66347</t>
  </si>
  <si>
    <t>66348</t>
  </si>
  <si>
    <t>66349</t>
  </si>
  <si>
    <t>377513</t>
  </si>
  <si>
    <t>66355</t>
  </si>
  <si>
    <t>386083</t>
  </si>
  <si>
    <t>66356</t>
  </si>
  <si>
    <t>66370</t>
  </si>
  <si>
    <t>386087</t>
  </si>
  <si>
    <t>99449</t>
  </si>
  <si>
    <t>674924</t>
  </si>
  <si>
    <t>66357</t>
  </si>
  <si>
    <t>476928</t>
  </si>
  <si>
    <t>66358</t>
  </si>
  <si>
    <t>66359</t>
  </si>
  <si>
    <t>66360</t>
  </si>
  <si>
    <t>66361</t>
  </si>
  <si>
    <t>66362</t>
  </si>
  <si>
    <t>66363</t>
  </si>
  <si>
    <t>66364</t>
  </si>
  <si>
    <t>66365</t>
  </si>
  <si>
    <t>66366</t>
  </si>
  <si>
    <t>66367</t>
  </si>
  <si>
    <t>66368</t>
  </si>
  <si>
    <t>66369</t>
  </si>
  <si>
    <t>44150</t>
  </si>
  <si>
    <t>476930</t>
  </si>
  <si>
    <t>C03M070-3-00</t>
  </si>
  <si>
    <t>764896</t>
  </si>
  <si>
    <t>99453</t>
  </si>
  <si>
    <t>386097</t>
  </si>
  <si>
    <t>99450</t>
  </si>
  <si>
    <t>674988</t>
  </si>
  <si>
    <t>386100</t>
  </si>
  <si>
    <t>66479</t>
  </si>
  <si>
    <t>675006</t>
  </si>
  <si>
    <t>109964</t>
  </si>
  <si>
    <t>675010</t>
  </si>
  <si>
    <t>66296</t>
  </si>
  <si>
    <t>385978</t>
  </si>
  <si>
    <t>66371</t>
  </si>
  <si>
    <t>386093</t>
  </si>
  <si>
    <t>44151</t>
  </si>
  <si>
    <t>476950</t>
  </si>
  <si>
    <t>378521</t>
  </si>
  <si>
    <t>POR-XXX-380-000B</t>
  </si>
  <si>
    <t>764912</t>
  </si>
  <si>
    <t>00M99-1-01A</t>
  </si>
  <si>
    <t>764918</t>
  </si>
  <si>
    <t>111698</t>
  </si>
  <si>
    <t>153427</t>
  </si>
  <si>
    <t>111699</t>
  </si>
  <si>
    <t>POR-XXX-380-000A</t>
  </si>
  <si>
    <t>764917</t>
  </si>
  <si>
    <t>07M060-1-19-016</t>
  </si>
  <si>
    <t>764931</t>
  </si>
  <si>
    <t>99454</t>
  </si>
  <si>
    <t>153433</t>
  </si>
  <si>
    <t>99455</t>
  </si>
  <si>
    <t>99456</t>
  </si>
  <si>
    <t>C00M099-13-00</t>
  </si>
  <si>
    <t>764923</t>
  </si>
  <si>
    <t>66378</t>
  </si>
  <si>
    <t>386123</t>
  </si>
  <si>
    <t>66379</t>
  </si>
  <si>
    <t>66382</t>
  </si>
  <si>
    <t>66383</t>
  </si>
  <si>
    <t>00M99-1-01B</t>
  </si>
  <si>
    <t>674995</t>
  </si>
  <si>
    <t>66384</t>
  </si>
  <si>
    <t>386121</t>
  </si>
  <si>
    <t>66381</t>
  </si>
  <si>
    <t>66380</t>
  </si>
  <si>
    <t>386122</t>
  </si>
  <si>
    <t>44152</t>
  </si>
  <si>
    <t>66373</t>
  </si>
  <si>
    <t>476974</t>
  </si>
  <si>
    <t>66374</t>
  </si>
  <si>
    <t>66377</t>
  </si>
  <si>
    <t>475401</t>
  </si>
  <si>
    <t>66385</t>
  </si>
  <si>
    <t>386132</t>
  </si>
  <si>
    <t>44153</t>
  </si>
  <si>
    <t>476999</t>
  </si>
  <si>
    <t>44154</t>
  </si>
  <si>
    <t>44155</t>
  </si>
  <si>
    <t>476996</t>
  </si>
  <si>
    <t>44156</t>
  </si>
  <si>
    <t>477002</t>
  </si>
  <si>
    <t>66387</t>
  </si>
  <si>
    <t>386146</t>
  </si>
  <si>
    <t>66388</t>
  </si>
  <si>
    <t>66389</t>
  </si>
  <si>
    <t>99452</t>
  </si>
  <si>
    <t>386096</t>
  </si>
  <si>
    <t>99458</t>
  </si>
  <si>
    <t>675030</t>
  </si>
  <si>
    <t>44157</t>
  </si>
  <si>
    <t>153451</t>
  </si>
  <si>
    <t>378637</t>
  </si>
  <si>
    <t>139218</t>
  </si>
  <si>
    <t>675201</t>
  </si>
  <si>
    <t>675203</t>
  </si>
  <si>
    <t>675149</t>
  </si>
  <si>
    <t>99457</t>
  </si>
  <si>
    <t>675157</t>
  </si>
  <si>
    <t>66386</t>
  </si>
  <si>
    <t>386133</t>
  </si>
  <si>
    <t>675088</t>
  </si>
  <si>
    <t>44158</t>
  </si>
  <si>
    <t>477058</t>
  </si>
  <si>
    <t>44159</t>
  </si>
  <si>
    <t>66392</t>
  </si>
  <si>
    <t>477067</t>
  </si>
  <si>
    <t>66394</t>
  </si>
  <si>
    <t>386187</t>
  </si>
  <si>
    <t>66395</t>
  </si>
  <si>
    <t>142170</t>
  </si>
  <si>
    <t>675262</t>
  </si>
  <si>
    <t>66393</t>
  </si>
  <si>
    <t>477073</t>
  </si>
  <si>
    <t>C00M099-13-00+2</t>
  </si>
  <si>
    <t>764956</t>
  </si>
  <si>
    <t>66396</t>
  </si>
  <si>
    <t>675332</t>
  </si>
  <si>
    <t>66407</t>
  </si>
  <si>
    <t>477090</t>
  </si>
  <si>
    <t>66408</t>
  </si>
  <si>
    <t>66409</t>
  </si>
  <si>
    <t>66410</t>
  </si>
  <si>
    <t>66411</t>
  </si>
  <si>
    <t>66412</t>
  </si>
  <si>
    <t>66413</t>
  </si>
  <si>
    <t>66414</t>
  </si>
  <si>
    <t>66415</t>
  </si>
  <si>
    <t>66416</t>
  </si>
  <si>
    <t>66397</t>
  </si>
  <si>
    <t>477091</t>
  </si>
  <si>
    <t>66398</t>
  </si>
  <si>
    <t>66399</t>
  </si>
  <si>
    <t>66400</t>
  </si>
  <si>
    <t>66401</t>
  </si>
  <si>
    <t>66402</t>
  </si>
  <si>
    <t>66403</t>
  </si>
  <si>
    <t>66404</t>
  </si>
  <si>
    <t>66405</t>
  </si>
  <si>
    <t>66406</t>
  </si>
  <si>
    <t>44163</t>
  </si>
  <si>
    <t>477092</t>
  </si>
  <si>
    <t>66372</t>
  </si>
  <si>
    <t>44164</t>
  </si>
  <si>
    <t>477097</t>
  </si>
  <si>
    <t>44160</t>
  </si>
  <si>
    <t>477104</t>
  </si>
  <si>
    <t>44161</t>
  </si>
  <si>
    <t>44162</t>
  </si>
  <si>
    <t>477109</t>
  </si>
  <si>
    <t>66433</t>
  </si>
  <si>
    <t>477103</t>
  </si>
  <si>
    <t>675342</t>
  </si>
  <si>
    <t>44165</t>
  </si>
  <si>
    <t>66417</t>
  </si>
  <si>
    <t>477110</t>
  </si>
  <si>
    <t>66418</t>
  </si>
  <si>
    <t>99460</t>
  </si>
  <si>
    <t>675376</t>
  </si>
  <si>
    <t>99461</t>
  </si>
  <si>
    <t>99462</t>
  </si>
  <si>
    <t>99463</t>
  </si>
  <si>
    <t>99464</t>
  </si>
  <si>
    <t>99465</t>
  </si>
  <si>
    <t>99466</t>
  </si>
  <si>
    <t>66419</t>
  </si>
  <si>
    <t>477113</t>
  </si>
  <si>
    <t>66420</t>
  </si>
  <si>
    <t>66421</t>
  </si>
  <si>
    <t>66422</t>
  </si>
  <si>
    <t>66423</t>
  </si>
  <si>
    <t>66424</t>
  </si>
  <si>
    <t>66425</t>
  </si>
  <si>
    <t>66426</t>
  </si>
  <si>
    <t>66427</t>
  </si>
  <si>
    <t>66428</t>
  </si>
  <si>
    <t>66429</t>
  </si>
  <si>
    <t>66434</t>
  </si>
  <si>
    <t>477120</t>
  </si>
  <si>
    <t>66435</t>
  </si>
  <si>
    <t>66436</t>
  </si>
  <si>
    <t>99459</t>
  </si>
  <si>
    <t>675369</t>
  </si>
  <si>
    <t>66483</t>
  </si>
  <si>
    <t>675414</t>
  </si>
  <si>
    <t>99451</t>
  </si>
  <si>
    <t>378771</t>
  </si>
  <si>
    <t>44166</t>
  </si>
  <si>
    <t>66482</t>
  </si>
  <si>
    <t>675415</t>
  </si>
  <si>
    <t>66438</t>
  </si>
  <si>
    <t>477149</t>
  </si>
  <si>
    <t>66439</t>
  </si>
  <si>
    <t>66440</t>
  </si>
  <si>
    <t>66441</t>
  </si>
  <si>
    <t>66437</t>
  </si>
  <si>
    <t>477145</t>
  </si>
  <si>
    <t>66442</t>
  </si>
  <si>
    <t>386210</t>
  </si>
  <si>
    <t>99467</t>
  </si>
  <si>
    <t>378825</t>
  </si>
  <si>
    <t>99468</t>
  </si>
  <si>
    <t>66444</t>
  </si>
  <si>
    <t>477176</t>
  </si>
  <si>
    <t>144765</t>
  </si>
  <si>
    <t>378669</t>
  </si>
  <si>
    <t>66468</t>
  </si>
  <si>
    <t>675379</t>
  </si>
  <si>
    <t>66467</t>
  </si>
  <si>
    <t>477197</t>
  </si>
  <si>
    <t>44170</t>
  </si>
  <si>
    <t>477199</t>
  </si>
  <si>
    <t>44169</t>
  </si>
  <si>
    <t>477208</t>
  </si>
  <si>
    <t>44167</t>
  </si>
  <si>
    <t>477207</t>
  </si>
  <si>
    <t>44168</t>
  </si>
  <si>
    <t>44171</t>
  </si>
  <si>
    <t>477211</t>
  </si>
  <si>
    <t>44172</t>
  </si>
  <si>
    <t>477217</t>
  </si>
  <si>
    <t>44173</t>
  </si>
  <si>
    <t>44174</t>
  </si>
  <si>
    <t>3490024</t>
  </si>
  <si>
    <t>903675</t>
  </si>
  <si>
    <t>66480</t>
  </si>
  <si>
    <t>378229</t>
  </si>
  <si>
    <t>44175</t>
  </si>
  <si>
    <t>477228</t>
  </si>
  <si>
    <t>44176</t>
  </si>
  <si>
    <t>477229</t>
  </si>
  <si>
    <t>66469</t>
  </si>
  <si>
    <t>675502</t>
  </si>
  <si>
    <t>66445</t>
  </si>
  <si>
    <t>477230</t>
  </si>
  <si>
    <t>66446</t>
  </si>
  <si>
    <t>66447</t>
  </si>
  <si>
    <t>66448</t>
  </si>
  <si>
    <t>66449</t>
  </si>
  <si>
    <t>66450</t>
  </si>
  <si>
    <t>66451</t>
  </si>
  <si>
    <t>66452</t>
  </si>
  <si>
    <t>66453</t>
  </si>
  <si>
    <t>66454</t>
  </si>
  <si>
    <t>66455</t>
  </si>
  <si>
    <t>66456</t>
  </si>
  <si>
    <t>66457</t>
  </si>
  <si>
    <t>66458</t>
  </si>
  <si>
    <t>66459</t>
  </si>
  <si>
    <t>66460</t>
  </si>
  <si>
    <t>66461</t>
  </si>
  <si>
    <t>66462</t>
  </si>
  <si>
    <t>66463</t>
  </si>
  <si>
    <t>66464</t>
  </si>
  <si>
    <t>66478</t>
  </si>
  <si>
    <t>477232</t>
  </si>
  <si>
    <t>386230</t>
  </si>
  <si>
    <t>378889</t>
  </si>
  <si>
    <t>44177</t>
  </si>
  <si>
    <t>477252</t>
  </si>
  <si>
    <t>44178</t>
  </si>
  <si>
    <t>66470</t>
  </si>
  <si>
    <t>477248</t>
  </si>
  <si>
    <t>66471</t>
  </si>
  <si>
    <t>66472</t>
  </si>
  <si>
    <t>66473</t>
  </si>
  <si>
    <t>66474</t>
  </si>
  <si>
    <t>66475</t>
  </si>
  <si>
    <t>66476</t>
  </si>
  <si>
    <t>66477</t>
  </si>
  <si>
    <t>99469</t>
  </si>
  <si>
    <t>675472</t>
  </si>
  <si>
    <t>66481</t>
  </si>
  <si>
    <t>386238</t>
  </si>
  <si>
    <t>66484</t>
  </si>
  <si>
    <t>386243</t>
  </si>
  <si>
    <t>66485</t>
  </si>
  <si>
    <t>386245</t>
  </si>
  <si>
    <t>119288</t>
  </si>
  <si>
    <t>378905</t>
  </si>
  <si>
    <t>66486</t>
  </si>
  <si>
    <t>153484</t>
  </si>
  <si>
    <t>117639</t>
  </si>
  <si>
    <t>675612</t>
  </si>
  <si>
    <t>44179</t>
  </si>
  <si>
    <t>477284</t>
  </si>
  <si>
    <t>66487</t>
  </si>
  <si>
    <t>477292</t>
  </si>
  <si>
    <t>66488</t>
  </si>
  <si>
    <t>66489</t>
  </si>
  <si>
    <t>66490</t>
  </si>
  <si>
    <t>66491</t>
  </si>
  <si>
    <t>66492</t>
  </si>
  <si>
    <t>44180</t>
  </si>
  <si>
    <t>477308</t>
  </si>
  <si>
    <t>66465</t>
  </si>
  <si>
    <t>675475</t>
  </si>
  <si>
    <t>66494</t>
  </si>
  <si>
    <t>477320</t>
  </si>
  <si>
    <t>66493</t>
  </si>
  <si>
    <t>477322</t>
  </si>
  <si>
    <t>66499</t>
  </si>
  <si>
    <t>675708</t>
  </si>
  <si>
    <t>385632</t>
  </si>
  <si>
    <t>385634</t>
  </si>
  <si>
    <t>385635</t>
  </si>
  <si>
    <t>99472</t>
  </si>
  <si>
    <t>378962</t>
  </si>
  <si>
    <t>99470</t>
  </si>
  <si>
    <t>675746</t>
  </si>
  <si>
    <t>99471</t>
  </si>
  <si>
    <t>44181</t>
  </si>
  <si>
    <t>477365</t>
  </si>
  <si>
    <t>44182</t>
  </si>
  <si>
    <t>477375</t>
  </si>
  <si>
    <t>66495</t>
  </si>
  <si>
    <t>477370</t>
  </si>
  <si>
    <t>66496</t>
  </si>
  <si>
    <t>66497</t>
  </si>
  <si>
    <t>66498</t>
  </si>
  <si>
    <t>477354</t>
  </si>
  <si>
    <t>66502</t>
  </si>
  <si>
    <t>378976</t>
  </si>
  <si>
    <t>66503</t>
  </si>
  <si>
    <t>66219</t>
  </si>
  <si>
    <t>476207</t>
  </si>
  <si>
    <t>66220</t>
  </si>
  <si>
    <t>66226</t>
  </si>
  <si>
    <t>66224</t>
  </si>
  <si>
    <t>66225</t>
  </si>
  <si>
    <t>66232</t>
  </si>
  <si>
    <t>66250</t>
  </si>
  <si>
    <t>66251</t>
  </si>
  <si>
    <t>66252</t>
  </si>
  <si>
    <t>66253</t>
  </si>
  <si>
    <t>66255</t>
  </si>
  <si>
    <t>66261</t>
  </si>
  <si>
    <t>66281</t>
  </si>
  <si>
    <t>66390</t>
  </si>
  <si>
    <t>66430</t>
  </si>
  <si>
    <t>66431</t>
  </si>
  <si>
    <t>66432</t>
  </si>
  <si>
    <t>66500</t>
  </si>
  <si>
    <t>66501</t>
  </si>
  <si>
    <t>66504</t>
  </si>
  <si>
    <t>477416</t>
  </si>
  <si>
    <t>66506</t>
  </si>
  <si>
    <t>386278</t>
  </si>
  <si>
    <t>66505</t>
  </si>
  <si>
    <t>477465</t>
  </si>
  <si>
    <t>44183</t>
  </si>
  <si>
    <t>477463</t>
  </si>
  <si>
    <t>44184</t>
  </si>
  <si>
    <t>477470</t>
  </si>
  <si>
    <t>44185</t>
  </si>
  <si>
    <t>477483</t>
  </si>
  <si>
    <t>66507</t>
  </si>
  <si>
    <t>386302</t>
  </si>
  <si>
    <t>66508</t>
  </si>
  <si>
    <t>675890</t>
  </si>
  <si>
    <t>675831</t>
  </si>
  <si>
    <t>379063</t>
  </si>
  <si>
    <t>66510</t>
  </si>
  <si>
    <t>477521</t>
  </si>
  <si>
    <t>66511</t>
  </si>
  <si>
    <t>44186</t>
  </si>
  <si>
    <t>477528</t>
  </si>
  <si>
    <t>66512</t>
  </si>
  <si>
    <t>477539</t>
  </si>
  <si>
    <t>66513</t>
  </si>
  <si>
    <t>66517</t>
  </si>
  <si>
    <t>386328</t>
  </si>
  <si>
    <t>477549</t>
  </si>
  <si>
    <t>66514</t>
  </si>
  <si>
    <t>477546</t>
  </si>
  <si>
    <t>66515</t>
  </si>
  <si>
    <t>66516</t>
  </si>
  <si>
    <t>66518</t>
  </si>
  <si>
    <t>386335</t>
  </si>
  <si>
    <t>379134</t>
  </si>
  <si>
    <t>379135</t>
  </si>
  <si>
    <t>123064</t>
  </si>
  <si>
    <t>379130</t>
  </si>
  <si>
    <t>140936</t>
  </si>
  <si>
    <t>66519</t>
  </si>
  <si>
    <t>477595</t>
  </si>
  <si>
    <t>66520</t>
  </si>
  <si>
    <t>66521</t>
  </si>
  <si>
    <t>379144</t>
  </si>
  <si>
    <t>99474</t>
  </si>
  <si>
    <t>379168</t>
  </si>
  <si>
    <t>99475</t>
  </si>
  <si>
    <t>99473</t>
  </si>
  <si>
    <t>676026</t>
  </si>
  <si>
    <t>66523</t>
  </si>
  <si>
    <t>386346</t>
  </si>
  <si>
    <t>66524</t>
  </si>
  <si>
    <t>386347</t>
  </si>
  <si>
    <t>66526</t>
  </si>
  <si>
    <t>66525</t>
  </si>
  <si>
    <t>675930</t>
  </si>
  <si>
    <t>66529</t>
  </si>
  <si>
    <t>386363</t>
  </si>
  <si>
    <t>66530</t>
  </si>
  <si>
    <t>379182</t>
  </si>
  <si>
    <t>477617</t>
  </si>
  <si>
    <t>66527</t>
  </si>
  <si>
    <t>477637</t>
  </si>
  <si>
    <t>66528</t>
  </si>
  <si>
    <t>99476</t>
  </si>
  <si>
    <t>379180</t>
  </si>
  <si>
    <t>66522</t>
  </si>
  <si>
    <t>477627</t>
  </si>
  <si>
    <t>477620</t>
  </si>
  <si>
    <t>386371</t>
  </si>
  <si>
    <t>676165</t>
  </si>
  <si>
    <t>66533</t>
  </si>
  <si>
    <t>676178</t>
  </si>
  <si>
    <t>379190</t>
  </si>
  <si>
    <t>66534</t>
  </si>
  <si>
    <t>386380</t>
  </si>
  <si>
    <t>44187</t>
  </si>
  <si>
    <t>477689</t>
  </si>
  <si>
    <t>66536</t>
  </si>
  <si>
    <t>477699</t>
  </si>
  <si>
    <t>66537</t>
  </si>
  <si>
    <t>66538</t>
  </si>
  <si>
    <t>66539</t>
  </si>
  <si>
    <t>99479</t>
  </si>
  <si>
    <t>676217</t>
  </si>
  <si>
    <t>379181</t>
  </si>
  <si>
    <t>379232</t>
  </si>
  <si>
    <t>66509</t>
  </si>
  <si>
    <t>386319</t>
  </si>
  <si>
    <t>66535</t>
  </si>
  <si>
    <t>386400</t>
  </si>
  <si>
    <t>99477</t>
  </si>
  <si>
    <t>676180</t>
  </si>
  <si>
    <t>379251</t>
  </si>
  <si>
    <t>676270</t>
  </si>
  <si>
    <t>379203</t>
  </si>
  <si>
    <t>379222</t>
  </si>
  <si>
    <t>66540</t>
  </si>
  <si>
    <t>386403</t>
  </si>
  <si>
    <t>676298</t>
  </si>
  <si>
    <t>477708</t>
  </si>
  <si>
    <t>44188</t>
  </si>
  <si>
    <t>477748</t>
  </si>
  <si>
    <t>44189</t>
  </si>
  <si>
    <t>99478</t>
  </si>
  <si>
    <t>676158</t>
  </si>
  <si>
    <t>44191</t>
  </si>
  <si>
    <t>477761</t>
  </si>
  <si>
    <t>44192</t>
  </si>
  <si>
    <t>66541</t>
  </si>
  <si>
    <t>379322</t>
  </si>
  <si>
    <t>44190</t>
  </si>
  <si>
    <t>477802</t>
  </si>
  <si>
    <t>07M040-2-03-127</t>
  </si>
  <si>
    <t>765092</t>
  </si>
  <si>
    <t>44193</t>
  </si>
  <si>
    <t>477830</t>
  </si>
  <si>
    <t>POR-001-380-000A</t>
  </si>
  <si>
    <t>765103</t>
  </si>
  <si>
    <t>POR-001-380-001</t>
  </si>
  <si>
    <t>765104</t>
  </si>
  <si>
    <t>120495</t>
  </si>
  <si>
    <t>379394</t>
  </si>
  <si>
    <t>66543</t>
  </si>
  <si>
    <t>676552</t>
  </si>
  <si>
    <t>143722</t>
  </si>
  <si>
    <t>379366</t>
  </si>
  <si>
    <t>379401</t>
  </si>
  <si>
    <t>379373</t>
  </si>
  <si>
    <t>379365</t>
  </si>
  <si>
    <t>122545</t>
  </si>
  <si>
    <t>379371</t>
  </si>
  <si>
    <t>146247</t>
  </si>
  <si>
    <t>379364</t>
  </si>
  <si>
    <t>379368</t>
  </si>
  <si>
    <t>477880</t>
  </si>
  <si>
    <t>99480</t>
  </si>
  <si>
    <t>379388</t>
  </si>
  <si>
    <t>99481</t>
  </si>
  <si>
    <t>379393</t>
  </si>
  <si>
    <t>379367</t>
  </si>
  <si>
    <t>379399</t>
  </si>
  <si>
    <t>379426</t>
  </si>
  <si>
    <t>99484</t>
  </si>
  <si>
    <t>99482</t>
  </si>
  <si>
    <t>379427</t>
  </si>
  <si>
    <t>99483</t>
  </si>
  <si>
    <t>141421</t>
  </si>
  <si>
    <t>44194</t>
  </si>
  <si>
    <t>477917</t>
  </si>
  <si>
    <t>66542</t>
  </si>
  <si>
    <t>386441</t>
  </si>
  <si>
    <t>99486</t>
  </si>
  <si>
    <t>676600</t>
  </si>
  <si>
    <t>145972</t>
  </si>
  <si>
    <t>379448</t>
  </si>
  <si>
    <t>145974</t>
  </si>
  <si>
    <t>99485</t>
  </si>
  <si>
    <t>379460</t>
  </si>
  <si>
    <t>676582</t>
  </si>
  <si>
    <t>379454</t>
  </si>
  <si>
    <t>66544</t>
  </si>
  <si>
    <t>477919</t>
  </si>
  <si>
    <t>141361</t>
  </si>
  <si>
    <t>379451</t>
  </si>
  <si>
    <t>66545</t>
  </si>
  <si>
    <t>386461</t>
  </si>
  <si>
    <t>142637</t>
  </si>
  <si>
    <t>379363</t>
  </si>
  <si>
    <t>142656</t>
  </si>
  <si>
    <t>44195</t>
  </si>
  <si>
    <t>477933</t>
  </si>
  <si>
    <t>44196</t>
  </si>
  <si>
    <t>44197</t>
  </si>
  <si>
    <t>379456</t>
  </si>
  <si>
    <t>121198</t>
  </si>
  <si>
    <t>379446</t>
  </si>
  <si>
    <t>379447</t>
  </si>
  <si>
    <t>C01M50-3-03/4</t>
  </si>
  <si>
    <t>765110</t>
  </si>
  <si>
    <t>C01M50-3-05</t>
  </si>
  <si>
    <t>66551</t>
  </si>
  <si>
    <t>676677</t>
  </si>
  <si>
    <t>C01M50-3-01</t>
  </si>
  <si>
    <t>765112</t>
  </si>
  <si>
    <t>C01M45-3-01</t>
  </si>
  <si>
    <t>66546</t>
  </si>
  <si>
    <t>676685</t>
  </si>
  <si>
    <t>66547</t>
  </si>
  <si>
    <t>676698</t>
  </si>
  <si>
    <t>44198</t>
  </si>
  <si>
    <t>676709</t>
  </si>
  <si>
    <t>66550</t>
  </si>
  <si>
    <t>676734</t>
  </si>
  <si>
    <t>99487</t>
  </si>
  <si>
    <t>676710</t>
  </si>
  <si>
    <t>477972</t>
  </si>
  <si>
    <t>44199</t>
  </si>
  <si>
    <t>676826</t>
  </si>
  <si>
    <t>66552</t>
  </si>
  <si>
    <t>386479</t>
  </si>
  <si>
    <t>676835</t>
  </si>
  <si>
    <t>66553</t>
  </si>
  <si>
    <t>478016</t>
  </si>
  <si>
    <t>99488</t>
  </si>
  <si>
    <t>379521</t>
  </si>
  <si>
    <t>99489</t>
  </si>
  <si>
    <t>379574</t>
  </si>
  <si>
    <t>99490</t>
  </si>
  <si>
    <t>676943</t>
  </si>
  <si>
    <t>66556</t>
  </si>
  <si>
    <t>386547</t>
  </si>
  <si>
    <t>379610</t>
  </si>
  <si>
    <t>44200</t>
  </si>
  <si>
    <t>478132</t>
  </si>
  <si>
    <t>99491</t>
  </si>
  <si>
    <t>379654</t>
  </si>
  <si>
    <t>44201</t>
  </si>
  <si>
    <t>478134</t>
  </si>
  <si>
    <t>137081</t>
  </si>
  <si>
    <t>379643</t>
  </si>
  <si>
    <t>379673</t>
  </si>
  <si>
    <t>379653</t>
  </si>
  <si>
    <t>31180</t>
  </si>
  <si>
    <t>385593</t>
  </si>
  <si>
    <t>153307</t>
  </si>
  <si>
    <t>385572</t>
  </si>
  <si>
    <t>385661</t>
  </si>
  <si>
    <t>385573</t>
  </si>
  <si>
    <t>153302</t>
  </si>
  <si>
    <t>385778</t>
  </si>
  <si>
    <t>386556</t>
  </si>
  <si>
    <t>674806</t>
  </si>
  <si>
    <t>131929</t>
  </si>
  <si>
    <t>674998</t>
  </si>
  <si>
    <t>135231</t>
  </si>
  <si>
    <t>135711</t>
  </si>
  <si>
    <t>135712</t>
  </si>
  <si>
    <t>138584</t>
  </si>
  <si>
    <t>138589</t>
  </si>
  <si>
    <t>115660</t>
  </si>
  <si>
    <t>115662</t>
  </si>
  <si>
    <t>675046</t>
  </si>
  <si>
    <t>139208</t>
  </si>
  <si>
    <t>138585</t>
  </si>
  <si>
    <t>140550</t>
  </si>
  <si>
    <t>476993</t>
  </si>
  <si>
    <t>104267</t>
  </si>
  <si>
    <t>675085</t>
  </si>
  <si>
    <t>675000</t>
  </si>
  <si>
    <t>104203</t>
  </si>
  <si>
    <t>675025</t>
  </si>
  <si>
    <t>675068</t>
  </si>
  <si>
    <t>141139</t>
  </si>
  <si>
    <t>675070</t>
  </si>
  <si>
    <t>141276</t>
  </si>
  <si>
    <t>142795</t>
  </si>
  <si>
    <t>143189</t>
  </si>
  <si>
    <t>143194</t>
  </si>
  <si>
    <t>143847</t>
  </si>
  <si>
    <t>675071</t>
  </si>
  <si>
    <t>104009</t>
  </si>
  <si>
    <t>675001</t>
  </si>
  <si>
    <t>120978</t>
  </si>
  <si>
    <t>145518</t>
  </si>
  <si>
    <t>378618</t>
  </si>
  <si>
    <t>675102</t>
  </si>
  <si>
    <t>675111</t>
  </si>
  <si>
    <t>140843</t>
  </si>
  <si>
    <t>675100</t>
  </si>
  <si>
    <t>140844</t>
  </si>
  <si>
    <t>141638</t>
  </si>
  <si>
    <t>378662</t>
  </si>
  <si>
    <t>675199</t>
  </si>
  <si>
    <t>378640</t>
  </si>
  <si>
    <t>153442</t>
  </si>
  <si>
    <t>153448</t>
  </si>
  <si>
    <t>153459</t>
  </si>
  <si>
    <t>CARGO</t>
  </si>
  <si>
    <t>675204</t>
  </si>
  <si>
    <t>153462</t>
  </si>
  <si>
    <t>675200</t>
  </si>
  <si>
    <t>139484</t>
  </si>
  <si>
    <t>139485</t>
  </si>
  <si>
    <t>139486</t>
  </si>
  <si>
    <t>139487</t>
  </si>
  <si>
    <t>675202</t>
  </si>
  <si>
    <t>145512</t>
  </si>
  <si>
    <t>145513</t>
  </si>
  <si>
    <t>141912</t>
  </si>
  <si>
    <t>675184</t>
  </si>
  <si>
    <t>378646</t>
  </si>
  <si>
    <t>378699</t>
  </si>
  <si>
    <t>675187</t>
  </si>
  <si>
    <t>378641</t>
  </si>
  <si>
    <t>675207</t>
  </si>
  <si>
    <t>675183</t>
  </si>
  <si>
    <t>C120/220-00-0001</t>
  </si>
  <si>
    <t>764941</t>
  </si>
  <si>
    <t>C130/230-00-0001</t>
  </si>
  <si>
    <t>C110/210-00-0001</t>
  </si>
  <si>
    <t>764944</t>
  </si>
  <si>
    <t>C180-00-000-1</t>
  </si>
  <si>
    <t>110/210-00-0001A</t>
  </si>
  <si>
    <t>764948</t>
  </si>
  <si>
    <t>141637</t>
  </si>
  <si>
    <t>675292</t>
  </si>
  <si>
    <t>143898</t>
  </si>
  <si>
    <t>675303</t>
  </si>
  <si>
    <t>675304</t>
  </si>
  <si>
    <t>378742</t>
  </si>
  <si>
    <t>153453</t>
  </si>
  <si>
    <t>143837</t>
  </si>
  <si>
    <t>675352</t>
  </si>
  <si>
    <t>143948</t>
  </si>
  <si>
    <t>141144</t>
  </si>
  <si>
    <t>675329</t>
  </si>
  <si>
    <t>675198</t>
  </si>
  <si>
    <t>675289</t>
  </si>
  <si>
    <t>C420-00-000-1</t>
  </si>
  <si>
    <t>378757</t>
  </si>
  <si>
    <t>675371</t>
  </si>
  <si>
    <t>153461</t>
  </si>
  <si>
    <t>675226</t>
  </si>
  <si>
    <t>378686</t>
  </si>
  <si>
    <t>127426</t>
  </si>
  <si>
    <t>675231</t>
  </si>
  <si>
    <t>130101</t>
  </si>
  <si>
    <t>378689</t>
  </si>
  <si>
    <t>378705</t>
  </si>
  <si>
    <t>378652</t>
  </si>
  <si>
    <t>378651</t>
  </si>
  <si>
    <t>378647</t>
  </si>
  <si>
    <t>378679</t>
  </si>
  <si>
    <t>378648</t>
  </si>
  <si>
    <t>378659</t>
  </si>
  <si>
    <t>378671</t>
  </si>
  <si>
    <t>675251</t>
  </si>
  <si>
    <t>675258</t>
  </si>
  <si>
    <t>99042</t>
  </si>
  <si>
    <t>C415-00-000-1</t>
  </si>
  <si>
    <t>764945</t>
  </si>
  <si>
    <t>C430-00-000-1</t>
  </si>
  <si>
    <t>C480-00-000-1</t>
  </si>
  <si>
    <t>764946</t>
  </si>
  <si>
    <t>C410-00-000-1</t>
  </si>
  <si>
    <t>675253</t>
  </si>
  <si>
    <t>675255</t>
  </si>
  <si>
    <t>378728</t>
  </si>
  <si>
    <t>675266</t>
  </si>
  <si>
    <t>378674</t>
  </si>
  <si>
    <t>378727</t>
  </si>
  <si>
    <t>675259</t>
  </si>
  <si>
    <t>386092</t>
  </si>
  <si>
    <t>144921</t>
  </si>
  <si>
    <t>675354</t>
  </si>
  <si>
    <t>143066</t>
  </si>
  <si>
    <t>675411</t>
  </si>
  <si>
    <t>675294</t>
  </si>
  <si>
    <t>675395</t>
  </si>
  <si>
    <t>138289</t>
  </si>
  <si>
    <t>675447</t>
  </si>
  <si>
    <t>378782</t>
  </si>
  <si>
    <t>675448</t>
  </si>
  <si>
    <t>378814</t>
  </si>
  <si>
    <t>675293</t>
  </si>
  <si>
    <t>118540</t>
  </si>
  <si>
    <t>675449</t>
  </si>
  <si>
    <t>378688</t>
  </si>
  <si>
    <t>378740</t>
  </si>
  <si>
    <t>378751</t>
  </si>
  <si>
    <t>675286</t>
  </si>
  <si>
    <t>675296</t>
  </si>
  <si>
    <t>141140</t>
  </si>
  <si>
    <t>142464</t>
  </si>
  <si>
    <t>142465</t>
  </si>
  <si>
    <t>144535</t>
  </si>
  <si>
    <t>675306</t>
  </si>
  <si>
    <t>145321</t>
  </si>
  <si>
    <t>145322</t>
  </si>
  <si>
    <t>675297</t>
  </si>
  <si>
    <t>675450</t>
  </si>
  <si>
    <t>378657</t>
  </si>
  <si>
    <t>675469</t>
  </si>
  <si>
    <t>378734</t>
  </si>
  <si>
    <t>675397</t>
  </si>
  <si>
    <t>153444</t>
  </si>
  <si>
    <t>378851</t>
  </si>
  <si>
    <t>675465</t>
  </si>
  <si>
    <t>675446</t>
  </si>
  <si>
    <t>378744</t>
  </si>
  <si>
    <t>675528</t>
  </si>
  <si>
    <t>675530</t>
  </si>
  <si>
    <t>C510-01-000-1</t>
  </si>
  <si>
    <t>764952</t>
  </si>
  <si>
    <t>C520-00-000-1</t>
  </si>
  <si>
    <t>C580-00-000-1</t>
  </si>
  <si>
    <t>C585-00-000-1</t>
  </si>
  <si>
    <t>764959</t>
  </si>
  <si>
    <t>C680-00-000-1</t>
  </si>
  <si>
    <t>C120/220-09-0001</t>
  </si>
  <si>
    <t>378861</t>
  </si>
  <si>
    <t>378871</t>
  </si>
  <si>
    <t>C280-00-000-1</t>
  </si>
  <si>
    <t>C530-00-000-1</t>
  </si>
  <si>
    <t>C610-00-00-1</t>
  </si>
  <si>
    <t>675504</t>
  </si>
  <si>
    <t>675561</t>
  </si>
  <si>
    <t>153479</t>
  </si>
  <si>
    <t>C310-00-000-1</t>
  </si>
  <si>
    <t>C330-00-000-1</t>
  </si>
  <si>
    <t>C620-00-00-1</t>
  </si>
  <si>
    <t>C380-00-000-1</t>
  </si>
  <si>
    <t>764974</t>
  </si>
  <si>
    <t>378886</t>
  </si>
  <si>
    <t>C320-00-000-1</t>
  </si>
  <si>
    <t>C780-00-000-1</t>
  </si>
  <si>
    <t>C495-00-000-1</t>
  </si>
  <si>
    <t>477290</t>
  </si>
  <si>
    <t>675680</t>
  </si>
  <si>
    <t>477302</t>
  </si>
  <si>
    <t>477305</t>
  </si>
  <si>
    <t>675670</t>
  </si>
  <si>
    <t>C300-00-000-1</t>
  </si>
  <si>
    <t>764984</t>
  </si>
  <si>
    <t>675585</t>
  </si>
  <si>
    <t>675579</t>
  </si>
  <si>
    <t>378885</t>
  </si>
  <si>
    <t>675686</t>
  </si>
  <si>
    <t>C395-00-000-1</t>
  </si>
  <si>
    <t>C595-00-000-1</t>
  </si>
  <si>
    <t>C396-00-000-1</t>
  </si>
  <si>
    <t>C397-00-000-1</t>
  </si>
  <si>
    <t>764990</t>
  </si>
  <si>
    <t>C596-00-000-1</t>
  </si>
  <si>
    <t>477335</t>
  </si>
  <si>
    <t>477336</t>
  </si>
  <si>
    <t>675656</t>
  </si>
  <si>
    <t>117347</t>
  </si>
  <si>
    <t>675710</t>
  </si>
  <si>
    <t>378955</t>
  </si>
  <si>
    <t>675711</t>
  </si>
  <si>
    <t>C597-00-000-1</t>
  </si>
  <si>
    <t>378964</t>
  </si>
  <si>
    <t>477366</t>
  </si>
  <si>
    <t>477380</t>
  </si>
  <si>
    <t>477364</t>
  </si>
  <si>
    <t>477374</t>
  </si>
  <si>
    <t>GASES</t>
  </si>
  <si>
    <t>477371</t>
  </si>
  <si>
    <t>675784</t>
  </si>
  <si>
    <t>378980</t>
  </si>
  <si>
    <t>153505</t>
  </si>
  <si>
    <t>477415</t>
  </si>
  <si>
    <t>378983</t>
  </si>
  <si>
    <t>121663</t>
  </si>
  <si>
    <t>477444</t>
  </si>
  <si>
    <t>477443</t>
  </si>
  <si>
    <t>477441</t>
  </si>
  <si>
    <t>C02M01-4-11</t>
  </si>
  <si>
    <t>765004</t>
  </si>
  <si>
    <t>675793</t>
  </si>
  <si>
    <t>477466</t>
  </si>
  <si>
    <t>520-03/4-35/6</t>
  </si>
  <si>
    <t>765019</t>
  </si>
  <si>
    <t>386139</t>
  </si>
  <si>
    <t>675860</t>
  </si>
  <si>
    <t>477484</t>
  </si>
  <si>
    <t>675829</t>
  </si>
  <si>
    <t>C685-00-000-1</t>
  </si>
  <si>
    <t>765008</t>
  </si>
  <si>
    <t>477520</t>
  </si>
  <si>
    <t>477529</t>
  </si>
  <si>
    <t>477536</t>
  </si>
  <si>
    <t>675956</t>
  </si>
  <si>
    <t>477543</t>
  </si>
  <si>
    <t>675993</t>
  </si>
  <si>
    <t>379102</t>
  </si>
  <si>
    <t>MOD11908</t>
  </si>
  <si>
    <t>765037</t>
  </si>
  <si>
    <t>675957</t>
  </si>
  <si>
    <t>675936</t>
  </si>
  <si>
    <t>676077</t>
  </si>
  <si>
    <t>139454</t>
  </si>
  <si>
    <t>153436</t>
  </si>
  <si>
    <t>C735-00-000-1</t>
  </si>
  <si>
    <t>765033</t>
  </si>
  <si>
    <t>477704</t>
  </si>
  <si>
    <t>676531</t>
  </si>
  <si>
    <t>C725-00-000-1</t>
  </si>
  <si>
    <t>765101</t>
  </si>
  <si>
    <t>676768</t>
  </si>
  <si>
    <t>145946</t>
  </si>
  <si>
    <t>676795</t>
  </si>
  <si>
    <t>676821</t>
  </si>
  <si>
    <t>676827</t>
  </si>
  <si>
    <t>478020</t>
  </si>
  <si>
    <t>121392</t>
  </si>
  <si>
    <t>676856</t>
  </si>
  <si>
    <t>676859</t>
  </si>
  <si>
    <t>379551</t>
  </si>
  <si>
    <t>478092</t>
  </si>
  <si>
    <t>477390</t>
  </si>
  <si>
    <t>675305</t>
  </si>
  <si>
    <t>139413</t>
  </si>
  <si>
    <t>31200</t>
  </si>
  <si>
    <t>124155</t>
  </si>
  <si>
    <t>477169</t>
  </si>
  <si>
    <t>111394</t>
  </si>
  <si>
    <t>378843</t>
  </si>
  <si>
    <t>378822</t>
  </si>
  <si>
    <t>378768</t>
  </si>
  <si>
    <t>127249</t>
  </si>
  <si>
    <t>378766</t>
  </si>
  <si>
    <t>143037</t>
  </si>
  <si>
    <t>378781</t>
  </si>
  <si>
    <t>142355</t>
  </si>
  <si>
    <t>378785</t>
  </si>
  <si>
    <t>142356</t>
  </si>
  <si>
    <t>142908</t>
  </si>
  <si>
    <t>142909</t>
  </si>
  <si>
    <t>142910</t>
  </si>
  <si>
    <t>142911</t>
  </si>
  <si>
    <t>142915</t>
  </si>
  <si>
    <t>142913</t>
  </si>
  <si>
    <t>145358</t>
  </si>
  <si>
    <t>378898</t>
  </si>
  <si>
    <t>675598</t>
  </si>
  <si>
    <t>378805</t>
  </si>
  <si>
    <t>138748</t>
  </si>
  <si>
    <t>126979</t>
  </si>
  <si>
    <t>378826</t>
  </si>
  <si>
    <t>110850</t>
  </si>
  <si>
    <t>117247</t>
  </si>
  <si>
    <t>378808</t>
  </si>
  <si>
    <t>119534</t>
  </si>
  <si>
    <t>119536</t>
  </si>
  <si>
    <t>120946</t>
  </si>
  <si>
    <t>122787</t>
  </si>
  <si>
    <t>122790</t>
  </si>
  <si>
    <t>122793</t>
  </si>
  <si>
    <t>125266</t>
  </si>
  <si>
    <t>132401</t>
  </si>
  <si>
    <t>117644</t>
  </si>
  <si>
    <t>119567</t>
  </si>
  <si>
    <t>117643</t>
  </si>
  <si>
    <t>117645</t>
  </si>
  <si>
    <t>378904</t>
  </si>
  <si>
    <t>141286</t>
  </si>
  <si>
    <t>136289</t>
  </si>
  <si>
    <t>136290</t>
  </si>
  <si>
    <t>137459</t>
  </si>
  <si>
    <t>137500</t>
  </si>
  <si>
    <t>137574</t>
  </si>
  <si>
    <t>378857</t>
  </si>
  <si>
    <t>378772</t>
  </si>
  <si>
    <t>113394</t>
  </si>
  <si>
    <t>120612</t>
  </si>
  <si>
    <t>120613</t>
  </si>
  <si>
    <t>123497</t>
  </si>
  <si>
    <t>143766</t>
  </si>
  <si>
    <t>143787</t>
  </si>
  <si>
    <t>143788</t>
  </si>
  <si>
    <t>144529</t>
  </si>
  <si>
    <t>110866</t>
  </si>
  <si>
    <t>378775</t>
  </si>
  <si>
    <t>106004</t>
  </si>
  <si>
    <t>110860</t>
  </si>
  <si>
    <t>102087</t>
  </si>
  <si>
    <t>111037</t>
  </si>
  <si>
    <t>110851</t>
  </si>
  <si>
    <t>378846</t>
  </si>
  <si>
    <t>106918</t>
  </si>
  <si>
    <t>378776</t>
  </si>
  <si>
    <t>112381</t>
  </si>
  <si>
    <t>119770</t>
  </si>
  <si>
    <t>124268</t>
  </si>
  <si>
    <t>129094</t>
  </si>
  <si>
    <t>140216</t>
  </si>
  <si>
    <t>141070</t>
  </si>
  <si>
    <t>378848</t>
  </si>
  <si>
    <t>123070</t>
  </si>
  <si>
    <t>378778</t>
  </si>
  <si>
    <t>132459</t>
  </si>
  <si>
    <t>477124</t>
  </si>
  <si>
    <t>140703</t>
  </si>
  <si>
    <t>378773</t>
  </si>
  <si>
    <t>132521</t>
  </si>
  <si>
    <t>477126</t>
  </si>
  <si>
    <t>141673</t>
  </si>
  <si>
    <t>112810</t>
  </si>
  <si>
    <t>129452</t>
  </si>
  <si>
    <t>112944</t>
  </si>
  <si>
    <t>378774</t>
  </si>
  <si>
    <t>138978</t>
  </si>
  <si>
    <t>378875</t>
  </si>
  <si>
    <t>115658</t>
  </si>
  <si>
    <t>675570</t>
  </si>
  <si>
    <t>378942</t>
  </si>
  <si>
    <t>378838</t>
  </si>
  <si>
    <t>145359</t>
  </si>
  <si>
    <t>378943</t>
  </si>
  <si>
    <t>477300</t>
  </si>
  <si>
    <t>140203</t>
  </si>
  <si>
    <t>477216</t>
  </si>
  <si>
    <t>675524</t>
  </si>
  <si>
    <t>125933</t>
  </si>
  <si>
    <t>675525</t>
  </si>
  <si>
    <t>675526</t>
  </si>
  <si>
    <t>140837</t>
  </si>
  <si>
    <t>141630</t>
  </si>
  <si>
    <t>141631</t>
  </si>
  <si>
    <t>141632</t>
  </si>
  <si>
    <t>141634</t>
  </si>
  <si>
    <t>141635</t>
  </si>
  <si>
    <t>144647</t>
  </si>
  <si>
    <t>144648</t>
  </si>
  <si>
    <t>675536</t>
  </si>
  <si>
    <t>116670</t>
  </si>
  <si>
    <t>111543</t>
  </si>
  <si>
    <t>378867</t>
  </si>
  <si>
    <t>378863</t>
  </si>
  <si>
    <t>378948</t>
  </si>
  <si>
    <t>675695</t>
  </si>
  <si>
    <t>143950</t>
  </si>
  <si>
    <t>378853</t>
  </si>
  <si>
    <t>139043</t>
  </si>
  <si>
    <t>378841</t>
  </si>
  <si>
    <t>126350</t>
  </si>
  <si>
    <t>126351</t>
  </si>
  <si>
    <t>131776</t>
  </si>
  <si>
    <t>126920</t>
  </si>
  <si>
    <t>102086</t>
  </si>
  <si>
    <t>378930</t>
  </si>
  <si>
    <t>477329</t>
  </si>
  <si>
    <t>378850</t>
  </si>
  <si>
    <t>477191</t>
  </si>
  <si>
    <t>378849</t>
  </si>
  <si>
    <t>100759</t>
  </si>
  <si>
    <t>114645</t>
  </si>
  <si>
    <t>129495</t>
  </si>
  <si>
    <t>129882</t>
  </si>
  <si>
    <t>133476</t>
  </si>
  <si>
    <t>133477</t>
  </si>
  <si>
    <t>110967</t>
  </si>
  <si>
    <t>120945</t>
  </si>
  <si>
    <t>122524</t>
  </si>
  <si>
    <t>122777</t>
  </si>
  <si>
    <t>122783</t>
  </si>
  <si>
    <t>122786</t>
  </si>
  <si>
    <t>122792</t>
  </si>
  <si>
    <t>141835</t>
  </si>
  <si>
    <t>120948</t>
  </si>
  <si>
    <t>119569</t>
  </si>
  <si>
    <t>120964</t>
  </si>
  <si>
    <t>378858</t>
  </si>
  <si>
    <t>378959</t>
  </si>
  <si>
    <t>378956</t>
  </si>
  <si>
    <t>675522</t>
  </si>
  <si>
    <t>138580</t>
  </si>
  <si>
    <t>138587</t>
  </si>
  <si>
    <t>675747</t>
  </si>
  <si>
    <t>477360</t>
  </si>
  <si>
    <t>378977</t>
  </si>
  <si>
    <t>675739</t>
  </si>
  <si>
    <t>109963</t>
  </si>
  <si>
    <t>675729</t>
  </si>
  <si>
    <t>99018</t>
  </si>
  <si>
    <t>C02M01-4-01</t>
  </si>
  <si>
    <t>764991</t>
  </si>
  <si>
    <t>C02M01-4-06</t>
  </si>
  <si>
    <t>144928</t>
  </si>
  <si>
    <t>675658</t>
  </si>
  <si>
    <t>675659</t>
  </si>
  <si>
    <t>675742</t>
  </si>
  <si>
    <t>117647</t>
  </si>
  <si>
    <t>378957</t>
  </si>
  <si>
    <t>129997</t>
  </si>
  <si>
    <t>675788</t>
  </si>
  <si>
    <t>675737</t>
  </si>
  <si>
    <t>142006</t>
  </si>
  <si>
    <t>138291</t>
  </si>
  <si>
    <t>ABONO</t>
  </si>
  <si>
    <t>379001</t>
  </si>
  <si>
    <t>675792</t>
  </si>
  <si>
    <t>386271</t>
  </si>
  <si>
    <t>675797</t>
  </si>
  <si>
    <t>378998</t>
  </si>
  <si>
    <t>675760</t>
  </si>
  <si>
    <t>114669</t>
  </si>
  <si>
    <t>675761</t>
  </si>
  <si>
    <t>675763</t>
  </si>
  <si>
    <t>378960</t>
  </si>
  <si>
    <t>137082</t>
  </si>
  <si>
    <t>145334</t>
  </si>
  <si>
    <t>675741</t>
  </si>
  <si>
    <t>141143</t>
  </si>
  <si>
    <t>144570</t>
  </si>
  <si>
    <t>145945</t>
  </si>
  <si>
    <t>145949</t>
  </si>
  <si>
    <t>379015</t>
  </si>
  <si>
    <t>675778</t>
  </si>
  <si>
    <t>141766</t>
  </si>
  <si>
    <t>675762</t>
  </si>
  <si>
    <t>145781</t>
  </si>
  <si>
    <t>378897</t>
  </si>
  <si>
    <t>145782</t>
  </si>
  <si>
    <t>477447</t>
  </si>
  <si>
    <t>111307</t>
  </si>
  <si>
    <t>C06M04-5-00</t>
  </si>
  <si>
    <t>764994</t>
  </si>
  <si>
    <t>C06M04-8-00</t>
  </si>
  <si>
    <t>378918</t>
  </si>
  <si>
    <t>379010</t>
  </si>
  <si>
    <t>126344</t>
  </si>
  <si>
    <t>379013</t>
  </si>
  <si>
    <t>126365</t>
  </si>
  <si>
    <t>379022</t>
  </si>
  <si>
    <t>477278</t>
  </si>
  <si>
    <t>477280</t>
  </si>
  <si>
    <t>378924</t>
  </si>
  <si>
    <t>378917</t>
  </si>
  <si>
    <t>06M05-1-00A</t>
  </si>
  <si>
    <t>765005</t>
  </si>
  <si>
    <t>675770</t>
  </si>
  <si>
    <t>145947</t>
  </si>
  <si>
    <t>144829</t>
  </si>
  <si>
    <t>379008</t>
  </si>
  <si>
    <t>675833</t>
  </si>
  <si>
    <t>139205</t>
  </si>
  <si>
    <t>143838</t>
  </si>
  <si>
    <t>675841</t>
  </si>
  <si>
    <t>C06M01-0-00</t>
  </si>
  <si>
    <t>142149</t>
  </si>
  <si>
    <t>379033</t>
  </si>
  <si>
    <t>142150</t>
  </si>
  <si>
    <t>477477</t>
  </si>
  <si>
    <t>477391</t>
  </si>
  <si>
    <t>133911</t>
  </si>
  <si>
    <t>675790</t>
  </si>
  <si>
    <t>675824</t>
  </si>
  <si>
    <t>477392</t>
  </si>
  <si>
    <t>118960</t>
  </si>
  <si>
    <t>675893</t>
  </si>
  <si>
    <t>379038</t>
  </si>
  <si>
    <t>153500</t>
  </si>
  <si>
    <t>675795</t>
  </si>
  <si>
    <t>675827</t>
  </si>
  <si>
    <t>765009</t>
  </si>
  <si>
    <t>378988</t>
  </si>
  <si>
    <t>378989</t>
  </si>
  <si>
    <t>138975</t>
  </si>
  <si>
    <t>675840</t>
  </si>
  <si>
    <t>675907</t>
  </si>
  <si>
    <t>133628</t>
  </si>
  <si>
    <t>379012</t>
  </si>
  <si>
    <t>133805</t>
  </si>
  <si>
    <t>675854</t>
  </si>
  <si>
    <t>675908</t>
  </si>
  <si>
    <t>379011</t>
  </si>
  <si>
    <t>141095</t>
  </si>
  <si>
    <t>141097</t>
  </si>
  <si>
    <t>141475</t>
  </si>
  <si>
    <t>675882</t>
  </si>
  <si>
    <t>675883</t>
  </si>
  <si>
    <t>675927</t>
  </si>
  <si>
    <t>764995</t>
  </si>
  <si>
    <t>153493</t>
  </si>
  <si>
    <t>145788</t>
  </si>
  <si>
    <t>378899</t>
  </si>
  <si>
    <t>675863</t>
  </si>
  <si>
    <t>675884</t>
  </si>
  <si>
    <t>145943</t>
  </si>
  <si>
    <t>145944</t>
  </si>
  <si>
    <t>145948</t>
  </si>
  <si>
    <t>379020</t>
  </si>
  <si>
    <t>124892</t>
  </si>
  <si>
    <t>100711</t>
  </si>
  <si>
    <t>C06M06-0-13</t>
  </si>
  <si>
    <t>765007</t>
  </si>
  <si>
    <t>C06M06-0-14</t>
  </si>
  <si>
    <t>C00M01-0-00</t>
  </si>
  <si>
    <t>765022</t>
  </si>
  <si>
    <t>675894</t>
  </si>
  <si>
    <t>C610-00-000-1</t>
  </si>
  <si>
    <t>C620-00-000-1</t>
  </si>
  <si>
    <t>C510-00-000-1</t>
  </si>
  <si>
    <t>675939</t>
  </si>
  <si>
    <t>675912</t>
  </si>
  <si>
    <t>764999</t>
  </si>
  <si>
    <t>C220-00-000-1</t>
  </si>
  <si>
    <t>675897</t>
  </si>
  <si>
    <t>132508</t>
  </si>
  <si>
    <t>675962</t>
  </si>
  <si>
    <t>141853</t>
  </si>
  <si>
    <t>477495</t>
  </si>
  <si>
    <t>675826</t>
  </si>
  <si>
    <t>143477</t>
  </si>
  <si>
    <t>131033</t>
  </si>
  <si>
    <t>379016</t>
  </si>
  <si>
    <t>675949</t>
  </si>
  <si>
    <t>C00M02-0-00</t>
  </si>
  <si>
    <t>765020</t>
  </si>
  <si>
    <t>C00M04-0-00</t>
  </si>
  <si>
    <t>675964</t>
  </si>
  <si>
    <t>675853</t>
  </si>
  <si>
    <t>378928</t>
  </si>
  <si>
    <t>378929</t>
  </si>
  <si>
    <t>144383</t>
  </si>
  <si>
    <t>144566</t>
  </si>
  <si>
    <t>144567</t>
  </si>
  <si>
    <t>144953</t>
  </si>
  <si>
    <t>675968</t>
  </si>
  <si>
    <t>378936</t>
  </si>
  <si>
    <t>378931</t>
  </si>
  <si>
    <t>378934</t>
  </si>
  <si>
    <t>378961</t>
  </si>
  <si>
    <t>386274</t>
  </si>
  <si>
    <t>144317</t>
  </si>
  <si>
    <t>675961</t>
  </si>
  <si>
    <t>675969</t>
  </si>
  <si>
    <t>675951</t>
  </si>
  <si>
    <t>675963</t>
  </si>
  <si>
    <t>153473</t>
  </si>
  <si>
    <t>153476</t>
  </si>
  <si>
    <t>675926</t>
  </si>
  <si>
    <t>765024</t>
  </si>
  <si>
    <t>386241</t>
  </si>
  <si>
    <t>379036</t>
  </si>
  <si>
    <t>379035</t>
  </si>
  <si>
    <t>675952</t>
  </si>
  <si>
    <t>C00M07-1-00</t>
  </si>
  <si>
    <t>765032</t>
  </si>
  <si>
    <t>675950</t>
  </si>
  <si>
    <t>378996</t>
  </si>
  <si>
    <t>145749</t>
  </si>
  <si>
    <t>145753</t>
  </si>
  <si>
    <t>378997</t>
  </si>
  <si>
    <t>C06M02-0-00</t>
  </si>
  <si>
    <t>C06M03-0-00</t>
  </si>
  <si>
    <t>379111</t>
  </si>
  <si>
    <t>477596</t>
  </si>
  <si>
    <t>477598</t>
  </si>
  <si>
    <t>477597</t>
  </si>
  <si>
    <t>675991</t>
  </si>
  <si>
    <t>145589</t>
  </si>
  <si>
    <t>379065</t>
  </si>
  <si>
    <t>676041</t>
  </si>
  <si>
    <t>146049</t>
  </si>
  <si>
    <t>386309</t>
  </si>
  <si>
    <t>C00M08-1-00</t>
  </si>
  <si>
    <t>765023</t>
  </si>
  <si>
    <t>379077</t>
  </si>
  <si>
    <t>144470</t>
  </si>
  <si>
    <t>676087</t>
  </si>
  <si>
    <t>676088</t>
  </si>
  <si>
    <t>676089</t>
  </si>
  <si>
    <t>379092</t>
  </si>
  <si>
    <t>MOD-11872</t>
  </si>
  <si>
    <t>477609</t>
  </si>
  <si>
    <t>99150</t>
  </si>
  <si>
    <t>379153</t>
  </si>
  <si>
    <t>676034</t>
  </si>
  <si>
    <t>C00M05-0-00</t>
  </si>
  <si>
    <t>765035</t>
  </si>
  <si>
    <t>675987</t>
  </si>
  <si>
    <t>379128</t>
  </si>
  <si>
    <t>477616</t>
  </si>
  <si>
    <t>C290-00-000-1</t>
  </si>
  <si>
    <t>477629</t>
  </si>
  <si>
    <t>477631</t>
  </si>
  <si>
    <t>C490-00-000-1</t>
  </si>
  <si>
    <t>C710-00-000-1</t>
  </si>
  <si>
    <t>379127</t>
  </si>
  <si>
    <t>C00M10-0-00</t>
  </si>
  <si>
    <t>765036</t>
  </si>
  <si>
    <t>C00M11-0-00</t>
  </si>
  <si>
    <t>C00M12-0-00</t>
  </si>
  <si>
    <t>C00M13-0-01</t>
  </si>
  <si>
    <t>C00M14-0-00</t>
  </si>
  <si>
    <t>C00M15-0-00</t>
  </si>
  <si>
    <t>99151</t>
  </si>
  <si>
    <t>676112</t>
  </si>
  <si>
    <t>765038</t>
  </si>
  <si>
    <t>C00M09-0-01</t>
  </si>
  <si>
    <t>765034</t>
  </si>
  <si>
    <t>386279</t>
  </si>
  <si>
    <t>477684</t>
  </si>
  <si>
    <t>477690</t>
  </si>
  <si>
    <t>676191</t>
  </si>
  <si>
    <t>676211</t>
  </si>
  <si>
    <t>143039</t>
  </si>
  <si>
    <t>477683</t>
  </si>
  <si>
    <t>144814</t>
  </si>
  <si>
    <t>477703</t>
  </si>
  <si>
    <t>477301</t>
  </si>
  <si>
    <t>477680</t>
  </si>
  <si>
    <t>379220</t>
  </si>
  <si>
    <t>379223</t>
  </si>
  <si>
    <t>145139</t>
  </si>
  <si>
    <t>379231</t>
  </si>
  <si>
    <t>676265</t>
  </si>
  <si>
    <t>477719</t>
  </si>
  <si>
    <t>676238</t>
  </si>
  <si>
    <t>379258</t>
  </si>
  <si>
    <t>676263</t>
  </si>
  <si>
    <t>379252</t>
  </si>
  <si>
    <t>146016</t>
  </si>
  <si>
    <t>477710</t>
  </si>
  <si>
    <t>676239</t>
  </si>
  <si>
    <t>676230</t>
  </si>
  <si>
    <t>676243</t>
  </si>
  <si>
    <t>676299</t>
  </si>
  <si>
    <t>477747</t>
  </si>
  <si>
    <t>477749</t>
  </si>
  <si>
    <t>676335</t>
  </si>
  <si>
    <t>676338</t>
  </si>
  <si>
    <t>676248</t>
  </si>
  <si>
    <t>379293</t>
  </si>
  <si>
    <t>676290</t>
  </si>
  <si>
    <t>676283</t>
  </si>
  <si>
    <t>676310</t>
  </si>
  <si>
    <t>676237</t>
  </si>
  <si>
    <t>676240</t>
  </si>
  <si>
    <t>379257</t>
  </si>
  <si>
    <t>676236</t>
  </si>
  <si>
    <t>143744</t>
  </si>
  <si>
    <t>676241</t>
  </si>
  <si>
    <t>140101</t>
  </si>
  <si>
    <t>676381</t>
  </si>
  <si>
    <t>676407</t>
  </si>
  <si>
    <t>676373</t>
  </si>
  <si>
    <t>676428</t>
  </si>
  <si>
    <t>386339</t>
  </si>
  <si>
    <t>676285</t>
  </si>
  <si>
    <t>119812</t>
  </si>
  <si>
    <t>676245</t>
  </si>
  <si>
    <t>477804</t>
  </si>
  <si>
    <t>676314</t>
  </si>
  <si>
    <t>676287</t>
  </si>
  <si>
    <t>477809</t>
  </si>
  <si>
    <t>477810</t>
  </si>
  <si>
    <t>477813</t>
  </si>
  <si>
    <t>379314</t>
  </si>
  <si>
    <t>379029</t>
  </si>
  <si>
    <t>C00M09-0-01+1</t>
  </si>
  <si>
    <t>765070</t>
  </si>
  <si>
    <t>C00M10-0-00+1</t>
  </si>
  <si>
    <t>C00M11-0-00+1</t>
  </si>
  <si>
    <t>C00M12-0-00+1</t>
  </si>
  <si>
    <t>C00M13-0-01+1</t>
  </si>
  <si>
    <t>C00M14-0-00+1</t>
  </si>
  <si>
    <t>123240</t>
  </si>
  <si>
    <t>379160</t>
  </si>
  <si>
    <t>123208</t>
  </si>
  <si>
    <t>123183</t>
  </si>
  <si>
    <t>379295</t>
  </si>
  <si>
    <t>130675</t>
  </si>
  <si>
    <t>379357</t>
  </si>
  <si>
    <t>C210-00-000-1</t>
  </si>
  <si>
    <t>765071</t>
  </si>
  <si>
    <t>C710-00-000-1MOD</t>
  </si>
  <si>
    <t>765081</t>
  </si>
  <si>
    <t>676507</t>
  </si>
  <si>
    <t>386402</t>
  </si>
  <si>
    <t>C740-00-000-1</t>
  </si>
  <si>
    <t>477890</t>
  </si>
  <si>
    <t>146117</t>
  </si>
  <si>
    <t>477932</t>
  </si>
  <si>
    <t>C230-00-000-1</t>
  </si>
  <si>
    <t>140179</t>
  </si>
  <si>
    <t>676532</t>
  </si>
  <si>
    <t>477970</t>
  </si>
  <si>
    <t>765128</t>
  </si>
  <si>
    <t>386286</t>
  </si>
  <si>
    <t>676824</t>
  </si>
  <si>
    <t>386504</t>
  </si>
  <si>
    <t>386506</t>
  </si>
  <si>
    <t>386510</t>
  </si>
  <si>
    <t>676849</t>
  </si>
  <si>
    <t>676828</t>
  </si>
  <si>
    <t>676829</t>
  </si>
  <si>
    <t>676880</t>
  </si>
  <si>
    <t>145542</t>
  </si>
  <si>
    <t>676831</t>
  </si>
  <si>
    <t>379545</t>
  </si>
  <si>
    <t>676875</t>
  </si>
  <si>
    <t>676860</t>
  </si>
  <si>
    <t>140552</t>
  </si>
  <si>
    <t>379557</t>
  </si>
  <si>
    <t>478047</t>
  </si>
  <si>
    <t>676865</t>
  </si>
  <si>
    <t>676871</t>
  </si>
  <si>
    <t>676904</t>
  </si>
  <si>
    <t>386528</t>
  </si>
  <si>
    <t>135397</t>
  </si>
  <si>
    <t>676866</t>
  </si>
  <si>
    <t>478038</t>
  </si>
  <si>
    <t>676887</t>
  </si>
  <si>
    <t>132729</t>
  </si>
  <si>
    <t>676885</t>
  </si>
  <si>
    <t>676825</t>
  </si>
  <si>
    <t>379554</t>
  </si>
  <si>
    <t>143900</t>
  </si>
  <si>
    <t>379548</t>
  </si>
  <si>
    <t>676941</t>
  </si>
  <si>
    <t>379564</t>
  </si>
  <si>
    <t>676878</t>
  </si>
  <si>
    <t>676877</t>
  </si>
  <si>
    <t>676876</t>
  </si>
  <si>
    <t>676874</t>
  </si>
  <si>
    <t>379580</t>
  </si>
  <si>
    <t>141765</t>
  </si>
  <si>
    <t>676873</t>
  </si>
  <si>
    <t>142180</t>
  </si>
  <si>
    <t>676879</t>
  </si>
  <si>
    <t>676872</t>
  </si>
  <si>
    <t>131252</t>
  </si>
  <si>
    <t>379590</t>
  </si>
  <si>
    <t>478094</t>
  </si>
  <si>
    <t>478090</t>
  </si>
  <si>
    <t>478097</t>
  </si>
  <si>
    <t>MOD-12397</t>
  </si>
  <si>
    <t>765133</t>
  </si>
  <si>
    <t>478112</t>
  </si>
  <si>
    <t>478119</t>
  </si>
  <si>
    <t>478118</t>
  </si>
  <si>
    <t>COS626200</t>
  </si>
  <si>
    <t>478103</t>
  </si>
  <si>
    <t>379586</t>
  </si>
  <si>
    <t>379608</t>
  </si>
  <si>
    <t>379601</t>
  </si>
  <si>
    <t>379566</t>
  </si>
  <si>
    <t>C205-00-000-1+1</t>
  </si>
  <si>
    <t>379624</t>
  </si>
  <si>
    <t>478133</t>
  </si>
  <si>
    <t>153543</t>
  </si>
  <si>
    <t>153545</t>
  </si>
  <si>
    <t>109238</t>
  </si>
  <si>
    <t>478122</t>
  </si>
  <si>
    <t>478131</t>
  </si>
  <si>
    <t>478141</t>
  </si>
  <si>
    <t>676867</t>
  </si>
  <si>
    <t>140194</t>
  </si>
  <si>
    <t>379576</t>
  </si>
  <si>
    <t>144238</t>
  </si>
  <si>
    <t>144387</t>
  </si>
  <si>
    <t>379623</t>
  </si>
  <si>
    <t>146440</t>
  </si>
  <si>
    <t>478123</t>
  </si>
  <si>
    <t>C216-00-000-1</t>
  </si>
  <si>
    <t>765139</t>
  </si>
  <si>
    <t>C316-00-000-1</t>
  </si>
  <si>
    <t>C605-00-000-1</t>
  </si>
  <si>
    <t>386507</t>
  </si>
  <si>
    <t>135294</t>
  </si>
  <si>
    <t>379651</t>
  </si>
  <si>
    <t>478157</t>
  </si>
  <si>
    <t>478159</t>
  </si>
  <si>
    <t>379659</t>
  </si>
  <si>
    <t>153552</t>
  </si>
  <si>
    <t>379658</t>
  </si>
  <si>
    <t>153550</t>
  </si>
  <si>
    <t>379589</t>
  </si>
  <si>
    <t>379614</t>
  </si>
  <si>
    <t>124544</t>
  </si>
  <si>
    <t>379578</t>
  </si>
  <si>
    <t>140584</t>
  </si>
  <si>
    <t>146452</t>
  </si>
  <si>
    <t>379672</t>
  </si>
  <si>
    <t>141322</t>
  </si>
  <si>
    <t>379609</t>
  </si>
  <si>
    <t>379598</t>
  </si>
  <si>
    <t>379660</t>
  </si>
  <si>
    <t>153541</t>
  </si>
  <si>
    <t>379599</t>
  </si>
  <si>
    <t>379602</t>
  </si>
  <si>
    <t>478109</t>
  </si>
  <si>
    <t>379616</t>
  </si>
  <si>
    <t>379604</t>
  </si>
  <si>
    <t>379606</t>
  </si>
  <si>
    <t>144274</t>
  </si>
  <si>
    <t>478121</t>
  </si>
  <si>
    <t>146438</t>
  </si>
  <si>
    <t>386553</t>
  </si>
  <si>
    <t>379669</t>
  </si>
  <si>
    <t>379670</t>
  </si>
  <si>
    <t>C00M20-0-01</t>
  </si>
  <si>
    <t>765141</t>
  </si>
  <si>
    <t>C00M20-0-02</t>
  </si>
  <si>
    <t>379627</t>
  </si>
  <si>
    <t>C00M06-0-00</t>
  </si>
  <si>
    <t>676271</t>
  </si>
  <si>
    <t>386518</t>
  </si>
  <si>
    <t>IdPrj</t>
  </si>
  <si>
    <t>ItmCls</t>
  </si>
  <si>
    <t>IdCst</t>
  </si>
  <si>
    <t>ItmCur</t>
  </si>
  <si>
    <t>IdFabLin</t>
  </si>
  <si>
    <t>N02</t>
  </si>
  <si>
    <t>010:000.001.001.000.000</t>
  </si>
  <si>
    <t>624317.0010</t>
  </si>
  <si>
    <t>624323.0010</t>
  </si>
  <si>
    <t>624158.0010</t>
  </si>
  <si>
    <t>010:000.001.002.000.000</t>
  </si>
  <si>
    <t>624323.0020</t>
  </si>
  <si>
    <t>010:000.001.003.000.000</t>
  </si>
  <si>
    <t>624323.0030</t>
  </si>
  <si>
    <t>010:000.001.004.000.000</t>
  </si>
  <si>
    <t>624158.0020</t>
  </si>
  <si>
    <t>624323.0040</t>
  </si>
  <si>
    <t>010:000.001.005.000.000</t>
  </si>
  <si>
    <t>624323.0050</t>
  </si>
  <si>
    <t>010:000.001.006.000.000</t>
  </si>
  <si>
    <t>624323.0060</t>
  </si>
  <si>
    <t>624317.0020</t>
  </si>
  <si>
    <t>010:000.001.007.000.000</t>
  </si>
  <si>
    <t>624323.0070</t>
  </si>
  <si>
    <t>624158.0030</t>
  </si>
  <si>
    <t>21001.00.901.055</t>
  </si>
  <si>
    <t>010:000.001.008.000.000</t>
  </si>
  <si>
    <t>624158.0040</t>
  </si>
  <si>
    <t>21001.00.901.054</t>
  </si>
  <si>
    <t>010:000.001.009.000.000</t>
  </si>
  <si>
    <t>624158.0050</t>
  </si>
  <si>
    <t>21001.00.901.053</t>
  </si>
  <si>
    <t>624317.0030</t>
  </si>
  <si>
    <t>010:000.001.010.000.000</t>
  </si>
  <si>
    <t>624317.0050</t>
  </si>
  <si>
    <t>010:000.001.011.000.000</t>
  </si>
  <si>
    <t>624317.0070</t>
  </si>
  <si>
    <t>010:000.001.012.000.000</t>
  </si>
  <si>
    <t>010:000.001.013.000.000</t>
  </si>
  <si>
    <t>010:000.001.014.000.000</t>
  </si>
  <si>
    <t>010:000.001.015.000.000</t>
  </si>
  <si>
    <t>624158.0060</t>
  </si>
  <si>
    <t>010:000.001.016.000.000</t>
  </si>
  <si>
    <t>624158.0070</t>
  </si>
  <si>
    <t>020:000.001.001.000.000</t>
  </si>
  <si>
    <t>624318.0010</t>
  </si>
  <si>
    <t>624159.0010</t>
  </si>
  <si>
    <t>624324.0010</t>
  </si>
  <si>
    <t>020:000.001.002.000.000</t>
  </si>
  <si>
    <t>624318.0020</t>
  </si>
  <si>
    <t>020:000.001.003.000.000</t>
  </si>
  <si>
    <t>020:000.001.004.000.000</t>
  </si>
  <si>
    <t>624159.0020</t>
  </si>
  <si>
    <t>020:000.001.005.000.000</t>
  </si>
  <si>
    <t>624324.0020</t>
  </si>
  <si>
    <t>101448</t>
  </si>
  <si>
    <t>020:000.001.006.000.000</t>
  </si>
  <si>
    <t>020:000.001.007.000.000</t>
  </si>
  <si>
    <t>101601</t>
  </si>
  <si>
    <t>020:000.001.008.000.000</t>
  </si>
  <si>
    <t>101306</t>
  </si>
  <si>
    <t>020:000.001.009.000.000</t>
  </si>
  <si>
    <t>020:000.001.010.000.000</t>
  </si>
  <si>
    <t>020:000.001.011.000.000</t>
  </si>
  <si>
    <t>020:000.001.012.000.000</t>
  </si>
  <si>
    <t>020:000.001.013.000.000</t>
  </si>
  <si>
    <t>020:000.001.014.000.000</t>
  </si>
  <si>
    <t>020:000.001.015.000.000</t>
  </si>
  <si>
    <t>020:000.001.016.000.000</t>
  </si>
  <si>
    <t>020:000.001.017.000.000</t>
  </si>
  <si>
    <t>020:000.001.018.000.000</t>
  </si>
  <si>
    <t>020:000.001.019.000.000</t>
  </si>
  <si>
    <t>020:000.001.020.000.000</t>
  </si>
  <si>
    <t>020:000.001.021.000.000</t>
  </si>
  <si>
    <t>020:000.001.022.000.000</t>
  </si>
  <si>
    <t>020:000.001.023.000.000</t>
  </si>
  <si>
    <t>020:000.001.024.000.000</t>
  </si>
  <si>
    <t>020:000.001.025.000.000</t>
  </si>
  <si>
    <t>020:000.001.026.000.000</t>
  </si>
  <si>
    <t>020:000.001.027.000.000</t>
  </si>
  <si>
    <t>020:000.001.028.000.000</t>
  </si>
  <si>
    <t>030:000.001.001.000.000</t>
  </si>
  <si>
    <t>624160.0010</t>
  </si>
  <si>
    <t>624325.0010</t>
  </si>
  <si>
    <t>624319.0010</t>
  </si>
  <si>
    <t>030:000.001.002.000.000</t>
  </si>
  <si>
    <t>624160.0020</t>
  </si>
  <si>
    <t>624319.0020</t>
  </si>
  <si>
    <t>030:000.001.003.000.000</t>
  </si>
  <si>
    <t>624325.0020</t>
  </si>
  <si>
    <t>624160.0030</t>
  </si>
  <si>
    <t>030:000.001.004.000.000</t>
  </si>
  <si>
    <t>030:000.001.005.000.000</t>
  </si>
  <si>
    <t>030:000.001.006.000.000</t>
  </si>
  <si>
    <t>030:000.001.007.000.000</t>
  </si>
  <si>
    <t>030:000.001.008.000.000</t>
  </si>
  <si>
    <t>030:000.001.009.000.000</t>
  </si>
  <si>
    <t>103142</t>
  </si>
  <si>
    <t>030:000.001.010.000.000</t>
  </si>
  <si>
    <t>030:000.001.011.000.000</t>
  </si>
  <si>
    <t>030:000.001.012.000.000</t>
  </si>
  <si>
    <t>030:000.001.013.000.000</t>
  </si>
  <si>
    <t>030:000.001.014.000.000</t>
  </si>
  <si>
    <t>030:000.001.015.000.000</t>
  </si>
  <si>
    <t>030:000.001.016.000.000</t>
  </si>
  <si>
    <t>030:000.001.017.000.000</t>
  </si>
  <si>
    <t>030:000.001.018.000.000</t>
  </si>
  <si>
    <t>030:000.001.019.000.000</t>
  </si>
  <si>
    <t>030:000.001.020.000.000</t>
  </si>
  <si>
    <t>030:000.001.021.000.000</t>
  </si>
  <si>
    <t>030:000.001.022.000.000</t>
  </si>
  <si>
    <t>030:000.001.023.000.000</t>
  </si>
  <si>
    <t>030:000.001.024.000.000</t>
  </si>
  <si>
    <t>030:000.001.026.000.000</t>
  </si>
  <si>
    <t>105279</t>
  </si>
  <si>
    <t>030:000.001.027.000.000</t>
  </si>
  <si>
    <t>030:000.001.028.000.000</t>
  </si>
  <si>
    <t>030:000.001.029.000.000</t>
  </si>
  <si>
    <t>040:000.001.001.000.000</t>
  </si>
  <si>
    <t>651636.0010</t>
  </si>
  <si>
    <t>624320.0010</t>
  </si>
  <si>
    <t>624326.0010</t>
  </si>
  <si>
    <t>040:000.001.002.000.000</t>
  </si>
  <si>
    <t>651636.0020</t>
  </si>
  <si>
    <t>040:000.001.003.000.000</t>
  </si>
  <si>
    <t>040:000.001.004.000.000</t>
  </si>
  <si>
    <t>040:000.001.005.000.000</t>
  </si>
  <si>
    <t>651636.0040</t>
  </si>
  <si>
    <t>040:000.001.006.000.000</t>
  </si>
  <si>
    <t>651636.0050</t>
  </si>
  <si>
    <t>040:000.001.007.000.000</t>
  </si>
  <si>
    <t>040:000.001.008.000.000</t>
  </si>
  <si>
    <t>040:000.001.009.000.000</t>
  </si>
  <si>
    <t>040:000.001.010.000.000</t>
  </si>
  <si>
    <t>040:000.001.011.000.000</t>
  </si>
  <si>
    <t>651636.0090</t>
  </si>
  <si>
    <t>040:000.001.012.000.000</t>
  </si>
  <si>
    <t>040:000.001.013.000.000</t>
  </si>
  <si>
    <t>040:000.001.014.000.000</t>
  </si>
  <si>
    <t>040:000.001.016.000.000</t>
  </si>
  <si>
    <t>040:000.001.017.000.000</t>
  </si>
  <si>
    <t>040:000.001.018.000.000</t>
  </si>
  <si>
    <t>040:000.001.019.000.000</t>
  </si>
  <si>
    <t>040:000.001.020.000.000</t>
  </si>
  <si>
    <t>040:000.001.021.000.000</t>
  </si>
  <si>
    <t>040:000.001.022.000.000</t>
  </si>
  <si>
    <t>040:000.001.023.000.000</t>
  </si>
  <si>
    <t>040:000.001.024.000.000</t>
  </si>
  <si>
    <t>040:000.001.025.000.000</t>
  </si>
  <si>
    <t>040:000.001.026.000.000</t>
  </si>
  <si>
    <t>040:000.001.027.000.000</t>
  </si>
  <si>
    <t>040:000.001.028.000.000</t>
  </si>
  <si>
    <t>040:000.001.029.000.000</t>
  </si>
  <si>
    <t>040:000.001.030.000.000</t>
  </si>
  <si>
    <t>040:000.001.031.000.000</t>
  </si>
  <si>
    <t>040:000.001.032.000.000</t>
  </si>
  <si>
    <t>040:000.001.033.000.000</t>
  </si>
  <si>
    <t>040:000.001.034.000.000</t>
  </si>
  <si>
    <t>040:000.001.035.000.000</t>
  </si>
  <si>
    <t>040:000.001.036.000.000</t>
  </si>
  <si>
    <t>040:000.001.037.000.000</t>
  </si>
  <si>
    <t>103127</t>
  </si>
  <si>
    <t>040:000.001.038.000.000</t>
  </si>
  <si>
    <t>040:000.001.039.000.000</t>
  </si>
  <si>
    <t>040:000.001.040.000.000</t>
  </si>
  <si>
    <t>040:000.001.041.000.000</t>
  </si>
  <si>
    <t>040:000.001.042.000.000</t>
  </si>
  <si>
    <t>040:000.001.043.000.000</t>
  </si>
  <si>
    <t>040:000.001.044.000.000</t>
  </si>
  <si>
    <t>040:000.001.045.000.000</t>
  </si>
  <si>
    <t>040:000.001.046.000.000</t>
  </si>
  <si>
    <t>040:000.001.047.000.000</t>
  </si>
  <si>
    <t>040:000.001.048.000.000</t>
  </si>
  <si>
    <t>040:000.001.049.000.000</t>
  </si>
  <si>
    <t>040:000.001.050.000.000</t>
  </si>
  <si>
    <t>040:000.001.051.000.000</t>
  </si>
  <si>
    <t>040:000.001.052.000.000</t>
  </si>
  <si>
    <t>040:000.001.053.000.000</t>
  </si>
  <si>
    <t>040:000.001.054.000.000</t>
  </si>
  <si>
    <t>040:000.001.055.000.000</t>
  </si>
  <si>
    <t>040:000.001.056.000.000</t>
  </si>
  <si>
    <t>040:000.001.057.000.000</t>
  </si>
  <si>
    <t>040:000.001.058.000.000</t>
  </si>
  <si>
    <t>040:000.001.059.000.000</t>
  </si>
  <si>
    <t>040:000.001.060.000.000</t>
  </si>
  <si>
    <t>040:000.001.061.000.000</t>
  </si>
  <si>
    <t>040:000.001.062.000.000</t>
  </si>
  <si>
    <t>040:000.001.063.000.000</t>
  </si>
  <si>
    <t>040:000.001.064.000.000</t>
  </si>
  <si>
    <t>040:000.001.065.000.000</t>
  </si>
  <si>
    <t>040:000.001.066.000.000</t>
  </si>
  <si>
    <t>040:000.001.067.000.000</t>
  </si>
  <si>
    <t>040:000.001.068.000.000</t>
  </si>
  <si>
    <t>040:000.001.069.000.000</t>
  </si>
  <si>
    <t>050:000.001.001.000.000</t>
  </si>
  <si>
    <t>050:000.001.002.000.000</t>
  </si>
  <si>
    <t>624327.0020</t>
  </si>
  <si>
    <t>050:000.001.003.000.000</t>
  </si>
  <si>
    <t>624327.0030</t>
  </si>
  <si>
    <t>050:000.001.004.000.000</t>
  </si>
  <si>
    <t>651637.0040</t>
  </si>
  <si>
    <t>050:000.001.005.000.000</t>
  </si>
  <si>
    <t>050:000.001.006.000.000</t>
  </si>
  <si>
    <t>050:000.001.007.000.000</t>
  </si>
  <si>
    <t>624327.0040</t>
  </si>
  <si>
    <t>050:000.001.008.000.000</t>
  </si>
  <si>
    <t>651637.0080</t>
  </si>
  <si>
    <t>050:000.001.009.000.000</t>
  </si>
  <si>
    <t>651637.0090</t>
  </si>
  <si>
    <t>050:000.001.010.000.000</t>
  </si>
  <si>
    <t>050:000.001.011.000.000</t>
  </si>
  <si>
    <t>050:000.001.012.000.000</t>
  </si>
  <si>
    <t>050:000.001.013.000.000</t>
  </si>
  <si>
    <t>060:000.001.001.000.000</t>
  </si>
  <si>
    <t>624161.0010</t>
  </si>
  <si>
    <t>634332.0010</t>
  </si>
  <si>
    <t>060:000.001.002.000.000</t>
  </si>
  <si>
    <t>060:000.001.003.000.000</t>
  </si>
  <si>
    <t>624328.0020</t>
  </si>
  <si>
    <t>060:000.001.004.000.000</t>
  </si>
  <si>
    <t>060:000.001.005.000.000</t>
  </si>
  <si>
    <t>060:000.001.006.000.000</t>
  </si>
  <si>
    <t>060:000.001.007.000.000</t>
  </si>
  <si>
    <t>060:000.001.008.000.000</t>
  </si>
  <si>
    <t>060:000.001.009.000.000</t>
  </si>
  <si>
    <t>116416</t>
  </si>
  <si>
    <t>060:000.001.010.000.000</t>
  </si>
  <si>
    <t>105281</t>
  </si>
  <si>
    <t>060:000.001.011.000.000</t>
  </si>
  <si>
    <t>060:000.001.012.000.000</t>
  </si>
  <si>
    <t>060:000.001.013.000.000</t>
  </si>
  <si>
    <t>060:000.001.014.000.000</t>
  </si>
  <si>
    <t>104671</t>
  </si>
  <si>
    <t>060:000.001.015.000.000</t>
  </si>
  <si>
    <t>100980</t>
  </si>
  <si>
    <t>060:000.001.016.000.000</t>
  </si>
  <si>
    <t>103198</t>
  </si>
  <si>
    <t>060:000.001.017.000.000</t>
  </si>
  <si>
    <t>101599</t>
  </si>
  <si>
    <t>060:000.001.018.000.000</t>
  </si>
  <si>
    <t>060:000.001.019.000.000</t>
  </si>
  <si>
    <t>060:000.001.020.000.000</t>
  </si>
  <si>
    <t>101444</t>
  </si>
  <si>
    <t>060:000.001.021.000.000</t>
  </si>
  <si>
    <t>105262</t>
  </si>
  <si>
    <t>060:000.001.022.000.000</t>
  </si>
  <si>
    <t>101374</t>
  </si>
  <si>
    <t>060:000.001.023.000.000</t>
  </si>
  <si>
    <t>118078</t>
  </si>
  <si>
    <t>060:000.001.025.000.000</t>
  </si>
  <si>
    <t>105037</t>
  </si>
  <si>
    <t>060:000.001.026.000.000</t>
  </si>
  <si>
    <t>101273</t>
  </si>
  <si>
    <t>060:000.001.027.000.000</t>
  </si>
  <si>
    <t>104832</t>
  </si>
  <si>
    <t>060:000.001.029.000.000</t>
  </si>
  <si>
    <t>104641</t>
  </si>
  <si>
    <t>060:000.001.030.000.000</t>
  </si>
  <si>
    <t>060:000.001.031.000.000</t>
  </si>
  <si>
    <t>104021</t>
  </si>
  <si>
    <t>060:000.001.032.000.000</t>
  </si>
  <si>
    <t>125956</t>
  </si>
  <si>
    <t>060:000.001.033.000.000</t>
  </si>
  <si>
    <t>125957</t>
  </si>
  <si>
    <t>060:000.001.034.000.000</t>
  </si>
  <si>
    <t>060:000.001.035.000.000</t>
  </si>
  <si>
    <t>060:000.001.036.000.000</t>
  </si>
  <si>
    <t>N03</t>
  </si>
  <si>
    <t>070:000.001.001.001.000</t>
  </si>
  <si>
    <t>103133</t>
  </si>
  <si>
    <t>070:000.001.001.002.000</t>
  </si>
  <si>
    <t>070:000.001.001.003.000</t>
  </si>
  <si>
    <t>070:000.001.001.004.000</t>
  </si>
  <si>
    <t>070:000.001.001.005.000</t>
  </si>
  <si>
    <t>070:000.001.001.006.000</t>
  </si>
  <si>
    <t>070:000.001.001.007.000</t>
  </si>
  <si>
    <t>070:000.001.001.008.000</t>
  </si>
  <si>
    <t>070:000.001.001.009.000</t>
  </si>
  <si>
    <t>070:000.001.001.010.000</t>
  </si>
  <si>
    <t>070:000.001.001.011.000</t>
  </si>
  <si>
    <t>070:000.001.001.012.000</t>
  </si>
  <si>
    <t>070:000.001.001.013.000</t>
  </si>
  <si>
    <t>070:000.001.001.014.000</t>
  </si>
  <si>
    <t>070:000.001.001.015.000</t>
  </si>
  <si>
    <t>070:000.001.001.016.000</t>
  </si>
  <si>
    <t>070:000.001.001.017.000</t>
  </si>
  <si>
    <t>070:000.001.001.018.000</t>
  </si>
  <si>
    <t>070:000.001.001.019.000</t>
  </si>
  <si>
    <t>070:000.001.001.020.000</t>
  </si>
  <si>
    <t>070:000.001.001.021.000</t>
  </si>
  <si>
    <t>070:000.001.001.022.000</t>
  </si>
  <si>
    <t>070:000.001.001.023.000</t>
  </si>
  <si>
    <t>070:000.001.001.024.000</t>
  </si>
  <si>
    <t>070:000.001.001.025.000</t>
  </si>
  <si>
    <t>070:000.001.001.026.000</t>
  </si>
  <si>
    <t>070:000.001.001.027.000</t>
  </si>
  <si>
    <t>070:000.001.001.028.000</t>
  </si>
  <si>
    <t>070:000.001.001.029.000</t>
  </si>
  <si>
    <t>070:000.001.001.030.000</t>
  </si>
  <si>
    <t>070:000.001.001.031.000</t>
  </si>
  <si>
    <t>070:000.001.001.032.000</t>
  </si>
  <si>
    <t>070:000.001.001.033.000</t>
  </si>
  <si>
    <t>070:000.001.001.034.000</t>
  </si>
  <si>
    <t>070:000.001.001.035.000</t>
  </si>
  <si>
    <t>070:000.001.001.036.000</t>
  </si>
  <si>
    <t>070:000.001.001.037.000</t>
  </si>
  <si>
    <t>070:000.001.001.038.000</t>
  </si>
  <si>
    <t>070:000.001.001.039.000</t>
  </si>
  <si>
    <t>070:000.001.001.040.000</t>
  </si>
  <si>
    <t>070:000.001.001.041.000</t>
  </si>
  <si>
    <t>070:000.001.001.042.000</t>
  </si>
  <si>
    <t>070:000.001.001.043.000</t>
  </si>
  <si>
    <t>070:000.001.001.044.000</t>
  </si>
  <si>
    <t>070:000.001.001.045.000</t>
  </si>
  <si>
    <t>070:000.001.001.046.000</t>
  </si>
  <si>
    <t>070:000.001.001.047.000</t>
  </si>
  <si>
    <t>070:000.001.001.048.000</t>
  </si>
  <si>
    <t>070:000.001.001.049.000</t>
  </si>
  <si>
    <t>070:000.001.001.050.000</t>
  </si>
  <si>
    <t>070:000.001.001.051.000</t>
  </si>
  <si>
    <t>070:000.001.001.052.000</t>
  </si>
  <si>
    <t>070:000.001.001.053.000</t>
  </si>
  <si>
    <t>070:000.001.001.054.000</t>
  </si>
  <si>
    <t>070:000.001.001.055.000</t>
  </si>
  <si>
    <t>070:000.001.002.021.000</t>
  </si>
  <si>
    <t>070:000.001.002.022.000</t>
  </si>
  <si>
    <t>070:000.001.002.023.000</t>
  </si>
  <si>
    <t>070:000.001.002.024.000</t>
  </si>
  <si>
    <t>070:000.001.002.025.000</t>
  </si>
  <si>
    <t>070:000.001.002.026.000</t>
  </si>
  <si>
    <t>070:000.001.002.027.000</t>
  </si>
  <si>
    <t>070:000.001.002.028.000</t>
  </si>
  <si>
    <t>070:000.001.002.029.000</t>
  </si>
  <si>
    <t>070:000.001.002.030.000</t>
  </si>
  <si>
    <t>070:000.001.002.031.000</t>
  </si>
  <si>
    <t>070:000.001.002.034.000</t>
  </si>
  <si>
    <t>070:000.001.002.056.000</t>
  </si>
  <si>
    <t>101263</t>
  </si>
  <si>
    <t>070:000.001.002.057.000</t>
  </si>
  <si>
    <t>070:000.001.002.058.000</t>
  </si>
  <si>
    <t>070:000.001.002.059.000</t>
  </si>
  <si>
    <t>070:000.001.002.060.000</t>
  </si>
  <si>
    <t>070:000.001.002.061.000</t>
  </si>
  <si>
    <t>070:000.001.002.062.000</t>
  </si>
  <si>
    <t>070:000.001.002.063.000</t>
  </si>
  <si>
    <t>070:000.001.002.064.000</t>
  </si>
  <si>
    <t>070:000.001.002.065.000</t>
  </si>
  <si>
    <t>070:000.001.002.066.000</t>
  </si>
  <si>
    <t>070:000.001.002.067.000</t>
  </si>
  <si>
    <t>070:000.001.002.068.000</t>
  </si>
  <si>
    <t>070:000.001.002.069.000</t>
  </si>
  <si>
    <t>070:000.001.002.070.000</t>
  </si>
  <si>
    <t>070:000.001.002.071.000</t>
  </si>
  <si>
    <t>070:000.001.002.072.000</t>
  </si>
  <si>
    <t>070:000.001.002.073.000</t>
  </si>
  <si>
    <t>070:000.001.002.074.000</t>
  </si>
  <si>
    <t>070:000.001.002.075.000</t>
  </si>
  <si>
    <t>070:000.001.002.076.000</t>
  </si>
  <si>
    <t>070:000.001.002.077.000</t>
  </si>
  <si>
    <t>070:000.001.002.078.000</t>
  </si>
  <si>
    <t>070:000.001.002.079.000</t>
  </si>
  <si>
    <t>070:000.001.002.080.000</t>
  </si>
  <si>
    <t>070:000.001.002.081.000</t>
  </si>
  <si>
    <t>070:000.001.002.082.000</t>
  </si>
  <si>
    <t>070:000.001.002.084.000</t>
  </si>
  <si>
    <t>070:000.001.002.085.000</t>
  </si>
  <si>
    <t>070:000.001.002.086.000</t>
  </si>
  <si>
    <t>070:000.001.002.087.000</t>
  </si>
  <si>
    <t>070:000.001.002.088.000</t>
  </si>
  <si>
    <t>070:000.001.002.089.000</t>
  </si>
  <si>
    <t>070:000.001.002.090.000</t>
  </si>
  <si>
    <t>139239</t>
  </si>
  <si>
    <t>070:000.001.002.091.000</t>
  </si>
  <si>
    <t>070:000.001.002.092.000</t>
  </si>
  <si>
    <t>070:000.001.002.093.000</t>
  </si>
  <si>
    <t>070:000.001.002.094.000</t>
  </si>
  <si>
    <t>070:000.001.002.095.000</t>
  </si>
  <si>
    <t>070:000.001.002.096.000</t>
  </si>
  <si>
    <t>140314</t>
  </si>
  <si>
    <t>070:000.001.002.097.000</t>
  </si>
  <si>
    <t>070:000.001.002.098.000</t>
  </si>
  <si>
    <t>070:000.001.002.101.000</t>
  </si>
  <si>
    <t>070:000.001.002.102.000</t>
  </si>
  <si>
    <t>070:000.001.002.103.000</t>
  </si>
  <si>
    <t>070:000.001.002.104.000</t>
  </si>
  <si>
    <t>070:000.001.002.105.000</t>
  </si>
  <si>
    <t>070:000.001.002.106.000</t>
  </si>
  <si>
    <t>070:000.001.002.107.000</t>
  </si>
  <si>
    <t>070:000.001.002.110.000</t>
  </si>
  <si>
    <t>070:000.001.002.111.000</t>
  </si>
  <si>
    <t>070:000.001.002.112.000</t>
  </si>
  <si>
    <t>070:000.001.002.113.000</t>
  </si>
  <si>
    <t>070:000.001.002.114.000</t>
  </si>
  <si>
    <t>070:000.001.002.115.000</t>
  </si>
  <si>
    <t>070:000.001.002.119.000</t>
  </si>
  <si>
    <t>070:000.001.002.120.000</t>
  </si>
  <si>
    <t>070:000.001.002.122.000</t>
  </si>
  <si>
    <t>070:000.001.002.123.000</t>
  </si>
  <si>
    <t>070:000.001.002.124.000</t>
  </si>
  <si>
    <t>070:000.001.002.125.000</t>
  </si>
  <si>
    <t>070:000.001.002.126.000</t>
  </si>
  <si>
    <t>070:000.001.002.127.000</t>
  </si>
  <si>
    <t>070:000.001.002.128.000</t>
  </si>
  <si>
    <t>070:000.001.002.129.000</t>
  </si>
  <si>
    <t>070:000.001.002.130.000</t>
  </si>
  <si>
    <t>070:000.001.002.131.000</t>
  </si>
  <si>
    <t>070:000.001.002.132.000</t>
  </si>
  <si>
    <t>070:000.001.002.133.000</t>
  </si>
  <si>
    <t>070:000.001.002.134.000</t>
  </si>
  <si>
    <t>070:000.001.002.135.000</t>
  </si>
  <si>
    <t>070:000.001.002.136.000</t>
  </si>
  <si>
    <t>070:000.001.002.137.000</t>
  </si>
  <si>
    <t>070:000.001.002.138.000</t>
  </si>
  <si>
    <t>070:000.001.002.139.000</t>
  </si>
  <si>
    <t>070:000.001.002.140.000</t>
  </si>
  <si>
    <t>070:000.001.002.141.000</t>
  </si>
  <si>
    <t>070:000.001.002.142.000</t>
  </si>
  <si>
    <t>070:000.001.002.143.000</t>
  </si>
  <si>
    <t>070:000.001.002.144.000</t>
  </si>
  <si>
    <t>070:000.001.002.145.000</t>
  </si>
  <si>
    <t>070:000.001.002.146.000</t>
  </si>
  <si>
    <t>070:000.001.002.147.000</t>
  </si>
  <si>
    <t>070:000.001.002.148.000</t>
  </si>
  <si>
    <t>070:000.001.002.149.000</t>
  </si>
  <si>
    <t>070:000.001.002.150.000</t>
  </si>
  <si>
    <t>070:000.001.002.151.000</t>
  </si>
  <si>
    <t>070:000.001.002.152.000</t>
  </si>
  <si>
    <t>070:000.001.002.153.000</t>
  </si>
  <si>
    <t>070:000.001.002.154.000</t>
  </si>
  <si>
    <t>070:000.001.002.155.000</t>
  </si>
  <si>
    <t>070:000.001.002.156.000</t>
  </si>
  <si>
    <t>070:000.001.002.157.000</t>
  </si>
  <si>
    <t>070:000.001.002.158.000</t>
  </si>
  <si>
    <t>070:000.001.002.159.000</t>
  </si>
  <si>
    <t>070:000.001.002.160.000</t>
  </si>
  <si>
    <t>070:000.001.002.161.000</t>
  </si>
  <si>
    <t>070:000.001.002.162.000</t>
  </si>
  <si>
    <t>070:000.001.002.163.000</t>
  </si>
  <si>
    <t>070:000.001.002.164.000</t>
  </si>
  <si>
    <t>070:000.001.002.165.000</t>
  </si>
  <si>
    <t>070:000.001.002.166.000</t>
  </si>
  <si>
    <t>070:000.001.002.167.000</t>
  </si>
  <si>
    <t>070:000.001.002.168.000</t>
  </si>
  <si>
    <t>070:000.001.002.169.000</t>
  </si>
  <si>
    <t>070:000.001.002.170.000</t>
  </si>
  <si>
    <t>070:000.001.002.171.000</t>
  </si>
  <si>
    <t>070:000.001.002.172.000</t>
  </si>
  <si>
    <t>070:000.001.002.173.000</t>
  </si>
  <si>
    <t>070:000.001.002.174.000</t>
  </si>
  <si>
    <t>070:000.001.002.175.000</t>
  </si>
  <si>
    <t>070:000.001.002.176.000</t>
  </si>
  <si>
    <t>070:000.001.002.177.000</t>
  </si>
  <si>
    <t>070:000.001.002.178.000</t>
  </si>
  <si>
    <t>070:000.001.002.179.000</t>
  </si>
  <si>
    <t>070:000.001.002.180.000</t>
  </si>
  <si>
    <t>070:000.001.002.181.000</t>
  </si>
  <si>
    <t>070:000.001.002.182.000</t>
  </si>
  <si>
    <t>070:000.001.002.183.000</t>
  </si>
  <si>
    <t>070:000.001.002.184.000</t>
  </si>
  <si>
    <t>070:000.001.002.185.000</t>
  </si>
  <si>
    <t>070:000.001.002.186.000</t>
  </si>
  <si>
    <t>070:000.001.002.187.000</t>
  </si>
  <si>
    <t>070:000.001.002.188.000</t>
  </si>
  <si>
    <t>070:000.001.002.189.000</t>
  </si>
  <si>
    <t>070:000.001.002.190.000</t>
  </si>
  <si>
    <t>070:000.001.002.191.000</t>
  </si>
  <si>
    <t>070:000.001.002.192.000</t>
  </si>
  <si>
    <t>070:000.001.002.193.000</t>
  </si>
  <si>
    <t>070:000.001.002.194.000</t>
  </si>
  <si>
    <t>070:000.001.002.195.000</t>
  </si>
  <si>
    <t>070:000.001.002.196.000</t>
  </si>
  <si>
    <t>070:000.001.002.197.000</t>
  </si>
  <si>
    <t>070:000.001.002.198.000</t>
  </si>
  <si>
    <t>070:000.001.002.199.000</t>
  </si>
  <si>
    <t>070:000.001.002.200.000</t>
  </si>
  <si>
    <t>070:000.001.002.201.000</t>
  </si>
  <si>
    <t>070:000.001.002.202.000</t>
  </si>
  <si>
    <t>070:000.001.002.203.000</t>
  </si>
  <si>
    <t>070:000.001.002.204.000</t>
  </si>
  <si>
    <t>070:000.001.002.205.000</t>
  </si>
  <si>
    <t>070:000.001.002.206.000</t>
  </si>
  <si>
    <t>070:000.001.002.207.000</t>
  </si>
  <si>
    <t>070:000.001.002.208.000</t>
  </si>
  <si>
    <t>070:000.001.002.209.000</t>
  </si>
  <si>
    <t>070:000.001.002.210.000</t>
  </si>
  <si>
    <t>070:000.001.002.211.000</t>
  </si>
  <si>
    <t>21020.00.400.011</t>
  </si>
  <si>
    <t>070:000.001.002.212.000</t>
  </si>
  <si>
    <t>070:000.001.002.213.000</t>
  </si>
  <si>
    <t>070:000.001.002.214.000</t>
  </si>
  <si>
    <t>070:000.001.002.215.000</t>
  </si>
  <si>
    <t>070:000.001.002.216.000</t>
  </si>
  <si>
    <t>070:000.001.002.217.000</t>
  </si>
  <si>
    <t>070:000.001.002.218.000</t>
  </si>
  <si>
    <t>070:000.001.002.219.000</t>
  </si>
  <si>
    <t>070:000.001.002.220.000</t>
  </si>
  <si>
    <t>070:000.001.002.221.000</t>
  </si>
  <si>
    <t>070:000.001.002.222.000</t>
  </si>
  <si>
    <t>070:000.001.002.223.000</t>
  </si>
  <si>
    <t>070:000.001.002.224.000</t>
  </si>
  <si>
    <t>070:000.001.002.225.000</t>
  </si>
  <si>
    <t>070:000.001.002.226.000</t>
  </si>
  <si>
    <t>070:000.001.002.227.000</t>
  </si>
  <si>
    <t>070:000.001.002.228.000</t>
  </si>
  <si>
    <t>070:000.001.002.229.000</t>
  </si>
  <si>
    <t>070:000.001.002.230.000</t>
  </si>
  <si>
    <t>070:000.001.002.231.000</t>
  </si>
  <si>
    <t>070:000.001.002.232.000</t>
  </si>
  <si>
    <t>070:000.001.002.233.000</t>
  </si>
  <si>
    <t>070:000.001.002.234.000</t>
  </si>
  <si>
    <t>070:000.001.003.000.000</t>
  </si>
  <si>
    <t>624329.0030</t>
  </si>
  <si>
    <t>070:000.001.003.035.000</t>
  </si>
  <si>
    <t>070:000.001.003.036.000</t>
  </si>
  <si>
    <t>070:000.001.003.037.000</t>
  </si>
  <si>
    <t>070:000.001.003.038.000</t>
  </si>
  <si>
    <t>070:000.001.003.039.000</t>
  </si>
  <si>
    <t>070:000.001.003.040.000</t>
  </si>
  <si>
    <t>070:000.001.003.042.000</t>
  </si>
  <si>
    <t>070:000.001.003.043.000</t>
  </si>
  <si>
    <t>070:000.001.003.044.000</t>
  </si>
  <si>
    <t>070:000.001.003.045.000</t>
  </si>
  <si>
    <t>070:000.001.003.046.000</t>
  </si>
  <si>
    <t>070:000.001.003.047.000</t>
  </si>
  <si>
    <t>070:000.001.003.048.000</t>
  </si>
  <si>
    <t>070:000.001.003.049.000</t>
  </si>
  <si>
    <t>070:000.001.003.050.000</t>
  </si>
  <si>
    <t>070:000.001.003.051.000</t>
  </si>
  <si>
    <t>070:000.001.003.052.000</t>
  </si>
  <si>
    <t>070:000.001.003.053.000</t>
  </si>
  <si>
    <t>070:000.001.003.054.000</t>
  </si>
  <si>
    <t>070:000.001.003.055.000</t>
  </si>
  <si>
    <t>070:000.001.003.056.000</t>
  </si>
  <si>
    <t>070:000.001.003.057.000</t>
  </si>
  <si>
    <t>070:000.001.003.058.000</t>
  </si>
  <si>
    <t>070:000.001.003.059.000</t>
  </si>
  <si>
    <t>070:000.001.003.060.000</t>
  </si>
  <si>
    <t>070:000.001.003.061.000</t>
  </si>
  <si>
    <t>144628</t>
  </si>
  <si>
    <t>070:000.001.003.062.000</t>
  </si>
  <si>
    <t>144499</t>
  </si>
  <si>
    <t>070:000.001.003.064.000</t>
  </si>
  <si>
    <t>070:000.001.003.066.000</t>
  </si>
  <si>
    <t>070:000.001.003.237.000</t>
  </si>
  <si>
    <t>070:000.001.003.238.000</t>
  </si>
  <si>
    <t>105985</t>
  </si>
  <si>
    <t>070:000.001.003.239.000</t>
  </si>
  <si>
    <t>070:000.001.003.240.000</t>
  </si>
  <si>
    <t>070:000.001.003.241.000</t>
  </si>
  <si>
    <t>070:000.001.003.242.000</t>
  </si>
  <si>
    <t>070:000.001.003.243.000</t>
  </si>
  <si>
    <t>070:000.001.003.244.000</t>
  </si>
  <si>
    <t>070:000.001.003.245.000</t>
  </si>
  <si>
    <t>070:000.001.003.246.000</t>
  </si>
  <si>
    <t>070:000.001.003.247.000</t>
  </si>
  <si>
    <t>070:000.001.003.248.000</t>
  </si>
  <si>
    <t>070:000.001.003.249.000</t>
  </si>
  <si>
    <t>070:000.001.003.250.000</t>
  </si>
  <si>
    <t>070:000.001.003.251.000</t>
  </si>
  <si>
    <t>070:000.001.003.252.000</t>
  </si>
  <si>
    <t>070:000.001.003.253.000</t>
  </si>
  <si>
    <t>070:000.001.003.254.000</t>
  </si>
  <si>
    <t>070:000.001.003.255.000</t>
  </si>
  <si>
    <t>070:000.001.003.256.000</t>
  </si>
  <si>
    <t>070:000.001.003.257.000</t>
  </si>
  <si>
    <t>070:000.001.003.258.000</t>
  </si>
  <si>
    <t>070:000.001.003.259.000</t>
  </si>
  <si>
    <t>070:000.001.003.260.000</t>
  </si>
  <si>
    <t>070:000.001.003.261.000</t>
  </si>
  <si>
    <t>070:000.001.003.262.000</t>
  </si>
  <si>
    <t>070:000.001.003.263.000</t>
  </si>
  <si>
    <t>070:000.001.003.264.000</t>
  </si>
  <si>
    <t>070:000.001.003.265.000</t>
  </si>
  <si>
    <t>070:000.001.003.266.000</t>
  </si>
  <si>
    <t>070:000.001.003.267.000</t>
  </si>
  <si>
    <t>070:000.001.003.268.000</t>
  </si>
  <si>
    <t>070:000.001.003.269.000</t>
  </si>
  <si>
    <t>070:000.001.003.270.000</t>
  </si>
  <si>
    <t>070:000.001.003.271.000</t>
  </si>
  <si>
    <t>070:000.001.003.272.000</t>
  </si>
  <si>
    <t>070:000.001.003.273.000</t>
  </si>
  <si>
    <t>070:000.001.003.274.000</t>
  </si>
  <si>
    <t>070:000.001.003.276.000</t>
  </si>
  <si>
    <t>070:000.001.003.277.000</t>
  </si>
  <si>
    <t>070:000.001.003.278.000</t>
  </si>
  <si>
    <t>070:000.001.003.279.000</t>
  </si>
  <si>
    <t>070:000.001.003.280.000</t>
  </si>
  <si>
    <t>070:000.001.003.281.000</t>
  </si>
  <si>
    <t>070:000.001.003.282.000</t>
  </si>
  <si>
    <t>070:000.001.003.283.000</t>
  </si>
  <si>
    <t>070:000.001.003.284.000</t>
  </si>
  <si>
    <t>070:000.001.003.285.000</t>
  </si>
  <si>
    <t>070:000.001.003.286.000</t>
  </si>
  <si>
    <t>070:000.001.003.287.000</t>
  </si>
  <si>
    <t>070:000.001.003.288.000</t>
  </si>
  <si>
    <t>070:000.001.003.289.000</t>
  </si>
  <si>
    <t>070:000.001.003.290.000</t>
  </si>
  <si>
    <t>070:000.001.003.291.000</t>
  </si>
  <si>
    <t>070:000.001.003.292.000</t>
  </si>
  <si>
    <t>070:000.001.003.293.000</t>
  </si>
  <si>
    <t>070:000.001.003.294.000</t>
  </si>
  <si>
    <t>070:000.001.003.295.000</t>
  </si>
  <si>
    <t>070:000.001.003.296.000</t>
  </si>
  <si>
    <t>070:000.001.004.000.000</t>
  </si>
  <si>
    <t>070:000.001.004.067.000</t>
  </si>
  <si>
    <t>070:000.001.004.068.000</t>
  </si>
  <si>
    <t>070:000.001.004.069.000</t>
  </si>
  <si>
    <t>070:000.001.004.070.000</t>
  </si>
  <si>
    <t>070:000.001.004.071.000</t>
  </si>
  <si>
    <t>070:000.001.004.072.000</t>
  </si>
  <si>
    <t>070:000.001.004.073.000</t>
  </si>
  <si>
    <t>070:000.001.004.074.000</t>
  </si>
  <si>
    <t>070:000.001.004.075.000</t>
  </si>
  <si>
    <t>070:000.001.004.076.000</t>
  </si>
  <si>
    <t>070:000.001.004.077.000</t>
  </si>
  <si>
    <t>070:000.001.004.078.000</t>
  </si>
  <si>
    <t>070:000.001.004.079.000</t>
  </si>
  <si>
    <t>070:000.001.004.080.000</t>
  </si>
  <si>
    <t>070:000.001.004.081.000</t>
  </si>
  <si>
    <t>070:000.001.004.082.000</t>
  </si>
  <si>
    <t>070:000.001.004.083.000</t>
  </si>
  <si>
    <t>070:000.001.004.084.000</t>
  </si>
  <si>
    <t>070:000.001.004.085.000</t>
  </si>
  <si>
    <t>070:000.001.004.086.000</t>
  </si>
  <si>
    <t>070:000.001.004.087.000</t>
  </si>
  <si>
    <t>070:000.001.004.088.000</t>
  </si>
  <si>
    <t>070:000.001.004.089.000</t>
  </si>
  <si>
    <t>070:000.001.004.090.000</t>
  </si>
  <si>
    <t>070:000.001.004.297.000</t>
  </si>
  <si>
    <t>070:000.001.004.298.000</t>
  </si>
  <si>
    <t>070:000.001.004.299.000</t>
  </si>
  <si>
    <t>070:000.001.004.300.000</t>
  </si>
  <si>
    <t>105310</t>
  </si>
  <si>
    <t>070:000.001.005.000.000</t>
  </si>
  <si>
    <t>624329.0050</t>
  </si>
  <si>
    <t>070:000.001.005.091.000</t>
  </si>
  <si>
    <t>070:000.001.005.092.000</t>
  </si>
  <si>
    <t>070:000.001.005.093.000</t>
  </si>
  <si>
    <t>070:000.001.005.094.000</t>
  </si>
  <si>
    <t>070:000.001.005.095.000</t>
  </si>
  <si>
    <t>070:000.001.005.096.000</t>
  </si>
  <si>
    <t>070:000.001.005.097.000</t>
  </si>
  <si>
    <t>070:000.001.005.098.000</t>
  </si>
  <si>
    <t>070:000.001.005.099.000</t>
  </si>
  <si>
    <t>070:000.001.005.301.000</t>
  </si>
  <si>
    <t>070:000.001.005.302.000</t>
  </si>
  <si>
    <t>070:000.001.005.303.000</t>
  </si>
  <si>
    <t>070:000.001.005.304.000</t>
  </si>
  <si>
    <t>070:000.001.005.305.000</t>
  </si>
  <si>
    <t>070:000.001.006.100.000</t>
  </si>
  <si>
    <t>070:000.001.006.101.000</t>
  </si>
  <si>
    <t>070:000.001.006.102.000</t>
  </si>
  <si>
    <t>070:000.001.006.103.000</t>
  </si>
  <si>
    <t>070:000.001.006.104.000</t>
  </si>
  <si>
    <t>070:000.001.006.105.000</t>
  </si>
  <si>
    <t>070:000.001.006.106.000</t>
  </si>
  <si>
    <t>070:000.001.006.107.000</t>
  </si>
  <si>
    <t>070:000.001.006.108.000</t>
  </si>
  <si>
    <t>070:000.001.006.110.000</t>
  </si>
  <si>
    <t>070:000.001.006.111.000</t>
  </si>
  <si>
    <t>070:000.001.006.112.000</t>
  </si>
  <si>
    <t>070:000.001.006.113.000</t>
  </si>
  <si>
    <t>070:000.001.006.114.000</t>
  </si>
  <si>
    <t>070:000.001.006.115.000</t>
  </si>
  <si>
    <t>070:000.001.006.116.000</t>
  </si>
  <si>
    <t>070:000.001.006.117.000</t>
  </si>
  <si>
    <t>070:000.001.006.118.000</t>
  </si>
  <si>
    <t>070:000.001.006.306.000</t>
  </si>
  <si>
    <t>070:000.001.006.307.000</t>
  </si>
  <si>
    <t>070:000.001.006.308.000</t>
  </si>
  <si>
    <t>070:000.001.006.309.000</t>
  </si>
  <si>
    <t>070:000.001.006.310.000</t>
  </si>
  <si>
    <t>070:000.001.006.311.000</t>
  </si>
  <si>
    <t>070:000.001.006.312.000</t>
  </si>
  <si>
    <t>070:000.001.006.313.000</t>
  </si>
  <si>
    <t>070:000.001.006.314.000</t>
  </si>
  <si>
    <t>070:000.001.006.315.000</t>
  </si>
  <si>
    <t>070:000.001.006.316.000</t>
  </si>
  <si>
    <t>070:000.001.006.317.000</t>
  </si>
  <si>
    <t>070:000.001.006.318.000</t>
  </si>
  <si>
    <t>070:000.001.006.319.000</t>
  </si>
  <si>
    <t>070:000.001.006.320.000</t>
  </si>
  <si>
    <t>070:000.001.006.321.000</t>
  </si>
  <si>
    <t>070:000.001.006.322.000</t>
  </si>
  <si>
    <t>070:000.001.006.323.000</t>
  </si>
  <si>
    <t>070:000.001.006.324.000</t>
  </si>
  <si>
    <t>070:000.001.006.325.000</t>
  </si>
  <si>
    <t>070:000.001.006.326.000</t>
  </si>
  <si>
    <t>070:000.001.006.327.000</t>
  </si>
  <si>
    <t>070:000.001.007.119.000</t>
  </si>
  <si>
    <t>070:000.001.007.120.000</t>
  </si>
  <si>
    <t>070:000.001.007.121.000</t>
  </si>
  <si>
    <t>070:000.001.007.122.000</t>
  </si>
  <si>
    <t>070:000.001.007.123.000</t>
  </si>
  <si>
    <t>070:000.001.007.124.000</t>
  </si>
  <si>
    <t>070:000.001.007.125.000</t>
  </si>
  <si>
    <t>070:000.001.007.126.000</t>
  </si>
  <si>
    <t>070:000.001.007.127.000</t>
  </si>
  <si>
    <t>070:000.001.007.128.000</t>
  </si>
  <si>
    <t>070:000.001.007.129.000</t>
  </si>
  <si>
    <t>070:000.001.007.130.000</t>
  </si>
  <si>
    <t>070:000.001.007.131.000</t>
  </si>
  <si>
    <t>070:000.001.007.132.000</t>
  </si>
  <si>
    <t>070:000.001.007.133.000</t>
  </si>
  <si>
    <t>070:000.001.007.134.000</t>
  </si>
  <si>
    <t>070:000.001.007.135.000</t>
  </si>
  <si>
    <t>070:000.001.007.136.000</t>
  </si>
  <si>
    <t>070:000.001.007.137.000</t>
  </si>
  <si>
    <t>070:000.001.007.328.000</t>
  </si>
  <si>
    <t>070:000.001.007.330.000</t>
  </si>
  <si>
    <t>070:000.001.007.331.000</t>
  </si>
  <si>
    <t>070:000.001.007.332.000</t>
  </si>
  <si>
    <t>070:000.001.008.138.000</t>
  </si>
  <si>
    <t>070:000.001.008.139.000</t>
  </si>
  <si>
    <t>070:000.001.008.140.000</t>
  </si>
  <si>
    <t>070:000.001.008.141.000</t>
  </si>
  <si>
    <t>070:000.001.008.142.000</t>
  </si>
  <si>
    <t>070:000.001.008.143.000</t>
  </si>
  <si>
    <t>070:000.001.008.144.000</t>
  </si>
  <si>
    <t>070:000.001.008.145.000</t>
  </si>
  <si>
    <t>070:000.001.008.146.000</t>
  </si>
  <si>
    <t>070:000.001.008.147.000</t>
  </si>
  <si>
    <t>070:000.001.008.148.000</t>
  </si>
  <si>
    <t>070:000.001.008.149.000</t>
  </si>
  <si>
    <t>070:000.001.008.150.000</t>
  </si>
  <si>
    <t>070:000.001.008.333.000</t>
  </si>
  <si>
    <t>070:000.001.008.334.000</t>
  </si>
  <si>
    <t>070:000.001.008.335.000</t>
  </si>
  <si>
    <t>070:000.001.008.336.000</t>
  </si>
  <si>
    <t>070:000.001.008.337.000</t>
  </si>
  <si>
    <t>070:000.001.008.338.000</t>
  </si>
  <si>
    <t>070:000.001.008.339.000</t>
  </si>
  <si>
    <t>070:000.001.008.340.000</t>
  </si>
  <si>
    <t>070:000.001.008.341.000</t>
  </si>
  <si>
    <t>070:000.001.008.342.000</t>
  </si>
  <si>
    <t>070:000.001.008.343.000</t>
  </si>
  <si>
    <t>070:000.001.008.344.000</t>
  </si>
  <si>
    <t>070:000.001.008.345.000</t>
  </si>
  <si>
    <t>070:000.001.008.346.000</t>
  </si>
  <si>
    <t>070:000.001.008.347.000</t>
  </si>
  <si>
    <t>070:000.001.008.348.000</t>
  </si>
  <si>
    <t>070:000.001.008.349.000</t>
  </si>
  <si>
    <t>070:000.001.009.000.000</t>
  </si>
  <si>
    <t>070:000.001.009.151.000</t>
  </si>
  <si>
    <t>070:000.001.009.152.000</t>
  </si>
  <si>
    <t>070:000.001.009.153.000</t>
  </si>
  <si>
    <t>070:000.001.009.154.000</t>
  </si>
  <si>
    <t>070:000.001.009.155.000</t>
  </si>
  <si>
    <t>070:000.001.009.156.000</t>
  </si>
  <si>
    <t>070:000.001.009.157.000</t>
  </si>
  <si>
    <t>070:000.001.009.158.000</t>
  </si>
  <si>
    <t>070:000.001.009.159.000</t>
  </si>
  <si>
    <t>070:000.001.010.160.000</t>
  </si>
  <si>
    <t>070:000.001.010.161.000</t>
  </si>
  <si>
    <t>070:000.001.010.162.000</t>
  </si>
  <si>
    <t>070:000.001.010.163.000</t>
  </si>
  <si>
    <t>070:000.001.010.164.000</t>
  </si>
  <si>
    <t>070:000.001.010.165.000</t>
  </si>
  <si>
    <t>070:000.001.010.166.000</t>
  </si>
  <si>
    <t>070:000.001.010.167.000</t>
  </si>
  <si>
    <t>070:000.001.010.168.000</t>
  </si>
  <si>
    <t>070:000.001.010.169.000</t>
  </si>
  <si>
    <t>070:000.001.010.170.000</t>
  </si>
  <si>
    <t>070:000.001.010.171.000</t>
  </si>
  <si>
    <t>070:000.001.010.172.000</t>
  </si>
  <si>
    <t>070:000.001.010.173.000</t>
  </si>
  <si>
    <t>070:000.001.010.174.000</t>
  </si>
  <si>
    <t>070:000.001.010.175.000</t>
  </si>
  <si>
    <t>070:000.001.010.176.000</t>
  </si>
  <si>
    <t>070:000.001.010.177.000</t>
  </si>
  <si>
    <t>070:000.001.010.178.000</t>
  </si>
  <si>
    <t>070:000.001.010.179.000</t>
  </si>
  <si>
    <t>070:000.001.010.180.000</t>
  </si>
  <si>
    <t>070:000.001.010.181.000</t>
  </si>
  <si>
    <t>070:000.001.010.350.000</t>
  </si>
  <si>
    <t>070:000.001.010.351.000</t>
  </si>
  <si>
    <t>070:000.001.010.352.000</t>
  </si>
  <si>
    <t>070:000.001.010.353.000</t>
  </si>
  <si>
    <t>070:000.001.010.354.000</t>
  </si>
  <si>
    <t>070:000.001.010.355.000</t>
  </si>
  <si>
    <t>070:000.001.010.356.000</t>
  </si>
  <si>
    <t>070:000.001.010.357.000</t>
  </si>
  <si>
    <t>070:000.001.010.358.000</t>
  </si>
  <si>
    <t>070:000.001.010.359.000</t>
  </si>
  <si>
    <t>070:000.001.010.360.000</t>
  </si>
  <si>
    <t>070:000.001.010.361.000</t>
  </si>
  <si>
    <t>070:000.001.010.362.000</t>
  </si>
  <si>
    <t>070:000.001.010.363.000</t>
  </si>
  <si>
    <t>070:000.001.010.364.000</t>
  </si>
  <si>
    <t>070:000.001.010.365.000</t>
  </si>
  <si>
    <t>070:000.001.010.366.000</t>
  </si>
  <si>
    <t>070:000.001.010.367.000</t>
  </si>
  <si>
    <t>070:000.001.010.368.000</t>
  </si>
  <si>
    <t>070:000.001.010.370.000</t>
  </si>
  <si>
    <t>070:000.001.010.371.000</t>
  </si>
  <si>
    <t>070:000.001.010.372.000</t>
  </si>
  <si>
    <t>070:000.001.010.373.000</t>
  </si>
  <si>
    <t>070:000.001.010.374.000</t>
  </si>
  <si>
    <t>070:000.001.010.375.000</t>
  </si>
  <si>
    <t>070:000.001.011.182.000</t>
  </si>
  <si>
    <t>070:000.001.011.183.000</t>
  </si>
  <si>
    <t>070:000.001.011.184.000</t>
  </si>
  <si>
    <t>070:000.001.011.185.000</t>
  </si>
  <si>
    <t>070:000.001.011.186.000</t>
  </si>
  <si>
    <t>070:000.001.011.187.000</t>
  </si>
  <si>
    <t>070:000.001.011.188.000</t>
  </si>
  <si>
    <t>070:000.001.011.189.000</t>
  </si>
  <si>
    <t>070:000.001.011.190.000</t>
  </si>
  <si>
    <t>070:000.001.011.191.000</t>
  </si>
  <si>
    <t>070:000.001.011.192.000</t>
  </si>
  <si>
    <t>070:000.001.011.193.000</t>
  </si>
  <si>
    <t>070:000.001.011.194.000</t>
  </si>
  <si>
    <t>105302</t>
  </si>
  <si>
    <t>070:000.001.011.195.000</t>
  </si>
  <si>
    <t>070:000.001.011.376.000</t>
  </si>
  <si>
    <t>070:000.001.011.377.000</t>
  </si>
  <si>
    <t>070:000.001.011.378.000</t>
  </si>
  <si>
    <t>070:000.001.011.379.000</t>
  </si>
  <si>
    <t>070:000.001.011.380.000</t>
  </si>
  <si>
    <t>070:000.001.011.381.000</t>
  </si>
  <si>
    <t>070:000.001.011.382.000</t>
  </si>
  <si>
    <t>070:000.001.011.383.000</t>
  </si>
  <si>
    <t>070:000.001.011.384.000</t>
  </si>
  <si>
    <t>070:000.001.011.385.000</t>
  </si>
  <si>
    <t>070:000.001.011.386.000</t>
  </si>
  <si>
    <t>070:000.001.011.387.000</t>
  </si>
  <si>
    <t>070:000.001.011.388.000</t>
  </si>
  <si>
    <t>070:000.001.011.389.000</t>
  </si>
  <si>
    <t>070:000.001.012.196.000</t>
  </si>
  <si>
    <t>070:000.001.012.197.000</t>
  </si>
  <si>
    <t>070:000.001.012.198.000</t>
  </si>
  <si>
    <t>070:000.001.012.199.000</t>
  </si>
  <si>
    <t>070:000.001.012.201.000</t>
  </si>
  <si>
    <t>070:000.001.012.202.000</t>
  </si>
  <si>
    <t>070:000.001.012.203.000</t>
  </si>
  <si>
    <t>070:000.001.012.204.000</t>
  </si>
  <si>
    <t>070:000.001.012.205.000</t>
  </si>
  <si>
    <t>070:000.001.012.206.000</t>
  </si>
  <si>
    <t>070:000.001.012.207.000</t>
  </si>
  <si>
    <t>070:000.001.012.208.000</t>
  </si>
  <si>
    <t>070:000.001.012.209.000</t>
  </si>
  <si>
    <t>070:000.001.012.210.000</t>
  </si>
  <si>
    <t>070:000.001.012.211.000</t>
  </si>
  <si>
    <t>070:000.001.012.212.000</t>
  </si>
  <si>
    <t>070:000.001.012.213.000</t>
  </si>
  <si>
    <t>070:000.001.012.214.000</t>
  </si>
  <si>
    <t>070:000.001.012.215.000</t>
  </si>
  <si>
    <t>070:000.001.012.216.000</t>
  </si>
  <si>
    <t>070:000.001.012.217.000</t>
  </si>
  <si>
    <t>070:000.001.012.218.000</t>
  </si>
  <si>
    <t>070:000.001.012.219.000</t>
  </si>
  <si>
    <t>070:000.001.012.390.000</t>
  </si>
  <si>
    <t>070:000.001.012.391.000</t>
  </si>
  <si>
    <t>070:000.001.013.220.000</t>
  </si>
  <si>
    <t>070:000.001.013.221.000</t>
  </si>
  <si>
    <t>070:000.001.013.222.000</t>
  </si>
  <si>
    <t>070:000.001.013.223.000</t>
  </si>
  <si>
    <t>070:000.001.013.224.000</t>
  </si>
  <si>
    <t>070:000.001.013.225.000</t>
  </si>
  <si>
    <t>070:000.001.013.226.000</t>
  </si>
  <si>
    <t>070:000.001.013.227.000</t>
  </si>
  <si>
    <t>070:000.001.013.228.000</t>
  </si>
  <si>
    <t>070:000.001.013.229.000</t>
  </si>
  <si>
    <t>070:000.001.013.230.000</t>
  </si>
  <si>
    <t>070:000.001.013.231.000</t>
  </si>
  <si>
    <t>070:000.001.013.232.000</t>
  </si>
  <si>
    <t>070:000.001.013.233.000</t>
  </si>
  <si>
    <t>070:000.001.013.392.000</t>
  </si>
  <si>
    <t>070:000.001.013.393.000</t>
  </si>
  <si>
    <t>070:000.001.013.394.000</t>
  </si>
  <si>
    <t>070:000.001.013.395.000</t>
  </si>
  <si>
    <t>070:000.001.013.396.000</t>
  </si>
  <si>
    <t>070:000.001.013.397.000</t>
  </si>
  <si>
    <t>070:000.001.013.398.000</t>
  </si>
  <si>
    <t>070:000.001.013.399.000</t>
  </si>
  <si>
    <t>070:000.001.013.400.000</t>
  </si>
  <si>
    <t>070:000.001.013.401.000</t>
  </si>
  <si>
    <t>070:000.001.013.402.000</t>
  </si>
  <si>
    <t>070:000.001.013.403.000</t>
  </si>
  <si>
    <t>070:000.001.013.404.000</t>
  </si>
  <si>
    <t>123184</t>
  </si>
  <si>
    <t>070:000.001.014.234.000</t>
  </si>
  <si>
    <t>070:000.001.014.235.000</t>
  </si>
  <si>
    <t>070:000.001.014.236.000</t>
  </si>
  <si>
    <t>070:000.001.014.237.000</t>
  </si>
  <si>
    <t>070:000.001.014.238.000</t>
  </si>
  <si>
    <t>070:000.001.014.239.000</t>
  </si>
  <si>
    <t>070:000.001.014.240.000</t>
  </si>
  <si>
    <t>070:000.001.014.241.000</t>
  </si>
  <si>
    <t>070:000.001.014.242.000</t>
  </si>
  <si>
    <t>070:000.001.014.243.000</t>
  </si>
  <si>
    <t>070:000.001.014.244.000</t>
  </si>
  <si>
    <t>070:000.001.014.245.000</t>
  </si>
  <si>
    <t>070:000.001.014.246.000</t>
  </si>
  <si>
    <t>070:000.001.014.247.000</t>
  </si>
  <si>
    <t>070:000.001.014.248.000</t>
  </si>
  <si>
    <t>070:000.001.014.249.000</t>
  </si>
  <si>
    <t>101446</t>
  </si>
  <si>
    <t>070:000.001.014.250.000</t>
  </si>
  <si>
    <t>105313</t>
  </si>
  <si>
    <t>070:000.001.014.408.000</t>
  </si>
  <si>
    <t>070:000.001.014.409.000</t>
  </si>
  <si>
    <t>070:000.001.014.410.000</t>
  </si>
  <si>
    <t>070:000.001.014.411.000</t>
  </si>
  <si>
    <t>070:000.001.014.412.000</t>
  </si>
  <si>
    <t>070:000.001.014.413.000</t>
  </si>
  <si>
    <t>070:000.001.014.414.000</t>
  </si>
  <si>
    <t>070:000.001.014.415.000</t>
  </si>
  <si>
    <t>070:000.001.014.416.000</t>
  </si>
  <si>
    <t>070:000.001.014.417.000</t>
  </si>
  <si>
    <t>070:000.001.015.252.000</t>
  </si>
  <si>
    <t>070:000.001.015.253.000</t>
  </si>
  <si>
    <t>070:000.001.015.254.000</t>
  </si>
  <si>
    <t>070:000.001.015.255.000</t>
  </si>
  <si>
    <t>070:000.001.015.256.000</t>
  </si>
  <si>
    <t>070:000.001.015.257.000</t>
  </si>
  <si>
    <t>070:000.001.015.258.000</t>
  </si>
  <si>
    <t>070:000.001.015.259.000</t>
  </si>
  <si>
    <t>070:000.001.015.418.000</t>
  </si>
  <si>
    <t>070:000.001.015.419.000</t>
  </si>
  <si>
    <t>070:000.001.015.420.000</t>
  </si>
  <si>
    <t>070:000.001.015.421.000</t>
  </si>
  <si>
    <t>070:000.001.015.422.000</t>
  </si>
  <si>
    <t>070:000.001.015.423.000</t>
  </si>
  <si>
    <t>070:000.001.015.424.000</t>
  </si>
  <si>
    <t>070:000.001.015.425.000</t>
  </si>
  <si>
    <t>070:000.001.015.426.000</t>
  </si>
  <si>
    <t>070:000.001.015.427.000</t>
  </si>
  <si>
    <t>070:000.001.015.428.000</t>
  </si>
  <si>
    <t>070:000.001.015.429.000</t>
  </si>
  <si>
    <t>070:000.001.015.430.000</t>
  </si>
  <si>
    <t>070:000.001.015.431.000</t>
  </si>
  <si>
    <t>070:000.001.015.432.000</t>
  </si>
  <si>
    <t>070:000.001.015.433.000</t>
  </si>
  <si>
    <t>070:000.001.015.434.000</t>
  </si>
  <si>
    <t>070:000.001.016.000.000</t>
  </si>
  <si>
    <t>070:000.001.016.260.000</t>
  </si>
  <si>
    <t>070:000.001.016.261.000</t>
  </si>
  <si>
    <t>070:000.001.016.262.000</t>
  </si>
  <si>
    <t>070:000.001.016.263.000</t>
  </si>
  <si>
    <t>070:000.001.016.264.000</t>
  </si>
  <si>
    <t>070:000.001.016.265.000</t>
  </si>
  <si>
    <t>070:000.001.016.266.000</t>
  </si>
  <si>
    <t>070:000.001.016.267.000</t>
  </si>
  <si>
    <t>070:000.001.016.268.000</t>
  </si>
  <si>
    <t>070:000.001.016.269.000</t>
  </si>
  <si>
    <t>070:000.001.016.270.000</t>
  </si>
  <si>
    <t>070:000.001.016.271.000</t>
  </si>
  <si>
    <t>070:000.001.017.000.000</t>
  </si>
  <si>
    <t>070:000.001.017.272.000</t>
  </si>
  <si>
    <t>070:000.001.017.273.000</t>
  </si>
  <si>
    <t>116414</t>
  </si>
  <si>
    <t>070:000.001.017.274.000</t>
  </si>
  <si>
    <t>070:000.001.017.275.000</t>
  </si>
  <si>
    <t>070:000.001.017.276.000</t>
  </si>
  <si>
    <t>070:000.001.017.277.000</t>
  </si>
  <si>
    <t>070:000.001.017.278.000</t>
  </si>
  <si>
    <t>070:000.001.017.279.000</t>
  </si>
  <si>
    <t>070:000.001.017.280.000</t>
  </si>
  <si>
    <t>070:000.001.017.281.000</t>
  </si>
  <si>
    <t>070:000.001.017.282.000</t>
  </si>
  <si>
    <t>070:000.001.017.283.000</t>
  </si>
  <si>
    <t>070:000.001.017.284.000</t>
  </si>
  <si>
    <t>070:000.001.017.285.000</t>
  </si>
  <si>
    <t>070:000.001.017.286.000</t>
  </si>
  <si>
    <t>070:000.001.017.287.000</t>
  </si>
  <si>
    <t>070:000.001.017.288.000</t>
  </si>
  <si>
    <t>070:000.001.017.289.000</t>
  </si>
  <si>
    <t>070:000.001.017.290.000</t>
  </si>
  <si>
    <t>070:000.001.017.291.000</t>
  </si>
  <si>
    <t>070:000.001.017.292.000</t>
  </si>
  <si>
    <t>070:000.001.017.293.000</t>
  </si>
  <si>
    <t>070:000.001.018.000.000</t>
  </si>
  <si>
    <t>070:000.001.018.294.000</t>
  </si>
  <si>
    <t>070:000.001.018.295.000</t>
  </si>
  <si>
    <t>070:000.001.018.296.000</t>
  </si>
  <si>
    <t>070:000.001.018.297.000</t>
  </si>
  <si>
    <t>070:000.001.018.298.000</t>
  </si>
  <si>
    <t>070:000.001.018.299.000</t>
  </si>
  <si>
    <t>070:000.001.018.300.000</t>
  </si>
  <si>
    <t>070:000.001.018.301.000</t>
  </si>
  <si>
    <t>070:000.001.018.302.000</t>
  </si>
  <si>
    <t>070:000.001.018.303.000</t>
  </si>
  <si>
    <t>070:000.001.018.304.000</t>
  </si>
  <si>
    <t>103123</t>
  </si>
  <si>
    <t>070:000.001.019.000.000</t>
  </si>
  <si>
    <t>070:000.001.019.305.000</t>
  </si>
  <si>
    <t>070:000.001.019.306.000</t>
  </si>
  <si>
    <t>070:000.001.019.307.000</t>
  </si>
  <si>
    <t>070:000.001.019.308.000</t>
  </si>
  <si>
    <t>070:000.001.019.309.000</t>
  </si>
  <si>
    <t>070:000.001.019.310.000</t>
  </si>
  <si>
    <t>070:000.001.019.311.000</t>
  </si>
  <si>
    <t>070:000.001.019.312.000</t>
  </si>
  <si>
    <t>070:000.001.019.313.000</t>
  </si>
  <si>
    <t>070:000.001.019.314.000</t>
  </si>
  <si>
    <t>070:000.001.019.315.000</t>
  </si>
  <si>
    <t>070:000.001.019.316.000</t>
  </si>
  <si>
    <t>070:000.001.019.317.000</t>
  </si>
  <si>
    <t>070:000.001.020.000.000</t>
  </si>
  <si>
    <t>070:000.001.020.318.000</t>
  </si>
  <si>
    <t>070:000.001.020.319.000</t>
  </si>
  <si>
    <t>070:000.001.020.320.000</t>
  </si>
  <si>
    <t>070:000.001.020.321.000</t>
  </si>
  <si>
    <t>070:000.001.020.322.000</t>
  </si>
  <si>
    <t>070:000.001.020.323.000</t>
  </si>
  <si>
    <t>070:000.001.020.324.000</t>
  </si>
  <si>
    <t>070:000.001.020.325.000</t>
  </si>
  <si>
    <t>070:000.001.020.326.000</t>
  </si>
  <si>
    <t>070:000.001.020.327.000</t>
  </si>
  <si>
    <t>070:000.001.020.328.000</t>
  </si>
  <si>
    <t>070:000.001.020.329.000</t>
  </si>
  <si>
    <t>070:000.001.020.330.000</t>
  </si>
  <si>
    <t>070:000.001.020.331.000</t>
  </si>
  <si>
    <t>070:000.001.020.332.000</t>
  </si>
  <si>
    <t>070:000.001.020.333.000</t>
  </si>
  <si>
    <t>070:000.001.020.334.000</t>
  </si>
  <si>
    <t>070:000.001.020.335.000</t>
  </si>
  <si>
    <t>070:000.001.020.336.000</t>
  </si>
  <si>
    <t>070:000.001.020.337.000</t>
  </si>
  <si>
    <t>070:000.001.021.000.000</t>
  </si>
  <si>
    <t>070:000.001.021.338.000</t>
  </si>
  <si>
    <t>070:000.001.021.339.000</t>
  </si>
  <si>
    <t>070:000.001.021.340.000</t>
  </si>
  <si>
    <t>070:000.001.021.341.000</t>
  </si>
  <si>
    <t>070:000.001.021.342.000</t>
  </si>
  <si>
    <t>070:000.001.021.343.000</t>
  </si>
  <si>
    <t>070:000.001.021.344.000</t>
  </si>
  <si>
    <t>070:000.001.021.345.000</t>
  </si>
  <si>
    <t>070:000.001.021.346.000</t>
  </si>
  <si>
    <t>070:000.001.021.347.000</t>
  </si>
  <si>
    <t>070:000.001.021.348.000</t>
  </si>
  <si>
    <t>070:000.001.022.000.000</t>
  </si>
  <si>
    <t>070:000.001.022.435.000</t>
  </si>
  <si>
    <t>070:000.001.022.436.000</t>
  </si>
  <si>
    <t>070:000.001.022.437.000</t>
  </si>
  <si>
    <t>070:000.001.022.438.000</t>
  </si>
  <si>
    <t>070:000.001.022.439.000</t>
  </si>
  <si>
    <t>070:000.001.022.440.000</t>
  </si>
  <si>
    <t>070:000.001.022.441.000</t>
  </si>
  <si>
    <t>070:000.001.022.442.000</t>
  </si>
  <si>
    <t>070:000.001.022.443.000</t>
  </si>
  <si>
    <t>070:000.001.022.444.000</t>
  </si>
  <si>
    <t>070:000.001.022.445.000</t>
  </si>
  <si>
    <t>070:000.001.023.349.000</t>
  </si>
  <si>
    <t>070:000.001.023.350.000</t>
  </si>
  <si>
    <t>070:000.001.023.351.000</t>
  </si>
  <si>
    <t>070:000.001.023.352.000</t>
  </si>
  <si>
    <t>070:000.001.023.353.000</t>
  </si>
  <si>
    <t>070:000.001.023.354.000</t>
  </si>
  <si>
    <t>070:000.001.023.355.000</t>
  </si>
  <si>
    <t>070:000.001.023.356.000</t>
  </si>
  <si>
    <t>070:000.001.023.357.000</t>
  </si>
  <si>
    <t>070:000.001.023.358.000</t>
  </si>
  <si>
    <t>070:000.001.023.359.000</t>
  </si>
  <si>
    <t>070:000.001.023.446.000</t>
  </si>
  <si>
    <t>070:000.001.023.447.000</t>
  </si>
  <si>
    <t>070:000.001.023.448.000</t>
  </si>
  <si>
    <t>070:000.001.023.449.000</t>
  </si>
  <si>
    <t>070:000.001.023.450.000</t>
  </si>
  <si>
    <t>070:000.001.023.451.000</t>
  </si>
  <si>
    <t>070:000.001.023.452.000</t>
  </si>
  <si>
    <t>070:000.001.023.453.000</t>
  </si>
  <si>
    <t>070:000.001.024.361.000</t>
  </si>
  <si>
    <t>070:000.001.024.362.000</t>
  </si>
  <si>
    <t>070:000.001.024.363.000</t>
  </si>
  <si>
    <t>070:000.001.024.364.000</t>
  </si>
  <si>
    <t>070:000.001.024.365.000</t>
  </si>
  <si>
    <t>070:000.001.024.366.000</t>
  </si>
  <si>
    <t>070:000.001.024.367.000</t>
  </si>
  <si>
    <t>070:000.001.024.368.000</t>
  </si>
  <si>
    <t>070:000.001.024.369.000</t>
  </si>
  <si>
    <t>070:000.001.024.370.000</t>
  </si>
  <si>
    <t>070:000.001.024.454.000</t>
  </si>
  <si>
    <t>070:000.001.024.455.000</t>
  </si>
  <si>
    <t>070:000.001.024.456.000</t>
  </si>
  <si>
    <t>070:000.001.024.457.000</t>
  </si>
  <si>
    <t>070:000.001.024.458.000</t>
  </si>
  <si>
    <t>070:000.001.024.459.000</t>
  </si>
  <si>
    <t>070:000.001.024.460.000</t>
  </si>
  <si>
    <t>070:000.001.024.461.000</t>
  </si>
  <si>
    <t>070:000.001.024.462.000</t>
  </si>
  <si>
    <t>070:000.001.024.463.000</t>
  </si>
  <si>
    <t>070:000.001.024.464.000</t>
  </si>
  <si>
    <t>070:000.001.024.465.000</t>
  </si>
  <si>
    <t>070:000.001.024.466.000</t>
  </si>
  <si>
    <t>101338</t>
  </si>
  <si>
    <t>070:000.001.024.467.000</t>
  </si>
  <si>
    <t>101345</t>
  </si>
  <si>
    <t>070:000.001.024.468.000</t>
  </si>
  <si>
    <t>101281</t>
  </si>
  <si>
    <t>070:000.001.025.000.000</t>
  </si>
  <si>
    <t>070:000.001.025.470.000</t>
  </si>
  <si>
    <t>070:000.001.025.471.000</t>
  </si>
  <si>
    <t>070:000.001.025.472.000</t>
  </si>
  <si>
    <t>070:000.001.025.473.000</t>
  </si>
  <si>
    <t>070:000.001.025.474.000</t>
  </si>
  <si>
    <t>070:000.001.025.475.000</t>
  </si>
  <si>
    <t>070:000.001.025.476.000</t>
  </si>
  <si>
    <t>070:000.001.025.477.000</t>
  </si>
  <si>
    <t>070:000.001.025.478.000</t>
  </si>
  <si>
    <t>070:000.001.025.479.000</t>
  </si>
  <si>
    <t>070:000.001.025.480.000</t>
  </si>
  <si>
    <t>070:000.001.025.481.000</t>
  </si>
  <si>
    <t>070:000.001.026.000.000</t>
  </si>
  <si>
    <t>070:000.001.027.000.000</t>
  </si>
  <si>
    <t>070:000.001.027.371.000</t>
  </si>
  <si>
    <t>070:000.001.027.372.000</t>
  </si>
  <si>
    <t>070:000.001.027.373.000</t>
  </si>
  <si>
    <t>070:000.001.027.374.000</t>
  </si>
  <si>
    <t>070:000.001.027.375.000</t>
  </si>
  <si>
    <t>070:000.001.028.376.000</t>
  </si>
  <si>
    <t>070:000.001.028.377.000</t>
  </si>
  <si>
    <t>070:000.001.028.378.000</t>
  </si>
  <si>
    <t>070:000.001.028.379.000</t>
  </si>
  <si>
    <t>070:000.001.028.482.000</t>
  </si>
  <si>
    <t>070:000.001.028.483.000</t>
  </si>
  <si>
    <t>070:000.001.028.484.000</t>
  </si>
  <si>
    <t>070:000.001.028.485.000</t>
  </si>
  <si>
    <t>070:000.001.028.486.000</t>
  </si>
  <si>
    <t>070:000.001.028.487.000</t>
  </si>
  <si>
    <t>070:000.001.029.000.000</t>
  </si>
  <si>
    <t>070:000.001.030.000.000</t>
  </si>
  <si>
    <t>070:000.001.031.000.000</t>
  </si>
  <si>
    <t>070:000.001.031.488.000</t>
  </si>
  <si>
    <t>070:000.001.031.489.000</t>
  </si>
  <si>
    <t>070:000.001.031.490.000</t>
  </si>
  <si>
    <t>070:000.001.031.491.000</t>
  </si>
  <si>
    <t>070:000.001.032.380.000</t>
  </si>
  <si>
    <t>070:000.001.032.381.000</t>
  </si>
  <si>
    <t>070:000.001.032.382.000</t>
  </si>
  <si>
    <t>070:000.001.032.383.000</t>
  </si>
  <si>
    <t>070:000.001.033.384.000</t>
  </si>
  <si>
    <t>070:000.001.033.385.000</t>
  </si>
  <si>
    <t>070:000.001.033.386.000</t>
  </si>
  <si>
    <t>070:000.001.033.387.000</t>
  </si>
  <si>
    <t>070:000.001.033.388.000</t>
  </si>
  <si>
    <t>128165</t>
  </si>
  <si>
    <t>126193</t>
  </si>
  <si>
    <t>070:000.001.033.492.000</t>
  </si>
  <si>
    <t>070:000.001.033.493.000</t>
  </si>
  <si>
    <t>070:000.001.033.494.000</t>
  </si>
  <si>
    <t>070:000.001.034.390.000</t>
  </si>
  <si>
    <t>070:000.001.034.391.000</t>
  </si>
  <si>
    <t>070:000.001.034.392.000</t>
  </si>
  <si>
    <t>070:000.001.034.393.000</t>
  </si>
  <si>
    <t>070:000.001.034.394.000</t>
  </si>
  <si>
    <t>070:000.001.034.495.000</t>
  </si>
  <si>
    <t>070:000.001.034.496.000</t>
  </si>
  <si>
    <t>070:000.001.035.000.000</t>
  </si>
  <si>
    <t>070:000.001.035.498.000</t>
  </si>
  <si>
    <t>070:000.001.035.499.000</t>
  </si>
  <si>
    <t>070:000.001.035.500.000</t>
  </si>
  <si>
    <t>070:000.001.035.501.000</t>
  </si>
  <si>
    <t>070:000.001.035.502.000</t>
  </si>
  <si>
    <t>070:000.001.035.503.000</t>
  </si>
  <si>
    <t>070:000.001.036.000.000</t>
  </si>
  <si>
    <t>070:000.001.037.000.000</t>
  </si>
  <si>
    <t>070:000.001.037.504.000</t>
  </si>
  <si>
    <t>070:000.001.037.505.000</t>
  </si>
  <si>
    <t>070:000.001.038.000.000</t>
  </si>
  <si>
    <t>070:000.001.038.506.000</t>
  </si>
  <si>
    <t>070:000.001.038.507.000</t>
  </si>
  <si>
    <t>070:000.001.039.000.000</t>
  </si>
  <si>
    <t>070:000.001.040.000.000</t>
  </si>
  <si>
    <t>070:000.001.041.000.000</t>
  </si>
  <si>
    <t>101472</t>
  </si>
  <si>
    <t>070:000.001.041.508.000</t>
  </si>
  <si>
    <t>115366</t>
  </si>
  <si>
    <t>070:000.001.041.509.000</t>
  </si>
  <si>
    <t>121764</t>
  </si>
  <si>
    <t>070:000.001.041.510.000</t>
  </si>
  <si>
    <t>070:000.001.042.000.000</t>
  </si>
  <si>
    <t>104676</t>
  </si>
  <si>
    <t>070:000.001.043.000.000</t>
  </si>
  <si>
    <t>105301</t>
  </si>
  <si>
    <t>070:000.001.043.511.000</t>
  </si>
  <si>
    <t>070:000.001.044.000.000</t>
  </si>
  <si>
    <t>070:000.001.045.000.000</t>
  </si>
  <si>
    <t>070:000.001.045.512.000</t>
  </si>
  <si>
    <t>070:000.001.045.513.000</t>
  </si>
  <si>
    <t>070:000.001.045.514.000</t>
  </si>
  <si>
    <t>070:000.001.045.515.000</t>
  </si>
  <si>
    <t>070:000.001.046.000.000</t>
  </si>
  <si>
    <t>070:000.001.047.000.000</t>
  </si>
  <si>
    <t>070:000.001.047.395.000</t>
  </si>
  <si>
    <t>070:000.001.047.396.000</t>
  </si>
  <si>
    <t>070:000.001.048.000.000</t>
  </si>
  <si>
    <t>070:000.001.048.516.000</t>
  </si>
  <si>
    <t>070:000.001.048.517.000</t>
  </si>
  <si>
    <t>070:000.001.048.518.000</t>
  </si>
  <si>
    <t>070:000.001.048.519.000</t>
  </si>
  <si>
    <t>070:000.001.048.520.000</t>
  </si>
  <si>
    <t>070:000.001.049.000.000</t>
  </si>
  <si>
    <t>070:000.001.049.521.000</t>
  </si>
  <si>
    <t>070:000.001.049.522.000</t>
  </si>
  <si>
    <t>070:000.001.049.523.000</t>
  </si>
  <si>
    <t>070:000.001.049.524.000</t>
  </si>
  <si>
    <t>070:000.001.049.526.000</t>
  </si>
  <si>
    <t>070:000.001.049.527.000</t>
  </si>
  <si>
    <t>070:000.001.049.528.000</t>
  </si>
  <si>
    <t>070:000.001.049.529.000</t>
  </si>
  <si>
    <t>070:000.001.049.530.000</t>
  </si>
  <si>
    <t>070:000.001.049.531.000</t>
  </si>
  <si>
    <t>070:000.001.049.532.000</t>
  </si>
  <si>
    <t>070:000.001.049.533.000</t>
  </si>
  <si>
    <t>070:000.001.050.000.000</t>
  </si>
  <si>
    <t>070:000.001.050.534.000</t>
  </si>
  <si>
    <t>070:000.001.050.535.000</t>
  </si>
  <si>
    <t>070:000.001.050.536.000</t>
  </si>
  <si>
    <t>070:000.001.050.537.000</t>
  </si>
  <si>
    <t>070:000.001.050.538.000</t>
  </si>
  <si>
    <t>070:000.001.050.539.000</t>
  </si>
  <si>
    <t>070:000.001.051.000.000</t>
  </si>
  <si>
    <t>070:000.001.052.000.000</t>
  </si>
  <si>
    <t>101404</t>
  </si>
  <si>
    <t>070:000.001.053.397.000</t>
  </si>
  <si>
    <t>070:000.001.053.398.000</t>
  </si>
  <si>
    <t>070:000.001.053.399.000</t>
  </si>
  <si>
    <t>070:000.001.053.540.000</t>
  </si>
  <si>
    <t>070:000.001.053.541.000</t>
  </si>
  <si>
    <t>070:000.001.054.000.000</t>
  </si>
  <si>
    <t>070:000.001.054.542.000</t>
  </si>
  <si>
    <t>070:000.001.054.543.000</t>
  </si>
  <si>
    <t>070:000.001.055.000.000</t>
  </si>
  <si>
    <t>100719</t>
  </si>
  <si>
    <t>070:000.001.056.000.000</t>
  </si>
  <si>
    <t>070:000.001.057.000.000</t>
  </si>
  <si>
    <t>070:000.001.058.000.000</t>
  </si>
  <si>
    <t>070:000.001.058.544.000</t>
  </si>
  <si>
    <t>070:000.001.058.545.000</t>
  </si>
  <si>
    <t>070:000.001.058.546.000</t>
  </si>
  <si>
    <t>070:000.001.058.547.000</t>
  </si>
  <si>
    <t>070:000.001.058.548.000</t>
  </si>
  <si>
    <t>070:000.001.059.401.000</t>
  </si>
  <si>
    <t>114743</t>
  </si>
  <si>
    <t>070:000.001.059.404.000</t>
  </si>
  <si>
    <t>070:000.001.059.405.000</t>
  </si>
  <si>
    <t>070:000.001.059.406.000</t>
  </si>
  <si>
    <t>070:000.001.059.408.000</t>
  </si>
  <si>
    <t>21006.00.001.002</t>
  </si>
  <si>
    <t>070:000.001.059.409.000</t>
  </si>
  <si>
    <t>070:000.001.059.410.000</t>
  </si>
  <si>
    <t>070:000.001.059.411.000</t>
  </si>
  <si>
    <t>070:000.001.059.412.000</t>
  </si>
  <si>
    <t>070:000.001.059.413.000</t>
  </si>
  <si>
    <t>070:000.001.059.414.000</t>
  </si>
  <si>
    <t>070:000.001.059.549.000</t>
  </si>
  <si>
    <t>070:000.001.059.550.000</t>
  </si>
  <si>
    <t>070:000.001.060.000.000</t>
  </si>
  <si>
    <t>070:000.001.061.000.000</t>
  </si>
  <si>
    <t>070:000.001.062.000.000</t>
  </si>
  <si>
    <t>C9000-01M01-1-10</t>
  </si>
  <si>
    <t>070:000.001.063.000.000</t>
  </si>
  <si>
    <t>070:000.001.064.000.000</t>
  </si>
  <si>
    <t>105640</t>
  </si>
  <si>
    <t>070:000.001.065.000.000</t>
  </si>
  <si>
    <t>070:000.001.065.551.000</t>
  </si>
  <si>
    <t>070:000.001.065.552.000</t>
  </si>
  <si>
    <t>070:000.001.065.553.000</t>
  </si>
  <si>
    <t>070:000.001.065.554.000</t>
  </si>
  <si>
    <t>070:000.001.065.555.000</t>
  </si>
  <si>
    <t>070:000.001.065.556.000</t>
  </si>
  <si>
    <t>070:000.001.065.557.000</t>
  </si>
  <si>
    <t>070:000.001.065.558.000</t>
  </si>
  <si>
    <t>070:000.001.066.000.000</t>
  </si>
  <si>
    <t>070:000.001.067.000.000</t>
  </si>
  <si>
    <t>070:000.001.068.000.000</t>
  </si>
  <si>
    <t>070:000.001.069.000.000</t>
  </si>
  <si>
    <t>070:000.001.070.000.000</t>
  </si>
  <si>
    <t>070:000.001.070.559.000</t>
  </si>
  <si>
    <t>070:000.001.070.560.000</t>
  </si>
  <si>
    <t>070:000.001.071.000.000</t>
  </si>
  <si>
    <t>634333.0010</t>
  </si>
  <si>
    <t>070:000.001.071.561.000</t>
  </si>
  <si>
    <t>070:000.001.072.000.000</t>
  </si>
  <si>
    <t>070:000.001.073.562.000</t>
  </si>
  <si>
    <t>070:000.001.073.563.000</t>
  </si>
  <si>
    <t>070:000.001.073.564.000</t>
  </si>
  <si>
    <t>070:000.001.074.565.000</t>
  </si>
  <si>
    <t>070:000.001.075.000.000</t>
  </si>
  <si>
    <t>624162.0010</t>
  </si>
  <si>
    <t>080:000.001.001.000.000</t>
  </si>
  <si>
    <t>634334.0010</t>
  </si>
  <si>
    <t>634341.0010</t>
  </si>
  <si>
    <t>080:000.001.001.002.000</t>
  </si>
  <si>
    <t>080:000.001.002.000.000</t>
  </si>
  <si>
    <t>080:000.001.002.003.000</t>
  </si>
  <si>
    <t>080:000.001.002.004.000</t>
  </si>
  <si>
    <t>080:000.001.002.005.000</t>
  </si>
  <si>
    <t>080:000.001.002.006.000</t>
  </si>
  <si>
    <t>080:000.001.003.000.000</t>
  </si>
  <si>
    <t>080:000.001.004.000.000</t>
  </si>
  <si>
    <t>080:000.001.004.007.000</t>
  </si>
  <si>
    <t>080:000.001.004.008.000</t>
  </si>
  <si>
    <t>080:000.001.005.000.000</t>
  </si>
  <si>
    <t>080:000.001.005.009.000</t>
  </si>
  <si>
    <t>080:000.001.005.010.000</t>
  </si>
  <si>
    <t>080:000.001.006.000.000</t>
  </si>
  <si>
    <t>080:000.001.006.011.000</t>
  </si>
  <si>
    <t>080:000.001.006.012.000</t>
  </si>
  <si>
    <t>080:000.001.007.000.000</t>
  </si>
  <si>
    <t>080:000.001.007.001.000</t>
  </si>
  <si>
    <t>080:000.001.007.002.000</t>
  </si>
  <si>
    <t>080:000.001.007.003.000</t>
  </si>
  <si>
    <t>080:000.001.007.004.000</t>
  </si>
  <si>
    <t>080:000.001.007.005.000</t>
  </si>
  <si>
    <t>080:000.001.007.006.000</t>
  </si>
  <si>
    <t>080:000.001.007.007.000</t>
  </si>
  <si>
    <t>080:000.001.007.008.000</t>
  </si>
  <si>
    <t>080:000.001.007.009.000</t>
  </si>
  <si>
    <t>080:000.001.007.010.000</t>
  </si>
  <si>
    <t>080:000.001.007.011.000</t>
  </si>
  <si>
    <t>080:000.001.007.012.000</t>
  </si>
  <si>
    <t>080:000.001.007.013.000</t>
  </si>
  <si>
    <t>080:000.001.007.014.000</t>
  </si>
  <si>
    <t>080:000.001.007.015.000</t>
  </si>
  <si>
    <t>080:000.001.007.016.000</t>
  </si>
  <si>
    <t>080:000.001.007.017.000</t>
  </si>
  <si>
    <t>080:000.001.007.018.000</t>
  </si>
  <si>
    <t>080:000.001.007.019.000</t>
  </si>
  <si>
    <t>080:000.001.007.020.000</t>
  </si>
  <si>
    <t>080:000.001.007.021.000</t>
  </si>
  <si>
    <t>080:000.001.008.000.000</t>
  </si>
  <si>
    <t>080:000.001.008.015.000</t>
  </si>
  <si>
    <t>080:000.001.008.018.000</t>
  </si>
  <si>
    <t>080:000.001.008.019.000</t>
  </si>
  <si>
    <t>080:000.001.008.020.000</t>
  </si>
  <si>
    <t>080:000.001.008.021.000</t>
  </si>
  <si>
    <t>080:000.001.008.022.000</t>
  </si>
  <si>
    <t>080:000.001.008.023.000</t>
  </si>
  <si>
    <t>080:000.001.008.024.000</t>
  </si>
  <si>
    <t>080:000.001.008.025.000</t>
  </si>
  <si>
    <t>080:000.001.008.026.000</t>
  </si>
  <si>
    <t>080:000.001.009.000.000</t>
  </si>
  <si>
    <t>080:000.001.009.023.000</t>
  </si>
  <si>
    <t>080:000.001.009.024.000</t>
  </si>
  <si>
    <t>080:000.001.009.025.000</t>
  </si>
  <si>
    <t>080:000.001.009.026.000</t>
  </si>
  <si>
    <t>080:000.001.009.027.000</t>
  </si>
  <si>
    <t>080:000.001.009.028.000</t>
  </si>
  <si>
    <t>080:000.001.009.029.000</t>
  </si>
  <si>
    <t>080:000.001.009.030.000</t>
  </si>
  <si>
    <t>080:000.001.009.031.000</t>
  </si>
  <si>
    <t>080:000.001.009.032.000</t>
  </si>
  <si>
    <t>080:000.001.009.033.000</t>
  </si>
  <si>
    <t>080:000.001.009.034.000</t>
  </si>
  <si>
    <t>080:000.001.009.035.000</t>
  </si>
  <si>
    <t>080:000.001.009.036.000</t>
  </si>
  <si>
    <t>080:000.001.009.037.000</t>
  </si>
  <si>
    <t>080:000.001.009.038.000</t>
  </si>
  <si>
    <t>080:000.001.009.039.000</t>
  </si>
  <si>
    <t>080:000.001.009.040.000</t>
  </si>
  <si>
    <t>080:000.001.009.041.000</t>
  </si>
  <si>
    <t>080:000.001.009.042.000</t>
  </si>
  <si>
    <t>080:000.001.009.043.000</t>
  </si>
  <si>
    <t>080:000.001.009.044.000</t>
  </si>
  <si>
    <t>080:000.001.009.045.000</t>
  </si>
  <si>
    <t>080:000.001.009.046.000</t>
  </si>
  <si>
    <t>080:000.001.010.000.000</t>
  </si>
  <si>
    <t>30991.00.419.000</t>
  </si>
  <si>
    <t>080:000.001.010.041.000</t>
  </si>
  <si>
    <t>080:000.001.010.042.000</t>
  </si>
  <si>
    <t>080:000.001.010.043.000</t>
  </si>
  <si>
    <t>080:000.001.010.044.000</t>
  </si>
  <si>
    <t>080:000.001.010.045.000</t>
  </si>
  <si>
    <t>080:000.001.010.046.000</t>
  </si>
  <si>
    <t>080:000.001.011.000.000</t>
  </si>
  <si>
    <t>123191</t>
  </si>
  <si>
    <t>080:000.001.011.047.000</t>
  </si>
  <si>
    <t>080:000.001.011.048.000</t>
  </si>
  <si>
    <t>080:000.001.011.049.000</t>
  </si>
  <si>
    <t>080:000.001.011.050.000</t>
  </si>
  <si>
    <t>080:000.001.011.051.000</t>
  </si>
  <si>
    <t>080:000.001.011.052.000</t>
  </si>
  <si>
    <t>080:000.001.011.053.000</t>
  </si>
  <si>
    <t>080:000.001.011.054.000</t>
  </si>
  <si>
    <t>080:000.001.011.055.000</t>
  </si>
  <si>
    <t>080:000.001.011.056.000</t>
  </si>
  <si>
    <t>080:000.001.011.057.000</t>
  </si>
  <si>
    <t>080:000.001.011.058.000</t>
  </si>
  <si>
    <t>080:000.001.012.000.000</t>
  </si>
  <si>
    <t>123207</t>
  </si>
  <si>
    <t>080:000.001.012.052.000</t>
  </si>
  <si>
    <t>080:000.001.012.053.000</t>
  </si>
  <si>
    <t>080:000.001.012.054.000</t>
  </si>
  <si>
    <t>080:000.001.012.055.000</t>
  </si>
  <si>
    <t>080:000.001.012.056.000</t>
  </si>
  <si>
    <t>080:000.001.012.057.000</t>
  </si>
  <si>
    <t>080:000.001.012.058.000</t>
  </si>
  <si>
    <t>080:000.001.012.061.000</t>
  </si>
  <si>
    <t>080:000.001.012.062.000</t>
  </si>
  <si>
    <t>080:000.001.013.059.000</t>
  </si>
  <si>
    <t>080:000.001.013.060.000</t>
  </si>
  <si>
    <t>080:000.001.013.061.000</t>
  </si>
  <si>
    <t>080:000.001.013.062.000</t>
  </si>
  <si>
    <t>080:000.001.013.063.000</t>
  </si>
  <si>
    <t>080:000.001.013.064.000</t>
  </si>
  <si>
    <t>080:000.001.013.065.000</t>
  </si>
  <si>
    <t>080:000.001.013.066.000</t>
  </si>
  <si>
    <t>080:000.001.014.066.000</t>
  </si>
  <si>
    <t>080:000.001.014.067.000</t>
  </si>
  <si>
    <t>080:000.001.014.068.000</t>
  </si>
  <si>
    <t>080:000.001.014.069.000</t>
  </si>
  <si>
    <t>080:000.001.014.070.000</t>
  </si>
  <si>
    <t>080:000.001.014.071.000</t>
  </si>
  <si>
    <t>080:000.001.014.072.000</t>
  </si>
  <si>
    <t>080:000.001.014.073.000</t>
  </si>
  <si>
    <t>104447</t>
  </si>
  <si>
    <t>080:000.001.014.074.000</t>
  </si>
  <si>
    <t>71254.02.210.016</t>
  </si>
  <si>
    <t>080:000.001.014.076.000</t>
  </si>
  <si>
    <t>080:000.001.014.077.000</t>
  </si>
  <si>
    <t>080:000.001.014.078.000</t>
  </si>
  <si>
    <t>080:000.001.014.079.000</t>
  </si>
  <si>
    <t>080:000.001.014.080.000</t>
  </si>
  <si>
    <t>080:000.001.014.081.000</t>
  </si>
  <si>
    <t>101344</t>
  </si>
  <si>
    <t>080:000.001.014.082.000</t>
  </si>
  <si>
    <t>080:000.001.015.000.000</t>
  </si>
  <si>
    <t>080:000.001.015.083.000</t>
  </si>
  <si>
    <t>080:000.001.015.084.000</t>
  </si>
  <si>
    <t>080:000.001.015.085.000</t>
  </si>
  <si>
    <t>104288</t>
  </si>
  <si>
    <t>080:000.001.015.086.000</t>
  </si>
  <si>
    <t>104205</t>
  </si>
  <si>
    <t>080:000.001.015.087.000</t>
  </si>
  <si>
    <t>080:000.001.015.088.000</t>
  </si>
  <si>
    <t>080:000.001.015.089.000</t>
  </si>
  <si>
    <t>080:000.001.015.090.000</t>
  </si>
  <si>
    <t>080:000.001.015.091.000</t>
  </si>
  <si>
    <t>080:000.001.015.092.000</t>
  </si>
  <si>
    <t>080:000.001.015.093.000</t>
  </si>
  <si>
    <t>080:000.001.015.094.000</t>
  </si>
  <si>
    <t>080:000.001.015.095.000</t>
  </si>
  <si>
    <t>080:000.001.015.096.000</t>
  </si>
  <si>
    <t>080:000.001.015.097.000</t>
  </si>
  <si>
    <t>080:000.001.015.098.000</t>
  </si>
  <si>
    <t>080:000.001.015.099.000</t>
  </si>
  <si>
    <t>080:000.001.016.000.000</t>
  </si>
  <si>
    <t>080:000.001.016.087.000</t>
  </si>
  <si>
    <t>080:000.001.016.088.000</t>
  </si>
  <si>
    <t>080:000.001.016.102.000</t>
  </si>
  <si>
    <t>080:000.001.016.103.000</t>
  </si>
  <si>
    <t>080:000.001.016.104.000</t>
  </si>
  <si>
    <t>080:000.001.016.105.000</t>
  </si>
  <si>
    <t>080:000.001.016.106.000</t>
  </si>
  <si>
    <t>080:000.001.016.107.000</t>
  </si>
  <si>
    <t>080:000.001.016.108.000</t>
  </si>
  <si>
    <t>080:000.001.016.109.000</t>
  </si>
  <si>
    <t>080:000.001.016.110.000</t>
  </si>
  <si>
    <t>080:000.001.016.111.000</t>
  </si>
  <si>
    <t>080:000.001.016.112.000</t>
  </si>
  <si>
    <t>080:000.001.016.113.000</t>
  </si>
  <si>
    <t>080:000.001.016.114.000</t>
  </si>
  <si>
    <t>080:000.001.016.115.000</t>
  </si>
  <si>
    <t>080:000.001.016.116.000</t>
  </si>
  <si>
    <t>080:000.001.016.117.000</t>
  </si>
  <si>
    <t>080:000.001.016.118.000</t>
  </si>
  <si>
    <t>080:000.001.017.000.000</t>
  </si>
  <si>
    <t>080:000.001.017.089.000</t>
  </si>
  <si>
    <t>080:000.001.017.090.000</t>
  </si>
  <si>
    <t>080:000.001.018.000.000</t>
  </si>
  <si>
    <t>080:000.001.018.091.000</t>
  </si>
  <si>
    <t>080:000.001.018.092.000</t>
  </si>
  <si>
    <t>080:000.001.018.093.000</t>
  </si>
  <si>
    <t>139457</t>
  </si>
  <si>
    <t>21020.00.401.810</t>
  </si>
  <si>
    <t>104010</t>
  </si>
  <si>
    <t>123067</t>
  </si>
  <si>
    <t>080:000.001.018.097.000</t>
  </si>
  <si>
    <t>080:000.001.018.098.000</t>
  </si>
  <si>
    <t>100979</t>
  </si>
  <si>
    <t>080:000.001.018.099.000</t>
  </si>
  <si>
    <t>080:000.001.018.100.000</t>
  </si>
  <si>
    <t>101331</t>
  </si>
  <si>
    <t>080:000.001.018.122.000</t>
  </si>
  <si>
    <t>080:000.001.018.123.000</t>
  </si>
  <si>
    <t>080:000.001.018.124.000</t>
  </si>
  <si>
    <t>080:000.001.018.125.000</t>
  </si>
  <si>
    <t>080:000.001.018.126.000</t>
  </si>
  <si>
    <t>080:000.001.018.128.000</t>
  </si>
  <si>
    <t>080:000.001.018.129.000</t>
  </si>
  <si>
    <t>080:000.001.018.130.000</t>
  </si>
  <si>
    <t>080:000.001.018.131.000</t>
  </si>
  <si>
    <t>080:000.001.018.132.000</t>
  </si>
  <si>
    <t>080:000.001.018.133.000</t>
  </si>
  <si>
    <t>080:000.001.018.134.000</t>
  </si>
  <si>
    <t>080:000.001.018.135.000</t>
  </si>
  <si>
    <t>080:000.001.018.136.000</t>
  </si>
  <si>
    <t>080:000.001.018.137.000</t>
  </si>
  <si>
    <t>080:000.001.018.138.000</t>
  </si>
  <si>
    <t>080:000.001.018.139.000</t>
  </si>
  <si>
    <t>080:000.001.019.000.000</t>
  </si>
  <si>
    <t>105244</t>
  </si>
  <si>
    <t>080:000.001.019.141.000</t>
  </si>
  <si>
    <t>080:000.001.019.142.000</t>
  </si>
  <si>
    <t>080:000.001.019.143.000</t>
  </si>
  <si>
    <t>080:000.001.019.144.000</t>
  </si>
  <si>
    <t>080:000.001.019.145.000</t>
  </si>
  <si>
    <t>080:000.001.019.146.000</t>
  </si>
  <si>
    <t>080:000.001.019.147.000</t>
  </si>
  <si>
    <t>080:000.001.019.148.000</t>
  </si>
  <si>
    <t>080:000.001.019.149.000</t>
  </si>
  <si>
    <t>080:000.001.019.150.000</t>
  </si>
  <si>
    <t>080:000.001.019.151.000</t>
  </si>
  <si>
    <t>080:000.001.019.152.000</t>
  </si>
  <si>
    <t>080:000.001.019.153.000</t>
  </si>
  <si>
    <t>080:000.001.019.154.000</t>
  </si>
  <si>
    <t>080:000.001.019.155.000</t>
  </si>
  <si>
    <t>080:000.001.019.156.000</t>
  </si>
  <si>
    <t>080:000.001.019.157.000</t>
  </si>
  <si>
    <t>080:000.001.019.158.000</t>
  </si>
  <si>
    <t>080:000.001.019.159.000</t>
  </si>
  <si>
    <t>080:000.001.020.000.000</t>
  </si>
  <si>
    <t>080:000.001.020.160.000</t>
  </si>
  <si>
    <t>080:000.001.020.163.000</t>
  </si>
  <si>
    <t>080:000.001.020.165.000</t>
  </si>
  <si>
    <t>080:000.001.020.166.000</t>
  </si>
  <si>
    <t>080:000.001.020.168.000</t>
  </si>
  <si>
    <t>080:000.001.020.169.000</t>
  </si>
  <si>
    <t>080:000.001.020.170.000</t>
  </si>
  <si>
    <t>080:000.001.020.171.000</t>
  </si>
  <si>
    <t>080:000.001.021.000.000</t>
  </si>
  <si>
    <t>104204</t>
  </si>
  <si>
    <t>080:000.001.021.172.000</t>
  </si>
  <si>
    <t>080:000.001.021.175.000</t>
  </si>
  <si>
    <t>080:000.001.021.177.000</t>
  </si>
  <si>
    <t>080:000.001.021.178.000</t>
  </si>
  <si>
    <t>080:000.001.021.180.000</t>
  </si>
  <si>
    <t>080:000.001.021.181.000</t>
  </si>
  <si>
    <t>080:000.001.021.182.000</t>
  </si>
  <si>
    <t>080:000.001.021.183.000</t>
  </si>
  <si>
    <t>080:000.001.021.184.000</t>
  </si>
  <si>
    <t>080:000.001.022.000.000</t>
  </si>
  <si>
    <t>117354</t>
  </si>
  <si>
    <t>080:000.001.023.000.000</t>
  </si>
  <si>
    <t>080:000.001.023.101.000</t>
  </si>
  <si>
    <t>080:000.001.023.102.000</t>
  </si>
  <si>
    <t>103959</t>
  </si>
  <si>
    <t>080:000.001.023.103.000</t>
  </si>
  <si>
    <t>104014</t>
  </si>
  <si>
    <t>080:000.001.024.000.000</t>
  </si>
  <si>
    <t>080:000.001.025.000.000</t>
  </si>
  <si>
    <t>104207</t>
  </si>
  <si>
    <t>080:000.001.026.000.000</t>
  </si>
  <si>
    <t>104249</t>
  </si>
  <si>
    <t>080:000.001.027.000.000</t>
  </si>
  <si>
    <t>080:000.001.027.186.000</t>
  </si>
  <si>
    <t>080:000.001.027.187.000</t>
  </si>
  <si>
    <t>080:000.001.028.000.000</t>
  </si>
  <si>
    <t>080:000.001.028.188.000</t>
  </si>
  <si>
    <t>080:000.001.028.189.000</t>
  </si>
  <si>
    <t>125853</t>
  </si>
  <si>
    <t>080:000.001.029.190.000</t>
  </si>
  <si>
    <t>080:000.001.029.191.000</t>
  </si>
  <si>
    <t>080:000.001.030.000.000</t>
  </si>
  <si>
    <t>080:000.001.030.192.000</t>
  </si>
  <si>
    <t>080:000.001.030.193.000</t>
  </si>
  <si>
    <t>080:000.001.031.000.000</t>
  </si>
  <si>
    <t>101343</t>
  </si>
  <si>
    <t>080:000.001.031.194.000</t>
  </si>
  <si>
    <t>080:000.001.032.195.000</t>
  </si>
  <si>
    <t>080:000.001.032.196.000</t>
  </si>
  <si>
    <t>080:000.001.032.197.000</t>
  </si>
  <si>
    <t>080:000.001.032.198.000</t>
  </si>
  <si>
    <t>080:000.001.033.199.000</t>
  </si>
  <si>
    <t>080:000.001.033.200.000</t>
  </si>
  <si>
    <t>080:000.001.033.201.000</t>
  </si>
  <si>
    <t>080:000.001.033.202.000</t>
  </si>
  <si>
    <t>080:000.001.034.203.000</t>
  </si>
  <si>
    <t>080:000.001.034.204.000</t>
  </si>
  <si>
    <t>080:000.001.034.205.000</t>
  </si>
  <si>
    <t>080:000.001.035.000.000</t>
  </si>
  <si>
    <t>080:000.001.036.000.000</t>
  </si>
  <si>
    <t>080:000.001.037.000.000</t>
  </si>
  <si>
    <t>105436</t>
  </si>
  <si>
    <t>080:000.001.038.000.000</t>
  </si>
  <si>
    <t>080:000.001.039.000.000</t>
  </si>
  <si>
    <t>080:000.001.040.000.000</t>
  </si>
  <si>
    <t>117345</t>
  </si>
  <si>
    <t>080:000.001.041.000.000</t>
  </si>
  <si>
    <t>102806</t>
  </si>
  <si>
    <t>080:000.001.042.000.000</t>
  </si>
  <si>
    <t>102802</t>
  </si>
  <si>
    <t>080:000.001.043.000.000</t>
  </si>
  <si>
    <t>080:000.001.044.000.000</t>
  </si>
  <si>
    <t>080:000.001.045.000.000</t>
  </si>
  <si>
    <t>080:000.001.046.000.000</t>
  </si>
  <si>
    <t>080:000.001.047.000.000</t>
  </si>
  <si>
    <t>080:000.001.048.000.000</t>
  </si>
  <si>
    <t>080:000.001.049.000.000</t>
  </si>
  <si>
    <t>104840</t>
  </si>
  <si>
    <t>080:000.001.050.000.000</t>
  </si>
  <si>
    <t>080:000.001.050.104.000</t>
  </si>
  <si>
    <t>080:000.001.050.105.000</t>
  </si>
  <si>
    <t>080:000.001.050.106.000</t>
  </si>
  <si>
    <t>080:000.001.050.107.000</t>
  </si>
  <si>
    <t>080:000.001.050.108.000</t>
  </si>
  <si>
    <t>080:000.001.051.000.000</t>
  </si>
  <si>
    <t>123222</t>
  </si>
  <si>
    <t>080:000.001.052.000.000</t>
  </si>
  <si>
    <t>123206</t>
  </si>
  <si>
    <t>080:000.001.053.000.000</t>
  </si>
  <si>
    <t>080:000.001.054.206.000</t>
  </si>
  <si>
    <t>080:000.001.054.207.000</t>
  </si>
  <si>
    <t>080:000.001.055.000.000</t>
  </si>
  <si>
    <t>080:000.001.056.000.000</t>
  </si>
  <si>
    <t>080:000.001.057.000.000</t>
  </si>
  <si>
    <t>080:000.001.058.000.000</t>
  </si>
  <si>
    <t>133813</t>
  </si>
  <si>
    <t>080:000.001.059.000.000</t>
  </si>
  <si>
    <t>080:000.001.060.000.000</t>
  </si>
  <si>
    <t>080:000.001.061.000.000</t>
  </si>
  <si>
    <t>080:000.001.062.000.000</t>
  </si>
  <si>
    <t>080:000.001.063.000.000</t>
  </si>
  <si>
    <t>080:000.001.064.000.000</t>
  </si>
  <si>
    <t>080:000.001.065.000.000</t>
  </si>
  <si>
    <t>101377</t>
  </si>
  <si>
    <t>080:000.001.066.000.000</t>
  </si>
  <si>
    <t>080:000.001.067.000.000</t>
  </si>
  <si>
    <t>080:000.001.068.000.000</t>
  </si>
  <si>
    <t>103710</t>
  </si>
  <si>
    <t>080:000.001.069.000.000</t>
  </si>
  <si>
    <t>080:000.001.070.000.000</t>
  </si>
  <si>
    <t>104148</t>
  </si>
  <si>
    <t>080:000.001.071.000.000</t>
  </si>
  <si>
    <t>080:000.001.072.000.000</t>
  </si>
  <si>
    <t>116472</t>
  </si>
  <si>
    <t>080:000.001.073.000.000</t>
  </si>
  <si>
    <t>080:000.001.074.109.000</t>
  </si>
  <si>
    <t>080:000.001.074.210.000</t>
  </si>
  <si>
    <t>080:000.001.074.211.000</t>
  </si>
  <si>
    <t>080:000.001.075.000.000</t>
  </si>
  <si>
    <t>080:000.001.075.212.000</t>
  </si>
  <si>
    <t>080:000.001.075.213.000</t>
  </si>
  <si>
    <t>080:000.001.075.214.000</t>
  </si>
  <si>
    <t>080:000.001.075.215.000</t>
  </si>
  <si>
    <t>080:000.001.075.216.000</t>
  </si>
  <si>
    <t>080:000.001.075.217.000</t>
  </si>
  <si>
    <t>080:000.001.075.218.000</t>
  </si>
  <si>
    <t>080:000.001.075.219.000</t>
  </si>
  <si>
    <t>080:000.001.075.220.000</t>
  </si>
  <si>
    <t>080:000.001.075.221.000</t>
  </si>
  <si>
    <t>080:000.001.075.222.000</t>
  </si>
  <si>
    <t>080:000.001.075.223.000</t>
  </si>
  <si>
    <t>080:000.001.075.224.000</t>
  </si>
  <si>
    <t>080:000.001.075.225.000</t>
  </si>
  <si>
    <t>080:000.001.075.226.000</t>
  </si>
  <si>
    <t>080:000.001.075.227.000</t>
  </si>
  <si>
    <t>080:000.001.075.228.000</t>
  </si>
  <si>
    <t>080:000.001.075.229.000</t>
  </si>
  <si>
    <t>080:000.001.075.230.000</t>
  </si>
  <si>
    <t>080:000.001.075.231.000</t>
  </si>
  <si>
    <t>080:000.001.076.000.000</t>
  </si>
  <si>
    <t>080:000.001.077.000.000</t>
  </si>
  <si>
    <t>080:000.001.078.000.000</t>
  </si>
  <si>
    <t>080:000.001.078.233.000</t>
  </si>
  <si>
    <t>080:000.001.079.000.000</t>
  </si>
  <si>
    <t>080:000.001.080.000.000</t>
  </si>
  <si>
    <t>080:000.001.081.000.000</t>
  </si>
  <si>
    <t>080:000.001.082.000.000</t>
  </si>
  <si>
    <t>080:000.001.083.000.000</t>
  </si>
  <si>
    <t>080:000.001.084.000.000</t>
  </si>
  <si>
    <t>080:000.001.085.000.000</t>
  </si>
  <si>
    <t>080:000.001.086.000.000</t>
  </si>
  <si>
    <t>080:000.001.087.000.000</t>
  </si>
  <si>
    <t>080:000.001.088.000.000</t>
  </si>
  <si>
    <t>080:000.001.089.000.000</t>
  </si>
  <si>
    <t>080:000.001.090.000.000</t>
  </si>
  <si>
    <t>080:000.001.091.000.000</t>
  </si>
  <si>
    <t>080:000.001.092.000.000</t>
  </si>
  <si>
    <t>080:000.001.093.000.000</t>
  </si>
  <si>
    <t>080:000.001.094.000.000</t>
  </si>
  <si>
    <t>080:000.001.095.000.000</t>
  </si>
  <si>
    <t>101442</t>
  </si>
  <si>
    <t>080:000.001.096.000.000</t>
  </si>
  <si>
    <t>101373</t>
  </si>
  <si>
    <t>080:000.001.097.000.000</t>
  </si>
  <si>
    <t>105335</t>
  </si>
  <si>
    <t>080:000.001.098.000.000</t>
  </si>
  <si>
    <t>080:000.001.099.000.000</t>
  </si>
  <si>
    <t>080:000.001.100.000.000</t>
  </si>
  <si>
    <t>080:000.001.101.000.000</t>
  </si>
  <si>
    <t>080:000.001.102.000.000</t>
  </si>
  <si>
    <t>080:000.001.103.000.000</t>
  </si>
  <si>
    <t>080:000.001.104.000.000</t>
  </si>
  <si>
    <t>080:000.001.105.000.000</t>
  </si>
  <si>
    <t>080:000.001.106.000.000</t>
  </si>
  <si>
    <t>080:000.001.107.000.000</t>
  </si>
  <si>
    <t>080:000.001.108.000.000</t>
  </si>
  <si>
    <t>080:000.001.109.000.000</t>
  </si>
  <si>
    <t>080:000.001.110.000.000</t>
  </si>
  <si>
    <t>080:000.001.111.000.000</t>
  </si>
  <si>
    <t>080:000.001.112.000.000</t>
  </si>
  <si>
    <t>080:000.001.113.234.000</t>
  </si>
  <si>
    <t>103134</t>
  </si>
  <si>
    <t>080:000.001.113.235.000</t>
  </si>
  <si>
    <t>080:000.001.113.236.000</t>
  </si>
  <si>
    <t>080:000.001.113.237.000</t>
  </si>
  <si>
    <t>080:000.001.113.238.000</t>
  </si>
  <si>
    <t>080:000.001.113.239.000</t>
  </si>
  <si>
    <t>080:000.001.113.240.000</t>
  </si>
  <si>
    <t>080:000.001.113.241.000</t>
  </si>
  <si>
    <t>080:000.001.113.242.000</t>
  </si>
  <si>
    <t>080:000.001.113.245.000</t>
  </si>
  <si>
    <t>080:000.001.114.000.000</t>
  </si>
  <si>
    <t>080:000.001.115.247.000</t>
  </si>
  <si>
    <t>080:000.001.116.000.000</t>
  </si>
  <si>
    <t>080:000.001.117.000.000</t>
  </si>
  <si>
    <t>080:000.001.118.000.000</t>
  </si>
  <si>
    <t>080:000.001.119.000.000</t>
  </si>
  <si>
    <t>080:000.001.120.000.000</t>
  </si>
  <si>
    <t>080:000.001.121.000.000</t>
  </si>
  <si>
    <t>080:000.001.122.000.000</t>
  </si>
  <si>
    <t>080:000.001.123.000.000</t>
  </si>
  <si>
    <t>080:000.001.124.000.000</t>
  </si>
  <si>
    <t>080:000.001.125.000.000</t>
  </si>
  <si>
    <t>080:000.001.126.000.000</t>
  </si>
  <si>
    <t>080:000.001.127.000.000</t>
  </si>
  <si>
    <t>080:000.001.128.000.000</t>
  </si>
  <si>
    <t>080:000.001.129.000.000</t>
  </si>
  <si>
    <t>080:000.001.130.000.000</t>
  </si>
  <si>
    <t>080:000.001.131.000.000</t>
  </si>
  <si>
    <t>080:000.001.132.248.000</t>
  </si>
  <si>
    <t>080:000.001.133.000.000</t>
  </si>
  <si>
    <t>080:000.001.134.000.000</t>
  </si>
  <si>
    <t>080:000.001.135.249.000</t>
  </si>
  <si>
    <t>080:000.001.135.250.000</t>
  </si>
  <si>
    <t>080:000.001.135.251.000</t>
  </si>
  <si>
    <t>104652</t>
  </si>
  <si>
    <t>080:000.001.135.252.000</t>
  </si>
  <si>
    <t>101450</t>
  </si>
  <si>
    <t>080:000.001.135.253.000</t>
  </si>
  <si>
    <t>080:000.001.135.254.000</t>
  </si>
  <si>
    <t>101376</t>
  </si>
  <si>
    <t>080:000.001.136.000.000</t>
  </si>
  <si>
    <t>080:000.001.137.000.000</t>
  </si>
  <si>
    <t>080:000.001.138.000.000</t>
  </si>
  <si>
    <t>080:000.001.139.000.000</t>
  </si>
  <si>
    <t>080:000.001.140.000.000</t>
  </si>
  <si>
    <t>080:000.001.141.000.000</t>
  </si>
  <si>
    <t>080:000.001.142.000.000</t>
  </si>
  <si>
    <t>080:000.001.143.000.000</t>
  </si>
  <si>
    <t>080:000.001.144.000.000</t>
  </si>
  <si>
    <t>080:000.001.145.000.000</t>
  </si>
  <si>
    <t>080:000.001.146.000.000</t>
  </si>
  <si>
    <t>080:000.001.147.000.000</t>
  </si>
  <si>
    <t>080:000.001.148.000.000</t>
  </si>
  <si>
    <t>080:000.001.149.000.000</t>
  </si>
  <si>
    <t>03490024</t>
  </si>
  <si>
    <t>080:000.001.150.000.000</t>
  </si>
  <si>
    <t>080:000.001.151.000.000</t>
  </si>
  <si>
    <t>080:000.001.152.000.000</t>
  </si>
  <si>
    <t>080:000.001.153.000.000</t>
  </si>
  <si>
    <t>080:000.001.154.000.000</t>
  </si>
  <si>
    <t>080:000.001.155.000.000</t>
  </si>
  <si>
    <t>080:000.001.156.000.000</t>
  </si>
  <si>
    <t>080:000.001.157.000.000</t>
  </si>
  <si>
    <t>080:000.001.158.000.000</t>
  </si>
  <si>
    <t>080:000.001.159.000.000</t>
  </si>
  <si>
    <t>080:000.001.160.000.000</t>
  </si>
  <si>
    <t>080:000.001.161.000.000</t>
  </si>
  <si>
    <t>080:000.001.162.000.000</t>
  </si>
  <si>
    <t>080:000.001.163.256.000</t>
  </si>
  <si>
    <t>080:000.001.163.257.000</t>
  </si>
  <si>
    <t>080:000.001.163.258.000</t>
  </si>
  <si>
    <t>080:000.001.163.260.000</t>
  </si>
  <si>
    <t>080:000.001.163.261.000</t>
  </si>
  <si>
    <t>080:000.001.163.262.000</t>
  </si>
  <si>
    <t>080:000.001.163.263.000</t>
  </si>
  <si>
    <t>080:000.001.164.265.000</t>
  </si>
  <si>
    <t>080:000.001.164.266.000</t>
  </si>
  <si>
    <t>080:000.001.164.267.000</t>
  </si>
  <si>
    <t>080:000.001.164.268.000</t>
  </si>
  <si>
    <t>080:000.001.164.269.000</t>
  </si>
  <si>
    <t>080:000.001.164.271.000</t>
  </si>
  <si>
    <t>080:000.001.165.000.000</t>
  </si>
  <si>
    <t>080:000.001.166.000.000</t>
  </si>
  <si>
    <t>080:000.001.167.272.000</t>
  </si>
  <si>
    <t>080:000.001.167.273.000</t>
  </si>
  <si>
    <t>080:000.001.168.274.000</t>
  </si>
  <si>
    <t>080:000.001.168.275.000</t>
  </si>
  <si>
    <t>080:000.001.169.000.000</t>
  </si>
  <si>
    <t>080:000.001.170.276.000</t>
  </si>
  <si>
    <t>080:000.001.170.277.000</t>
  </si>
  <si>
    <t>080:000.001.170.278.000</t>
  </si>
  <si>
    <t>080:000.001.170.279.000</t>
  </si>
  <si>
    <t>080:000.001.170.280.000</t>
  </si>
  <si>
    <t>080:000.001.170.281.000</t>
  </si>
  <si>
    <t>080:000.001.170.282.000</t>
  </si>
  <si>
    <t>080:000.001.170.283.000</t>
  </si>
  <si>
    <t>080:000.001.170.284.000</t>
  </si>
  <si>
    <t>080:000.001.170.285.000</t>
  </si>
  <si>
    <t>080:000.001.170.286.000</t>
  </si>
  <si>
    <t>080:000.001.171.287.000</t>
  </si>
  <si>
    <t>080:000.001.171.288.000</t>
  </si>
  <si>
    <t>080:000.001.171.289.000</t>
  </si>
  <si>
    <t>080:000.001.171.290.000</t>
  </si>
  <si>
    <t>080:000.001.171.291.000</t>
  </si>
  <si>
    <t>080:000.001.171.292.000</t>
  </si>
  <si>
    <t>080:000.001.171.293.000</t>
  </si>
  <si>
    <t>080:000.001.171.294.000</t>
  </si>
  <si>
    <t>080:000.001.171.295.000</t>
  </si>
  <si>
    <t>080:000.001.171.296.000</t>
  </si>
  <si>
    <t>080:000.001.171.297.000</t>
  </si>
  <si>
    <t>080:000.001.171.298.000</t>
  </si>
  <si>
    <t>080:000.001.172.000.000</t>
  </si>
  <si>
    <t>080:000.001.173.000.000</t>
  </si>
  <si>
    <t>080:000.001.174.000.000</t>
  </si>
  <si>
    <t>080:000.001.175.000.000</t>
  </si>
  <si>
    <t>104691</t>
  </si>
  <si>
    <t>080:000.001.176.000.000</t>
  </si>
  <si>
    <t>105282</t>
  </si>
  <si>
    <t>080:000.001.177.000.000</t>
  </si>
  <si>
    <t>110595</t>
  </si>
  <si>
    <t>080:000.001.178.000.000</t>
  </si>
  <si>
    <t>080:000.001.179.000.000</t>
  </si>
  <si>
    <t>080:000.001.180.000.000</t>
  </si>
  <si>
    <t>090:000.001.001.000.000</t>
  </si>
  <si>
    <t>634335.0010</t>
  </si>
  <si>
    <t>134545</t>
  </si>
  <si>
    <t>624164.0010</t>
  </si>
  <si>
    <t>634342.0010</t>
  </si>
  <si>
    <t>090:000.001.002.000.000</t>
  </si>
  <si>
    <t>132975</t>
  </si>
  <si>
    <t>090:000.001.003.000.000</t>
  </si>
  <si>
    <t>090:000.001.004.000.000</t>
  </si>
  <si>
    <t>104613</t>
  </si>
  <si>
    <t>090:000.001.005.000.000</t>
  </si>
  <si>
    <t>104614</t>
  </si>
  <si>
    <t>090:000.001.006.000.000</t>
  </si>
  <si>
    <t>090:000.001.007.000.000</t>
  </si>
  <si>
    <t>090:000.001.008.000.000</t>
  </si>
  <si>
    <t>090:000.001.009.000.000</t>
  </si>
  <si>
    <t>090:000.001.010.000.000</t>
  </si>
  <si>
    <t>135067</t>
  </si>
  <si>
    <t>090:000.001.011.000.000</t>
  </si>
  <si>
    <t>090:000.001.012.000.000</t>
  </si>
  <si>
    <t>090:000.001.013.000.000</t>
  </si>
  <si>
    <t>117359</t>
  </si>
  <si>
    <t>090:000.001.014.000.000</t>
  </si>
  <si>
    <t>103837</t>
  </si>
  <si>
    <t>101405</t>
  </si>
  <si>
    <t>090:000.001.015.000.000</t>
  </si>
  <si>
    <t>128166</t>
  </si>
  <si>
    <t>104256</t>
  </si>
  <si>
    <t>090:000.001.016.000.000</t>
  </si>
  <si>
    <t>103146</t>
  </si>
  <si>
    <t>090:000.001.017.000.000</t>
  </si>
  <si>
    <t>090:000.001.018.000.000</t>
  </si>
  <si>
    <t>090:000.001.019.000.000</t>
  </si>
  <si>
    <t>090:000.001.020.000.000</t>
  </si>
  <si>
    <t>090:000.001.021.000.000</t>
  </si>
  <si>
    <t>090:000.001.022.000.000</t>
  </si>
  <si>
    <t>090:000.001.023.000.000</t>
  </si>
  <si>
    <t>104221</t>
  </si>
  <si>
    <t>105336</t>
  </si>
  <si>
    <t>090:000.001.024.000.000</t>
  </si>
  <si>
    <t>090:000.001.025.000.000</t>
  </si>
  <si>
    <t>090:000.001.026.000.000</t>
  </si>
  <si>
    <t>090:000.001.027.000.000</t>
  </si>
  <si>
    <t>105639</t>
  </si>
  <si>
    <t>103148</t>
  </si>
  <si>
    <t>090:000.001.028.000.000</t>
  </si>
  <si>
    <t>104673</t>
  </si>
  <si>
    <t>090:000.001.029.000.000</t>
  </si>
  <si>
    <t>101378</t>
  </si>
  <si>
    <t>090:000.001.030.000.000</t>
  </si>
  <si>
    <t>105974</t>
  </si>
  <si>
    <t>090:000.001.031.000.000</t>
  </si>
  <si>
    <t>105047</t>
  </si>
  <si>
    <t>090:000.001.032.000.000</t>
  </si>
  <si>
    <t>090:000.001.033.000.000</t>
  </si>
  <si>
    <t>090:000.001.034.000.000</t>
  </si>
  <si>
    <t>090:000.001.035.000.000</t>
  </si>
  <si>
    <t>090:000.001.036.000.000</t>
  </si>
  <si>
    <t>090:000.001.037.000.000</t>
  </si>
  <si>
    <t>090:000.001.038.000.000</t>
  </si>
  <si>
    <t>090:000.001.039.000.000</t>
  </si>
  <si>
    <t>090:000.001.040.000.000</t>
  </si>
  <si>
    <t>090:000.001.041.000.000</t>
  </si>
  <si>
    <t>090:000.001.042.000.000</t>
  </si>
  <si>
    <t>090:000.001.043.000.000</t>
  </si>
  <si>
    <t>090:000.001.044.000.000</t>
  </si>
  <si>
    <t>090:000.001.045.000.000</t>
  </si>
  <si>
    <t>090:000.001.046.000.000</t>
  </si>
  <si>
    <t>090:000.001.047.000.000</t>
  </si>
  <si>
    <t>090:000.001.048.000.000</t>
  </si>
  <si>
    <t>090:000.001.049.000.000</t>
  </si>
  <si>
    <t>090:000.001.050.000.000</t>
  </si>
  <si>
    <t>090:000.001.051.000.000</t>
  </si>
  <si>
    <t>090:000.001.052.000.000</t>
  </si>
  <si>
    <t>090:000.001.053.000.000</t>
  </si>
  <si>
    <t>090:000.001.054.000.000</t>
  </si>
  <si>
    <t>090:000.001.055.000.000</t>
  </si>
  <si>
    <t>090:000.001.056.000.000</t>
  </si>
  <si>
    <t>090:000.001.057.000.000</t>
  </si>
  <si>
    <t>090:000.001.058.000.000</t>
  </si>
  <si>
    <t>090:000.001.059.000.000</t>
  </si>
  <si>
    <t>090:000.001.060.000.000</t>
  </si>
  <si>
    <t>090:000.001.061.000.000</t>
  </si>
  <si>
    <t>090:000.001.062.000.000</t>
  </si>
  <si>
    <t>090:000.001.063.000.000</t>
  </si>
  <si>
    <t>090:000.001.064.000.000</t>
  </si>
  <si>
    <t>090:000.001.065.000.000</t>
  </si>
  <si>
    <t>090:000.001.066.000.000</t>
  </si>
  <si>
    <t>090:000.001.067.000.000</t>
  </si>
  <si>
    <t>090:000.001.068.000.000</t>
  </si>
  <si>
    <t>090:000.001.069.000.000</t>
  </si>
  <si>
    <t>090:000.001.070.000.000</t>
  </si>
  <si>
    <t>090:000.001.071.000.000</t>
  </si>
  <si>
    <t>090:000.001.072.000.000</t>
  </si>
  <si>
    <t>105311</t>
  </si>
  <si>
    <t>090:000.001.073.000.000</t>
  </si>
  <si>
    <t>104720</t>
  </si>
  <si>
    <t>090:000.001.074.000.000</t>
  </si>
  <si>
    <t>104721</t>
  </si>
  <si>
    <t>090:000.001.075.000.000</t>
  </si>
  <si>
    <t>110597</t>
  </si>
  <si>
    <t>090:000.001.076.000.000</t>
  </si>
  <si>
    <t>090:000.001.077.000.000</t>
  </si>
  <si>
    <t>103124</t>
  </si>
  <si>
    <t>090:000.001.078.000.000</t>
  </si>
  <si>
    <t>090:000.001.079.000.000</t>
  </si>
  <si>
    <t>090:000.001.080.000.000</t>
  </si>
  <si>
    <t>090:000.001.081.000.000</t>
  </si>
  <si>
    <t>090:000.001.082.000.000</t>
  </si>
  <si>
    <t>090:000.001.083.000.000</t>
  </si>
  <si>
    <t>090:000.001.084.000.000</t>
  </si>
  <si>
    <t>090:000.001.085.000.000</t>
  </si>
  <si>
    <t>090:000.001.086.000.000</t>
  </si>
  <si>
    <t>090:000.001.087.000.000</t>
  </si>
  <si>
    <t>090:000.001.088.000.000</t>
  </si>
  <si>
    <t>090:000.001.089.000.000</t>
  </si>
  <si>
    <t>090:000.001.090.000.000</t>
  </si>
  <si>
    <t>090:000.001.091.000.000</t>
  </si>
  <si>
    <t>090:000.001.092.000.000</t>
  </si>
  <si>
    <t>090:000.001.093.000.000</t>
  </si>
  <si>
    <t>090:000.001.094.000.000</t>
  </si>
  <si>
    <t>090:000.001.095.000.000</t>
  </si>
  <si>
    <t>090:000.001.096.000.000</t>
  </si>
  <si>
    <t>090:000.001.097.000.000</t>
  </si>
  <si>
    <t>090:000.001.098.000.000</t>
  </si>
  <si>
    <t>090:000.001.099.000.000</t>
  </si>
  <si>
    <t>090:000.001.100.000.000</t>
  </si>
  <si>
    <t>104283</t>
  </si>
  <si>
    <t>090:000.001.102.000.000</t>
  </si>
  <si>
    <t>090:000.001.103.000.000</t>
  </si>
  <si>
    <t>090:000.001.104.000.000</t>
  </si>
  <si>
    <t>090:000.001.105.000.000</t>
  </si>
  <si>
    <t>090:000.001.106.000.000</t>
  </si>
  <si>
    <t>090:000.001.107.000.000</t>
  </si>
  <si>
    <t>090:000.001.108.000.000</t>
  </si>
  <si>
    <t>090:000.001.109.000.000</t>
  </si>
  <si>
    <t>090:000.001.110.000.000</t>
  </si>
  <si>
    <t>090:000.001.111.000.000</t>
  </si>
  <si>
    <t>090:000.001.112.000.000</t>
  </si>
  <si>
    <t>090:000.001.113.000.000</t>
  </si>
  <si>
    <t>090:000.001.114.000.000</t>
  </si>
  <si>
    <t>090:000.001.115.000.000</t>
  </si>
  <si>
    <t>090:000.001.116.000.000</t>
  </si>
  <si>
    <t>090:000.001.117.000.000</t>
  </si>
  <si>
    <t>090:000.001.118.000.000</t>
  </si>
  <si>
    <t>090:000.001.119.000.000</t>
  </si>
  <si>
    <t>090:000.001.120.000.000</t>
  </si>
  <si>
    <t>100:000.001.001.000.000</t>
  </si>
  <si>
    <t>624140.0010</t>
  </si>
  <si>
    <t>651835.0010</t>
  </si>
  <si>
    <t>634343.0010</t>
  </si>
  <si>
    <t>132970</t>
  </si>
  <si>
    <t>100:000.001.002.000.000</t>
  </si>
  <si>
    <t>100:000.001.003.000.000</t>
  </si>
  <si>
    <t>100:000.001.004.000.000</t>
  </si>
  <si>
    <t>651835.0040</t>
  </si>
  <si>
    <t>142076</t>
  </si>
  <si>
    <t>100:000.001.005.000.000</t>
  </si>
  <si>
    <t>100:000.001.006.000.000</t>
  </si>
  <si>
    <t>131368</t>
  </si>
  <si>
    <t>100:000.001.007.000.000</t>
  </si>
  <si>
    <t>100:000.001.008.000.000</t>
  </si>
  <si>
    <t>100:000.001.009.000.000</t>
  </si>
  <si>
    <t>651835.0090</t>
  </si>
  <si>
    <t>100:000.001.010.000.000</t>
  </si>
  <si>
    <t>105284</t>
  </si>
  <si>
    <t>100:000.001.011.000.000</t>
  </si>
  <si>
    <t>100:000.001.012.000.000</t>
  </si>
  <si>
    <t>100:000.001.013.000.000</t>
  </si>
  <si>
    <t>100:000.001.014.000.000</t>
  </si>
  <si>
    <t>100:000.001.015.000.000</t>
  </si>
  <si>
    <t>104662</t>
  </si>
  <si>
    <t>100:000.001.016.000.000</t>
  </si>
  <si>
    <t>101458</t>
  </si>
  <si>
    <t>100:000.001.017.000.000</t>
  </si>
  <si>
    <t>100:000.001.018.000.000</t>
  </si>
  <si>
    <t>100:000.001.019.000.000</t>
  </si>
  <si>
    <t>105977</t>
  </si>
  <si>
    <t>100:000.001.020.000.000</t>
  </si>
  <si>
    <t>100:000.001.021.000.000</t>
  </si>
  <si>
    <t>104815</t>
  </si>
  <si>
    <t>100:000.001.022.000.000</t>
  </si>
  <si>
    <t>100:000.001.023.000.000</t>
  </si>
  <si>
    <t>100:000.001.024.000.000</t>
  </si>
  <si>
    <t>103147</t>
  </si>
  <si>
    <t>100:000.001.025.000.000</t>
  </si>
  <si>
    <t>118970</t>
  </si>
  <si>
    <t>100:000.001.026.000.000</t>
  </si>
  <si>
    <t>109064</t>
  </si>
  <si>
    <t>100:000.001.027.000.000</t>
  </si>
  <si>
    <t>126192</t>
  </si>
  <si>
    <t>100:000.001.028.000.000</t>
  </si>
  <si>
    <t>21020.00.201.201</t>
  </si>
  <si>
    <t>100:000.001.029.000.000</t>
  </si>
  <si>
    <t>100:000.001.030.000.000</t>
  </si>
  <si>
    <t>100:000.001.031.000.000</t>
  </si>
  <si>
    <t>100:000.001.032.000.000</t>
  </si>
  <si>
    <t>100:000.001.033.000.000</t>
  </si>
  <si>
    <t>100:000.001.034.000.000</t>
  </si>
  <si>
    <t>100:000.001.035.000.000</t>
  </si>
  <si>
    <t>100:000.001.036.000.000</t>
  </si>
  <si>
    <t>100:000.001.037.000.000</t>
  </si>
  <si>
    <t>100:000.001.038.000.000</t>
  </si>
  <si>
    <t>100:000.001.039.000.000</t>
  </si>
  <si>
    <t>100:000.001.040.000.000</t>
  </si>
  <si>
    <t>100:000.001.041.000.000</t>
  </si>
  <si>
    <t>100:000.001.042.000.000</t>
  </si>
  <si>
    <t>100:000.001.043.000.000</t>
  </si>
  <si>
    <t>100:000.001.044.000.000</t>
  </si>
  <si>
    <t>100:000.001.045.000.000</t>
  </si>
  <si>
    <t>100:000.001.046.000.000</t>
  </si>
  <si>
    <t>100:000.001.047.000.000</t>
  </si>
  <si>
    <t>100:000.001.048.000.000</t>
  </si>
  <si>
    <t>100:000.001.049.000.000</t>
  </si>
  <si>
    <t>100:000.001.050.000.000</t>
  </si>
  <si>
    <t>100:000.001.051.000.000</t>
  </si>
  <si>
    <t>100:000.001.052.000.000</t>
  </si>
  <si>
    <t>100:000.001.053.000.000</t>
  </si>
  <si>
    <t>100:000.001.054.000.000</t>
  </si>
  <si>
    <t>100:000.001.055.000.000</t>
  </si>
  <si>
    <t>100:000.001.056.000.000</t>
  </si>
  <si>
    <t>100:000.001.057.000.000</t>
  </si>
  <si>
    <t>100:000.001.058.000.000</t>
  </si>
  <si>
    <t>100:000.001.059.000.000</t>
  </si>
  <si>
    <t>100:000.001.060.000.000</t>
  </si>
  <si>
    <t>100:000.001.061.000.000</t>
  </si>
  <si>
    <t>100:000.001.062.000.000</t>
  </si>
  <si>
    <t>100:000.001.063.000.000</t>
  </si>
  <si>
    <t>100:000.001.064.000.000</t>
  </si>
  <si>
    <t>100:000.001.065.000.000</t>
  </si>
  <si>
    <t>100:000.001.066.000.000</t>
  </si>
  <si>
    <t>100:000.001.067.000.000</t>
  </si>
  <si>
    <t>100:000.001.068.000.000</t>
  </si>
  <si>
    <t>100:000.001.069.000.000</t>
  </si>
  <si>
    <t>100:000.001.070.000.000</t>
  </si>
  <si>
    <t>100:000.001.071.000.000</t>
  </si>
  <si>
    <t>100:000.001.072.000.000</t>
  </si>
  <si>
    <t>100:000.001.073.000.000</t>
  </si>
  <si>
    <t>100:000.001.074.000.000</t>
  </si>
  <si>
    <t>100:000.001.075.000.000</t>
  </si>
  <si>
    <t>100:000.001.076.000.000</t>
  </si>
  <si>
    <t>100:000.001.078.000.000</t>
  </si>
  <si>
    <t>100:000.001.079.000.000</t>
  </si>
  <si>
    <t>110:000.001.001.000.000</t>
  </si>
  <si>
    <t>651836.0040</t>
  </si>
  <si>
    <t>634186.0010</t>
  </si>
  <si>
    <t>624189.0010</t>
  </si>
  <si>
    <t>110:000.001.001.002.000</t>
  </si>
  <si>
    <t>110:000.001.001.003.000</t>
  </si>
  <si>
    <t>110:000.001.001.004.000</t>
  </si>
  <si>
    <t>110:000.001.001.005.000</t>
  </si>
  <si>
    <t>110:000.001.001.006.000</t>
  </si>
  <si>
    <t>110:000.001.001.007.000</t>
  </si>
  <si>
    <t>110:000.001.001.008.000</t>
  </si>
  <si>
    <t>110:000.001.001.009.000</t>
  </si>
  <si>
    <t>110:000.001.001.010.000</t>
  </si>
  <si>
    <t>110:000.001.001.011.000</t>
  </si>
  <si>
    <t>110:000.001.001.012.000</t>
  </si>
  <si>
    <t>110:000.001.001.013.000</t>
  </si>
  <si>
    <t>110:000.001.001.014.000</t>
  </si>
  <si>
    <t>110:000.001.002.000.000</t>
  </si>
  <si>
    <t>634186.0020</t>
  </si>
  <si>
    <t>624189.0020</t>
  </si>
  <si>
    <t>651836.0090</t>
  </si>
  <si>
    <t>110:000.001.002.015.000</t>
  </si>
  <si>
    <t>110:000.001.002.016.000</t>
  </si>
  <si>
    <t>110:000.001.002.017.000</t>
  </si>
  <si>
    <t>110:000.001.002.018.000</t>
  </si>
  <si>
    <t>110:000.001.002.019.000</t>
  </si>
  <si>
    <t>110:000.001.002.020.000</t>
  </si>
  <si>
    <t>110:000.001.002.021.000</t>
  </si>
  <si>
    <t>110:000.001.002.022.000</t>
  </si>
  <si>
    <t>110:000.001.002.023.000</t>
  </si>
  <si>
    <t>110:000.001.002.024.000</t>
  </si>
  <si>
    <t>110:000.001.002.025.000</t>
  </si>
  <si>
    <t>110:000.001.002.026.000</t>
  </si>
  <si>
    <t>110:000.001.002.027.000</t>
  </si>
  <si>
    <t>110:000.001.002.028.000</t>
  </si>
  <si>
    <t>110:000.001.002.029.000</t>
  </si>
  <si>
    <t>110:000.001.002.030.000</t>
  </si>
  <si>
    <t>110:000.001.002.031.000</t>
  </si>
  <si>
    <t>110:000.001.002.032.000</t>
  </si>
  <si>
    <t>110:000.001.002.033.000</t>
  </si>
  <si>
    <t>110:000.001.002.034.000</t>
  </si>
  <si>
    <t>110:000.001.002.035.000</t>
  </si>
  <si>
    <t>110:000.001.002.036.000</t>
  </si>
  <si>
    <t>110:000.001.002.037.000</t>
  </si>
  <si>
    <t>110:000.001.002.038.000</t>
  </si>
  <si>
    <t>110:000.001.002.039.000</t>
  </si>
  <si>
    <t>110:000.001.002.040.000</t>
  </si>
  <si>
    <t>110:000.001.002.041.000</t>
  </si>
  <si>
    <t>110:000.001.002.042.000</t>
  </si>
  <si>
    <t>110:000.001.002.043.000</t>
  </si>
  <si>
    <t>110:000.001.002.044.000</t>
  </si>
  <si>
    <t>110:000.001.002.045.000</t>
  </si>
  <si>
    <t>110:000.001.002.046.000</t>
  </si>
  <si>
    <t>110:000.001.002.047.000</t>
  </si>
  <si>
    <t>110:000.001.002.048.000</t>
  </si>
  <si>
    <t>110:000.001.002.049.000</t>
  </si>
  <si>
    <t>110:000.001.002.050.000</t>
  </si>
  <si>
    <t>110:000.001.002.051.000</t>
  </si>
  <si>
    <t>110:000.001.002.052.000</t>
  </si>
  <si>
    <t>110:000.001.002.053.000</t>
  </si>
  <si>
    <t>110:000.001.002.054.000</t>
  </si>
  <si>
    <t>110:000.001.002.055.000</t>
  </si>
  <si>
    <t>110:000.001.002.056.000</t>
  </si>
  <si>
    <t>110:000.001.002.057.000</t>
  </si>
  <si>
    <t>110:000.001.002.058.000</t>
  </si>
  <si>
    <t>110:000.001.002.059.000</t>
  </si>
  <si>
    <t>110:000.001.002.060.000</t>
  </si>
  <si>
    <t>110:000.001.002.061.000</t>
  </si>
  <si>
    <t>110:000.001.002.062.000</t>
  </si>
  <si>
    <t>110:000.001.002.063.000</t>
  </si>
  <si>
    <t>110:000.001.002.064.000</t>
  </si>
  <si>
    <t>110:000.001.002.065.000</t>
  </si>
  <si>
    <t>110:000.001.002.066.000</t>
  </si>
  <si>
    <t>110:000.001.002.067.000</t>
  </si>
  <si>
    <t>110:000.001.002.068.000</t>
  </si>
  <si>
    <t>110:000.001.002.069.000</t>
  </si>
  <si>
    <t>110:000.001.002.070.000</t>
  </si>
  <si>
    <t>110:000.001.002.071.000</t>
  </si>
  <si>
    <t>110:000.001.002.072.000</t>
  </si>
  <si>
    <t>110:000.001.002.073.000</t>
  </si>
  <si>
    <t>110:000.001.002.074.000</t>
  </si>
  <si>
    <t>110:000.001.002.075.000</t>
  </si>
  <si>
    <t>110:000.001.002.076.000</t>
  </si>
  <si>
    <t>110:000.001.002.077.000</t>
  </si>
  <si>
    <t>110:000.001.002.078.000</t>
  </si>
  <si>
    <t>110:000.001.002.079.000</t>
  </si>
  <si>
    <t>110:000.001.002.080.000</t>
  </si>
  <si>
    <t>110:000.001.002.081.000</t>
  </si>
  <si>
    <t>110:000.001.002.082.000</t>
  </si>
  <si>
    <t>110:000.001.002.083.000</t>
  </si>
  <si>
    <t>110:000.001.002.084.000</t>
  </si>
  <si>
    <t>110:000.001.003.000.000</t>
  </si>
  <si>
    <t>110:000.001.003.085.000</t>
  </si>
  <si>
    <t>110:000.001.003.086.000</t>
  </si>
  <si>
    <t>110:000.001.003.087.000</t>
  </si>
  <si>
    <t>110:000.001.003.088.000</t>
  </si>
  <si>
    <t>110:000.001.003.089.000</t>
  </si>
  <si>
    <t>110:000.001.004.000.000</t>
  </si>
  <si>
    <t>110:000.001.004.090.000</t>
  </si>
  <si>
    <t>110:000.001.004.091.000</t>
  </si>
  <si>
    <t>110:000.001.004.092.000</t>
  </si>
  <si>
    <t>21020.00.401.430</t>
  </si>
  <si>
    <t>110:000.001.004.094.000</t>
  </si>
  <si>
    <t>110:000.001.005.000.000</t>
  </si>
  <si>
    <t>110:000.001.006.000.000</t>
  </si>
  <si>
    <t>110:000.001.007.000.000</t>
  </si>
  <si>
    <t>110:000.001.007.095.000</t>
  </si>
  <si>
    <t>110:000.001.007.096.000</t>
  </si>
  <si>
    <t>110:000.001.007.097.000</t>
  </si>
  <si>
    <t>110:000.001.007.098.000</t>
  </si>
  <si>
    <t>110:000.001.007.099.000</t>
  </si>
  <si>
    <t>110:000.001.007.100.000</t>
  </si>
  <si>
    <t>110:000.001.007.101.000</t>
  </si>
  <si>
    <t>110:000.001.007.102.000</t>
  </si>
  <si>
    <t>110:000.001.007.103.000</t>
  </si>
  <si>
    <t>110:000.001.007.104.000</t>
  </si>
  <si>
    <t>110:000.001.007.105.000</t>
  </si>
  <si>
    <t>141614</t>
  </si>
  <si>
    <t>110:000.001.007.106.000</t>
  </si>
  <si>
    <t>110:000.001.007.107.000</t>
  </si>
  <si>
    <t>110:000.001.007.108.000</t>
  </si>
  <si>
    <t>110:000.001.007.109.000</t>
  </si>
  <si>
    <t>110:000.001.007.110.000</t>
  </si>
  <si>
    <t>110:000.001.007.111.000</t>
  </si>
  <si>
    <t>110:000.001.007.112.000</t>
  </si>
  <si>
    <t>142333</t>
  </si>
  <si>
    <t>110:000.001.007.113.000</t>
  </si>
  <si>
    <t>110:000.001.007.114.000</t>
  </si>
  <si>
    <t>110:000.001.007.115.000</t>
  </si>
  <si>
    <t>110:000.001.007.116.000</t>
  </si>
  <si>
    <t>110:000.001.007.117.000</t>
  </si>
  <si>
    <t>110:000.001.007.118.000</t>
  </si>
  <si>
    <t>110:000.001.007.119.000</t>
  </si>
  <si>
    <t>110:000.001.007.120.000</t>
  </si>
  <si>
    <t>110:000.001.007.121.000</t>
  </si>
  <si>
    <t>110:000.001.007.122.000</t>
  </si>
  <si>
    <t>110:000.001.007.123.000</t>
  </si>
  <si>
    <t>110:000.001.007.124.000</t>
  </si>
  <si>
    <t>110:000.001.007.126.000</t>
  </si>
  <si>
    <t>110:000.001.007.127.000</t>
  </si>
  <si>
    <t>110:000.001.008.000.000</t>
  </si>
  <si>
    <t>110:000.001.009.000.000</t>
  </si>
  <si>
    <t>110:000.001.010.000.000</t>
  </si>
  <si>
    <t>110:000.001.011.000.000</t>
  </si>
  <si>
    <t>110:000.001.012.000.000</t>
  </si>
  <si>
    <t>110:000.001.013.000.000</t>
  </si>
  <si>
    <t>110:000.001.014.000.000</t>
  </si>
  <si>
    <t>110:000.001.015.000.000</t>
  </si>
  <si>
    <t>110:000.001.016.000.000</t>
  </si>
  <si>
    <t>110:000.001.017.000.000</t>
  </si>
  <si>
    <t>110:000.001.018.000.000</t>
  </si>
  <si>
    <t>110:000.001.019.128.000</t>
  </si>
  <si>
    <t>110:000.001.019.129.000</t>
  </si>
  <si>
    <t>110:000.001.019.130.000</t>
  </si>
  <si>
    <t>110:000.001.019.131.000</t>
  </si>
  <si>
    <t>110:000.001.019.132.000</t>
  </si>
  <si>
    <t>110:000.001.019.133.000</t>
  </si>
  <si>
    <t>110:000.001.019.134.000</t>
  </si>
  <si>
    <t>110:000.001.019.135.000</t>
  </si>
  <si>
    <t>110:000.001.019.136.000</t>
  </si>
  <si>
    <t>110:000.001.019.137.000</t>
  </si>
  <si>
    <t>110:000.001.020.000.000</t>
  </si>
  <si>
    <t>110:000.001.021.000.000</t>
  </si>
  <si>
    <t>110:000.001.022.138.000</t>
  </si>
  <si>
    <t>110:000.001.023.139.000</t>
  </si>
  <si>
    <t>110:000.001.023.140.000</t>
  </si>
  <si>
    <t>110:000.001.024.000.000</t>
  </si>
  <si>
    <t>110:000.001.025.000.000</t>
  </si>
  <si>
    <t>110:000.001.026.141.000</t>
  </si>
  <si>
    <t>110:000.001.026.142.000</t>
  </si>
  <si>
    <t>110:000.001.026.143.000</t>
  </si>
  <si>
    <t>110:000.001.027.000.000</t>
  </si>
  <si>
    <t>109118</t>
  </si>
  <si>
    <t>110:000.001.028.000.000</t>
  </si>
  <si>
    <t>110:000.001.029.144.000</t>
  </si>
  <si>
    <t>110:000.001.030.145.000</t>
  </si>
  <si>
    <t>110:000.001.030.146.000</t>
  </si>
  <si>
    <t>110:000.001.031.147.000</t>
  </si>
  <si>
    <t>110:000.001.032.000.000</t>
  </si>
  <si>
    <t>110:000.001.033.000.000</t>
  </si>
  <si>
    <t>110:000.001.034.000.000</t>
  </si>
  <si>
    <t>110:000.001.035.148.000</t>
  </si>
  <si>
    <t>110:000.001.035.149.000</t>
  </si>
  <si>
    <t>110:000.001.036.150.000</t>
  </si>
  <si>
    <t>110:000.001.037.151.000</t>
  </si>
  <si>
    <t>110:000.001.037.152.000</t>
  </si>
  <si>
    <t>110:000.001.037.153.000</t>
  </si>
  <si>
    <t>110:000.001.038.154.000</t>
  </si>
  <si>
    <t>110:000.001.038.155.000</t>
  </si>
  <si>
    <t>110:000.001.038.156.000</t>
  </si>
  <si>
    <t>110:000.001.039.157.000</t>
  </si>
  <si>
    <t>110:000.001.039.158.000</t>
  </si>
  <si>
    <t>110:000.001.039.159.000</t>
  </si>
  <si>
    <t>110:000.001.040.000.000</t>
  </si>
  <si>
    <t>634344.0010</t>
  </si>
  <si>
    <t>120:000.001.001.000.000</t>
  </si>
  <si>
    <t>634194.0010</t>
  </si>
  <si>
    <t>624219.0010</t>
  </si>
  <si>
    <t>120:000.001.001.001.000</t>
  </si>
  <si>
    <t>120:000.001.001.002.000</t>
  </si>
  <si>
    <t>120:000.001.002.000.000</t>
  </si>
  <si>
    <t>634194.0020</t>
  </si>
  <si>
    <t>624219.0020</t>
  </si>
  <si>
    <t>123014</t>
  </si>
  <si>
    <t>120:000.001.002.003.000</t>
  </si>
  <si>
    <t>120:000.001.002.004.000</t>
  </si>
  <si>
    <t>120:000.001.002.005.000</t>
  </si>
  <si>
    <t>120:000.001.003.000.000</t>
  </si>
  <si>
    <t>624219.0030</t>
  </si>
  <si>
    <t>120:000.001.003.006.000</t>
  </si>
  <si>
    <t>120:000.001.003.007.000</t>
  </si>
  <si>
    <t>120:000.001.003.008.000</t>
  </si>
  <si>
    <t>120:000.001.003.009.000</t>
  </si>
  <si>
    <t>120:000.001.003.010.000</t>
  </si>
  <si>
    <t>120:000.001.003.011.000</t>
  </si>
  <si>
    <t>120:000.001.003.012.000</t>
  </si>
  <si>
    <t>120:000.001.003.013.000</t>
  </si>
  <si>
    <t>120:000.001.003.014.000</t>
  </si>
  <si>
    <t>120:000.001.004.000.000</t>
  </si>
  <si>
    <t>624219.0040</t>
  </si>
  <si>
    <t>21001.00.901.080</t>
  </si>
  <si>
    <t>120:000.001.005.000.000</t>
  </si>
  <si>
    <t>624219.0050</t>
  </si>
  <si>
    <t>21001.00.901.030</t>
  </si>
  <si>
    <t>120:000.001.006.000.000</t>
  </si>
  <si>
    <t>21001.00.901.028</t>
  </si>
  <si>
    <t>120:000.001.007.000.000</t>
  </si>
  <si>
    <t>624219.0070</t>
  </si>
  <si>
    <t>21001.00.910.012</t>
  </si>
  <si>
    <t>120:000.001.008.000.000</t>
  </si>
  <si>
    <t>624219.0080</t>
  </si>
  <si>
    <t>21001.00.910.014</t>
  </si>
  <si>
    <t>120:000.001.008.016.000</t>
  </si>
  <si>
    <t>120:000.001.008.017.000</t>
  </si>
  <si>
    <t>120:000.001.008.018.000</t>
  </si>
  <si>
    <t>120:000.001.008.020.000</t>
  </si>
  <si>
    <t>120:000.001.008.021.000</t>
  </si>
  <si>
    <t>120:000.001.009.000.000</t>
  </si>
  <si>
    <t>21001.00.910.013</t>
  </si>
  <si>
    <t>120:000.001.009.023.000</t>
  </si>
  <si>
    <t>120:000.001.009.024.000</t>
  </si>
  <si>
    <t>120:000.001.009.025.000</t>
  </si>
  <si>
    <t>120:000.001.009.026.000</t>
  </si>
  <si>
    <t>120:000.001.009.027.000</t>
  </si>
  <si>
    <t>120:000.001.010.000.000</t>
  </si>
  <si>
    <t>103287</t>
  </si>
  <si>
    <t>120:000.001.011.000.000</t>
  </si>
  <si>
    <t>101406</t>
  </si>
  <si>
    <t>120:000.001.012.000.000</t>
  </si>
  <si>
    <t>120:000.001.012.028.000</t>
  </si>
  <si>
    <t>120:000.001.012.029.000</t>
  </si>
  <si>
    <t>120:000.001.013.000.000</t>
  </si>
  <si>
    <t>120:000.001.013.030.000</t>
  </si>
  <si>
    <t>120:000.001.013.031.000</t>
  </si>
  <si>
    <t>120:000.001.014.000.000</t>
  </si>
  <si>
    <t>120:000.001.015.000.000</t>
  </si>
  <si>
    <t>120:000.001.016.000.000</t>
  </si>
  <si>
    <t>120:000.001.017.000.000</t>
  </si>
  <si>
    <t>120:000.001.018.000.000</t>
  </si>
  <si>
    <t>120:000.001.019.000.000</t>
  </si>
  <si>
    <t>120:000.001.020.000.000</t>
  </si>
  <si>
    <t>120:000.001.021.000.000</t>
  </si>
  <si>
    <t>120:000.001.022.000.000</t>
  </si>
  <si>
    <t>120:000.001.023.000.000</t>
  </si>
  <si>
    <t>120:000.001.023.033.000</t>
  </si>
  <si>
    <t>120:000.001.024.000.000</t>
  </si>
  <si>
    <t>120:000.001.024.034.000</t>
  </si>
  <si>
    <t>120:000.001.024.035.000</t>
  </si>
  <si>
    <t>143073</t>
  </si>
  <si>
    <t>120:000.001.024.036.000</t>
  </si>
  <si>
    <t>120:000.001.024.037.000</t>
  </si>
  <si>
    <t>120:000.001.024.038.000</t>
  </si>
  <si>
    <t>120:000.001.024.039.000</t>
  </si>
  <si>
    <t>120:000.001.024.040.000</t>
  </si>
  <si>
    <t>120:000.001.024.041.000</t>
  </si>
  <si>
    <t>120:000.001.024.042.000</t>
  </si>
  <si>
    <t>111997</t>
  </si>
  <si>
    <t>120:000.001.025.000.000</t>
  </si>
  <si>
    <t>120:000.001.025.043.000</t>
  </si>
  <si>
    <t>120:000.001.025.044.000</t>
  </si>
  <si>
    <t>120:000.001.025.045.000</t>
  </si>
  <si>
    <t>120:000.001.025.046.000</t>
  </si>
  <si>
    <t>120:000.001.025.047.000</t>
  </si>
  <si>
    <t>120:000.001.026.000.000</t>
  </si>
  <si>
    <t>120:000.001.026.048.000</t>
  </si>
  <si>
    <t>120:000.001.026.049.000</t>
  </si>
  <si>
    <t>120:000.001.026.050.000</t>
  </si>
  <si>
    <t>120:000.001.027.000.000</t>
  </si>
  <si>
    <t>120:000.001.028.000.000</t>
  </si>
  <si>
    <t>120:000.001.028.001.000</t>
  </si>
  <si>
    <t>120:000.001.028.002.000</t>
  </si>
  <si>
    <t>120:000.001.029.000.000</t>
  </si>
  <si>
    <t>120:000.001.029.051.000</t>
  </si>
  <si>
    <t>120:000.001.029.052.000</t>
  </si>
  <si>
    <t>120:000.001.029.053.000</t>
  </si>
  <si>
    <t>120:000.001.029.054.000</t>
  </si>
  <si>
    <t>120:000.001.030.003.000</t>
  </si>
  <si>
    <t>120:000.001.030.004.000</t>
  </si>
  <si>
    <t>120:000.001.030.005.000</t>
  </si>
  <si>
    <t>120:000.001.030.055.000</t>
  </si>
  <si>
    <t>120:000.001.030.056.000</t>
  </si>
  <si>
    <t>120:000.001.030.057.000</t>
  </si>
  <si>
    <t>120:000.001.030.058.000</t>
  </si>
  <si>
    <t>120:000.001.031.000.000</t>
  </si>
  <si>
    <t>120:000.001.031.059.000</t>
  </si>
  <si>
    <t>120:000.001.031.060.000</t>
  </si>
  <si>
    <t>120:000.001.031.061.000</t>
  </si>
  <si>
    <t>120:000.001.031.062.000</t>
  </si>
  <si>
    <t>120:000.001.032.000.000</t>
  </si>
  <si>
    <t>120:000.001.032.063.000</t>
  </si>
  <si>
    <t>120:000.001.032.064.000</t>
  </si>
  <si>
    <t>120:000.001.032.065.000</t>
  </si>
  <si>
    <t>120:000.001.033.066.000</t>
  </si>
  <si>
    <t>120:000.001.033.067.000</t>
  </si>
  <si>
    <t>120:000.001.034.000.000</t>
  </si>
  <si>
    <t>120:000.001.035.000.000</t>
  </si>
  <si>
    <t>120:000.001.036.000.000</t>
  </si>
  <si>
    <t>120:000.001.037.000.000</t>
  </si>
  <si>
    <t>120:000.001.038.000.000</t>
  </si>
  <si>
    <t>120:000.001.038.068.000</t>
  </si>
  <si>
    <t>120:000.001.038.069.000</t>
  </si>
  <si>
    <t>120:000.001.038.070.000</t>
  </si>
  <si>
    <t>120:000.001.039.000.000</t>
  </si>
  <si>
    <t>120:000.001.040.000.000</t>
  </si>
  <si>
    <t>120:000.001.041.000.000</t>
  </si>
  <si>
    <t>120:000.001.042.000.000</t>
  </si>
  <si>
    <t>120:000.001.042.071.000</t>
  </si>
  <si>
    <t>120:000.001.042.072.000</t>
  </si>
  <si>
    <t>120:000.001.042.073.000</t>
  </si>
  <si>
    <t>120:000.001.042.074.000</t>
  </si>
  <si>
    <t>120:000.001.042.075.000</t>
  </si>
  <si>
    <t>120:000.001.042.076.000</t>
  </si>
  <si>
    <t>120:000.001.042.077.000</t>
  </si>
  <si>
    <t>120:000.001.042.078.000</t>
  </si>
  <si>
    <t>120:000.001.042.079.000</t>
  </si>
  <si>
    <t>120:000.001.042.080.000</t>
  </si>
  <si>
    <t>120:000.001.042.081.000</t>
  </si>
  <si>
    <t>120:000.001.043.000.000</t>
  </si>
  <si>
    <t>120:000.001.044.000.000</t>
  </si>
  <si>
    <t>120:000.001.045.000.000</t>
  </si>
  <si>
    <t>120:000.001.046.000.000</t>
  </si>
  <si>
    <t>120:000.001.047.000.000</t>
  </si>
  <si>
    <t>120:000.001.048.000.000</t>
  </si>
  <si>
    <t>120:000.001.048.082.000</t>
  </si>
  <si>
    <t>120:000.001.049.000.000</t>
  </si>
  <si>
    <t>120:000.001.049.084.000</t>
  </si>
  <si>
    <t>120:000.001.050.000.000</t>
  </si>
  <si>
    <t>120:000.001.050.086.000</t>
  </si>
  <si>
    <t>120:000.001.050.087.000</t>
  </si>
  <si>
    <t>120:000.001.051.000.000</t>
  </si>
  <si>
    <t>120:000.001.052.000.000</t>
  </si>
  <si>
    <t>120:000.001.053.000.000</t>
  </si>
  <si>
    <t>120:000.001.054.000.000</t>
  </si>
  <si>
    <t>120:000.001.055.000.000</t>
  </si>
  <si>
    <t>120:000.001.056.000.000</t>
  </si>
  <si>
    <t>120:000.001.057.000.000</t>
  </si>
  <si>
    <t>120:000.001.058.000.000</t>
  </si>
  <si>
    <t>120:000.001.059.000.000</t>
  </si>
  <si>
    <t>120:000.001.060.000.000</t>
  </si>
  <si>
    <t>120:000.001.061.000.000</t>
  </si>
  <si>
    <t>120:000.001.062.006.000</t>
  </si>
  <si>
    <t>120:000.001.062.007.000</t>
  </si>
  <si>
    <t>106930</t>
  </si>
  <si>
    <t>120:000.001.062.008.000</t>
  </si>
  <si>
    <t>120:000.001.062.009.000</t>
  </si>
  <si>
    <t>120:000.001.062.010.000</t>
  </si>
  <si>
    <t>120:000.001.062.011.000</t>
  </si>
  <si>
    <t>120:000.001.062.012.000</t>
  </si>
  <si>
    <t>120:000.001.062.013.000</t>
  </si>
  <si>
    <t>120:000.001.062.014.000</t>
  </si>
  <si>
    <t>120:000.001.062.015.000</t>
  </si>
  <si>
    <t>120:000.001.062.016.000</t>
  </si>
  <si>
    <t>120:000.001.062.017.000</t>
  </si>
  <si>
    <t>120:000.001.062.018.000</t>
  </si>
  <si>
    <t>101008</t>
  </si>
  <si>
    <t>120:000.001.062.019.000</t>
  </si>
  <si>
    <t>104150</t>
  </si>
  <si>
    <t>120:000.001.063.020.000</t>
  </si>
  <si>
    <t>120:000.001.063.021.000</t>
  </si>
  <si>
    <t>120:000.001.063.022.000</t>
  </si>
  <si>
    <t>120:000.001.063.023.000</t>
  </si>
  <si>
    <t>120:000.001.063.024.000</t>
  </si>
  <si>
    <t>120:000.001.063.025.000</t>
  </si>
  <si>
    <t>120:000.001.064.026.000</t>
  </si>
  <si>
    <t>120:000.001.064.027.000</t>
  </si>
  <si>
    <t>120:000.001.064.028.000</t>
  </si>
  <si>
    <t>143476</t>
  </si>
  <si>
    <t>120:000.001.064.029.000</t>
  </si>
  <si>
    <t>120:000.001.064.030.000</t>
  </si>
  <si>
    <t>120:000.001.064.031.000</t>
  </si>
  <si>
    <t>120:000.001.064.032.000</t>
  </si>
  <si>
    <t>120:000.001.065.000.000</t>
  </si>
  <si>
    <t>120:000.001.066.000.000</t>
  </si>
  <si>
    <t>120:000.001.067.033.000</t>
  </si>
  <si>
    <t>120:000.001.067.034.000</t>
  </si>
  <si>
    <t>120:000.001.068.035.000</t>
  </si>
  <si>
    <t>120:000.001.068.036.000</t>
  </si>
  <si>
    <t>120:000.001.068.037.000</t>
  </si>
  <si>
    <t>120:000.001.068.038.000</t>
  </si>
  <si>
    <t>120:000.001.068.039.000</t>
  </si>
  <si>
    <t>120:000.001.069.000.000</t>
  </si>
  <si>
    <t>120:000.001.070.000.000</t>
  </si>
  <si>
    <t>120:000.001.071.000.000</t>
  </si>
  <si>
    <t>120:000.001.072.000.000</t>
  </si>
  <si>
    <t>120:000.001.073.000.000</t>
  </si>
  <si>
    <t>120:000.001.074.000.000</t>
  </si>
  <si>
    <t>120:000.001.075.000.000</t>
  </si>
  <si>
    <t>120:000.001.076.000.000</t>
  </si>
  <si>
    <t>120:000.001.077.000.000</t>
  </si>
  <si>
    <t>120:000.001.078.000.000</t>
  </si>
  <si>
    <t>120:000.001.079.000.000</t>
  </si>
  <si>
    <t>120:000.001.080.000.000</t>
  </si>
  <si>
    <t>130:000.001.001.000.000</t>
  </si>
  <si>
    <t>634187.0010</t>
  </si>
  <si>
    <t>634346.0010</t>
  </si>
  <si>
    <t>634339.0030</t>
  </si>
  <si>
    <t>130:000.001.002.000.000</t>
  </si>
  <si>
    <t>130:000.001.003.000.000</t>
  </si>
  <si>
    <t>130:000.001.004.000.000</t>
  </si>
  <si>
    <t>130:000.001.005.000.000</t>
  </si>
  <si>
    <t>130:000.001.006.001.000</t>
  </si>
  <si>
    <t>130:000.001.006.002.000</t>
  </si>
  <si>
    <t>130:000.001.006.003.000</t>
  </si>
  <si>
    <t>130:000.001.006.004.000</t>
  </si>
  <si>
    <t>130:000.001.006.005.000</t>
  </si>
  <si>
    <t>130:000.001.006.006.000</t>
  </si>
  <si>
    <t>130:000.001.007.000.000</t>
  </si>
  <si>
    <t>130:000.001.008.000.000</t>
  </si>
  <si>
    <t>130:000.001.009.007.000</t>
  </si>
  <si>
    <t>130:000.001.009.008.000</t>
  </si>
  <si>
    <t>130:000.001.009.009.000</t>
  </si>
  <si>
    <t>130:000.001.009.010.000</t>
  </si>
  <si>
    <t>130:000.001.009.011.000</t>
  </si>
  <si>
    <t>130:000.001.009.012.000</t>
  </si>
  <si>
    <t>130:000.001.009.013.000</t>
  </si>
  <si>
    <t>130:000.001.009.014.000</t>
  </si>
  <si>
    <t>130:000.001.009.015.000</t>
  </si>
  <si>
    <t>130:000.001.009.016.000</t>
  </si>
  <si>
    <t>130:000.001.009.017.000</t>
  </si>
  <si>
    <t>130:000.001.009.018.000</t>
  </si>
  <si>
    <t>130:000.001.009.019.000</t>
  </si>
  <si>
    <t>139196</t>
  </si>
  <si>
    <t>130:000.001.009.020.000</t>
  </si>
  <si>
    <t>130:000.001.009.021.000</t>
  </si>
  <si>
    <t>130:000.001.009.022.000</t>
  </si>
  <si>
    <t>130:000.001.009.023.000</t>
  </si>
  <si>
    <t>130:000.001.009.024.000</t>
  </si>
  <si>
    <t>130:000.001.009.025.000</t>
  </si>
  <si>
    <t>130:000.001.009.026.000</t>
  </si>
  <si>
    <t>130:000.001.009.027.000</t>
  </si>
  <si>
    <t>130:000.001.009.028.000</t>
  </si>
  <si>
    <t>130:000.001.009.029.000</t>
  </si>
  <si>
    <t>130:000.001.009.030.000</t>
  </si>
  <si>
    <t>130:000.001.009.031.000</t>
  </si>
  <si>
    <t>130:000.001.009.032.000</t>
  </si>
  <si>
    <t>130:000.001.009.033.000</t>
  </si>
  <si>
    <t>130:000.001.009.034.000</t>
  </si>
  <si>
    <t>130:000.001.009.035.000</t>
  </si>
  <si>
    <t>130:000.001.009.036.000</t>
  </si>
  <si>
    <t>130:000.001.009.037.000</t>
  </si>
  <si>
    <t>130:000.001.009.038.000</t>
  </si>
  <si>
    <t>130:000.001.013.000.000</t>
  </si>
  <si>
    <t>130:000.001.014.000.000</t>
  </si>
  <si>
    <t>130:000.001.015.000.000</t>
  </si>
  <si>
    <t>130:000.001.016.000.000</t>
  </si>
  <si>
    <t>130:000.001.017.039.000</t>
  </si>
  <si>
    <t>130:000.001.017.040.000</t>
  </si>
  <si>
    <t>130:000.001.017.041.000</t>
  </si>
  <si>
    <t>130:000.001.017.042.000</t>
  </si>
  <si>
    <t>130:000.001.017.043.000</t>
  </si>
  <si>
    <t>130:000.001.018.000.000</t>
  </si>
  <si>
    <t>130:000.001.019.000.000</t>
  </si>
  <si>
    <t>130:000.001.020.000.000</t>
  </si>
  <si>
    <t>130:000.001.021.044.000</t>
  </si>
  <si>
    <t>130:000.001.022.000.000</t>
  </si>
  <si>
    <t>130:000.001.023.045.000</t>
  </si>
  <si>
    <t>130:000.001.023.046.000</t>
  </si>
  <si>
    <t>130:000.001.023.047.000</t>
  </si>
  <si>
    <t>130:000.001.023.048.000</t>
  </si>
  <si>
    <t>130:000.001.023.049.000</t>
  </si>
  <si>
    <t>130:000.001.023.050.000</t>
  </si>
  <si>
    <t>130:000.001.023.051.000</t>
  </si>
  <si>
    <t>130:000.001.023.052.000</t>
  </si>
  <si>
    <t>130:000.001.023.053.000</t>
  </si>
  <si>
    <t>130:000.001.023.054.000</t>
  </si>
  <si>
    <t>130:000.001.023.055.000</t>
  </si>
  <si>
    <t>130:000.001.023.056.000</t>
  </si>
  <si>
    <t>130:000.001.023.057.000</t>
  </si>
  <si>
    <t>130:000.001.023.058.000</t>
  </si>
  <si>
    <t>130:000.001.023.059.000</t>
  </si>
  <si>
    <t>130:000.001.023.060.000</t>
  </si>
  <si>
    <t>130:000.001.023.061.000</t>
  </si>
  <si>
    <t>130:000.001.023.062.000</t>
  </si>
  <si>
    <t>130:000.001.023.063.000</t>
  </si>
  <si>
    <t>130:000.001.023.064.000</t>
  </si>
  <si>
    <t>130:000.001.023.065.000</t>
  </si>
  <si>
    <t>130:000.001.023.066.000</t>
  </si>
  <si>
    <t>130:000.001.023.067.000</t>
  </si>
  <si>
    <t>130:000.001.023.068.000</t>
  </si>
  <si>
    <t>123172</t>
  </si>
  <si>
    <t>130:000.001.023.069.000</t>
  </si>
  <si>
    <t>130:000.001.023.070.000</t>
  </si>
  <si>
    <t>104825</t>
  </si>
  <si>
    <t>130:000.001.023.071.000</t>
  </si>
  <si>
    <t>94500.10.671.002</t>
  </si>
  <si>
    <t>130:000.001.023.072.000</t>
  </si>
  <si>
    <t>105058</t>
  </si>
  <si>
    <t>130:000.001.023.073.000</t>
  </si>
  <si>
    <t>130:000.001.023.074.000</t>
  </si>
  <si>
    <t>113104</t>
  </si>
  <si>
    <t>130:000.001.023.075.000</t>
  </si>
  <si>
    <t>104304</t>
  </si>
  <si>
    <t>130:000.001.023.076.000</t>
  </si>
  <si>
    <t>130:000.001.023.077.000</t>
  </si>
  <si>
    <t>123199</t>
  </si>
  <si>
    <t>130:000.001.023.078.000</t>
  </si>
  <si>
    <t>123200</t>
  </si>
  <si>
    <t>130:000.001.023.079.000</t>
  </si>
  <si>
    <t>130:000.001.023.080.000</t>
  </si>
  <si>
    <t>130:000.001.023.081.000</t>
  </si>
  <si>
    <t>21020.00.300.610</t>
  </si>
  <si>
    <t>130:000.001.023.082.000</t>
  </si>
  <si>
    <t>130:000.001.023.083.000</t>
  </si>
  <si>
    <t>130:000.001.023.084.000</t>
  </si>
  <si>
    <t>130:000.001.023.087.000</t>
  </si>
  <si>
    <t>21020.00.300.210</t>
  </si>
  <si>
    <t>130:000.001.023.088.000</t>
  </si>
  <si>
    <t>104831</t>
  </si>
  <si>
    <t>130:000.001.023.089.000</t>
  </si>
  <si>
    <t>130:000.001.023.090.000</t>
  </si>
  <si>
    <t>130:000.001.023.091.000</t>
  </si>
  <si>
    <t>104303</t>
  </si>
  <si>
    <t>130:000.001.023.092.000</t>
  </si>
  <si>
    <t>130:000.001.023.093.000</t>
  </si>
  <si>
    <t>104292</t>
  </si>
  <si>
    <t>130:000.001.023.094.000</t>
  </si>
  <si>
    <t>130:000.001.023.095.000</t>
  </si>
  <si>
    <t>130:000.001.023.096.000</t>
  </si>
  <si>
    <t>125211</t>
  </si>
  <si>
    <t>130:000.001.023.097.000</t>
  </si>
  <si>
    <t>100977</t>
  </si>
  <si>
    <t>130:000.001.023.098.000</t>
  </si>
  <si>
    <t>130:000.001.023.099.000</t>
  </si>
  <si>
    <t>130:000.001.023.100.000</t>
  </si>
  <si>
    <t>105065</t>
  </si>
  <si>
    <t>130:000.001.023.101.000</t>
  </si>
  <si>
    <t>101457</t>
  </si>
  <si>
    <t>130:000.001.023.102.000</t>
  </si>
  <si>
    <t>130:000.001.023.103.000</t>
  </si>
  <si>
    <t>117356</t>
  </si>
  <si>
    <t>130:000.001.023.104.000</t>
  </si>
  <si>
    <t>104153</t>
  </si>
  <si>
    <t>130:000.001.023.105.000</t>
  </si>
  <si>
    <t>21020.00.401.420</t>
  </si>
  <si>
    <t>130:000.001.023.106.000</t>
  </si>
  <si>
    <t>130:000.001.023.108.000</t>
  </si>
  <si>
    <t>101282</t>
  </si>
  <si>
    <t>130:000.001.023.109.000</t>
  </si>
  <si>
    <t>101287</t>
  </si>
  <si>
    <t>130:000.001.023.110.000</t>
  </si>
  <si>
    <t>101289</t>
  </si>
  <si>
    <t>130:000.001.023.111.000</t>
  </si>
  <si>
    <t>101290</t>
  </si>
  <si>
    <t>130:000.001.023.112.000</t>
  </si>
  <si>
    <t>101291</t>
  </si>
  <si>
    <t>130:000.001.024.000.000</t>
  </si>
  <si>
    <t>130:000.001.025.000.000</t>
  </si>
  <si>
    <t>130:000.001.026.000.000</t>
  </si>
  <si>
    <t>130:000.001.027.113.000</t>
  </si>
  <si>
    <t>130:000.001.027.114.000</t>
  </si>
  <si>
    <t>130:000.001.028.000.000</t>
  </si>
  <si>
    <t>130:000.001.029.000.000</t>
  </si>
  <si>
    <t>104744</t>
  </si>
  <si>
    <t>130:000.001.030.000.000</t>
  </si>
  <si>
    <t>104839</t>
  </si>
  <si>
    <t>130:000.001.031.000.000</t>
  </si>
  <si>
    <t>130:000.001.032.000.000</t>
  </si>
  <si>
    <t>130:000.001.033.000.000</t>
  </si>
  <si>
    <t>130:000.001.034.000.000</t>
  </si>
  <si>
    <t>130:000.001.035.000.000</t>
  </si>
  <si>
    <t>101445</t>
  </si>
  <si>
    <t>130:000.001.036.000.000</t>
  </si>
  <si>
    <t>104606</t>
  </si>
  <si>
    <t>130:000.001.037.000.000</t>
  </si>
  <si>
    <t>130:000.001.038.000.000</t>
  </si>
  <si>
    <t>130:000.001.039.000.000</t>
  </si>
  <si>
    <t>105242</t>
  </si>
  <si>
    <t>130:000.001.040.000.000</t>
  </si>
  <si>
    <t>130:000.001.041.000.000</t>
  </si>
  <si>
    <t>104620</t>
  </si>
  <si>
    <t>130:000.001.042.000.000</t>
  </si>
  <si>
    <t>105976</t>
  </si>
  <si>
    <t>130:000.001.043.000.000</t>
  </si>
  <si>
    <t>130:000.001.044.000.000</t>
  </si>
  <si>
    <t>130:000.001.045.000.000</t>
  </si>
  <si>
    <t>101451</t>
  </si>
  <si>
    <t>130:000.001.046.000.000</t>
  </si>
  <si>
    <t>130:000.001.047.000.000</t>
  </si>
  <si>
    <t>130:000.001.048.000.000</t>
  </si>
  <si>
    <t>101452</t>
  </si>
  <si>
    <t>130:000.001.049.000.000</t>
  </si>
  <si>
    <t>130:000.001.050.000.000</t>
  </si>
  <si>
    <t>130:000.001.051.000.000</t>
  </si>
  <si>
    <t>104670</t>
  </si>
  <si>
    <t>130:000.001.053.000.000</t>
  </si>
  <si>
    <t>130:000.001.054.000.000</t>
  </si>
  <si>
    <t>130:000.001.055.000.000</t>
  </si>
  <si>
    <t>104690</t>
  </si>
  <si>
    <t>130:000.001.056.000.000</t>
  </si>
  <si>
    <t>130:000.001.057.000.000</t>
  </si>
  <si>
    <t>130:000.001.058.000.000</t>
  </si>
  <si>
    <t>104724</t>
  </si>
  <si>
    <t>130:000.001.060.000.000</t>
  </si>
  <si>
    <t>130:000.001.061.000.000</t>
  </si>
  <si>
    <t>105050</t>
  </si>
  <si>
    <t>130:000.001.062.000.000</t>
  </si>
  <si>
    <t>105049</t>
  </si>
  <si>
    <t>130:000.001.063.000.000</t>
  </si>
  <si>
    <t>130:000.001.064.000.000</t>
  </si>
  <si>
    <t>130:000.001.065.000.000</t>
  </si>
  <si>
    <t>101471</t>
  </si>
  <si>
    <t>130:000.001.066.000.000</t>
  </si>
  <si>
    <t>101447</t>
  </si>
  <si>
    <t>130:000.001.067.000.000</t>
  </si>
  <si>
    <t>130:000.001.068.000.000</t>
  </si>
  <si>
    <t>130:000.001.069.000.000</t>
  </si>
  <si>
    <t>104654</t>
  </si>
  <si>
    <t>130:000.001.071.000.000</t>
  </si>
  <si>
    <t>104656</t>
  </si>
  <si>
    <t>130:000.001.072.000.000</t>
  </si>
  <si>
    <t>130:000.001.073.116.000</t>
  </si>
  <si>
    <t>130:000.001.073.117.000</t>
  </si>
  <si>
    <t>130:000.001.073.118.000</t>
  </si>
  <si>
    <t>130:000.001.074.000.000</t>
  </si>
  <si>
    <t>130:000.001.076.000.000</t>
  </si>
  <si>
    <t>105040</t>
  </si>
  <si>
    <t>130:000.001.078.000.000</t>
  </si>
  <si>
    <t>105039</t>
  </si>
  <si>
    <t>105041</t>
  </si>
  <si>
    <t>130:000.001.080.000.000</t>
  </si>
  <si>
    <t>130:000.001.081.000.000</t>
  </si>
  <si>
    <t>105052</t>
  </si>
  <si>
    <t>130:000.001.082.000.000</t>
  </si>
  <si>
    <t>130:000.001.083.000.000</t>
  </si>
  <si>
    <t>104725</t>
  </si>
  <si>
    <t>130:000.001.084.000.000</t>
  </si>
  <si>
    <t>130:000.001.085.000.000</t>
  </si>
  <si>
    <t>130:000.001.086.000.000</t>
  </si>
  <si>
    <t>130:000.001.087.000.000</t>
  </si>
  <si>
    <t>130:000.001.088.000.000</t>
  </si>
  <si>
    <t>130:000.001.089.000.000</t>
  </si>
  <si>
    <t>110646</t>
  </si>
  <si>
    <t>130:000.001.090.000.000</t>
  </si>
  <si>
    <t>130:000.001.091.000.000</t>
  </si>
  <si>
    <t>130:000.001.092.000.000</t>
  </si>
  <si>
    <t>104672</t>
  </si>
  <si>
    <t>130:000.001.093.000.000</t>
  </si>
  <si>
    <t>104250</t>
  </si>
  <si>
    <t>130:000.001.094.119.000</t>
  </si>
  <si>
    <t>130:000.001.094.120.000</t>
  </si>
  <si>
    <t>130:000.001.095.121.000</t>
  </si>
  <si>
    <t>130:000.001.095.122.000</t>
  </si>
  <si>
    <t>130:000.001.096.123.000</t>
  </si>
  <si>
    <t>130:000.001.096.124.000</t>
  </si>
  <si>
    <t>130:000.001.096.125.000</t>
  </si>
  <si>
    <t>130:000.001.096.126.000</t>
  </si>
  <si>
    <t>130:000.001.096.127.000</t>
  </si>
  <si>
    <t>130:000.001.096.128.000</t>
  </si>
  <si>
    <t>130:000.001.096.129.000</t>
  </si>
  <si>
    <t>130:000.001.097.131.000</t>
  </si>
  <si>
    <t>130:000.001.097.132.000</t>
  </si>
  <si>
    <t>130:000.001.097.133.000</t>
  </si>
  <si>
    <t>130:000.001.097.134.000</t>
  </si>
  <si>
    <t>130:000.001.097.135.000</t>
  </si>
  <si>
    <t>130:000.001.098.000.000</t>
  </si>
  <si>
    <t>130:000.001.099.000.000</t>
  </si>
  <si>
    <t>104675</t>
  </si>
  <si>
    <t>130:000.001.100.000.000</t>
  </si>
  <si>
    <t>104674</t>
  </si>
  <si>
    <t>130:000.001.101.000.000</t>
  </si>
  <si>
    <t>130:000.001.102.000.000</t>
  </si>
  <si>
    <t>105051</t>
  </si>
  <si>
    <t>130:000.001.103.136.000</t>
  </si>
  <si>
    <t>130:000.001.103.137.000</t>
  </si>
  <si>
    <t>130:000.001.103.138.000</t>
  </si>
  <si>
    <t>130:000.001.103.139.000</t>
  </si>
  <si>
    <t>130:000.001.104.140.000</t>
  </si>
  <si>
    <t>130:000.001.104.141.000</t>
  </si>
  <si>
    <t>130:000.001.105.142.000</t>
  </si>
  <si>
    <t>130:000.001.106.143.000</t>
  </si>
  <si>
    <t>130:000.001.106.144.000</t>
  </si>
  <si>
    <t>130:000.001.106.145.000</t>
  </si>
  <si>
    <t>130:000.001.107.000.000</t>
  </si>
  <si>
    <t>130:000.001.108.000.000</t>
  </si>
  <si>
    <t>130:000.001.109.000.000</t>
  </si>
  <si>
    <t>104227</t>
  </si>
  <si>
    <t>130:000.001.110.000.000</t>
  </si>
  <si>
    <t>104189</t>
  </si>
  <si>
    <t>130:000.001.111.000.000</t>
  </si>
  <si>
    <t>130:000.001.112.000.000</t>
  </si>
  <si>
    <t>130:000.001.113.000.000</t>
  </si>
  <si>
    <t>130:000.001.114.000.000</t>
  </si>
  <si>
    <t>130:000.001.115.000.000</t>
  </si>
  <si>
    <t>104242</t>
  </si>
  <si>
    <t>130:000.001.116.000.000</t>
  </si>
  <si>
    <t>104202</t>
  </si>
  <si>
    <t>130:000.001.117.000.000</t>
  </si>
  <si>
    <t>130:000.001.118.000.000</t>
  </si>
  <si>
    <t>130:000.001.119.000.000</t>
  </si>
  <si>
    <t>130:000.001.120.000.000</t>
  </si>
  <si>
    <t>130:000.001.121.000.000</t>
  </si>
  <si>
    <t>130:000.001.122.146.000</t>
  </si>
  <si>
    <t>130:000.001.122.147.000</t>
  </si>
  <si>
    <t>130:000.001.122.148.000</t>
  </si>
  <si>
    <t>130:000.001.122.149.000</t>
  </si>
  <si>
    <t>130:000.001.123.150.000</t>
  </si>
  <si>
    <t>130:000.001.123.151.000</t>
  </si>
  <si>
    <t>130:000.001.124.000.000</t>
  </si>
  <si>
    <t>130:000.001.125.000.000</t>
  </si>
  <si>
    <t>130:000.001.126.000.000</t>
  </si>
  <si>
    <t>130:000.001.127.000.000</t>
  </si>
  <si>
    <t>130:000.001.128.000.000</t>
  </si>
  <si>
    <t>130:000.001.129.000.000</t>
  </si>
  <si>
    <t>104619</t>
  </si>
  <si>
    <t>130:000.001.130.000.000</t>
  </si>
  <si>
    <t>130:000.001.131.000.000</t>
  </si>
  <si>
    <t>104639</t>
  </si>
  <si>
    <t>130:000.001.132.000.000</t>
  </si>
  <si>
    <t>104636</t>
  </si>
  <si>
    <t>130:000.001.133.000.000</t>
  </si>
  <si>
    <t>104635</t>
  </si>
  <si>
    <t>130:000.001.134.000.000</t>
  </si>
  <si>
    <t>104608</t>
  </si>
  <si>
    <t>130:000.001.135.000.000</t>
  </si>
  <si>
    <t>130:000.001.136.000.000</t>
  </si>
  <si>
    <t>104659</t>
  </si>
  <si>
    <t>130:000.001.137.000.000</t>
  </si>
  <si>
    <t>101375</t>
  </si>
  <si>
    <t>130:000.001.138.000.000</t>
  </si>
  <si>
    <t>130:000.001.139.000.000</t>
  </si>
  <si>
    <t>130:000.001.140.000.000</t>
  </si>
  <si>
    <t>130:000.001.141.000.000</t>
  </si>
  <si>
    <t>130:000.001.142.000.000</t>
  </si>
  <si>
    <t>130:000.001.143.000.000</t>
  </si>
  <si>
    <t>105144</t>
  </si>
  <si>
    <t>130:000.001.144.000.000</t>
  </si>
  <si>
    <t>101473</t>
  </si>
  <si>
    <t>130:000.001.145.000.000</t>
  </si>
  <si>
    <t>104637</t>
  </si>
  <si>
    <t>130:000.001.146.000.000</t>
  </si>
  <si>
    <t>130:000.001.147.000.000</t>
  </si>
  <si>
    <t>130:000.001.148.000.000</t>
  </si>
  <si>
    <t>130:000.001.149.152.000</t>
  </si>
  <si>
    <t>130:000.001.149.153.000</t>
  </si>
  <si>
    <t>130:000.001.149.154.000</t>
  </si>
  <si>
    <t>130:000.001.149.155.000</t>
  </si>
  <si>
    <t>130:000.001.149.156.000</t>
  </si>
  <si>
    <t>130:000.001.149.157.000</t>
  </si>
  <si>
    <t>130:000.001.150.000.000</t>
  </si>
  <si>
    <t>130:000.001.151.000.000</t>
  </si>
  <si>
    <t>130:000.001.152.000.000</t>
  </si>
  <si>
    <t>130:000.001.153.000.000</t>
  </si>
  <si>
    <t>130:000.001.154.000.000</t>
  </si>
  <si>
    <t>130:000.001.155.158.000</t>
  </si>
  <si>
    <t>130:000.001.155.159.000</t>
  </si>
  <si>
    <t>130:000.001.155.160.000</t>
  </si>
  <si>
    <t>130:000.001.156.000.000</t>
  </si>
  <si>
    <t>130:000.001.157.000.000</t>
  </si>
  <si>
    <t>130:000.001.158.000.000</t>
  </si>
  <si>
    <t>130:000.001.159.000.000</t>
  </si>
  <si>
    <t>130:000.001.160.000.000</t>
  </si>
  <si>
    <t>130:000.001.161.000.000</t>
  </si>
  <si>
    <t>130:000.001.162.161.000</t>
  </si>
  <si>
    <t>130:000.001.163.000.000</t>
  </si>
  <si>
    <t>130:000.001.164.000.000</t>
  </si>
  <si>
    <t>130:000.001.165.000.000</t>
  </si>
  <si>
    <t>104607</t>
  </si>
  <si>
    <t>130:000.001.166.000.000</t>
  </si>
  <si>
    <t>130:000.001.167.000.000</t>
  </si>
  <si>
    <t>130:000.001.172.163.000</t>
  </si>
  <si>
    <t>130:000.001.172.164.000</t>
  </si>
  <si>
    <t>130:000.001.172.165.000</t>
  </si>
  <si>
    <t>130:000.001.172.166.000</t>
  </si>
  <si>
    <t>130:000.001.173.000.000</t>
  </si>
  <si>
    <t>130:000.001.174.000.000</t>
  </si>
  <si>
    <t>634346.0020</t>
  </si>
  <si>
    <t>140:000.001.001.000.000</t>
  </si>
  <si>
    <t>634195.0010</t>
  </si>
  <si>
    <t>140:000.001.002.000.000</t>
  </si>
  <si>
    <t>140:000.001.003.000.000</t>
  </si>
  <si>
    <t>634340.0030</t>
  </si>
  <si>
    <t>651843.0040</t>
  </si>
  <si>
    <t>140:000.001.004.000.000</t>
  </si>
  <si>
    <t>140:000.001.005.000.000</t>
  </si>
  <si>
    <t>111988</t>
  </si>
  <si>
    <t>140:000.001.006.000.000</t>
  </si>
  <si>
    <t>140:000.001.007.000.000</t>
  </si>
  <si>
    <t>120305</t>
  </si>
  <si>
    <t>140:000.001.008.000.000</t>
  </si>
  <si>
    <t>150:000.001.001.000.000</t>
  </si>
  <si>
    <t>651844.0040</t>
  </si>
  <si>
    <t>150:000.001.001.001.000</t>
  </si>
  <si>
    <t>150:000.001.001.002.000</t>
  </si>
  <si>
    <t>150:000.001.001.003.000</t>
  </si>
  <si>
    <t>150:000.001.001.004.000</t>
  </si>
  <si>
    <t>150:000.001.001.005.000</t>
  </si>
  <si>
    <t>150:000.001.001.006.000</t>
  </si>
  <si>
    <t>150:000.001.001.007.000</t>
  </si>
  <si>
    <t>150:000.001.001.008.000</t>
  </si>
  <si>
    <t>150:000.001.001.009.000</t>
  </si>
  <si>
    <t>150:000.001.001.010.000</t>
  </si>
  <si>
    <t>150:000.001.001.011.000</t>
  </si>
  <si>
    <t>150:000.001.001.012.000</t>
  </si>
  <si>
    <t>150:000.001.001.013.000</t>
  </si>
  <si>
    <t>150:000.001.001.017.000</t>
  </si>
  <si>
    <t>150:000.001.001.020.000</t>
  </si>
  <si>
    <t>150:000.001.001.025.000</t>
  </si>
  <si>
    <t>150:000.001.001.026.000</t>
  </si>
  <si>
    <t>150:000.001.002.000.000</t>
  </si>
  <si>
    <t>651844.0090</t>
  </si>
  <si>
    <t>150:000.001.002.027.000</t>
  </si>
  <si>
    <t>150:000.001.002.028.000</t>
  </si>
  <si>
    <t>150:000.001.002.029.000</t>
  </si>
  <si>
    <t>150:000.001.002.030.000</t>
  </si>
  <si>
    <t>150:000.001.002.031.000</t>
  </si>
  <si>
    <t>150:000.001.002.032.000</t>
  </si>
  <si>
    <t>150:000.001.002.033.000</t>
  </si>
  <si>
    <t>150:000.001.002.034.000</t>
  </si>
  <si>
    <t>150:000.001.002.035.000</t>
  </si>
  <si>
    <t>150:000.001.002.036.000</t>
  </si>
  <si>
    <t>104601</t>
  </si>
  <si>
    <t>150:000.001.002.037.000</t>
  </si>
  <si>
    <t>103059</t>
  </si>
  <si>
    <t>150:000.001.002.038.000</t>
  </si>
  <si>
    <t>123185</t>
  </si>
  <si>
    <t>150:000.001.002.039.000</t>
  </si>
  <si>
    <t>101600</t>
  </si>
  <si>
    <t>150:000.001.002.040.000</t>
  </si>
  <si>
    <t>150:000.001.002.041.000</t>
  </si>
  <si>
    <t>150:000.001.002.042.000</t>
  </si>
  <si>
    <t>101295</t>
  </si>
  <si>
    <t>150:000.001.002.043.000</t>
  </si>
  <si>
    <t>101296</t>
  </si>
  <si>
    <t>150:000.001.002.044.000</t>
  </si>
  <si>
    <t>150:000.001.002.045.000</t>
  </si>
  <si>
    <t>150:000.001.002.046.000</t>
  </si>
  <si>
    <t>150:000.001.002.047.000</t>
  </si>
  <si>
    <t>101327</t>
  </si>
  <si>
    <t>150:000.001.002.048.000</t>
  </si>
  <si>
    <t>101329</t>
  </si>
  <si>
    <t>150:000.001.002.049.000</t>
  </si>
  <si>
    <t>150:000.001.002.050.000</t>
  </si>
  <si>
    <t>100682</t>
  </si>
  <si>
    <t>150:000.001.002.051.000</t>
  </si>
  <si>
    <t>150:000.001.002.052.000</t>
  </si>
  <si>
    <t>150:000.001.002.053.000</t>
  </si>
  <si>
    <t>150:000.001.002.054.000</t>
  </si>
  <si>
    <t>150:000.001.002.055.000</t>
  </si>
  <si>
    <t>150:000.001.002.056.000</t>
  </si>
  <si>
    <t>150:000.001.002.057.000</t>
  </si>
  <si>
    <t>150:000.001.002.058.000</t>
  </si>
  <si>
    <t>150:000.001.002.059.000</t>
  </si>
  <si>
    <t>150:000.001.002.060.000</t>
  </si>
  <si>
    <t>106524</t>
  </si>
  <si>
    <t>150:000.001.002.061.000</t>
  </si>
  <si>
    <t>21020.00.400.401</t>
  </si>
  <si>
    <t>150:000.001.002.062.000</t>
  </si>
  <si>
    <t>150:000.001.002.063.000</t>
  </si>
  <si>
    <t>150:000.001.002.064.000</t>
  </si>
  <si>
    <t>101278</t>
  </si>
  <si>
    <t>150:000.001.002.065.000</t>
  </si>
  <si>
    <t>150:000.001.002.066.000</t>
  </si>
  <si>
    <t>150:000.001.002.067.000</t>
  </si>
  <si>
    <t>150:000.001.002.068.000</t>
  </si>
  <si>
    <t>150:000.001.002.069.000</t>
  </si>
  <si>
    <t>103493</t>
  </si>
  <si>
    <t>150:000.001.002.070.000</t>
  </si>
  <si>
    <t>150:000.001.002.071.000</t>
  </si>
  <si>
    <t>150:000.001.002.072.000</t>
  </si>
  <si>
    <t>21020.01.403.040</t>
  </si>
  <si>
    <t>150:000.001.002.075.000</t>
  </si>
  <si>
    <t>150:000.001.002.076.000</t>
  </si>
  <si>
    <t>150:000.001.002.077.000</t>
  </si>
  <si>
    <t>117355</t>
  </si>
  <si>
    <t>104448</t>
  </si>
  <si>
    <t>150:000.001.002.079.000</t>
  </si>
  <si>
    <t>150:000.001.002.080.000</t>
  </si>
  <si>
    <t>150:000.001.002.081.000</t>
  </si>
  <si>
    <t>150:000.001.002.082.000</t>
  </si>
  <si>
    <t>150:000.001.002.083.000</t>
  </si>
  <si>
    <t>150:000.001.002.084.000</t>
  </si>
  <si>
    <t>150:000.001.002.085.000</t>
  </si>
  <si>
    <t>150:000.001.002.086.000</t>
  </si>
  <si>
    <t>150:000.001.002.087.000</t>
  </si>
  <si>
    <t>150:000.001.002.088.000</t>
  </si>
  <si>
    <t>150:000.001.002.089.000</t>
  </si>
  <si>
    <t>150:000.001.002.090.000</t>
  </si>
  <si>
    <t>150:000.001.002.091.000</t>
  </si>
  <si>
    <t>150:000.001.002.092.000</t>
  </si>
  <si>
    <t>104188</t>
  </si>
  <si>
    <t>150:000.001.002.093.000</t>
  </si>
  <si>
    <t>150:000.001.002.094.000</t>
  </si>
  <si>
    <t>104228</t>
  </si>
  <si>
    <t>150:000.001.002.096.000</t>
  </si>
  <si>
    <t>150:000.001.002.097.000</t>
  </si>
  <si>
    <t>150:000.001.002.098.000</t>
  </si>
  <si>
    <t>104302</t>
  </si>
  <si>
    <t>150:000.001.002.099.000</t>
  </si>
  <si>
    <t>150:000.001.002.100.000</t>
  </si>
  <si>
    <t>150:000.001.002.101.000</t>
  </si>
  <si>
    <t>150:000.001.002.102.000</t>
  </si>
  <si>
    <t>150:000.001.002.103.000</t>
  </si>
  <si>
    <t>104616</t>
  </si>
  <si>
    <t>150:000.001.002.104.000</t>
  </si>
  <si>
    <t>150:000.001.002.105.000</t>
  </si>
  <si>
    <t>150:000.001.002.106.000</t>
  </si>
  <si>
    <t>104149</t>
  </si>
  <si>
    <t>150:000.001.002.107.000</t>
  </si>
  <si>
    <t>150:000.001.002.108.000</t>
  </si>
  <si>
    <t>150:000.001.002.109.000</t>
  </si>
  <si>
    <t>104218</t>
  </si>
  <si>
    <t>150:000.001.002.110.000</t>
  </si>
  <si>
    <t>150:000.001.002.111.000</t>
  </si>
  <si>
    <t>21021.00.001.010</t>
  </si>
  <si>
    <t>150:000.001.002.112.000</t>
  </si>
  <si>
    <t>150:000.001.002.113.000</t>
  </si>
  <si>
    <t>150:000.001.002.114.000</t>
  </si>
  <si>
    <t>150:000.001.002.115.000</t>
  </si>
  <si>
    <t>150:000.001.002.116.000</t>
  </si>
  <si>
    <t>150:000.001.002.117.000</t>
  </si>
  <si>
    <t>150:000.001.002.118.000</t>
  </si>
  <si>
    <t>150:000.001.002.119.000</t>
  </si>
  <si>
    <t>150:000.001.002.120.000</t>
  </si>
  <si>
    <t>150:000.001.002.122.000</t>
  </si>
  <si>
    <t>150:000.001.002.123.000</t>
  </si>
  <si>
    <t>150:000.001.002.126.000</t>
  </si>
  <si>
    <t>123186</t>
  </si>
  <si>
    <t>150:000.001.002.127.000</t>
  </si>
  <si>
    <t>104629</t>
  </si>
  <si>
    <t>150:000.001.002.128.000</t>
  </si>
  <si>
    <t>104617</t>
  </si>
  <si>
    <t>150:000.001.002.129.000</t>
  </si>
  <si>
    <t>116240</t>
  </si>
  <si>
    <t>150:000.001.002.130.000</t>
  </si>
  <si>
    <t>150:000.001.002.131.000</t>
  </si>
  <si>
    <t>104824</t>
  </si>
  <si>
    <t>150:000.001.002.132.000</t>
  </si>
  <si>
    <t>109116</t>
  </si>
  <si>
    <t>150:000.001.002.133.000</t>
  </si>
  <si>
    <t>150:000.001.002.134.000</t>
  </si>
  <si>
    <t>132324</t>
  </si>
  <si>
    <t>150:000.001.002.135.000</t>
  </si>
  <si>
    <t>150:000.001.002.136.000</t>
  </si>
  <si>
    <t>102865</t>
  </si>
  <si>
    <t>150:000.001.002.137.000</t>
  </si>
  <si>
    <t>104301</t>
  </si>
  <si>
    <t>150:000.001.002.138.000</t>
  </si>
  <si>
    <t>150:000.001.002.140.000</t>
  </si>
  <si>
    <t>150:000.001.002.141.000</t>
  </si>
  <si>
    <t>150:000.001.002.142.000</t>
  </si>
  <si>
    <t>150:000.001.002.143.000</t>
  </si>
  <si>
    <t>150:000.001.002.144.000</t>
  </si>
  <si>
    <t>123217</t>
  </si>
  <si>
    <t>150:000.001.002.145.000</t>
  </si>
  <si>
    <t>117357</t>
  </si>
  <si>
    <t>150:000.001.002.148.000</t>
  </si>
  <si>
    <t>104630</t>
  </si>
  <si>
    <t>150:000.001.002.149.000</t>
  </si>
  <si>
    <t>150:000.001.002.150.000</t>
  </si>
  <si>
    <t>150:000.001.003.151.000</t>
  </si>
  <si>
    <t>150:000.001.003.152.000</t>
  </si>
  <si>
    <t>150:000.001.003.153.000</t>
  </si>
  <si>
    <t>150:000.001.003.154.000</t>
  </si>
  <si>
    <t>150:000.001.003.155.000</t>
  </si>
  <si>
    <t>150:000.001.003.156.000</t>
  </si>
  <si>
    <t>150:000.001.003.157.000</t>
  </si>
  <si>
    <t>150:000.001.003.158.000</t>
  </si>
  <si>
    <t>150:000.001.004.160.000</t>
  </si>
  <si>
    <t>150:000.001.004.161.000</t>
  </si>
  <si>
    <t>150:000.001.004.162.000</t>
  </si>
  <si>
    <t>150:000.001.004.163.000</t>
  </si>
  <si>
    <t>150:000.001.004.164.000</t>
  </si>
  <si>
    <t>150:000.001.004.165.000</t>
  </si>
  <si>
    <t>150:000.001.004.166.000</t>
  </si>
  <si>
    <t>150:000.001.004.167.000</t>
  </si>
  <si>
    <t>150:000.001.004.168.000</t>
  </si>
  <si>
    <t>150:000.001.004.169.000</t>
  </si>
  <si>
    <t>150:000.001.004.170.000</t>
  </si>
  <si>
    <t>150:000.001.004.171.000</t>
  </si>
  <si>
    <t>150:000.001.004.172.000</t>
  </si>
  <si>
    <t>150:000.001.004.173.000</t>
  </si>
  <si>
    <t>150:000.001.004.174.000</t>
  </si>
  <si>
    <t>150:000.001.004.175.000</t>
  </si>
  <si>
    <t>150:000.001.004.176.000</t>
  </si>
  <si>
    <t>150:000.001.004.177.000</t>
  </si>
  <si>
    <t>150:000.001.004.178.000</t>
  </si>
  <si>
    <t>150:000.001.004.179.000</t>
  </si>
  <si>
    <t>150:000.001.004.180.000</t>
  </si>
  <si>
    <t>150:000.001.004.181.000</t>
  </si>
  <si>
    <t>150:000.001.004.182.000</t>
  </si>
  <si>
    <t>150:000.001.004.183.000</t>
  </si>
  <si>
    <t>150:000.001.004.184.000</t>
  </si>
  <si>
    <t>150:000.001.004.185.000</t>
  </si>
  <si>
    <t>150:000.001.004.186.000</t>
  </si>
  <si>
    <t>150:000.001.004.187.000</t>
  </si>
  <si>
    <t>150:000.001.004.188.000</t>
  </si>
  <si>
    <t>150:000.001.004.189.000</t>
  </si>
  <si>
    <t>150:000.001.004.190.000</t>
  </si>
  <si>
    <t>150:000.001.004.191.000</t>
  </si>
  <si>
    <t>150:000.001.004.192.000</t>
  </si>
  <si>
    <t>150:000.001.004.193.000</t>
  </si>
  <si>
    <t>150:000.001.004.194.000</t>
  </si>
  <si>
    <t>150:000.001.004.195.000</t>
  </si>
  <si>
    <t>150:000.001.004.196.000</t>
  </si>
  <si>
    <t>150:000.001.004.197.000</t>
  </si>
  <si>
    <t>150:000.001.004.198.000</t>
  </si>
  <si>
    <t>150:000.001.004.199.000</t>
  </si>
  <si>
    <t>150:000.001.004.200.000</t>
  </si>
  <si>
    <t>150:000.001.004.201.000</t>
  </si>
  <si>
    <t>150:000.001.004.202.000</t>
  </si>
  <si>
    <t>150:000.001.004.203.000</t>
  </si>
  <si>
    <t>150:000.001.004.204.000</t>
  </si>
  <si>
    <t>150:000.001.004.205.000</t>
  </si>
  <si>
    <t>150:000.001.004.206.000</t>
  </si>
  <si>
    <t>150:000.001.004.207.000</t>
  </si>
  <si>
    <t>150:000.001.004.208.000</t>
  </si>
  <si>
    <t>150:000.001.004.209.000</t>
  </si>
  <si>
    <t>150:000.001.004.210.000</t>
  </si>
  <si>
    <t>150:000.001.004.211.000</t>
  </si>
  <si>
    <t>150:000.001.004.212.000</t>
  </si>
  <si>
    <t>150:000.001.004.213.000</t>
  </si>
  <si>
    <t>150:000.001.004.214.000</t>
  </si>
  <si>
    <t>150:000.001.004.215.000</t>
  </si>
  <si>
    <t>150:000.001.004.216.000</t>
  </si>
  <si>
    <t>150:000.001.004.217.000</t>
  </si>
  <si>
    <t>104626</t>
  </si>
  <si>
    <t>150:000.001.004.218.000</t>
  </si>
  <si>
    <t>150:000.001.004.219.000</t>
  </si>
  <si>
    <t>150:000.001.004.220.000</t>
  </si>
  <si>
    <t>150:000.001.005.221.000</t>
  </si>
  <si>
    <t>150:000.001.005.222.000</t>
  </si>
  <si>
    <t>150:000.001.005.223.000</t>
  </si>
  <si>
    <t>150:000.001.005.224.000</t>
  </si>
  <si>
    <t>150:000.001.005.225.000</t>
  </si>
  <si>
    <t>150:000.001.005.226.000</t>
  </si>
  <si>
    <t>150:000.001.005.227.000</t>
  </si>
  <si>
    <t>150:000.001.005.228.000</t>
  </si>
  <si>
    <t>150:000.001.005.229.000</t>
  </si>
  <si>
    <t>150:000.001.005.230.000</t>
  </si>
  <si>
    <t>150:000.001.005.231.000</t>
  </si>
  <si>
    <t>150:000.001.005.232.000</t>
  </si>
  <si>
    <t>150:000.001.005.233.000</t>
  </si>
  <si>
    <t>150:000.001.005.234.000</t>
  </si>
  <si>
    <t>150:000.001.005.235.000</t>
  </si>
  <si>
    <t>150:000.001.005.236.000</t>
  </si>
  <si>
    <t>150:000.001.005.237.000</t>
  </si>
  <si>
    <t>150:000.001.005.238.000</t>
  </si>
  <si>
    <t>150:000.001.005.239.000</t>
  </si>
  <si>
    <t>150:000.001.005.240.000</t>
  </si>
  <si>
    <t>127247</t>
  </si>
  <si>
    <t>150:000.001.005.241.000</t>
  </si>
  <si>
    <t>150:000.001.005.242.000</t>
  </si>
  <si>
    <t>150:000.001.005.243.000</t>
  </si>
  <si>
    <t>150:000.001.005.244.000</t>
  </si>
  <si>
    <t>150:000.001.005.245.000</t>
  </si>
  <si>
    <t>150:000.001.005.246.000</t>
  </si>
  <si>
    <t>150:000.001.005.247.000</t>
  </si>
  <si>
    <t>150:000.001.005.248.000</t>
  </si>
  <si>
    <t>150:000.001.005.249.000</t>
  </si>
  <si>
    <t>150:000.001.005.250.000</t>
  </si>
  <si>
    <t>150:000.001.005.251.000</t>
  </si>
  <si>
    <t>150:000.001.005.252.000</t>
  </si>
  <si>
    <t>150:000.001.005.253.000</t>
  </si>
  <si>
    <t>150:000.001.005.254.000</t>
  </si>
  <si>
    <t>150:000.001.005.255.000</t>
  </si>
  <si>
    <t>150:000.001.005.256.000</t>
  </si>
  <si>
    <t>150:000.001.005.257.000</t>
  </si>
  <si>
    <t>150:000.001.005.258.000</t>
  </si>
  <si>
    <t>150:000.001.005.259.000</t>
  </si>
  <si>
    <t>150:000.001.005.260.000</t>
  </si>
  <si>
    <t>150:000.001.005.261.000</t>
  </si>
  <si>
    <t>150:000.001.005.262.000</t>
  </si>
  <si>
    <t>150:000.001.005.263.000</t>
  </si>
  <si>
    <t>150:000.001.005.264.000</t>
  </si>
  <si>
    <t>150:000.001.005.265.000</t>
  </si>
  <si>
    <t>150:000.001.005.266.000</t>
  </si>
  <si>
    <t>150:000.001.005.267.000</t>
  </si>
  <si>
    <t>150:000.001.005.268.000</t>
  </si>
  <si>
    <t>150:000.001.005.269.000</t>
  </si>
  <si>
    <t>150:000.001.005.270.000</t>
  </si>
  <si>
    <t>141392</t>
  </si>
  <si>
    <t>150:000.001.005.271.000</t>
  </si>
  <si>
    <t>150:000.001.005.272.000</t>
  </si>
  <si>
    <t>150:000.001.005.273.000</t>
  </si>
  <si>
    <t>150:000.001.005.274.000</t>
  </si>
  <si>
    <t>150:000.001.005.275.000</t>
  </si>
  <si>
    <t>150:000.001.005.276.000</t>
  </si>
  <si>
    <t>150:000.001.005.277.000</t>
  </si>
  <si>
    <t>150:000.001.005.278.000</t>
  </si>
  <si>
    <t>150:000.001.005.279.000</t>
  </si>
  <si>
    <t>150:000.001.005.280.000</t>
  </si>
  <si>
    <t>150:000.001.005.281.000</t>
  </si>
  <si>
    <t>150:000.001.005.282.000</t>
  </si>
  <si>
    <t>105307</t>
  </si>
  <si>
    <t>150:000.001.005.283.000</t>
  </si>
  <si>
    <t>150:000.001.005.284.000</t>
  </si>
  <si>
    <t>150:000.001.005.285.000</t>
  </si>
  <si>
    <t>150:000.001.005.286.000</t>
  </si>
  <si>
    <t>101597</t>
  </si>
  <si>
    <t>150:000.001.005.287.000</t>
  </si>
  <si>
    <t>150:000.001.005.288.000</t>
  </si>
  <si>
    <t>150:000.001.005.289.000</t>
  </si>
  <si>
    <t>150:000.001.005.290.000</t>
  </si>
  <si>
    <t>142748</t>
  </si>
  <si>
    <t>150:000.001.005.292.000</t>
  </si>
  <si>
    <t>150:000.001.005.293.000</t>
  </si>
  <si>
    <t>150:000.001.005.294.000</t>
  </si>
  <si>
    <t>104631</t>
  </si>
  <si>
    <t>150:000.001.005.295.000</t>
  </si>
  <si>
    <t>150:000.001.005.296.000</t>
  </si>
  <si>
    <t>150:000.001.005.297.000</t>
  </si>
  <si>
    <t>150:000.001.005.298.000</t>
  </si>
  <si>
    <t>150:000.001.005.299.000</t>
  </si>
  <si>
    <t>150:000.001.005.300.000</t>
  </si>
  <si>
    <t>150:000.001.005.301.000</t>
  </si>
  <si>
    <t>150:000.001.005.302.000</t>
  </si>
  <si>
    <t>150:000.001.005.303.000</t>
  </si>
  <si>
    <t>150:000.001.005.304.000</t>
  </si>
  <si>
    <t>150:000.001.005.305.000</t>
  </si>
  <si>
    <t>150:000.001.005.306.000</t>
  </si>
  <si>
    <t>150:000.001.005.308.000</t>
  </si>
  <si>
    <t>123243</t>
  </si>
  <si>
    <t>150:000.001.005.309.000</t>
  </si>
  <si>
    <t>150:000.001.005.310.000</t>
  </si>
  <si>
    <t>150:000.001.005.311.000</t>
  </si>
  <si>
    <t>109030</t>
  </si>
  <si>
    <t>150:000.001.005.312.000</t>
  </si>
  <si>
    <t>150:000.001.005.313.000</t>
  </si>
  <si>
    <t>105423</t>
  </si>
  <si>
    <t>150:000.001.005.314.000</t>
  </si>
  <si>
    <t>150:000.001.005.315.000</t>
  </si>
  <si>
    <t>150:000.001.005.316.000</t>
  </si>
  <si>
    <t>150:000.001.005.317.000</t>
  </si>
  <si>
    <t>103712</t>
  </si>
  <si>
    <t>150:000.001.005.318.000</t>
  </si>
  <si>
    <t>150:000.001.005.319.000</t>
  </si>
  <si>
    <t>150:000.001.005.320.000</t>
  </si>
  <si>
    <t>150:000.001.005.322.000</t>
  </si>
  <si>
    <t>150:000.001.005.323.000</t>
  </si>
  <si>
    <t>150:000.001.005.324.000</t>
  </si>
  <si>
    <t>150:000.001.005.325.000</t>
  </si>
  <si>
    <t>150:000.001.005.326.000</t>
  </si>
  <si>
    <t>150:000.001.005.327.000</t>
  </si>
  <si>
    <t>150:000.001.005.329.000</t>
  </si>
  <si>
    <t>150:000.001.005.330.000</t>
  </si>
  <si>
    <t>150:000.001.005.332.000</t>
  </si>
  <si>
    <t>150:000.001.005.333.000</t>
  </si>
  <si>
    <t>150:000.001.005.335.000</t>
  </si>
  <si>
    <t>150:000.001.005.336.000</t>
  </si>
  <si>
    <t>150:000.001.005.337.000</t>
  </si>
  <si>
    <t>150:000.001.005.338.000</t>
  </si>
  <si>
    <t>150:000.001.005.339.000</t>
  </si>
  <si>
    <t>150:000.001.005.340.000</t>
  </si>
  <si>
    <t>150:000.001.005.341.000</t>
  </si>
  <si>
    <t>150:000.001.005.342.000</t>
  </si>
  <si>
    <t>150:000.001.005.343.000</t>
  </si>
  <si>
    <t>150:000.001.005.344.000</t>
  </si>
  <si>
    <t>150:000.001.005.345.000</t>
  </si>
  <si>
    <t>150:000.001.005.346.000</t>
  </si>
  <si>
    <t>150:000.001.005.347.000</t>
  </si>
  <si>
    <t>150:000.001.005.348.000</t>
  </si>
  <si>
    <t>105426</t>
  </si>
  <si>
    <t>150:000.001.005.349.000</t>
  </si>
  <si>
    <t>150:000.001.005.350.000</t>
  </si>
  <si>
    <t>150:000.001.005.351.000</t>
  </si>
  <si>
    <t>150:000.001.005.352.000</t>
  </si>
  <si>
    <t>150:000.001.005.353.000</t>
  </si>
  <si>
    <t>150:000.001.005.354.000</t>
  </si>
  <si>
    <t>150:000.001.005.355.000</t>
  </si>
  <si>
    <t>150:000.001.005.356.000</t>
  </si>
  <si>
    <t>101285</t>
  </si>
  <si>
    <t>150:000.001.005.357.000</t>
  </si>
  <si>
    <t>150:000.001.005.358.000</t>
  </si>
  <si>
    <t>150:000.001.005.359.000</t>
  </si>
  <si>
    <t>150:000.001.005.360.000</t>
  </si>
  <si>
    <t>150:000.001.005.361.000</t>
  </si>
  <si>
    <t>150:000.001.005.362.000</t>
  </si>
  <si>
    <t>150:000.001.005.363.000</t>
  </si>
  <si>
    <t>150:000.001.005.364.000</t>
  </si>
  <si>
    <t>150:000.001.005.365.000</t>
  </si>
  <si>
    <t>101602</t>
  </si>
  <si>
    <t>150:000.001.005.366.000</t>
  </si>
  <si>
    <t>150:000.001.005.367.000</t>
  </si>
  <si>
    <t>150:000.001.005.368.000</t>
  </si>
  <si>
    <t>150:000.001.005.369.000</t>
  </si>
  <si>
    <t>101330</t>
  </si>
  <si>
    <t>150:000.001.005.370.000</t>
  </si>
  <si>
    <t>150:000.001.005.371.000</t>
  </si>
  <si>
    <t>150:000.001.005.372.000</t>
  </si>
  <si>
    <t>150:000.001.005.373.000</t>
  </si>
  <si>
    <t>150:000.001.005.374.000</t>
  </si>
  <si>
    <t>150:000.001.005.375.000</t>
  </si>
  <si>
    <t>115367</t>
  </si>
  <si>
    <t>150:000.001.005.376.000</t>
  </si>
  <si>
    <t>101293</t>
  </si>
  <si>
    <t>150:000.001.005.377.000</t>
  </si>
  <si>
    <t>150:000.001.005.379.000</t>
  </si>
  <si>
    <t>150:000.001.005.380.000</t>
  </si>
  <si>
    <t>150:000.001.005.381.000</t>
  </si>
  <si>
    <t>150:000.001.005.382.000</t>
  </si>
  <si>
    <t>150:000.001.005.383.000</t>
  </si>
  <si>
    <t>122752</t>
  </si>
  <si>
    <t>150:000.001.005.384.000</t>
  </si>
  <si>
    <t>150:000.001.005.385.000</t>
  </si>
  <si>
    <t>150:000.001.005.386.000</t>
  </si>
  <si>
    <t>116021</t>
  </si>
  <si>
    <t>150:000.001.005.387.000</t>
  </si>
  <si>
    <t>150:000.001.005.388.000</t>
  </si>
  <si>
    <t>150:000.001.005.389.000</t>
  </si>
  <si>
    <t>150:000.001.005.390.000</t>
  </si>
  <si>
    <t>150:000.001.005.391.000</t>
  </si>
  <si>
    <t>150:000.001.005.392.000</t>
  </si>
  <si>
    <t>150:000.001.005.393.000</t>
  </si>
  <si>
    <t>150:000.001.005.394.000</t>
  </si>
  <si>
    <t>150:000.001.005.395.000</t>
  </si>
  <si>
    <t>150:000.001.005.396.000</t>
  </si>
  <si>
    <t>150:000.001.005.397.000</t>
  </si>
  <si>
    <t>150:000.001.005.398.000</t>
  </si>
  <si>
    <t>150:000.001.005.399.000</t>
  </si>
  <si>
    <t>150:000.001.005.400.000</t>
  </si>
  <si>
    <t>100689</t>
  </si>
  <si>
    <t>150:000.001.005.401.000</t>
  </si>
  <si>
    <t>101269</t>
  </si>
  <si>
    <t>150:000.001.005.403.000</t>
  </si>
  <si>
    <t>150:000.001.005.404.000</t>
  </si>
  <si>
    <t>150:000.001.005.405.000</t>
  </si>
  <si>
    <t>150:000.001.005.406.000</t>
  </si>
  <si>
    <t>150:000.001.005.408.000</t>
  </si>
  <si>
    <t>150:000.001.005.409.000</t>
  </si>
  <si>
    <t>150:000.001.005.410.000</t>
  </si>
  <si>
    <t>150:000.001.005.411.000</t>
  </si>
  <si>
    <t>150:000.001.005.412.000</t>
  </si>
  <si>
    <t>123216</t>
  </si>
  <si>
    <t>150:000.001.005.413.000</t>
  </si>
  <si>
    <t>119917</t>
  </si>
  <si>
    <t>150:000.001.005.414.000</t>
  </si>
  <si>
    <t>150:000.001.005.415.000</t>
  </si>
  <si>
    <t>150:000.001.005.416.000</t>
  </si>
  <si>
    <t>150:000.001.005.417.000</t>
  </si>
  <si>
    <t>150:000.001.005.418.000</t>
  </si>
  <si>
    <t>150:000.001.005.419.000</t>
  </si>
  <si>
    <t>150:000.001.005.420.000</t>
  </si>
  <si>
    <t>150:000.001.005.421.000</t>
  </si>
  <si>
    <t>150:000.001.005.422.000</t>
  </si>
  <si>
    <t>150:000.001.005.423.000</t>
  </si>
  <si>
    <t>150:000.001.005.424.000</t>
  </si>
  <si>
    <t>150:000.001.005.425.000</t>
  </si>
  <si>
    <t>150:000.001.005.426.000</t>
  </si>
  <si>
    <t>150:000.001.005.428.000</t>
  </si>
  <si>
    <t>150:000.001.005.429.000</t>
  </si>
  <si>
    <t>150:000.001.005.430.000</t>
  </si>
  <si>
    <t>150:000.001.005.431.000</t>
  </si>
  <si>
    <t>150:000.001.005.432.000</t>
  </si>
  <si>
    <t>150:000.001.005.433.000</t>
  </si>
  <si>
    <t>123182</t>
  </si>
  <si>
    <t>150:000.001.005.434.000</t>
  </si>
  <si>
    <t>150:000.001.005.435.000</t>
  </si>
  <si>
    <t>150:000.001.005.436.000</t>
  </si>
  <si>
    <t>150:000.001.005.438.000</t>
  </si>
  <si>
    <t>137428</t>
  </si>
  <si>
    <t>150:000.001.005.439.000</t>
  </si>
  <si>
    <t>150:000.001.005.440.000</t>
  </si>
  <si>
    <t>150:000.001.005.441.000</t>
  </si>
  <si>
    <t>100954</t>
  </si>
  <si>
    <t>150:000.001.005.442.000</t>
  </si>
  <si>
    <t>123233</t>
  </si>
  <si>
    <t>150:000.001.005.443.000</t>
  </si>
  <si>
    <t>150:000.001.005.445.000</t>
  </si>
  <si>
    <t>150:000.001.005.446.000</t>
  </si>
  <si>
    <t>150:000.001.005.447.000</t>
  </si>
  <si>
    <t>101271</t>
  </si>
  <si>
    <t>150:000.001.005.448.000</t>
  </si>
  <si>
    <t>150:000.001.005.449.000</t>
  </si>
  <si>
    <t>101277</t>
  </si>
  <si>
    <t>150:000.001.005.450.000</t>
  </si>
  <si>
    <t>150:000.001.005.451.000</t>
  </si>
  <si>
    <t>150:000.001.005.452.000</t>
  </si>
  <si>
    <t>150:000.001.005.453.000</t>
  </si>
  <si>
    <t>150:000.001.005.454.000</t>
  </si>
  <si>
    <t>150:000.001.005.455.000</t>
  </si>
  <si>
    <t>150:000.001.005.456.000</t>
  </si>
  <si>
    <t>150:000.001.005.457.000</t>
  </si>
  <si>
    <t>150:000.001.005.458.000</t>
  </si>
  <si>
    <t>150:000.001.005.459.000</t>
  </si>
  <si>
    <t>150:000.001.005.461.000</t>
  </si>
  <si>
    <t>101454</t>
  </si>
  <si>
    <t>150:000.001.005.462.000</t>
  </si>
  <si>
    <t>150:000.001.005.463.000</t>
  </si>
  <si>
    <t>109306</t>
  </si>
  <si>
    <t>150:000.001.005.464.000</t>
  </si>
  <si>
    <t>150:000.001.005.465.000</t>
  </si>
  <si>
    <t>150:000.001.005.466.000</t>
  </si>
  <si>
    <t>101007</t>
  </si>
  <si>
    <t>150:000.001.005.467.000</t>
  </si>
  <si>
    <t>150:000.001.005.468.000</t>
  </si>
  <si>
    <t>150:000.001.005.469.000</t>
  </si>
  <si>
    <t>150:000.001.005.470.000</t>
  </si>
  <si>
    <t>150:000.001.005.471.000</t>
  </si>
  <si>
    <t>150:000.001.005.472.000</t>
  </si>
  <si>
    <t>150:000.001.005.473.000</t>
  </si>
  <si>
    <t>150:000.001.005.474.000</t>
  </si>
  <si>
    <t>150:000.001.005.475.000</t>
  </si>
  <si>
    <t>150:000.001.005.476.000</t>
  </si>
  <si>
    <t>150:000.001.005.477.000</t>
  </si>
  <si>
    <t>150:000.001.005.478.000</t>
  </si>
  <si>
    <t>150:000.001.005.479.000</t>
  </si>
  <si>
    <t>150:000.001.005.480.000</t>
  </si>
  <si>
    <t>150:000.001.005.481.000</t>
  </si>
  <si>
    <t>150:000.001.005.482.000</t>
  </si>
  <si>
    <t>150:000.001.005.483.000</t>
  </si>
  <si>
    <t>101598</t>
  </si>
  <si>
    <t>150:000.001.005.484.000</t>
  </si>
  <si>
    <t>150:000.001.005.485.000</t>
  </si>
  <si>
    <t>21020.00.401.920</t>
  </si>
  <si>
    <t>150:000.001.005.486.000</t>
  </si>
  <si>
    <t>150:000.001.005.487.000</t>
  </si>
  <si>
    <t>150:000.001.005.488.000</t>
  </si>
  <si>
    <t>150:000.001.005.489.000</t>
  </si>
  <si>
    <t>150:000.001.005.490.000</t>
  </si>
  <si>
    <t>150:000.001.005.491.000</t>
  </si>
  <si>
    <t>150:000.001.005.492.000</t>
  </si>
  <si>
    <t>150:000.001.005.494.000</t>
  </si>
  <si>
    <t>150:000.001.005.495.000</t>
  </si>
  <si>
    <t>150:000.001.005.496.000</t>
  </si>
  <si>
    <t>150:000.001.005.497.000</t>
  </si>
  <si>
    <t>150:000.001.005.498.000</t>
  </si>
  <si>
    <t>150:000.001.005.499.000</t>
  </si>
  <si>
    <t>150:000.001.005.501.000</t>
  </si>
  <si>
    <t>104284</t>
  </si>
  <si>
    <t>150:000.001.005.502.000</t>
  </si>
  <si>
    <t>150:000.001.005.503.000</t>
  </si>
  <si>
    <t>150:000.001.005.504.000</t>
  </si>
  <si>
    <t>150:000.001.005.505.000</t>
  </si>
  <si>
    <t>150:000.001.005.506.000</t>
  </si>
  <si>
    <t>150:000.001.005.507.000</t>
  </si>
  <si>
    <t>150:000.001.005.509.000</t>
  </si>
  <si>
    <t>150:000.001.005.510.000</t>
  </si>
  <si>
    <t>150:000.001.005.512.000</t>
  </si>
  <si>
    <t>150:000.001.005.513.000</t>
  </si>
  <si>
    <t>150:000.001.005.515.000</t>
  </si>
  <si>
    <t>150:000.001.005.516.000</t>
  </si>
  <si>
    <t>150:000.001.005.517.000</t>
  </si>
  <si>
    <t>150:000.001.005.518.000</t>
  </si>
  <si>
    <t>150:000.001.005.519.000</t>
  </si>
  <si>
    <t>101283</t>
  </si>
  <si>
    <t>150:000.001.005.520.000</t>
  </si>
  <si>
    <t>150:000.001.005.521.000</t>
  </si>
  <si>
    <t>150:000.001.005.522.000</t>
  </si>
  <si>
    <t>150:000.001.005.523.000</t>
  </si>
  <si>
    <t>150:000.001.005.524.000</t>
  </si>
  <si>
    <t>150:000.001.005.525.000</t>
  </si>
  <si>
    <t>150:000.001.005.526.000</t>
  </si>
  <si>
    <t>150:000.001.005.527.000</t>
  </si>
  <si>
    <t>150:000.001.005.528.000</t>
  </si>
  <si>
    <t>150:000.001.005.529.000</t>
  </si>
  <si>
    <t>150:000.001.005.531.000</t>
  </si>
  <si>
    <t>150:000.001.005.532.000</t>
  </si>
  <si>
    <t>150:000.001.005.533.000</t>
  </si>
  <si>
    <t>150:000.001.005.534.000</t>
  </si>
  <si>
    <t>150:000.001.005.535.000</t>
  </si>
  <si>
    <t>150:000.001.005.536.000</t>
  </si>
  <si>
    <t>150:000.001.005.538.000</t>
  </si>
  <si>
    <t>150:000.001.005.539.000</t>
  </si>
  <si>
    <t>150:000.001.005.540.000</t>
  </si>
  <si>
    <t>101280</t>
  </si>
  <si>
    <t>150:000.001.005.541.000</t>
  </si>
  <si>
    <t>150:000.001.005.542.000</t>
  </si>
  <si>
    <t>150:000.001.005.543.000</t>
  </si>
  <si>
    <t>150:000.001.005.544.000</t>
  </si>
  <si>
    <t>150:000.001.005.545.000</t>
  </si>
  <si>
    <t>150:000.001.005.546.000</t>
  </si>
  <si>
    <t>150:000.001.005.547.000</t>
  </si>
  <si>
    <t>150:000.001.005.548.000</t>
  </si>
  <si>
    <t>150:000.001.005.549.000</t>
  </si>
  <si>
    <t>150:000.001.005.550.000</t>
  </si>
  <si>
    <t>150:000.001.005.551.000</t>
  </si>
  <si>
    <t>150:000.001.005.552.000</t>
  </si>
  <si>
    <t>150:000.001.005.553.000</t>
  </si>
  <si>
    <t>116803</t>
  </si>
  <si>
    <t>150:000.001.005.554.000</t>
  </si>
  <si>
    <t>141079</t>
  </si>
  <si>
    <t>150:000.001.005.555.000</t>
  </si>
  <si>
    <t>150:000.001.005.556.000</t>
  </si>
  <si>
    <t>117037</t>
  </si>
  <si>
    <t>150:000.001.005.557.000</t>
  </si>
  <si>
    <t>150:000.001.005.558.000</t>
  </si>
  <si>
    <t>150:000.001.005.559.000</t>
  </si>
  <si>
    <t>150:000.001.005.560.000</t>
  </si>
  <si>
    <t>150:000.001.005.561.000</t>
  </si>
  <si>
    <t>150:000.001.005.562.000</t>
  </si>
  <si>
    <t>150:000.001.005.563.000</t>
  </si>
  <si>
    <t>150:000.001.005.564.000</t>
  </si>
  <si>
    <t>150:000.001.005.565.000</t>
  </si>
  <si>
    <t>150:000.001.005.566.000</t>
  </si>
  <si>
    <t>150:000.001.005.568.000</t>
  </si>
  <si>
    <t>150:000.001.005.569.000</t>
  </si>
  <si>
    <t>150:000.001.005.570.000</t>
  </si>
  <si>
    <t>150:000.001.005.571.000</t>
  </si>
  <si>
    <t>150:000.001.005.572.000</t>
  </si>
  <si>
    <t>150:000.001.005.573.000</t>
  </si>
  <si>
    <t>150:000.001.005.574.000</t>
  </si>
  <si>
    <t>150:000.001.005.575.000</t>
  </si>
  <si>
    <t>150:000.001.005.576.000</t>
  </si>
  <si>
    <t>150:000.001.005.577.000</t>
  </si>
  <si>
    <t>150:000.001.005.578.000</t>
  </si>
  <si>
    <t>100742</t>
  </si>
  <si>
    <t>150:000.001.005.579.000</t>
  </si>
  <si>
    <t>150:000.001.005.580.000</t>
  </si>
  <si>
    <t>150:000.001.005.583.000</t>
  </si>
  <si>
    <t>150:000.001.005.584.000</t>
  </si>
  <si>
    <t>150:000.001.005.585.000</t>
  </si>
  <si>
    <t>150:000.001.005.586.000</t>
  </si>
  <si>
    <t>150:000.001.005.587.000</t>
  </si>
  <si>
    <t>150:000.001.005.588.000</t>
  </si>
  <si>
    <t>150:000.001.005.589.000</t>
  </si>
  <si>
    <t>150:000.001.005.590.000</t>
  </si>
  <si>
    <t>101336</t>
  </si>
  <si>
    <t>150:000.001.005.591.000</t>
  </si>
  <si>
    <t>150:000.001.005.592.000</t>
  </si>
  <si>
    <t>150:000.001.005.593.000</t>
  </si>
  <si>
    <t>150:000.001.005.594.000</t>
  </si>
  <si>
    <t>150:000.001.005.595.000</t>
  </si>
  <si>
    <t>150:000.001.005.596.000</t>
  </si>
  <si>
    <t>150:000.001.005.597.000</t>
  </si>
  <si>
    <t>150:000.001.005.598.000</t>
  </si>
  <si>
    <t>150:000.001.005.599.000</t>
  </si>
  <si>
    <t>150:000.001.005.600.000</t>
  </si>
  <si>
    <t>150:000.001.005.601.000</t>
  </si>
  <si>
    <t>150:000.001.005.602.000</t>
  </si>
  <si>
    <t>150:000.001.005.603.000</t>
  </si>
  <si>
    <t>123198</t>
  </si>
  <si>
    <t>150:000.001.005.604.000</t>
  </si>
  <si>
    <t>123215</t>
  </si>
  <si>
    <t>150:000.001.005.605.000</t>
  </si>
  <si>
    <t>150:000.001.005.606.000</t>
  </si>
  <si>
    <t>150:000.001.005.607.000</t>
  </si>
  <si>
    <t>150:000.001.005.608.000</t>
  </si>
  <si>
    <t>150:000.001.005.609.000</t>
  </si>
  <si>
    <t>150:000.001.005.610.000</t>
  </si>
  <si>
    <t>150:000.001.005.611.000</t>
  </si>
  <si>
    <t>150:000.001.005.612.000</t>
  </si>
  <si>
    <t>150:000.001.005.613.000</t>
  </si>
  <si>
    <t>150:000.001.005.614.000</t>
  </si>
  <si>
    <t>150:000.001.005.615.000</t>
  </si>
  <si>
    <t>150:000.001.005.616.000</t>
  </si>
  <si>
    <t>150:000.001.005.617.000</t>
  </si>
  <si>
    <t>100704</t>
  </si>
  <si>
    <t>150:000.001.005.618.000</t>
  </si>
  <si>
    <t>150:000.001.005.619.000</t>
  </si>
  <si>
    <t>150:000.001.005.620.000</t>
  </si>
  <si>
    <t>150:000.001.005.621.000</t>
  </si>
  <si>
    <t>150:000.001.005.622.000</t>
  </si>
  <si>
    <t>150:000.001.005.623.000</t>
  </si>
  <si>
    <t>150:000.001.005.624.000</t>
  </si>
  <si>
    <t>150:000.001.005.625.000</t>
  </si>
  <si>
    <t>104602</t>
  </si>
  <si>
    <t>150:000.001.005.626.000</t>
  </si>
  <si>
    <t>105417</t>
  </si>
  <si>
    <t>150:000.001.005.628.000</t>
  </si>
  <si>
    <t>150:000.001.005.629.000</t>
  </si>
  <si>
    <t>150:000.001.005.630.000</t>
  </si>
  <si>
    <t>150:000.001.005.631.000</t>
  </si>
  <si>
    <t>150:000.001.005.632.000</t>
  </si>
  <si>
    <t>150:000.001.005.633.000</t>
  </si>
  <si>
    <t>106923</t>
  </si>
  <si>
    <t>150:000.001.005.634.000</t>
  </si>
  <si>
    <t>150:000.001.005.636.000</t>
  </si>
  <si>
    <t>150:000.001.005.637.000</t>
  </si>
  <si>
    <t>150:000.001.005.639.000</t>
  </si>
  <si>
    <t>150:000.001.005.640.000</t>
  </si>
  <si>
    <t>150:000.001.005.641.000</t>
  </si>
  <si>
    <t>150:000.001.005.642.000</t>
  </si>
  <si>
    <t>150:000.001.005.643.000</t>
  </si>
  <si>
    <t>150:000.001.005.644.000</t>
  </si>
  <si>
    <t>104245</t>
  </si>
  <si>
    <t>150:000.001.005.646.000</t>
  </si>
  <si>
    <t>150:000.001.005.647.000</t>
  </si>
  <si>
    <t>106928</t>
  </si>
  <si>
    <t>150:000.001.005.648.000</t>
  </si>
  <si>
    <t>150:000.001.005.649.000</t>
  </si>
  <si>
    <t>150:000.001.005.650.000</t>
  </si>
  <si>
    <t>100957</t>
  </si>
  <si>
    <t>150:000.001.005.651.000</t>
  </si>
  <si>
    <t>150:000.001.005.652.000</t>
  </si>
  <si>
    <t>150:000.001.005.653.000</t>
  </si>
  <si>
    <t>150:000.001.005.654.000</t>
  </si>
  <si>
    <t>150:000.001.005.655.000</t>
  </si>
  <si>
    <t>101288</t>
  </si>
  <si>
    <t>150:000.001.005.656.000</t>
  </si>
  <si>
    <t>150:000.001.005.657.000</t>
  </si>
  <si>
    <t>104008</t>
  </si>
  <si>
    <t>150:000.001.005.658.000</t>
  </si>
  <si>
    <t>150:000.001.005.659.000</t>
  </si>
  <si>
    <t>150:000.001.005.661.000</t>
  </si>
  <si>
    <t>150:000.001.005.662.000</t>
  </si>
  <si>
    <t>150:000.001.005.663.000</t>
  </si>
  <si>
    <t>150:000.001.005.664.000</t>
  </si>
  <si>
    <t>150:000.001.005.665.000</t>
  </si>
  <si>
    <t>150:000.001.005.666.000</t>
  </si>
  <si>
    <t>150:000.001.005.667.000</t>
  </si>
  <si>
    <t>150:000.001.005.668.000</t>
  </si>
  <si>
    <t>150:000.001.005.669.000</t>
  </si>
  <si>
    <t>150:000.001.005.670.000</t>
  </si>
  <si>
    <t>150:000.001.005.671.000</t>
  </si>
  <si>
    <t>150:000.001.005.672.000</t>
  </si>
  <si>
    <t>150:000.001.005.673.000</t>
  </si>
  <si>
    <t>150:000.001.005.674.000</t>
  </si>
  <si>
    <t>150:000.001.005.675.000</t>
  </si>
  <si>
    <t>150:000.001.005.676.000</t>
  </si>
  <si>
    <t>150:000.001.005.677.000</t>
  </si>
  <si>
    <t>150:000.001.005.678.000</t>
  </si>
  <si>
    <t>150:000.001.005.679.000</t>
  </si>
  <si>
    <t>150:000.001.005.680.000</t>
  </si>
  <si>
    <t>150:000.001.005.681.000</t>
  </si>
  <si>
    <t>150:000.001.005.682.000</t>
  </si>
  <si>
    <t>150:000.001.005.683.000</t>
  </si>
  <si>
    <t>104634</t>
  </si>
  <si>
    <t>150:000.001.005.684.000</t>
  </si>
  <si>
    <t>150:000.001.005.685.000</t>
  </si>
  <si>
    <t>150:000.001.005.686.000</t>
  </si>
  <si>
    <t>150:000.001.005.687.000</t>
  </si>
  <si>
    <t>150:000.001.005.688.000</t>
  </si>
  <si>
    <t>150:000.001.005.690.000</t>
  </si>
  <si>
    <t>135064</t>
  </si>
  <si>
    <t>150:000.001.005.692.000</t>
  </si>
  <si>
    <t>150:000.001.005.693.000</t>
  </si>
  <si>
    <t>150:000.001.005.694.000</t>
  </si>
  <si>
    <t>150:000.001.005.695.000</t>
  </si>
  <si>
    <t>150:000.001.005.696.000</t>
  </si>
  <si>
    <t>150:000.001.005.697.000</t>
  </si>
  <si>
    <t>101298</t>
  </si>
  <si>
    <t>150:000.001.005.698.000</t>
  </si>
  <si>
    <t>150:000.001.005.699.000</t>
  </si>
  <si>
    <t>150:000.001.005.700.000</t>
  </si>
  <si>
    <t>150:000.001.005.701.000</t>
  </si>
  <si>
    <t>150:000.001.005.702.000</t>
  </si>
  <si>
    <t>150:000.001.005.703.000</t>
  </si>
  <si>
    <t>150:000.001.005.704.000</t>
  </si>
  <si>
    <t>150:000.001.005.705.000</t>
  </si>
  <si>
    <t>21020.00.401.620</t>
  </si>
  <si>
    <t>150:000.001.005.706.000</t>
  </si>
  <si>
    <t>150:000.001.005.707.000</t>
  </si>
  <si>
    <t>150:000.001.005.708.000</t>
  </si>
  <si>
    <t>150:000.001.005.709.000</t>
  </si>
  <si>
    <t>150:000.001.005.710.000</t>
  </si>
  <si>
    <t>150:000.001.005.711.000</t>
  </si>
  <si>
    <t>150:000.001.005.712.000</t>
  </si>
  <si>
    <t>150:000.001.005.713.000</t>
  </si>
  <si>
    <t>150:000.001.005.714.000</t>
  </si>
  <si>
    <t>150:000.001.005.716.000</t>
  </si>
  <si>
    <t>150:000.001.005.717.000</t>
  </si>
  <si>
    <t>150:000.001.005.718.000</t>
  </si>
  <si>
    <t>123231</t>
  </si>
  <si>
    <t>150:000.001.005.719.000</t>
  </si>
  <si>
    <t>150:000.001.005.720.000</t>
  </si>
  <si>
    <t>150:000.001.005.721.000</t>
  </si>
  <si>
    <t>150:000.001.005.722.000</t>
  </si>
  <si>
    <t>150:000.001.005.723.000</t>
  </si>
  <si>
    <t>150:000.001.005.724.000</t>
  </si>
  <si>
    <t>150:000.001.005.725.000</t>
  </si>
  <si>
    <t>150:000.001.005.726.000</t>
  </si>
  <si>
    <t>150:000.001.006.727.000</t>
  </si>
  <si>
    <t>150:000.001.006.728.000</t>
  </si>
  <si>
    <t>150:000.001.006.729.000</t>
  </si>
  <si>
    <t>150:000.001.006.730.000</t>
  </si>
  <si>
    <t>150:000.001.006.731.000</t>
  </si>
  <si>
    <t>150:000.001.006.732.000</t>
  </si>
  <si>
    <t>150:000.001.006.733.000</t>
  </si>
  <si>
    <t>150:000.001.006.734.000</t>
  </si>
  <si>
    <t>150:000.001.006.735.000</t>
  </si>
  <si>
    <t>150:000.001.006.736.000</t>
  </si>
  <si>
    <t>150:000.001.006.737.000</t>
  </si>
  <si>
    <t>150:000.001.006.738.000</t>
  </si>
  <si>
    <t>150:000.001.006.739.000</t>
  </si>
  <si>
    <t>150:000.001.006.740.000</t>
  </si>
  <si>
    <t>150:000.001.006.741.000</t>
  </si>
  <si>
    <t>150:000.001.006.742.000</t>
  </si>
  <si>
    <t>150:000.001.006.743.000</t>
  </si>
  <si>
    <t>150:000.001.006.744.000</t>
  </si>
  <si>
    <t>150:000.001.006.745.000</t>
  </si>
  <si>
    <t>150:000.001.006.746.000</t>
  </si>
  <si>
    <t>150:000.001.006.747.000</t>
  </si>
  <si>
    <t>150:000.001.006.748.000</t>
  </si>
  <si>
    <t>150:000.001.006.749.000</t>
  </si>
  <si>
    <t>150:000.001.006.750.000</t>
  </si>
  <si>
    <t>150:000.001.006.751.000</t>
  </si>
  <si>
    <t>150:000.001.006.752.000</t>
  </si>
  <si>
    <t>150:000.001.006.753.000</t>
  </si>
  <si>
    <t>150:000.001.006.754.000</t>
  </si>
  <si>
    <t>150:000.001.006.755.000</t>
  </si>
  <si>
    <t>150:000.001.006.756.000</t>
  </si>
  <si>
    <t>150:000.001.007.757.000</t>
  </si>
  <si>
    <t>150:000.001.007.758.000</t>
  </si>
  <si>
    <t>134137</t>
  </si>
  <si>
    <t>150:000.001.007.759.000</t>
  </si>
  <si>
    <t>150:000.001.007.760.000</t>
  </si>
  <si>
    <t>150:000.001.007.761.000</t>
  </si>
  <si>
    <t>150:000.001.007.762.000</t>
  </si>
  <si>
    <t>150:000.001.007.763.000</t>
  </si>
  <si>
    <t>150:000.001.007.764.000</t>
  </si>
  <si>
    <t>150:000.001.007.765.000</t>
  </si>
  <si>
    <t>150:000.001.008.766.000</t>
  </si>
  <si>
    <t>150:000.001.008.767.000</t>
  </si>
  <si>
    <t>150:000.001.008.768.000</t>
  </si>
  <si>
    <t>150:000.001.008.769.000</t>
  </si>
  <si>
    <t>150:000.001.008.770.000</t>
  </si>
  <si>
    <t>150:000.001.008.771.000</t>
  </si>
  <si>
    <t>150:000.001.008.772.000</t>
  </si>
  <si>
    <t>150:000.001.008.773.000</t>
  </si>
  <si>
    <t>150:000.001.008.774.000</t>
  </si>
  <si>
    <t>150:000.001.008.775.000</t>
  </si>
  <si>
    <t>150:000.001.008.776.000</t>
  </si>
  <si>
    <t>150:000.001.008.777.000</t>
  </si>
  <si>
    <t>150:000.001.008.778.000</t>
  </si>
  <si>
    <t>150:000.001.008.779.000</t>
  </si>
  <si>
    <t>150:000.001.008.780.000</t>
  </si>
  <si>
    <t>150:000.001.008.781.000</t>
  </si>
  <si>
    <t>150:000.001.008.782.000</t>
  </si>
  <si>
    <t>150:000.001.008.783.000</t>
  </si>
  <si>
    <t>150:000.001.008.784.000</t>
  </si>
  <si>
    <t>150:000.001.008.785.000</t>
  </si>
  <si>
    <t>150:000.001.008.786.000</t>
  </si>
  <si>
    <t>100694</t>
  </si>
  <si>
    <t>150:000.001.009.787.000</t>
  </si>
  <si>
    <t>150:000.001.009.788.000</t>
  </si>
  <si>
    <t>150:000.001.009.789.000</t>
  </si>
  <si>
    <t>150:000.001.009.790.000</t>
  </si>
  <si>
    <t>150:000.001.010.791.000</t>
  </si>
  <si>
    <t>150:000.001.010.792.000</t>
  </si>
  <si>
    <t>150:000.001.010.793.000</t>
  </si>
  <si>
    <t>150:000.001.010.794.000</t>
  </si>
  <si>
    <t>150:000.001.010.795.000</t>
  </si>
  <si>
    <t>150:000.001.010.796.000</t>
  </si>
  <si>
    <t>150:000.001.010.797.000</t>
  </si>
  <si>
    <t>150:000.001.010.799.000</t>
  </si>
  <si>
    <t>150:000.001.010.800.000</t>
  </si>
  <si>
    <t>150:000.001.010.801.000</t>
  </si>
  <si>
    <t>150:000.001.010.802.000</t>
  </si>
  <si>
    <t>150:000.001.010.803.000</t>
  </si>
  <si>
    <t>150:000.001.010.804.000</t>
  </si>
  <si>
    <t>150:000.001.010.805.000</t>
  </si>
  <si>
    <t>150:000.001.010.806.000</t>
  </si>
  <si>
    <t>150:000.001.010.807.000</t>
  </si>
  <si>
    <t>150:000.001.010.808.000</t>
  </si>
  <si>
    <t>150:000.001.010.809.000</t>
  </si>
  <si>
    <t>150:000.001.010.810.000</t>
  </si>
  <si>
    <t>150:000.001.010.811.000</t>
  </si>
  <si>
    <t>150:000.001.010.812.000</t>
  </si>
  <si>
    <t>150:000.001.011.813.000</t>
  </si>
  <si>
    <t>150:000.001.011.814.000</t>
  </si>
  <si>
    <t>150:000.001.011.815.000</t>
  </si>
  <si>
    <t>150:000.001.011.816.000</t>
  </si>
  <si>
    <t>150:000.001.011.817.000</t>
  </si>
  <si>
    <t>150:000.001.011.818.000</t>
  </si>
  <si>
    <t>150:000.001.011.819.000</t>
  </si>
  <si>
    <t>150:000.001.011.820.000</t>
  </si>
  <si>
    <t>150:000.001.011.821.000</t>
  </si>
  <si>
    <t>150:000.001.011.822.000</t>
  </si>
  <si>
    <t>150:000.001.011.823.000</t>
  </si>
  <si>
    <t>150:000.001.011.824.000</t>
  </si>
  <si>
    <t>150:000.001.011.825.000</t>
  </si>
  <si>
    <t>150:000.001.011.826.000</t>
  </si>
  <si>
    <t>150:000.001.011.827.000</t>
  </si>
  <si>
    <t>150:000.001.011.828.000</t>
  </si>
  <si>
    <t>150:000.001.011.829.000</t>
  </si>
  <si>
    <t>150:000.001.011.830.000</t>
  </si>
  <si>
    <t>150:000.001.011.831.000</t>
  </si>
  <si>
    <t>150:000.001.011.832.000</t>
  </si>
  <si>
    <t>150:000.001.011.833.000</t>
  </si>
  <si>
    <t>150:000.001.011.834.000</t>
  </si>
  <si>
    <t>150:000.001.011.835.000</t>
  </si>
  <si>
    <t>150:000.001.012.836.000</t>
  </si>
  <si>
    <t>150:000.001.012.837.000</t>
  </si>
  <si>
    <t>150:000.001.012.838.000</t>
  </si>
  <si>
    <t>150:000.001.012.839.000</t>
  </si>
  <si>
    <t>150:000.001.012.840.000</t>
  </si>
  <si>
    <t>150:000.001.012.841.000</t>
  </si>
  <si>
    <t>150:000.001.013.842.000</t>
  </si>
  <si>
    <t>150:000.001.013.843.000</t>
  </si>
  <si>
    <t>150:000.001.013.844.000</t>
  </si>
  <si>
    <t>150:000.001.013.845.000</t>
  </si>
  <si>
    <t>150:000.001.013.846.000</t>
  </si>
  <si>
    <t>150:000.001.013.847.000</t>
  </si>
  <si>
    <t>150:000.001.013.848.000</t>
  </si>
  <si>
    <t>150:000.001.013.849.000</t>
  </si>
  <si>
    <t>150:000.001.013.850.000</t>
  </si>
  <si>
    <t>150:000.001.014.851.000</t>
  </si>
  <si>
    <t>150:000.001.014.852.000</t>
  </si>
  <si>
    <t>150:000.001.014.853.000</t>
  </si>
  <si>
    <t>150:000.001.014.854.000</t>
  </si>
  <si>
    <t>150:000.001.014.855.000</t>
  </si>
  <si>
    <t>150:000.001.015.856.000</t>
  </si>
  <si>
    <t>150:000.001.015.857.000</t>
  </si>
  <si>
    <t>150:000.001.015.858.000</t>
  </si>
  <si>
    <t>150:000.001.015.859.000</t>
  </si>
  <si>
    <t>150:000.001.015.860.000</t>
  </si>
  <si>
    <t>150:000.001.015.861.000</t>
  </si>
  <si>
    <t>150:000.001.015.862.000</t>
  </si>
  <si>
    <t>150:000.001.015.863.000</t>
  </si>
  <si>
    <t>150:000.001.015.864.000</t>
  </si>
  <si>
    <t>150:000.001.015.865.000</t>
  </si>
  <si>
    <t>150:000.001.015.868.000</t>
  </si>
  <si>
    <t>150:000.001.016.869.000</t>
  </si>
  <si>
    <t>150:000.001.016.870.000</t>
  </si>
  <si>
    <t>150:000.001.016.871.000</t>
  </si>
  <si>
    <t>150:000.001.016.872.000</t>
  </si>
  <si>
    <t>150:000.001.016.873.000</t>
  </si>
  <si>
    <t>150:000.001.016.874.000</t>
  </si>
  <si>
    <t>150:000.001.016.875.000</t>
  </si>
  <si>
    <t>150:000.001.016.876.000</t>
  </si>
  <si>
    <t>150:000.001.016.877.000</t>
  </si>
  <si>
    <t>104295</t>
  </si>
  <si>
    <t>150:000.001.016.878.000</t>
  </si>
  <si>
    <t>150:000.001.016.879.000</t>
  </si>
  <si>
    <t>150:000.001.016.880.000</t>
  </si>
  <si>
    <t>150:000.001.016.881.000</t>
  </si>
  <si>
    <t>150:000.001.016.882.000</t>
  </si>
  <si>
    <t>150:000.001.016.883.000</t>
  </si>
  <si>
    <t>150:000.001.016.884.000</t>
  </si>
  <si>
    <t>150:000.001.016.885.000</t>
  </si>
  <si>
    <t>116239</t>
  </si>
  <si>
    <t>150:000.001.016.886.000</t>
  </si>
  <si>
    <t>150:000.001.016.887.000</t>
  </si>
  <si>
    <t>150:000.001.016.888.000</t>
  </si>
  <si>
    <t>150:000.001.016.889.000</t>
  </si>
  <si>
    <t>150:000.001.016.890.000</t>
  </si>
  <si>
    <t>150:000.001.016.891.000</t>
  </si>
  <si>
    <t>150:000.001.016.892.000</t>
  </si>
  <si>
    <t>150:000.001.016.893.000</t>
  </si>
  <si>
    <t>150:000.001.016.894.000</t>
  </si>
  <si>
    <t>150:000.001.016.895.000</t>
  </si>
  <si>
    <t>150:000.001.016.896.000</t>
  </si>
  <si>
    <t>150:000.001.016.897.000</t>
  </si>
  <si>
    <t>150:000.001.016.898.000</t>
  </si>
  <si>
    <t>150:000.001.016.899.000</t>
  </si>
  <si>
    <t>150:000.001.016.900.000</t>
  </si>
  <si>
    <t>150:000.001.016.901.000</t>
  </si>
  <si>
    <t>150:000.001.016.903.000</t>
  </si>
  <si>
    <t>150:000.001.016.904.000</t>
  </si>
  <si>
    <t>141522</t>
  </si>
  <si>
    <t>150:000.001.016.905.000</t>
  </si>
  <si>
    <t>150:000.001.016.906.000</t>
  </si>
  <si>
    <t>125852</t>
  </si>
  <si>
    <t>150:000.001.016.907.000</t>
  </si>
  <si>
    <t>150:000.001.016.908.000</t>
  </si>
  <si>
    <t>21020.00.402.010</t>
  </si>
  <si>
    <t>150:000.001.016.909.000</t>
  </si>
  <si>
    <t>21020.00.402.011</t>
  </si>
  <si>
    <t>150:000.001.016.910.000</t>
  </si>
  <si>
    <t>104241</t>
  </si>
  <si>
    <t>150:000.001.016.911.000</t>
  </si>
  <si>
    <t>150:000.001.016.912.000</t>
  </si>
  <si>
    <t>104244</t>
  </si>
  <si>
    <t>150:000.001.016.913.000</t>
  </si>
  <si>
    <t>150:000.001.016.914.000</t>
  </si>
  <si>
    <t>150:000.001.016.915.000</t>
  </si>
  <si>
    <t>150:000.001.016.916.000</t>
  </si>
  <si>
    <t>150:000.001.016.917.000</t>
  </si>
  <si>
    <t>150:000.001.016.918.000</t>
  </si>
  <si>
    <t>150:000.001.016.919.000</t>
  </si>
  <si>
    <t>150:000.001.016.920.000</t>
  </si>
  <si>
    <t>102800</t>
  </si>
  <si>
    <t>150:000.001.016.921.000</t>
  </si>
  <si>
    <t>150:000.001.016.922.000</t>
  </si>
  <si>
    <t>150:000.001.016.923.000</t>
  </si>
  <si>
    <t>150:000.001.016.924.000</t>
  </si>
  <si>
    <t>150:000.001.016.925.000</t>
  </si>
  <si>
    <t>150:000.001.016.926.000</t>
  </si>
  <si>
    <t>150:000.001.016.927.000</t>
  </si>
  <si>
    <t>150:000.001.016.929.000</t>
  </si>
  <si>
    <t>104190</t>
  </si>
  <si>
    <t>150:000.001.016.930.000</t>
  </si>
  <si>
    <t>150:000.001.016.932.000</t>
  </si>
  <si>
    <t>150:000.001.016.933.000</t>
  </si>
  <si>
    <t>150:000.001.016.934.000</t>
  </si>
  <si>
    <t>150:000.001.016.935.000</t>
  </si>
  <si>
    <t>150:000.001.016.936.000</t>
  </si>
  <si>
    <t>150:000.001.016.937.000</t>
  </si>
  <si>
    <t>150:000.001.016.938.000</t>
  </si>
  <si>
    <t>150:000.001.016.939.000</t>
  </si>
  <si>
    <t>150:000.001.016.940.000</t>
  </si>
  <si>
    <t>150:000.001.016.941.000</t>
  </si>
  <si>
    <t>150:000.001.016.942.000</t>
  </si>
  <si>
    <t>150:000.001.016.943.000</t>
  </si>
  <si>
    <t>150:000.001.016.944.000</t>
  </si>
  <si>
    <t>104280</t>
  </si>
  <si>
    <t>150:000.001.016.945.000</t>
  </si>
  <si>
    <t>150:000.001.016.946.000</t>
  </si>
  <si>
    <t>150:000.001.016.947.000</t>
  </si>
  <si>
    <t>150:000.001.016.948.000</t>
  </si>
  <si>
    <t>102801</t>
  </si>
  <si>
    <t>150:000.001.016.950.000</t>
  </si>
  <si>
    <t>150:000.001.016.951.000</t>
  </si>
  <si>
    <t>150:000.001.016.952.000</t>
  </si>
  <si>
    <t>105433</t>
  </si>
  <si>
    <t>150:000.001.016.953.000</t>
  </si>
  <si>
    <t>150:000.001.016.954.000</t>
  </si>
  <si>
    <t>150:000.001.016.955.000</t>
  </si>
  <si>
    <t>150:000.001.016.956.000</t>
  </si>
  <si>
    <t>150:000.001.016.957.000</t>
  </si>
  <si>
    <t>150:000.001.016.958.000</t>
  </si>
  <si>
    <t>104006</t>
  </si>
  <si>
    <t>150:000.001.016.959.000</t>
  </si>
  <si>
    <t>150:000.001.016.961.000</t>
  </si>
  <si>
    <t>150:000.001.016.962.000</t>
  </si>
  <si>
    <t>150:000.001.016.963.000</t>
  </si>
  <si>
    <t>150:000.001.016.964.000</t>
  </si>
  <si>
    <t>104397</t>
  </si>
  <si>
    <t>150:000.001.016.966.000</t>
  </si>
  <si>
    <t>104240</t>
  </si>
  <si>
    <t>150:000.001.016.967.000</t>
  </si>
  <si>
    <t>150:000.001.016.968.000</t>
  </si>
  <si>
    <t>150:000.001.016.969.000</t>
  </si>
  <si>
    <t>150:000.001.016.970.000</t>
  </si>
  <si>
    <t>150:000.001.016.971.000</t>
  </si>
  <si>
    <t>123230</t>
  </si>
  <si>
    <t>150:000.001.016.972.000</t>
  </si>
  <si>
    <t>150:000.001.016.973.000</t>
  </si>
  <si>
    <t>150:000.001.016.974.000</t>
  </si>
  <si>
    <t>150:000.001.016.976.000</t>
  </si>
  <si>
    <t>150:000.001.016.977.000</t>
  </si>
  <si>
    <t>104020</t>
  </si>
  <si>
    <t>150:000.001.016.978.000</t>
  </si>
  <si>
    <t>150:000.001.016.979.000</t>
  </si>
  <si>
    <t>150:000.001.016.980.000</t>
  </si>
  <si>
    <t>150:000.001.016.981.000</t>
  </si>
  <si>
    <t>150:000.001.016.985.000</t>
  </si>
  <si>
    <t>103151</t>
  </si>
  <si>
    <t>150:000.001.016.986.000</t>
  </si>
  <si>
    <t>150:000.001.016.987.000</t>
  </si>
  <si>
    <t>150:000.001.016.988.000</t>
  </si>
  <si>
    <t>150:000.001.016.989.000</t>
  </si>
  <si>
    <t>117351</t>
  </si>
  <si>
    <t>150:000.001.016.990.000</t>
  </si>
  <si>
    <t>104005</t>
  </si>
  <si>
    <t>150:000.001.017.1000.000</t>
  </si>
  <si>
    <t>150:000.001.017.1001.000</t>
  </si>
  <si>
    <t>137451</t>
  </si>
  <si>
    <t>150:000.001.017.1002.000</t>
  </si>
  <si>
    <t>150:000.001.017.1003.000</t>
  </si>
  <si>
    <t>150:000.001.017.1004.000</t>
  </si>
  <si>
    <t>150:000.001.017.1005.000</t>
  </si>
  <si>
    <t>150:000.001.017.1006.000</t>
  </si>
  <si>
    <t>150:000.001.017.1007.000</t>
  </si>
  <si>
    <t>150:000.001.017.1008.000</t>
  </si>
  <si>
    <t>150:000.001.017.1009.000</t>
  </si>
  <si>
    <t>150:000.001.017.1010.000</t>
  </si>
  <si>
    <t>150:000.001.017.1011.000</t>
  </si>
  <si>
    <t>150:000.001.017.1012.000</t>
  </si>
  <si>
    <t>150:000.001.017.1013.000</t>
  </si>
  <si>
    <t>150:000.001.017.991.000</t>
  </si>
  <si>
    <t>150:000.001.017.992.000</t>
  </si>
  <si>
    <t>150:000.001.017.993.000</t>
  </si>
  <si>
    <t>150:000.001.017.995.000</t>
  </si>
  <si>
    <t>150:000.001.017.996.000</t>
  </si>
  <si>
    <t>150:000.001.017.997.000</t>
  </si>
  <si>
    <t>150:000.001.017.998.000</t>
  </si>
  <si>
    <t>150:000.001.017.999.000</t>
  </si>
  <si>
    <t>150:000.001.018.1014.000</t>
  </si>
  <si>
    <t>150:000.001.018.1015.000</t>
  </si>
  <si>
    <t>150:000.001.018.1016.000</t>
  </si>
  <si>
    <t>150:000.001.018.1017.000</t>
  </si>
  <si>
    <t>150:000.001.018.1018.000</t>
  </si>
  <si>
    <t>150:000.001.018.1019.000</t>
  </si>
  <si>
    <t>150:000.001.018.1020.000</t>
  </si>
  <si>
    <t>150:000.001.018.1021.000</t>
  </si>
  <si>
    <t>150:000.001.018.1022.000</t>
  </si>
  <si>
    <t>150:000.001.018.1023.000</t>
  </si>
  <si>
    <t>150:000.001.018.1024.000</t>
  </si>
  <si>
    <t>150:000.001.018.1025.000</t>
  </si>
  <si>
    <t>150:000.001.018.1026.000</t>
  </si>
  <si>
    <t>150:000.001.018.1027.000</t>
  </si>
  <si>
    <t>150:000.001.018.1028.000</t>
  </si>
  <si>
    <t>150:000.001.018.1029.000</t>
  </si>
  <si>
    <t>150:000.001.018.1030.000</t>
  </si>
  <si>
    <t>150:000.001.018.1031.000</t>
  </si>
  <si>
    <t>150:000.001.018.1032.000</t>
  </si>
  <si>
    <t>150:000.001.018.1033.000</t>
  </si>
  <si>
    <t>150:000.001.019.1034.000</t>
  </si>
  <si>
    <t>150:000.001.019.1035.000</t>
  </si>
  <si>
    <t>150:000.001.019.1036.000</t>
  </si>
  <si>
    <t>150:000.001.019.1037.000</t>
  </si>
  <si>
    <t>150:000.001.019.1038.000</t>
  </si>
  <si>
    <t>150:000.001.020.1039.000</t>
  </si>
  <si>
    <t>150:000.001.021.1040.000</t>
  </si>
  <si>
    <t>150:000.001.021.1041.000</t>
  </si>
  <si>
    <t>150:000.001.021.1042.000</t>
  </si>
  <si>
    <t>150:000.001.021.1043.000</t>
  </si>
  <si>
    <t>150:000.001.021.1044.000</t>
  </si>
  <si>
    <t>150:000.001.021.1045.000</t>
  </si>
  <si>
    <t>150:000.001.021.1046.000</t>
  </si>
  <si>
    <t>150:000.001.021.1047.000</t>
  </si>
  <si>
    <t>150:000.001.021.1048.000</t>
  </si>
  <si>
    <t>150:000.001.021.1049.000</t>
  </si>
  <si>
    <t>150:000.001.022.1050.000</t>
  </si>
  <si>
    <t>150:000.001.022.1051.000</t>
  </si>
  <si>
    <t>116171</t>
  </si>
  <si>
    <t>150:000.001.022.1052.000</t>
  </si>
  <si>
    <t>150:000.001.022.1053.000</t>
  </si>
  <si>
    <t>150:000.001.022.1054.000</t>
  </si>
  <si>
    <t>150:000.001.022.1055.000</t>
  </si>
  <si>
    <t>150:000.001.022.1056.000</t>
  </si>
  <si>
    <t>117748</t>
  </si>
  <si>
    <t>150:000.001.023.1057.000</t>
  </si>
  <si>
    <t>150:000.001.023.1058.000</t>
  </si>
  <si>
    <t>150:000.001.023.1059.000</t>
  </si>
  <si>
    <t>150:000.001.023.1060.000</t>
  </si>
  <si>
    <t>150:000.001.023.1061.000</t>
  </si>
  <si>
    <t>150:000.001.023.1062.000</t>
  </si>
  <si>
    <t>150:000.001.023.1063.000</t>
  </si>
  <si>
    <t>150:000.001.023.1064.000</t>
  </si>
  <si>
    <t>150:000.001.023.1065.000</t>
  </si>
  <si>
    <t>150:000.001.023.1066.000</t>
  </si>
  <si>
    <t>150:000.001.024.1067.000</t>
  </si>
  <si>
    <t>150:000.001.024.1068.000</t>
  </si>
  <si>
    <t>150:000.001.024.1069.000</t>
  </si>
  <si>
    <t>114539</t>
  </si>
  <si>
    <t>116434</t>
  </si>
  <si>
    <t>150:000.001.024.1071.000</t>
  </si>
  <si>
    <t>150:000.001.024.1072.000</t>
  </si>
  <si>
    <t>150:000.001.024.1073.000</t>
  </si>
  <si>
    <t>150:000.001.024.1074.000</t>
  </si>
  <si>
    <t>150:000.001.024.1075.000</t>
  </si>
  <si>
    <t>150:000.001.024.1076.000</t>
  </si>
  <si>
    <t>150:000.001.024.1077.000</t>
  </si>
  <si>
    <t>150:000.001.024.1078.000</t>
  </si>
  <si>
    <t>150:000.001.024.1079.000</t>
  </si>
  <si>
    <t>150:000.001.024.1080.000</t>
  </si>
  <si>
    <t>150:000.001.024.1081.000</t>
  </si>
  <si>
    <t>150:000.001.025.1082.000</t>
  </si>
  <si>
    <t>150:000.001.025.1083.000</t>
  </si>
  <si>
    <t>150:000.001.025.1084.000</t>
  </si>
  <si>
    <t>150:000.001.025.1085.000</t>
  </si>
  <si>
    <t>150:000.001.025.1086.000</t>
  </si>
  <si>
    <t>150:000.001.025.1087.000</t>
  </si>
  <si>
    <t>150:000.001.025.1088.000</t>
  </si>
  <si>
    <t>150:000.001.025.1089.000</t>
  </si>
  <si>
    <t>150:000.001.025.1090.000</t>
  </si>
  <si>
    <t>150:000.001.025.1091.000</t>
  </si>
  <si>
    <t>150:000.001.025.1092.000</t>
  </si>
  <si>
    <t>150:000.001.025.1093.000</t>
  </si>
  <si>
    <t>150:000.001.025.1094.000</t>
  </si>
  <si>
    <t>150:000.001.026.1095.000</t>
  </si>
  <si>
    <t>150:000.001.026.1096.000</t>
  </si>
  <si>
    <t>150:000.001.026.1097.000</t>
  </si>
  <si>
    <t>150:000.001.026.1098.000</t>
  </si>
  <si>
    <t>150:000.001.026.1099.000</t>
  </si>
  <si>
    <t>150:000.001.026.1100.000</t>
  </si>
  <si>
    <t>150:000.001.026.1101.000</t>
  </si>
  <si>
    <t>150:000.001.026.1102.000</t>
  </si>
  <si>
    <t>150:000.001.026.1103.000</t>
  </si>
  <si>
    <t>150:000.001.026.1104.000</t>
  </si>
  <si>
    <t>150:000.001.026.1105.000</t>
  </si>
  <si>
    <t>150:000.001.026.1106.000</t>
  </si>
  <si>
    <t>150:000.001.026.1107.000</t>
  </si>
  <si>
    <t>150:000.001.026.1108.000</t>
  </si>
  <si>
    <t>150:000.001.026.1109.000</t>
  </si>
  <si>
    <t>150:000.001.027.1110.000</t>
  </si>
  <si>
    <t>150:000.001.027.1111.000</t>
  </si>
  <si>
    <t>150:000.001.028.1112.000</t>
  </si>
  <si>
    <t>150:000.001.028.1113.000</t>
  </si>
  <si>
    <t>150:000.001.028.1114.000</t>
  </si>
  <si>
    <t>150:000.001.028.1115.000</t>
  </si>
  <si>
    <t>150:000.001.028.1116.000</t>
  </si>
  <si>
    <t>150:000.001.028.1117.000</t>
  </si>
  <si>
    <t>150:000.001.028.1118.000</t>
  </si>
  <si>
    <t>150:000.001.028.1119.000</t>
  </si>
  <si>
    <t>150:000.001.028.1120.000</t>
  </si>
  <si>
    <t>150:000.001.028.1121.000</t>
  </si>
  <si>
    <t>150:000.001.028.1122.000</t>
  </si>
  <si>
    <t>150:000.001.028.1123.000</t>
  </si>
  <si>
    <t>150:000.001.028.1124.000</t>
  </si>
  <si>
    <t>150:000.001.028.1125.000</t>
  </si>
  <si>
    <t>150:000.001.028.1126.000</t>
  </si>
  <si>
    <t>150:000.001.028.1127.000</t>
  </si>
  <si>
    <t>150:000.001.028.1128.000</t>
  </si>
  <si>
    <t>150:000.001.028.1129.000</t>
  </si>
  <si>
    <t>150:000.001.028.1130.000</t>
  </si>
  <si>
    <t>150:000.001.028.1131.000</t>
  </si>
  <si>
    <t>150:000.001.028.1132.000</t>
  </si>
  <si>
    <t>150:000.001.028.1133.000</t>
  </si>
  <si>
    <t>150:000.001.028.1134.000</t>
  </si>
  <si>
    <t>150:000.001.028.1135.000</t>
  </si>
  <si>
    <t>150:000.001.028.1136.000</t>
  </si>
  <si>
    <t>150:000.001.028.1137.000</t>
  </si>
  <si>
    <t>150:000.001.028.1138.000</t>
  </si>
  <si>
    <t>150:000.001.028.1139.000</t>
  </si>
  <si>
    <t>150:000.001.028.1140.000</t>
  </si>
  <si>
    <t>150:000.001.028.1141.000</t>
  </si>
  <si>
    <t>150:000.001.028.1142.000</t>
  </si>
  <si>
    <t>150:000.001.028.1143.000</t>
  </si>
  <si>
    <t>150:000.001.028.1144.000</t>
  </si>
  <si>
    <t>150:000.001.028.1145.000</t>
  </si>
  <si>
    <t>150:000.001.028.1146.000</t>
  </si>
  <si>
    <t>150:000.001.028.1147.000</t>
  </si>
  <si>
    <t>150:000.001.028.1148.000</t>
  </si>
  <si>
    <t>150:000.001.028.1149.000</t>
  </si>
  <si>
    <t>150:000.001.028.1150.000</t>
  </si>
  <si>
    <t>150:000.001.028.1151.000</t>
  </si>
  <si>
    <t>150:000.001.028.1152.000</t>
  </si>
  <si>
    <t>150:000.001.028.1153.000</t>
  </si>
  <si>
    <t>150:000.001.028.1154.000</t>
  </si>
  <si>
    <t>150:000.001.028.1155.000</t>
  </si>
  <si>
    <t>150:000.001.028.1156.000</t>
  </si>
  <si>
    <t>150:000.001.028.1157.000</t>
  </si>
  <si>
    <t>150:000.001.028.1158.000</t>
  </si>
  <si>
    <t>150:000.001.029.1163.000</t>
  </si>
  <si>
    <t>150:000.001.030.1164.000</t>
  </si>
  <si>
    <t>150:000.001.030.1165.000</t>
  </si>
  <si>
    <t>150:000.001.030.1166.000</t>
  </si>
  <si>
    <t>150:000.001.030.1167.000</t>
  </si>
  <si>
    <t>150:000.001.030.1168.000</t>
  </si>
  <si>
    <t>150:000.001.030.1169.000</t>
  </si>
  <si>
    <t>150:000.001.030.1170.000</t>
  </si>
  <si>
    <t>150:000.001.030.1171.000</t>
  </si>
  <si>
    <t>150:000.001.030.1172.000</t>
  </si>
  <si>
    <t>150:000.001.030.1173.000</t>
  </si>
  <si>
    <t>150:000.001.030.1174.000</t>
  </si>
  <si>
    <t>104147</t>
  </si>
  <si>
    <t>150:000.001.030.1175.000</t>
  </si>
  <si>
    <t>123232</t>
  </si>
  <si>
    <t>150:000.001.030.1176.000</t>
  </si>
  <si>
    <t>150:000.001.031.1177.000</t>
  </si>
  <si>
    <t>150:000.001.031.1178.000</t>
  </si>
  <si>
    <t>150:000.001.031.1179.000</t>
  </si>
  <si>
    <t>150:000.001.031.1180.000</t>
  </si>
  <si>
    <t>150:000.001.031.1181.000</t>
  </si>
  <si>
    <t>150:000.001.031.1182.000</t>
  </si>
  <si>
    <t>150:000.001.031.1183.000</t>
  </si>
  <si>
    <t>150:000.001.031.1184.000</t>
  </si>
  <si>
    <t>150:000.001.031.1185.000</t>
  </si>
  <si>
    <t>150:000.001.031.1186.000</t>
  </si>
  <si>
    <t>150:000.001.031.1187.000</t>
  </si>
  <si>
    <t>150:000.001.031.1188.000</t>
  </si>
  <si>
    <t>150:000.001.032.1189.000</t>
  </si>
  <si>
    <t>150:000.001.032.1190.000</t>
  </si>
  <si>
    <t>150:000.001.032.1191.000</t>
  </si>
  <si>
    <t>150:000.001.032.1192.000</t>
  </si>
  <si>
    <t>150:000.001.032.1193.000</t>
  </si>
  <si>
    <t>150:000.001.032.1194.000</t>
  </si>
  <si>
    <t>150:000.001.032.1195.000</t>
  </si>
  <si>
    <t>150:000.001.032.1196.000</t>
  </si>
  <si>
    <t>150:000.001.032.1197.000</t>
  </si>
  <si>
    <t>150:000.001.032.1198.000</t>
  </si>
  <si>
    <t>150:000.001.032.1199.000</t>
  </si>
  <si>
    <t>150:000.001.033.1200.000</t>
  </si>
  <si>
    <t>150:000.001.033.1201.000</t>
  </si>
  <si>
    <t>150:000.001.033.1202.000</t>
  </si>
  <si>
    <t>150:000.001.033.1203.000</t>
  </si>
  <si>
    <t>150:000.001.033.1204.000</t>
  </si>
  <si>
    <t>150:000.001.033.1205.000</t>
  </si>
  <si>
    <t>150:000.001.034.1206.000</t>
  </si>
  <si>
    <t>150:000.001.034.1207.000</t>
  </si>
  <si>
    <t>150:000.001.034.1208.000</t>
  </si>
  <si>
    <t>150:000.001.034.1209.000</t>
  </si>
  <si>
    <t>150:000.001.034.1210.000</t>
  </si>
  <si>
    <t>150:000.001.035.1211.000</t>
  </si>
  <si>
    <t>150:000.001.035.1212.000</t>
  </si>
  <si>
    <t>150:000.001.035.1213.000</t>
  </si>
  <si>
    <t>100780</t>
  </si>
  <si>
    <t>150:000.001.035.1214.000</t>
  </si>
  <si>
    <t>100786</t>
  </si>
  <si>
    <t>150:000.001.035.1215.000</t>
  </si>
  <si>
    <t>100787</t>
  </si>
  <si>
    <t>150:000.001.036.1216.000</t>
  </si>
  <si>
    <t>150:000.001.036.1217.000</t>
  </si>
  <si>
    <t>150:000.001.037.1218.000</t>
  </si>
  <si>
    <t>150:000.001.037.1219.000</t>
  </si>
  <si>
    <t>150:000.001.037.1220.000</t>
  </si>
  <si>
    <t>150:000.001.037.1221.000</t>
  </si>
  <si>
    <t>150:000.001.037.1222.000</t>
  </si>
  <si>
    <t>150:000.001.037.1223.000</t>
  </si>
  <si>
    <t>150:000.001.037.1224.000</t>
  </si>
  <si>
    <t>150:000.001.037.1225.000</t>
  </si>
  <si>
    <t>150:000.001.037.1226.000</t>
  </si>
  <si>
    <t>150:000.001.037.1227.000</t>
  </si>
  <si>
    <t>150:000.001.037.1228.000</t>
  </si>
  <si>
    <t>150:000.001.037.1229.000</t>
  </si>
  <si>
    <t>150:000.001.037.1230.000</t>
  </si>
  <si>
    <t>150:000.001.037.1231.000</t>
  </si>
  <si>
    <t>150:000.001.037.1232.000</t>
  </si>
  <si>
    <t>150:000.001.037.1233.000</t>
  </si>
  <si>
    <t>150:000.001.037.1234.000</t>
  </si>
  <si>
    <t>150:000.001.037.1235.000</t>
  </si>
  <si>
    <t>150:000.001.037.1236.000</t>
  </si>
  <si>
    <t>150:000.001.037.1237.000</t>
  </si>
  <si>
    <t>150:000.001.037.1238.000</t>
  </si>
  <si>
    <t>150:000.001.037.1239.000</t>
  </si>
  <si>
    <t>150:000.001.037.1240.000</t>
  </si>
  <si>
    <t>150:000.001.037.1241.000</t>
  </si>
  <si>
    <t>150:000.001.037.1242.000</t>
  </si>
  <si>
    <t>150:000.001.037.1243.000</t>
  </si>
  <si>
    <t>150:000.001.037.1244.000</t>
  </si>
  <si>
    <t>150:000.001.037.1245.000</t>
  </si>
  <si>
    <t>150:000.001.038.1246.000</t>
  </si>
  <si>
    <t>150:000.001.038.1247.000</t>
  </si>
  <si>
    <t>150:000.001.038.1248.000</t>
  </si>
  <si>
    <t>150:000.001.038.1249.000</t>
  </si>
  <si>
    <t>150:000.001.038.1250.000</t>
  </si>
  <si>
    <t>150:000.001.039.000.000</t>
  </si>
  <si>
    <t>104848</t>
  </si>
  <si>
    <t>150:000.001.040.000.000</t>
  </si>
  <si>
    <t>150:000.001.041.000.000</t>
  </si>
  <si>
    <t>150:000.001.043.1251.000</t>
  </si>
  <si>
    <t>150:000.001.043.1252.000</t>
  </si>
  <si>
    <t>150:000.001.043.1253.000</t>
  </si>
  <si>
    <t>150:000.001.043.1254.000</t>
  </si>
  <si>
    <t>150:000.001.043.1255.000</t>
  </si>
  <si>
    <t>150:000.001.043.1256.000</t>
  </si>
  <si>
    <t>150:000.001.043.1257.000</t>
  </si>
  <si>
    <t>150:000.001.043.1258.000</t>
  </si>
  <si>
    <t>150:000.001.043.1259.000</t>
  </si>
  <si>
    <t>150:000.001.043.1260.000</t>
  </si>
  <si>
    <t>150:000.001.043.1261.000</t>
  </si>
  <si>
    <t>150:000.001.043.1262.000</t>
  </si>
  <si>
    <t>150:000.001.043.1263.000</t>
  </si>
  <si>
    <t>150:000.001.043.1264.000</t>
  </si>
  <si>
    <t>150:000.001.043.1265.000</t>
  </si>
  <si>
    <t>150:000.001.043.1266.000</t>
  </si>
  <si>
    <t>150:000.001.043.1268.000</t>
  </si>
  <si>
    <t>150:000.001.043.1269.000</t>
  </si>
  <si>
    <t>150:000.001.043.1270.000</t>
  </si>
  <si>
    <t>150:000.001.043.1272.000</t>
  </si>
  <si>
    <t>150:000.001.043.1273.000</t>
  </si>
  <si>
    <t>150:000.001.043.1274.000</t>
  </si>
  <si>
    <t>150:000.001.044.1275.000</t>
  </si>
  <si>
    <t>150:000.001.044.1276.000</t>
  </si>
  <si>
    <t>150:000.001.044.1277.000</t>
  </si>
  <si>
    <t>150:000.001.044.1278.000</t>
  </si>
  <si>
    <t>150:000.001.044.1279.000</t>
  </si>
  <si>
    <t>150:000.001.044.1280.000</t>
  </si>
  <si>
    <t>150:000.001.044.1281.000</t>
  </si>
  <si>
    <t>150:000.001.044.1283.000</t>
  </si>
  <si>
    <t>150:000.001.045.1285.000</t>
  </si>
  <si>
    <t>150:000.001.045.1286.000</t>
  </si>
  <si>
    <t>150:000.001.045.1287.000</t>
  </si>
  <si>
    <t>150:000.001.045.1288.000</t>
  </si>
  <si>
    <t>150:000.001.045.1289.000</t>
  </si>
  <si>
    <t>150:000.001.045.1290.000</t>
  </si>
  <si>
    <t>150:000.001.045.1291.000</t>
  </si>
  <si>
    <t>150:000.001.045.1292.000</t>
  </si>
  <si>
    <t>150:000.001.045.1293.000</t>
  </si>
  <si>
    <t>150:000.001.045.1294.000</t>
  </si>
  <si>
    <t>150:000.001.045.1295.000</t>
  </si>
  <si>
    <t>150:000.001.045.1296.000</t>
  </si>
  <si>
    <t>150:000.001.045.1297.000</t>
  </si>
  <si>
    <t>150:000.001.045.1298.000</t>
  </si>
  <si>
    <t>150:000.001.045.1299.000</t>
  </si>
  <si>
    <t>150:000.001.045.1300.000</t>
  </si>
  <si>
    <t>150:000.001.045.1301.000</t>
  </si>
  <si>
    <t>150:000.001.045.1302.000</t>
  </si>
  <si>
    <t>150:000.001.045.1303.000</t>
  </si>
  <si>
    <t>150:000.001.045.1304.000</t>
  </si>
  <si>
    <t>150:000.001.045.1305.000</t>
  </si>
  <si>
    <t>150:000.001.045.1306.000</t>
  </si>
  <si>
    <t>150:000.001.045.1307.000</t>
  </si>
  <si>
    <t>150:000.001.046.000.000</t>
  </si>
  <si>
    <t>150:000.001.047.1308.000</t>
  </si>
  <si>
    <t>150:000.001.047.1309.000</t>
  </si>
  <si>
    <t>150:000.001.047.1310.000</t>
  </si>
  <si>
    <t>150:000.001.047.1311.000</t>
  </si>
  <si>
    <t>150:000.001.047.1312.000</t>
  </si>
  <si>
    <t>150:000.001.047.1313.000</t>
  </si>
  <si>
    <t>150:000.001.047.1314.000</t>
  </si>
  <si>
    <t>150:000.001.047.1315.000</t>
  </si>
  <si>
    <t>150:000.001.047.1316.000</t>
  </si>
  <si>
    <t>150:000.001.047.1317.000</t>
  </si>
  <si>
    <t>150:000.001.047.1318.000</t>
  </si>
  <si>
    <t>150:000.001.047.1319.000</t>
  </si>
  <si>
    <t>150:000.001.047.1320.000</t>
  </si>
  <si>
    <t>150:000.001.047.1321.000</t>
  </si>
  <si>
    <t>150:000.001.047.1322.000</t>
  </si>
  <si>
    <t>150:000.001.047.1323.000</t>
  </si>
  <si>
    <t>150:000.001.047.1324.000</t>
  </si>
  <si>
    <t>150:000.001.047.1325.000</t>
  </si>
  <si>
    <t>150:000.001.047.1326.000</t>
  </si>
  <si>
    <t>150:000.001.047.1327.000</t>
  </si>
  <si>
    <t>150:000.001.047.1328.000</t>
  </si>
  <si>
    <t>150:000.001.047.1329.000</t>
  </si>
  <si>
    <t>150:000.001.047.1330.000</t>
  </si>
  <si>
    <t>150:000.001.047.1331.000</t>
  </si>
  <si>
    <t>150:000.001.047.1332.000</t>
  </si>
  <si>
    <t>150:000.001.047.1333.000</t>
  </si>
  <si>
    <t>150:000.001.047.1334.000</t>
  </si>
  <si>
    <t>150:000.001.047.1335.000</t>
  </si>
  <si>
    <t>150:000.001.047.1336.000</t>
  </si>
  <si>
    <t>150:000.001.047.1337.000</t>
  </si>
  <si>
    <t>150:000.001.047.1338.000</t>
  </si>
  <si>
    <t>150:000.001.047.1339.000</t>
  </si>
  <si>
    <t>150:000.001.047.1340.000</t>
  </si>
  <si>
    <t>150:000.001.047.1341.000</t>
  </si>
  <si>
    <t>150:000.001.047.1342.000</t>
  </si>
  <si>
    <t>150:000.001.047.1343.000</t>
  </si>
  <si>
    <t>150:000.001.047.1344.000</t>
  </si>
  <si>
    <t>150:000.001.047.1345.000</t>
  </si>
  <si>
    <t>150:000.001.047.1346.000</t>
  </si>
  <si>
    <t>150:000.001.047.1347.000</t>
  </si>
  <si>
    <t>150:000.001.047.1348.000</t>
  </si>
  <si>
    <t>150:000.001.047.1349.000</t>
  </si>
  <si>
    <t>150:000.001.048.1350.000</t>
  </si>
  <si>
    <t>150:000.001.048.1351.000</t>
  </si>
  <si>
    <t>150:000.001.048.1352.000</t>
  </si>
  <si>
    <t>150:000.001.048.1353.000</t>
  </si>
  <si>
    <t>150:000.001.048.1354.000</t>
  </si>
  <si>
    <t>150:000.001.048.1355.000</t>
  </si>
  <si>
    <t>150:000.001.048.1357.000</t>
  </si>
  <si>
    <t>150:000.001.048.1358.000</t>
  </si>
  <si>
    <t>104282</t>
  </si>
  <si>
    <t>150:000.001.049.000.000</t>
  </si>
  <si>
    <t>150:000.001.050.000.000</t>
  </si>
  <si>
    <t>150:000.001.051.000.000</t>
  </si>
  <si>
    <t>150:000.001.052.000.000</t>
  </si>
  <si>
    <t>150:000.001.053.000.000</t>
  </si>
  <si>
    <t>150:000.001.054.000.000</t>
  </si>
  <si>
    <t>150:000.001.055.000.000</t>
  </si>
  <si>
    <t>150:000.001.056.000.000</t>
  </si>
  <si>
    <t>104610</t>
  </si>
  <si>
    <t>150:000.001.057.000.000</t>
  </si>
  <si>
    <t>104611</t>
  </si>
  <si>
    <t>150:000.001.058.000.000</t>
  </si>
  <si>
    <t>150:000.001.059.000.000</t>
  </si>
  <si>
    <t>105027</t>
  </si>
  <si>
    <t>150:000.001.060.000.000</t>
  </si>
  <si>
    <t>105028</t>
  </si>
  <si>
    <t>150:000.001.061.000.000</t>
  </si>
  <si>
    <t>101462</t>
  </si>
  <si>
    <t>105035</t>
  </si>
  <si>
    <t>150:000.001.063.000.000</t>
  </si>
  <si>
    <t>150:000.001.064.000.000</t>
  </si>
  <si>
    <t>150:000.001.065.000.000</t>
  </si>
  <si>
    <t>150:000.001.066.000.000</t>
  </si>
  <si>
    <t>150:000.001.067.000.000</t>
  </si>
  <si>
    <t>150:000.001.068.000.000</t>
  </si>
  <si>
    <t>150:000.001.069.000.000</t>
  </si>
  <si>
    <t>150:000.001.070.000.000</t>
  </si>
  <si>
    <t>150:000.001.071.000.000</t>
  </si>
  <si>
    <t>150:000.001.072.000.000</t>
  </si>
  <si>
    <t>150:000.001.073.000.000</t>
  </si>
  <si>
    <t>150:000.001.074.000.000</t>
  </si>
  <si>
    <t>150:000.001.075.000.000</t>
  </si>
  <si>
    <t>150:000.001.076.000.000</t>
  </si>
  <si>
    <t>150:000.001.077.000.000</t>
  </si>
  <si>
    <t>150:000.001.078.000.000</t>
  </si>
  <si>
    <t>150:000.001.079.000.000</t>
  </si>
  <si>
    <t>150:000.001.080.000.000</t>
  </si>
  <si>
    <t>150:000.001.081.000.000</t>
  </si>
  <si>
    <t>150:000.001.082.000.000</t>
  </si>
  <si>
    <t>150:000.001.083.000.000</t>
  </si>
  <si>
    <t>150:000.001.084.000.000</t>
  </si>
  <si>
    <t>150:000.001.085.1359.000</t>
  </si>
  <si>
    <t>150:000.001.085.1360.000</t>
  </si>
  <si>
    <t>150:000.001.085.1361.000</t>
  </si>
  <si>
    <t>150:000.001.085.1362.000</t>
  </si>
  <si>
    <t>150:000.001.086.000.000</t>
  </si>
  <si>
    <t>150:000.001.087.1363.000</t>
  </si>
  <si>
    <t>150:000.001.087.1364.000</t>
  </si>
  <si>
    <t>150:000.001.087.1365.000</t>
  </si>
  <si>
    <t>150:000.001.088.1366.000</t>
  </si>
  <si>
    <t>150:000.001.089.1367.000</t>
  </si>
  <si>
    <t>150:000.001.089.1368.000</t>
  </si>
  <si>
    <t>150:000.001.089.1370.000</t>
  </si>
  <si>
    <t>150:000.001.090.1371.000</t>
  </si>
  <si>
    <t>150:000.001.090.1372.000</t>
  </si>
  <si>
    <t>150:000.001.090.1373.000</t>
  </si>
  <si>
    <t>150:000.001.090.1374.000</t>
  </si>
  <si>
    <t>150:000.001.090.1375.000</t>
  </si>
  <si>
    <t>150:000.001.090.1376.000</t>
  </si>
  <si>
    <t>150:000.001.090.1377.000</t>
  </si>
  <si>
    <t>150:000.001.090.1378.000</t>
  </si>
  <si>
    <t>150:000.001.091.000.000</t>
  </si>
  <si>
    <t>150:000.001.092.000.000</t>
  </si>
  <si>
    <t>150:000.001.093.1379.000</t>
  </si>
  <si>
    <t>150:000.001.093.1380.000</t>
  </si>
  <si>
    <t>150:000.001.093.1381.000</t>
  </si>
  <si>
    <t>150:000.001.093.1382.000</t>
  </si>
  <si>
    <t>150:000.001.093.1383.000</t>
  </si>
  <si>
    <t>150:000.001.093.1384.000</t>
  </si>
  <si>
    <t>150:000.001.093.1385.000</t>
  </si>
  <si>
    <t>150:000.001.093.1386.000</t>
  </si>
  <si>
    <t>150:000.001.093.1387.000</t>
  </si>
  <si>
    <t>150:000.001.094.1388.000</t>
  </si>
  <si>
    <t>150:000.001.094.1389.000</t>
  </si>
  <si>
    <t>150:000.001.094.1390.000</t>
  </si>
  <si>
    <t>150:000.001.094.1391.000</t>
  </si>
  <si>
    <t>150:000.001.094.1392.000</t>
  </si>
  <si>
    <t>150:000.001.095.1393.000</t>
  </si>
  <si>
    <t>150:000.001.095.1394.000</t>
  </si>
  <si>
    <t>150:000.001.095.1395.000</t>
  </si>
  <si>
    <t>150:000.001.095.1396.000</t>
  </si>
  <si>
    <t>150:000.001.095.1397.000</t>
  </si>
  <si>
    <t>150:000.001.095.1398.000</t>
  </si>
  <si>
    <t>150:000.001.095.1399.000</t>
  </si>
  <si>
    <t>150:000.001.095.1400.000</t>
  </si>
  <si>
    <t>150:000.001.095.1401.000</t>
  </si>
  <si>
    <t>150:000.001.096.000.000</t>
  </si>
  <si>
    <t>150:000.001.097.000.000</t>
  </si>
  <si>
    <t>150:000.001.098.000.000</t>
  </si>
  <si>
    <t>104689</t>
  </si>
  <si>
    <t>150:000.001.099.000.000</t>
  </si>
  <si>
    <t>150:000.001.100.000.000</t>
  </si>
  <si>
    <t>150:000.001.101.000.000</t>
  </si>
  <si>
    <t>150:000.001.103.000.000</t>
  </si>
  <si>
    <t>105053</t>
  </si>
  <si>
    <t>150:000.001.104.000.000</t>
  </si>
  <si>
    <t>104686</t>
  </si>
  <si>
    <t>150:000.001.105.000.000</t>
  </si>
  <si>
    <t>150:000.001.106.000.000</t>
  </si>
  <si>
    <t>150:000.001.107.000.000</t>
  </si>
  <si>
    <t>150:000.001.109.000.000</t>
  </si>
  <si>
    <t>150:000.001.110.000.000</t>
  </si>
  <si>
    <t>150:000.001.111.000.000</t>
  </si>
  <si>
    <t>150:000.001.112.000.000</t>
  </si>
  <si>
    <t>150:000.001.113.000.000</t>
  </si>
  <si>
    <t>150:000.001.114.000.000</t>
  </si>
  <si>
    <t>150:000.001.115.000.000</t>
  </si>
  <si>
    <t>104684</t>
  </si>
  <si>
    <t>150:000.001.117.000.000</t>
  </si>
  <si>
    <t>105975</t>
  </si>
  <si>
    <t>150:000.001.118.000.000</t>
  </si>
  <si>
    <t>150:000.001.119.000.000</t>
  </si>
  <si>
    <t>150:000.001.120.000.000</t>
  </si>
  <si>
    <t>101470</t>
  </si>
  <si>
    <t>150:000.001.121.000.000</t>
  </si>
  <si>
    <t>150:000.001.122.000.000</t>
  </si>
  <si>
    <t>150:000.001.123.000.000</t>
  </si>
  <si>
    <t>150:000.001.125.000.000</t>
  </si>
  <si>
    <t>150:000.001.126.000.000</t>
  </si>
  <si>
    <t>104621</t>
  </si>
  <si>
    <t>150:000.001.127.000.000</t>
  </si>
  <si>
    <t>104649</t>
  </si>
  <si>
    <t>150:000.001.128.000.000</t>
  </si>
  <si>
    <t>104653</t>
  </si>
  <si>
    <t>150:000.001.130.000.000</t>
  </si>
  <si>
    <t>105031</t>
  </si>
  <si>
    <t>150:000.001.131.000.000</t>
  </si>
  <si>
    <t>150:000.001.132.000.000</t>
  </si>
  <si>
    <t>150:000.001.133.000.000</t>
  </si>
  <si>
    <t>150:000.001.134.000.000</t>
  </si>
  <si>
    <t>150:000.001.135.000.000</t>
  </si>
  <si>
    <t>150:000.001.136.000.000</t>
  </si>
  <si>
    <t>104841</t>
  </si>
  <si>
    <t>150:000.001.137.000.000</t>
  </si>
  <si>
    <t>104842</t>
  </si>
  <si>
    <t>150:000.001.138.000.000</t>
  </si>
  <si>
    <t>150:000.001.139.1403.000</t>
  </si>
  <si>
    <t>150:000.001.139.1404.000</t>
  </si>
  <si>
    <t>150:000.001.139.1405.000</t>
  </si>
  <si>
    <t>150:000.001.139.1406.000</t>
  </si>
  <si>
    <t>150:000.001.140.1407.000</t>
  </si>
  <si>
    <t>150:000.001.140.1408.000</t>
  </si>
  <si>
    <t>150:000.001.141.000.000</t>
  </si>
  <si>
    <t>150:000.001.142.1409.000</t>
  </si>
  <si>
    <t>150:000.001.142.1410.000</t>
  </si>
  <si>
    <t>150:000.001.142.1411.000</t>
  </si>
  <si>
    <t>150:000.001.142.1412.000</t>
  </si>
  <si>
    <t>150:000.001.142.1413.000</t>
  </si>
  <si>
    <t>150:000.001.142.1414.000</t>
  </si>
  <si>
    <t>150:000.001.142.1415.000</t>
  </si>
  <si>
    <t>150:000.001.142.1416.000</t>
  </si>
  <si>
    <t>150:000.001.142.1417.000</t>
  </si>
  <si>
    <t>141600</t>
  </si>
  <si>
    <t>150:000.001.143.1418.000</t>
  </si>
  <si>
    <t>150:000.001.144.000.000</t>
  </si>
  <si>
    <t>150:000.001.145.000.000</t>
  </si>
  <si>
    <t>150:000.001.146.000.000</t>
  </si>
  <si>
    <t>150:000.001.147.000.000</t>
  </si>
  <si>
    <t>150:000.001.148.1419.000</t>
  </si>
  <si>
    <t>150:000.001.148.1420.000</t>
  </si>
  <si>
    <t>150:000.001.148.1421.000</t>
  </si>
  <si>
    <t>150:000.001.149.1422.000</t>
  </si>
  <si>
    <t>150:000.001.149.1423.000</t>
  </si>
  <si>
    <t>150:000.001.149.1424.000</t>
  </si>
  <si>
    <t>150:000.001.149.1425.000</t>
  </si>
  <si>
    <t>150:000.001.149.1426.000</t>
  </si>
  <si>
    <t>150:000.001.149.1427.000</t>
  </si>
  <si>
    <t>150:000.001.149.1428.000</t>
  </si>
  <si>
    <t>150:000.001.149.1429.000</t>
  </si>
  <si>
    <t>150:000.001.149.1430.000</t>
  </si>
  <si>
    <t>150:000.001.149.1431.000</t>
  </si>
  <si>
    <t>150:000.001.149.1432.000</t>
  </si>
  <si>
    <t>150:000.001.149.1433.000</t>
  </si>
  <si>
    <t>150:000.001.149.1434.000</t>
  </si>
  <si>
    <t>150:000.001.149.1435.000</t>
  </si>
  <si>
    <t>150:000.001.149.1436.000</t>
  </si>
  <si>
    <t>150:000.001.149.1437.000</t>
  </si>
  <si>
    <t>150:000.001.149.1438.000</t>
  </si>
  <si>
    <t>150:000.001.149.1439.000</t>
  </si>
  <si>
    <t>150:000.001.149.1440.000</t>
  </si>
  <si>
    <t>150:000.001.149.1441.000</t>
  </si>
  <si>
    <t>150:000.001.149.1442.000</t>
  </si>
  <si>
    <t>150:000.001.149.1443.000</t>
  </si>
  <si>
    <t>150:000.001.149.1444.000</t>
  </si>
  <si>
    <t>150:000.001.149.1445.000</t>
  </si>
  <si>
    <t>150:000.001.150.000.000</t>
  </si>
  <si>
    <t>150:000.001.151.000.000</t>
  </si>
  <si>
    <t>150:000.001.152.000.000</t>
  </si>
  <si>
    <t>150:000.001.153.000.000</t>
  </si>
  <si>
    <t>150:000.001.155.000.000</t>
  </si>
  <si>
    <t>150:000.001.156.000.000</t>
  </si>
  <si>
    <t>150:000.001.157.000.000</t>
  </si>
  <si>
    <t>150:000.001.158.000.000</t>
  </si>
  <si>
    <t>104669</t>
  </si>
  <si>
    <t>150:000.001.159.000.000</t>
  </si>
  <si>
    <t>150:000.001.160.000.000</t>
  </si>
  <si>
    <t>150:000.001.161.000.000</t>
  </si>
  <si>
    <t>150:000.001.162.000.000</t>
  </si>
  <si>
    <t>150:000.001.163.1446.000</t>
  </si>
  <si>
    <t>150:000.001.163.1447.000</t>
  </si>
  <si>
    <t>150:000.001.163.1448.000</t>
  </si>
  <si>
    <t>150:000.001.163.1449.000</t>
  </si>
  <si>
    <t>150:000.001.163.1450.000</t>
  </si>
  <si>
    <t>150:000.001.163.1451.000</t>
  </si>
  <si>
    <t>150:000.001.164.1452.000</t>
  </si>
  <si>
    <t>150:000.001.164.1453.000</t>
  </si>
  <si>
    <t>150:000.001.164.1454.000</t>
  </si>
  <si>
    <t>150:000.001.164.1455.000</t>
  </si>
  <si>
    <t>150:000.001.164.1456.000</t>
  </si>
  <si>
    <t>150:000.001.164.1457.000</t>
  </si>
  <si>
    <t>150:000.001.164.1458.000</t>
  </si>
  <si>
    <t>150:000.001.164.1460.000</t>
  </si>
  <si>
    <t>150:000.001.165.1461.000</t>
  </si>
  <si>
    <t>150:000.001.165.1462.000</t>
  </si>
  <si>
    <t>150:000.001.165.1463.000</t>
  </si>
  <si>
    <t>150:000.001.166.000.000</t>
  </si>
  <si>
    <t>150:000.001.167.000.000</t>
  </si>
  <si>
    <t>150:000.001.168.000.000</t>
  </si>
  <si>
    <t>150:000.001.169.000.000</t>
  </si>
  <si>
    <t>150:000.001.170.000.000</t>
  </si>
  <si>
    <t>150:000.001.171.000.000</t>
  </si>
  <si>
    <t>150:000.001.172.000.000</t>
  </si>
  <si>
    <t>150:000.001.173.1464.000</t>
  </si>
  <si>
    <t>150:000.001.174.000.000</t>
  </si>
  <si>
    <t>150:000.001.175.000.000</t>
  </si>
  <si>
    <t>150:000.001.176.000.000</t>
  </si>
  <si>
    <t>21001.00.901.002</t>
  </si>
  <si>
    <t>150:000.001.177.000.000</t>
  </si>
  <si>
    <t>114407</t>
  </si>
  <si>
    <t>150:000.001.178.1466.000</t>
  </si>
  <si>
    <t>150:000.001.178.1467.000</t>
  </si>
  <si>
    <t>150:000.001.178.1468.000</t>
  </si>
  <si>
    <t>150:000.001.178.1469.000</t>
  </si>
  <si>
    <t>150:000.001.178.1470.000</t>
  </si>
  <si>
    <t>150:000.001.178.1471.000</t>
  </si>
  <si>
    <t>150:000.001.178.1472.000</t>
  </si>
  <si>
    <t>150:000.001.178.1473.000</t>
  </si>
  <si>
    <t>150:000.001.178.1474.000</t>
  </si>
  <si>
    <t>150:000.001.178.1475.000</t>
  </si>
  <si>
    <t>150:000.001.178.1476.000</t>
  </si>
  <si>
    <t>150:000.001.178.1477.000</t>
  </si>
  <si>
    <t>150:000.001.178.1478.000</t>
  </si>
  <si>
    <t>104379</t>
  </si>
  <si>
    <t>150:000.001.178.1479.000</t>
  </si>
  <si>
    <t>150:000.001.178.1480.000</t>
  </si>
  <si>
    <t>150:000.001.178.1481.000</t>
  </si>
  <si>
    <t>150:000.001.178.1482.000</t>
  </si>
  <si>
    <t>150:000.001.179.000.000</t>
  </si>
  <si>
    <t>150:000.001.180.1483.000</t>
  </si>
  <si>
    <t>150:000.001.180.1484.000</t>
  </si>
  <si>
    <t>150:000.001.180.1485.000</t>
  </si>
  <si>
    <t>150:000.001.181.1486.000</t>
  </si>
  <si>
    <t>150:000.001.181.1487.000</t>
  </si>
  <si>
    <t>150:000.001.181.1488.000</t>
  </si>
  <si>
    <t>150:000.001.181.1489.000</t>
  </si>
  <si>
    <t>150:000.001.181.1490.000</t>
  </si>
  <si>
    <t>150:000.001.181.1491.000</t>
  </si>
  <si>
    <t>150:000.001.181.1492.000</t>
  </si>
  <si>
    <t>150:000.001.181.1493.000</t>
  </si>
  <si>
    <t>150:000.001.181.1494.000</t>
  </si>
  <si>
    <t>150:000.001.181.1495.000</t>
  </si>
  <si>
    <t>150:000.001.182.000.000</t>
  </si>
  <si>
    <t>105034</t>
  </si>
  <si>
    <t>150:000.001.183.1496.000</t>
  </si>
  <si>
    <t>150:000.001.183.1497.000</t>
  </si>
  <si>
    <t>150:000.001.183.1498.000</t>
  </si>
  <si>
    <t>150:000.001.184.000.000</t>
  </si>
  <si>
    <t>150:000.001.185.000.000</t>
  </si>
  <si>
    <t>150:000.001.186.000.000</t>
  </si>
  <si>
    <t>150:000.001.187.1499.000</t>
  </si>
  <si>
    <t>150:000.001.187.1500.000</t>
  </si>
  <si>
    <t>150:000.001.187.1501.000</t>
  </si>
  <si>
    <t>150:000.001.187.1502.000</t>
  </si>
  <si>
    <t>150:000.001.187.1503.000</t>
  </si>
  <si>
    <t>150:000.001.187.1504.000</t>
  </si>
  <si>
    <t>150:000.001.188.000.000</t>
  </si>
  <si>
    <t>150:000.001.189.000.000</t>
  </si>
  <si>
    <t>150:000.001.190.000.000</t>
  </si>
  <si>
    <t>150:000.001.192.000.000</t>
  </si>
  <si>
    <t>150:000.001.193.000.000</t>
  </si>
  <si>
    <t>150:000.001.194.000.000</t>
  </si>
  <si>
    <t>150:000.001.195.000.000</t>
  </si>
  <si>
    <t>150:000.001.196.000.000</t>
  </si>
  <si>
    <t>150:000.001.197.000.000</t>
  </si>
  <si>
    <t>150:000.001.198.000.000</t>
  </si>
  <si>
    <t>150:000.001.199.000.000</t>
  </si>
  <si>
    <t>104624</t>
  </si>
  <si>
    <t>150:000.001.200.000.000</t>
  </si>
  <si>
    <t>104623</t>
  </si>
  <si>
    <t>150:000.001.202.000.000</t>
  </si>
  <si>
    <t>105054</t>
  </si>
  <si>
    <t>150:000.001.203.000.000</t>
  </si>
  <si>
    <t>150:000.001.205.000.000</t>
  </si>
  <si>
    <t>150:000.001.206.000.000</t>
  </si>
  <si>
    <t>150:000.001.207.000.000</t>
  </si>
  <si>
    <t>104625</t>
  </si>
  <si>
    <t>150:000.001.208.000.000</t>
  </si>
  <si>
    <t>150:000.001.209.000.000</t>
  </si>
  <si>
    <t>150:000.001.210.000.000</t>
  </si>
  <si>
    <t>150:000.001.212.000.000</t>
  </si>
  <si>
    <t>104925</t>
  </si>
  <si>
    <t>150:000.001.213.000.000</t>
  </si>
  <si>
    <t>150:000.001.214.000.000</t>
  </si>
  <si>
    <t>150:000.001.215.000.000</t>
  </si>
  <si>
    <t>105036</t>
  </si>
  <si>
    <t>150:000.001.216.000.000</t>
  </si>
  <si>
    <t>150:000.001.217.000.000</t>
  </si>
  <si>
    <t>150:000.001.218.000.000</t>
  </si>
  <si>
    <t>111987</t>
  </si>
  <si>
    <t>150:000.001.219.000.000</t>
  </si>
  <si>
    <t>105246</t>
  </si>
  <si>
    <t>150:000.001.220.000.000</t>
  </si>
  <si>
    <t>150:000.001.221.000.000</t>
  </si>
  <si>
    <t>150:000.001.222.000.000</t>
  </si>
  <si>
    <t>150:000.001.223.000.000</t>
  </si>
  <si>
    <t>150:000.001.224.000.000</t>
  </si>
  <si>
    <t>150:000.001.225.000.000</t>
  </si>
  <si>
    <t>150:000.001.226.000.000</t>
  </si>
  <si>
    <t>150:000.001.227.000.000</t>
  </si>
  <si>
    <t>21001.00.901.005</t>
  </si>
  <si>
    <t>150:000.001.228.000.000</t>
  </si>
  <si>
    <t>21001.00.901.004</t>
  </si>
  <si>
    <t>150:000.001.229.000.000</t>
  </si>
  <si>
    <t>21001.00.901.003</t>
  </si>
  <si>
    <t>150:000.001.230.000.000</t>
  </si>
  <si>
    <t>103140</t>
  </si>
  <si>
    <t>150:000.001.231.000.000</t>
  </si>
  <si>
    <t>103144</t>
  </si>
  <si>
    <t>150:000.001.232.000.000</t>
  </si>
  <si>
    <t>150:000.001.233.000.000</t>
  </si>
  <si>
    <t>105323</t>
  </si>
  <si>
    <t>150:000.001.234.1505.000</t>
  </si>
  <si>
    <t>150:000.001.234.1506.000</t>
  </si>
  <si>
    <t>150:000.001.234.1507.000</t>
  </si>
  <si>
    <t>150:000.001.235.000.000</t>
  </si>
  <si>
    <t>105300</t>
  </si>
  <si>
    <t>150:000.001.236.1508.000</t>
  </si>
  <si>
    <t>150:000.001.236.1509.000</t>
  </si>
  <si>
    <t>150:000.001.236.1510.000</t>
  </si>
  <si>
    <t>150:000.001.236.1511.000</t>
  </si>
  <si>
    <t>150:000.001.236.1512.000</t>
  </si>
  <si>
    <t>150:000.001.237.1513.000</t>
  </si>
  <si>
    <t>150:000.001.237.1514.000</t>
  </si>
  <si>
    <t>150:000.001.237.1515.000</t>
  </si>
  <si>
    <t>150:000.001.237.1516.000</t>
  </si>
  <si>
    <t>150:000.001.238.000.000</t>
  </si>
  <si>
    <t>150:000.001.239.000.000</t>
  </si>
  <si>
    <t>150:000.001.240.000.000</t>
  </si>
  <si>
    <t>150:000.001.241.000.000</t>
  </si>
  <si>
    <t>150:000.001.243.000.000</t>
  </si>
  <si>
    <t>150:000.001.245.000.000</t>
  </si>
  <si>
    <t>150:000.001.246.000.000</t>
  </si>
  <si>
    <t>150:000.001.247.000.000</t>
  </si>
  <si>
    <t>150:000.001.249.000.000</t>
  </si>
  <si>
    <t>150:000.001.250.000.000</t>
  </si>
  <si>
    <t>150:000.001.251.000.000</t>
  </si>
  <si>
    <t>150:000.001.252.000.000</t>
  </si>
  <si>
    <t>104655</t>
  </si>
  <si>
    <t>150:000.001.254.000.000</t>
  </si>
  <si>
    <t>150:000.001.255.000.000</t>
  </si>
  <si>
    <t>150:000.001.256.000.000</t>
  </si>
  <si>
    <t>150:000.001.257.000.000</t>
  </si>
  <si>
    <t>21001.00.901.014</t>
  </si>
  <si>
    <t>150:000.001.258.000.000</t>
  </si>
  <si>
    <t>21001.00.901.015</t>
  </si>
  <si>
    <t>150:000.001.259.000.000</t>
  </si>
  <si>
    <t>21001.00.901.016</t>
  </si>
  <si>
    <t>150:000.001.260.000.000</t>
  </si>
  <si>
    <t>21001.00.901.019</t>
  </si>
  <si>
    <t>150:000.001.261.000.000</t>
  </si>
  <si>
    <t>21001.00.901.029</t>
  </si>
  <si>
    <t>150:000.001.262.000.000</t>
  </si>
  <si>
    <t>21001.00.901.041</t>
  </si>
  <si>
    <t>150:000.001.263.000.000</t>
  </si>
  <si>
    <t>21001.00.901.040</t>
  </si>
  <si>
    <t>150:000.001.264.000.000</t>
  </si>
  <si>
    <t>21001.00.901.043</t>
  </si>
  <si>
    <t>150:000.001.265.000.000</t>
  </si>
  <si>
    <t>21001.00.901.060</t>
  </si>
  <si>
    <t>150:000.001.267.000.000</t>
  </si>
  <si>
    <t>150:000.001.268.000.000</t>
  </si>
  <si>
    <t>105297</t>
  </si>
  <si>
    <t>150:000.001.269.000.000</t>
  </si>
  <si>
    <t>150:000.001.270.000.000</t>
  </si>
  <si>
    <t>150:000.001.271.000.000</t>
  </si>
  <si>
    <t>150:000.001.272.000.000</t>
  </si>
  <si>
    <t>103150</t>
  </si>
  <si>
    <t>150:000.001.273.000.000</t>
  </si>
  <si>
    <t>150:000.001.274.000.000</t>
  </si>
  <si>
    <t>150:000.001.275.000.000</t>
  </si>
  <si>
    <t>105306</t>
  </si>
  <si>
    <t>150:000.001.276.000.000</t>
  </si>
  <si>
    <t>103154</t>
  </si>
  <si>
    <t>150:000.001.277.000.000</t>
  </si>
  <si>
    <t>103153</t>
  </si>
  <si>
    <t>150:000.001.278.000.000</t>
  </si>
  <si>
    <t>150:000.001.279.000.000</t>
  </si>
  <si>
    <t>150:000.001.280.000.000</t>
  </si>
  <si>
    <t>150:000.001.281.000.000</t>
  </si>
  <si>
    <t>150:000.001.282.000.000</t>
  </si>
  <si>
    <t>150:000.001.283.1517.000</t>
  </si>
  <si>
    <t>150:000.001.284.000.000</t>
  </si>
  <si>
    <t>150:000.001.285.000.000</t>
  </si>
  <si>
    <t>150:000.001.286.000.000</t>
  </si>
  <si>
    <t>150:000.001.287.000.000</t>
  </si>
  <si>
    <t>150:000.001.288.000.000</t>
  </si>
  <si>
    <t>150:000.001.289.000.000</t>
  </si>
  <si>
    <t>150:000.001.290.000.000</t>
  </si>
  <si>
    <t>21020.00.402.030</t>
  </si>
  <si>
    <t>150:000.001.291.1519.000</t>
  </si>
  <si>
    <t>150:000.001.291.1520.000</t>
  </si>
  <si>
    <t>150:000.001.291.1521.000</t>
  </si>
  <si>
    <t>150:000.001.291.1522.000</t>
  </si>
  <si>
    <t>111705</t>
  </si>
  <si>
    <t>150:000.001.291.1523.000</t>
  </si>
  <si>
    <t>113764</t>
  </si>
  <si>
    <t>150:000.001.291.1524.000</t>
  </si>
  <si>
    <t>150:000.001.291.1525.000</t>
  </si>
  <si>
    <t>150:000.001.291.1526.000</t>
  </si>
  <si>
    <t>135386</t>
  </si>
  <si>
    <t>150:000.001.291.1527.000</t>
  </si>
  <si>
    <t>150:000.001.291.1528.000</t>
  </si>
  <si>
    <t>150:000.001.291.1529.000</t>
  </si>
  <si>
    <t>150:000.001.291.1530.000</t>
  </si>
  <si>
    <t>150:000.001.291.1531.000</t>
  </si>
  <si>
    <t>150:000.001.291.1532.000</t>
  </si>
  <si>
    <t>150:000.001.291.1533.000</t>
  </si>
  <si>
    <t>150:000.001.291.1535.000</t>
  </si>
  <si>
    <t>150:000.001.291.1536.000</t>
  </si>
  <si>
    <t>150:000.001.292.000.000</t>
  </si>
  <si>
    <t>150:000.001.293.1537.000</t>
  </si>
  <si>
    <t>150:000.001.293.1538.000</t>
  </si>
  <si>
    <t>150:000.001.293.1539.000</t>
  </si>
  <si>
    <t>150:000.001.293.1540.000</t>
  </si>
  <si>
    <t>150:000.001.293.1541.000</t>
  </si>
  <si>
    <t>150:000.001.293.1542.000</t>
  </si>
  <si>
    <t>150:000.001.294.000.000</t>
  </si>
  <si>
    <t>150:000.001.295.1543.000</t>
  </si>
  <si>
    <t>150:000.001.295.1544.000</t>
  </si>
  <si>
    <t>150:000.001.295.1545.000</t>
  </si>
  <si>
    <t>150:000.001.295.1546.000</t>
  </si>
  <si>
    <t>150:000.001.295.1547.000</t>
  </si>
  <si>
    <t>150:000.001.295.1548.000</t>
  </si>
  <si>
    <t>150:000.001.295.1549.000</t>
  </si>
  <si>
    <t>150:000.001.295.1550.000</t>
  </si>
  <si>
    <t>150:000.001.295.1551.000</t>
  </si>
  <si>
    <t>150:000.001.295.1552.000</t>
  </si>
  <si>
    <t>150:000.001.295.1553.000</t>
  </si>
  <si>
    <t>150:000.001.296.000.000</t>
  </si>
  <si>
    <t>150:000.001.297.1554.000</t>
  </si>
  <si>
    <t>150:000.001.297.1555.000</t>
  </si>
  <si>
    <t>150:000.001.297.1556.000</t>
  </si>
  <si>
    <t>123193</t>
  </si>
  <si>
    <t>150:000.001.297.1558.000</t>
  </si>
  <si>
    <t>100715</t>
  </si>
  <si>
    <t>150:000.001.297.1559.000</t>
  </si>
  <si>
    <t>150:000.001.297.1560.000</t>
  </si>
  <si>
    <t>150:000.001.298.1561.000</t>
  </si>
  <si>
    <t>150:000.001.299.1562.000</t>
  </si>
  <si>
    <t>150:000.001.299.1563.000</t>
  </si>
  <si>
    <t>150:000.001.299.1564.000</t>
  </si>
  <si>
    <t>150:000.001.299.1565.000</t>
  </si>
  <si>
    <t>150:000.001.299.1566.000</t>
  </si>
  <si>
    <t>150:000.001.299.1567.000</t>
  </si>
  <si>
    <t>150:000.001.299.1568.000</t>
  </si>
  <si>
    <t>150:000.001.299.1569.000</t>
  </si>
  <si>
    <t>150:000.001.300.000.000</t>
  </si>
  <si>
    <t>150:000.001.301.000.000</t>
  </si>
  <si>
    <t>150:000.001.302.000.000</t>
  </si>
  <si>
    <t>150:000.001.303.1570.000</t>
  </si>
  <si>
    <t>150:000.001.304.000.000</t>
  </si>
  <si>
    <t>150:000.001.305.000.000</t>
  </si>
  <si>
    <t>150:000.001.306.000.000</t>
  </si>
  <si>
    <t>150:000.001.307.000.000</t>
  </si>
  <si>
    <t>21001.00.906.028</t>
  </si>
  <si>
    <t>150:000.001.309.000.000</t>
  </si>
  <si>
    <t>150:000.001.310.000.000</t>
  </si>
  <si>
    <t>21001.00.901.027</t>
  </si>
  <si>
    <t>150:000.001.311.000.000</t>
  </si>
  <si>
    <t>150:000.001.312.000.000</t>
  </si>
  <si>
    <t>150:000.001.313.000.000</t>
  </si>
  <si>
    <t>150:000.001.314.000.000</t>
  </si>
  <si>
    <t>21001.00.901.077</t>
  </si>
  <si>
    <t>150:000.001.315.000.000</t>
  </si>
  <si>
    <t>21001.00.901.078</t>
  </si>
  <si>
    <t>150:000.001.316.000.000</t>
  </si>
  <si>
    <t>21001.00.901.079</t>
  </si>
  <si>
    <t>150:000.001.317.000.000</t>
  </si>
  <si>
    <t>150:000.001.318.000.000</t>
  </si>
  <si>
    <t>150:000.001.319.000.000</t>
  </si>
  <si>
    <t>21001.00.901.052</t>
  </si>
  <si>
    <t>150:000.001.320.000.000</t>
  </si>
  <si>
    <t>150:000.001.321.000.000</t>
  </si>
  <si>
    <t>150:000.001.322.000.000</t>
  </si>
  <si>
    <t>150:000.001.323.000.000</t>
  </si>
  <si>
    <t>150:000.001.324.000.000</t>
  </si>
  <si>
    <t>150:000.001.325.000.000</t>
  </si>
  <si>
    <t>150:000.001.326.000.000</t>
  </si>
  <si>
    <t>150:000.001.327.000.000</t>
  </si>
  <si>
    <t>150:000.001.328.000.000</t>
  </si>
  <si>
    <t>150:000.001.329.000.000</t>
  </si>
  <si>
    <t>150:000.001.330.000.000</t>
  </si>
  <si>
    <t>150:000.001.331.000.000</t>
  </si>
  <si>
    <t>150:000.001.332.000.000</t>
  </si>
  <si>
    <t>150:000.001.334.000.000</t>
  </si>
  <si>
    <t>150:000.001.335.000.000</t>
  </si>
  <si>
    <t>150:000.001.336.000.000</t>
  </si>
  <si>
    <t>105029</t>
  </si>
  <si>
    <t>150:000.001.337.000.000</t>
  </si>
  <si>
    <t>150:000.001.338.000.000</t>
  </si>
  <si>
    <t>150:000.001.339.000.000</t>
  </si>
  <si>
    <t>150:000.001.340.000.000</t>
  </si>
  <si>
    <t>150:000.001.341.000.000</t>
  </si>
  <si>
    <t>150:000.001.342.1571.000</t>
  </si>
  <si>
    <t>150:000.001.342.1572.000</t>
  </si>
  <si>
    <t>150:000.001.342.1573.000</t>
  </si>
  <si>
    <t>150:000.001.342.1574.000</t>
  </si>
  <si>
    <t>150:000.001.342.1575.000</t>
  </si>
  <si>
    <t>150:000.001.342.1577.000</t>
  </si>
  <si>
    <t>102803</t>
  </si>
  <si>
    <t>150:000.001.343.000.000</t>
  </si>
  <si>
    <t>150:000.001.344.000.000</t>
  </si>
  <si>
    <t>126191</t>
  </si>
  <si>
    <t>150:000.001.346.000.000</t>
  </si>
  <si>
    <t>150:000.001.347.000.000</t>
  </si>
  <si>
    <t>150:000.001.348.000.000</t>
  </si>
  <si>
    <t>150:000.001.349.000.000</t>
  </si>
  <si>
    <t>150:000.001.351.000.000</t>
  </si>
  <si>
    <t>150:000.001.352.000.000</t>
  </si>
  <si>
    <t>150:000.001.353.1578.000</t>
  </si>
  <si>
    <t>150:000.001.353.1579.000</t>
  </si>
  <si>
    <t>150:000.001.354.1580.000</t>
  </si>
  <si>
    <t>150:000.001.354.1581.000</t>
  </si>
  <si>
    <t>150:000.001.354.1582.000</t>
  </si>
  <si>
    <t>150:000.001.354.1583.000</t>
  </si>
  <si>
    <t>150:000.001.354.1584.000</t>
  </si>
  <si>
    <t>150:000.001.354.1585.000</t>
  </si>
  <si>
    <t>150:000.001.354.1586.000</t>
  </si>
  <si>
    <t>104581</t>
  </si>
  <si>
    <t>150:000.001.354.1587.000</t>
  </si>
  <si>
    <t>150:000.001.354.1588.000</t>
  </si>
  <si>
    <t>101292</t>
  </si>
  <si>
    <t>150:000.001.354.1589.000</t>
  </si>
  <si>
    <t>150:000.001.354.1590.000</t>
  </si>
  <si>
    <t>150:000.001.355.000.000</t>
  </si>
  <si>
    <t>110683</t>
  </si>
  <si>
    <t>150:000.001.356.000.000</t>
  </si>
  <si>
    <t>101608</t>
  </si>
  <si>
    <t>150:000.001.357.000.000</t>
  </si>
  <si>
    <t>150:000.001.359.000.000</t>
  </si>
  <si>
    <t>150:000.001.360.000.000</t>
  </si>
  <si>
    <t>150:000.001.361.000.000</t>
  </si>
  <si>
    <t>150:000.001.362.000.000</t>
  </si>
  <si>
    <t>150:000.001.363.000.000</t>
  </si>
  <si>
    <t>150:000.001.364.000.000</t>
  </si>
  <si>
    <t>150:000.001.365.000.000</t>
  </si>
  <si>
    <t>150:000.001.366.000.000</t>
  </si>
  <si>
    <t>150:000.001.367.000.000</t>
  </si>
  <si>
    <t>150:000.001.369.000.000</t>
  </si>
  <si>
    <t>105048</t>
  </si>
  <si>
    <t>150:000.001.370.000.000</t>
  </si>
  <si>
    <t>150:000.001.371.000.000</t>
  </si>
  <si>
    <t>150:000.001.372.000.000</t>
  </si>
  <si>
    <t>150:000.001.373.000.000</t>
  </si>
  <si>
    <t>103139</t>
  </si>
  <si>
    <t>150:000.001.374.000.000</t>
  </si>
  <si>
    <t>150:000.001.375.000.000</t>
  </si>
  <si>
    <t>103143</t>
  </si>
  <si>
    <t>150:000.001.376.000.000</t>
  </si>
  <si>
    <t>150:000.001.377.000.000</t>
  </si>
  <si>
    <t>150:000.001.378.000.000</t>
  </si>
  <si>
    <t>150:000.001.379.000.000</t>
  </si>
  <si>
    <t>150:000.001.380.000.000</t>
  </si>
  <si>
    <t>150:000.001.381.1591.000</t>
  </si>
  <si>
    <t>150:000.001.381.1592.000</t>
  </si>
  <si>
    <t>150:000.001.381.1593.000</t>
  </si>
  <si>
    <t>150:000.001.381.1594.000</t>
  </si>
  <si>
    <t>150:000.001.381.1596.000</t>
  </si>
  <si>
    <t>150:000.001.381.1597.000</t>
  </si>
  <si>
    <t>100699</t>
  </si>
  <si>
    <t>150:000.001.381.1598.000</t>
  </si>
  <si>
    <t>150:000.001.381.1599.000</t>
  </si>
  <si>
    <t>150:000.001.382.1600.000</t>
  </si>
  <si>
    <t>150:000.001.382.1601.000</t>
  </si>
  <si>
    <t>150:000.001.383.000.000</t>
  </si>
  <si>
    <t>150:000.001.384.000.000</t>
  </si>
  <si>
    <t>150:000.001.385.000.000</t>
  </si>
  <si>
    <t>117346</t>
  </si>
  <si>
    <t>150:000.001.386.1602.000</t>
  </si>
  <si>
    <t>150:000.001.386.1603.000</t>
  </si>
  <si>
    <t>150:000.001.386.1604.000</t>
  </si>
  <si>
    <t>150:000.001.386.1605.000</t>
  </si>
  <si>
    <t>150:000.001.386.1606.000</t>
  </si>
  <si>
    <t>150:000.001.388.000.000</t>
  </si>
  <si>
    <t>150:000.001.390.000.000</t>
  </si>
  <si>
    <t>150:000.001.391.000.000</t>
  </si>
  <si>
    <t>104640</t>
  </si>
  <si>
    <t>150:000.001.392.000.000</t>
  </si>
  <si>
    <t>150:000.001.394.000.000</t>
  </si>
  <si>
    <t>150:000.001.395.000.000</t>
  </si>
  <si>
    <t>150:000.001.396.000.000</t>
  </si>
  <si>
    <t>150:000.001.397.000.000</t>
  </si>
  <si>
    <t>150:000.001.398.000.000</t>
  </si>
  <si>
    <t>150:000.001.399.000.000</t>
  </si>
  <si>
    <t>150:000.001.400.1607.000</t>
  </si>
  <si>
    <t>150:000.001.400.1608.000</t>
  </si>
  <si>
    <t>150:000.001.400.1609.000</t>
  </si>
  <si>
    <t>101310</t>
  </si>
  <si>
    <t>150:000.001.400.1615.000</t>
  </si>
  <si>
    <t>150:000.001.400.1616.000</t>
  </si>
  <si>
    <t>101342</t>
  </si>
  <si>
    <t>150:000.001.400.1617.000</t>
  </si>
  <si>
    <t>150:000.001.400.1618.000</t>
  </si>
  <si>
    <t>150:000.001.400.1619.000</t>
  </si>
  <si>
    <t>150:000.001.400.1620.000</t>
  </si>
  <si>
    <t>150:000.001.400.1621.000</t>
  </si>
  <si>
    <t>103835</t>
  </si>
  <si>
    <t>150:000.001.400.1622.000</t>
  </si>
  <si>
    <t>150:000.001.400.1623.000</t>
  </si>
  <si>
    <t>150:000.001.400.1624.000</t>
  </si>
  <si>
    <t>150:000.001.400.1625.000</t>
  </si>
  <si>
    <t>150:000.001.400.1626.000</t>
  </si>
  <si>
    <t>150:000.001.401.000.000</t>
  </si>
  <si>
    <t>150:000.001.402.000.000</t>
  </si>
  <si>
    <t>104609</t>
  </si>
  <si>
    <t>150:000.001.403.000.000</t>
  </si>
  <si>
    <t>150:000.001.404.000.000</t>
  </si>
  <si>
    <t>150:000.001.405.000.000</t>
  </si>
  <si>
    <t>150:000.001.406.000.000</t>
  </si>
  <si>
    <t>150:000.001.407.000.000</t>
  </si>
  <si>
    <t>104638</t>
  </si>
  <si>
    <t>150:000.001.408.000.000</t>
  </si>
  <si>
    <t>150:000.001.409.000.000</t>
  </si>
  <si>
    <t>150:000.001.410.000.000</t>
  </si>
  <si>
    <t>150:000.001.411.000.000</t>
  </si>
  <si>
    <t>150:000.001.412.000.000</t>
  </si>
  <si>
    <t>150:000.001.413.000.000</t>
  </si>
  <si>
    <t>150:000.001.414.000.000</t>
  </si>
  <si>
    <t>105033</t>
  </si>
  <si>
    <t>150:000.001.415.000.000</t>
  </si>
  <si>
    <t>150:000.001.416.000.000</t>
  </si>
  <si>
    <t>150:000.001.417.1627.000</t>
  </si>
  <si>
    <t>150:000.001.417.1628.000</t>
  </si>
  <si>
    <t>150:000.001.417.1629.000</t>
  </si>
  <si>
    <t>150:000.001.417.1630.000</t>
  </si>
  <si>
    <t>150:000.001.418.000.000</t>
  </si>
  <si>
    <t>104615</t>
  </si>
  <si>
    <t>150:000.001.419.000.000</t>
  </si>
  <si>
    <t>150:000.001.420.000.000</t>
  </si>
  <si>
    <t>150:000.001.421.000.000</t>
  </si>
  <si>
    <t>150:000.001.422.000.000</t>
  </si>
  <si>
    <t>150:000.001.423.000.000</t>
  </si>
  <si>
    <t>150:000.001.424.000.000</t>
  </si>
  <si>
    <t>104924</t>
  </si>
  <si>
    <t>150:000.001.425.000.000</t>
  </si>
  <si>
    <t>150:000.001.426.000.000</t>
  </si>
  <si>
    <t>150:000.001.427.000.000</t>
  </si>
  <si>
    <t>150:000.001.428.000.000</t>
  </si>
  <si>
    <t>104843</t>
  </si>
  <si>
    <t>150:000.001.429.1631.000</t>
  </si>
  <si>
    <t>150:000.001.429.1632.000</t>
  </si>
  <si>
    <t>150:000.001.429.1633.000</t>
  </si>
  <si>
    <t>150:000.001.430.1634.000</t>
  </si>
  <si>
    <t>150:000.001.430.1635.000</t>
  </si>
  <si>
    <t>150:000.001.430.1636.000</t>
  </si>
  <si>
    <t>150:000.001.430.1637.000</t>
  </si>
  <si>
    <t>150:000.001.430.1638.000</t>
  </si>
  <si>
    <t>150:000.001.430.1639.000</t>
  </si>
  <si>
    <t>150:000.001.430.1640.000</t>
  </si>
  <si>
    <t>150:000.001.431.1641.000</t>
  </si>
  <si>
    <t>150:000.001.431.1642.000</t>
  </si>
  <si>
    <t>150:000.001.431.1643.000</t>
  </si>
  <si>
    <t>150:000.001.431.1644.000</t>
  </si>
  <si>
    <t>150:000.001.431.1645.000</t>
  </si>
  <si>
    <t>150:000.001.431.1646.000</t>
  </si>
  <si>
    <t>150:000.001.431.1647.000</t>
  </si>
  <si>
    <t>150:000.001.432.000.000</t>
  </si>
  <si>
    <t>150:000.001.433.000.000</t>
  </si>
  <si>
    <t>150:000.001.434.000.000</t>
  </si>
  <si>
    <t>150:000.001.435.000.000</t>
  </si>
  <si>
    <t>150:000.001.436.000.000</t>
  </si>
  <si>
    <t>150:000.001.437.000.000</t>
  </si>
  <si>
    <t>150:000.001.438.000.000</t>
  </si>
  <si>
    <t>150:000.001.439.000.000</t>
  </si>
  <si>
    <t>150:000.001.440.000.000</t>
  </si>
  <si>
    <t>150:000.001.441.000.000</t>
  </si>
  <si>
    <t>150:000.001.442.000.000</t>
  </si>
  <si>
    <t>104937</t>
  </si>
  <si>
    <t>150:000.001.443.000.000</t>
  </si>
  <si>
    <t>150:000.001.444.000.000</t>
  </si>
  <si>
    <t>103141</t>
  </si>
  <si>
    <t>150:000.001.445.000.000</t>
  </si>
  <si>
    <t>150:000.001.446.000.000</t>
  </si>
  <si>
    <t>150:000.001.447.000.000</t>
  </si>
  <si>
    <t>150:000.001.448.000.000</t>
  </si>
  <si>
    <t>150:000.001.449.000.000</t>
  </si>
  <si>
    <t>150:000.001.450.000.000</t>
  </si>
  <si>
    <t>150:000.001.451.000.000</t>
  </si>
  <si>
    <t>150:000.001.452.000.000</t>
  </si>
  <si>
    <t>150:000.001.453.000.000</t>
  </si>
  <si>
    <t>150:000.001.454.000.000</t>
  </si>
  <si>
    <t>150:000.001.455.000.000</t>
  </si>
  <si>
    <t>150:000.001.456.000.000</t>
  </si>
  <si>
    <t>150:000.001.457.000.000</t>
  </si>
  <si>
    <t>150:000.001.458.000.000</t>
  </si>
  <si>
    <t>150:000.001.459.000.000</t>
  </si>
  <si>
    <t>150:000.001.460.000.000</t>
  </si>
  <si>
    <t>104657</t>
  </si>
  <si>
    <t>150:000.001.461.000.000</t>
  </si>
  <si>
    <t>105030</t>
  </si>
  <si>
    <t>150:000.001.462.000.000</t>
  </si>
  <si>
    <t>150:000.001.463.000.000</t>
  </si>
  <si>
    <t>150:000.001.464.000.000</t>
  </si>
  <si>
    <t>150:000.001.465.000.000</t>
  </si>
  <si>
    <t>150:000.001.467.000.000</t>
  </si>
  <si>
    <t>150:000.001.468.000.000</t>
  </si>
  <si>
    <t>150:000.001.469.1648.000</t>
  </si>
  <si>
    <t>150:000.001.469.1649.000</t>
  </si>
  <si>
    <t>150:000.001.469.1650.000</t>
  </si>
  <si>
    <t>150:000.001.469.1651.000</t>
  </si>
  <si>
    <t>150:000.001.470.000.000</t>
  </si>
  <si>
    <t>150:000.001.471.000.000</t>
  </si>
  <si>
    <t>150:000.001.472.000.000</t>
  </si>
  <si>
    <t>150:000.001.473.000.000</t>
  </si>
  <si>
    <t>150:000.001.474.1652.000</t>
  </si>
  <si>
    <t>150:000.001.474.1653.000</t>
  </si>
  <si>
    <t>150:000.001.474.1654.000</t>
  </si>
  <si>
    <t>150:000.001.474.1655.000</t>
  </si>
  <si>
    <t>150:000.001.474.1656.000</t>
  </si>
  <si>
    <t>150:000.001.474.1657.000</t>
  </si>
  <si>
    <t>150:000.001.474.1658.000</t>
  </si>
  <si>
    <t>150:000.001.475.1659.000</t>
  </si>
  <si>
    <t>150:000.001.475.1660.000</t>
  </si>
  <si>
    <t>150:000.001.475.1661.000</t>
  </si>
  <si>
    <t>150:000.001.475.1662.000</t>
  </si>
  <si>
    <t>150:000.001.475.1663.000</t>
  </si>
  <si>
    <t>150:000.001.475.1664.000</t>
  </si>
  <si>
    <t>150:000.001.475.1665.000</t>
  </si>
  <si>
    <t>150:000.001.475.1666.000</t>
  </si>
  <si>
    <t>150:000.001.475.1667.000</t>
  </si>
  <si>
    <t>150:000.001.476.000.000</t>
  </si>
  <si>
    <t>103284</t>
  </si>
  <si>
    <t>150:000.001.478.000.000</t>
  </si>
  <si>
    <t>150:000.001.479.000.000</t>
  </si>
  <si>
    <t>104882</t>
  </si>
  <si>
    <t>150:000.001.480.000.000</t>
  </si>
  <si>
    <t>105205</t>
  </si>
  <si>
    <t>150:000.001.482.000.000</t>
  </si>
  <si>
    <t>150:000.001.483.000.000</t>
  </si>
  <si>
    <t>150:000.001.484.000.000</t>
  </si>
  <si>
    <t>150:000.001.485.000.000</t>
  </si>
  <si>
    <t>150:000.001.486.000.000</t>
  </si>
  <si>
    <t>150:000.001.487.000.000</t>
  </si>
  <si>
    <t>150:000.001.488.000.000</t>
  </si>
  <si>
    <t>150:000.001.489.000.000</t>
  </si>
  <si>
    <t>150:000.001.490.000.000</t>
  </si>
  <si>
    <t>150:000.001.491.000.000</t>
  </si>
  <si>
    <t>150:000.001.492.000.000</t>
  </si>
  <si>
    <t>150:000.001.493.000.000</t>
  </si>
  <si>
    <t>150:000.001.494.000.000</t>
  </si>
  <si>
    <t>104658</t>
  </si>
  <si>
    <t>150:000.001.495.000.000</t>
  </si>
  <si>
    <t>104688</t>
  </si>
  <si>
    <t>150:000.001.496.000.000</t>
  </si>
  <si>
    <t>150:000.001.497.000.000</t>
  </si>
  <si>
    <t>150:000.001.498.000.000</t>
  </si>
  <si>
    <t>110585</t>
  </si>
  <si>
    <t>150:000.001.499.000.000</t>
  </si>
  <si>
    <t>103138</t>
  </si>
  <si>
    <t>150:000.001.500.000.000</t>
  </si>
  <si>
    <t>150:000.001.501.000.000</t>
  </si>
  <si>
    <t>150:000.001.502.000.000</t>
  </si>
  <si>
    <t>150:000.001.503.000.000</t>
  </si>
  <si>
    <t>150:000.001.504.000.000</t>
  </si>
  <si>
    <t>150:000.001.505.000.000</t>
  </si>
  <si>
    <t>150:000.001.506.1669.000</t>
  </si>
  <si>
    <t>150:000.001.506.1670.000</t>
  </si>
  <si>
    <t>150:000.001.506.1671.000</t>
  </si>
  <si>
    <t>150:000.001.506.1672.000</t>
  </si>
  <si>
    <t>150:000.001.506.1673.000</t>
  </si>
  <si>
    <t>150:000.001.506.1674.000</t>
  </si>
  <si>
    <t>150:000.001.506.1675.000</t>
  </si>
  <si>
    <t>150:000.001.506.1676.000</t>
  </si>
  <si>
    <t>150:000.001.506.1677.000</t>
  </si>
  <si>
    <t>150:000.001.506.1678.000</t>
  </si>
  <si>
    <t>150:000.001.507.000.000</t>
  </si>
  <si>
    <t>150:000.001.508.000.000</t>
  </si>
  <si>
    <t>150:000.001.509.000.000</t>
  </si>
  <si>
    <t>150:000.001.510.000.000</t>
  </si>
  <si>
    <t>150:000.001.511.000.000</t>
  </si>
  <si>
    <t>150:000.001.512.000.000</t>
  </si>
  <si>
    <t>150:000.001.513.000.000</t>
  </si>
  <si>
    <t>150:000.001.514.000.000</t>
  </si>
  <si>
    <t>150:000.001.515.000.000</t>
  </si>
  <si>
    <t>150:000.001.516.000.000</t>
  </si>
  <si>
    <t>150:000.001.517.000.000</t>
  </si>
  <si>
    <t>150:000.001.518.000.000</t>
  </si>
  <si>
    <t>150:000.001.519.000.000</t>
  </si>
  <si>
    <t>150:000.001.520.000.000</t>
  </si>
  <si>
    <t>150:000.001.521.000.000</t>
  </si>
  <si>
    <t>150:000.001.522.000.000</t>
  </si>
  <si>
    <t>150:000.001.523.000.000</t>
  </si>
  <si>
    <t>150:000.001.524.1679.000</t>
  </si>
  <si>
    <t>150:000.001.524.1680.000</t>
  </si>
  <si>
    <t>150:000.001.525.1681.000</t>
  </si>
  <si>
    <t>150:000.001.525.1682.000</t>
  </si>
  <si>
    <t>150:000.001.525.1683.000</t>
  </si>
  <si>
    <t>150:000.001.526.000.000</t>
  </si>
  <si>
    <t>150:000.001.527.000.000</t>
  </si>
  <si>
    <t>105431</t>
  </si>
  <si>
    <t>150:000.001.528.000.000</t>
  </si>
  <si>
    <t>150:000.001.529.000.000</t>
  </si>
  <si>
    <t>150:000.001.530.000.000</t>
  </si>
  <si>
    <t>150:000.001.531.000.000</t>
  </si>
  <si>
    <t>150:000.001.532.1684.000</t>
  </si>
  <si>
    <t>150:000.001.532.1685.000</t>
  </si>
  <si>
    <t>150:000.001.532.1686.000</t>
  </si>
  <si>
    <t>150:000.001.532.1687.000</t>
  </si>
  <si>
    <t>150:000.001.532.1688.000</t>
  </si>
  <si>
    <t>150:000.001.533.000.000</t>
  </si>
  <si>
    <t>150:000.001.534.000.000</t>
  </si>
  <si>
    <t>150:000.001.535.000.000</t>
  </si>
  <si>
    <t>150:000.001.536.000.000</t>
  </si>
  <si>
    <t>150:000.001.537.000.000</t>
  </si>
  <si>
    <t>150:000.001.538.000.000</t>
  </si>
  <si>
    <t>150:000.001.539.000.000</t>
  </si>
  <si>
    <t>150:000.001.540.000.000</t>
  </si>
  <si>
    <t>150:000.001.541.000.000</t>
  </si>
  <si>
    <t>150:000.001.542.000.000</t>
  </si>
  <si>
    <t>150:000.001.543.000.000</t>
  </si>
  <si>
    <t>150:000.001.545.000.000</t>
  </si>
  <si>
    <t>150:000.001.546.1689.000</t>
  </si>
  <si>
    <t>150:000.001.546.1690.000</t>
  </si>
  <si>
    <t>150:000.001.546.1691.000</t>
  </si>
  <si>
    <t>150:000.001.547.000.000</t>
  </si>
  <si>
    <t>150:000.001.549.1692.000</t>
  </si>
  <si>
    <t>150:000.001.549.1693.000</t>
  </si>
  <si>
    <t>150:000.001.549.1694.000</t>
  </si>
  <si>
    <t>150:000.001.550.1695.000</t>
  </si>
  <si>
    <t>150:000.001.550.1696.000</t>
  </si>
  <si>
    <t>150:000.001.551.000.000</t>
  </si>
  <si>
    <t>150:000.001.552.1697.000</t>
  </si>
  <si>
    <t>150:000.001.552.1699.000</t>
  </si>
  <si>
    <t>150:000.001.552.1700.000</t>
  </si>
  <si>
    <t>150:000.001.552.1701.000</t>
  </si>
  <si>
    <t>150:000.001.552.1702.000</t>
  </si>
  <si>
    <t>150:000.001.552.1703.000</t>
  </si>
  <si>
    <t>150:000.001.553.000.000</t>
  </si>
  <si>
    <t>150:000.001.554.1704.000</t>
  </si>
  <si>
    <t>150:000.001.554.1705.000</t>
  </si>
  <si>
    <t>150:000.001.554.1706.000</t>
  </si>
  <si>
    <t>150:000.001.554.1707.000</t>
  </si>
  <si>
    <t>150:000.001.554.1708.000</t>
  </si>
  <si>
    <t>150:000.001.554.1709.000</t>
  </si>
  <si>
    <t>150:000.001.554.1710.000</t>
  </si>
  <si>
    <t>150:000.001.554.1711.000</t>
  </si>
  <si>
    <t>150:000.001.554.1712.000</t>
  </si>
  <si>
    <t>150:000.001.554.1713.000</t>
  </si>
  <si>
    <t>150:000.001.554.1714.000</t>
  </si>
  <si>
    <t>150:000.001.555.1715.000</t>
  </si>
  <si>
    <t>150:000.001.555.1716.000</t>
  </si>
  <si>
    <t>150:000.001.555.1717.000</t>
  </si>
  <si>
    <t>150:000.001.555.1718.000</t>
  </si>
  <si>
    <t>150:000.001.555.1719.000</t>
  </si>
  <si>
    <t>150:000.001.555.1720.000</t>
  </si>
  <si>
    <t>150:000.001.555.1721.000</t>
  </si>
  <si>
    <t>150:000.001.555.1722.000</t>
  </si>
  <si>
    <t>150:000.001.556.000.000</t>
  </si>
  <si>
    <t>150:000.001.557.1723.000</t>
  </si>
  <si>
    <t>150:000.001.557.1724.000</t>
  </si>
  <si>
    <t>150:000.001.557.1725.000</t>
  </si>
  <si>
    <t>150:000.001.557.1726.000</t>
  </si>
  <si>
    <t>150:000.001.557.1727.000</t>
  </si>
  <si>
    <t>150:000.001.557.1728.000</t>
  </si>
  <si>
    <t>150:000.001.557.1729.000</t>
  </si>
  <si>
    <t>150:000.001.557.1730.000</t>
  </si>
  <si>
    <t>150:000.001.558.1731.000</t>
  </si>
  <si>
    <t>150:000.001.559.1732.000</t>
  </si>
  <si>
    <t>150:000.001.559.1733.000</t>
  </si>
  <si>
    <t>150:000.001.559.1734.000</t>
  </si>
  <si>
    <t>150:000.001.559.1735.000</t>
  </si>
  <si>
    <t>150:000.001.559.1736.000</t>
  </si>
  <si>
    <t>150:000.001.559.1737.000</t>
  </si>
  <si>
    <t>150:000.001.560.1738.000</t>
  </si>
  <si>
    <t>150:000.001.560.1739.000</t>
  </si>
  <si>
    <t>150:000.001.560.1740.000</t>
  </si>
  <si>
    <t>150:000.001.560.1741.000</t>
  </si>
  <si>
    <t>150:000.001.560.1742.000</t>
  </si>
  <si>
    <t>150:000.001.560.1743.000</t>
  </si>
  <si>
    <t>150:000.001.560.1744.000</t>
  </si>
  <si>
    <t>150:000.001.560.1745.000</t>
  </si>
  <si>
    <t>150:000.001.561.000.000</t>
  </si>
  <si>
    <t>150:000.001.562.000.000</t>
  </si>
  <si>
    <t>150:000.001.563.000.000</t>
  </si>
  <si>
    <t>150:000.001.564.000.000</t>
  </si>
  <si>
    <t>150:000.001.565.000.000</t>
  </si>
  <si>
    <t>150:000.001.566.000.000</t>
  </si>
  <si>
    <t>634188.0010</t>
  </si>
  <si>
    <t>150:000.001.567.000.000</t>
  </si>
  <si>
    <t>634188.0020</t>
  </si>
  <si>
    <t>160:000.001.001.001.000</t>
  </si>
  <si>
    <t>160:000.001.001.002.000</t>
  </si>
  <si>
    <t>160:000.001.001.003.000</t>
  </si>
  <si>
    <t>160:000.001.001.004.000</t>
  </si>
  <si>
    <t>160:000.001.001.005.000</t>
  </si>
  <si>
    <t>160:000.001.001.006.000</t>
  </si>
  <si>
    <t>160:000.001.001.007.000</t>
  </si>
  <si>
    <t>160:000.001.001.008.000</t>
  </si>
  <si>
    <t>160:000.001.001.009.000</t>
  </si>
  <si>
    <t>160:000.001.001.010.000</t>
  </si>
  <si>
    <t>160:000.001.001.011.000</t>
  </si>
  <si>
    <t>160:000.001.001.012.000</t>
  </si>
  <si>
    <t>160:000.001.001.013.000</t>
  </si>
  <si>
    <t>160:000.001.001.014.000</t>
  </si>
  <si>
    <t>160:000.001.001.015.000</t>
  </si>
  <si>
    <t>160:000.001.001.016.000</t>
  </si>
  <si>
    <t>160:000.001.001.018.000</t>
  </si>
  <si>
    <t>160:000.001.001.019.000</t>
  </si>
  <si>
    <t>160:000.001.001.020.000</t>
  </si>
  <si>
    <t>160:000.001.001.021.000</t>
  </si>
  <si>
    <t>160:000.001.001.022.000</t>
  </si>
  <si>
    <t>160:000.001.002.000.000</t>
  </si>
  <si>
    <t>634196.0020</t>
  </si>
  <si>
    <t>634347.0020</t>
  </si>
  <si>
    <t>160:000.001.003.000.000</t>
  </si>
  <si>
    <t>160:000.001.003.023.000</t>
  </si>
  <si>
    <t>160:000.001.003.024.000</t>
  </si>
  <si>
    <t>126030</t>
  </si>
  <si>
    <t>160:000.001.003.025.000</t>
  </si>
  <si>
    <t>160:000.001.003.026.000</t>
  </si>
  <si>
    <t>160:000.001.003.027.000</t>
  </si>
  <si>
    <t>160:000.001.003.028.000</t>
  </si>
  <si>
    <t>160:000.001.003.029.000</t>
  </si>
  <si>
    <t>160:000.001.003.030.000</t>
  </si>
  <si>
    <t>160:000.001.003.031.000</t>
  </si>
  <si>
    <t>160:000.001.003.032.000</t>
  </si>
  <si>
    <t>160:000.001.003.033.000</t>
  </si>
  <si>
    <t>160:000.001.003.034.000</t>
  </si>
  <si>
    <t>160:000.001.003.035.000</t>
  </si>
  <si>
    <t>160:000.001.003.036.000</t>
  </si>
  <si>
    <t>160:000.001.003.037.000</t>
  </si>
  <si>
    <t>160:000.001.003.038.000</t>
  </si>
  <si>
    <t>160:000.001.003.039.000</t>
  </si>
  <si>
    <t>160:000.001.003.040.000</t>
  </si>
  <si>
    <t>160:000.001.003.041.000</t>
  </si>
  <si>
    <t>160:000.001.003.042.000</t>
  </si>
  <si>
    <t>160:000.001.003.046.000</t>
  </si>
  <si>
    <t>160:000.001.003.047.000</t>
  </si>
  <si>
    <t>160:000.001.003.048.000</t>
  </si>
  <si>
    <t>160:000.001.003.049.000</t>
  </si>
  <si>
    <t>160:000.001.003.050.000</t>
  </si>
  <si>
    <t>160:000.001.003.051.000</t>
  </si>
  <si>
    <t>160:000.001.003.052.000</t>
  </si>
  <si>
    <t>160:000.001.003.053.000</t>
  </si>
  <si>
    <t>160:000.001.003.054.000</t>
  </si>
  <si>
    <t>160:000.001.003.055.000</t>
  </si>
  <si>
    <t>160:000.001.004.000.000</t>
  </si>
  <si>
    <t>160:000.001.004.056.000</t>
  </si>
  <si>
    <t>160:000.001.004.057.000</t>
  </si>
  <si>
    <t>160:000.001.004.058.000</t>
  </si>
  <si>
    <t>160:000.001.004.059.000</t>
  </si>
  <si>
    <t>160:000.001.004.060.000</t>
  </si>
  <si>
    <t>160:000.001.004.061.000</t>
  </si>
  <si>
    <t>160:000.001.004.062.000</t>
  </si>
  <si>
    <t>160:000.001.004.063.000</t>
  </si>
  <si>
    <t>160:000.001.004.064.000</t>
  </si>
  <si>
    <t>160:000.001.004.065.000</t>
  </si>
  <si>
    <t>160:000.001.004.066.000</t>
  </si>
  <si>
    <t>160:000.001.004.067.000</t>
  </si>
  <si>
    <t>160:000.001.004.068.000</t>
  </si>
  <si>
    <t>160:000.001.004.069.000</t>
  </si>
  <si>
    <t>160:000.001.004.071.000</t>
  </si>
  <si>
    <t>160:000.001.004.074.000</t>
  </si>
  <si>
    <t>160:000.001.004.075.000</t>
  </si>
  <si>
    <t>160:000.001.004.076.000</t>
  </si>
  <si>
    <t>160:000.001.004.077.000</t>
  </si>
  <si>
    <t>160:000.001.004.078.000</t>
  </si>
  <si>
    <t>160:000.001.004.079.000</t>
  </si>
  <si>
    <t>160:000.001.004.080.000</t>
  </si>
  <si>
    <t>160:000.001.004.081.000</t>
  </si>
  <si>
    <t>160:000.001.004.082.000</t>
  </si>
  <si>
    <t>160:000.001.004.083.000</t>
  </si>
  <si>
    <t>160:000.001.004.084.000</t>
  </si>
  <si>
    <t>160:000.001.004.085.000</t>
  </si>
  <si>
    <t>160:000.001.004.086.000</t>
  </si>
  <si>
    <t>160:000.001.005.000.000</t>
  </si>
  <si>
    <t>160:000.001.005.089.000</t>
  </si>
  <si>
    <t>160:000.001.005.090.000</t>
  </si>
  <si>
    <t>160:000.001.005.091.000</t>
  </si>
  <si>
    <t>160:000.001.005.092.000</t>
  </si>
  <si>
    <t>160:000.001.005.093.000</t>
  </si>
  <si>
    <t>160:000.001.005.094.000</t>
  </si>
  <si>
    <t>160:000.001.006.000.000</t>
  </si>
  <si>
    <t>160:000.001.006.095.000</t>
  </si>
  <si>
    <t>160:000.001.006.096.000</t>
  </si>
  <si>
    <t>160:000.001.006.097.000</t>
  </si>
  <si>
    <t>160:000.001.006.098.000</t>
  </si>
  <si>
    <t>160:000.001.006.099.000</t>
  </si>
  <si>
    <t>160:000.001.006.100.000</t>
  </si>
  <si>
    <t>160:000.001.006.101.000</t>
  </si>
  <si>
    <t>160:000.001.006.102.000</t>
  </si>
  <si>
    <t>160:000.001.006.103.000</t>
  </si>
  <si>
    <t>160:000.001.007.012.000</t>
  </si>
  <si>
    <t>160:000.001.007.013.000</t>
  </si>
  <si>
    <t>160:000.001.007.014.000</t>
  </si>
  <si>
    <t>160:000.001.007.015.000</t>
  </si>
  <si>
    <t>160:000.001.007.104.000</t>
  </si>
  <si>
    <t>160:000.001.007.105.000</t>
  </si>
  <si>
    <t>160:000.001.007.106.000</t>
  </si>
  <si>
    <t>160:000.001.007.107.000</t>
  </si>
  <si>
    <t>160:000.001.007.108.000</t>
  </si>
  <si>
    <t>160:000.001.007.109.000</t>
  </si>
  <si>
    <t>160:000.001.007.110.000</t>
  </si>
  <si>
    <t>160:000.001.007.111.000</t>
  </si>
  <si>
    <t>160:000.001.007.112.000</t>
  </si>
  <si>
    <t>160:000.001.008.000.000</t>
  </si>
  <si>
    <t>160:000.001.008.113.000</t>
  </si>
  <si>
    <t>160:000.001.008.114.000</t>
  </si>
  <si>
    <t>160:000.001.008.115.000</t>
  </si>
  <si>
    <t>160:000.001.008.116.000</t>
  </si>
  <si>
    <t>160:000.001.008.117.000</t>
  </si>
  <si>
    <t>160:000.001.008.118.000</t>
  </si>
  <si>
    <t>160:000.001.008.119.000</t>
  </si>
  <si>
    <t>160:000.001.008.120.000</t>
  </si>
  <si>
    <t>160:000.001.008.121.000</t>
  </si>
  <si>
    <t>160:000.001.008.122.000</t>
  </si>
  <si>
    <t>160:000.001.008.123.000</t>
  </si>
  <si>
    <t>160:000.001.008.124.000</t>
  </si>
  <si>
    <t>160:000.001.008.125.000</t>
  </si>
  <si>
    <t>160:000.001.008.126.000</t>
  </si>
  <si>
    <t>160:000.001.008.127.000</t>
  </si>
  <si>
    <t>160:000.001.008.128.000</t>
  </si>
  <si>
    <t>160:000.001.008.129.000</t>
  </si>
  <si>
    <t>160:000.001.008.130.000</t>
  </si>
  <si>
    <t>160:000.001.008.131.000</t>
  </si>
  <si>
    <t>160:000.001.008.132.000</t>
  </si>
  <si>
    <t>160:000.001.008.133.000</t>
  </si>
  <si>
    <t>160:000.001.008.135.000</t>
  </si>
  <si>
    <t>160:000.001.008.136.000</t>
  </si>
  <si>
    <t>160:000.001.008.137.000</t>
  </si>
  <si>
    <t>160:000.001.008.138.000</t>
  </si>
  <si>
    <t>160:000.001.008.139.000</t>
  </si>
  <si>
    <t>160:000.001.008.140.000</t>
  </si>
  <si>
    <t>160:000.001.008.141.000</t>
  </si>
  <si>
    <t>160:000.001.008.142.000</t>
  </si>
  <si>
    <t>160:000.001.008.144.000</t>
  </si>
  <si>
    <t>160:000.001.008.145.000</t>
  </si>
  <si>
    <t>160:000.001.008.146.000</t>
  </si>
  <si>
    <t>160:000.001.008.147.000</t>
  </si>
  <si>
    <t>160:000.001.008.148.000</t>
  </si>
  <si>
    <t>160:000.001.008.149.000</t>
  </si>
  <si>
    <t>160:000.001.008.150.000</t>
  </si>
  <si>
    <t>160:000.001.008.151.000</t>
  </si>
  <si>
    <t>160:000.001.008.152.000</t>
  </si>
  <si>
    <t>160:000.001.008.153.000</t>
  </si>
  <si>
    <t>160:000.001.008.154.000</t>
  </si>
  <si>
    <t>160:000.001.008.155.000</t>
  </si>
  <si>
    <t>160:000.001.008.156.000</t>
  </si>
  <si>
    <t>160:000.001.008.157.000</t>
  </si>
  <si>
    <t>160:000.001.008.158.000</t>
  </si>
  <si>
    <t>160:000.001.009.016.000</t>
  </si>
  <si>
    <t>160:000.001.009.017.000</t>
  </si>
  <si>
    <t>160:000.001.009.018.000</t>
  </si>
  <si>
    <t>160:000.001.009.159.000</t>
  </si>
  <si>
    <t>160:000.001.009.160.000</t>
  </si>
  <si>
    <t>160:000.001.009.161.000</t>
  </si>
  <si>
    <t>160:000.001.009.162.000</t>
  </si>
  <si>
    <t>160:000.001.009.163.000</t>
  </si>
  <si>
    <t>160:000.001.009.164.000</t>
  </si>
  <si>
    <t>160:000.001.009.165.000</t>
  </si>
  <si>
    <t>160:000.001.009.166.000</t>
  </si>
  <si>
    <t>160:000.001.009.167.000</t>
  </si>
  <si>
    <t>160:000.001.009.168.000</t>
  </si>
  <si>
    <t>160:000.001.009.169.000</t>
  </si>
  <si>
    <t>160:000.001.009.170.000</t>
  </si>
  <si>
    <t>160:000.001.009.171.000</t>
  </si>
  <si>
    <t>160:000.001.009.172.000</t>
  </si>
  <si>
    <t>160:000.001.009.173.000</t>
  </si>
  <si>
    <t>160:000.001.009.174.000</t>
  </si>
  <si>
    <t>160:000.001.009.175.000</t>
  </si>
  <si>
    <t>160:000.001.009.176.000</t>
  </si>
  <si>
    <t>160:000.001.009.177.000</t>
  </si>
  <si>
    <t>160:000.001.009.178.000</t>
  </si>
  <si>
    <t>160:000.001.009.179.000</t>
  </si>
  <si>
    <t>160:000.001.009.180.000</t>
  </si>
  <si>
    <t>160:000.001.009.181.000</t>
  </si>
  <si>
    <t>160:000.001.009.182.000</t>
  </si>
  <si>
    <t>160:000.001.009.183.000</t>
  </si>
  <si>
    <t>160:000.001.009.184.000</t>
  </si>
  <si>
    <t>160:000.001.009.185.000</t>
  </si>
  <si>
    <t>160:000.001.009.186.000</t>
  </si>
  <si>
    <t>160:000.001.009.187.000</t>
  </si>
  <si>
    <t>160:000.001.009.188.000</t>
  </si>
  <si>
    <t>160:000.001.009.189.000</t>
  </si>
  <si>
    <t>160:000.001.009.190.000</t>
  </si>
  <si>
    <t>160:000.001.009.194.000</t>
  </si>
  <si>
    <t>160:000.001.009.195.000</t>
  </si>
  <si>
    <t>160:000.001.009.196.000</t>
  </si>
  <si>
    <t>160:000.001.009.197.000</t>
  </si>
  <si>
    <t>160:000.001.009.198.000</t>
  </si>
  <si>
    <t>160:000.001.009.199.000</t>
  </si>
  <si>
    <t>160:000.001.009.200.000</t>
  </si>
  <si>
    <t>160:000.001.009.201.000</t>
  </si>
  <si>
    <t>160:000.001.009.202.000</t>
  </si>
  <si>
    <t>160:000.001.009.203.000</t>
  </si>
  <si>
    <t>160:000.001.010.019.000</t>
  </si>
  <si>
    <t>160:000.001.010.204.000</t>
  </si>
  <si>
    <t>160:000.001.010.205.000</t>
  </si>
  <si>
    <t>160:000.001.010.206.000</t>
  </si>
  <si>
    <t>160:000.001.010.207.000</t>
  </si>
  <si>
    <t>160:000.001.010.208.000</t>
  </si>
  <si>
    <t>160:000.001.010.209.000</t>
  </si>
  <si>
    <t>160:000.001.010.210.000</t>
  </si>
  <si>
    <t>160:000.001.010.211.000</t>
  </si>
  <si>
    <t>160:000.001.010.212.000</t>
  </si>
  <si>
    <t>160:000.001.010.214.000</t>
  </si>
  <si>
    <t>160:000.001.010.215.000</t>
  </si>
  <si>
    <t>160:000.001.010.216.000</t>
  </si>
  <si>
    <t>160:000.001.010.217.000</t>
  </si>
  <si>
    <t>160:000.001.010.218.000</t>
  </si>
  <si>
    <t>160:000.001.010.219.000</t>
  </si>
  <si>
    <t>160:000.001.011.020.000</t>
  </si>
  <si>
    <t>160:000.001.011.021.000</t>
  </si>
  <si>
    <t>160:000.001.011.023.000</t>
  </si>
  <si>
    <t>160:000.001.011.220.000</t>
  </si>
  <si>
    <t>160:000.001.011.221.000</t>
  </si>
  <si>
    <t>160:000.001.011.222.000</t>
  </si>
  <si>
    <t>160:000.001.011.223.000</t>
  </si>
  <si>
    <t>160:000.001.011.224.000</t>
  </si>
  <si>
    <t>160:000.001.011.225.000</t>
  </si>
  <si>
    <t>160:000.001.011.227.000</t>
  </si>
  <si>
    <t>160:000.001.011.228.000</t>
  </si>
  <si>
    <t>160:000.001.011.229.000</t>
  </si>
  <si>
    <t>160:000.001.011.230.000</t>
  </si>
  <si>
    <t>160:000.001.012.000.000</t>
  </si>
  <si>
    <t>160:000.001.012.024.000</t>
  </si>
  <si>
    <t>160:000.001.012.025.000</t>
  </si>
  <si>
    <t>160:000.001.012.026.000</t>
  </si>
  <si>
    <t>160:000.001.012.027.000</t>
  </si>
  <si>
    <t>160:000.001.012.028.000</t>
  </si>
  <si>
    <t>160:000.001.012.029.000</t>
  </si>
  <si>
    <t>160:000.001.012.030.000</t>
  </si>
  <si>
    <t>160:000.001.012.031.000</t>
  </si>
  <si>
    <t>160:000.001.013.000.000</t>
  </si>
  <si>
    <t>160:000.001.013.231.000</t>
  </si>
  <si>
    <t>160:000.001.013.232.000</t>
  </si>
  <si>
    <t>160:000.001.013.233.000</t>
  </si>
  <si>
    <t>160:000.001.013.234.000</t>
  </si>
  <si>
    <t>160:000.001.013.235.000</t>
  </si>
  <si>
    <t>160:000.001.013.236.000</t>
  </si>
  <si>
    <t>160:000.001.013.237.000</t>
  </si>
  <si>
    <t>160:000.001.013.239.000</t>
  </si>
  <si>
    <t>160:000.001.013.240.000</t>
  </si>
  <si>
    <t>160:000.001.013.241.000</t>
  </si>
  <si>
    <t>160:000.001.014.000.000</t>
  </si>
  <si>
    <t>160:000.001.014.242.000</t>
  </si>
  <si>
    <t>160:000.001.014.243.000</t>
  </si>
  <si>
    <t>160:000.001.014.244.000</t>
  </si>
  <si>
    <t>160:000.001.014.245.000</t>
  </si>
  <si>
    <t>160:000.001.014.246.000</t>
  </si>
  <si>
    <t>160:000.001.014.247.000</t>
  </si>
  <si>
    <t>160:000.001.014.248.000</t>
  </si>
  <si>
    <t>160:000.001.015.000.000</t>
  </si>
  <si>
    <t>104693</t>
  </si>
  <si>
    <t>160:000.001.015.032.000</t>
  </si>
  <si>
    <t>160:000.001.015.033.000</t>
  </si>
  <si>
    <t>160:000.001.015.034.000</t>
  </si>
  <si>
    <t>160:000.001.015.035.000</t>
  </si>
  <si>
    <t>160:000.001.015.036.000</t>
  </si>
  <si>
    <t>160:000.001.015.037.000</t>
  </si>
  <si>
    <t>160:000.001.015.038.000</t>
  </si>
  <si>
    <t>160:000.001.015.039.000</t>
  </si>
  <si>
    <t>160:000.001.015.040.000</t>
  </si>
  <si>
    <t>160:000.001.016.000.000</t>
  </si>
  <si>
    <t>160:000.001.016.041.000</t>
  </si>
  <si>
    <t>160:000.001.016.042.000</t>
  </si>
  <si>
    <t>160:000.001.016.043.000</t>
  </si>
  <si>
    <t>160:000.001.016.044.000</t>
  </si>
  <si>
    <t>160:000.001.016.045.000</t>
  </si>
  <si>
    <t>160:000.001.017.046.000</t>
  </si>
  <si>
    <t>160:000.001.017.047.000</t>
  </si>
  <si>
    <t>160:000.001.017.048.000</t>
  </si>
  <si>
    <t>160:000.001.017.049.000</t>
  </si>
  <si>
    <t>160:000.001.017.050.000</t>
  </si>
  <si>
    <t>160:000.001.017.051.000</t>
  </si>
  <si>
    <t>160:000.001.017.052.000</t>
  </si>
  <si>
    <t>160:000.001.017.053.000</t>
  </si>
  <si>
    <t>160:000.001.017.054.000</t>
  </si>
  <si>
    <t>160:000.001.017.249.000</t>
  </si>
  <si>
    <t>160:000.001.017.250.000</t>
  </si>
  <si>
    <t>160:000.001.017.251.000</t>
  </si>
  <si>
    <t>160:000.001.017.252.000</t>
  </si>
  <si>
    <t>160:000.001.017.253.000</t>
  </si>
  <si>
    <t>160:000.001.017.254.000</t>
  </si>
  <si>
    <t>160:000.001.017.255.000</t>
  </si>
  <si>
    <t>160:000.001.017.256.000</t>
  </si>
  <si>
    <t>160:000.001.018.056.000</t>
  </si>
  <si>
    <t>160:000.001.018.057.000</t>
  </si>
  <si>
    <t>160:000.001.019.000.000</t>
  </si>
  <si>
    <t>105437</t>
  </si>
  <si>
    <t>160:000.001.019.058.000</t>
  </si>
  <si>
    <t>160:000.001.019.059.000</t>
  </si>
  <si>
    <t>160:000.001.019.060.000</t>
  </si>
  <si>
    <t>160:000.001.019.061.000</t>
  </si>
  <si>
    <t>160:000.001.019.062.000</t>
  </si>
  <si>
    <t>160:000.001.019.063.000</t>
  </si>
  <si>
    <t>160:000.001.019.064.000</t>
  </si>
  <si>
    <t>160:000.001.019.065.000</t>
  </si>
  <si>
    <t>160:000.001.019.066.000</t>
  </si>
  <si>
    <t>160:000.001.020.000.000</t>
  </si>
  <si>
    <t>160:000.001.021.000.000</t>
  </si>
  <si>
    <t>160:000.001.021.068.000</t>
  </si>
  <si>
    <t>160:000.001.021.069.000</t>
  </si>
  <si>
    <t>160:000.001.021.070.000</t>
  </si>
  <si>
    <t>160:000.001.021.071.000</t>
  </si>
  <si>
    <t>160:000.001.021.072.000</t>
  </si>
  <si>
    <t>160:000.001.021.073.000</t>
  </si>
  <si>
    <t>160:000.001.021.074.000</t>
  </si>
  <si>
    <t>160:000.001.021.075.000</t>
  </si>
  <si>
    <t>160:000.001.021.076.000</t>
  </si>
  <si>
    <t>160:000.001.021.077.000</t>
  </si>
  <si>
    <t>160:000.001.021.078.000</t>
  </si>
  <si>
    <t>160:000.001.021.079.000</t>
  </si>
  <si>
    <t>160:000.001.021.080.000</t>
  </si>
  <si>
    <t>160:000.001.022.000.000</t>
  </si>
  <si>
    <t>104600</t>
  </si>
  <si>
    <t>160:000.001.022.081.000</t>
  </si>
  <si>
    <t>160:000.001.022.082.000</t>
  </si>
  <si>
    <t>160:000.001.022.083.000</t>
  </si>
  <si>
    <t>160:000.001.022.084.000</t>
  </si>
  <si>
    <t>160:000.001.022.085.000</t>
  </si>
  <si>
    <t>160:000.001.022.086.000</t>
  </si>
  <si>
    <t>160:000.001.022.087.000</t>
  </si>
  <si>
    <t>160:000.001.022.088.000</t>
  </si>
  <si>
    <t>160:000.001.022.089.000</t>
  </si>
  <si>
    <t>100696</t>
  </si>
  <si>
    <t>160:000.001.023.000.000</t>
  </si>
  <si>
    <t>116571</t>
  </si>
  <si>
    <t>160:000.001.024.000.000</t>
  </si>
  <si>
    <t>160:000.001.024.090.000</t>
  </si>
  <si>
    <t>160:000.001.024.091.000</t>
  </si>
  <si>
    <t>160:000.001.024.092.000</t>
  </si>
  <si>
    <t>160:000.001.024.093.000</t>
  </si>
  <si>
    <t>160:000.001.024.094.000</t>
  </si>
  <si>
    <t>160:000.001.024.095.000</t>
  </si>
  <si>
    <t>160:000.001.024.096.000</t>
  </si>
  <si>
    <t>160:000.001.024.097.000</t>
  </si>
  <si>
    <t>160:000.001.024.098.000</t>
  </si>
  <si>
    <t>160:000.001.024.099.000</t>
  </si>
  <si>
    <t>160:000.001.024.100.000</t>
  </si>
  <si>
    <t>160:000.001.024.101.000</t>
  </si>
  <si>
    <t>160:000.001.024.102.000</t>
  </si>
  <si>
    <t>160:000.001.024.103.000</t>
  </si>
  <si>
    <t>160:000.001.024.104.000</t>
  </si>
  <si>
    <t>160:000.001.025.000.000</t>
  </si>
  <si>
    <t>160:000.001.025.105.000</t>
  </si>
  <si>
    <t>160:000.001.025.106.000</t>
  </si>
  <si>
    <t>160:000.001.025.107.000</t>
  </si>
  <si>
    <t>160:000.001.025.108.000</t>
  </si>
  <si>
    <t>160:000.001.025.109.000</t>
  </si>
  <si>
    <t>160:000.001.025.110.000</t>
  </si>
  <si>
    <t>160:000.001.025.111.000</t>
  </si>
  <si>
    <t>160:000.001.025.112.000</t>
  </si>
  <si>
    <t>160:000.001.025.113.000</t>
  </si>
  <si>
    <t>160:000.001.025.114.000</t>
  </si>
  <si>
    <t>160:000.001.026.115.000</t>
  </si>
  <si>
    <t>160:000.001.026.257.000</t>
  </si>
  <si>
    <t>160:000.001.026.258.000</t>
  </si>
  <si>
    <t>160:000.001.026.259.000</t>
  </si>
  <si>
    <t>160:000.001.026.260.000</t>
  </si>
  <si>
    <t>160:000.001.026.261.000</t>
  </si>
  <si>
    <t>160:000.001.026.262.000</t>
  </si>
  <si>
    <t>160:000.001.026.263.000</t>
  </si>
  <si>
    <t>160:000.001.026.264.000</t>
  </si>
  <si>
    <t>160:000.001.026.265.000</t>
  </si>
  <si>
    <t>160:000.001.026.266.000</t>
  </si>
  <si>
    <t>160:000.001.026.267.000</t>
  </si>
  <si>
    <t>160:000.001.026.268.000</t>
  </si>
  <si>
    <t>160:000.001.026.269.000</t>
  </si>
  <si>
    <t>160:000.001.026.270.000</t>
  </si>
  <si>
    <t>160:000.001.026.271.000</t>
  </si>
  <si>
    <t>160:000.001.026.272.000</t>
  </si>
  <si>
    <t>160:000.001.026.273.000</t>
  </si>
  <si>
    <t>160:000.001.026.274.000</t>
  </si>
  <si>
    <t>160:000.001.026.275.000</t>
  </si>
  <si>
    <t>160:000.001.026.276.000</t>
  </si>
  <si>
    <t>160:000.001.026.277.000</t>
  </si>
  <si>
    <t>160:000.001.026.278.000</t>
  </si>
  <si>
    <t>160:000.001.026.279.000</t>
  </si>
  <si>
    <t>160:000.001.026.280.000</t>
  </si>
  <si>
    <t>160:000.001.026.281.000</t>
  </si>
  <si>
    <t>160:000.001.026.282.000</t>
  </si>
  <si>
    <t>160:000.001.026.283.000</t>
  </si>
  <si>
    <t>160:000.001.026.284.000</t>
  </si>
  <si>
    <t>160:000.001.026.285.000</t>
  </si>
  <si>
    <t>160:000.001.026.286.000</t>
  </si>
  <si>
    <t>160:000.001.026.287.000</t>
  </si>
  <si>
    <t>160:000.001.026.288.000</t>
  </si>
  <si>
    <t>160:000.001.026.289.000</t>
  </si>
  <si>
    <t>160:000.001.026.290.000</t>
  </si>
  <si>
    <t>160:000.001.026.291.000</t>
  </si>
  <si>
    <t>160:000.001.026.292.000</t>
  </si>
  <si>
    <t>160:000.001.026.293.000</t>
  </si>
  <si>
    <t>160:000.001.026.294.000</t>
  </si>
  <si>
    <t>160:000.001.026.295.000</t>
  </si>
  <si>
    <t>160:000.001.026.296.000</t>
  </si>
  <si>
    <t>160:000.001.026.297.000</t>
  </si>
  <si>
    <t>160:000.001.026.298.000</t>
  </si>
  <si>
    <t>160:000.001.026.299.000</t>
  </si>
  <si>
    <t>160:000.001.027.000.000</t>
  </si>
  <si>
    <t>160:000.001.027.116.000</t>
  </si>
  <si>
    <t>160:000.001.027.117.000</t>
  </si>
  <si>
    <t>160:000.001.028.000.000</t>
  </si>
  <si>
    <t>160:000.001.029.000.000</t>
  </si>
  <si>
    <t>128588</t>
  </si>
  <si>
    <t>160:000.001.031.000.000</t>
  </si>
  <si>
    <t>160:000.001.032.000.000</t>
  </si>
  <si>
    <t>160:000.001.033.000.000</t>
  </si>
  <si>
    <t>160:000.001.034.000.000</t>
  </si>
  <si>
    <t>160:000.001.034.300.000</t>
  </si>
  <si>
    <t>160:000.001.034.301.000</t>
  </si>
  <si>
    <t>160:000.001.034.302.000</t>
  </si>
  <si>
    <t>160:000.001.034.303.000</t>
  </si>
  <si>
    <t>160:000.001.034.304.000</t>
  </si>
  <si>
    <t>160:000.001.034.305.000</t>
  </si>
  <si>
    <t>160:000.001.034.306.000</t>
  </si>
  <si>
    <t>160:000.001.034.307.000</t>
  </si>
  <si>
    <t>160:000.001.034.308.000</t>
  </si>
  <si>
    <t>160:000.001.034.309.000</t>
  </si>
  <si>
    <t>160:000.001.035.000.000</t>
  </si>
  <si>
    <t>160:000.001.036.000.000</t>
  </si>
  <si>
    <t>160:000.001.036.118.000</t>
  </si>
  <si>
    <t>160:000.001.037.000.000</t>
  </si>
  <si>
    <t>160:000.001.037.119.000</t>
  </si>
  <si>
    <t>160:000.001.037.120.000</t>
  </si>
  <si>
    <t>160:000.001.037.121.000</t>
  </si>
  <si>
    <t>160:000.001.037.122.000</t>
  </si>
  <si>
    <t>160:000.001.037.123.000</t>
  </si>
  <si>
    <t>160:000.001.038.000.000</t>
  </si>
  <si>
    <t>160:000.001.038.124.000</t>
  </si>
  <si>
    <t>160:000.001.038.125.000</t>
  </si>
  <si>
    <t>160:000.001.038.126.000</t>
  </si>
  <si>
    <t>160:000.001.038.127.000</t>
  </si>
  <si>
    <t>160:000.001.038.128.000</t>
  </si>
  <si>
    <t>160:000.001.038.129.000</t>
  </si>
  <si>
    <t>160:000.001.038.130.000</t>
  </si>
  <si>
    <t>160:000.001.039.000.000</t>
  </si>
  <si>
    <t>160:000.001.039.310.000</t>
  </si>
  <si>
    <t>160:000.001.039.311.000</t>
  </si>
  <si>
    <t>160:000.001.039.312.000</t>
  </si>
  <si>
    <t>160:000.001.039.313.000</t>
  </si>
  <si>
    <t>160:000.001.039.314.000</t>
  </si>
  <si>
    <t>160:000.001.039.315.000</t>
  </si>
  <si>
    <t>160:000.001.039.317.000</t>
  </si>
  <si>
    <t>160:000.001.039.318.000</t>
  </si>
  <si>
    <t>160:000.001.039.319.000</t>
  </si>
  <si>
    <t>160:000.001.039.320.000</t>
  </si>
  <si>
    <t>160:000.001.039.321.000</t>
  </si>
  <si>
    <t>160:000.001.039.322.000</t>
  </si>
  <si>
    <t>160:000.001.039.323.000</t>
  </si>
  <si>
    <t>160:000.001.040.000.000</t>
  </si>
  <si>
    <t>160:000.001.040.325.000</t>
  </si>
  <si>
    <t>160:000.001.040.326.000</t>
  </si>
  <si>
    <t>160:000.001.040.327.000</t>
  </si>
  <si>
    <t>160:000.001.040.329.000</t>
  </si>
  <si>
    <t>160:000.001.040.330.000</t>
  </si>
  <si>
    <t>160:000.001.040.331.000</t>
  </si>
  <si>
    <t>160:000.001.040.332.000</t>
  </si>
  <si>
    <t>160:000.001.040.333.000</t>
  </si>
  <si>
    <t>160:000.001.040.334.000</t>
  </si>
  <si>
    <t>160:000.001.040.335.000</t>
  </si>
  <si>
    <t>160:000.001.040.336.000</t>
  </si>
  <si>
    <t>160:000.001.040.337.000</t>
  </si>
  <si>
    <t>160:000.001.040.338.000</t>
  </si>
  <si>
    <t>160:000.001.040.339.000</t>
  </si>
  <si>
    <t>160:000.001.040.340.000</t>
  </si>
  <si>
    <t>160:000.001.040.341.000</t>
  </si>
  <si>
    <t>160:000.001.040.342.000</t>
  </si>
  <si>
    <t>160:000.001.040.343.000</t>
  </si>
  <si>
    <t>160:000.001.040.344.000</t>
  </si>
  <si>
    <t>160:000.001.040.345.000</t>
  </si>
  <si>
    <t>160:000.001.040.346.000</t>
  </si>
  <si>
    <t>160:000.001.040.347.000</t>
  </si>
  <si>
    <t>C405/6-00-000</t>
  </si>
  <si>
    <t>160:000.001.041.000.000</t>
  </si>
  <si>
    <t>160:000.001.041.349.000</t>
  </si>
  <si>
    <t>160:000.001.041.350.000</t>
  </si>
  <si>
    <t>160:000.001.041.351.000</t>
  </si>
  <si>
    <t>160:000.001.041.352.000</t>
  </si>
  <si>
    <t>160:000.001.041.354.000</t>
  </si>
  <si>
    <t>160:000.001.041.355.000</t>
  </si>
  <si>
    <t>160:000.001.041.356.000</t>
  </si>
  <si>
    <t>160:000.001.041.357.000</t>
  </si>
  <si>
    <t>160:000.001.041.358.000</t>
  </si>
  <si>
    <t>160:000.001.041.359.000</t>
  </si>
  <si>
    <t>160:000.001.041.360.000</t>
  </si>
  <si>
    <t>160:000.001.041.361.000</t>
  </si>
  <si>
    <t>160:000.001.041.362.000</t>
  </si>
  <si>
    <t>160:000.001.041.363.000</t>
  </si>
  <si>
    <t>160:000.001.041.364.000</t>
  </si>
  <si>
    <t>160:000.001.041.365.000</t>
  </si>
  <si>
    <t>160:000.001.041.366.000</t>
  </si>
  <si>
    <t>160:000.001.041.367.000</t>
  </si>
  <si>
    <t>160:000.001.041.368.000</t>
  </si>
  <si>
    <t>160:000.001.041.369.000</t>
  </si>
  <si>
    <t>160:000.001.041.370.000</t>
  </si>
  <si>
    <t>160:000.001.041.371.000</t>
  </si>
  <si>
    <t>160:000.001.041.372.000</t>
  </si>
  <si>
    <t>160:000.001.041.373.000</t>
  </si>
  <si>
    <t>160:000.001.041.374.000</t>
  </si>
  <si>
    <t>160:000.001.041.375.000</t>
  </si>
  <si>
    <t>160:000.001.041.376.000</t>
  </si>
  <si>
    <t>160:000.001.041.377.000</t>
  </si>
  <si>
    <t>160:000.001.041.378.000</t>
  </si>
  <si>
    <t>160:000.001.041.379.000</t>
  </si>
  <si>
    <t>160:000.001.041.380.000</t>
  </si>
  <si>
    <t>160:000.001.041.381.000</t>
  </si>
  <si>
    <t>160:000.001.041.382.000</t>
  </si>
  <si>
    <t>160:000.001.041.383.000</t>
  </si>
  <si>
    <t>160:000.001.041.384.000</t>
  </si>
  <si>
    <t>160:000.001.041.385.000</t>
  </si>
  <si>
    <t>160:000.001.041.386.000</t>
  </si>
  <si>
    <t>160:000.001.041.387.000</t>
  </si>
  <si>
    <t>160:000.001.041.388.000</t>
  </si>
  <si>
    <t>160:000.001.041.389.000</t>
  </si>
  <si>
    <t>160:000.001.041.390.000</t>
  </si>
  <si>
    <t>160:000.001.041.391.000</t>
  </si>
  <si>
    <t>160:000.001.041.392.000</t>
  </si>
  <si>
    <t>160:000.001.041.393.000</t>
  </si>
  <si>
    <t>160:000.001.041.394.000</t>
  </si>
  <si>
    <t>C410-00-000-1+1</t>
  </si>
  <si>
    <t>160:000.001.041.395.000</t>
  </si>
  <si>
    <t>160:000.001.042.000.000</t>
  </si>
  <si>
    <t>160:000.001.043.000.000</t>
  </si>
  <si>
    <t>160:000.001.044.000.000</t>
  </si>
  <si>
    <t>160:000.001.045.000.000</t>
  </si>
  <si>
    <t>634347.0010</t>
  </si>
  <si>
    <t>160:000.001.046.000.000</t>
  </si>
  <si>
    <t>160:000.001.047.000.000</t>
  </si>
  <si>
    <t>160:000.001.048.000.000</t>
  </si>
  <si>
    <t>160:000.001.049.000.000</t>
  </si>
  <si>
    <t>160:000.001.050.000.000</t>
  </si>
  <si>
    <t>160:000.001.051.000.000</t>
  </si>
  <si>
    <t>160:000.001.052.000.000</t>
  </si>
  <si>
    <t>160:000.001.053.000.000</t>
  </si>
  <si>
    <t>160:000.001.054.000.000</t>
  </si>
  <si>
    <t>160:000.001.055.000.000</t>
  </si>
  <si>
    <t>160:000.001.056.000.000</t>
  </si>
  <si>
    <t>160:000.001.057.000.000</t>
  </si>
  <si>
    <t>160:000.001.058.000.000</t>
  </si>
  <si>
    <t>106397</t>
  </si>
  <si>
    <t>160:000.001.059.000.000</t>
  </si>
  <si>
    <t>160:000.001.060.000.000</t>
  </si>
  <si>
    <t>101460</t>
  </si>
  <si>
    <t>160:000.001.061.000.000</t>
  </si>
  <si>
    <t>160:000.001.062.000.000</t>
  </si>
  <si>
    <t>160:000.001.064.000.000</t>
  </si>
  <si>
    <t>160:000.001.067.000.000</t>
  </si>
  <si>
    <t>160:000.001.068.000.000</t>
  </si>
  <si>
    <t>160:000.001.069.000.000</t>
  </si>
  <si>
    <t>634196.0010</t>
  </si>
  <si>
    <t>160:000.001.070.000.000</t>
  </si>
  <si>
    <t>N04</t>
  </si>
  <si>
    <t>160:000.039.316.001</t>
  </si>
  <si>
    <t>160:000.039.316.002</t>
  </si>
  <si>
    <t>160:000.039.316.003</t>
  </si>
  <si>
    <t>160:000.039.316.004</t>
  </si>
  <si>
    <t>160:000.039.316.005</t>
  </si>
  <si>
    <t>160:000.039.316.006</t>
  </si>
  <si>
    <t>160:000.039.316.007</t>
  </si>
  <si>
    <t>160:000.039.316.008</t>
  </si>
  <si>
    <t>160:000.039.316.009</t>
  </si>
  <si>
    <t>160:000.039.316.010</t>
  </si>
  <si>
    <t>160:000.039.316.011</t>
  </si>
  <si>
    <t>160:000.039.316.012</t>
  </si>
  <si>
    <t>160:000.039.316.013</t>
  </si>
  <si>
    <t>170:000.001.001.000.000</t>
  </si>
  <si>
    <t>634189.0010</t>
  </si>
  <si>
    <t>170:000.001.001.001.000</t>
  </si>
  <si>
    <t>170:000.001.001.002.000</t>
  </si>
  <si>
    <t>170:000.001.001.003.000</t>
  </si>
  <si>
    <t>170:000.001.001.004.000</t>
  </si>
  <si>
    <t>170:000.001.001.005.000</t>
  </si>
  <si>
    <t>170:000.001.002.000.000</t>
  </si>
  <si>
    <t>634189.0020</t>
  </si>
  <si>
    <t>170:000.001.002.006.000</t>
  </si>
  <si>
    <t>170:000.001.002.007.000</t>
  </si>
  <si>
    <t>170:000.001.002.008.000</t>
  </si>
  <si>
    <t>170:000.001.002.009.000</t>
  </si>
  <si>
    <t>170:000.001.002.010.000</t>
  </si>
  <si>
    <t>170:000.001.002.011.000</t>
  </si>
  <si>
    <t>170:000.001.002.012.000</t>
  </si>
  <si>
    <t>170:000.001.002.013.000</t>
  </si>
  <si>
    <t>170:000.001.002.014.000</t>
  </si>
  <si>
    <t>170:000.001.002.015.000</t>
  </si>
  <si>
    <t>170:000.001.002.016.000</t>
  </si>
  <si>
    <t>170:000.001.002.017.000</t>
  </si>
  <si>
    <t>170:000.001.002.018.000</t>
  </si>
  <si>
    <t>170:000.001.002.019.000</t>
  </si>
  <si>
    <t>170:000.001.002.020.000</t>
  </si>
  <si>
    <t>170:000.001.002.021.000</t>
  </si>
  <si>
    <t>170:000.001.002.022.000</t>
  </si>
  <si>
    <t>170:000.001.002.023.000</t>
  </si>
  <si>
    <t>170:000.001.002.024.000</t>
  </si>
  <si>
    <t>170:000.001.002.025.000</t>
  </si>
  <si>
    <t>170:000.001.002.026.000</t>
  </si>
  <si>
    <t>170:000.001.002.027.000</t>
  </si>
  <si>
    <t>170:000.001.002.028.000</t>
  </si>
  <si>
    <t>170:000.001.002.029.000</t>
  </si>
  <si>
    <t>170:000.001.002.030.000</t>
  </si>
  <si>
    <t>170:000.001.002.031.000</t>
  </si>
  <si>
    <t>170:000.001.003.000.000</t>
  </si>
  <si>
    <t>170:000.001.003.032.000</t>
  </si>
  <si>
    <t>170:000.001.003.033.000</t>
  </si>
  <si>
    <t>170:000.001.003.034.000</t>
  </si>
  <si>
    <t>170:000.001.003.035.000</t>
  </si>
  <si>
    <t>170:000.001.003.036.000</t>
  </si>
  <si>
    <t>170:000.001.003.037.000</t>
  </si>
  <si>
    <t>170:000.001.003.038.000</t>
  </si>
  <si>
    <t>170:000.001.003.039.000</t>
  </si>
  <si>
    <t>170:000.001.003.040.000</t>
  </si>
  <si>
    <t>170:000.001.003.041.000</t>
  </si>
  <si>
    <t>170:000.001.003.042.000</t>
  </si>
  <si>
    <t>170:000.001.003.043.000</t>
  </si>
  <si>
    <t>170:000.001.003.044.000</t>
  </si>
  <si>
    <t>170:000.001.003.045.000</t>
  </si>
  <si>
    <t>170:000.001.003.046.000</t>
  </si>
  <si>
    <t>170:000.001.003.047.000</t>
  </si>
  <si>
    <t>170:000.001.003.048.000</t>
  </si>
  <si>
    <t>170:000.001.003.049.000</t>
  </si>
  <si>
    <t>170:000.001.003.050.000</t>
  </si>
  <si>
    <t>170:000.001.003.051.000</t>
  </si>
  <si>
    <t>170:000.001.003.052.000</t>
  </si>
  <si>
    <t>170:000.001.003.053.000</t>
  </si>
  <si>
    <t>170:000.001.003.054.000</t>
  </si>
  <si>
    <t>170:000.001.003.055.000</t>
  </si>
  <si>
    <t>170:000.001.003.056.000</t>
  </si>
  <si>
    <t>170:000.001.003.057.000</t>
  </si>
  <si>
    <t>170:000.001.003.058.000</t>
  </si>
  <si>
    <t>170:000.001.003.059.000</t>
  </si>
  <si>
    <t>170:000.001.003.060.000</t>
  </si>
  <si>
    <t>170:000.001.003.061.000</t>
  </si>
  <si>
    <t>170:000.001.003.062.000</t>
  </si>
  <si>
    <t>170:000.001.003.063.000</t>
  </si>
  <si>
    <t>170:000.001.003.064.000</t>
  </si>
  <si>
    <t>170:000.001.003.065.000</t>
  </si>
  <si>
    <t>170:000.001.003.066.000</t>
  </si>
  <si>
    <t>170:000.001.003.067.000</t>
  </si>
  <si>
    <t>170:000.001.003.068.000</t>
  </si>
  <si>
    <t>170:000.001.003.069.000</t>
  </si>
  <si>
    <t>170:000.001.003.070.000</t>
  </si>
  <si>
    <t>170:000.001.003.071.000</t>
  </si>
  <si>
    <t>170:000.001.003.072.000</t>
  </si>
  <si>
    <t>170:000.001.003.073.000</t>
  </si>
  <si>
    <t>170:000.001.003.074.000</t>
  </si>
  <si>
    <t>170:000.001.003.075.000</t>
  </si>
  <si>
    <t>105202</t>
  </si>
  <si>
    <t>170:000.001.003.077.000</t>
  </si>
  <si>
    <t>170:000.001.003.078.000</t>
  </si>
  <si>
    <t>170:000.001.003.079.000</t>
  </si>
  <si>
    <t>101299</t>
  </si>
  <si>
    <t>170:000.001.003.080.000</t>
  </si>
  <si>
    <t>170:000.001.003.081.000</t>
  </si>
  <si>
    <t>170:000.001.003.082.000</t>
  </si>
  <si>
    <t>170:000.001.003.083.000</t>
  </si>
  <si>
    <t>170:000.001.003.084.000</t>
  </si>
  <si>
    <t>170:000.001.003.086.000</t>
  </si>
  <si>
    <t>170:000.001.003.087.000</t>
  </si>
  <si>
    <t>170:000.001.003.088.000</t>
  </si>
  <si>
    <t>170:000.001.003.089.000</t>
  </si>
  <si>
    <t>170:000.001.003.091.000</t>
  </si>
  <si>
    <t>170:000.001.003.092.000</t>
  </si>
  <si>
    <t>170:000.001.003.093.000</t>
  </si>
  <si>
    <t>137115</t>
  </si>
  <si>
    <t>170:000.001.003.094.000</t>
  </si>
  <si>
    <t>170:000.001.003.095.000</t>
  </si>
  <si>
    <t>105063</t>
  </si>
  <si>
    <t>170:000.001.003.096.000</t>
  </si>
  <si>
    <t>170:000.001.003.097.000</t>
  </si>
  <si>
    <t>170:000.001.003.098.000</t>
  </si>
  <si>
    <t>170:000.001.003.099.000</t>
  </si>
  <si>
    <t>170:000.001.003.100.000</t>
  </si>
  <si>
    <t>170:000.001.003.101.000</t>
  </si>
  <si>
    <t>105045</t>
  </si>
  <si>
    <t>170:000.001.003.102.000</t>
  </si>
  <si>
    <t>170:000.001.003.103.000</t>
  </si>
  <si>
    <t>170:000.001.004.000.000</t>
  </si>
  <si>
    <t>170:000.001.004.104.000</t>
  </si>
  <si>
    <t>170:000.001.004.105.000</t>
  </si>
  <si>
    <t>170:000.001.004.106.000</t>
  </si>
  <si>
    <t>170:000.001.004.107.000</t>
  </si>
  <si>
    <t>170:000.001.004.108.000</t>
  </si>
  <si>
    <t>170:000.001.004.109.000</t>
  </si>
  <si>
    <t>170:000.001.004.110.000</t>
  </si>
  <si>
    <t>170:000.001.004.111.000</t>
  </si>
  <si>
    <t>170:000.001.004.112.000</t>
  </si>
  <si>
    <t>170:000.001.004.113.000</t>
  </si>
  <si>
    <t>170:000.001.004.114.000</t>
  </si>
  <si>
    <t>170:000.001.004.116.000</t>
  </si>
  <si>
    <t>170:000.001.004.117.000</t>
  </si>
  <si>
    <t>170:000.001.004.118.000</t>
  </si>
  <si>
    <t>170:000.001.004.119.000</t>
  </si>
  <si>
    <t>170:000.001.004.120.000</t>
  </si>
  <si>
    <t>170:000.001.004.121.000</t>
  </si>
  <si>
    <t>170:000.001.004.122.000</t>
  </si>
  <si>
    <t>170:000.001.004.123.000</t>
  </si>
  <si>
    <t>170:000.001.004.124.000</t>
  </si>
  <si>
    <t>170:000.001.004.125.000</t>
  </si>
  <si>
    <t>170:000.001.004.126.000</t>
  </si>
  <si>
    <t>170:000.001.004.127.000</t>
  </si>
  <si>
    <t>170:000.001.004.128.000</t>
  </si>
  <si>
    <t>170:000.001.004.129.000</t>
  </si>
  <si>
    <t>170:000.001.004.130.000</t>
  </si>
  <si>
    <t>170:000.001.004.131.000</t>
  </si>
  <si>
    <t>170:000.001.004.132.000</t>
  </si>
  <si>
    <t>170:000.001.004.133.000</t>
  </si>
  <si>
    <t>170:000.001.004.134.000</t>
  </si>
  <si>
    <t>170:000.001.004.135.000</t>
  </si>
  <si>
    <t>170:000.001.004.136.000</t>
  </si>
  <si>
    <t>170:000.001.004.137.000</t>
  </si>
  <si>
    <t>170:000.001.004.138.000</t>
  </si>
  <si>
    <t>170:000.001.004.139.000</t>
  </si>
  <si>
    <t>170:000.001.004.140.000</t>
  </si>
  <si>
    <t>170:000.001.004.141.000</t>
  </si>
  <si>
    <t>170:000.001.004.142.000</t>
  </si>
  <si>
    <t>170:000.001.004.143.000</t>
  </si>
  <si>
    <t>170:000.001.004.144.000</t>
  </si>
  <si>
    <t>170:000.001.004.145.000</t>
  </si>
  <si>
    <t>170:000.001.004.146.000</t>
  </si>
  <si>
    <t>170:000.001.004.147.000</t>
  </si>
  <si>
    <t>170:000.001.004.148.000</t>
  </si>
  <si>
    <t>170:000.001.004.149.000</t>
  </si>
  <si>
    <t>170:000.001.004.150.000</t>
  </si>
  <si>
    <t>170:000.001.004.151.000</t>
  </si>
  <si>
    <t>170:000.001.004.152.000</t>
  </si>
  <si>
    <t>170:000.001.005.000.000</t>
  </si>
  <si>
    <t>104075</t>
  </si>
  <si>
    <t>170:000.001.005.154.000</t>
  </si>
  <si>
    <t>170:000.001.005.155.000</t>
  </si>
  <si>
    <t>170:000.001.005.156.000</t>
  </si>
  <si>
    <t>170:000.001.005.157.000</t>
  </si>
  <si>
    <t>170:000.001.005.158.000</t>
  </si>
  <si>
    <t>170:000.001.005.159.000</t>
  </si>
  <si>
    <t>170:000.001.005.160.000</t>
  </si>
  <si>
    <t>170:000.001.005.161.000</t>
  </si>
  <si>
    <t>170:000.001.005.162.000</t>
  </si>
  <si>
    <t>170:000.001.005.163.000</t>
  </si>
  <si>
    <t>170:000.001.005.164.000</t>
  </si>
  <si>
    <t>170:000.001.005.165.000</t>
  </si>
  <si>
    <t>170:000.001.005.166.000</t>
  </si>
  <si>
    <t>170:000.001.005.167.000</t>
  </si>
  <si>
    <t>170:000.001.005.168.000</t>
  </si>
  <si>
    <t>170:000.001.005.169.000</t>
  </si>
  <si>
    <t>170:000.001.005.170.000</t>
  </si>
  <si>
    <t>104175</t>
  </si>
  <si>
    <t>170:000.001.005.171.000</t>
  </si>
  <si>
    <t>170:000.001.005.172.000</t>
  </si>
  <si>
    <t>170:000.001.005.173.000</t>
  </si>
  <si>
    <t>170:000.001.005.174.000</t>
  </si>
  <si>
    <t>170:000.001.005.175.000</t>
  </si>
  <si>
    <t>170:000.001.005.176.000</t>
  </si>
  <si>
    <t>170:000.001.005.177.000</t>
  </si>
  <si>
    <t>170:000.001.005.178.000</t>
  </si>
  <si>
    <t>170:000.001.005.179.000</t>
  </si>
  <si>
    <t>170:000.001.005.180.000</t>
  </si>
  <si>
    <t>117352</t>
  </si>
  <si>
    <t>170:000.001.005.181.000</t>
  </si>
  <si>
    <t>170:000.001.005.182.000</t>
  </si>
  <si>
    <t>170:000.001.005.183.000</t>
  </si>
  <si>
    <t>170:000.001.005.184.000</t>
  </si>
  <si>
    <t>170:000.001.005.185.000</t>
  </si>
  <si>
    <t>170:000.001.005.186.000</t>
  </si>
  <si>
    <t>104161</t>
  </si>
  <si>
    <t>170:000.001.005.187.000</t>
  </si>
  <si>
    <t>170:000.001.005.188.000</t>
  </si>
  <si>
    <t>170:000.001.005.189.000</t>
  </si>
  <si>
    <t>170:000.001.005.190.000</t>
  </si>
  <si>
    <t>131028</t>
  </si>
  <si>
    <t>170:000.001.005.191.000</t>
  </si>
  <si>
    <t>170:000.001.006.000.000</t>
  </si>
  <si>
    <t>170:000.001.006.192.000</t>
  </si>
  <si>
    <t>170:000.001.006.193.000</t>
  </si>
  <si>
    <t>170:000.001.006.194.000</t>
  </si>
  <si>
    <t>170:000.001.006.195.000</t>
  </si>
  <si>
    <t>170:000.001.006.196.000</t>
  </si>
  <si>
    <t>170:000.001.006.197.000</t>
  </si>
  <si>
    <t>170:000.001.006.198.000</t>
  </si>
  <si>
    <t>170:000.001.006.199.000</t>
  </si>
  <si>
    <t>170:000.001.006.200.000</t>
  </si>
  <si>
    <t>170:000.001.006.201.000</t>
  </si>
  <si>
    <t>170:000.001.006.202.000</t>
  </si>
  <si>
    <t>170:000.001.006.203.000</t>
  </si>
  <si>
    <t>170:000.001.006.204.000</t>
  </si>
  <si>
    <t>170:000.001.006.205.000</t>
  </si>
  <si>
    <t>170:000.001.006.206.000</t>
  </si>
  <si>
    <t>170:000.001.006.207.000</t>
  </si>
  <si>
    <t>170:000.001.006.208.000</t>
  </si>
  <si>
    <t>170:000.001.006.209.000</t>
  </si>
  <si>
    <t>170:000.001.006.210.000</t>
  </si>
  <si>
    <t>170:000.001.006.211.000</t>
  </si>
  <si>
    <t>170:000.001.006.212.000</t>
  </si>
  <si>
    <t>170:000.001.006.213.000</t>
  </si>
  <si>
    <t>170:000.001.006.214.000</t>
  </si>
  <si>
    <t>132962</t>
  </si>
  <si>
    <t>170:000.001.006.215.000</t>
  </si>
  <si>
    <t>170:000.001.006.216.000</t>
  </si>
  <si>
    <t>104224</t>
  </si>
  <si>
    <t>170:000.001.006.217.000</t>
  </si>
  <si>
    <t>104186</t>
  </si>
  <si>
    <t>170:000.001.006.218.000</t>
  </si>
  <si>
    <t>170:000.001.006.219.000</t>
  </si>
  <si>
    <t>170:000.001.006.220.000</t>
  </si>
  <si>
    <t>170:000.001.006.221.000</t>
  </si>
  <si>
    <t>170:000.001.006.222.000</t>
  </si>
  <si>
    <t>170:000.001.006.223.000</t>
  </si>
  <si>
    <t>170:000.001.006.224.000</t>
  </si>
  <si>
    <t>170:000.001.006.225.000</t>
  </si>
  <si>
    <t>170:000.001.006.226.000</t>
  </si>
  <si>
    <t>170:000.001.006.227.000</t>
  </si>
  <si>
    <t>104201</t>
  </si>
  <si>
    <t>170:000.001.006.228.000</t>
  </si>
  <si>
    <t>170:000.001.006.229.000</t>
  </si>
  <si>
    <t>170:000.001.007.000.000</t>
  </si>
  <si>
    <t>170:000.001.007.230.000</t>
  </si>
  <si>
    <t>170:000.001.007.231.000</t>
  </si>
  <si>
    <t>170:000.001.007.232.000</t>
  </si>
  <si>
    <t>170:000.001.007.233.000</t>
  </si>
  <si>
    <t>170:000.001.007.234.000</t>
  </si>
  <si>
    <t>170:000.001.007.235.000</t>
  </si>
  <si>
    <t>170:000.001.007.236.000</t>
  </si>
  <si>
    <t>170:000.001.007.237.000</t>
  </si>
  <si>
    <t>170:000.001.007.238.000</t>
  </si>
  <si>
    <t>170:000.001.007.239.000</t>
  </si>
  <si>
    <t>170:000.001.007.240.000</t>
  </si>
  <si>
    <t>170:000.001.007.241.000</t>
  </si>
  <si>
    <t>170:000.001.007.242.000</t>
  </si>
  <si>
    <t>170:000.001.007.243.000</t>
  </si>
  <si>
    <t>170:000.001.007.244.000</t>
  </si>
  <si>
    <t>170:000.001.007.245.000</t>
  </si>
  <si>
    <t>170:000.001.007.246.000</t>
  </si>
  <si>
    <t>170:000.001.007.247.000</t>
  </si>
  <si>
    <t>170:000.001.007.248.000</t>
  </si>
  <si>
    <t>170:000.001.007.249.000</t>
  </si>
  <si>
    <t>170:000.001.007.250.000</t>
  </si>
  <si>
    <t>170:000.001.007.251.000</t>
  </si>
  <si>
    <t>170:000.001.007.252.000</t>
  </si>
  <si>
    <t>170:000.001.007.253.000</t>
  </si>
  <si>
    <t>170:000.001.007.254.000</t>
  </si>
  <si>
    <t>170:000.001.007.256.000</t>
  </si>
  <si>
    <t>170:000.001.007.257.000</t>
  </si>
  <si>
    <t>170:000.001.007.258.000</t>
  </si>
  <si>
    <t>170:000.001.007.259.000</t>
  </si>
  <si>
    <t>170:000.001.007.260.000</t>
  </si>
  <si>
    <t>170:000.001.007.261.000</t>
  </si>
  <si>
    <t>170:000.001.007.262.000</t>
  </si>
  <si>
    <t>170:000.001.007.263.000</t>
  </si>
  <si>
    <t>170:000.001.008.000.000</t>
  </si>
  <si>
    <t>170:000.001.008.265.000</t>
  </si>
  <si>
    <t>170:000.001.008.266.000</t>
  </si>
  <si>
    <t>170:000.001.008.267.000</t>
  </si>
  <si>
    <t>170:000.001.008.268.000</t>
  </si>
  <si>
    <t>170:000.001.009.000.000</t>
  </si>
  <si>
    <t>170:000.001.010.000.000</t>
  </si>
  <si>
    <t>170:000.001.010.269.000</t>
  </si>
  <si>
    <t>170:000.001.010.270.000</t>
  </si>
  <si>
    <t>170:000.001.010.271.000</t>
  </si>
  <si>
    <t>170:000.001.010.272.000</t>
  </si>
  <si>
    <t>170:000.001.010.273.000</t>
  </si>
  <si>
    <t>170:000.001.010.274.000</t>
  </si>
  <si>
    <t>170:000.001.010.275.000</t>
  </si>
  <si>
    <t>170:000.001.010.276.000</t>
  </si>
  <si>
    <t>170:000.001.010.277.000</t>
  </si>
  <si>
    <t>170:000.001.010.278.000</t>
  </si>
  <si>
    <t>170:000.001.010.279.000</t>
  </si>
  <si>
    <t>170:000.001.010.280.000</t>
  </si>
  <si>
    <t>170:000.001.010.281.000</t>
  </si>
  <si>
    <t>170:000.001.010.282.000</t>
  </si>
  <si>
    <t>170:000.001.010.283.000</t>
  </si>
  <si>
    <t>170:000.001.010.284.000</t>
  </si>
  <si>
    <t>170:000.001.010.285.000</t>
  </si>
  <si>
    <t>170:000.001.010.286.000</t>
  </si>
  <si>
    <t>140937</t>
  </si>
  <si>
    <t>170:000.001.010.287.000</t>
  </si>
  <si>
    <t>140841</t>
  </si>
  <si>
    <t>170:000.001.010.288.000</t>
  </si>
  <si>
    <t>170:000.001.010.289.000</t>
  </si>
  <si>
    <t>170:000.001.010.290.000</t>
  </si>
  <si>
    <t>170:000.001.010.291.000</t>
  </si>
  <si>
    <t>170:000.001.011.000.000</t>
  </si>
  <si>
    <t>170:000.001.012.000.000</t>
  </si>
  <si>
    <t>170:000.001.012.292.000</t>
  </si>
  <si>
    <t>170:000.001.013.000.000</t>
  </si>
  <si>
    <t>170:000.001.013.293.000</t>
  </si>
  <si>
    <t>170:000.001.013.294.000</t>
  </si>
  <si>
    <t>117340</t>
  </si>
  <si>
    <t>170:000.001.013.295.000</t>
  </si>
  <si>
    <t>170:000.001.013.296.000</t>
  </si>
  <si>
    <t>170:000.001.013.297.000</t>
  </si>
  <si>
    <t>170:000.001.013.298.000</t>
  </si>
  <si>
    <t>170:000.001.013.299.000</t>
  </si>
  <si>
    <t>170:000.001.013.300.000</t>
  </si>
  <si>
    <t>170:000.001.013.301.000</t>
  </si>
  <si>
    <t>170:000.001.013.302.000</t>
  </si>
  <si>
    <t>170:000.001.013.303.000</t>
  </si>
  <si>
    <t>170:000.001.013.304.000</t>
  </si>
  <si>
    <t>170:000.001.013.305.000</t>
  </si>
  <si>
    <t>170:000.001.013.306.000</t>
  </si>
  <si>
    <t>170:000.001.013.307.000</t>
  </si>
  <si>
    <t>170:000.001.013.308.000</t>
  </si>
  <si>
    <t>170:000.001.013.309.000</t>
  </si>
  <si>
    <t>170:000.001.013.310.000</t>
  </si>
  <si>
    <t>170:000.001.013.311.000</t>
  </si>
  <si>
    <t>170:000.001.013.312.000</t>
  </si>
  <si>
    <t>170:000.001.013.313.000</t>
  </si>
  <si>
    <t>170:000.001.013.314.000</t>
  </si>
  <si>
    <t>170:000.001.013.315.000</t>
  </si>
  <si>
    <t>170:000.001.013.316.000</t>
  </si>
  <si>
    <t>170:000.001.013.317.000</t>
  </si>
  <si>
    <t>170:000.001.013.318.000</t>
  </si>
  <si>
    <t>170:000.001.013.319.000</t>
  </si>
  <si>
    <t>170:000.001.013.320.000</t>
  </si>
  <si>
    <t>170:000.001.013.321.000</t>
  </si>
  <si>
    <t>170:000.001.013.322.000</t>
  </si>
  <si>
    <t>170:000.001.013.323.000</t>
  </si>
  <si>
    <t>170:000.001.013.324.000</t>
  </si>
  <si>
    <t>170:000.001.013.325.000</t>
  </si>
  <si>
    <t>170:000.001.014.000.000</t>
  </si>
  <si>
    <t>170:000.001.014.326.000</t>
  </si>
  <si>
    <t>170:000.001.014.327.000</t>
  </si>
  <si>
    <t>170:000.001.014.328.000</t>
  </si>
  <si>
    <t>170:000.001.014.329.000</t>
  </si>
  <si>
    <t>170:000.001.014.330.000</t>
  </si>
  <si>
    <t>170:000.001.014.331.000</t>
  </si>
  <si>
    <t>170:000.001.014.332.000</t>
  </si>
  <si>
    <t>170:000.001.014.333.000</t>
  </si>
  <si>
    <t>170:000.001.014.334.000</t>
  </si>
  <si>
    <t>170:000.001.014.335.000</t>
  </si>
  <si>
    <t>170:000.001.014.336.000</t>
  </si>
  <si>
    <t>170:000.001.014.337.000</t>
  </si>
  <si>
    <t>170:000.001.014.338.000</t>
  </si>
  <si>
    <t>170:000.001.014.339.000</t>
  </si>
  <si>
    <t>170:000.001.014.340.000</t>
  </si>
  <si>
    <t>170:000.001.015.000.000</t>
  </si>
  <si>
    <t>170:000.001.015.341.000</t>
  </si>
  <si>
    <t>170:000.001.015.342.000</t>
  </si>
  <si>
    <t>170:000.001.015.343.000</t>
  </si>
  <si>
    <t>170:000.001.015.344.000</t>
  </si>
  <si>
    <t>170:000.001.015.345.000</t>
  </si>
  <si>
    <t>170:000.001.015.346.000</t>
  </si>
  <si>
    <t>170:000.001.015.347.000</t>
  </si>
  <si>
    <t>170:000.001.015.348.000</t>
  </si>
  <si>
    <t>170:000.001.015.349.000</t>
  </si>
  <si>
    <t>170:000.001.015.350.000</t>
  </si>
  <si>
    <t>170:000.001.016.000.000</t>
  </si>
  <si>
    <t>170:000.001.016.351.000</t>
  </si>
  <si>
    <t>170:000.001.016.352.000</t>
  </si>
  <si>
    <t>170:000.001.016.353.000</t>
  </si>
  <si>
    <t>170:000.001.016.354.000</t>
  </si>
  <si>
    <t>170:000.001.017.000.000</t>
  </si>
  <si>
    <t>170:000.001.017.355.000</t>
  </si>
  <si>
    <t>21020.00.300.011</t>
  </si>
  <si>
    <t>170:000.001.017.356.000</t>
  </si>
  <si>
    <t>21020.00.300.411</t>
  </si>
  <si>
    <t>170:000.001.017.357.000</t>
  </si>
  <si>
    <t>170:000.001.017.358.000</t>
  </si>
  <si>
    <t>170:000.001.017.359.000</t>
  </si>
  <si>
    <t>170:000.001.017.360.000</t>
  </si>
  <si>
    <t>170:000.001.018.000.000</t>
  </si>
  <si>
    <t>170:000.001.018.361.000</t>
  </si>
  <si>
    <t>170:000.001.018.362.000</t>
  </si>
  <si>
    <t>170:000.001.018.363.000</t>
  </si>
  <si>
    <t>170:000.001.018.364.000</t>
  </si>
  <si>
    <t>170:000.001.018.365.000</t>
  </si>
  <si>
    <t>170:000.001.018.366.000</t>
  </si>
  <si>
    <t>170:000.001.018.367.000</t>
  </si>
  <si>
    <t>170:000.001.018.368.000</t>
  </si>
  <si>
    <t>170:000.001.018.369.000</t>
  </si>
  <si>
    <t>170:000.001.018.370.000</t>
  </si>
  <si>
    <t>170:000.001.018.371.000</t>
  </si>
  <si>
    <t>170:000.001.018.372.000</t>
  </si>
  <si>
    <t>170:000.001.019.000.000</t>
  </si>
  <si>
    <t>170:000.001.019.373.000</t>
  </si>
  <si>
    <t>170:000.001.019.374.000</t>
  </si>
  <si>
    <t>170:000.001.019.375.000</t>
  </si>
  <si>
    <t>170:000.001.019.376.000</t>
  </si>
  <si>
    <t>170:000.001.019.377.000</t>
  </si>
  <si>
    <t>170:000.001.019.378.000</t>
  </si>
  <si>
    <t>170:000.001.019.379.000</t>
  </si>
  <si>
    <t>170:000.001.019.380.000</t>
  </si>
  <si>
    <t>170:000.001.019.381.000</t>
  </si>
  <si>
    <t>170:000.001.019.382.000</t>
  </si>
  <si>
    <t>170:000.001.019.383.000</t>
  </si>
  <si>
    <t>170:000.001.020.000.000</t>
  </si>
  <si>
    <t>170:000.001.021.000.000</t>
  </si>
  <si>
    <t>170:000.001.021.384.000</t>
  </si>
  <si>
    <t>170:000.001.021.385.000</t>
  </si>
  <si>
    <t>170:000.001.021.386.000</t>
  </si>
  <si>
    <t>170:000.001.021.387.000</t>
  </si>
  <si>
    <t>170:000.001.021.388.000</t>
  </si>
  <si>
    <t>170:000.001.021.389.000</t>
  </si>
  <si>
    <t>170:000.001.021.390.000</t>
  </si>
  <si>
    <t>170:000.001.022.000.000</t>
  </si>
  <si>
    <t>170:000.001.023.000.000</t>
  </si>
  <si>
    <t>170:000.001.024.000.000</t>
  </si>
  <si>
    <t>170:000.001.025.000.000</t>
  </si>
  <si>
    <t>170:000.001.026.000.000</t>
  </si>
  <si>
    <t>170:000.001.027.000.000</t>
  </si>
  <si>
    <t>170:000.001.028.000.000</t>
  </si>
  <si>
    <t>170:000.001.029.000.000</t>
  </si>
  <si>
    <t>170:000.001.030.000.000</t>
  </si>
  <si>
    <t>170:000.001.031.000.000</t>
  </si>
  <si>
    <t>170:000.001.032.000.000</t>
  </si>
  <si>
    <t>170:000.001.033.000.000</t>
  </si>
  <si>
    <t>170:000.001.034.000.000</t>
  </si>
  <si>
    <t>170:000.001.034.391.000</t>
  </si>
  <si>
    <t>170:000.001.035.000.000</t>
  </si>
  <si>
    <t>170:000.001.036.000.000</t>
  </si>
  <si>
    <t>170:000.001.036.392.000</t>
  </si>
  <si>
    <t>170:000.001.036.393.000</t>
  </si>
  <si>
    <t>170:000.001.037.000.000</t>
  </si>
  <si>
    <t>170:000.001.038.000.000</t>
  </si>
  <si>
    <t>170:000.001.039.000.000</t>
  </si>
  <si>
    <t>170:000.001.040.000.000</t>
  </si>
  <si>
    <t>170:000.001.041.000.000</t>
  </si>
  <si>
    <t>170:000.001.042.000.000</t>
  </si>
  <si>
    <t>170:000.001.043.000.000</t>
  </si>
  <si>
    <t>170:000.001.044.000.000</t>
  </si>
  <si>
    <t>170:000.001.045.000.000</t>
  </si>
  <si>
    <t>170:000.001.045.394.000</t>
  </si>
  <si>
    <t>170:000.001.046.000.000</t>
  </si>
  <si>
    <t>104668</t>
  </si>
  <si>
    <t>170:000.001.046.395.000</t>
  </si>
  <si>
    <t>170:000.001.047.000.000</t>
  </si>
  <si>
    <t>170:000.001.047.396.000</t>
  </si>
  <si>
    <t>170:000.001.047.397.000</t>
  </si>
  <si>
    <t>170:000.001.048.000.000</t>
  </si>
  <si>
    <t>170:000.001.049.000.000</t>
  </si>
  <si>
    <t>170:000.001.050.000.000</t>
  </si>
  <si>
    <t>170:000.001.051.000.000</t>
  </si>
  <si>
    <t>170:000.001.052.000.000</t>
  </si>
  <si>
    <t>170:000.001.052.398.000</t>
  </si>
  <si>
    <t>170:000.001.052.399.000</t>
  </si>
  <si>
    <t>170:000.001.052.400.000</t>
  </si>
  <si>
    <t>170:000.001.053.000.000</t>
  </si>
  <si>
    <t>634348.0010</t>
  </si>
  <si>
    <t>170:000.001.054.000.000</t>
  </si>
  <si>
    <t>103289</t>
  </si>
  <si>
    <t>170:000.001.055.000.000</t>
  </si>
  <si>
    <t>170:000.001.056.000.000</t>
  </si>
  <si>
    <t>170:000.001.057.000.000</t>
  </si>
  <si>
    <t>170:000.001.058.000.000</t>
  </si>
  <si>
    <t>170:000.001.059.000.000</t>
  </si>
  <si>
    <t>170:000.001.060.000.000</t>
  </si>
  <si>
    <t>170:000.001.061.000.000</t>
  </si>
  <si>
    <t>170:000.001.062.000.000</t>
  </si>
  <si>
    <t>170:000.001.063.000.000</t>
  </si>
  <si>
    <t>170:000.001.064.000.000</t>
  </si>
  <si>
    <t>170:000.001.065.000.000</t>
  </si>
  <si>
    <t>170:000.001.066.000.000</t>
  </si>
  <si>
    <t>170:000.001.067.000.000</t>
  </si>
  <si>
    <t>170:000.001.068.000.000</t>
  </si>
  <si>
    <t>170:000.001.069.000.000</t>
  </si>
  <si>
    <t>170:000.001.070.000.000</t>
  </si>
  <si>
    <t>170:000.001.071.000.000</t>
  </si>
  <si>
    <t>170:000.001.072.000.000</t>
  </si>
  <si>
    <t>180:000.001.001.000.000</t>
  </si>
  <si>
    <t>634197.0010</t>
  </si>
  <si>
    <t>180:000.001.002.000.000</t>
  </si>
  <si>
    <t>634197.0020</t>
  </si>
  <si>
    <t>180:000.001.003.000.000</t>
  </si>
  <si>
    <t>180:000.001.004.000.000</t>
  </si>
  <si>
    <t>180:000.001.005.000.000</t>
  </si>
  <si>
    <t>180:000.001.006.000.000</t>
  </si>
  <si>
    <t>180:000.001.007.000.000</t>
  </si>
  <si>
    <t>180:000.001.008.000.000</t>
  </si>
  <si>
    <t>180:000.001.009.000.000</t>
  </si>
  <si>
    <t>180:000.001.010.000.000</t>
  </si>
  <si>
    <t>180:000.001.011.000.000</t>
  </si>
  <si>
    <t>180:000.001.012.000.000</t>
  </si>
  <si>
    <t>180:000.001.013.000.000</t>
  </si>
  <si>
    <t>180:000.001.014.000.000</t>
  </si>
  <si>
    <t>180:000.001.015.000.000</t>
  </si>
  <si>
    <t>180:000.001.016.000.000</t>
  </si>
  <si>
    <t>180:000.001.017.000.000</t>
  </si>
  <si>
    <t>180:000.001.018.000.000</t>
  </si>
  <si>
    <t>180:000.001.019.000.000</t>
  </si>
  <si>
    <t>180:000.001.021.000.000</t>
  </si>
  <si>
    <t>180:000.001.022.000.000</t>
  </si>
  <si>
    <t>180:000.001.023.000.000</t>
  </si>
  <si>
    <t>180:000.001.024.000.000</t>
  </si>
  <si>
    <t>180:000.001.025.000.000</t>
  </si>
  <si>
    <t>190:000.001.001.000.000</t>
  </si>
  <si>
    <t>634190.0020</t>
  </si>
  <si>
    <t>190:000.001.002.000.000</t>
  </si>
  <si>
    <t>190:000.001.003.000.000</t>
  </si>
  <si>
    <t>190:000.001.004.000.000</t>
  </si>
  <si>
    <t>190:000.001.005.000.000</t>
  </si>
  <si>
    <t>190:000.001.006.000.000</t>
  </si>
  <si>
    <t>190:000.001.007.000.000</t>
  </si>
  <si>
    <t>190:000.001.008.000.000</t>
  </si>
  <si>
    <t>190:000.001.009.000.000</t>
  </si>
  <si>
    <t>190:000.001.010.000.000</t>
  </si>
  <si>
    <t>190:000.001.011.000.000</t>
  </si>
  <si>
    <t>190:000.001.012.000.000</t>
  </si>
  <si>
    <t>190:000.001.013.000.000</t>
  </si>
  <si>
    <t>190:000.001.014.000.000</t>
  </si>
  <si>
    <t>190:000.001.015.000.000</t>
  </si>
  <si>
    <t>634190.0040</t>
  </si>
  <si>
    <t>190:000.001.016.000.000</t>
  </si>
  <si>
    <t>190:000.001.017.000.000</t>
  </si>
  <si>
    <t>190:000.001.018.000.000</t>
  </si>
  <si>
    <t>190:000.001.019.000.000</t>
  </si>
  <si>
    <t>190:000.001.020.000.000</t>
  </si>
  <si>
    <t>190:000.001.021.000.000</t>
  </si>
  <si>
    <t>190:000.001.022.000.000</t>
  </si>
  <si>
    <t>190:000.001.023.000.000</t>
  </si>
  <si>
    <t>190:000.001.024.000.000</t>
  </si>
  <si>
    <t>190:000.001.025.000.000</t>
  </si>
  <si>
    <t>190:000.001.026.000.000</t>
  </si>
  <si>
    <t>190:000.001.027.000.000</t>
  </si>
  <si>
    <t>190:000.001.028.000.000</t>
  </si>
  <si>
    <t>190:000.001.029.000.000</t>
  </si>
  <si>
    <t>190:000.001.030.000.000</t>
  </si>
  <si>
    <t>190:000.001.031.000.000</t>
  </si>
  <si>
    <t>190:000.001.032.000.000</t>
  </si>
  <si>
    <t>190:000.001.033.000.000</t>
  </si>
  <si>
    <t>190:000.001.034.000.000</t>
  </si>
  <si>
    <t>190:000.001.037.000.000</t>
  </si>
  <si>
    <t>190:000.001.038.000.000</t>
  </si>
  <si>
    <t>190:000.001.039.000.000</t>
  </si>
  <si>
    <t>190:000.001.040.000.000</t>
  </si>
  <si>
    <t>190:000.001.041.000.000</t>
  </si>
  <si>
    <t>190:000.001.042.000.000</t>
  </si>
  <si>
    <t>190:000.001.043.000.000</t>
  </si>
  <si>
    <t>190:000.001.044.000.000</t>
  </si>
  <si>
    <t>190:000.001.045.000.000</t>
  </si>
  <si>
    <t>190:000.001.046.000.000</t>
  </si>
  <si>
    <t>190:000.001.047.000.000</t>
  </si>
  <si>
    <t>190:000.001.048.000.000</t>
  </si>
  <si>
    <t>190:000.001.049.000.000</t>
  </si>
  <si>
    <t>190:000.001.050.000.000</t>
  </si>
  <si>
    <t>190:000.001.051.000.000</t>
  </si>
  <si>
    <t>190:000.001.052.000.000</t>
  </si>
  <si>
    <t>190:000.001.053.000.000</t>
  </si>
  <si>
    <t>190:000.001.054.000.000</t>
  </si>
  <si>
    <t>190:000.001.055.000.000</t>
  </si>
  <si>
    <t>190:000.001.056.000.000</t>
  </si>
  <si>
    <t>190:000.001.057.000.000</t>
  </si>
  <si>
    <t>190:000.001.058.000.000</t>
  </si>
  <si>
    <t>190:000.001.059.000.000</t>
  </si>
  <si>
    <t>190:000.001.060.000.000</t>
  </si>
  <si>
    <t>190:000.001.061.000.000</t>
  </si>
  <si>
    <t>190:000.001.062.000.000</t>
  </si>
  <si>
    <t>190:000.001.063.000.000</t>
  </si>
  <si>
    <t>190:000.001.064.000.000</t>
  </si>
  <si>
    <t>190:000.001.065.000.000</t>
  </si>
  <si>
    <t>190:000.001.066.000.000</t>
  </si>
  <si>
    <t>66443</t>
  </si>
  <si>
    <t>190:000.001.067.000.000</t>
  </si>
  <si>
    <t>190:000.001.068.000.000</t>
  </si>
  <si>
    <t>190:000.001.069.000.000</t>
  </si>
  <si>
    <t>190:000.001.070.000.000</t>
  </si>
  <si>
    <t>190:000.001.071.000.000</t>
  </si>
  <si>
    <t>190:000.001.072.000.000</t>
  </si>
  <si>
    <t>190:000.001.073.000.000</t>
  </si>
  <si>
    <t>190:000.001.074.000.000</t>
  </si>
  <si>
    <t>190:000.001.075.000.000</t>
  </si>
  <si>
    <t>190:000.001.076.000.000</t>
  </si>
  <si>
    <t>190:000.001.077.000.000</t>
  </si>
  <si>
    <t>190:000.001.078.000.000</t>
  </si>
  <si>
    <t>190:000.001.079.000.000</t>
  </si>
  <si>
    <t>190:000.001.080.000.000</t>
  </si>
  <si>
    <t>190:000.001.081.000.000</t>
  </si>
  <si>
    <t>190:000.001.082.000.000</t>
  </si>
  <si>
    <t>190:000.001.083.000.000</t>
  </si>
  <si>
    <t>190:000.001.084.000.000</t>
  </si>
  <si>
    <t>190:000.001.085.000.000</t>
  </si>
  <si>
    <t>190:000.001.086.000.000</t>
  </si>
  <si>
    <t>190:000.001.087.000.000</t>
  </si>
  <si>
    <t>190:000.001.088.000.000</t>
  </si>
  <si>
    <t>190:000.001.089.000.000</t>
  </si>
  <si>
    <t>190:000.001.090.000.000</t>
  </si>
  <si>
    <t>190:000.001.091.000.000</t>
  </si>
  <si>
    <t>190:000.001.092.000.000</t>
  </si>
  <si>
    <t>190:000.001.093.000.000</t>
  </si>
  <si>
    <t>190:000.001.094.000.000</t>
  </si>
  <si>
    <t>190:000.001.095.000.000</t>
  </si>
  <si>
    <t>190:000.001.096.000.000</t>
  </si>
  <si>
    <t>190:000.001.097.000.000</t>
  </si>
  <si>
    <t>190:000.001.098.000.000</t>
  </si>
  <si>
    <t>190:000.001.099.000.000</t>
  </si>
  <si>
    <t>190:000.001.100.000.000</t>
  </si>
  <si>
    <t>190:000.001.101.000.000</t>
  </si>
  <si>
    <t>190:000.001.102.000.000</t>
  </si>
  <si>
    <t>190:000.001.103.000.000</t>
  </si>
  <si>
    <t>190:000.001.104.000.000</t>
  </si>
  <si>
    <t>190:000.001.105.000.000</t>
  </si>
  <si>
    <t>105200</t>
  </si>
  <si>
    <t>190:000.001.106.000.000</t>
  </si>
  <si>
    <t>190:000.001.107.000.000</t>
  </si>
  <si>
    <t>190:000.001.108.000.000</t>
  </si>
  <si>
    <t>190:000.001.109.000.000</t>
  </si>
  <si>
    <t>104687</t>
  </si>
  <si>
    <t>190:000.001.110.000.000</t>
  </si>
  <si>
    <t>146155</t>
  </si>
  <si>
    <t>190:000.001.111.000.000</t>
  </si>
  <si>
    <t>146157</t>
  </si>
  <si>
    <t>190:000.001.112.000.000</t>
  </si>
  <si>
    <t>190:000.001.113.000.000</t>
  </si>
  <si>
    <t>190:000.001.114.000.000</t>
  </si>
  <si>
    <t>190:000.001.115.000.000</t>
  </si>
  <si>
    <t>190:000.001.116.000.000</t>
  </si>
  <si>
    <t>200:000.001.001.000.000</t>
  </si>
  <si>
    <t>634367.0020</t>
  </si>
  <si>
    <t>200:000.001.002.000.000</t>
  </si>
  <si>
    <t>634367.0040</t>
  </si>
  <si>
    <t>634198.0020</t>
  </si>
  <si>
    <t>200:000.001.003.000.000</t>
  </si>
  <si>
    <t>200:000.001.004.000.000</t>
  </si>
  <si>
    <t>200:000.001.005.000.000</t>
  </si>
  <si>
    <t>200:000.001.006.000.000</t>
  </si>
  <si>
    <t>634198.0030</t>
  </si>
  <si>
    <t>200:000.001.007.000.000</t>
  </si>
  <si>
    <t>200:000.001.008.000.000</t>
  </si>
  <si>
    <t>200:000.001.009.000.000</t>
  </si>
  <si>
    <t>634198.0040</t>
  </si>
  <si>
    <t>200:000.001.010.000.000</t>
  </si>
  <si>
    <t>200:000.001.011.000.000</t>
  </si>
  <si>
    <t>200:000.001.012.000.000</t>
  </si>
  <si>
    <t>200:000.001.013.000.000</t>
  </si>
  <si>
    <t>200:000.001.014.000.000</t>
  </si>
  <si>
    <t>200:000.001.015.000.000</t>
  </si>
  <si>
    <t>200:000.001.016.000.000</t>
  </si>
  <si>
    <t>200:000.001.017.000.000</t>
  </si>
  <si>
    <t>200:000.001.018.000.000</t>
  </si>
  <si>
    <t>200:000.001.019.000.000</t>
  </si>
  <si>
    <t>200:000.001.020.000.000</t>
  </si>
  <si>
    <t>200:000.001.021.000.000</t>
  </si>
  <si>
    <t>200:000.001.022.000.000</t>
  </si>
  <si>
    <t>200:000.001.023.000.000</t>
  </si>
  <si>
    <t>200:000.001.024.000.000</t>
  </si>
  <si>
    <t>200:000.001.025.000.000</t>
  </si>
  <si>
    <t>200:000.001.026.000.000</t>
  </si>
  <si>
    <t>200:000.001.027.000.000</t>
  </si>
  <si>
    <t>200:000.001.028.000.000</t>
  </si>
  <si>
    <t>200:000.001.029.000.000</t>
  </si>
  <si>
    <t>200:000.001.030.000.000</t>
  </si>
  <si>
    <t>200:000.001.031.000.000</t>
  </si>
  <si>
    <t>200:000.001.032.000.000</t>
  </si>
  <si>
    <t>200:000.001.033.000.000</t>
  </si>
  <si>
    <t>200:000.001.035.000.000</t>
  </si>
  <si>
    <t>200:000.001.036.000.000</t>
  </si>
  <si>
    <t>200:000.001.037.000.000</t>
  </si>
  <si>
    <t>200:000.001.038.000.000</t>
  </si>
  <si>
    <t>200:000.001.039.000.000</t>
  </si>
  <si>
    <t>200:000.001.040.000.000</t>
  </si>
  <si>
    <t>200:000.001.041.000.000</t>
  </si>
  <si>
    <t>200:000.001.042.000.000</t>
  </si>
  <si>
    <t>200:000.001.043.000.000</t>
  </si>
  <si>
    <t>200:000.001.044.000.000</t>
  </si>
  <si>
    <t>200:000.001.045.000.000</t>
  </si>
  <si>
    <t>200:000.001.046.000.000</t>
  </si>
  <si>
    <t>200:000.001.047.000.000</t>
  </si>
  <si>
    <t>200:000.001.048.000.000</t>
  </si>
  <si>
    <t>200:000.001.049.000.000</t>
  </si>
  <si>
    <t>200:000.001.050.000.000</t>
  </si>
  <si>
    <t>200:000.001.051.000.000</t>
  </si>
  <si>
    <t>200:000.001.052.000.000</t>
  </si>
  <si>
    <t>200:000.001.053.000.000</t>
  </si>
  <si>
    <t>200:000.001.054.000.000</t>
  </si>
  <si>
    <t>200:000.001.055.000.000</t>
  </si>
  <si>
    <t>200:000.001.056.000.000</t>
  </si>
  <si>
    <t>200:000.001.057.000.000</t>
  </si>
  <si>
    <t>200:000.001.058.000.000</t>
  </si>
  <si>
    <t>200:000.001.059.000.000</t>
  </si>
  <si>
    <t>200:000.001.060.000.000</t>
  </si>
  <si>
    <t>200:000.001.061.000.000</t>
  </si>
  <si>
    <t>200:000.001.062.000.000</t>
  </si>
  <si>
    <t>200:000.001.063.000.000</t>
  </si>
  <si>
    <t>200:000.001.065.000.000</t>
  </si>
  <si>
    <t>200:000.001.066.000.000</t>
  </si>
  <si>
    <t>200:000.001.067.000.000</t>
  </si>
  <si>
    <t>200:000.001.068.000.000</t>
  </si>
  <si>
    <t>200:000.001.069.000.000</t>
  </si>
  <si>
    <t>200:000.001.070.000.000</t>
  </si>
  <si>
    <t>200:000.001.071.000.000</t>
  </si>
  <si>
    <t>200:000.001.072.000.000</t>
  </si>
  <si>
    <t>200:000.001.073.000.000</t>
  </si>
  <si>
    <t>200:000.001.074.000.000</t>
  </si>
  <si>
    <t>200:000.001.075.000.000</t>
  </si>
  <si>
    <t>200:000.001.076.000.000</t>
  </si>
  <si>
    <t>200:000.001.077.000.000</t>
  </si>
  <si>
    <t>200:000.001.078.000.000</t>
  </si>
  <si>
    <t>200:000.001.079.000.000</t>
  </si>
  <si>
    <t>200:000.001.080.000.000</t>
  </si>
  <si>
    <t>200:000.001.081.000.000</t>
  </si>
  <si>
    <t>210:000.001.001.000.000</t>
  </si>
  <si>
    <t>634191.0010</t>
  </si>
  <si>
    <t>210:000.001.002.000.000</t>
  </si>
  <si>
    <t>210:000.001.003.000.000</t>
  </si>
  <si>
    <t>210:000.001.004.000.000</t>
  </si>
  <si>
    <t>210:000.001.005.000.000</t>
  </si>
  <si>
    <t>210:000.001.006.000.000</t>
  </si>
  <si>
    <t>210:000.001.007.000.000</t>
  </si>
  <si>
    <t>210:000.001.008.000.000</t>
  </si>
  <si>
    <t>134093</t>
  </si>
  <si>
    <t>210:000.001.009.000.000</t>
  </si>
  <si>
    <t>220:000.001.001.000.000</t>
  </si>
  <si>
    <t>634199.0010</t>
  </si>
  <si>
    <t>220:000.001.002.000.000</t>
  </si>
  <si>
    <t>220:000.001.003.000.000</t>
  </si>
  <si>
    <t>220:000.001.004.000.000</t>
  </si>
  <si>
    <t>220:000.001.005.000.000</t>
  </si>
  <si>
    <t>220:000.001.006.000.000</t>
  </si>
  <si>
    <t>220:000.001.007.000.000</t>
  </si>
  <si>
    <t>230:000.001.001.001.000</t>
  </si>
  <si>
    <t>230:000.001.001.002.000</t>
  </si>
  <si>
    <t>230:000.001.001.003.000</t>
  </si>
  <si>
    <t>230:000.001.001.004.000</t>
  </si>
  <si>
    <t>230:000.001.001.005.000</t>
  </si>
  <si>
    <t>230:000.001.001.006.000</t>
  </si>
  <si>
    <t>230:000.001.001.007.000</t>
  </si>
  <si>
    <t>230:000.001.001.008.000</t>
  </si>
  <si>
    <t>230:000.001.001.009.000</t>
  </si>
  <si>
    <t>230:000.001.001.010.000</t>
  </si>
  <si>
    <t>230:000.001.001.011.000</t>
  </si>
  <si>
    <t>230:000.001.001.012.000</t>
  </si>
  <si>
    <t>230:000.001.001.014.000</t>
  </si>
  <si>
    <t>230:000.001.001.015.000</t>
  </si>
  <si>
    <t>230:000.001.001.016.000</t>
  </si>
  <si>
    <t>230:000.001.001.017.000</t>
  </si>
  <si>
    <t>230:000.001.001.018.000</t>
  </si>
  <si>
    <t>230:000.001.001.019.000</t>
  </si>
  <si>
    <t>230:000.001.001.020.000</t>
  </si>
  <si>
    <t>230:000.001.001.021.000</t>
  </si>
  <si>
    <t>230:000.001.001.022.000</t>
  </si>
  <si>
    <t>230:000.001.001.024.000</t>
  </si>
  <si>
    <t>230:000.001.001.025.000</t>
  </si>
  <si>
    <t>230:000.001.001.026.000</t>
  </si>
  <si>
    <t>230:000.001.001.027.000</t>
  </si>
  <si>
    <t>230:000.001.001.028.000</t>
  </si>
  <si>
    <t>230:000.001.001.029.000</t>
  </si>
  <si>
    <t>230:000.001.001.030.000</t>
  </si>
  <si>
    <t>230:000.001.001.031.000</t>
  </si>
  <si>
    <t>230:000.001.001.032.000</t>
  </si>
  <si>
    <t>230:000.001.001.033.000</t>
  </si>
  <si>
    <t>230:000.001.001.034.000</t>
  </si>
  <si>
    <t>230:000.001.001.035.000</t>
  </si>
  <si>
    <t>230:000.001.001.036.000</t>
  </si>
  <si>
    <t>230:000.001.001.037.000</t>
  </si>
  <si>
    <t>230:000.001.001.039.000</t>
  </si>
  <si>
    <t>230:000.001.001.040.000</t>
  </si>
  <si>
    <t>230:000.001.001.041.000</t>
  </si>
  <si>
    <t>230:000.001.001.042.000</t>
  </si>
  <si>
    <t>230:000.001.001.043.000</t>
  </si>
  <si>
    <t>230:000.001.001.044.000</t>
  </si>
  <si>
    <t>230:000.001.001.045.000</t>
  </si>
  <si>
    <t>230:000.001.001.046.000</t>
  </si>
  <si>
    <t>230:000.001.001.047.000</t>
  </si>
  <si>
    <t>230:000.001.001.048.000</t>
  </si>
  <si>
    <t>230:000.001.001.049.000</t>
  </si>
  <si>
    <t>104191</t>
  </si>
  <si>
    <t>230:000.001.001.050.000</t>
  </si>
  <si>
    <t>101455</t>
  </si>
  <si>
    <t>230:000.001.001.052.000</t>
  </si>
  <si>
    <t>230:000.001.001.053.000</t>
  </si>
  <si>
    <t>230:000.001.001.054.000</t>
  </si>
  <si>
    <t>123192</t>
  </si>
  <si>
    <t>230:000.001.001.055.000</t>
  </si>
  <si>
    <t>230:000.001.001.056.000</t>
  </si>
  <si>
    <t>230:000.001.001.057.000</t>
  </si>
  <si>
    <t>230:000.001.001.058.000</t>
  </si>
  <si>
    <t>230:000.001.001.059.000</t>
  </si>
  <si>
    <t>230:000.001.001.060.000</t>
  </si>
  <si>
    <t>230:000.001.001.061.000</t>
  </si>
  <si>
    <t>230:000.001.001.062.000</t>
  </si>
  <si>
    <t>230:000.001.001.064.000</t>
  </si>
  <si>
    <t>230:000.001.001.065.000</t>
  </si>
  <si>
    <t>230:000.001.001.066.000</t>
  </si>
  <si>
    <t>230:000.001.001.067.000</t>
  </si>
  <si>
    <t>230:000.001.001.068.000</t>
  </si>
  <si>
    <t>230:000.001.001.069.000</t>
  </si>
  <si>
    <t>104229</t>
  </si>
  <si>
    <t>230:000.001.001.070.000</t>
  </si>
  <si>
    <t>230:000.001.001.071.000</t>
  </si>
  <si>
    <t>21020.00.402.020</t>
  </si>
  <si>
    <t>230:000.001.001.072.000</t>
  </si>
  <si>
    <t>230:000.001.001.073.000</t>
  </si>
  <si>
    <t>230:000.001.001.074.000</t>
  </si>
  <si>
    <t>230:000.001.001.075.000</t>
  </si>
  <si>
    <t>230:000.001.001.076.000</t>
  </si>
  <si>
    <t>230:000.001.001.077.000</t>
  </si>
  <si>
    <t>230:000.001.001.078.000</t>
  </si>
  <si>
    <t>230:000.001.001.079.000</t>
  </si>
  <si>
    <t>230:000.001.001.080.000</t>
  </si>
  <si>
    <t>230:000.001.001.081.000</t>
  </si>
  <si>
    <t>230:000.001.001.082.000</t>
  </si>
  <si>
    <t>230:000.001.001.083.000</t>
  </si>
  <si>
    <t>230:000.001.001.084.000</t>
  </si>
  <si>
    <t>230:000.001.001.085.000</t>
  </si>
  <si>
    <t>230:000.001.001.086.000</t>
  </si>
  <si>
    <t>230:000.001.001.087.000</t>
  </si>
  <si>
    <t>230:000.001.001.088.000</t>
  </si>
  <si>
    <t>230:000.001.001.089.000</t>
  </si>
  <si>
    <t>230:000.001.001.090.000</t>
  </si>
  <si>
    <t>230:000.001.001.091.000</t>
  </si>
  <si>
    <t>230:000.001.001.092.000</t>
  </si>
  <si>
    <t>230:000.001.001.093.000</t>
  </si>
  <si>
    <t>230:000.001.001.094.000</t>
  </si>
  <si>
    <t>230:000.001.001.095.000</t>
  </si>
  <si>
    <t>230:000.001.001.096.000</t>
  </si>
  <si>
    <t>230:000.001.001.097.000</t>
  </si>
  <si>
    <t>230:000.001.001.098.000</t>
  </si>
  <si>
    <t>230:000.001.001.099.000</t>
  </si>
  <si>
    <t>230:000.001.001.100.000</t>
  </si>
  <si>
    <t>104830</t>
  </si>
  <si>
    <t>230:000.001.001.101.000</t>
  </si>
  <si>
    <t>104837</t>
  </si>
  <si>
    <t>230:000.001.001.102.000</t>
  </si>
  <si>
    <t>230:000.001.001.103.000</t>
  </si>
  <si>
    <t>230:000.001.001.104.000</t>
  </si>
  <si>
    <t>230:000.001.001.105.000</t>
  </si>
  <si>
    <t>230:000.001.001.106.000</t>
  </si>
  <si>
    <t>230:000.001.001.107.000</t>
  </si>
  <si>
    <t>230:000.001.001.108.000</t>
  </si>
  <si>
    <t>230:000.001.001.109.000</t>
  </si>
  <si>
    <t>230:000.001.001.110.000</t>
  </si>
  <si>
    <t>70016.01.322.012</t>
  </si>
  <si>
    <t>230:000.001.001.111.000</t>
  </si>
  <si>
    <t>230:000.001.001.112.000</t>
  </si>
  <si>
    <t>230:000.001.001.113.000</t>
  </si>
  <si>
    <t>230:000.001.001.114.000</t>
  </si>
  <si>
    <t>230:000.001.001.115.000</t>
  </si>
  <si>
    <t>230:000.001.001.116.000</t>
  </si>
  <si>
    <t>230:000.001.001.117.000</t>
  </si>
  <si>
    <t>230:000.001.001.118.000</t>
  </si>
  <si>
    <t>230:000.001.001.119.000</t>
  </si>
  <si>
    <t>230:000.001.001.120.000</t>
  </si>
  <si>
    <t>230:000.001.001.121.000</t>
  </si>
  <si>
    <t>104696</t>
  </si>
  <si>
    <t>230:000.001.001.122.000</t>
  </si>
  <si>
    <t>230:000.001.001.123.000</t>
  </si>
  <si>
    <t>230:000.001.001.124.000</t>
  </si>
  <si>
    <t>230:000.001.001.125.000</t>
  </si>
  <si>
    <t>230:000.001.001.126.000</t>
  </si>
  <si>
    <t>100788</t>
  </si>
  <si>
    <t>230:000.001.001.127.000</t>
  </si>
  <si>
    <t>230:000.001.001.128.000</t>
  </si>
  <si>
    <t>230:000.001.001.129.000</t>
  </si>
  <si>
    <t>230:000.001.001.131.000</t>
  </si>
  <si>
    <t>230:000.001.001.132.000</t>
  </si>
  <si>
    <t>230:000.001.001.133.000</t>
  </si>
  <si>
    <t>230:000.001.002.134.000</t>
  </si>
  <si>
    <t>230:000.001.002.135.000</t>
  </si>
  <si>
    <t>110184</t>
  </si>
  <si>
    <t>230:000.001.002.136.000</t>
  </si>
  <si>
    <t>230:000.001.002.137.000</t>
  </si>
  <si>
    <t>230:000.001.002.138.000</t>
  </si>
  <si>
    <t>230:000.001.002.139.000</t>
  </si>
  <si>
    <t>230:000.001.002.140.000</t>
  </si>
  <si>
    <t>230:000.001.002.141.000</t>
  </si>
  <si>
    <t>230:000.001.002.142.000</t>
  </si>
  <si>
    <t>230:000.001.002.143.000</t>
  </si>
  <si>
    <t>230:000.001.002.144.000</t>
  </si>
  <si>
    <t>230:000.001.002.145.000</t>
  </si>
  <si>
    <t>230:000.001.002.146.000</t>
  </si>
  <si>
    <t>230:000.001.002.147.000</t>
  </si>
  <si>
    <t>230:000.001.002.148.000</t>
  </si>
  <si>
    <t>230:000.001.002.149.000</t>
  </si>
  <si>
    <t>230:000.001.002.150.000</t>
  </si>
  <si>
    <t>230:000.001.002.151.000</t>
  </si>
  <si>
    <t>230:000.001.002.152.000</t>
  </si>
  <si>
    <t>230:000.001.002.153.000</t>
  </si>
  <si>
    <t>230:000.001.002.154.000</t>
  </si>
  <si>
    <t>230:000.001.002.155.000</t>
  </si>
  <si>
    <t>230:000.001.002.156.000</t>
  </si>
  <si>
    <t>230:000.001.002.157.000</t>
  </si>
  <si>
    <t>230:000.001.002.158.000</t>
  </si>
  <si>
    <t>230:000.001.002.159.000</t>
  </si>
  <si>
    <t>230:000.001.002.160.000</t>
  </si>
  <si>
    <t>230:000.001.002.161.000</t>
  </si>
  <si>
    <t>230:000.001.002.162.000</t>
  </si>
  <si>
    <t>230:000.001.002.163.000</t>
  </si>
  <si>
    <t>230:000.001.002.164.000</t>
  </si>
  <si>
    <t>230:000.001.002.165.000</t>
  </si>
  <si>
    <t>230:000.001.002.166.000</t>
  </si>
  <si>
    <t>230:000.001.002.167.000</t>
  </si>
  <si>
    <t>230:000.001.002.168.000</t>
  </si>
  <si>
    <t>230:000.001.002.169.000</t>
  </si>
  <si>
    <t>230:000.001.002.170.000</t>
  </si>
  <si>
    <t>230:000.001.002.171.000</t>
  </si>
  <si>
    <t>230:000.001.002.172.000</t>
  </si>
  <si>
    <t>230:000.001.002.173.000</t>
  </si>
  <si>
    <t>230:000.001.002.174.000</t>
  </si>
  <si>
    <t>230:000.001.002.175.000</t>
  </si>
  <si>
    <t>230:000.001.002.176.000</t>
  </si>
  <si>
    <t>230:000.001.002.177.000</t>
  </si>
  <si>
    <t>230:000.001.002.178.000</t>
  </si>
  <si>
    <t>230:000.001.002.179.000</t>
  </si>
  <si>
    <t>230:000.001.002.181.000</t>
  </si>
  <si>
    <t>230:000.001.002.182.000</t>
  </si>
  <si>
    <t>230:000.001.002.183.000</t>
  </si>
  <si>
    <t>230:000.001.002.184.000</t>
  </si>
  <si>
    <t>230:000.001.002.185.000</t>
  </si>
  <si>
    <t>230:000.001.002.186.000</t>
  </si>
  <si>
    <t>230:000.001.002.188.000</t>
  </si>
  <si>
    <t>230:000.001.002.189.000</t>
  </si>
  <si>
    <t>103972</t>
  </si>
  <si>
    <t>230:000.001.002.190.000</t>
  </si>
  <si>
    <t>230:000.001.002.191.000</t>
  </si>
  <si>
    <t>230:000.001.002.192.000</t>
  </si>
  <si>
    <t>230:000.001.002.193.000</t>
  </si>
  <si>
    <t>230:000.001.002.194.000</t>
  </si>
  <si>
    <t>230:000.001.002.195.000</t>
  </si>
  <si>
    <t>230:000.001.002.196.000</t>
  </si>
  <si>
    <t>230:000.001.002.197.000</t>
  </si>
  <si>
    <t>230:000.001.002.198.000</t>
  </si>
  <si>
    <t>114983</t>
  </si>
  <si>
    <t>230:000.001.002.199.000</t>
  </si>
  <si>
    <t>230:000.001.002.200.000</t>
  </si>
  <si>
    <t>230:000.001.002.201.000</t>
  </si>
  <si>
    <t>230:000.001.002.202.000</t>
  </si>
  <si>
    <t>230:000.001.002.203.000</t>
  </si>
  <si>
    <t>230:000.001.002.204.000</t>
  </si>
  <si>
    <t>230:000.001.002.205.000</t>
  </si>
  <si>
    <t>230:000.001.002.206.000</t>
  </si>
  <si>
    <t>230:000.001.002.207.000</t>
  </si>
  <si>
    <t>230:000.001.002.208.000</t>
  </si>
  <si>
    <t>230:000.001.002.209.000</t>
  </si>
  <si>
    <t>230:000.001.002.210.000</t>
  </si>
  <si>
    <t>230:000.001.002.211.000</t>
  </si>
  <si>
    <t>230:000.001.002.212.000</t>
  </si>
  <si>
    <t>117349</t>
  </si>
  <si>
    <t>230:000.001.002.213.000</t>
  </si>
  <si>
    <t>230:000.001.002.214.000</t>
  </si>
  <si>
    <t>230:000.001.002.215.000</t>
  </si>
  <si>
    <t>230:000.001.002.216.000</t>
  </si>
  <si>
    <t>230:000.001.002.217.000</t>
  </si>
  <si>
    <t>230:000.001.002.218.000</t>
  </si>
  <si>
    <t>230:000.001.002.219.000</t>
  </si>
  <si>
    <t>230:000.001.002.220.000</t>
  </si>
  <si>
    <t>230:000.001.002.221.000</t>
  </si>
  <si>
    <t>230:000.001.002.222.000</t>
  </si>
  <si>
    <t>104287</t>
  </si>
  <si>
    <t>230:000.001.002.223.000</t>
  </si>
  <si>
    <t>230:000.001.002.224.000</t>
  </si>
  <si>
    <t>230:000.001.002.225.000</t>
  </si>
  <si>
    <t>230:000.001.002.226.000</t>
  </si>
  <si>
    <t>230:000.001.002.227.000</t>
  </si>
  <si>
    <t>230:000.001.003.228.000</t>
  </si>
  <si>
    <t>230:000.001.004.229.000</t>
  </si>
  <si>
    <t>230:000.001.004.230.000</t>
  </si>
  <si>
    <t>230:000.001.004.231.000</t>
  </si>
  <si>
    <t>230:000.001.004.232.000</t>
  </si>
  <si>
    <t>230:000.001.004.233.000</t>
  </si>
  <si>
    <t>230:000.001.004.234.000</t>
  </si>
  <si>
    <t>230:000.001.004.235.000</t>
  </si>
  <si>
    <t>230:000.001.004.236.000</t>
  </si>
  <si>
    <t>230:000.001.005.237.000</t>
  </si>
  <si>
    <t>230:000.001.005.238.000</t>
  </si>
  <si>
    <t>230:000.001.005.239.000</t>
  </si>
  <si>
    <t>230:000.001.005.240.000</t>
  </si>
  <si>
    <t>230:000.001.005.241.000</t>
  </si>
  <si>
    <t>230:000.001.005.242.000</t>
  </si>
  <si>
    <t>230:000.001.005.243.000</t>
  </si>
  <si>
    <t>230:000.001.006.244.000</t>
  </si>
  <si>
    <t>230:000.001.006.245.000</t>
  </si>
  <si>
    <t>230:000.001.006.246.000</t>
  </si>
  <si>
    <t>230:000.001.006.247.000</t>
  </si>
  <si>
    <t>230:000.001.006.248.000</t>
  </si>
  <si>
    <t>230:000.001.006.249.000</t>
  </si>
  <si>
    <t>230:000.001.007.250.000</t>
  </si>
  <si>
    <t>230:000.001.008.000.000</t>
  </si>
  <si>
    <t>230:000.001.009.000.000</t>
  </si>
  <si>
    <t>230:000.001.010.000.000</t>
  </si>
  <si>
    <t>230:000.001.011.000.000</t>
  </si>
  <si>
    <t>230:000.001.012.000.000</t>
  </si>
  <si>
    <t>230:000.001.013.000.000</t>
  </si>
  <si>
    <t>230:000.001.014.000.000</t>
  </si>
  <si>
    <t>230:000.001.015.000.000</t>
  </si>
  <si>
    <t>230:000.001.016.000.000</t>
  </si>
  <si>
    <t>230:000.001.017.000.000</t>
  </si>
  <si>
    <t>230:000.001.018.000.000</t>
  </si>
  <si>
    <t>230:000.001.019.000.000</t>
  </si>
  <si>
    <t>230:000.001.020.000.000</t>
  </si>
  <si>
    <t>230:000.001.021.000.000</t>
  </si>
  <si>
    <t>230:000.001.022.000.000</t>
  </si>
  <si>
    <t>230:000.001.023.000.000</t>
  </si>
  <si>
    <t>230:000.001.024.251.000</t>
  </si>
  <si>
    <t>230:000.001.024.252.000</t>
  </si>
  <si>
    <t>230:000.001.024.253.000</t>
  </si>
  <si>
    <t>230:000.001.024.254.000</t>
  </si>
  <si>
    <t>230:000.001.024.255.000</t>
  </si>
  <si>
    <t>230:000.001.024.256.000</t>
  </si>
  <si>
    <t>230:000.001.024.257.000</t>
  </si>
  <si>
    <t>230:000.001.024.258.000</t>
  </si>
  <si>
    <t>230:000.001.024.259.000</t>
  </si>
  <si>
    <t>230:000.001.024.260.000</t>
  </si>
  <si>
    <t>230:000.001.024.261.000</t>
  </si>
  <si>
    <t>230:000.001.024.262.000</t>
  </si>
  <si>
    <t>230:000.001.024.263.000</t>
  </si>
  <si>
    <t>230:000.001.024.264.000</t>
  </si>
  <si>
    <t>230:000.001.024.265.000</t>
  </si>
  <si>
    <t>230:000.001.024.266.000</t>
  </si>
  <si>
    <t>230:000.001.024.267.000</t>
  </si>
  <si>
    <t>230:000.001.024.268.000</t>
  </si>
  <si>
    <t>230:000.001.025.269.000</t>
  </si>
  <si>
    <t>230:000.001.025.270.000</t>
  </si>
  <si>
    <t>230:000.001.025.271.000</t>
  </si>
  <si>
    <t>230:000.001.026.000.000</t>
  </si>
  <si>
    <t>230:000.001.027.000.000</t>
  </si>
  <si>
    <t>230:000.001.028.000.000</t>
  </si>
  <si>
    <t>230:000.001.029.272.000</t>
  </si>
  <si>
    <t>230:000.001.029.273.000</t>
  </si>
  <si>
    <t>230:000.001.029.274.000</t>
  </si>
  <si>
    <t>230:000.001.029.275.000</t>
  </si>
  <si>
    <t>230:000.001.029.276.000</t>
  </si>
  <si>
    <t>230:000.001.029.277.000</t>
  </si>
  <si>
    <t>230:000.001.029.278.000</t>
  </si>
  <si>
    <t>230:000.001.029.279.000</t>
  </si>
  <si>
    <t>230:000.001.029.280.000</t>
  </si>
  <si>
    <t>230:000.001.029.281.000</t>
  </si>
  <si>
    <t>230:000.001.029.282.000</t>
  </si>
  <si>
    <t>230:000.001.029.283.000</t>
  </si>
  <si>
    <t>230:000.001.029.284.000</t>
  </si>
  <si>
    <t>230:000.001.029.285.000</t>
  </si>
  <si>
    <t>230:000.001.029.286.000</t>
  </si>
  <si>
    <t>230:000.001.030.287.000</t>
  </si>
  <si>
    <t>230:000.001.030.288.000</t>
  </si>
  <si>
    <t>230:000.001.031.289.000</t>
  </si>
  <si>
    <t>230:000.001.031.290.000</t>
  </si>
  <si>
    <t>230:000.001.032.291.000</t>
  </si>
  <si>
    <t>230:000.001.033.292.000</t>
  </si>
  <si>
    <t>230:000.001.034.000.000</t>
  </si>
  <si>
    <t>230:000.001.035.293.000</t>
  </si>
  <si>
    <t>230:000.001.035.294.000</t>
  </si>
  <si>
    <t>230:000.001.036.000.000</t>
  </si>
  <si>
    <t>230:000.001.037.000.000</t>
  </si>
  <si>
    <t>230:000.001.038.000.000</t>
  </si>
  <si>
    <t>230:000.001.039.000.000</t>
  </si>
  <si>
    <t>230:000.001.040.000.000</t>
  </si>
  <si>
    <t>230:000.001.041.295.000</t>
  </si>
  <si>
    <t>230:000.001.042.000.000</t>
  </si>
  <si>
    <t>230:000.001.043.000.000</t>
  </si>
  <si>
    <t>230:000.001.044.000.000</t>
  </si>
  <si>
    <t>230:000.001.045.296.000</t>
  </si>
  <si>
    <t>230:000.001.045.297.000</t>
  </si>
  <si>
    <t>230:000.001.046.298.000</t>
  </si>
  <si>
    <t>230:000.001.046.299.000</t>
  </si>
  <si>
    <t>230:000.001.046.300.000</t>
  </si>
  <si>
    <t>230:000.001.046.301.000</t>
  </si>
  <si>
    <t>230:000.001.046.302.000</t>
  </si>
  <si>
    <t>230:000.001.046.303.000</t>
  </si>
  <si>
    <t>230:000.001.046.304.000</t>
  </si>
  <si>
    <t>230:000.001.046.305.000</t>
  </si>
  <si>
    <t>230:000.001.046.306.000</t>
  </si>
  <si>
    <t>230:000.001.047.000.000</t>
  </si>
  <si>
    <t>230:000.001.048.000.000</t>
  </si>
  <si>
    <t>230:000.001.049.000.000</t>
  </si>
  <si>
    <t>230:000.001.050.000.000</t>
  </si>
  <si>
    <t>230:000.001.051.000.000</t>
  </si>
  <si>
    <t>230:000.001.052.307.000</t>
  </si>
  <si>
    <t>230:000.001.052.308.000</t>
  </si>
  <si>
    <t>230:000.001.052.309.000</t>
  </si>
  <si>
    <t>230:000.001.052.310.000</t>
  </si>
  <si>
    <t>230:000.001.052.311.000</t>
  </si>
  <si>
    <t>230:000.001.053.000.000</t>
  </si>
  <si>
    <t>230:000.001.054.000.000</t>
  </si>
  <si>
    <t>230:000.001.055.000.000</t>
  </si>
  <si>
    <t>230:000.001.056.000.000</t>
  </si>
  <si>
    <t>230:000.001.057.000.000</t>
  </si>
  <si>
    <t>230:000.001.058.000.000</t>
  </si>
  <si>
    <t>230:000.001.059.000.000</t>
  </si>
  <si>
    <t>230:000.001.060.000.000</t>
  </si>
  <si>
    <t>230:000.001.061.000.000</t>
  </si>
  <si>
    <t>230:000.001.062.000.000</t>
  </si>
  <si>
    <t>230:000.001.063.000.000</t>
  </si>
  <si>
    <t>230:000.001.064.000.000</t>
  </si>
  <si>
    <t>230:000.001.065.000.000</t>
  </si>
  <si>
    <t>230:000.001.066.000.000</t>
  </si>
  <si>
    <t>230:000.001.067.312.000</t>
  </si>
  <si>
    <t>230:000.001.067.313.000</t>
  </si>
  <si>
    <t>230:000.001.068.000.000</t>
  </si>
  <si>
    <t>230:000.001.069.314.000</t>
  </si>
  <si>
    <t>230:000.001.070.315.000</t>
  </si>
  <si>
    <t>230:000.001.070.316.000</t>
  </si>
  <si>
    <t>230:000.001.071.317.000</t>
  </si>
  <si>
    <t>143090</t>
  </si>
  <si>
    <t>230:000.001.072.000.000</t>
  </si>
  <si>
    <t>230:000.001.073.000.000</t>
  </si>
  <si>
    <t>230:000.001.074.318.000</t>
  </si>
  <si>
    <t>230:000.001.074.319.000</t>
  </si>
  <si>
    <t>230:000.001.075.000.000</t>
  </si>
  <si>
    <t>230:000.001.076.320.000</t>
  </si>
  <si>
    <t>230:000.001.077.000.000</t>
  </si>
  <si>
    <t>230:000.001.078.000.000</t>
  </si>
  <si>
    <t>230:000.001.079.321.000</t>
  </si>
  <si>
    <t>230:000.001.079.322.000</t>
  </si>
  <si>
    <t>230:000.001.079.323.000</t>
  </si>
  <si>
    <t>230:000.001.080.000.000</t>
  </si>
  <si>
    <t>230:000.001.081.000.000</t>
  </si>
  <si>
    <t>230:000.001.082.000.000</t>
  </si>
  <si>
    <t>230:000.001.083.000.000</t>
  </si>
  <si>
    <t>230:000.001.084.000.000</t>
  </si>
  <si>
    <t>230:000.001.085.000.000</t>
  </si>
  <si>
    <t>230:000.001.086.000.000</t>
  </si>
  <si>
    <t>634193.0010</t>
  </si>
  <si>
    <t>240:000.001.001.000.000</t>
  </si>
  <si>
    <t>634201.0010</t>
  </si>
  <si>
    <t>240:000.001.002.000.000</t>
  </si>
  <si>
    <t>240:000.001.003.000.000</t>
  </si>
  <si>
    <t>240:000.001.004.000.000</t>
  </si>
  <si>
    <t>240:000.001.005.000.000</t>
  </si>
  <si>
    <t>240:000.001.006.000.000</t>
  </si>
  <si>
    <t>240:000.001.007.000.000</t>
  </si>
  <si>
    <t>240:000.001.008.000.000</t>
  </si>
  <si>
    <t>250:000.001.001.001.000</t>
  </si>
  <si>
    <t>250:000.001.001.002.000</t>
  </si>
  <si>
    <t>250:000.001.001.007.000</t>
  </si>
  <si>
    <t>250:000.001.001.008.000</t>
  </si>
  <si>
    <t>250:000.001.001.009.000</t>
  </si>
  <si>
    <t>250:000.001.001.010.000</t>
  </si>
  <si>
    <t>250:000.001.001.011.000</t>
  </si>
  <si>
    <t>250:000.001.002.014.000</t>
  </si>
  <si>
    <t>250:000.001.002.015.000</t>
  </si>
  <si>
    <t>250:000.001.002.016.000</t>
  </si>
  <si>
    <t>250:000.001.002.017.000</t>
  </si>
  <si>
    <t>250:000.001.002.018.000</t>
  </si>
  <si>
    <t>250:000.001.002.019.000</t>
  </si>
  <si>
    <t>250:000.001.002.020.000</t>
  </si>
  <si>
    <t>250:000.001.002.021.000</t>
  </si>
  <si>
    <t>250:000.001.002.022.000</t>
  </si>
  <si>
    <t>250:000.001.002.023.000</t>
  </si>
  <si>
    <t>250:000.001.002.024.000</t>
  </si>
  <si>
    <t>250:000.001.002.025.000</t>
  </si>
  <si>
    <t>250:000.001.002.026.000</t>
  </si>
  <si>
    <t>250:000.001.002.027.000</t>
  </si>
  <si>
    <t>250:000.001.002.028.000</t>
  </si>
  <si>
    <t>250:000.001.003.000.000</t>
  </si>
  <si>
    <t>250:000.001.004.000.000</t>
  </si>
  <si>
    <t>250:000.001.005.029.000</t>
  </si>
  <si>
    <t>250:000.001.005.030.000</t>
  </si>
  <si>
    <t>250:000.001.005.033.000</t>
  </si>
  <si>
    <t>250:000.001.005.037.000</t>
  </si>
  <si>
    <t>250:000.001.005.039.000</t>
  </si>
  <si>
    <t>250:000.001.005.040.000</t>
  </si>
  <si>
    <t>250:000.001.005.041.000</t>
  </si>
  <si>
    <t>250:000.001.006.042.000</t>
  </si>
  <si>
    <t>250:000.001.006.043.000</t>
  </si>
  <si>
    <t>250:000.001.006.046.000</t>
  </si>
  <si>
    <t>250:000.001.006.047.000</t>
  </si>
  <si>
    <t>250:000.001.006.048.000</t>
  </si>
  <si>
    <t>250:000.001.006.049.000</t>
  </si>
  <si>
    <t>250:000.001.006.050.000</t>
  </si>
  <si>
    <t>250:000.001.007.051.000</t>
  </si>
  <si>
    <t>250:000.001.007.052.000</t>
  </si>
  <si>
    <t>250:000.001.007.053.000</t>
  </si>
  <si>
    <t>250:000.001.007.054.000</t>
  </si>
  <si>
    <t>250:000.001.007.055.000</t>
  </si>
  <si>
    <t>250:000.001.007.056.000</t>
  </si>
  <si>
    <t>250:000.001.007.057.000</t>
  </si>
  <si>
    <t>250:000.001.007.058.000</t>
  </si>
  <si>
    <t>250:000.001.007.061.000</t>
  </si>
  <si>
    <t>250:000.001.007.064.000</t>
  </si>
  <si>
    <t>250:000.001.007.067.000</t>
  </si>
  <si>
    <t>250:000.001.007.068.000</t>
  </si>
  <si>
    <t>250:000.001.007.069.000</t>
  </si>
  <si>
    <t>250:000.001.007.070.000</t>
  </si>
  <si>
    <t>250:000.001.007.071.000</t>
  </si>
  <si>
    <t>250:000.001.007.072.000</t>
  </si>
  <si>
    <t>250:000.001.008.073.000</t>
  </si>
  <si>
    <t>250:000.001.008.074.000</t>
  </si>
  <si>
    <t>250:000.001.008.077.000</t>
  </si>
  <si>
    <t>250:000.001.008.078.000</t>
  </si>
  <si>
    <t>250:000.001.008.080.000</t>
  </si>
  <si>
    <t>250:000.001.008.081.000</t>
  </si>
  <si>
    <t>250:000.001.009.082.000</t>
  </si>
  <si>
    <t>250:000.001.009.083.000</t>
  </si>
  <si>
    <t>250:000.001.009.086.000</t>
  </si>
  <si>
    <t>250:000.001.009.087.000</t>
  </si>
  <si>
    <t>250:000.001.009.088.000</t>
  </si>
  <si>
    <t>250:000.001.009.089.000</t>
  </si>
  <si>
    <t>250:000.001.009.090.000</t>
  </si>
  <si>
    <t>250:000.001.009.092.000</t>
  </si>
  <si>
    <t>250:000.001.009.093.000</t>
  </si>
  <si>
    <t>250:000.001.009.095.000</t>
  </si>
  <si>
    <t>250:000.001.009.096.000</t>
  </si>
  <si>
    <t>250:000.001.009.097.000</t>
  </si>
  <si>
    <t>250:000.001.009.098.000</t>
  </si>
  <si>
    <t>250:000.001.009.099.000</t>
  </si>
  <si>
    <t>250:000.001.009.100.000</t>
  </si>
  <si>
    <t>250:000.001.010.101.000</t>
  </si>
  <si>
    <t>250:000.001.010.102.000</t>
  </si>
  <si>
    <t>250:000.001.010.105.000</t>
  </si>
  <si>
    <t>250:000.001.010.106.000</t>
  </si>
  <si>
    <t>250:000.001.010.108.000</t>
  </si>
  <si>
    <t>250:000.001.010.109.000</t>
  </si>
  <si>
    <t>250:000.001.010.110.000</t>
  </si>
  <si>
    <t>250:000.001.011.111.000</t>
  </si>
  <si>
    <t>250:000.001.011.112.000</t>
  </si>
  <si>
    <t>250:000.001.011.115.000</t>
  </si>
  <si>
    <t>250:000.001.011.116.000</t>
  </si>
  <si>
    <t>250:000.001.011.117.000</t>
  </si>
  <si>
    <t>250:000.001.011.118.000</t>
  </si>
  <si>
    <t>250:000.001.011.119.000</t>
  </si>
  <si>
    <t>250:000.001.011.121.000</t>
  </si>
  <si>
    <t>250:000.001.011.122.000</t>
  </si>
  <si>
    <t>250:000.001.011.123.000</t>
  </si>
  <si>
    <t>250:000.001.011.125.000</t>
  </si>
  <si>
    <t>250:000.001.011.126.000</t>
  </si>
  <si>
    <t>250:000.001.011.127.000</t>
  </si>
  <si>
    <t>250:000.001.011.128.000</t>
  </si>
  <si>
    <t>250:000.001.011.130.000</t>
  </si>
  <si>
    <t>250:000.001.012.131.000</t>
  </si>
  <si>
    <t>250:000.001.012.132.000</t>
  </si>
  <si>
    <t>250:000.001.012.133.000</t>
  </si>
  <si>
    <t>250:000.001.012.138.000</t>
  </si>
  <si>
    <t>250:000.001.012.139.000</t>
  </si>
  <si>
    <t>250:000.001.012.140.000</t>
  </si>
  <si>
    <t>250:000.001.012.141.000</t>
  </si>
  <si>
    <t>250:000.001.013.142.000</t>
  </si>
  <si>
    <t>250:000.001.013.143.000</t>
  </si>
  <si>
    <t>250:000.001.013.144.000</t>
  </si>
  <si>
    <t>116313</t>
  </si>
  <si>
    <t>250:000.001.013.145.000</t>
  </si>
  <si>
    <t>250:000.001.013.146.000</t>
  </si>
  <si>
    <t>250:000.001.013.147.000</t>
  </si>
  <si>
    <t>250:000.001.013.148.000</t>
  </si>
  <si>
    <t>250:000.001.013.149.000</t>
  </si>
  <si>
    <t>250:000.001.013.150.000</t>
  </si>
  <si>
    <t>250:000.001.013.151.000</t>
  </si>
  <si>
    <t>250:000.001.013.152.000</t>
  </si>
  <si>
    <t>250:000.001.013.153.000</t>
  </si>
  <si>
    <t>250:000.001.013.154.000</t>
  </si>
  <si>
    <t>250:000.001.013.155.000</t>
  </si>
  <si>
    <t>250:000.001.013.156.000</t>
  </si>
  <si>
    <t>250:000.001.013.157.000</t>
  </si>
  <si>
    <t>250:000.001.013.158.000</t>
  </si>
  <si>
    <t>250:000.001.013.159.000</t>
  </si>
  <si>
    <t>250:000.001.013.160.000</t>
  </si>
  <si>
    <t>250:000.001.013.161.000</t>
  </si>
  <si>
    <t>250:000.001.013.162.000</t>
  </si>
  <si>
    <t>250:000.001.013.163.000</t>
  </si>
  <si>
    <t>250:000.001.013.164.000</t>
  </si>
  <si>
    <t>250:000.001.013.165.000</t>
  </si>
  <si>
    <t>250:000.001.013.166.000</t>
  </si>
  <si>
    <t>250:000.001.013.167.000</t>
  </si>
  <si>
    <t>250:000.001.013.168.000</t>
  </si>
  <si>
    <t>250:000.001.013.169.000</t>
  </si>
  <si>
    <t>250:000.001.013.170.000</t>
  </si>
  <si>
    <t>250:000.001.013.171.000</t>
  </si>
  <si>
    <t>250:000.001.013.172.000</t>
  </si>
  <si>
    <t>250:000.001.013.173.000</t>
  </si>
  <si>
    <t>250:000.001.013.174.000</t>
  </si>
  <si>
    <t>250:000.001.013.175.000</t>
  </si>
  <si>
    <t>250:000.001.013.176.000</t>
  </si>
  <si>
    <t>250:000.001.013.177.000</t>
  </si>
  <si>
    <t>250:000.001.013.178.000</t>
  </si>
  <si>
    <t>250:000.001.013.179.000</t>
  </si>
  <si>
    <t>250:000.001.013.180.000</t>
  </si>
  <si>
    <t>250:000.001.013.181.000</t>
  </si>
  <si>
    <t>250:000.001.013.182.000</t>
  </si>
  <si>
    <t>250:000.001.013.183.000</t>
  </si>
  <si>
    <t>250:000.001.013.184.000</t>
  </si>
  <si>
    <t>250:000.001.013.185.000</t>
  </si>
  <si>
    <t>250:000.001.013.186.000</t>
  </si>
  <si>
    <t>250:000.001.013.187.000</t>
  </si>
  <si>
    <t>250:000.001.013.188.000</t>
  </si>
  <si>
    <t>250:000.001.013.189.000</t>
  </si>
  <si>
    <t>250:000.001.013.190.000</t>
  </si>
  <si>
    <t>250:000.001.013.191.000</t>
  </si>
  <si>
    <t>250:000.001.013.192.000</t>
  </si>
  <si>
    <t>250:000.001.013.193.000</t>
  </si>
  <si>
    <t>250:000.001.013.194.000</t>
  </si>
  <si>
    <t>250:000.001.013.195.000</t>
  </si>
  <si>
    <t>250:000.001.013.196.000</t>
  </si>
  <si>
    <t>250:000.001.013.197.000</t>
  </si>
  <si>
    <t>250:000.001.013.198.000</t>
  </si>
  <si>
    <t>250:000.001.013.199.000</t>
  </si>
  <si>
    <t>250:000.001.013.200.000</t>
  </si>
  <si>
    <t>250:000.001.013.201.000</t>
  </si>
  <si>
    <t>250:000.001.013.202.000</t>
  </si>
  <si>
    <t>250:000.001.013.203.000</t>
  </si>
  <si>
    <t>250:000.001.013.204.000</t>
  </si>
  <si>
    <t>250:000.001.013.205.000</t>
  </si>
  <si>
    <t>250:000.001.013.206.000</t>
  </si>
  <si>
    <t>250:000.001.013.207.000</t>
  </si>
  <si>
    <t>250:000.001.013.208.000</t>
  </si>
  <si>
    <t>250:000.001.013.209.000</t>
  </si>
  <si>
    <t>250:000.001.013.210.000</t>
  </si>
  <si>
    <t>250:000.001.013.211.000</t>
  </si>
  <si>
    <t>250:000.001.013.212.000</t>
  </si>
  <si>
    <t>250:000.001.013.213.000</t>
  </si>
  <si>
    <t>250:000.001.013.214.000</t>
  </si>
  <si>
    <t>250:000.001.013.215.000</t>
  </si>
  <si>
    <t>250:000.001.013.216.000</t>
  </si>
  <si>
    <t>250:000.001.013.217.000</t>
  </si>
  <si>
    <t>250:000.001.013.218.000</t>
  </si>
  <si>
    <t>250:000.001.013.219.000</t>
  </si>
  <si>
    <t>250:000.001.013.220.000</t>
  </si>
  <si>
    <t>250:000.001.013.221.000</t>
  </si>
  <si>
    <t>250:000.001.013.222.000</t>
  </si>
  <si>
    <t>250:000.001.013.223.000</t>
  </si>
  <si>
    <t>250:000.001.013.224.000</t>
  </si>
  <si>
    <t>250:000.001.013.225.000</t>
  </si>
  <si>
    <t>250:000.001.013.226.000</t>
  </si>
  <si>
    <t>250:000.001.013.227.000</t>
  </si>
  <si>
    <t>250:000.001.013.228.000</t>
  </si>
  <si>
    <t>250:000.001.013.229.000</t>
  </si>
  <si>
    <t>250:000.001.013.230.000</t>
  </si>
  <si>
    <t>250:000.001.013.231.000</t>
  </si>
  <si>
    <t>250:000.001.013.232.000</t>
  </si>
  <si>
    <t>250:000.001.013.233.000</t>
  </si>
  <si>
    <t>250:000.001.013.242.000</t>
  </si>
  <si>
    <t>250:000.001.013.243.000</t>
  </si>
  <si>
    <t>250:000.001.013.244.000</t>
  </si>
  <si>
    <t>250:000.001.013.245.000</t>
  </si>
  <si>
    <t>250:000.001.013.246.000</t>
  </si>
  <si>
    <t>250:000.001.013.247.000</t>
  </si>
  <si>
    <t>250:000.001.013.248.000</t>
  </si>
  <si>
    <t>250:000.001.013.252.000</t>
  </si>
  <si>
    <t>250:000.001.013.253.000</t>
  </si>
  <si>
    <t>250:000.001.013.254.000</t>
  </si>
  <si>
    <t>250:000.001.013.255.000</t>
  </si>
  <si>
    <t>250:000.001.013.256.000</t>
  </si>
  <si>
    <t>250:000.001.013.257.000</t>
  </si>
  <si>
    <t>250:000.001.013.258.000</t>
  </si>
  <si>
    <t>250:000.001.013.259.000</t>
  </si>
  <si>
    <t>250:000.001.013.261.000</t>
  </si>
  <si>
    <t>250:000.001.013.262.000</t>
  </si>
  <si>
    <t>250:000.001.013.263.000</t>
  </si>
  <si>
    <t>250:000.001.013.264.000</t>
  </si>
  <si>
    <t>250:000.001.013.265.000</t>
  </si>
  <si>
    <t>250:000.001.013.266.000</t>
  </si>
  <si>
    <t>250:000.001.013.267.000</t>
  </si>
  <si>
    <t>250:000.001.013.268.000</t>
  </si>
  <si>
    <t>250:000.001.013.269.000</t>
  </si>
  <si>
    <t>250:000.001.013.270.000</t>
  </si>
  <si>
    <t>250:000.001.013.271.000</t>
  </si>
  <si>
    <t>250:000.001.013.272.000</t>
  </si>
  <si>
    <t>250:000.001.013.274.000</t>
  </si>
  <si>
    <t>250:000.001.013.275.000</t>
  </si>
  <si>
    <t>250:000.001.013.276.000</t>
  </si>
  <si>
    <t>250:000.001.013.277.000</t>
  </si>
  <si>
    <t>250:000.001.014.280.000</t>
  </si>
  <si>
    <t>250:000.001.014.281.000</t>
  </si>
  <si>
    <t>250:000.001.014.282.000</t>
  </si>
  <si>
    <t>250:000.001.014.283.000</t>
  </si>
  <si>
    <t>250:000.001.014.284.000</t>
  </si>
  <si>
    <t>250:000.001.014.285.000</t>
  </si>
  <si>
    <t>250:000.001.014.286.000</t>
  </si>
  <si>
    <t>250:000.001.014.287.000</t>
  </si>
  <si>
    <t>250:000.001.014.288.000</t>
  </si>
  <si>
    <t>250:000.001.014.289.000</t>
  </si>
  <si>
    <t>250:000.001.014.290.000</t>
  </si>
  <si>
    <t>250:000.001.014.291.000</t>
  </si>
  <si>
    <t>250:000.001.014.292.000</t>
  </si>
  <si>
    <t>250:000.001.014.293.000</t>
  </si>
  <si>
    <t>250:000.001.014.294.000</t>
  </si>
  <si>
    <t>250:000.001.014.295.000</t>
  </si>
  <si>
    <t>250:000.001.014.296.000</t>
  </si>
  <si>
    <t>250:000.001.014.297.000</t>
  </si>
  <si>
    <t>250:000.001.014.298.000</t>
  </si>
  <si>
    <t>250:000.001.014.299.000</t>
  </si>
  <si>
    <t>250:000.001.014.300.000</t>
  </si>
  <si>
    <t>250:000.001.014.301.000</t>
  </si>
  <si>
    <t>250:000.001.015.302.000</t>
  </si>
  <si>
    <t>250:000.001.015.303.000</t>
  </si>
  <si>
    <t>250:000.001.015.304.000</t>
  </si>
  <si>
    <t>250:000.001.015.307.000</t>
  </si>
  <si>
    <t>250:000.001.015.310.000</t>
  </si>
  <si>
    <t>250:000.001.015.311.000</t>
  </si>
  <si>
    <t>250:000.001.015.312.000</t>
  </si>
  <si>
    <t>250:000.001.015.313.000</t>
  </si>
  <si>
    <t>250:000.001.015.314.000</t>
  </si>
  <si>
    <t>250:000.001.015.315.000</t>
  </si>
  <si>
    <t>250:000.001.016.316.000</t>
  </si>
  <si>
    <t>250:000.001.016.317.000</t>
  </si>
  <si>
    <t>250:000.001.016.322.000</t>
  </si>
  <si>
    <t>250:000.001.016.323.000</t>
  </si>
  <si>
    <t>250:000.001.016.324.000</t>
  </si>
  <si>
    <t>250:000.001.016.325.000</t>
  </si>
  <si>
    <t>250:000.001.016.326.000</t>
  </si>
  <si>
    <t>250:000.001.016.327.000</t>
  </si>
  <si>
    <t>250:000.001.016.328.000</t>
  </si>
  <si>
    <t>250:000.001.016.329.000</t>
  </si>
  <si>
    <t>250:000.001.016.330.000</t>
  </si>
  <si>
    <t>250:000.001.016.331.000</t>
  </si>
  <si>
    <t>250:000.001.016.332.000</t>
  </si>
  <si>
    <t>250:000.001.017.333.000</t>
  </si>
  <si>
    <t>250:000.001.017.334.000</t>
  </si>
  <si>
    <t>250:000.001.017.337.000</t>
  </si>
  <si>
    <t>250:000.001.017.338.000</t>
  </si>
  <si>
    <t>250:000.001.017.339.000</t>
  </si>
  <si>
    <t>250:000.001.017.340.000</t>
  </si>
  <si>
    <t>250:000.001.017.341.000</t>
  </si>
  <si>
    <t>250:000.001.017.342.000</t>
  </si>
  <si>
    <t>250:000.001.017.343.000</t>
  </si>
  <si>
    <t>250:000.001.018.345.000</t>
  </si>
  <si>
    <t>250:000.001.018.346.000</t>
  </si>
  <si>
    <t>250:000.001.018.349.000</t>
  </si>
  <si>
    <t>250:000.001.018.352.000</t>
  </si>
  <si>
    <t>250:000.001.018.356.000</t>
  </si>
  <si>
    <t>250:000.001.018.357.000</t>
  </si>
  <si>
    <t>250:000.001.018.358.000</t>
  </si>
  <si>
    <t>250:000.001.018.359.000</t>
  </si>
  <si>
    <t>250:000.001.018.360.000</t>
  </si>
  <si>
    <t>250:000.001.019.361.000</t>
  </si>
  <si>
    <t>250:000.001.019.362.000</t>
  </si>
  <si>
    <t>250:000.001.019.363.000</t>
  </si>
  <si>
    <t>250:000.001.019.366.000</t>
  </si>
  <si>
    <t>250:000.001.019.368.000</t>
  </si>
  <si>
    <t>250:000.001.019.370.000</t>
  </si>
  <si>
    <t>250:000.001.020.000.000</t>
  </si>
  <si>
    <t>250:000.001.022.000.000</t>
  </si>
  <si>
    <t>250:000.001.023.000.000</t>
  </si>
  <si>
    <t>250:000.001.024.000.000</t>
  </si>
  <si>
    <t>250:000.001.025.000.000</t>
  </si>
  <si>
    <t>250:000.001.026.000.000</t>
  </si>
  <si>
    <t>250:000.001.027.000.000</t>
  </si>
  <si>
    <t>250:000.001.028.000.000</t>
  </si>
  <si>
    <t>250:000.001.029.371.000</t>
  </si>
  <si>
    <t>250:000.001.029.372.000</t>
  </si>
  <si>
    <t>250:000.001.029.373.000</t>
  </si>
  <si>
    <t>250:000.001.029.375.000</t>
  </si>
  <si>
    <t>250:000.001.029.376.000</t>
  </si>
  <si>
    <t>250:000.001.029.377.000</t>
  </si>
  <si>
    <t>250:000.001.029.378.000</t>
  </si>
  <si>
    <t>250:000.001.029.379.000</t>
  </si>
  <si>
    <t>250:000.001.029.380.000</t>
  </si>
  <si>
    <t>250:000.001.029.381.000</t>
  </si>
  <si>
    <t>250:000.001.029.382.000</t>
  </si>
  <si>
    <t>250:000.001.029.383.000</t>
  </si>
  <si>
    <t>250:000.001.029.384.000</t>
  </si>
  <si>
    <t>250:000.001.029.385.000</t>
  </si>
  <si>
    <t>250:000.001.029.386.000</t>
  </si>
  <si>
    <t>250:000.001.029.387.000</t>
  </si>
  <si>
    <t>250:000.001.029.388.000</t>
  </si>
  <si>
    <t>250:000.001.029.389.000</t>
  </si>
  <si>
    <t>250:000.001.030.390.000</t>
  </si>
  <si>
    <t>250:000.001.030.391.000</t>
  </si>
  <si>
    <t>250:000.001.030.392.000</t>
  </si>
  <si>
    <t>250:000.001.030.394.000</t>
  </si>
  <si>
    <t>250:000.001.030.395.000</t>
  </si>
  <si>
    <t>250:000.001.030.396.000</t>
  </si>
  <si>
    <t>250:000.001.030.397.000</t>
  </si>
  <si>
    <t>250:000.001.030.398.000</t>
  </si>
  <si>
    <t>250:000.001.030.399.000</t>
  </si>
  <si>
    <t>250:000.001.030.400.000</t>
  </si>
  <si>
    <t>250:000.001.030.401.000</t>
  </si>
  <si>
    <t>250:000.001.030.402.000</t>
  </si>
  <si>
    <t>250:000.001.030.403.000</t>
  </si>
  <si>
    <t>250:000.001.030.404.000</t>
  </si>
  <si>
    <t>250:000.001.030.405.000</t>
  </si>
  <si>
    <t>250:000.001.030.406.000</t>
  </si>
  <si>
    <t>250:000.001.030.407.000</t>
  </si>
  <si>
    <t>250:000.001.030.408.000</t>
  </si>
  <si>
    <t>250:000.001.031.000.000</t>
  </si>
  <si>
    <t>250:000.001.032.000.000</t>
  </si>
  <si>
    <t>250:000.001.033.000.000</t>
  </si>
  <si>
    <t>250:000.001.034.000.000</t>
  </si>
  <si>
    <t>250:000.001.035.000.000</t>
  </si>
  <si>
    <t>250:000.001.036.409.000</t>
  </si>
  <si>
    <t>250:000.001.036.413.000</t>
  </si>
  <si>
    <t>250:000.001.036.414.000</t>
  </si>
  <si>
    <t>250:000.001.036.415.000</t>
  </si>
  <si>
    <t>250:000.001.036.416.000</t>
  </si>
  <si>
    <t>250:000.001.036.417.000</t>
  </si>
  <si>
    <t>250:000.001.036.418.000</t>
  </si>
  <si>
    <t>250:000.001.036.419.000</t>
  </si>
  <si>
    <t>250:000.001.036.420.000</t>
  </si>
  <si>
    <t>250:000.001.036.421.000</t>
  </si>
  <si>
    <t>250:000.001.036.422.000</t>
  </si>
  <si>
    <t>250:000.001.036.423.000</t>
  </si>
  <si>
    <t>250:000.001.036.424.000</t>
  </si>
  <si>
    <t>250:000.001.036.425.000</t>
  </si>
  <si>
    <t>250:000.001.036.426.000</t>
  </si>
  <si>
    <t>250:000.001.036.427.000</t>
  </si>
  <si>
    <t>250:000.001.036.428.000</t>
  </si>
  <si>
    <t>250:000.001.036.429.000</t>
  </si>
  <si>
    <t>250:000.001.036.430.000</t>
  </si>
  <si>
    <t>250:000.001.036.431.000</t>
  </si>
  <si>
    <t>250:000.001.036.433.000</t>
  </si>
  <si>
    <t>250:000.001.036.434.000</t>
  </si>
  <si>
    <t>250:000.001.036.436.000</t>
  </si>
  <si>
    <t>250:000.001.036.437.000</t>
  </si>
  <si>
    <t>250:000.001.036.438.000</t>
  </si>
  <si>
    <t>250:000.001.036.439.000</t>
  </si>
  <si>
    <t>250:000.001.036.440.000</t>
  </si>
  <si>
    <t>250:000.001.036.441.000</t>
  </si>
  <si>
    <t>250:000.001.036.442.000</t>
  </si>
  <si>
    <t>250:000.001.036.443.000</t>
  </si>
  <si>
    <t>250:000.001.036.444.000</t>
  </si>
  <si>
    <t>250:000.001.036.445.000</t>
  </si>
  <si>
    <t>250:000.001.037.000.000</t>
  </si>
  <si>
    <t>250:000.001.038.000.000</t>
  </si>
  <si>
    <t>250:000.001.039.000.000</t>
  </si>
  <si>
    <t>250:000.001.040.000.000</t>
  </si>
  <si>
    <t>250:000.001.041.000.000</t>
  </si>
  <si>
    <t>250:000.001.042.446.000</t>
  </si>
  <si>
    <t>250:000.001.042.449.000</t>
  </si>
  <si>
    <t>250:000.001.042.450.000</t>
  </si>
  <si>
    <t>250:000.001.042.451.000</t>
  </si>
  <si>
    <t>250:000.001.042.452.000</t>
  </si>
  <si>
    <t>250:000.001.042.453.000</t>
  </si>
  <si>
    <t>250:000.001.042.454.000</t>
  </si>
  <si>
    <t>250:000.001.042.455.000</t>
  </si>
  <si>
    <t>250:000.001.042.456.000</t>
  </si>
  <si>
    <t>250:000.001.042.457.000</t>
  </si>
  <si>
    <t>250:000.001.042.458.000</t>
  </si>
  <si>
    <t>250:000.001.042.459.000</t>
  </si>
  <si>
    <t>250:000.001.042.460.000</t>
  </si>
  <si>
    <t>250:000.001.042.461.000</t>
  </si>
  <si>
    <t>250:000.001.042.462.000</t>
  </si>
  <si>
    <t>250:000.001.042.463.000</t>
  </si>
  <si>
    <t>250:000.001.042.464.000</t>
  </si>
  <si>
    <t>250:000.001.042.465.000</t>
  </si>
  <si>
    <t>250:000.001.042.466.000</t>
  </si>
  <si>
    <t>250:000.001.042.467.000</t>
  </si>
  <si>
    <t>250:000.001.042.468.000</t>
  </si>
  <si>
    <t>250:000.001.042.469.000</t>
  </si>
  <si>
    <t>250:000.001.042.470.000</t>
  </si>
  <si>
    <t>250:000.001.042.471.000</t>
  </si>
  <si>
    <t>250:000.001.042.474.000</t>
  </si>
  <si>
    <t>250:000.001.042.475.000</t>
  </si>
  <si>
    <t>250:000.001.042.476.000</t>
  </si>
  <si>
    <t>250:000.001.042.481.000</t>
  </si>
  <si>
    <t>250:000.001.042.482.000</t>
  </si>
  <si>
    <t>250:000.001.042.485.000</t>
  </si>
  <si>
    <t>250:000.001.042.486.000</t>
  </si>
  <si>
    <t>250:000.001.042.487.000</t>
  </si>
  <si>
    <t>250:000.001.042.488.000</t>
  </si>
  <si>
    <t>250:000.001.042.489.000</t>
  </si>
  <si>
    <t>250:000.001.042.491.000</t>
  </si>
  <si>
    <t>250:000.001.042.492.000</t>
  </si>
  <si>
    <t>250:000.001.043.000.000</t>
  </si>
  <si>
    <t>250:000.001.044.000.000</t>
  </si>
  <si>
    <t>250:000.001.045.000.000</t>
  </si>
  <si>
    <t>250:000.001.046.000.000</t>
  </si>
  <si>
    <t>250:000.001.047.000.000</t>
  </si>
  <si>
    <t>250:000.001.048.000.000</t>
  </si>
  <si>
    <t>250:000.001.049.000.000</t>
  </si>
  <si>
    <t>250:000.001.050.000.000</t>
  </si>
  <si>
    <t>250:000.001.051.000.000</t>
  </si>
  <si>
    <t>250:000.001.052.000.000</t>
  </si>
  <si>
    <t>250:000.001.053.000.000</t>
  </si>
  <si>
    <t>250:000.001.054.000.000</t>
  </si>
  <si>
    <t>250:000.001.055.000.000</t>
  </si>
  <si>
    <t>250:000.001.056.000.000</t>
  </si>
  <si>
    <t>250:000.001.057.000.000</t>
  </si>
  <si>
    <t>250:000.001.058.000.000</t>
  </si>
  <si>
    <t>250:000.001.059.000.000</t>
  </si>
  <si>
    <t>250:000.001.060.000.000</t>
  </si>
  <si>
    <t>250:000.001.061.000.000</t>
  </si>
  <si>
    <t>250:000.001.062.000.000</t>
  </si>
  <si>
    <t>250:000.001.063.000.000</t>
  </si>
  <si>
    <t>70744.01.100.100</t>
  </si>
  <si>
    <t>250:000.001.064.000.000</t>
  </si>
  <si>
    <t>250:000.001.065.000.000</t>
  </si>
  <si>
    <t>250:000.001.066.000.000</t>
  </si>
  <si>
    <t>250:000.001.067.000.000</t>
  </si>
  <si>
    <t>250:000.001.068.000.000</t>
  </si>
  <si>
    <t>250:000.001.069.000.000</t>
  </si>
  <si>
    <t>250:000.001.070.000.000</t>
  </si>
  <si>
    <t>250:000.001.071.000.000</t>
  </si>
  <si>
    <t>250:000.001.072.000.000</t>
  </si>
  <si>
    <t>250:000.001.073.000.000</t>
  </si>
  <si>
    <t>250:000.001.074.000.000</t>
  </si>
  <si>
    <t>250:000.001.075.000.000</t>
  </si>
  <si>
    <t>250:000.001.076.000.000</t>
  </si>
  <si>
    <t>250:000.001.077.000.000</t>
  </si>
  <si>
    <t>250:000.001.078.000.000</t>
  </si>
  <si>
    <t>250:000.001.079.000.000</t>
  </si>
  <si>
    <t>250:000.001.080.000.000</t>
  </si>
  <si>
    <t>250:000.001.081.000.000</t>
  </si>
  <si>
    <t>250:000.001.082.000.000</t>
  </si>
  <si>
    <t>250:000.001.083.000.000</t>
  </si>
  <si>
    <t>250:000.001.084.000.000</t>
  </si>
  <si>
    <t>250:000.001.085.000.000</t>
  </si>
  <si>
    <t>250:000.001.086.000.000</t>
  </si>
  <si>
    <t>250:000.001.087.000.000</t>
  </si>
  <si>
    <t>250:000.001.088.000.000</t>
  </si>
  <si>
    <t>250:000.001.089.000.000</t>
  </si>
  <si>
    <t>250:000.001.090.000.000</t>
  </si>
  <si>
    <t>250:000.001.091.000.000</t>
  </si>
  <si>
    <t>250:000.001.092.000.000</t>
  </si>
  <si>
    <t>250:000.001.093.000.000</t>
  </si>
  <si>
    <t>250:000.001.094.000.000</t>
  </si>
  <si>
    <t>250:000.001.095.000.000</t>
  </si>
  <si>
    <t>250:000.001.096.000.000</t>
  </si>
  <si>
    <t>250:000.001.097.000.000</t>
  </si>
  <si>
    <t>250:000.001.098.000.000</t>
  </si>
  <si>
    <t>250:000.001.099.000.000</t>
  </si>
  <si>
    <t>250:000.001.100.000.000</t>
  </si>
  <si>
    <t>250:000.001.101.000.000</t>
  </si>
  <si>
    <t>634192.0010</t>
  </si>
  <si>
    <t>260:000.001.001.001.000</t>
  </si>
  <si>
    <t>260:000.001.001.002.000</t>
  </si>
  <si>
    <t>260:000.001.001.003.000</t>
  </si>
  <si>
    <t>260:000.001.001.004.000</t>
  </si>
  <si>
    <t>260:000.001.001.005.000</t>
  </si>
  <si>
    <t>260:000.001.001.006.000</t>
  </si>
  <si>
    <t>260:000.001.001.007.000</t>
  </si>
  <si>
    <t>260:000.001.001.008.000</t>
  </si>
  <si>
    <t>260:000.001.001.009.000</t>
  </si>
  <si>
    <t>260:000.001.001.010.000</t>
  </si>
  <si>
    <t>260:000.001.001.011.000</t>
  </si>
  <si>
    <t>260:000.001.001.012.000</t>
  </si>
  <si>
    <t>260:000.001.001.013.000</t>
  </si>
  <si>
    <t>260:000.001.001.014.000</t>
  </si>
  <si>
    <t>260:000.001.001.015.000</t>
  </si>
  <si>
    <t>260:000.001.001.016.000</t>
  </si>
  <si>
    <t>260:000.001.001.017.000</t>
  </si>
  <si>
    <t>260:000.001.001.018.000</t>
  </si>
  <si>
    <t>260:000.001.001.019.000</t>
  </si>
  <si>
    <t>260:000.001.001.020.000</t>
  </si>
  <si>
    <t>260:000.001.001.021.000</t>
  </si>
  <si>
    <t>260:000.001.001.022.000</t>
  </si>
  <si>
    <t>260:000.001.001.023.000</t>
  </si>
  <si>
    <t>260:000.001.001.024.000</t>
  </si>
  <si>
    <t>260:000.001.001.025.000</t>
  </si>
  <si>
    <t>260:000.001.001.026.000</t>
  </si>
  <si>
    <t>260:000.001.001.027.000</t>
  </si>
  <si>
    <t>260:000.001.001.028.000</t>
  </si>
  <si>
    <t>260:000.001.001.029.000</t>
  </si>
  <si>
    <t>260:000.001.001.030.000</t>
  </si>
  <si>
    <t>260:000.001.001.031.000</t>
  </si>
  <si>
    <t>260:000.001.001.032.000</t>
  </si>
  <si>
    <t>260:000.001.001.033.000</t>
  </si>
  <si>
    <t>260:000.001.001.034.000</t>
  </si>
  <si>
    <t>260:000.001.001.035.000</t>
  </si>
  <si>
    <t>260:000.001.001.036.000</t>
  </si>
  <si>
    <t>260:000.001.001.037.000</t>
  </si>
  <si>
    <t>260:000.001.001.038.000</t>
  </si>
  <si>
    <t>260:000.001.001.039.000</t>
  </si>
  <si>
    <t>260:000.001.001.040.000</t>
  </si>
  <si>
    <t>260:000.001.001.041.000</t>
  </si>
  <si>
    <t>260:000.001.001.042.000</t>
  </si>
  <si>
    <t>260:000.001.001.043.000</t>
  </si>
  <si>
    <t>260:000.001.001.044.000</t>
  </si>
  <si>
    <t>260:000.001.001.045.000</t>
  </si>
  <si>
    <t>260:000.001.001.046.000</t>
  </si>
  <si>
    <t>260:000.001.001.047.000</t>
  </si>
  <si>
    <t>260:000.001.001.048.000</t>
  </si>
  <si>
    <t>260:000.001.001.049.000</t>
  </si>
  <si>
    <t>260:000.001.001.050.000</t>
  </si>
  <si>
    <t>260:000.001.001.051.000</t>
  </si>
  <si>
    <t>260:000.001.001.052.000</t>
  </si>
  <si>
    <t>260:000.001.001.053.000</t>
  </si>
  <si>
    <t>260:000.001.002.054.000</t>
  </si>
  <si>
    <t>260:000.001.002.055.000</t>
  </si>
  <si>
    <t>260:000.001.002.056.000</t>
  </si>
  <si>
    <t>260:000.001.002.057.000</t>
  </si>
  <si>
    <t>260:000.001.002.060.000</t>
  </si>
  <si>
    <t>260:000.001.002.061.000</t>
  </si>
  <si>
    <t>260:000.001.002.062.000</t>
  </si>
  <si>
    <t>260:000.001.002.063.000</t>
  </si>
  <si>
    <t>260:000.001.002.064.000</t>
  </si>
  <si>
    <t>260:000.001.002.067.000</t>
  </si>
  <si>
    <t>260:000.001.002.068.000</t>
  </si>
  <si>
    <t>260:000.001.002.069.000</t>
  </si>
  <si>
    <t>260:000.001.002.070.000</t>
  </si>
  <si>
    <t>260:000.001.002.071.000</t>
  </si>
  <si>
    <t>260:000.001.002.072.000</t>
  </si>
  <si>
    <t>260:000.001.002.073.000</t>
  </si>
  <si>
    <t>260:000.001.003.076.000</t>
  </si>
  <si>
    <t>260:000.001.003.077.000</t>
  </si>
  <si>
    <t>260:000.001.003.078.000</t>
  </si>
  <si>
    <t>260:000.001.003.079.000</t>
  </si>
  <si>
    <t>260:000.001.003.080.000</t>
  </si>
  <si>
    <t>260:000.001.003.081.000</t>
  </si>
  <si>
    <t>260:000.001.003.082.000</t>
  </si>
  <si>
    <t>260:000.001.003.083.000</t>
  </si>
  <si>
    <t>260:000.001.003.086.000</t>
  </si>
  <si>
    <t>260:000.001.003.087.000</t>
  </si>
  <si>
    <t>260:000.001.003.090.000</t>
  </si>
  <si>
    <t>260:000.001.003.091.000</t>
  </si>
  <si>
    <t>260:000.001.003.092.000</t>
  </si>
  <si>
    <t>260:000.001.003.093.000</t>
  </si>
  <si>
    <t>260:000.001.003.094.000</t>
  </si>
  <si>
    <t>260:000.001.003.095.000</t>
  </si>
  <si>
    <t>260:000.001.003.096.000</t>
  </si>
  <si>
    <t>260:000.001.004.097.000</t>
  </si>
  <si>
    <t>260:000.001.004.098.000</t>
  </si>
  <si>
    <t>260:000.001.004.099.000</t>
  </si>
  <si>
    <t>260:000.001.004.100.000</t>
  </si>
  <si>
    <t>260:000.001.004.101.000</t>
  </si>
  <si>
    <t>260:000.001.004.102.000</t>
  </si>
  <si>
    <t>260:000.001.004.103.000</t>
  </si>
  <si>
    <t>260:000.001.004.104.000</t>
  </si>
  <si>
    <t>260:000.001.004.107.000</t>
  </si>
  <si>
    <t>260:000.001.004.108.000</t>
  </si>
  <si>
    <t>260:000.001.004.111.000</t>
  </si>
  <si>
    <t>260:000.001.004.112.000</t>
  </si>
  <si>
    <t>260:000.001.004.113.000</t>
  </si>
  <si>
    <t>260:000.001.004.114.000</t>
  </si>
  <si>
    <t>260:000.001.004.115.000</t>
  </si>
  <si>
    <t>260:000.001.004.116.000</t>
  </si>
  <si>
    <t>260:000.001.005.117.000</t>
  </si>
  <si>
    <t>260:000.001.005.118.000</t>
  </si>
  <si>
    <t>260:000.001.005.119.000</t>
  </si>
  <si>
    <t>260:000.001.005.120.000</t>
  </si>
  <si>
    <t>260:000.001.005.121.000</t>
  </si>
  <si>
    <t>260:000.001.005.122.000</t>
  </si>
  <si>
    <t>260:000.001.005.123.000</t>
  </si>
  <si>
    <t>260:000.001.005.128.000</t>
  </si>
  <si>
    <t>260:000.001.005.129.000</t>
  </si>
  <si>
    <t>260:000.001.005.130.000</t>
  </si>
  <si>
    <t>260:000.001.005.131.000</t>
  </si>
  <si>
    <t>260:000.001.005.132.000</t>
  </si>
  <si>
    <t>260:000.001.005.133.000</t>
  </si>
  <si>
    <t>260:000.001.005.134.000</t>
  </si>
  <si>
    <t>260:000.001.005.135.000</t>
  </si>
  <si>
    <t>260:000.001.005.136.000</t>
  </si>
  <si>
    <t>260:000.001.005.137.000</t>
  </si>
  <si>
    <t>260:000.001.005.138.000</t>
  </si>
  <si>
    <t>260:000.001.005.139.000</t>
  </si>
  <si>
    <t>260:000.001.005.140.000</t>
  </si>
  <si>
    <t>260:000.001.006.141.000</t>
  </si>
  <si>
    <t>260:000.001.006.142.000</t>
  </si>
  <si>
    <t>260:000.001.006.143.000</t>
  </si>
  <si>
    <t>260:000.001.006.144.000</t>
  </si>
  <si>
    <t>260:000.001.006.145.000</t>
  </si>
  <si>
    <t>260:000.001.006.146.000</t>
  </si>
  <si>
    <t>260:000.001.006.147.000</t>
  </si>
  <si>
    <t>260:000.001.006.148.000</t>
  </si>
  <si>
    <t>260:000.001.006.149.000</t>
  </si>
  <si>
    <t>260:000.001.006.150.000</t>
  </si>
  <si>
    <t>260:000.001.006.151.000</t>
  </si>
  <si>
    <t>260:000.001.006.153.000</t>
  </si>
  <si>
    <t>260:000.001.006.154.000</t>
  </si>
  <si>
    <t>260:000.001.006.155.000</t>
  </si>
  <si>
    <t>260:000.001.006.156.000</t>
  </si>
  <si>
    <t>260:000.001.006.157.000</t>
  </si>
  <si>
    <t>260:000.001.006.158.000</t>
  </si>
  <si>
    <t>260:000.001.006.159.000</t>
  </si>
  <si>
    <t>260:000.001.006.162.000</t>
  </si>
  <si>
    <t>260:000.001.006.163.000</t>
  </si>
  <si>
    <t>260:000.001.006.164.000</t>
  </si>
  <si>
    <t>260:000.001.006.165.000</t>
  </si>
  <si>
    <t>260:000.001.006.166.000</t>
  </si>
  <si>
    <t>260:000.001.006.167.000</t>
  </si>
  <si>
    <t>260:000.001.006.168.000</t>
  </si>
  <si>
    <t>260:000.001.006.169.000</t>
  </si>
  <si>
    <t>260:000.001.006.170.000</t>
  </si>
  <si>
    <t>260:000.001.007.171.000</t>
  </si>
  <si>
    <t>260:000.001.007.172.000</t>
  </si>
  <si>
    <t>260:000.001.007.173.000</t>
  </si>
  <si>
    <t>260:000.001.007.176.000</t>
  </si>
  <si>
    <t>260:000.001.007.177.000</t>
  </si>
  <si>
    <t>260:000.001.007.178.000</t>
  </si>
  <si>
    <t>260:000.001.007.179.000</t>
  </si>
  <si>
    <t>260:000.001.007.180.000</t>
  </si>
  <si>
    <t>260:000.001.007.181.000</t>
  </si>
  <si>
    <t>260:000.001.007.182.000</t>
  </si>
  <si>
    <t>260:000.001.007.183.000</t>
  </si>
  <si>
    <t>260:000.001.008.184.000</t>
  </si>
  <si>
    <t>260:000.001.008.185.000</t>
  </si>
  <si>
    <t>260:000.001.008.186.000</t>
  </si>
  <si>
    <t>260:000.001.008.189.000</t>
  </si>
  <si>
    <t>260:000.001.008.190.000</t>
  </si>
  <si>
    <t>260:000.001.008.191.000</t>
  </si>
  <si>
    <t>260:000.001.008.192.000</t>
  </si>
  <si>
    <t>260:000.001.008.193.000</t>
  </si>
  <si>
    <t>260:000.001.008.194.000</t>
  </si>
  <si>
    <t>260:000.001.008.195.000</t>
  </si>
  <si>
    <t>260:000.001.008.196.000</t>
  </si>
  <si>
    <t>260:000.001.009.197.000</t>
  </si>
  <si>
    <t>260:000.001.009.198.000</t>
  </si>
  <si>
    <t>260:000.001.009.199.000</t>
  </si>
  <si>
    <t>260:000.001.009.202.000</t>
  </si>
  <si>
    <t>260:000.001.009.203.000</t>
  </si>
  <si>
    <t>260:000.001.009.204.000</t>
  </si>
  <si>
    <t>260:000.001.009.205.000</t>
  </si>
  <si>
    <t>260:000.001.010.206.000</t>
  </si>
  <si>
    <t>260:000.001.010.207.000</t>
  </si>
  <si>
    <t>260:000.001.010.210.000</t>
  </si>
  <si>
    <t>260:000.001.010.211.000</t>
  </si>
  <si>
    <t>260:000.001.010.212.000</t>
  </si>
  <si>
    <t>260:000.001.010.213.000</t>
  </si>
  <si>
    <t>260:000.001.010.214.000</t>
  </si>
  <si>
    <t>260:000.001.010.215.000</t>
  </si>
  <si>
    <t>260:000.001.010.216.000</t>
  </si>
  <si>
    <t>260:000.001.010.217.000</t>
  </si>
  <si>
    <t>260:000.001.010.218.000</t>
  </si>
  <si>
    <t>260:000.001.011.219.000</t>
  </si>
  <si>
    <t>260:000.001.011.220.000</t>
  </si>
  <si>
    <t>260:000.001.011.223.000</t>
  </si>
  <si>
    <t>260:000.001.011.224.000</t>
  </si>
  <si>
    <t>260:000.001.011.225.000</t>
  </si>
  <si>
    <t>260:000.001.011.226.000</t>
  </si>
  <si>
    <t>260:000.001.011.227.000</t>
  </si>
  <si>
    <t>260:000.001.011.228.000</t>
  </si>
  <si>
    <t>260:000.001.011.229.000</t>
  </si>
  <si>
    <t>260:000.001.011.230.000</t>
  </si>
  <si>
    <t>260:000.001.011.231.000</t>
  </si>
  <si>
    <t>260:000.001.012.233.000</t>
  </si>
  <si>
    <t>260:000.001.012.234.000</t>
  </si>
  <si>
    <t>260:000.001.012.235.000</t>
  </si>
  <si>
    <t>260:000.001.012.236.000</t>
  </si>
  <si>
    <t>260:000.001.012.237.000</t>
  </si>
  <si>
    <t>260:000.001.012.238.000</t>
  </si>
  <si>
    <t>260:000.001.012.239.000</t>
  </si>
  <si>
    <t>260:000.001.012.240.000</t>
  </si>
  <si>
    <t>260:000.001.012.241.000</t>
  </si>
  <si>
    <t>260:000.001.012.242.000</t>
  </si>
  <si>
    <t>260:000.001.012.243.000</t>
  </si>
  <si>
    <t>260:000.001.012.244.000</t>
  </si>
  <si>
    <t>260:000.001.012.245.000</t>
  </si>
  <si>
    <t>260:000.001.012.246.000</t>
  </si>
  <si>
    <t>260:000.001.013.000.000</t>
  </si>
  <si>
    <t>260:000.001.014.000.000</t>
  </si>
  <si>
    <t>260:000.001.015.000.000</t>
  </si>
  <si>
    <t>260:000.001.016.247.000</t>
  </si>
  <si>
    <t>260:000.001.016.248.000</t>
  </si>
  <si>
    <t>260:000.001.016.249.000</t>
  </si>
  <si>
    <t>260:000.001.016.251.000</t>
  </si>
  <si>
    <t>260:000.001.016.252.000</t>
  </si>
  <si>
    <t>260:000.001.016.253.000</t>
  </si>
  <si>
    <t>260:000.001.016.254.000</t>
  </si>
  <si>
    <t>260:000.001.016.255.000</t>
  </si>
  <si>
    <t>260:000.001.016.256.000</t>
  </si>
  <si>
    <t>260:000.001.016.257.000</t>
  </si>
  <si>
    <t>260:000.001.016.258.000</t>
  </si>
  <si>
    <t>260:000.001.016.259.000</t>
  </si>
  <si>
    <t>260:000.001.016.260.000</t>
  </si>
  <si>
    <t>260:000.001.016.261.000</t>
  </si>
  <si>
    <t>260:000.001.016.262.000</t>
  </si>
  <si>
    <t>260:000.001.016.263.000</t>
  </si>
  <si>
    <t>260:000.001.016.264.000</t>
  </si>
  <si>
    <t>260:000.001.016.265.000</t>
  </si>
  <si>
    <t>260:000.001.017.266.000</t>
  </si>
  <si>
    <t>260:000.001.017.267.000</t>
  </si>
  <si>
    <t>260:000.001.017.268.000</t>
  </si>
  <si>
    <t>260:000.001.017.270.000</t>
  </si>
  <si>
    <t>260:000.001.017.271.000</t>
  </si>
  <si>
    <t>260:000.001.017.272.000</t>
  </si>
  <si>
    <t>260:000.001.017.273.000</t>
  </si>
  <si>
    <t>260:000.001.017.274.000</t>
  </si>
  <si>
    <t>260:000.001.017.275.000</t>
  </si>
  <si>
    <t>260:000.001.017.276.000</t>
  </si>
  <si>
    <t>260:000.001.017.277.000</t>
  </si>
  <si>
    <t>260:000.001.017.278.000</t>
  </si>
  <si>
    <t>260:000.001.017.279.000</t>
  </si>
  <si>
    <t>260:000.001.017.280.000</t>
  </si>
  <si>
    <t>260:000.001.017.281.000</t>
  </si>
  <si>
    <t>260:000.001.017.282.000</t>
  </si>
  <si>
    <t>260:000.001.017.283.000</t>
  </si>
  <si>
    <t>260:000.001.017.284.000</t>
  </si>
  <si>
    <t>260:000.001.018.000.000</t>
  </si>
  <si>
    <t>260:000.001.019.000.000</t>
  </si>
  <si>
    <t>260:000.001.020.000.000</t>
  </si>
  <si>
    <t>260:000.001.021.000.000</t>
  </si>
  <si>
    <t>260:000.001.022.285.000</t>
  </si>
  <si>
    <t>260:000.001.022.288.000</t>
  </si>
  <si>
    <t>260:000.001.022.289.000</t>
  </si>
  <si>
    <t>260:000.001.022.290.000</t>
  </si>
  <si>
    <t>260:000.001.022.291.000</t>
  </si>
  <si>
    <t>260:000.001.022.292.000</t>
  </si>
  <si>
    <t>260:000.001.022.293.000</t>
  </si>
  <si>
    <t>260:000.001.022.294.000</t>
  </si>
  <si>
    <t>260:000.001.022.295.000</t>
  </si>
  <si>
    <t>260:000.001.022.296.000</t>
  </si>
  <si>
    <t>260:000.001.022.297.000</t>
  </si>
  <si>
    <t>260:000.001.022.298.000</t>
  </si>
  <si>
    <t>260:000.001.022.299.000</t>
  </si>
  <si>
    <t>260:000.001.022.300.000</t>
  </si>
  <si>
    <t>260:000.001.022.301.000</t>
  </si>
  <si>
    <t>260:000.001.022.302.000</t>
  </si>
  <si>
    <t>260:000.001.022.303.000</t>
  </si>
  <si>
    <t>260:000.001.022.304.000</t>
  </si>
  <si>
    <t>260:000.001.022.305.000</t>
  </si>
  <si>
    <t>260:000.001.022.306.000</t>
  </si>
  <si>
    <t>260:000.001.022.307.000</t>
  </si>
  <si>
    <t>260:000.001.022.308.000</t>
  </si>
  <si>
    <t>260:000.001.022.309.000</t>
  </si>
  <si>
    <t>260:000.001.022.310.000</t>
  </si>
  <si>
    <t>260:000.001.022.311.000</t>
  </si>
  <si>
    <t>260:000.001.022.312.000</t>
  </si>
  <si>
    <t>260:000.001.023.000.000</t>
  </si>
  <si>
    <t>260:000.001.024.000.000</t>
  </si>
  <si>
    <t>260:000.001.025.000.000</t>
  </si>
  <si>
    <t>260:000.001.026.000.000</t>
  </si>
  <si>
    <t>260:000.001.027.000.000</t>
  </si>
  <si>
    <t>260:000.001.028.313.000</t>
  </si>
  <si>
    <t>260:000.001.028.317.000</t>
  </si>
  <si>
    <t>260:000.001.028.318.000</t>
  </si>
  <si>
    <t>260:000.001.028.319.000</t>
  </si>
  <si>
    <t>260:000.001.028.320.000</t>
  </si>
  <si>
    <t>260:000.001.028.321.000</t>
  </si>
  <si>
    <t>260:000.001.028.322.000</t>
  </si>
  <si>
    <t>260:000.001.028.323.000</t>
  </si>
  <si>
    <t>260:000.001.028.324.000</t>
  </si>
  <si>
    <t>260:000.001.028.325.000</t>
  </si>
  <si>
    <t>260:000.001.028.326.000</t>
  </si>
  <si>
    <t>260:000.001.028.327.000</t>
  </si>
  <si>
    <t>260:000.001.028.328.000</t>
  </si>
  <si>
    <t>260:000.001.028.329.000</t>
  </si>
  <si>
    <t>260:000.001.028.330.000</t>
  </si>
  <si>
    <t>260:000.001.028.331.000</t>
  </si>
  <si>
    <t>260:000.001.028.332.000</t>
  </si>
  <si>
    <t>260:000.001.028.333.000</t>
  </si>
  <si>
    <t>260:000.001.028.335.000</t>
  </si>
  <si>
    <t>260:000.001.028.337.000</t>
  </si>
  <si>
    <t>260:000.001.028.338.000</t>
  </si>
  <si>
    <t>260:000.001.028.340.000</t>
  </si>
  <si>
    <t>260:000.001.028.341.000</t>
  </si>
  <si>
    <t>260:000.001.028.342.000</t>
  </si>
  <si>
    <t>260:000.001.028.343.000</t>
  </si>
  <si>
    <t>260:000.001.028.344.000</t>
  </si>
  <si>
    <t>260:000.001.028.345.000</t>
  </si>
  <si>
    <t>260:000.001.028.346.000</t>
  </si>
  <si>
    <t>260:000.001.028.347.000</t>
  </si>
  <si>
    <t>260:000.001.028.348.000</t>
  </si>
  <si>
    <t>260:000.001.028.349.000</t>
  </si>
  <si>
    <t>260:000.001.028.350.000</t>
  </si>
  <si>
    <t>260:000.001.030.351.000</t>
  </si>
  <si>
    <t>260:000.001.030.354.000</t>
  </si>
  <si>
    <t>260:000.001.030.355.000</t>
  </si>
  <si>
    <t>260:000.001.030.356.000</t>
  </si>
  <si>
    <t>260:000.001.030.357.000</t>
  </si>
  <si>
    <t>260:000.001.030.358.000</t>
  </si>
  <si>
    <t>260:000.001.030.359.000</t>
  </si>
  <si>
    <t>260:000.001.030.360.000</t>
  </si>
  <si>
    <t>260:000.001.030.361.000</t>
  </si>
  <si>
    <t>260:000.001.030.362.000</t>
  </si>
  <si>
    <t>260:000.001.030.363.000</t>
  </si>
  <si>
    <t>260:000.001.030.364.000</t>
  </si>
  <si>
    <t>260:000.001.030.366.000</t>
  </si>
  <si>
    <t>260:000.001.030.367.000</t>
  </si>
  <si>
    <t>260:000.001.030.368.000</t>
  </si>
  <si>
    <t>260:000.001.030.369.000</t>
  </si>
  <si>
    <t>260:000.001.030.370.000</t>
  </si>
  <si>
    <t>260:000.001.030.371.000</t>
  </si>
  <si>
    <t>260:000.001.030.372.000</t>
  </si>
  <si>
    <t>260:000.001.030.373.000</t>
  </si>
  <si>
    <t>260:000.001.030.374.000</t>
  </si>
  <si>
    <t>260:000.001.030.375.000</t>
  </si>
  <si>
    <t>260:000.001.030.376.000</t>
  </si>
  <si>
    <t>260:000.001.030.377.000</t>
  </si>
  <si>
    <t>260:000.001.030.378.000</t>
  </si>
  <si>
    <t>260:000.001.030.379.000</t>
  </si>
  <si>
    <t>260:000.001.030.380.000</t>
  </si>
  <si>
    <t>260:000.001.030.381.000</t>
  </si>
  <si>
    <t>260:000.001.030.382.000</t>
  </si>
  <si>
    <t>260:000.001.030.384.000</t>
  </si>
  <si>
    <t>260:000.001.030.385.000</t>
  </si>
  <si>
    <t>260:000.001.030.386.000</t>
  </si>
  <si>
    <t>260:000.001.031.000.000</t>
  </si>
  <si>
    <t>260:000.001.032.000.000</t>
  </si>
  <si>
    <t>260:000.001.033.000.000</t>
  </si>
  <si>
    <t>260:000.001.034.000.000</t>
  </si>
  <si>
    <t>260:000.001.035.000.000</t>
  </si>
  <si>
    <t>260:000.001.036.000.000</t>
  </si>
  <si>
    <t>260:000.001.037.000.000</t>
  </si>
  <si>
    <t>260:000.001.038.000.000</t>
  </si>
  <si>
    <t>260:000.001.039.000.000</t>
  </si>
  <si>
    <t>260:000.001.040.000.000</t>
  </si>
  <si>
    <t>260:000.001.041.000.000</t>
  </si>
  <si>
    <t>260:000.001.042.000.000</t>
  </si>
  <si>
    <t>260:000.001.043.000.000</t>
  </si>
  <si>
    <t>260:000.001.045.000.000</t>
  </si>
  <si>
    <t>260:000.001.046.000.000</t>
  </si>
  <si>
    <t>260:000.001.047.000.000</t>
  </si>
  <si>
    <t>260:000.001.048.000.000</t>
  </si>
  <si>
    <t>260:000.001.052.000.000</t>
  </si>
  <si>
    <t>260:000.001.053.000.000</t>
  </si>
  <si>
    <t>260:000.001.054.000.000</t>
  </si>
  <si>
    <t>260:000.001.055.000.000</t>
  </si>
  <si>
    <t>260:000.001.056.000.000</t>
  </si>
  <si>
    <t>260:000.001.057.000.000</t>
  </si>
  <si>
    <t>260:000.001.058.000.000</t>
  </si>
  <si>
    <t>260:000.001.059.000.000</t>
  </si>
  <si>
    <t>260:000.001.060.000.000</t>
  </si>
  <si>
    <t>260:000.001.061.000.000</t>
  </si>
  <si>
    <t>260:000.001.062.000.000</t>
  </si>
  <si>
    <t>260:000.001.063.000.000</t>
  </si>
  <si>
    <t>260:000.001.064.000.000</t>
  </si>
  <si>
    <t>260:000.001.065.000.000</t>
  </si>
  <si>
    <t>260:000.001.066.000.000</t>
  </si>
  <si>
    <t>260:000.001.067.000.000</t>
  </si>
  <si>
    <t>634200.0010</t>
  </si>
  <si>
    <t>270:000.001.001.000.000</t>
  </si>
  <si>
    <t>270:000.001.002.000.000</t>
  </si>
  <si>
    <t>624294.0020</t>
  </si>
  <si>
    <t>270:000.001.003.000.000</t>
  </si>
  <si>
    <t>270:000.001.004.000.000</t>
  </si>
  <si>
    <t>270:000.001.005.000.000</t>
  </si>
  <si>
    <t>270:000.001.006.000.000</t>
  </si>
  <si>
    <t>270:000.001.007.000.000</t>
  </si>
  <si>
    <t>270:000.001.008.000.000</t>
  </si>
  <si>
    <t>270:000.001.009.000.000</t>
  </si>
  <si>
    <t>270:000.001.010.000.000</t>
  </si>
  <si>
    <t>270:000.001.011.000.000</t>
  </si>
  <si>
    <t>270:000.001.012.000.000</t>
  </si>
  <si>
    <t>270:000.001.013.000.000</t>
  </si>
  <si>
    <t>270:000.001.014.000.000</t>
  </si>
  <si>
    <t>270:000.001.015.000.000</t>
  </si>
  <si>
    <t>270:000.001.016.000.000</t>
  </si>
  <si>
    <t>270:000.001.017.000.000</t>
  </si>
  <si>
    <t>270:000.001.018.000.000</t>
  </si>
  <si>
    <t>270:000.001.019.000.000</t>
  </si>
  <si>
    <t>270:000.001.020.000.000</t>
  </si>
  <si>
    <t>270:000.001.021.000.000</t>
  </si>
  <si>
    <t>270:000.001.022.000.000</t>
  </si>
  <si>
    <t>270:000.001.023.000.000</t>
  </si>
  <si>
    <t>270:000.001.024.000.000</t>
  </si>
  <si>
    <t>270:000.001.025.000.000</t>
  </si>
  <si>
    <t>270:000.001.026.000.000</t>
  </si>
  <si>
    <t>270:000.001.027.000.000</t>
  </si>
  <si>
    <t>270:000.001.028.000.000</t>
  </si>
  <si>
    <t>280:000.001.001.000.000</t>
  </si>
  <si>
    <t>280:000.001.002.000.000</t>
  </si>
  <si>
    <t>624295.0020</t>
  </si>
  <si>
    <t>280:000.001.003.000.000</t>
  </si>
  <si>
    <t>624295.0030</t>
  </si>
  <si>
    <t>280:000.001.004.000.000</t>
  </si>
  <si>
    <t>280:000.001.006.000.000</t>
  </si>
  <si>
    <t>280:000.001.007.000.000</t>
  </si>
  <si>
    <t>280:000.001.008.000.000</t>
  </si>
  <si>
    <t>280:000.001.009.000.000</t>
  </si>
  <si>
    <t>280:000.001.010.000.000</t>
  </si>
  <si>
    <t>280:000.001.011.000.000</t>
  </si>
  <si>
    <t>280:000.001.012.000.000</t>
  </si>
  <si>
    <t>280:000.001.013.000.000</t>
  </si>
  <si>
    <t>280:000.001.014.000.000</t>
  </si>
  <si>
    <t>280:000.001.015.000.000</t>
  </si>
  <si>
    <t>280:000.001.016.000.000</t>
  </si>
  <si>
    <t>280:000.001.017.000.000</t>
  </si>
  <si>
    <t>280:000.001.018.000.000</t>
  </si>
  <si>
    <t>280:000.001.019.000.000</t>
  </si>
  <si>
    <t>280:000.001.020.000.000</t>
  </si>
  <si>
    <t>280:000.001.021.000.000</t>
  </si>
  <si>
    <t>280:000.001.022.000.000</t>
  </si>
  <si>
    <t>280:000.001.023.000.000</t>
  </si>
  <si>
    <t>280:000.001.024.000.000</t>
  </si>
  <si>
    <t>280:000.001.025.000.000</t>
  </si>
  <si>
    <t>280:000.001.026.000.000</t>
  </si>
  <si>
    <t>280:000.001.027.000.000</t>
  </si>
  <si>
    <t>290:000.001.001.000.000</t>
  </si>
  <si>
    <t>290:000.001.002.000.000</t>
  </si>
  <si>
    <t>634336.0020</t>
  </si>
  <si>
    <t>290:000.001.003.000.000</t>
  </si>
  <si>
    <t>634336.0030</t>
  </si>
  <si>
    <t>290:000.001.004.000.000</t>
  </si>
  <si>
    <t>634336.0040</t>
  </si>
  <si>
    <t>290:000.001.005.000.000</t>
  </si>
  <si>
    <t>634336.0050</t>
  </si>
  <si>
    <t>290:000.001.006.000.000</t>
  </si>
  <si>
    <t>290:000.001.007.000.000</t>
  </si>
  <si>
    <t>290:000.001.008.000.000</t>
  </si>
  <si>
    <t>290:000.001.009.000.000</t>
  </si>
  <si>
    <t>290:000.001.010.000.000</t>
  </si>
  <si>
    <t>105411</t>
  </si>
  <si>
    <t>290:000.001.011.000.000</t>
  </si>
  <si>
    <t>290:000.001.012.000.000</t>
  </si>
  <si>
    <t>290:000.001.013.000.000</t>
  </si>
  <si>
    <t>290:000.001.014.000.000</t>
  </si>
  <si>
    <t>290:000.001.015.000.000</t>
  </si>
  <si>
    <t>290:000.001.016.000.000</t>
  </si>
  <si>
    <t>290:000.001.017.000.000</t>
  </si>
  <si>
    <t>290:000.001.018.000.000</t>
  </si>
  <si>
    <t>290:000.001.019.000.000</t>
  </si>
  <si>
    <t>290:000.001.020.000.000</t>
  </si>
  <si>
    <t>290:000.001.021.000.000</t>
  </si>
  <si>
    <t>300:000.001.001.000.000</t>
  </si>
  <si>
    <t>300:000.001.002.000.000</t>
  </si>
  <si>
    <t>634337.0020</t>
  </si>
  <si>
    <t>300:000.001.003.000.000</t>
  </si>
  <si>
    <t>634337.0030</t>
  </si>
  <si>
    <t>300:000.001.004.000.000</t>
  </si>
  <si>
    <t>634337.0040</t>
  </si>
  <si>
    <t>300:000.001.005.000.000</t>
  </si>
  <si>
    <t>300:000.001.006.000.000</t>
  </si>
  <si>
    <t>300:000.001.007.000.000</t>
  </si>
  <si>
    <t>300:000.001.010.000.000</t>
  </si>
  <si>
    <t>300:000.001.011.000.000</t>
  </si>
  <si>
    <t>300:000.001.012.000.000</t>
  </si>
  <si>
    <t>300:000.001.013.000.000</t>
  </si>
  <si>
    <t>300:000.001.014.000.000</t>
  </si>
  <si>
    <t>300:000.001.015.000.000</t>
  </si>
  <si>
    <t>624125</t>
  </si>
  <si>
    <t>624140</t>
  </si>
  <si>
    <t>624189</t>
  </si>
  <si>
    <t>624219</t>
  </si>
  <si>
    <t>634339</t>
  </si>
  <si>
    <t>634340</t>
  </si>
  <si>
    <t>624158</t>
  </si>
  <si>
    <t>624159</t>
  </si>
  <si>
    <t>624160</t>
  </si>
  <si>
    <t>651636</t>
  </si>
  <si>
    <t>651637</t>
  </si>
  <si>
    <t>624161</t>
  </si>
  <si>
    <t>624162</t>
  </si>
  <si>
    <t>624163</t>
  </si>
  <si>
    <t>624164</t>
  </si>
  <si>
    <t>624165</t>
  </si>
  <si>
    <t>634186</t>
  </si>
  <si>
    <t>634194</t>
  </si>
  <si>
    <t>634187</t>
  </si>
  <si>
    <t>634195</t>
  </si>
  <si>
    <t>634188</t>
  </si>
  <si>
    <t>634196</t>
  </si>
  <si>
    <t>634189</t>
  </si>
  <si>
    <t>634197</t>
  </si>
  <si>
    <t>634190</t>
  </si>
  <si>
    <t>634198</t>
  </si>
  <si>
    <t>634191</t>
  </si>
  <si>
    <t>634199</t>
  </si>
  <si>
    <t>634193</t>
  </si>
  <si>
    <t>634201</t>
  </si>
  <si>
    <t>634192</t>
  </si>
  <si>
    <t>634200</t>
  </si>
  <si>
    <t>624294</t>
  </si>
  <si>
    <t>624295</t>
  </si>
  <si>
    <t>634336</t>
  </si>
  <si>
    <t>634337</t>
  </si>
  <si>
    <t>634202</t>
  </si>
  <si>
    <t>634203</t>
  </si>
  <si>
    <t>634204</t>
  </si>
  <si>
    <t>634205</t>
  </si>
  <si>
    <t>624317</t>
  </si>
  <si>
    <t>624318</t>
  </si>
  <si>
    <t>624319</t>
  </si>
  <si>
    <t>624320</t>
  </si>
  <si>
    <t>624321</t>
  </si>
  <si>
    <t>634332</t>
  </si>
  <si>
    <t>634333</t>
  </si>
  <si>
    <t>634334</t>
  </si>
  <si>
    <t>634335</t>
  </si>
  <si>
    <t>651835</t>
  </si>
  <si>
    <t>651836</t>
  </si>
  <si>
    <t>624323</t>
  </si>
  <si>
    <t>624324</t>
  </si>
  <si>
    <t>624325</t>
  </si>
  <si>
    <t>624326</t>
  </si>
  <si>
    <t>624327</t>
  </si>
  <si>
    <t>624328</t>
  </si>
  <si>
    <t>624329</t>
  </si>
  <si>
    <t>634341</t>
  </si>
  <si>
    <t>634342</t>
  </si>
  <si>
    <t>634343</t>
  </si>
  <si>
    <t>634344</t>
  </si>
  <si>
    <t>634345</t>
  </si>
  <si>
    <t>634346</t>
  </si>
  <si>
    <t>651843</t>
  </si>
  <si>
    <t>651844</t>
  </si>
  <si>
    <t>634347</t>
  </si>
  <si>
    <t>634348</t>
  </si>
  <si>
    <t>634349</t>
  </si>
  <si>
    <t>624331</t>
  </si>
  <si>
    <t>634367</t>
  </si>
  <si>
    <t>IdSpl</t>
  </si>
  <si>
    <t>Cur</t>
  </si>
  <si>
    <t>000814</t>
  </si>
  <si>
    <t>128232</t>
  </si>
  <si>
    <t>138872</t>
  </si>
  <si>
    <t>001216</t>
  </si>
  <si>
    <t>001037</t>
  </si>
  <si>
    <t>128729</t>
  </si>
  <si>
    <t>137804</t>
  </si>
  <si>
    <t>138760</t>
  </si>
  <si>
    <t>134633</t>
  </si>
  <si>
    <t>000872</t>
  </si>
  <si>
    <t>133848</t>
  </si>
  <si>
    <t>138231</t>
  </si>
  <si>
    <t>135232</t>
  </si>
  <si>
    <t>001083</t>
  </si>
  <si>
    <t>135112</t>
  </si>
  <si>
    <t>000786</t>
  </si>
  <si>
    <t>139101</t>
  </si>
  <si>
    <t>134905</t>
  </si>
  <si>
    <t>000806</t>
  </si>
  <si>
    <t>130288</t>
  </si>
  <si>
    <t>136510</t>
  </si>
  <si>
    <t>000407</t>
  </si>
  <si>
    <t>000342</t>
  </si>
  <si>
    <t>000242</t>
  </si>
  <si>
    <t>000303</t>
  </si>
  <si>
    <t>000791</t>
  </si>
  <si>
    <t>000245</t>
  </si>
  <si>
    <t>000273</t>
  </si>
  <si>
    <t>000858</t>
  </si>
  <si>
    <t>000702</t>
  </si>
  <si>
    <t>137770</t>
  </si>
  <si>
    <t>137568</t>
  </si>
  <si>
    <t>138729</t>
  </si>
  <si>
    <t>127763</t>
  </si>
  <si>
    <t>000385</t>
  </si>
  <si>
    <t>137128</t>
  </si>
  <si>
    <t>132225</t>
  </si>
  <si>
    <t>135787</t>
  </si>
  <si>
    <t>135831</t>
  </si>
  <si>
    <t>139408</t>
  </si>
  <si>
    <t>131427</t>
  </si>
  <si>
    <t>141128</t>
  </si>
  <si>
    <t>128437</t>
  </si>
  <si>
    <t>133798</t>
  </si>
  <si>
    <t>137472</t>
  </si>
  <si>
    <t>136801</t>
  </si>
  <si>
    <t>128724</t>
  </si>
  <si>
    <t>132944</t>
  </si>
  <si>
    <t>000580</t>
  </si>
  <si>
    <t>000227</t>
  </si>
  <si>
    <t>135748</t>
  </si>
  <si>
    <t>001059</t>
  </si>
  <si>
    <t>137372</t>
  </si>
  <si>
    <t>138730</t>
  </si>
  <si>
    <t>000286</t>
  </si>
  <si>
    <t>000830</t>
  </si>
  <si>
    <t>001191</t>
  </si>
  <si>
    <t>128475</t>
  </si>
  <si>
    <t>136516</t>
  </si>
  <si>
    <t>137683</t>
  </si>
  <si>
    <t>138388</t>
  </si>
  <si>
    <t>141024</t>
  </si>
  <si>
    <t>141025</t>
  </si>
  <si>
    <t>136922</t>
  </si>
  <si>
    <t>000327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</si>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</sst>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€&quot;;[Red]\-#,##0\ &quot;€&quot;"/>
    <numFmt numFmtId="164" formatCode="#,##0\ &quot;€&quot;"/>
    <numFmt numFmtId="165" formatCode="#,##0\ &quot;h&quot;"/>
  </numFmts>
  <fonts count="19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rgb="FFFF0000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10"/>
      <name val="Arial Nova Cond Light"/>
      <family val="2"/>
    </font>
    <font>
      <sz val="8"/>
      <name val="Arial Nova Cond Light"/>
      <family val="2"/>
    </font>
    <font>
      <sz val="8"/>
      <color theme="0" tint="-0.499984740745262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color indexed="8"/>
      <name val="Arial Nova Cond Light"/>
      <family val="2"/>
    </font>
    <font>
      <b/>
      <sz val="8"/>
      <color indexed="8"/>
      <name val="Arial Nova Cond Light"/>
      <family val="2"/>
    </font>
    <font>
      <sz val="8"/>
      <name val="Arial"/>
      <family val="2"/>
    </font>
    <font>
      <i/>
      <sz val="8"/>
      <color indexed="23"/>
      <name val="Arial Nova Cond Light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8">
    <xf numFmtId="0" fontId="0" fillId="0" borderId="0"/>
    <xf numFmtId="0" fontId="4" fillId="0" borderId="0"/>
    <xf numFmtId="0" fontId="6" fillId="0" borderId="0"/>
    <xf numFmtId="0" fontId="11" fillId="0" borderId="0"/>
    <xf numFmtId="0" fontId="12" fillId="0" borderId="0"/>
    <xf numFmtId="0" fontId="15" fillId="0" borderId="0"/>
    <xf numFmtId="0" fontId="12" fillId="0" borderId="0"/>
    <xf numFmtId="0" fontId="17" fillId="0" borderId="0"/>
  </cellStyleXfs>
  <cellXfs count="68">
    <xf numFmtId="0" fontId="0" fillId="0" borderId="0" xfId="0"/>
    <xf numFmtId="0" fontId="5" fillId="2" borderId="0" xfId="1" applyFont="1" applyFill="1" applyAlignment="1">
      <alignment horizontal="center" vertical="top" textRotation="90"/>
    </xf>
    <xf numFmtId="0" fontId="7" fillId="2" borderId="0" xfId="2" applyFont="1" applyFill="1" applyAlignment="1">
      <alignment horizontal="center" vertical="top" textRotation="90"/>
    </xf>
    <xf numFmtId="0" fontId="7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8" fillId="0" borderId="0" xfId="2" applyFont="1" applyAlignment="1">
      <alignment vertical="top"/>
    </xf>
    <xf numFmtId="0" fontId="1" fillId="0" borderId="0" xfId="1" applyFont="1" applyAlignment="1">
      <alignment vertical="top"/>
    </xf>
    <xf numFmtId="0" fontId="9" fillId="0" borderId="0" xfId="1" applyFont="1" applyAlignment="1">
      <alignment vertical="top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0" xfId="1" applyFont="1" applyFill="1" applyAlignment="1">
      <alignment horizontal="left" vertical="top"/>
    </xf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10" fillId="0" borderId="0" xfId="1" applyFont="1" applyAlignment="1">
      <alignment horizontal="left" vertical="top" shrinkToFit="1"/>
    </xf>
    <xf numFmtId="0" fontId="1" fillId="4" borderId="6" xfId="1" applyFont="1" applyFill="1" applyBorder="1" applyAlignment="1">
      <alignment horizontal="left" vertical="top" shrinkToFit="1"/>
    </xf>
    <xf numFmtId="0" fontId="1" fillId="0" borderId="0" xfId="1" applyFont="1" applyAlignment="1">
      <alignment horizontal="left" vertical="top"/>
    </xf>
    <xf numFmtId="0" fontId="1" fillId="3" borderId="0" xfId="1" applyFont="1" applyFill="1" applyAlignment="1">
      <alignment vertical="top"/>
    </xf>
    <xf numFmtId="0" fontId="1" fillId="3" borderId="0" xfId="1" applyFont="1" applyFill="1" applyAlignment="1">
      <alignment horizontal="center" vertical="top"/>
    </xf>
    <xf numFmtId="0" fontId="1" fillId="5" borderId="0" xfId="1" applyFont="1" applyFill="1" applyAlignment="1">
      <alignment horizontal="left" vertical="top"/>
    </xf>
    <xf numFmtId="0" fontId="9" fillId="0" borderId="0" xfId="1" applyFont="1" applyAlignment="1">
      <alignment horizontal="center" vertical="top"/>
    </xf>
    <xf numFmtId="0" fontId="1" fillId="3" borderId="0" xfId="1" quotePrefix="1" applyFont="1" applyFill="1" applyAlignment="1">
      <alignment horizontal="left" vertical="top"/>
    </xf>
    <xf numFmtId="0" fontId="6" fillId="0" borderId="0" xfId="2"/>
    <xf numFmtId="0" fontId="9" fillId="0" borderId="0" xfId="2" applyFont="1"/>
    <xf numFmtId="0" fontId="9" fillId="0" borderId="0" xfId="1" applyFont="1"/>
    <xf numFmtId="0" fontId="9" fillId="0" borderId="0" xfId="3" applyFont="1"/>
    <xf numFmtId="49" fontId="9" fillId="0" borderId="0" xfId="3" applyNumberFormat="1" applyFont="1"/>
    <xf numFmtId="0" fontId="9" fillId="0" borderId="0" xfId="1" applyFont="1" applyAlignment="1">
      <alignment horizontal="left" vertical="top"/>
    </xf>
    <xf numFmtId="0" fontId="1" fillId="0" borderId="0" xfId="1" applyFont="1"/>
    <xf numFmtId="49" fontId="1" fillId="0" borderId="0" xfId="1" applyNumberFormat="1" applyFont="1"/>
    <xf numFmtId="0" fontId="1" fillId="0" borderId="0" xfId="1" applyFont="1" applyAlignment="1">
      <alignment horizontal="left" vertical="top" textRotation="90"/>
    </xf>
    <xf numFmtId="0" fontId="9" fillId="0" borderId="0" xfId="4" applyFont="1"/>
    <xf numFmtId="0" fontId="9" fillId="0" borderId="0" xfId="2" applyFont="1" applyAlignment="1">
      <alignment horizontal="left" vertical="top" textRotation="90"/>
    </xf>
    <xf numFmtId="0" fontId="9" fillId="0" borderId="0" xfId="1" applyFont="1" applyAlignment="1">
      <alignment horizontal="right" vertical="top" textRotation="90"/>
    </xf>
    <xf numFmtId="0" fontId="13" fillId="0" borderId="0" xfId="3" applyFont="1" applyAlignment="1" applyProtection="1">
      <alignment horizontal="center" vertical="top" textRotation="90"/>
      <protection locked="0"/>
    </xf>
    <xf numFmtId="49" fontId="14" fillId="0" borderId="0" xfId="3" applyNumberFormat="1" applyFont="1" applyAlignment="1">
      <alignment horizontal="center" vertical="top" textRotation="90"/>
    </xf>
    <xf numFmtId="0" fontId="13" fillId="0" borderId="7" xfId="5" applyFont="1" applyBorder="1" applyAlignment="1" applyProtection="1">
      <alignment horizontal="center" vertical="top" textRotation="90"/>
      <protection locked="0"/>
    </xf>
    <xf numFmtId="0" fontId="13" fillId="0" borderId="0" xfId="3" applyFont="1" applyAlignment="1" applyProtection="1">
      <alignment horizontal="center" vertical="top" textRotation="90" wrapText="1"/>
      <protection locked="0"/>
    </xf>
    <xf numFmtId="0" fontId="9" fillId="0" borderId="0" xfId="1" applyFont="1" applyAlignment="1">
      <alignment horizontal="left" vertical="top" textRotation="90"/>
    </xf>
    <xf numFmtId="0" fontId="3" fillId="0" borderId="0" xfId="1" applyFont="1" applyAlignment="1">
      <alignment horizontal="center" vertical="top" textRotation="90"/>
    </xf>
    <xf numFmtId="49" fontId="3" fillId="0" borderId="0" xfId="1" applyNumberFormat="1" applyFont="1" applyAlignment="1">
      <alignment horizontal="center" vertical="top" textRotation="90"/>
    </xf>
    <xf numFmtId="0" fontId="9" fillId="0" borderId="0" xfId="4" applyFont="1" applyAlignment="1">
      <alignment horizontal="left" vertical="top" textRotation="90"/>
    </xf>
    <xf numFmtId="0" fontId="13" fillId="0" borderId="0" xfId="3" applyFont="1" applyAlignment="1" applyProtection="1">
      <alignment horizontal="left" vertical="top"/>
      <protection locked="0"/>
    </xf>
    <xf numFmtId="49" fontId="9" fillId="0" borderId="0" xfId="3" applyNumberFormat="1" applyFont="1" applyAlignment="1" applyProtection="1">
      <alignment horizontal="left" vertical="top"/>
      <protection locked="0"/>
    </xf>
    <xf numFmtId="0" fontId="13" fillId="0" borderId="0" xfId="5" applyFont="1" applyAlignment="1" applyProtection="1">
      <alignment horizontal="left" vertical="top"/>
      <protection locked="0"/>
    </xf>
    <xf numFmtId="0" fontId="13" fillId="0" borderId="0" xfId="3" applyFont="1" applyAlignment="1" applyProtection="1">
      <alignment horizontal="center" vertical="top"/>
      <protection locked="0"/>
    </xf>
    <xf numFmtId="164" fontId="9" fillId="0" borderId="0" xfId="6" applyNumberFormat="1" applyFont="1" applyAlignment="1">
      <alignment horizontal="left" vertical="top"/>
    </xf>
    <xf numFmtId="164" fontId="16" fillId="0" borderId="0" xfId="6" applyNumberFormat="1" applyFont="1" applyAlignment="1">
      <alignment horizontal="left" vertical="top"/>
    </xf>
    <xf numFmtId="1" fontId="13" fillId="0" borderId="0" xfId="1" applyNumberFormat="1" applyFont="1"/>
    <xf numFmtId="0" fontId="13" fillId="0" borderId="0" xfId="1" applyFont="1"/>
    <xf numFmtId="49" fontId="13" fillId="0" borderId="0" xfId="1" applyNumberFormat="1" applyFont="1"/>
    <xf numFmtId="0" fontId="3" fillId="6" borderId="0" xfId="4" applyFont="1" applyFill="1" applyAlignment="1">
      <alignment horizontal="center" vertical="center" textRotation="90"/>
    </xf>
    <xf numFmtId="0" fontId="9" fillId="0" borderId="0" xfId="4" applyFont="1" applyAlignment="1">
      <alignment vertical="center"/>
    </xf>
    <xf numFmtId="3" fontId="18" fillId="0" borderId="0" xfId="7" applyNumberFormat="1" applyFont="1"/>
    <xf numFmtId="49" fontId="9" fillId="3" borderId="0" xfId="3" applyNumberFormat="1" applyFont="1" applyFill="1" applyAlignment="1" applyProtection="1">
      <alignment horizontal="left" vertical="top"/>
      <protection locked="0"/>
    </xf>
    <xf numFmtId="164" fontId="16" fillId="0" borderId="0" xfId="6" quotePrefix="1" applyNumberFormat="1" applyFont="1" applyAlignment="1">
      <alignment horizontal="left" vertical="top"/>
    </xf>
    <xf numFmtId="165" fontId="9" fillId="0" borderId="0" xfId="6" applyNumberFormat="1" applyFont="1" applyAlignment="1">
      <alignment horizontal="left" vertical="top"/>
    </xf>
    <xf numFmtId="164" fontId="9" fillId="0" borderId="0" xfId="6" applyNumberFormat="1" applyFont="1" applyAlignment="1" applyProtection="1">
      <alignment horizontal="left" vertical="top"/>
      <protection locked="0"/>
    </xf>
    <xf numFmtId="6" fontId="9" fillId="0" borderId="0" xfId="6" applyNumberFormat="1" applyFont="1" applyAlignment="1" applyProtection="1">
      <alignment horizontal="left" vertical="top"/>
      <protection locked="0"/>
    </xf>
    <xf numFmtId="164" fontId="9" fillId="0" borderId="0" xfId="1" applyNumberFormat="1" applyFont="1" applyAlignment="1">
      <alignment horizontal="left" vertical="top"/>
    </xf>
    <xf numFmtId="164" fontId="9" fillId="0" borderId="0" xfId="6" applyNumberFormat="1" applyFont="1" applyAlignment="1">
      <alignment horizontal="left" vertical="center"/>
    </xf>
    <xf numFmtId="165" fontId="9" fillId="0" borderId="0" xfId="6" applyNumberFormat="1" applyFont="1" applyAlignment="1">
      <alignment horizontal="left" vertical="center"/>
    </xf>
    <xf numFmtId="49" fontId="3" fillId="6" borderId="0" xfId="3" applyNumberFormat="1" applyFont="1" applyFill="1" applyAlignment="1" applyProtection="1">
      <alignment horizontal="left" vertical="top"/>
      <protection locked="0"/>
    </xf>
    <xf numFmtId="0" fontId="12" fillId="0" borderId="0" xfId="2" applyFont="1"/>
    <xf numFmtId="164" fontId="9" fillId="0" borderId="0" xfId="6" applyNumberFormat="1" applyFont="1" applyAlignment="1" applyProtection="1">
      <alignment horizontal="left" vertical="center"/>
      <protection locked="0"/>
    </xf>
    <xf numFmtId="49" fontId="2" fillId="0" borderId="0" xfId="3" applyNumberFormat="1" applyFont="1" applyAlignment="1" applyProtection="1">
      <alignment horizontal="left" vertical="top"/>
      <protection locked="0"/>
    </xf>
    <xf numFmtId="49" fontId="13" fillId="0" borderId="0" xfId="3" applyNumberFormat="1" applyFont="1" applyAlignment="1" applyProtection="1">
      <alignment horizontal="left" vertical="top"/>
      <protection locked="0"/>
    </xf>
    <xf numFmtId="0" fontId="0" fillId="3" borderId="3" xfId="1" applyFont="1" applyFill="1" applyBorder="1" applyAlignment="1">
      <alignment vertical="top"/>
    </xf>
  </cellXfs>
  <cellStyles count="8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Normal_ED0D" xfId="7" xr:uid="{97B5C73F-F931-4819-9890-4B49FB06288F}"/>
    <cellStyle name="Normal_Libro1" xfId="6" xr:uid="{DC32AFC5-BF04-40D7-B61D-DF7172901080}"/>
  </cellStyles>
  <dxfs count="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27" formatCode="dd/mm/yyyy\ h:mm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 tint="0.499984740745262"/>
        <name val="Arial Nova Cond Light"/>
        <family val="2"/>
        <scheme val="none"/>
      </font>
      <fill>
        <patternFill patternType="solid">
          <fgColor indexed="64"/>
          <bgColor theme="0" tint="-0.499984740745262"/>
        </patternFill>
      </fill>
      <alignment vertical="top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166" formatCode="dd/mm/yy\ hh:mm:ss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FFFF00"/>
        </patternFill>
      </fill>
      <alignment vertical="top" indent="0" justifyLastLine="0" readingOrder="0"/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border outline="0">
        <left style="thin">
          <color indexed="8"/>
        </left>
        <right style="thin">
          <color indexed="8"/>
        </right>
        <top style="thin">
          <color indexed="8"/>
        </top>
      </border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numFmt numFmtId="164" formatCode="#,##0\ &quot;€&quot;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numFmt numFmtId="164" formatCode="#,##0\ &quot;€&quot;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alignment horizontal="left" vertical="top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BDD39B2-85EE-4D14-965A-58B501DBB04E}" autoFormatId="16" applyNumberFormats="0" applyBorderFormats="0" applyFontFormats="0" applyPatternFormats="0" applyAlignmentFormats="0" applyWidthHeightFormats="0">
  <queryTableRefresh nextId="9">
    <queryTableFields count="8">
      <queryTableField id="1" name="IdPrj" tableColumnId="1"/>
      <queryTableField id="2" name="IdFabLin" tableColumnId="2"/>
      <queryTableField id="3" name="IdCst" tableColumnId="3"/>
      <queryTableField id="4" name="ItmCls" tableColumnId="4"/>
      <queryTableField id="5" name="ItmCur" tableColumnId="5"/>
      <queryTableField id="6" name="N02" tableColumnId="6"/>
      <queryTableField id="7" name="N03" tableColumnId="7"/>
      <queryTableField id="8" name="N04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963E0803-AFAA-48EF-923C-0AD9EF374751}" autoFormatId="16" applyNumberFormats="0" applyBorderFormats="0" applyFontFormats="0" applyPatternFormats="0" applyAlignmentFormats="0" applyWidthHeightFormats="0">
  <queryTableRefresh nextId="5">
    <queryTableFields count="4">
      <queryTableField id="1" name="Proy." tableColumnId="1"/>
      <queryTableField id="2" name="Artículo" tableColumnId="2"/>
      <queryTableField id="3" name="Orden" tableColumnId="3"/>
      <queryTableField id="4" name="Or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7" xr16:uid="{A90859CA-9F87-4FFC-A815-F774CC851A07}" autoFormatId="16" applyNumberFormats="0" applyBorderFormats="0" applyFontFormats="0" applyPatternFormats="0" applyAlignmentFormats="0" applyWidthHeightFormats="0">
  <queryTableRefresh nextId="5">
    <queryTableFields count="4">
      <queryTableField id="1" name="IdPrj" tableColumnId="1"/>
      <queryTableField id="2" name="IdFabLin" tableColumnId="2"/>
      <queryTableField id="3" name="IdSpl" tableColumnId="3"/>
      <queryTableField id="4" name="Cur" tableColumnId="4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3DA65C-76D7-4781-931C-69D1DE74A7E4}" name="CstGrpS" displayName="CstGrpS" ref="K2:U40" totalsRowShown="0" headerRowDxfId="61" dataDxfId="60">
  <autoFilter ref="K2:U40" xr:uid="{17D93A45-6AE1-4F12-A2A5-7C4FC99CE586}"/>
  <tableColumns count="11">
    <tableColumn id="1" xr3:uid="{C29E963E-7761-4FFB-8778-53A3E6D7202D}" name="CstGrpId" dataDxfId="59" dataCellStyle="Normal_Libro1"/>
    <tableColumn id="2" xr3:uid="{D8C48F7E-3155-49E8-B2E3-AFDB95720A0D}" name="GrpInE" dataDxfId="58" dataCellStyle="Normal_Libro1"/>
    <tableColumn id="6" xr3:uid="{B73B6423-99EE-4D07-BE1C-DD6157696ADC}" name="GrpPpto" dataDxfId="57" dataCellStyle="Normal_Libro1"/>
    <tableColumn id="7" xr3:uid="{84195BA0-271A-48B5-88C8-3F060A01A44D}" name="GrpPrv" dataDxfId="56" dataCellStyle="Normal_Libro1"/>
    <tableColumn id="9" xr3:uid="{6E658C0D-CD20-4F62-AD9C-A768BACF0544}" name="GrpRates" dataDxfId="55" dataCellStyle="Normal_Libro1"/>
    <tableColumn id="10" xr3:uid="{36CA5757-65C9-40EC-816D-ABDB553695B3}" name="GprDest" dataDxfId="54" dataCellStyle="Normal_Libro1"/>
    <tableColumn id="11" xr3:uid="{78FE34CE-BE21-480C-B317-41B4947FF66E}" name="GrpCTs" dataDxfId="53" dataCellStyle="Normal_Libro1"/>
    <tableColumn id="3" xr3:uid="{0FFD8954-8DA6-4EF0-89D3-1885DC767964}" name="Assign" dataDxfId="52"/>
    <tableColumn id="5" xr3:uid="{77B454B9-AC78-46D5-B96C-EE67BFB2AE8F}" name="Order" dataDxfId="51" dataCellStyle="Normal_Libro1"/>
    <tableColumn id="8" xr3:uid="{C26E986D-5219-41EC-848C-F1953220D697}" name="Nature" dataDxfId="50" dataCellStyle="Normal_Libro1"/>
    <tableColumn id="4" xr3:uid="{27D2C8BF-8139-4F7E-82F0-C9D30A6DE34B}" name="OTAOffer" dataDxfId="49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CE3E97-5970-4EB5-95D9-8FBE13724382}" name="TskS" displayName="TskS" ref="X2:AA212" totalsRowShown="0" headerRowDxfId="48" dataDxfId="47">
  <autoFilter ref="X2:AA212" xr:uid="{64C201B2-EA4A-4FEB-BDCD-7E42B00052E3}"/>
  <tableColumns count="4">
    <tableColumn id="1" xr3:uid="{C2A1F495-AF1C-434C-9A9E-B5ACA40B47E7}" name="TskId" dataDxfId="46"/>
    <tableColumn id="2" xr3:uid="{204BDB73-8892-4192-9ABE-62D19C9FEA11}" name="TskNam" dataDxfId="45"/>
    <tableColumn id="3" xr3:uid="{81EBCAA3-2083-4770-B835-92283B9A0049}" name="TskNmo" dataDxfId="44"/>
    <tableColumn id="4" xr3:uid="{CA4E7C83-FE22-45A8-869D-B2BEC24685D7}" name="TskTyp" dataDxfId="43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8B95A3-9DB0-4DB4-A331-FAD40D0676ED}" name="CtrS" displayName="CtrS" ref="AD2:AE68" totalsRowShown="0" headerRowDxfId="42" dataDxfId="41">
  <autoFilter ref="AD2:AE68" xr:uid="{4BE0ADE7-CE60-41DC-B408-7891073006C0}"/>
  <tableColumns count="2">
    <tableColumn id="1" xr3:uid="{EF4A802E-171B-4D92-8086-1F0E64966536}" name="CtrId" dataDxfId="40"/>
    <tableColumn id="2" xr3:uid="{A0B11F9F-BCA5-4436-A927-E9CF62C6B947}" name="CstId" dataDxfId="39"/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1ABBE4-D94F-4894-B821-A219419F0384}" name="CstS" displayName="CstS" ref="C2:H293" totalsRowShown="0" headerRowDxfId="38" dataDxfId="36" headerRowBorderDxfId="37" tableBorderDxfId="35" headerRowCellStyle="Normal 2">
  <autoFilter ref="C2:H293" xr:uid="{9E0C4C47-F4C2-4CBF-A246-97995D071449}"/>
  <tableColumns count="6">
    <tableColumn id="1" xr3:uid="{5EB188F4-43E6-4574-B902-7B9F92222DC3}" name="CstId" dataDxfId="34" dataCellStyle="Normal 2"/>
    <tableColumn id="2" xr3:uid="{20AF9224-2AE3-4137-850E-0DBFE209CF91}" name="CstNam" dataDxfId="33" dataCellStyle="Normal 2"/>
    <tableColumn id="4" xr3:uid="{F9200FE7-651B-4175-BE86-E76545D9C7D8}" name="GrpInE" dataDxfId="32" dataCellStyle="Normal 2"/>
    <tableColumn id="3" xr3:uid="{1902928B-89AE-41BF-96B1-5101228279CE}" name="CstTyp" dataDxfId="31" dataCellStyle="Normal 2"/>
    <tableColumn id="11" xr3:uid="{6AAE38BC-76FD-4C23-AC90-543EF4ECE9C4}" name="RowPI" dataDxfId="30" dataCellStyle="Normal 2"/>
    <tableColumn id="5" xr3:uid="{C2BF4A18-8BAC-4BE5-AA41-D72CAA0AFD10}" name="RowPpto" dataDxfId="29" dataCellStyle="Normal 2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84C1EE-4308-4D33-B514-4B54D68856E8}" name="TbGtoCua" displayName="TbGtoCua" ref="AH2:AK8" totalsRowShown="0" headerRowDxfId="28" dataDxfId="27" headerRowCellStyle="Normal 3" dataCellStyle="Normal 3">
  <autoFilter ref="AH2:AK8" xr:uid="{F85FC5AD-02DC-45D4-8BC2-17D886A3042E}"/>
  <tableColumns count="4">
    <tableColumn id="1" xr3:uid="{9AB4C936-998D-47FF-879D-0B73EB10E229}" name="GtoCuaId" dataDxfId="26" dataCellStyle="Normal 3"/>
    <tableColumn id="3" xr3:uid="{6477FD74-54FF-4E28-8489-33B54F199603}" name="Origin" dataDxfId="25" dataCellStyle="Normal 3"/>
    <tableColumn id="2" xr3:uid="{9E5034DD-6C15-482B-AC3E-0B08E629F4D6}" name="GtoCuaNam" dataDxfId="24" dataCellStyle="Normal 3"/>
    <tableColumn id="4" xr3:uid="{E379986E-7840-4D78-8C87-30F9FF47C7A2}" name="GtoCuaPrt" dataDxfId="23" dataCellStyle="Normal 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03166-69CC-4588-800A-0EC03A0D9F64}" name="FilData" displayName="FilData" ref="B10:G13" totalsRowShown="0" headerRowDxfId="20" dataDxfId="19">
  <autoFilter ref="B10:G13" xr:uid="{7208533D-FF39-41E3-AB10-6E02C80A58F9}"/>
  <tableColumns count="6">
    <tableColumn id="1" xr3:uid="{E2D857EA-9513-49B2-9E37-3C998866836D}" name="Attribute" dataDxfId="18" dataCellStyle="Normal 8"/>
    <tableColumn id="2" xr3:uid="{60D9C90C-8593-4F8D-8ACD-0FC6F6431190}" name="Spain" dataDxfId="17" dataCellStyle="Normal 8"/>
    <tableColumn id="3" xr3:uid="{8B6FA7B0-22A4-49F8-987F-5B66F0CC7FB5}" name="ValSp" dataDxfId="16"/>
    <tableColumn id="4" xr3:uid="{25C7C505-ED5B-4ECB-A960-064C1C48678A}" name="Mexico" dataDxfId="15" dataCellStyle="Normal 8"/>
    <tableColumn id="5" xr3:uid="{A1146798-37E0-4F92-A897-2ED52E114868}" name="ValMx" dataDxfId="14" dataCellStyle="Normal 8"/>
    <tableColumn id="6" xr3:uid="{207C4970-2D53-493B-95C9-03B5E88396F6}" name="Main" dataDxfId="13" dataCellStyle="Normal 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A9E3BF8-B5C4-4807-8AF9-1B5F2D75B704}" name="AsgCst4" displayName="AsgCst4" ref="B2:I7750" tableType="queryTable" totalsRowShown="0">
  <autoFilter ref="B2:I7750" xr:uid="{5A9E3BF8-B5C4-4807-8AF9-1B5F2D75B704}"/>
  <tableColumns count="8">
    <tableColumn id="1" xr3:uid="{478B73A5-575F-4944-8025-089877C2D085}" uniqueName="1" name="IdPrj" queryTableFieldId="1" dataDxfId="12"/>
    <tableColumn id="2" xr3:uid="{83D9C4A6-C361-407D-856C-F53F7AA3FA2F}" uniqueName="2" name="IdFabLin" queryTableFieldId="2" dataDxfId="11"/>
    <tableColumn id="3" xr3:uid="{4C33D6E4-01E3-4BB8-BD16-66C01245AF89}" uniqueName="3" name="IdCst" queryTableFieldId="3" dataDxfId="10"/>
    <tableColumn id="4" xr3:uid="{12F402C0-ABFE-46D5-9E2D-24DDCBB279F4}" uniqueName="4" name="ItmCls" queryTableFieldId="4" dataDxfId="9"/>
    <tableColumn id="5" xr3:uid="{6EDA5437-9B23-4C26-8FA9-0C955D7CB071}" uniqueName="5" name="ItmCur" queryTableFieldId="5"/>
    <tableColumn id="6" xr3:uid="{01DA0444-962E-47FB-88A0-8F71111C6222}" uniqueName="6" name="N02" queryTableFieldId="6" dataDxfId="8"/>
    <tableColumn id="7" xr3:uid="{4EE575CF-1C13-4D6D-87E1-763A5D25F3D3}" uniqueName="7" name="N03" queryTableFieldId="7" dataDxfId="7"/>
    <tableColumn id="8" xr3:uid="{5C9A838F-80F0-41E9-A985-ED56C5F0C34C}" uniqueName="8" name="N04" queryTableFieldId="8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D242621-01FD-486A-A048-2DCC415E9ECB}" name="ItmCst1" displayName="ItmCst1" ref="L2:O4132" tableType="queryTable" totalsRowShown="0">
  <autoFilter ref="L2:O4132" xr:uid="{9D242621-01FD-486A-A048-2DCC415E9ECB}"/>
  <tableColumns count="4">
    <tableColumn id="1" xr3:uid="{AD42C094-2103-4291-8D1A-0D9B1B4261AA}" uniqueName="1" name="Proy." queryTableFieldId="1" dataDxfId="5"/>
    <tableColumn id="2" xr3:uid="{F95D2213-5CA1-4930-A7E1-9A1A4132EE5E}" uniqueName="2" name="Artículo" queryTableFieldId="2" dataDxfId="4"/>
    <tableColumn id="3" xr3:uid="{61941AB3-2759-4AA5-A31F-97EE3BF085DD}" uniqueName="3" name="Orden" queryTableFieldId="3" dataDxfId="3"/>
    <tableColumn id="4" xr3:uid="{8FE2B7DF-0D09-46C4-8667-200CD8F4B294}" uniqueName="4" name="Ord" queryTableField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4403B6-AC65-4C26-B5A3-1DDC68021980}" name="ModCst0" displayName="ModCst0" ref="R2:U285" tableType="queryTable" totalsRowShown="0">
  <autoFilter ref="R2:U285" xr:uid="{1E4403B6-AC65-4C26-B5A3-1DDC68021980}"/>
  <tableColumns count="4">
    <tableColumn id="1" xr3:uid="{2D1028DF-8E7C-4404-AD87-B09FA8183CF2}" uniqueName="1" name="IdPrj" queryTableFieldId="1" dataDxfId="2"/>
    <tableColumn id="2" xr3:uid="{1B917114-81A3-4869-B192-3C1580C1808D}" uniqueName="2" name="IdFabLin" queryTableFieldId="2" dataDxfId="1"/>
    <tableColumn id="3" xr3:uid="{84258EFC-64A4-40C3-ABC0-7E4C5C2D51D3}" uniqueName="3" name="IdSpl" queryTableFieldId="3" dataDxfId="0"/>
    <tableColumn id="4" xr3:uid="{6D94AB7E-659C-4C70-993D-FA31B62DF43C}" uniqueName="4" name="Cur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97E5-5776-4319-BCF6-01FB90CB0A1F}">
  <sheetPr codeName="Sheet2"/>
  <dimension ref="A2:AO293"/>
  <sheetViews>
    <sheetView workbookViewId="0">
      <selection activeCell="AP1" sqref="AP1:BC1048576"/>
    </sheetView>
  </sheetViews>
  <sheetFormatPr defaultColWidth="12.796875" defaultRowHeight="11.25" x14ac:dyDescent="0.2"/>
  <cols>
    <col min="1" max="1" width="12.796875" style="23"/>
    <col min="2" max="2" width="5" style="24" bestFit="1" customWidth="1"/>
    <col min="3" max="3" width="6" style="25" customWidth="1"/>
    <col min="4" max="4" width="27.59765625" style="25" customWidth="1"/>
    <col min="5" max="5" width="26" style="26" customWidth="1"/>
    <col min="6" max="6" width="13.19921875" style="25" bestFit="1" customWidth="1"/>
    <col min="7" max="8" width="7" style="25" customWidth="1"/>
    <col min="9" max="9" width="6.19921875" style="25" customWidth="1"/>
    <col min="10" max="10" width="5" style="24" bestFit="1" customWidth="1"/>
    <col min="11" max="11" width="21.796875" style="27" customWidth="1"/>
    <col min="12" max="17" width="26.796875" style="27" customWidth="1"/>
    <col min="18" max="18" width="6.19921875" style="27" customWidth="1"/>
    <col min="19" max="21" width="5" style="27" customWidth="1"/>
    <col min="22" max="22" width="8.19921875" style="27" customWidth="1"/>
    <col min="23" max="23" width="5" style="24" bestFit="1" customWidth="1"/>
    <col min="24" max="24" width="6" style="28" customWidth="1"/>
    <col min="25" max="25" width="30" style="28" bestFit="1" customWidth="1"/>
    <col min="26" max="26" width="19.3984375" style="28" bestFit="1" customWidth="1"/>
    <col min="27" max="27" width="12.19921875" style="28" bestFit="1" customWidth="1"/>
    <col min="28" max="28" width="12.19921875" style="28" customWidth="1"/>
    <col min="29" max="29" width="5" style="24" bestFit="1" customWidth="1"/>
    <col min="30" max="31" width="8.3984375" style="29" customWidth="1"/>
    <col min="32" max="32" width="12.796875" style="23"/>
    <col min="33" max="33" width="4.19921875" style="30" bestFit="1" customWidth="1"/>
    <col min="34" max="35" width="7.796875" style="31" bestFit="1" customWidth="1"/>
    <col min="36" max="36" width="32" style="31" bestFit="1" customWidth="1"/>
    <col min="37" max="37" width="7.796875" style="31" bestFit="1" customWidth="1"/>
    <col min="38" max="38" width="7.796875" style="31" customWidth="1"/>
    <col min="42" max="16384" width="12.796875" style="23"/>
  </cols>
  <sheetData>
    <row r="2" spans="1:38" s="32" customFormat="1" ht="39" x14ac:dyDescent="0.2">
      <c r="A2" s="32" t="s">
        <v>3</v>
      </c>
      <c r="B2" s="33" t="s">
        <v>20</v>
      </c>
      <c r="C2" s="34" t="s">
        <v>21</v>
      </c>
      <c r="D2" s="34" t="s">
        <v>22</v>
      </c>
      <c r="E2" s="35" t="s">
        <v>23</v>
      </c>
      <c r="F2" s="34" t="s">
        <v>24</v>
      </c>
      <c r="G2" s="34" t="s">
        <v>25</v>
      </c>
      <c r="H2" s="36" t="s">
        <v>26</v>
      </c>
      <c r="I2" s="37"/>
      <c r="J2" s="33" t="s">
        <v>27</v>
      </c>
      <c r="K2" s="38" t="s">
        <v>28</v>
      </c>
      <c r="L2" s="38" t="s">
        <v>23</v>
      </c>
      <c r="M2" s="38" t="s">
        <v>29</v>
      </c>
      <c r="N2" s="38" t="s">
        <v>30</v>
      </c>
      <c r="O2" s="38" t="s">
        <v>31</v>
      </c>
      <c r="P2" s="38" t="s">
        <v>32</v>
      </c>
      <c r="Q2" s="38" t="s">
        <v>33</v>
      </c>
      <c r="R2" s="38" t="s">
        <v>34</v>
      </c>
      <c r="S2" s="38" t="s">
        <v>35</v>
      </c>
      <c r="T2" s="38" t="s">
        <v>36</v>
      </c>
      <c r="U2" s="38" t="s">
        <v>37</v>
      </c>
      <c r="V2" s="38"/>
      <c r="W2" s="33" t="s">
        <v>38</v>
      </c>
      <c r="X2" s="39" t="s">
        <v>39</v>
      </c>
      <c r="Y2" s="39" t="s">
        <v>40</v>
      </c>
      <c r="Z2" s="39" t="s">
        <v>41</v>
      </c>
      <c r="AA2" s="39" t="s">
        <v>42</v>
      </c>
      <c r="AB2" s="39"/>
      <c r="AC2" s="33" t="s">
        <v>43</v>
      </c>
      <c r="AD2" s="40" t="s">
        <v>44</v>
      </c>
      <c r="AE2" s="40" t="s">
        <v>21</v>
      </c>
      <c r="AG2" s="30" t="s">
        <v>45</v>
      </c>
      <c r="AH2" s="41" t="s">
        <v>46</v>
      </c>
      <c r="AI2" s="41" t="s">
        <v>47</v>
      </c>
      <c r="AJ2" s="41" t="s">
        <v>48</v>
      </c>
      <c r="AK2" s="41" t="s">
        <v>49</v>
      </c>
      <c r="AL2" s="41"/>
    </row>
    <row r="3" spans="1:38" x14ac:dyDescent="0.2">
      <c r="A3" s="23" t="s">
        <v>51</v>
      </c>
      <c r="C3" s="42" t="s">
        <v>52</v>
      </c>
      <c r="D3" s="42" t="s">
        <v>53</v>
      </c>
      <c r="E3" s="43" t="s">
        <v>54</v>
      </c>
      <c r="F3" s="42" t="s">
        <v>55</v>
      </c>
      <c r="G3" s="42" t="s">
        <v>56</v>
      </c>
      <c r="H3" s="44"/>
      <c r="I3" s="45"/>
      <c r="K3" s="46" t="s">
        <v>57</v>
      </c>
      <c r="L3" s="47" t="str">
        <f>K3&amp;" SERRA"</f>
        <v>Gestión de Proyectos SERRA</v>
      </c>
      <c r="M3" s="47" t="s">
        <v>58</v>
      </c>
      <c r="N3" s="47" t="s">
        <v>59</v>
      </c>
      <c r="O3" s="47" t="s">
        <v>60</v>
      </c>
      <c r="P3" s="47" t="s">
        <v>57</v>
      </c>
      <c r="Q3" s="47" t="s">
        <v>61</v>
      </c>
      <c r="R3" s="47" t="s">
        <v>62</v>
      </c>
      <c r="S3" s="47" t="s">
        <v>63</v>
      </c>
      <c r="T3" s="47" t="s">
        <v>64</v>
      </c>
      <c r="U3" s="47" t="s">
        <v>65</v>
      </c>
      <c r="V3" s="47"/>
      <c r="X3" s="48">
        <v>100</v>
      </c>
      <c r="Y3" s="49" t="s">
        <v>66</v>
      </c>
      <c r="Z3" s="49" t="s">
        <v>67</v>
      </c>
      <c r="AA3" s="49" t="s">
        <v>68</v>
      </c>
      <c r="AB3" s="49"/>
      <c r="AD3" s="50" t="s">
        <v>69</v>
      </c>
      <c r="AE3" s="50" t="s">
        <v>70</v>
      </c>
      <c r="AH3" s="31" t="s">
        <v>71</v>
      </c>
      <c r="AI3" s="31" t="s">
        <v>72</v>
      </c>
      <c r="AJ3" s="31" t="s">
        <v>73</v>
      </c>
      <c r="AK3" s="31">
        <v>1</v>
      </c>
    </row>
    <row r="4" spans="1:38" x14ac:dyDescent="0.2">
      <c r="C4" s="42" t="s">
        <v>75</v>
      </c>
      <c r="D4" s="42" t="s">
        <v>76</v>
      </c>
      <c r="E4" s="43" t="s">
        <v>54</v>
      </c>
      <c r="F4" s="42" t="s">
        <v>55</v>
      </c>
      <c r="G4" s="42" t="s">
        <v>77</v>
      </c>
      <c r="H4" s="44"/>
      <c r="I4" s="42"/>
      <c r="K4" s="46"/>
      <c r="L4" s="47" t="str">
        <f>CONCATENATE(K3," Ext.")</f>
        <v>Gestión de Proyectos Ext.</v>
      </c>
      <c r="M4" s="47"/>
      <c r="N4" s="47"/>
      <c r="O4" s="47"/>
      <c r="P4" s="47"/>
      <c r="R4" s="47"/>
      <c r="S4" s="47"/>
      <c r="T4" s="47"/>
      <c r="U4" s="47"/>
      <c r="V4" s="47"/>
      <c r="X4" s="48">
        <v>101</v>
      </c>
      <c r="Y4" s="49" t="s">
        <v>78</v>
      </c>
      <c r="Z4" s="49" t="s">
        <v>79</v>
      </c>
      <c r="AA4" s="49" t="s">
        <v>68</v>
      </c>
      <c r="AB4" s="49"/>
      <c r="AD4" s="50" t="s">
        <v>80</v>
      </c>
      <c r="AE4" s="50" t="s">
        <v>81</v>
      </c>
      <c r="AH4" s="31" t="s">
        <v>82</v>
      </c>
      <c r="AI4" s="31" t="s">
        <v>72</v>
      </c>
      <c r="AJ4" s="31" t="s">
        <v>83</v>
      </c>
      <c r="AK4" s="31">
        <v>2</v>
      </c>
    </row>
    <row r="5" spans="1:38" x14ac:dyDescent="0.2">
      <c r="C5" s="42" t="s">
        <v>84</v>
      </c>
      <c r="D5" s="42" t="s">
        <v>85</v>
      </c>
      <c r="E5" s="43" t="s">
        <v>54</v>
      </c>
      <c r="F5" s="42" t="s">
        <v>55</v>
      </c>
      <c r="G5" s="42" t="s">
        <v>56</v>
      </c>
      <c r="H5" s="44"/>
      <c r="I5" s="42"/>
      <c r="K5" s="46" t="s">
        <v>86</v>
      </c>
      <c r="L5" s="47" t="str">
        <f>K5&amp;" SERRA"</f>
        <v>Gestión Mecánica SERRA</v>
      </c>
      <c r="M5" s="47" t="s">
        <v>86</v>
      </c>
      <c r="N5" s="47" t="s">
        <v>87</v>
      </c>
      <c r="O5" s="47" t="s">
        <v>88</v>
      </c>
      <c r="P5" s="47" t="s">
        <v>86</v>
      </c>
      <c r="Q5" s="47" t="s">
        <v>89</v>
      </c>
      <c r="R5" s="47" t="s">
        <v>90</v>
      </c>
      <c r="S5" s="47" t="s">
        <v>91</v>
      </c>
      <c r="T5" s="47" t="s">
        <v>64</v>
      </c>
      <c r="U5" s="47" t="s">
        <v>65</v>
      </c>
      <c r="V5" s="47"/>
      <c r="X5" s="48">
        <v>102</v>
      </c>
      <c r="Y5" s="49" t="s">
        <v>92</v>
      </c>
      <c r="Z5" s="49" t="s">
        <v>67</v>
      </c>
      <c r="AA5" s="49" t="s">
        <v>68</v>
      </c>
      <c r="AB5" s="49"/>
      <c r="AD5" s="50" t="s">
        <v>93</v>
      </c>
      <c r="AE5" s="50" t="s">
        <v>94</v>
      </c>
      <c r="AH5" s="31" t="s">
        <v>95</v>
      </c>
      <c r="AI5" s="31" t="s">
        <v>72</v>
      </c>
      <c r="AJ5" s="31" t="s">
        <v>96</v>
      </c>
      <c r="AK5" s="31">
        <v>3</v>
      </c>
    </row>
    <row r="6" spans="1:38" x14ac:dyDescent="0.2">
      <c r="C6" s="42" t="s">
        <v>98</v>
      </c>
      <c r="D6" s="42" t="s">
        <v>99</v>
      </c>
      <c r="E6" s="43" t="s">
        <v>100</v>
      </c>
      <c r="F6" s="42" t="s">
        <v>55</v>
      </c>
      <c r="G6" s="42" t="s">
        <v>56</v>
      </c>
      <c r="H6" s="44"/>
      <c r="I6" s="42"/>
      <c r="K6" s="46"/>
      <c r="L6" s="47" t="str">
        <f>CONCATENATE(K5," Ext.")</f>
        <v>Gestión Mecánica Ext.</v>
      </c>
      <c r="M6" s="47"/>
      <c r="N6" s="47"/>
      <c r="O6" s="47"/>
      <c r="P6" s="47"/>
      <c r="R6" s="47"/>
      <c r="S6" s="47"/>
      <c r="T6" s="47"/>
      <c r="U6" s="47"/>
      <c r="V6" s="47"/>
      <c r="X6" s="48">
        <v>103</v>
      </c>
      <c r="Y6" s="49" t="s">
        <v>101</v>
      </c>
      <c r="Z6" s="49" t="s">
        <v>67</v>
      </c>
      <c r="AA6" s="49" t="s">
        <v>68</v>
      </c>
      <c r="AB6" s="49"/>
      <c r="AD6" s="50" t="s">
        <v>102</v>
      </c>
      <c r="AE6" s="50" t="s">
        <v>103</v>
      </c>
      <c r="AH6" s="31" t="s">
        <v>104</v>
      </c>
      <c r="AI6" s="31" t="s">
        <v>72</v>
      </c>
      <c r="AJ6" s="31" t="s">
        <v>105</v>
      </c>
      <c r="AK6" s="31">
        <v>4</v>
      </c>
    </row>
    <row r="7" spans="1:38" x14ac:dyDescent="0.2">
      <c r="C7" s="42" t="s">
        <v>106</v>
      </c>
      <c r="D7" s="42" t="s">
        <v>107</v>
      </c>
      <c r="E7" s="43" t="s">
        <v>108</v>
      </c>
      <c r="F7" s="42" t="s">
        <v>55</v>
      </c>
      <c r="G7" s="42" t="s">
        <v>77</v>
      </c>
      <c r="H7" s="44"/>
      <c r="I7" s="42"/>
      <c r="K7" s="46" t="s">
        <v>109</v>
      </c>
      <c r="L7" s="47" t="str">
        <f>K7&amp;" SERRA"</f>
        <v>Diseño Mecánico SERRA</v>
      </c>
      <c r="M7" s="47" t="s">
        <v>110</v>
      </c>
      <c r="N7" s="47" t="s">
        <v>110</v>
      </c>
      <c r="O7" s="47" t="s">
        <v>111</v>
      </c>
      <c r="P7" s="47" t="s">
        <v>109</v>
      </c>
      <c r="Q7" s="47" t="s">
        <v>112</v>
      </c>
      <c r="R7" s="47" t="s">
        <v>90</v>
      </c>
      <c r="S7" s="47" t="s">
        <v>113</v>
      </c>
      <c r="T7" s="47" t="s">
        <v>64</v>
      </c>
      <c r="U7" s="47" t="s">
        <v>65</v>
      </c>
      <c r="V7" s="47"/>
      <c r="X7" s="48">
        <v>105</v>
      </c>
      <c r="Y7" s="49" t="s">
        <v>114</v>
      </c>
      <c r="Z7" s="49" t="s">
        <v>115</v>
      </c>
      <c r="AA7" s="49" t="s">
        <v>68</v>
      </c>
      <c r="AB7" s="49"/>
      <c r="AD7" s="50" t="s">
        <v>116</v>
      </c>
      <c r="AE7" s="50" t="s">
        <v>117</v>
      </c>
      <c r="AH7" s="31" t="s">
        <v>118</v>
      </c>
      <c r="AI7" s="31" t="s">
        <v>119</v>
      </c>
      <c r="AJ7" s="31" t="s">
        <v>120</v>
      </c>
      <c r="AK7" s="31">
        <v>1</v>
      </c>
    </row>
    <row r="8" spans="1:38" x14ac:dyDescent="0.2">
      <c r="C8" s="42" t="s">
        <v>121</v>
      </c>
      <c r="D8" s="42" t="s">
        <v>122</v>
      </c>
      <c r="E8" s="43" t="s">
        <v>108</v>
      </c>
      <c r="F8" s="42" t="s">
        <v>55</v>
      </c>
      <c r="G8" s="42" t="s">
        <v>77</v>
      </c>
      <c r="H8" s="44"/>
      <c r="I8" s="42"/>
      <c r="K8" s="46"/>
      <c r="L8" s="47" t="str">
        <f>CONCATENATE(K7," Ext.")</f>
        <v>Diseño Mecánico Ext.</v>
      </c>
      <c r="M8" s="47"/>
      <c r="N8" s="47"/>
      <c r="O8" s="47"/>
      <c r="P8" s="47"/>
      <c r="R8" s="47"/>
      <c r="S8" s="47"/>
      <c r="T8" s="47"/>
      <c r="U8" s="47"/>
      <c r="V8" s="47"/>
      <c r="X8" s="48">
        <v>110</v>
      </c>
      <c r="Y8" s="49" t="s">
        <v>123</v>
      </c>
      <c r="Z8" s="49" t="s">
        <v>124</v>
      </c>
      <c r="AA8" s="49" t="s">
        <v>68</v>
      </c>
      <c r="AB8" s="49"/>
      <c r="AD8" s="50" t="s">
        <v>125</v>
      </c>
      <c r="AE8" s="50" t="s">
        <v>126</v>
      </c>
      <c r="AH8" s="31" t="s">
        <v>127</v>
      </c>
      <c r="AI8" s="31" t="s">
        <v>128</v>
      </c>
      <c r="AJ8" s="31" t="s">
        <v>129</v>
      </c>
      <c r="AK8" s="31">
        <v>0</v>
      </c>
    </row>
    <row r="9" spans="1:38" x14ac:dyDescent="0.2">
      <c r="C9" s="42" t="s">
        <v>130</v>
      </c>
      <c r="D9" s="42" t="s">
        <v>131</v>
      </c>
      <c r="E9" s="43" t="s">
        <v>54</v>
      </c>
      <c r="F9" s="42" t="s">
        <v>132</v>
      </c>
      <c r="G9" s="42" t="s">
        <v>56</v>
      </c>
      <c r="H9" s="44"/>
      <c r="I9" s="42"/>
      <c r="K9" s="46" t="s">
        <v>133</v>
      </c>
      <c r="L9" s="47" t="str">
        <f>K9&amp;" SERRA"</f>
        <v>Robcad SERRA</v>
      </c>
      <c r="M9" s="47" t="s">
        <v>133</v>
      </c>
      <c r="N9" s="47" t="s">
        <v>133</v>
      </c>
      <c r="O9" s="47" t="s">
        <v>134</v>
      </c>
      <c r="P9" s="47" t="s">
        <v>133</v>
      </c>
      <c r="Q9" s="47" t="s">
        <v>133</v>
      </c>
      <c r="R9" s="47" t="s">
        <v>90</v>
      </c>
      <c r="S9" s="47" t="s">
        <v>135</v>
      </c>
      <c r="T9" s="47" t="s">
        <v>64</v>
      </c>
      <c r="U9" s="47" t="s">
        <v>65</v>
      </c>
      <c r="V9" s="47"/>
      <c r="X9" s="48">
        <v>111</v>
      </c>
      <c r="Y9" s="49" t="s">
        <v>136</v>
      </c>
      <c r="Z9" s="49" t="s">
        <v>137</v>
      </c>
      <c r="AA9" s="49" t="s">
        <v>68</v>
      </c>
      <c r="AB9" s="49"/>
      <c r="AD9" s="50" t="s">
        <v>138</v>
      </c>
      <c r="AE9" s="50" t="s">
        <v>139</v>
      </c>
    </row>
    <row r="10" spans="1:38" x14ac:dyDescent="0.2">
      <c r="C10" s="42" t="s">
        <v>140</v>
      </c>
      <c r="D10" s="42" t="str">
        <f>E9&amp;" OFb"</f>
        <v>Material Mecánico Ext. OFb</v>
      </c>
      <c r="E10" s="54" t="s">
        <v>141</v>
      </c>
      <c r="F10" s="42" t="s">
        <v>142</v>
      </c>
      <c r="G10" s="42" t="s">
        <v>143</v>
      </c>
      <c r="H10" s="44" t="s">
        <v>95</v>
      </c>
      <c r="I10" s="42"/>
      <c r="K10" s="46"/>
      <c r="L10" s="47" t="str">
        <f>CONCATENATE(K9," Ext.")</f>
        <v>Robcad Ext.</v>
      </c>
      <c r="M10" s="47"/>
      <c r="N10" s="47"/>
      <c r="O10" s="47"/>
      <c r="P10" s="47"/>
      <c r="R10" s="47"/>
      <c r="S10" s="47"/>
      <c r="T10" s="47"/>
      <c r="U10" s="47"/>
      <c r="V10" s="47"/>
      <c r="X10" s="48">
        <v>112</v>
      </c>
      <c r="Y10" s="49" t="s">
        <v>144</v>
      </c>
      <c r="Z10" s="49" t="s">
        <v>145</v>
      </c>
      <c r="AA10" s="49" t="s">
        <v>68</v>
      </c>
      <c r="AB10" s="49"/>
      <c r="AD10" s="50" t="s">
        <v>146</v>
      </c>
      <c r="AE10" s="50" t="s">
        <v>147</v>
      </c>
    </row>
    <row r="11" spans="1:38" x14ac:dyDescent="0.2">
      <c r="C11" s="42" t="s">
        <v>148</v>
      </c>
      <c r="D11" s="42" t="str">
        <f>E9&amp;" GEn"</f>
        <v>Material Mecánico Ext. GEn</v>
      </c>
      <c r="E11" s="43" t="s">
        <v>54</v>
      </c>
      <c r="F11" s="42" t="s">
        <v>55</v>
      </c>
      <c r="G11" s="42" t="s">
        <v>56</v>
      </c>
      <c r="H11" s="44"/>
      <c r="I11" s="42"/>
      <c r="K11" s="46" t="s">
        <v>149</v>
      </c>
      <c r="L11" s="47" t="str">
        <f>K11&amp;" SERRA"</f>
        <v>Diseño Eléctrico SERRA</v>
      </c>
      <c r="M11" s="47" t="s">
        <v>149</v>
      </c>
      <c r="N11" s="47" t="s">
        <v>150</v>
      </c>
      <c r="O11" s="47" t="s">
        <v>151</v>
      </c>
      <c r="P11" s="47" t="s">
        <v>149</v>
      </c>
      <c r="Q11" s="47" t="s">
        <v>152</v>
      </c>
      <c r="R11" s="47" t="s">
        <v>153</v>
      </c>
      <c r="S11" s="47" t="s">
        <v>154</v>
      </c>
      <c r="T11" s="47" t="s">
        <v>64</v>
      </c>
      <c r="U11" s="47" t="s">
        <v>65</v>
      </c>
      <c r="V11" s="47"/>
      <c r="X11" s="48">
        <v>113</v>
      </c>
      <c r="Y11" s="49" t="s">
        <v>155</v>
      </c>
      <c r="Z11" s="49" t="s">
        <v>156</v>
      </c>
      <c r="AA11" s="49" t="s">
        <v>68</v>
      </c>
      <c r="AB11" s="49"/>
      <c r="AD11" s="50" t="s">
        <v>157</v>
      </c>
      <c r="AE11" s="50" t="s">
        <v>94</v>
      </c>
    </row>
    <row r="12" spans="1:38" x14ac:dyDescent="0.2">
      <c r="C12" s="42" t="s">
        <v>159</v>
      </c>
      <c r="D12" s="42" t="str">
        <f>E9&amp;" CDc"</f>
        <v>Material Mecánico Ext. CDc</v>
      </c>
      <c r="E12" s="43" t="s">
        <v>160</v>
      </c>
      <c r="F12" s="42" t="s">
        <v>132</v>
      </c>
      <c r="G12" s="42" t="s">
        <v>56</v>
      </c>
      <c r="H12" s="44"/>
      <c r="I12" s="42"/>
      <c r="K12" s="46"/>
      <c r="L12" s="47" t="str">
        <f>CONCATENATE(K11," Ext.")</f>
        <v>Diseño Eléctrico Ext.</v>
      </c>
      <c r="M12" s="47"/>
      <c r="N12" s="47"/>
      <c r="O12" s="47"/>
      <c r="P12" s="47"/>
      <c r="R12" s="47"/>
      <c r="S12" s="47"/>
      <c r="T12" s="47"/>
      <c r="U12" s="47"/>
      <c r="V12" s="47"/>
      <c r="X12" s="48">
        <v>114</v>
      </c>
      <c r="Y12" s="49" t="s">
        <v>161</v>
      </c>
      <c r="Z12" s="49" t="s">
        <v>156</v>
      </c>
      <c r="AA12" s="49" t="s">
        <v>68</v>
      </c>
      <c r="AB12" s="49"/>
      <c r="AD12" s="50" t="s">
        <v>162</v>
      </c>
      <c r="AE12" s="50" t="s">
        <v>70</v>
      </c>
    </row>
    <row r="13" spans="1:38" x14ac:dyDescent="0.2">
      <c r="C13" s="42" t="s">
        <v>164</v>
      </c>
      <c r="D13" s="42" t="s">
        <v>165</v>
      </c>
      <c r="E13" s="43" t="s">
        <v>166</v>
      </c>
      <c r="F13" s="42" t="s">
        <v>132</v>
      </c>
      <c r="G13" s="42" t="s">
        <v>167</v>
      </c>
      <c r="H13" s="44"/>
      <c r="I13" s="42"/>
      <c r="K13" s="46" t="s">
        <v>168</v>
      </c>
      <c r="L13" s="47" t="str">
        <f>K13&amp;" SERRA"</f>
        <v>Diseño NR SERRA</v>
      </c>
      <c r="M13" s="47" t="s">
        <v>168</v>
      </c>
      <c r="N13" s="47" t="s">
        <v>169</v>
      </c>
      <c r="O13" s="47" t="s">
        <v>170</v>
      </c>
      <c r="P13" s="47" t="s">
        <v>168</v>
      </c>
      <c r="Q13" s="47" t="s">
        <v>171</v>
      </c>
      <c r="R13" s="47" t="s">
        <v>153</v>
      </c>
      <c r="S13" s="47" t="s">
        <v>172</v>
      </c>
      <c r="T13" s="47" t="s">
        <v>64</v>
      </c>
      <c r="U13" s="47" t="s">
        <v>173</v>
      </c>
      <c r="V13" s="47"/>
      <c r="X13" s="48">
        <v>120</v>
      </c>
      <c r="Y13" s="49" t="s">
        <v>174</v>
      </c>
      <c r="Z13" s="49" t="s">
        <v>175</v>
      </c>
      <c r="AA13" s="49" t="s">
        <v>68</v>
      </c>
      <c r="AB13" s="49"/>
      <c r="AD13" s="50" t="s">
        <v>176</v>
      </c>
      <c r="AE13" s="50" t="s">
        <v>117</v>
      </c>
    </row>
    <row r="14" spans="1:38" x14ac:dyDescent="0.2">
      <c r="C14" s="42" t="s">
        <v>177</v>
      </c>
      <c r="D14" s="42" t="s">
        <v>178</v>
      </c>
      <c r="E14" s="43" t="s">
        <v>160</v>
      </c>
      <c r="F14" s="42" t="s">
        <v>132</v>
      </c>
      <c r="G14" s="42" t="s">
        <v>56</v>
      </c>
      <c r="H14" s="44"/>
      <c r="I14" s="42"/>
      <c r="K14" s="46"/>
      <c r="L14" s="47" t="str">
        <f>CONCATENATE(K13," Ext.")</f>
        <v>Diseño NR Ext.</v>
      </c>
      <c r="M14" s="47"/>
      <c r="N14" s="47"/>
      <c r="O14" s="47"/>
      <c r="P14" s="47"/>
      <c r="R14" s="47"/>
      <c r="S14" s="47"/>
      <c r="T14" s="47"/>
      <c r="U14" s="47"/>
      <c r="V14" s="47"/>
      <c r="X14" s="48">
        <v>121</v>
      </c>
      <c r="Y14" s="49" t="s">
        <v>179</v>
      </c>
      <c r="Z14" s="49" t="s">
        <v>180</v>
      </c>
      <c r="AA14" s="49" t="s">
        <v>68</v>
      </c>
      <c r="AB14" s="49"/>
      <c r="AD14" s="50" t="s">
        <v>181</v>
      </c>
      <c r="AE14" s="50" t="s">
        <v>147</v>
      </c>
    </row>
    <row r="15" spans="1:38" x14ac:dyDescent="0.2">
      <c r="C15" s="42" t="s">
        <v>182</v>
      </c>
      <c r="D15" s="42" t="s">
        <v>183</v>
      </c>
      <c r="E15" s="43" t="s">
        <v>184</v>
      </c>
      <c r="F15" s="42" t="s">
        <v>132</v>
      </c>
      <c r="G15" s="42" t="s">
        <v>185</v>
      </c>
      <c r="H15" s="44"/>
      <c r="I15" s="42"/>
      <c r="K15" s="46" t="s">
        <v>186</v>
      </c>
      <c r="L15" s="47" t="str">
        <f>K15&amp;" SERRA"</f>
        <v>Robótica SERRA</v>
      </c>
      <c r="M15" s="47" t="s">
        <v>186</v>
      </c>
      <c r="N15" s="47" t="s">
        <v>186</v>
      </c>
      <c r="O15" s="47" t="s">
        <v>187</v>
      </c>
      <c r="P15" s="47" t="s">
        <v>186</v>
      </c>
      <c r="Q15" s="47" t="s">
        <v>186</v>
      </c>
      <c r="R15" s="47" t="s">
        <v>153</v>
      </c>
      <c r="S15" s="55" t="s">
        <v>188</v>
      </c>
      <c r="T15" s="55" t="s">
        <v>64</v>
      </c>
      <c r="U15" s="47"/>
      <c r="V15" s="47"/>
      <c r="X15" s="48">
        <v>122</v>
      </c>
      <c r="Y15" s="49" t="s">
        <v>189</v>
      </c>
      <c r="Z15" s="49" t="s">
        <v>190</v>
      </c>
      <c r="AA15" s="49" t="s">
        <v>68</v>
      </c>
      <c r="AB15" s="49"/>
      <c r="AD15" s="50" t="s">
        <v>191</v>
      </c>
      <c r="AE15" s="50" t="s">
        <v>81</v>
      </c>
    </row>
    <row r="16" spans="1:38" x14ac:dyDescent="0.2">
      <c r="C16" s="42" t="s">
        <v>192</v>
      </c>
      <c r="D16" s="42" t="s">
        <v>193</v>
      </c>
      <c r="E16" s="43" t="s">
        <v>184</v>
      </c>
      <c r="F16" s="42" t="s">
        <v>132</v>
      </c>
      <c r="G16" s="42" t="s">
        <v>185</v>
      </c>
      <c r="H16" s="44"/>
      <c r="I16" s="42"/>
      <c r="K16" s="46"/>
      <c r="L16" s="47" t="str">
        <f>CONCATENATE(K15," Ext.")</f>
        <v>Robótica Ext.</v>
      </c>
      <c r="M16" s="47"/>
      <c r="N16" s="47"/>
      <c r="O16" s="47"/>
      <c r="P16" s="47"/>
      <c r="R16" s="47"/>
      <c r="S16" s="47"/>
      <c r="T16" s="47"/>
      <c r="U16" s="47"/>
      <c r="V16" s="47"/>
      <c r="X16" s="48">
        <v>125</v>
      </c>
      <c r="Y16" s="49" t="s">
        <v>194</v>
      </c>
      <c r="Z16" s="49" t="s">
        <v>195</v>
      </c>
      <c r="AA16" s="49" t="s">
        <v>68</v>
      </c>
      <c r="AB16" s="49"/>
      <c r="AD16" s="50" t="s">
        <v>196</v>
      </c>
      <c r="AE16" s="50" t="s">
        <v>139</v>
      </c>
    </row>
    <row r="17" spans="3:31" x14ac:dyDescent="0.2">
      <c r="C17" s="42" t="s">
        <v>197</v>
      </c>
      <c r="D17" s="42" t="s">
        <v>198</v>
      </c>
      <c r="E17" s="43" t="s">
        <v>199</v>
      </c>
      <c r="F17" s="42" t="s">
        <v>132</v>
      </c>
      <c r="G17" s="42" t="s">
        <v>200</v>
      </c>
      <c r="H17" s="44"/>
      <c r="I17" s="42"/>
      <c r="K17" s="56" t="s">
        <v>74</v>
      </c>
      <c r="L17" s="47" t="str">
        <f>K17&amp;" SERRA"</f>
        <v>Fabricación Mecánica SERRA</v>
      </c>
      <c r="M17" s="47" t="s">
        <v>74</v>
      </c>
      <c r="N17" s="47" t="s">
        <v>201</v>
      </c>
      <c r="O17" s="47" t="s">
        <v>202</v>
      </c>
      <c r="P17" s="47" t="s">
        <v>201</v>
      </c>
      <c r="Q17" s="47" t="s">
        <v>203</v>
      </c>
      <c r="R17" s="47" t="s">
        <v>204</v>
      </c>
      <c r="S17" s="47" t="s">
        <v>205</v>
      </c>
      <c r="T17" s="47" t="s">
        <v>64</v>
      </c>
      <c r="U17" s="47" t="s">
        <v>65</v>
      </c>
      <c r="V17" s="47"/>
      <c r="X17" s="48">
        <v>126</v>
      </c>
      <c r="Y17" s="49" t="s">
        <v>206</v>
      </c>
      <c r="Z17" s="49" t="s">
        <v>207</v>
      </c>
      <c r="AA17" s="49" t="s">
        <v>68</v>
      </c>
      <c r="AB17" s="49"/>
      <c r="AD17" s="50" t="s">
        <v>208</v>
      </c>
      <c r="AE17" s="50" t="s">
        <v>126</v>
      </c>
    </row>
    <row r="18" spans="3:31" x14ac:dyDescent="0.2">
      <c r="C18" s="42" t="s">
        <v>209</v>
      </c>
      <c r="D18" s="42" t="s">
        <v>210</v>
      </c>
      <c r="E18" s="43" t="s">
        <v>211</v>
      </c>
      <c r="F18" s="42" t="s">
        <v>55</v>
      </c>
      <c r="G18" s="42" t="s">
        <v>56</v>
      </c>
      <c r="H18" s="44"/>
      <c r="I18" s="42"/>
      <c r="K18" s="56"/>
      <c r="L18" s="47" t="str">
        <f>CONCATENATE(K17," Ext.")</f>
        <v>Fabricación Mecánica Ext.</v>
      </c>
      <c r="M18" s="47"/>
      <c r="N18" s="47"/>
      <c r="O18" s="47"/>
      <c r="P18" s="47"/>
      <c r="R18" s="47"/>
      <c r="S18" s="47"/>
      <c r="T18" s="47"/>
      <c r="U18" s="47"/>
      <c r="V18" s="47"/>
      <c r="X18" s="48">
        <v>127</v>
      </c>
      <c r="Y18" s="49" t="s">
        <v>133</v>
      </c>
      <c r="Z18" s="49" t="s">
        <v>134</v>
      </c>
      <c r="AA18" s="49" t="s">
        <v>68</v>
      </c>
      <c r="AB18" s="49"/>
      <c r="AD18" s="50" t="s">
        <v>212</v>
      </c>
      <c r="AE18" s="50" t="s">
        <v>103</v>
      </c>
    </row>
    <row r="19" spans="3:31" x14ac:dyDescent="0.2">
      <c r="C19" s="42" t="s">
        <v>213</v>
      </c>
      <c r="D19" s="42" t="s">
        <v>214</v>
      </c>
      <c r="E19" s="43" t="s">
        <v>215</v>
      </c>
      <c r="F19" s="42" t="s">
        <v>55</v>
      </c>
      <c r="G19" s="42" t="s">
        <v>185</v>
      </c>
      <c r="H19" s="44"/>
      <c r="I19" s="42"/>
      <c r="K19" s="56" t="s">
        <v>216</v>
      </c>
      <c r="L19" s="47" t="str">
        <f>K19&amp;" SERRA"</f>
        <v>Montaje Mecánico SERRA</v>
      </c>
      <c r="M19" s="47" t="s">
        <v>216</v>
      </c>
      <c r="N19" s="47" t="s">
        <v>216</v>
      </c>
      <c r="O19" s="47" t="s">
        <v>217</v>
      </c>
      <c r="P19" s="47" t="s">
        <v>216</v>
      </c>
      <c r="Q19" s="47" t="s">
        <v>218</v>
      </c>
      <c r="R19" s="47" t="s">
        <v>204</v>
      </c>
      <c r="S19" s="47" t="s">
        <v>219</v>
      </c>
      <c r="T19" s="47" t="s">
        <v>64</v>
      </c>
      <c r="U19" s="47" t="s">
        <v>65</v>
      </c>
      <c r="V19" s="47"/>
      <c r="X19" s="48">
        <v>128</v>
      </c>
      <c r="Y19" s="49" t="s">
        <v>220</v>
      </c>
      <c r="Z19" s="49" t="s">
        <v>195</v>
      </c>
      <c r="AA19" s="49" t="s">
        <v>68</v>
      </c>
      <c r="AB19" s="49"/>
      <c r="AD19" s="50" t="s">
        <v>221</v>
      </c>
      <c r="AE19" s="50" t="s">
        <v>222</v>
      </c>
    </row>
    <row r="20" spans="3:31" x14ac:dyDescent="0.2">
      <c r="C20" s="42" t="s">
        <v>223</v>
      </c>
      <c r="D20" s="42" t="s">
        <v>224</v>
      </c>
      <c r="E20" s="43" t="s">
        <v>211</v>
      </c>
      <c r="F20" s="42" t="s">
        <v>132</v>
      </c>
      <c r="G20" s="42" t="s">
        <v>56</v>
      </c>
      <c r="H20" s="44"/>
      <c r="I20" s="42"/>
      <c r="K20" s="56"/>
      <c r="L20" s="47" t="str">
        <f>CONCATENATE(K19," Ext.")</f>
        <v>Montaje Mecánico Ext.</v>
      </c>
      <c r="M20" s="47"/>
      <c r="N20" s="47"/>
      <c r="O20" s="47"/>
      <c r="P20" s="47"/>
      <c r="R20" s="47"/>
      <c r="S20" s="47"/>
      <c r="T20" s="47"/>
      <c r="U20" s="47"/>
      <c r="V20" s="47"/>
      <c r="X20" s="48">
        <v>130</v>
      </c>
      <c r="Y20" s="49" t="s">
        <v>225</v>
      </c>
      <c r="Z20" s="49" t="s">
        <v>158</v>
      </c>
      <c r="AA20" s="49" t="s">
        <v>68</v>
      </c>
      <c r="AB20" s="49"/>
      <c r="AD20" s="50" t="s">
        <v>226</v>
      </c>
      <c r="AE20" s="50" t="s">
        <v>227</v>
      </c>
    </row>
    <row r="21" spans="3:31" x14ac:dyDescent="0.2">
      <c r="C21" s="42" t="s">
        <v>228</v>
      </c>
      <c r="D21" s="42" t="s">
        <v>229</v>
      </c>
      <c r="E21" s="43" t="s">
        <v>215</v>
      </c>
      <c r="F21" s="42" t="s">
        <v>132</v>
      </c>
      <c r="G21" s="42" t="s">
        <v>185</v>
      </c>
      <c r="H21" s="44"/>
      <c r="I21" s="42"/>
      <c r="K21" s="56" t="s">
        <v>97</v>
      </c>
      <c r="L21" s="47" t="str">
        <f>K21&amp;" SERRA"</f>
        <v>Metrología SERRA</v>
      </c>
      <c r="M21" s="47" t="s">
        <v>97</v>
      </c>
      <c r="N21" s="47" t="s">
        <v>97</v>
      </c>
      <c r="O21" s="47" t="s">
        <v>230</v>
      </c>
      <c r="P21" s="47" t="s">
        <v>97</v>
      </c>
      <c r="Q21" s="47" t="s">
        <v>97</v>
      </c>
      <c r="R21" s="47" t="s">
        <v>204</v>
      </c>
      <c r="S21" s="47" t="s">
        <v>231</v>
      </c>
      <c r="T21" s="47" t="s">
        <v>64</v>
      </c>
      <c r="U21" s="47" t="s">
        <v>65</v>
      </c>
      <c r="V21" s="47"/>
      <c r="X21" s="48">
        <v>131</v>
      </c>
      <c r="Y21" s="49" t="s">
        <v>232</v>
      </c>
      <c r="Z21" s="49" t="s">
        <v>233</v>
      </c>
      <c r="AA21" s="49" t="s">
        <v>68</v>
      </c>
      <c r="AB21" s="49"/>
      <c r="AD21" s="50" t="s">
        <v>234</v>
      </c>
      <c r="AE21" s="50" t="s">
        <v>235</v>
      </c>
    </row>
    <row r="22" spans="3:31" x14ac:dyDescent="0.2">
      <c r="C22" s="42" t="s">
        <v>236</v>
      </c>
      <c r="D22" s="42" t="s">
        <v>237</v>
      </c>
      <c r="E22" s="43" t="s">
        <v>238</v>
      </c>
      <c r="F22" s="42" t="s">
        <v>132</v>
      </c>
      <c r="G22" s="42" t="s">
        <v>56</v>
      </c>
      <c r="H22" s="44"/>
      <c r="I22" s="42"/>
      <c r="K22" s="56"/>
      <c r="L22" s="47" t="str">
        <f>CONCATENATE(K21," Ext.")</f>
        <v>Metrología Ext.</v>
      </c>
      <c r="M22" s="47"/>
      <c r="N22" s="47"/>
      <c r="O22" s="47"/>
      <c r="P22" s="47"/>
      <c r="R22" s="47"/>
      <c r="S22" s="47"/>
      <c r="T22" s="47"/>
      <c r="U22" s="47"/>
      <c r="V22" s="47"/>
      <c r="X22" s="48">
        <v>132</v>
      </c>
      <c r="Y22" s="49" t="s">
        <v>239</v>
      </c>
      <c r="Z22" s="49" t="s">
        <v>163</v>
      </c>
      <c r="AA22" s="49" t="s">
        <v>68</v>
      </c>
      <c r="AB22" s="49"/>
      <c r="AD22" s="50" t="s">
        <v>240</v>
      </c>
      <c r="AE22" s="50" t="s">
        <v>241</v>
      </c>
    </row>
    <row r="23" spans="3:31" x14ac:dyDescent="0.2">
      <c r="C23" s="42" t="s">
        <v>242</v>
      </c>
      <c r="D23" s="42" t="s">
        <v>243</v>
      </c>
      <c r="E23" s="43" t="s">
        <v>244</v>
      </c>
      <c r="F23" s="42" t="s">
        <v>132</v>
      </c>
      <c r="G23" s="42" t="s">
        <v>56</v>
      </c>
      <c r="H23" s="44"/>
      <c r="I23" s="42"/>
      <c r="K23" s="56" t="s">
        <v>245</v>
      </c>
      <c r="L23" s="47" t="str">
        <f>K23&amp;" Ext."</f>
        <v>Subcontratación Completa Ext.</v>
      </c>
      <c r="M23" s="47"/>
      <c r="N23" s="47" t="s">
        <v>245</v>
      </c>
      <c r="O23" s="47" t="s">
        <v>16</v>
      </c>
      <c r="P23" s="47" t="s">
        <v>246</v>
      </c>
      <c r="Q23" s="47" t="s">
        <v>247</v>
      </c>
      <c r="R23" s="47" t="s">
        <v>16</v>
      </c>
      <c r="S23" s="47"/>
      <c r="T23" s="47" t="s">
        <v>248</v>
      </c>
      <c r="U23" s="47"/>
      <c r="V23" s="47"/>
      <c r="X23" s="48">
        <v>133</v>
      </c>
      <c r="Y23" s="49" t="s">
        <v>249</v>
      </c>
      <c r="Z23" s="49" t="s">
        <v>250</v>
      </c>
      <c r="AA23" s="49" t="s">
        <v>68</v>
      </c>
      <c r="AB23" s="49"/>
      <c r="AD23" s="50" t="s">
        <v>251</v>
      </c>
      <c r="AE23" s="50" t="s">
        <v>252</v>
      </c>
    </row>
    <row r="24" spans="3:31" x14ac:dyDescent="0.2">
      <c r="C24" s="42" t="s">
        <v>253</v>
      </c>
      <c r="D24" s="42" t="s">
        <v>254</v>
      </c>
      <c r="E24" s="43" t="s">
        <v>255</v>
      </c>
      <c r="F24" s="42" t="s">
        <v>132</v>
      </c>
      <c r="G24" s="42" t="s">
        <v>56</v>
      </c>
      <c r="H24" s="44"/>
      <c r="I24" s="42"/>
      <c r="K24" s="46"/>
      <c r="L24" s="47"/>
      <c r="M24" s="47"/>
      <c r="N24" s="47"/>
      <c r="O24" s="47"/>
      <c r="P24" s="47"/>
      <c r="R24" s="47"/>
      <c r="S24" s="47"/>
      <c r="T24" s="47"/>
      <c r="U24" s="47"/>
      <c r="V24" s="47"/>
      <c r="X24" s="48">
        <v>134</v>
      </c>
      <c r="Y24" s="49" t="s">
        <v>256</v>
      </c>
      <c r="Z24" s="49" t="s">
        <v>158</v>
      </c>
      <c r="AA24" s="49" t="s">
        <v>68</v>
      </c>
      <c r="AB24" s="49"/>
      <c r="AD24" s="50" t="s">
        <v>257</v>
      </c>
      <c r="AE24" s="50" t="s">
        <v>258</v>
      </c>
    </row>
    <row r="25" spans="3:31" x14ac:dyDescent="0.2">
      <c r="C25" s="42" t="s">
        <v>259</v>
      </c>
      <c r="D25" s="42" t="s">
        <v>260</v>
      </c>
      <c r="E25" s="43" t="s">
        <v>261</v>
      </c>
      <c r="F25" s="42" t="s">
        <v>132</v>
      </c>
      <c r="G25" s="42" t="s">
        <v>56</v>
      </c>
      <c r="H25" s="44"/>
      <c r="I25" s="42"/>
      <c r="K25" s="56" t="s">
        <v>262</v>
      </c>
      <c r="L25" s="47" t="str">
        <f>K25&amp;" SERRA"</f>
        <v>Fabricación Eléctrica SERRA</v>
      </c>
      <c r="M25" s="47" t="s">
        <v>262</v>
      </c>
      <c r="N25" s="47" t="s">
        <v>262</v>
      </c>
      <c r="O25" s="47" t="s">
        <v>263</v>
      </c>
      <c r="P25" s="47" t="s">
        <v>262</v>
      </c>
      <c r="Q25" s="47" t="s">
        <v>264</v>
      </c>
      <c r="R25" s="47" t="s">
        <v>265</v>
      </c>
      <c r="S25" s="47" t="s">
        <v>266</v>
      </c>
      <c r="T25" s="47" t="s">
        <v>64</v>
      </c>
      <c r="U25" s="47" t="s">
        <v>267</v>
      </c>
      <c r="V25" s="47"/>
      <c r="X25" s="48">
        <v>135</v>
      </c>
      <c r="Y25" s="49" t="s">
        <v>268</v>
      </c>
      <c r="Z25" s="49" t="s">
        <v>269</v>
      </c>
      <c r="AA25" s="49" t="s">
        <v>68</v>
      </c>
      <c r="AB25" s="49"/>
      <c r="AD25" s="50" t="s">
        <v>270</v>
      </c>
      <c r="AE25" s="50" t="s">
        <v>271</v>
      </c>
    </row>
    <row r="26" spans="3:31" x14ac:dyDescent="0.2">
      <c r="C26" s="42" t="s">
        <v>272</v>
      </c>
      <c r="D26" s="42" t="s">
        <v>273</v>
      </c>
      <c r="E26" s="43" t="s">
        <v>274</v>
      </c>
      <c r="F26" s="42" t="s">
        <v>132</v>
      </c>
      <c r="G26" s="42" t="s">
        <v>56</v>
      </c>
      <c r="H26" s="44"/>
      <c r="I26" s="42"/>
      <c r="K26" s="56"/>
      <c r="L26" s="47" t="str">
        <f>CONCATENATE(K25," Ext.")</f>
        <v>Fabricación Eléctrica Ext.</v>
      </c>
      <c r="M26" s="47"/>
      <c r="N26" s="47"/>
      <c r="O26" s="47"/>
      <c r="P26" s="47"/>
      <c r="Q26" s="47"/>
      <c r="R26" s="47"/>
      <c r="S26" s="47"/>
      <c r="T26" s="47"/>
      <c r="U26" s="47"/>
      <c r="V26" s="47"/>
      <c r="X26" s="48">
        <v>136</v>
      </c>
      <c r="Y26" s="49" t="s">
        <v>275</v>
      </c>
      <c r="Z26" s="49" t="s">
        <v>163</v>
      </c>
      <c r="AA26" s="49" t="s">
        <v>68</v>
      </c>
      <c r="AB26" s="49"/>
      <c r="AD26" s="50" t="s">
        <v>276</v>
      </c>
      <c r="AE26" s="50" t="s">
        <v>277</v>
      </c>
    </row>
    <row r="27" spans="3:31" x14ac:dyDescent="0.2">
      <c r="C27" s="42" t="s">
        <v>278</v>
      </c>
      <c r="D27" s="42" t="s">
        <v>279</v>
      </c>
      <c r="E27" s="43" t="s">
        <v>280</v>
      </c>
      <c r="F27" s="42" t="s">
        <v>132</v>
      </c>
      <c r="G27" s="42" t="s">
        <v>56</v>
      </c>
      <c r="H27" s="44"/>
      <c r="I27" s="42"/>
      <c r="K27" s="56" t="s">
        <v>281</v>
      </c>
      <c r="L27" s="47" t="str">
        <f>K27&amp;" SERRA"</f>
        <v>Instalación Eléctrica SERRA</v>
      </c>
      <c r="M27" s="47" t="s">
        <v>281</v>
      </c>
      <c r="N27" s="47" t="s">
        <v>282</v>
      </c>
      <c r="O27" s="47" t="s">
        <v>283</v>
      </c>
      <c r="P27" s="47" t="s">
        <v>284</v>
      </c>
      <c r="Q27" s="47" t="s">
        <v>264</v>
      </c>
      <c r="R27" s="47" t="s">
        <v>265</v>
      </c>
      <c r="S27" s="47" t="s">
        <v>285</v>
      </c>
      <c r="T27" s="47" t="s">
        <v>64</v>
      </c>
      <c r="U27" s="47" t="s">
        <v>286</v>
      </c>
      <c r="V27" s="47"/>
      <c r="X27" s="48">
        <v>137</v>
      </c>
      <c r="Y27" s="49" t="s">
        <v>287</v>
      </c>
      <c r="Z27" s="49" t="s">
        <v>250</v>
      </c>
      <c r="AA27" s="49" t="s">
        <v>68</v>
      </c>
      <c r="AB27" s="49"/>
      <c r="AD27" s="50" t="s">
        <v>288</v>
      </c>
      <c r="AE27" s="50" t="s">
        <v>289</v>
      </c>
    </row>
    <row r="28" spans="3:31" x14ac:dyDescent="0.2">
      <c r="C28" s="42" t="s">
        <v>290</v>
      </c>
      <c r="D28" s="42" t="s">
        <v>291</v>
      </c>
      <c r="E28" s="43" t="s">
        <v>292</v>
      </c>
      <c r="F28" s="42" t="s">
        <v>132</v>
      </c>
      <c r="G28" s="42" t="s">
        <v>293</v>
      </c>
      <c r="H28" s="44"/>
      <c r="I28" s="42"/>
      <c r="K28" s="56"/>
      <c r="L28" s="47" t="str">
        <f>CONCATENATE(K27," Ext.")</f>
        <v>Instalación Eléctrica Ext.</v>
      </c>
      <c r="M28" s="47"/>
      <c r="N28" s="47"/>
      <c r="O28" s="47"/>
      <c r="P28" s="47"/>
      <c r="Q28" s="47"/>
      <c r="R28" s="47"/>
      <c r="S28" s="47"/>
      <c r="T28" s="47"/>
      <c r="U28" s="47"/>
      <c r="V28" s="47"/>
      <c r="X28" s="48">
        <v>140</v>
      </c>
      <c r="Y28" s="49" t="s">
        <v>294</v>
      </c>
      <c r="Z28" s="49" t="s">
        <v>295</v>
      </c>
      <c r="AA28" s="49" t="s">
        <v>68</v>
      </c>
      <c r="AB28" s="49"/>
      <c r="AD28" s="50" t="s">
        <v>296</v>
      </c>
      <c r="AE28" s="50" t="s">
        <v>297</v>
      </c>
    </row>
    <row r="29" spans="3:31" x14ac:dyDescent="0.2">
      <c r="C29" s="42" t="s">
        <v>298</v>
      </c>
      <c r="D29" s="42" t="s">
        <v>299</v>
      </c>
      <c r="E29" s="43" t="s">
        <v>300</v>
      </c>
      <c r="F29" s="42" t="s">
        <v>132</v>
      </c>
      <c r="G29" s="42" t="s">
        <v>293</v>
      </c>
      <c r="H29" s="44"/>
      <c r="I29" s="42"/>
      <c r="K29" s="56" t="s">
        <v>301</v>
      </c>
      <c r="L29" s="47" t="str">
        <f>K29&amp;" SERRA"</f>
        <v>Instalación NR SERRA</v>
      </c>
      <c r="M29" s="47" t="s">
        <v>301</v>
      </c>
      <c r="N29" s="47" t="str">
        <f>N27</f>
        <v>Instalación ENR</v>
      </c>
      <c r="O29" s="47" t="s">
        <v>302</v>
      </c>
      <c r="P29" s="47" t="s">
        <v>284</v>
      </c>
      <c r="Q29" s="47" t="s">
        <v>264</v>
      </c>
      <c r="R29" s="47" t="s">
        <v>265</v>
      </c>
      <c r="S29" s="47" t="s">
        <v>303</v>
      </c>
      <c r="T29" s="47" t="s">
        <v>64</v>
      </c>
      <c r="U29" s="47" t="s">
        <v>304</v>
      </c>
      <c r="V29" s="47"/>
      <c r="X29" s="48">
        <v>141</v>
      </c>
      <c r="Y29" s="49" t="s">
        <v>305</v>
      </c>
      <c r="Z29" s="49" t="s">
        <v>306</v>
      </c>
      <c r="AA29" s="49" t="s">
        <v>68</v>
      </c>
      <c r="AB29" s="49"/>
      <c r="AD29" s="50" t="s">
        <v>307</v>
      </c>
      <c r="AE29" s="50" t="s">
        <v>308</v>
      </c>
    </row>
    <row r="30" spans="3:31" x14ac:dyDescent="0.2">
      <c r="C30" s="42" t="s">
        <v>309</v>
      </c>
      <c r="D30" s="42" t="s">
        <v>310</v>
      </c>
      <c r="E30" s="43" t="s">
        <v>244</v>
      </c>
      <c r="F30" s="42" t="s">
        <v>55</v>
      </c>
      <c r="G30" s="42" t="s">
        <v>56</v>
      </c>
      <c r="H30" s="44"/>
      <c r="I30" s="42"/>
      <c r="K30" s="56"/>
      <c r="L30" s="47" t="str">
        <f>CONCATENATE(K29," Ext.")</f>
        <v>Instalación NR Ext.</v>
      </c>
      <c r="M30" s="47"/>
      <c r="N30" s="47"/>
      <c r="O30" s="47"/>
      <c r="P30" s="47"/>
      <c r="Q30" s="47"/>
      <c r="R30" s="47"/>
      <c r="S30" s="47"/>
      <c r="T30" s="47"/>
      <c r="U30" s="47"/>
      <c r="V30" s="47"/>
      <c r="X30" s="48">
        <v>142</v>
      </c>
      <c r="Y30" s="49" t="s">
        <v>311</v>
      </c>
      <c r="Z30" s="49" t="s">
        <v>312</v>
      </c>
      <c r="AA30" s="49" t="s">
        <v>68</v>
      </c>
      <c r="AB30" s="49"/>
      <c r="AD30" s="50" t="s">
        <v>313</v>
      </c>
      <c r="AE30" s="50" t="s">
        <v>314</v>
      </c>
    </row>
    <row r="31" spans="3:31" x14ac:dyDescent="0.2">
      <c r="C31" s="42" t="s">
        <v>315</v>
      </c>
      <c r="D31" s="42" t="s">
        <v>316</v>
      </c>
      <c r="E31" s="43" t="s">
        <v>261</v>
      </c>
      <c r="F31" s="42" t="s">
        <v>55</v>
      </c>
      <c r="G31" s="42" t="s">
        <v>56</v>
      </c>
      <c r="H31" s="44"/>
      <c r="I31" s="42"/>
      <c r="K31" s="46" t="s">
        <v>317</v>
      </c>
      <c r="L31" s="47" t="str">
        <f>K31&amp;" SERRA"</f>
        <v>Asist. Técnica SERRA</v>
      </c>
      <c r="M31" s="47" t="s">
        <v>317</v>
      </c>
      <c r="N31" s="47" t="s">
        <v>317</v>
      </c>
      <c r="O31" s="47" t="s">
        <v>318</v>
      </c>
      <c r="P31" s="47" t="s">
        <v>317</v>
      </c>
      <c r="Q31" s="47" t="s">
        <v>319</v>
      </c>
      <c r="R31" s="47" t="s">
        <v>153</v>
      </c>
      <c r="S31" s="47" t="s">
        <v>320</v>
      </c>
      <c r="T31" s="47" t="s">
        <v>64</v>
      </c>
      <c r="U31" s="47" t="s">
        <v>65</v>
      </c>
      <c r="V31" s="47"/>
      <c r="X31" s="48">
        <v>145</v>
      </c>
      <c r="Y31" s="49" t="s">
        <v>321</v>
      </c>
      <c r="Z31" s="49" t="s">
        <v>295</v>
      </c>
      <c r="AA31" s="49" t="s">
        <v>68</v>
      </c>
      <c r="AB31" s="49"/>
      <c r="AD31" s="50" t="s">
        <v>322</v>
      </c>
      <c r="AE31" s="50" t="s">
        <v>323</v>
      </c>
    </row>
    <row r="32" spans="3:31" x14ac:dyDescent="0.2">
      <c r="C32" s="42" t="s">
        <v>324</v>
      </c>
      <c r="D32" s="42" t="s">
        <v>325</v>
      </c>
      <c r="E32" s="43" t="s">
        <v>326</v>
      </c>
      <c r="F32" s="42" t="s">
        <v>55</v>
      </c>
      <c r="G32" s="42" t="s">
        <v>56</v>
      </c>
      <c r="H32" s="44"/>
      <c r="I32" s="42"/>
      <c r="K32" s="46"/>
      <c r="L32" s="47" t="str">
        <f>CONCATENATE(K31," Ext.")</f>
        <v>Asist. Técnica Ext.</v>
      </c>
      <c r="M32" s="47"/>
      <c r="N32" s="47"/>
      <c r="O32" s="47"/>
      <c r="P32" s="47"/>
      <c r="Q32" s="47"/>
      <c r="R32" s="47"/>
      <c r="S32" s="47"/>
      <c r="T32" s="47"/>
      <c r="U32" s="47"/>
      <c r="V32" s="47"/>
      <c r="X32" s="48">
        <v>150</v>
      </c>
      <c r="Y32" s="49" t="s">
        <v>327</v>
      </c>
      <c r="Z32" s="49" t="s">
        <v>328</v>
      </c>
      <c r="AA32" s="49" t="s">
        <v>68</v>
      </c>
      <c r="AB32" s="49"/>
      <c r="AD32" s="50" t="s">
        <v>329</v>
      </c>
      <c r="AE32" s="50" t="s">
        <v>330</v>
      </c>
    </row>
    <row r="33" spans="3:31" x14ac:dyDescent="0.2">
      <c r="C33" s="42" t="s">
        <v>331</v>
      </c>
      <c r="D33" s="42" t="s">
        <v>332</v>
      </c>
      <c r="E33" s="43" t="s">
        <v>300</v>
      </c>
      <c r="F33" s="42" t="s">
        <v>55</v>
      </c>
      <c r="G33" s="42" t="s">
        <v>333</v>
      </c>
      <c r="H33" s="44"/>
      <c r="I33" s="42"/>
      <c r="K33" s="46" t="s">
        <v>334</v>
      </c>
      <c r="L33" s="47" t="str">
        <f>CstGrpS[[#This Row],[CstGrpId]]</f>
        <v>Material Mecánico +%</v>
      </c>
      <c r="M33" s="47" t="s">
        <v>335</v>
      </c>
      <c r="N33" s="47" t="s">
        <v>336</v>
      </c>
      <c r="O33" s="47" t="s">
        <v>337</v>
      </c>
      <c r="P33" s="47" t="s">
        <v>338</v>
      </c>
      <c r="Q33" s="47" t="s">
        <v>339</v>
      </c>
      <c r="R33" s="47" t="s">
        <v>340</v>
      </c>
      <c r="S33" s="47" t="s">
        <v>341</v>
      </c>
      <c r="T33" s="47" t="s">
        <v>248</v>
      </c>
      <c r="U33" s="47" t="s">
        <v>65</v>
      </c>
      <c r="V33" s="47"/>
      <c r="X33" s="48">
        <v>200</v>
      </c>
      <c r="Y33" s="49" t="s">
        <v>342</v>
      </c>
      <c r="Z33" s="49" t="s">
        <v>343</v>
      </c>
      <c r="AA33" s="49" t="s">
        <v>68</v>
      </c>
      <c r="AB33" s="49"/>
      <c r="AD33" s="50" t="s">
        <v>344</v>
      </c>
      <c r="AE33" s="50" t="s">
        <v>345</v>
      </c>
    </row>
    <row r="34" spans="3:31" x14ac:dyDescent="0.2">
      <c r="C34" s="42" t="s">
        <v>346</v>
      </c>
      <c r="D34" s="42" t="s">
        <v>347</v>
      </c>
      <c r="E34" s="43" t="s">
        <v>238</v>
      </c>
      <c r="F34" s="42" t="s">
        <v>132</v>
      </c>
      <c r="G34" s="42" t="s">
        <v>56</v>
      </c>
      <c r="H34" s="44"/>
      <c r="I34" s="42"/>
      <c r="K34" s="46"/>
      <c r="L34" s="47" t="s">
        <v>348</v>
      </c>
      <c r="M34" s="47"/>
      <c r="N34" s="47"/>
      <c r="O34" s="47"/>
      <c r="P34" s="47"/>
      <c r="Q34" s="47" t="s">
        <v>349</v>
      </c>
      <c r="R34" s="47"/>
      <c r="S34" s="47"/>
      <c r="T34" s="47"/>
      <c r="U34" s="47"/>
      <c r="V34" s="47"/>
      <c r="X34" s="48">
        <v>210</v>
      </c>
      <c r="Y34" s="49" t="s">
        <v>350</v>
      </c>
      <c r="Z34" s="49" t="s">
        <v>351</v>
      </c>
      <c r="AA34" s="49" t="s">
        <v>68</v>
      </c>
      <c r="AB34" s="49"/>
      <c r="AD34" s="50" t="s">
        <v>352</v>
      </c>
      <c r="AE34" s="50" t="s">
        <v>353</v>
      </c>
    </row>
    <row r="35" spans="3:31" x14ac:dyDescent="0.2">
      <c r="C35" s="42" t="s">
        <v>354</v>
      </c>
      <c r="D35" s="42" t="s">
        <v>355</v>
      </c>
      <c r="E35" s="43" t="s">
        <v>255</v>
      </c>
      <c r="F35" s="42" t="s">
        <v>132</v>
      </c>
      <c r="G35" s="42" t="s">
        <v>56</v>
      </c>
      <c r="H35" s="44"/>
      <c r="I35" s="42"/>
      <c r="K35" s="57" t="s">
        <v>356</v>
      </c>
      <c r="L35" s="47" t="str">
        <f>CstGrpS[[#This Row],[CstGrpId]]</f>
        <v>Material Eléctrico +%</v>
      </c>
      <c r="M35" s="47" t="s">
        <v>357</v>
      </c>
      <c r="N35" s="47" t="s">
        <v>358</v>
      </c>
      <c r="O35" s="47" t="s">
        <v>337</v>
      </c>
      <c r="P35" s="47" t="s">
        <v>359</v>
      </c>
      <c r="Q35" s="47" t="s">
        <v>360</v>
      </c>
      <c r="R35" s="47" t="s">
        <v>361</v>
      </c>
      <c r="S35" s="47" t="s">
        <v>362</v>
      </c>
      <c r="T35" s="47" t="s">
        <v>248</v>
      </c>
      <c r="U35" s="47" t="s">
        <v>65</v>
      </c>
      <c r="V35" s="47"/>
      <c r="X35" s="48">
        <v>220</v>
      </c>
      <c r="Y35" s="49" t="s">
        <v>363</v>
      </c>
      <c r="Z35" s="49" t="s">
        <v>364</v>
      </c>
      <c r="AA35" s="49" t="s">
        <v>68</v>
      </c>
      <c r="AB35" s="49"/>
      <c r="AD35" s="50" t="s">
        <v>365</v>
      </c>
      <c r="AE35" s="50" t="s">
        <v>366</v>
      </c>
    </row>
    <row r="36" spans="3:31" x14ac:dyDescent="0.2">
      <c r="C36" s="42" t="s">
        <v>367</v>
      </c>
      <c r="D36" s="42" t="s">
        <v>368</v>
      </c>
      <c r="E36" s="43" t="s">
        <v>141</v>
      </c>
      <c r="F36" s="42" t="s">
        <v>142</v>
      </c>
      <c r="G36" s="42" t="s">
        <v>143</v>
      </c>
      <c r="H36" s="44" t="s">
        <v>95</v>
      </c>
      <c r="I36" s="42"/>
      <c r="K36" s="46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58"/>
      <c r="X36" s="48">
        <v>225</v>
      </c>
      <c r="Y36" s="49" t="s">
        <v>369</v>
      </c>
      <c r="Z36" s="49" t="s">
        <v>370</v>
      </c>
      <c r="AA36" s="49" t="s">
        <v>68</v>
      </c>
      <c r="AB36" s="49"/>
      <c r="AD36" s="50" t="s">
        <v>371</v>
      </c>
      <c r="AE36" s="50" t="s">
        <v>372</v>
      </c>
    </row>
    <row r="37" spans="3:31" x14ac:dyDescent="0.2">
      <c r="C37" s="42" t="s">
        <v>373</v>
      </c>
      <c r="D37" s="42" t="s">
        <v>374</v>
      </c>
      <c r="E37" s="43" t="s">
        <v>141</v>
      </c>
      <c r="F37" s="42" t="s">
        <v>142</v>
      </c>
      <c r="G37" s="42" t="s">
        <v>375</v>
      </c>
      <c r="H37" s="44" t="s">
        <v>82</v>
      </c>
      <c r="I37" s="42"/>
      <c r="K37" s="57" t="s">
        <v>376</v>
      </c>
      <c r="L37" s="47" t="str">
        <f>CstGrpS[[#This Row],[CstGrpId]]</f>
        <v>Material Fluidos +%</v>
      </c>
      <c r="M37" s="47" t="s">
        <v>376</v>
      </c>
      <c r="N37" s="47" t="s">
        <v>377</v>
      </c>
      <c r="O37" s="47" t="s">
        <v>337</v>
      </c>
      <c r="P37" s="47" t="s">
        <v>377</v>
      </c>
      <c r="Q37" s="47" t="s">
        <v>378</v>
      </c>
      <c r="R37" s="47" t="s">
        <v>361</v>
      </c>
      <c r="S37" s="47" t="s">
        <v>379</v>
      </c>
      <c r="T37" s="47" t="s">
        <v>248</v>
      </c>
      <c r="U37" s="47" t="s">
        <v>65</v>
      </c>
      <c r="V37" s="59"/>
      <c r="X37" s="48">
        <v>300</v>
      </c>
      <c r="Y37" s="49" t="s">
        <v>380</v>
      </c>
      <c r="Z37" s="49" t="s">
        <v>381</v>
      </c>
      <c r="AA37" s="49" t="s">
        <v>68</v>
      </c>
      <c r="AB37" s="49"/>
      <c r="AD37" s="50" t="s">
        <v>382</v>
      </c>
      <c r="AE37" s="50" t="s">
        <v>383</v>
      </c>
    </row>
    <row r="38" spans="3:31" x14ac:dyDescent="0.2">
      <c r="C38" s="42" t="s">
        <v>384</v>
      </c>
      <c r="D38" s="42" t="s">
        <v>385</v>
      </c>
      <c r="E38" s="43" t="s">
        <v>274</v>
      </c>
      <c r="F38" s="42" t="s">
        <v>132</v>
      </c>
      <c r="G38" s="42" t="s">
        <v>56</v>
      </c>
      <c r="H38" s="44"/>
      <c r="I38" s="42"/>
      <c r="K38" s="46"/>
      <c r="L38" s="47"/>
      <c r="M38" s="47"/>
      <c r="N38" s="47"/>
      <c r="O38" s="47"/>
      <c r="P38" s="47"/>
      <c r="R38" s="47"/>
      <c r="S38" s="47"/>
      <c r="T38" s="47"/>
      <c r="U38" s="47"/>
      <c r="X38" s="48">
        <v>301</v>
      </c>
      <c r="Y38" s="49" t="s">
        <v>386</v>
      </c>
      <c r="Z38" s="49" t="s">
        <v>387</v>
      </c>
      <c r="AA38" s="49" t="s">
        <v>68</v>
      </c>
      <c r="AB38" s="49"/>
      <c r="AD38" s="50" t="s">
        <v>388</v>
      </c>
      <c r="AE38" s="50" t="s">
        <v>389</v>
      </c>
    </row>
    <row r="39" spans="3:31" x14ac:dyDescent="0.2">
      <c r="C39" s="42" t="s">
        <v>390</v>
      </c>
      <c r="D39" s="42" t="s">
        <v>391</v>
      </c>
      <c r="E39" s="43" t="s">
        <v>292</v>
      </c>
      <c r="F39" s="42" t="s">
        <v>132</v>
      </c>
      <c r="G39" s="42" t="s">
        <v>293</v>
      </c>
      <c r="H39" s="44"/>
      <c r="I39" s="42"/>
      <c r="K39" s="46" t="s">
        <v>392</v>
      </c>
      <c r="L39" s="47" t="str">
        <f>K39&amp;" SERRA"</f>
        <v>Transp. &amp; Desplaz. SERRA</v>
      </c>
      <c r="M39" s="47" t="s">
        <v>392</v>
      </c>
      <c r="N39" s="47" t="s">
        <v>392</v>
      </c>
      <c r="O39" s="47" t="s">
        <v>16</v>
      </c>
      <c r="P39" s="47" t="s">
        <v>392</v>
      </c>
      <c r="Q39" s="47" t="s">
        <v>393</v>
      </c>
      <c r="R39" s="47" t="s">
        <v>62</v>
      </c>
      <c r="S39" s="47" t="s">
        <v>394</v>
      </c>
      <c r="T39" s="47" t="s">
        <v>395</v>
      </c>
      <c r="U39" s="58" t="s">
        <v>65</v>
      </c>
      <c r="X39" s="48">
        <v>302</v>
      </c>
      <c r="Y39" s="49" t="s">
        <v>396</v>
      </c>
      <c r="Z39" s="49" t="s">
        <v>397</v>
      </c>
      <c r="AA39" s="49" t="s">
        <v>68</v>
      </c>
      <c r="AB39" s="49"/>
      <c r="AD39" s="50" t="s">
        <v>398</v>
      </c>
      <c r="AE39" s="50" t="s">
        <v>399</v>
      </c>
    </row>
    <row r="40" spans="3:31" x14ac:dyDescent="0.2">
      <c r="C40" s="42" t="s">
        <v>400</v>
      </c>
      <c r="D40" s="42" t="s">
        <v>401</v>
      </c>
      <c r="E40" s="43" t="s">
        <v>402</v>
      </c>
      <c r="F40" s="42" t="s">
        <v>142</v>
      </c>
      <c r="G40" s="42" t="s">
        <v>375</v>
      </c>
      <c r="H40" s="44" t="s">
        <v>82</v>
      </c>
      <c r="I40" s="42"/>
      <c r="K40" s="46"/>
      <c r="L40" s="47" t="str">
        <f>CONCATENATE(K39," Ext.")</f>
        <v>Transp. &amp; Desplaz. Ext.</v>
      </c>
      <c r="M40" s="47"/>
      <c r="N40" s="47"/>
      <c r="O40" s="47"/>
      <c r="P40" s="47"/>
      <c r="Q40" s="47"/>
      <c r="R40" s="59"/>
      <c r="S40" s="47"/>
      <c r="T40" s="47"/>
      <c r="U40" s="59"/>
      <c r="X40" s="48">
        <v>350</v>
      </c>
      <c r="Y40" s="49" t="s">
        <v>403</v>
      </c>
      <c r="Z40" s="49" t="s">
        <v>404</v>
      </c>
      <c r="AA40" s="49" t="s">
        <v>68</v>
      </c>
      <c r="AB40" s="49"/>
      <c r="AD40" s="50" t="s">
        <v>405</v>
      </c>
      <c r="AE40" s="50" t="s">
        <v>406</v>
      </c>
    </row>
    <row r="41" spans="3:31" x14ac:dyDescent="0.2">
      <c r="C41" s="42" t="s">
        <v>407</v>
      </c>
      <c r="D41" s="42" t="s">
        <v>408</v>
      </c>
      <c r="E41" s="43" t="s">
        <v>409</v>
      </c>
      <c r="F41" s="42" t="s">
        <v>55</v>
      </c>
      <c r="G41" s="42" t="s">
        <v>167</v>
      </c>
      <c r="H41" s="44"/>
      <c r="I41" s="42"/>
      <c r="X41" s="48">
        <v>400</v>
      </c>
      <c r="Y41" s="49" t="s">
        <v>410</v>
      </c>
      <c r="Z41" s="49" t="s">
        <v>217</v>
      </c>
      <c r="AA41" s="49" t="s">
        <v>68</v>
      </c>
      <c r="AB41" s="49"/>
      <c r="AD41" s="50" t="s">
        <v>411</v>
      </c>
      <c r="AE41" s="50" t="s">
        <v>412</v>
      </c>
    </row>
    <row r="42" spans="3:31" x14ac:dyDescent="0.2">
      <c r="C42" s="42" t="s">
        <v>413</v>
      </c>
      <c r="D42" s="42" t="s">
        <v>414</v>
      </c>
      <c r="E42" s="43" t="s">
        <v>141</v>
      </c>
      <c r="F42" s="42" t="s">
        <v>142</v>
      </c>
      <c r="G42" s="42" t="s">
        <v>375</v>
      </c>
      <c r="H42" s="44" t="s">
        <v>82</v>
      </c>
      <c r="I42" s="42"/>
      <c r="M42" s="60"/>
      <c r="N42" s="60"/>
      <c r="O42" s="60"/>
      <c r="P42" s="60"/>
      <c r="Q42" s="60"/>
      <c r="X42" s="48">
        <v>410</v>
      </c>
      <c r="Y42" s="49" t="s">
        <v>415</v>
      </c>
      <c r="Z42" s="49" t="s">
        <v>217</v>
      </c>
      <c r="AA42" s="49" t="s">
        <v>68</v>
      </c>
      <c r="AB42" s="49"/>
      <c r="AD42" s="50" t="s">
        <v>416</v>
      </c>
      <c r="AE42" s="50" t="s">
        <v>417</v>
      </c>
    </row>
    <row r="43" spans="3:31" x14ac:dyDescent="0.2">
      <c r="C43" s="42" t="s">
        <v>418</v>
      </c>
      <c r="D43" s="42" t="s">
        <v>419</v>
      </c>
      <c r="E43" s="43" t="s">
        <v>402</v>
      </c>
      <c r="F43" s="42" t="s">
        <v>142</v>
      </c>
      <c r="G43" s="42" t="s">
        <v>143</v>
      </c>
      <c r="H43" s="44" t="s">
        <v>71</v>
      </c>
      <c r="I43" s="42"/>
      <c r="M43" s="60"/>
      <c r="N43" s="60"/>
      <c r="O43" s="60"/>
      <c r="P43" s="60"/>
      <c r="Q43" s="60"/>
      <c r="X43" s="48">
        <v>411</v>
      </c>
      <c r="Y43" s="49" t="s">
        <v>420</v>
      </c>
      <c r="Z43" s="49" t="s">
        <v>421</v>
      </c>
      <c r="AA43" s="49" t="s">
        <v>68</v>
      </c>
      <c r="AB43" s="49"/>
      <c r="AD43" s="50" t="s">
        <v>422</v>
      </c>
      <c r="AE43" s="50" t="s">
        <v>423</v>
      </c>
    </row>
    <row r="44" spans="3:31" x14ac:dyDescent="0.2">
      <c r="C44" s="42" t="s">
        <v>424</v>
      </c>
      <c r="D44" s="42" t="s">
        <v>425</v>
      </c>
      <c r="E44" s="43" t="s">
        <v>141</v>
      </c>
      <c r="F44" s="42" t="s">
        <v>142</v>
      </c>
      <c r="G44" s="42" t="s">
        <v>143</v>
      </c>
      <c r="H44" s="44" t="s">
        <v>95</v>
      </c>
      <c r="I44" s="42"/>
      <c r="M44" s="61"/>
      <c r="N44" s="61"/>
      <c r="O44" s="61"/>
      <c r="P44" s="61"/>
      <c r="Q44" s="61"/>
      <c r="X44" s="48">
        <v>412</v>
      </c>
      <c r="Y44" s="49" t="s">
        <v>426</v>
      </c>
      <c r="Z44" s="49" t="s">
        <v>427</v>
      </c>
      <c r="AA44" s="49" t="s">
        <v>68</v>
      </c>
      <c r="AB44" s="49"/>
      <c r="AD44" s="50" t="s">
        <v>428</v>
      </c>
      <c r="AE44" s="50" t="s">
        <v>429</v>
      </c>
    </row>
    <row r="45" spans="3:31" x14ac:dyDescent="0.2">
      <c r="C45" s="42" t="s">
        <v>430</v>
      </c>
      <c r="D45" s="42" t="s">
        <v>431</v>
      </c>
      <c r="E45" s="43" t="s">
        <v>141</v>
      </c>
      <c r="F45" s="42" t="s">
        <v>142</v>
      </c>
      <c r="G45" s="42" t="s">
        <v>143</v>
      </c>
      <c r="H45" s="44" t="s">
        <v>95</v>
      </c>
      <c r="I45" s="42"/>
      <c r="M45" s="61"/>
      <c r="N45" s="61"/>
      <c r="O45" s="61"/>
      <c r="P45" s="61"/>
      <c r="Q45" s="61"/>
      <c r="X45" s="48">
        <v>420</v>
      </c>
      <c r="Y45" s="49" t="s">
        <v>432</v>
      </c>
      <c r="Z45" s="49" t="s">
        <v>433</v>
      </c>
      <c r="AA45" s="49" t="s">
        <v>68</v>
      </c>
      <c r="AB45" s="49"/>
      <c r="AD45" s="50" t="s">
        <v>434</v>
      </c>
      <c r="AE45" s="50" t="s">
        <v>435</v>
      </c>
    </row>
    <row r="46" spans="3:31" x14ac:dyDescent="0.2">
      <c r="C46" s="42" t="s">
        <v>436</v>
      </c>
      <c r="D46" s="42" t="s">
        <v>437</v>
      </c>
      <c r="E46" s="43" t="s">
        <v>141</v>
      </c>
      <c r="F46" s="42" t="s">
        <v>142</v>
      </c>
      <c r="G46" s="42" t="s">
        <v>143</v>
      </c>
      <c r="H46" s="44" t="s">
        <v>95</v>
      </c>
      <c r="I46" s="42"/>
      <c r="M46" s="61"/>
      <c r="N46" s="61"/>
      <c r="O46" s="61"/>
      <c r="P46" s="61"/>
      <c r="Q46" s="61"/>
      <c r="X46" s="48">
        <v>500</v>
      </c>
      <c r="Y46" s="49" t="s">
        <v>438</v>
      </c>
      <c r="Z46" s="49" t="s">
        <v>439</v>
      </c>
      <c r="AA46" s="49" t="s">
        <v>68</v>
      </c>
      <c r="AB46" s="49"/>
      <c r="AD46" s="50" t="s">
        <v>440</v>
      </c>
      <c r="AE46" s="50" t="s">
        <v>441</v>
      </c>
    </row>
    <row r="47" spans="3:31" x14ac:dyDescent="0.2">
      <c r="C47" s="42" t="s">
        <v>442</v>
      </c>
      <c r="D47" s="42" t="s">
        <v>443</v>
      </c>
      <c r="E47" s="43" t="s">
        <v>402</v>
      </c>
      <c r="F47" s="42" t="s">
        <v>142</v>
      </c>
      <c r="G47" s="42" t="s">
        <v>143</v>
      </c>
      <c r="H47" s="44" t="s">
        <v>71</v>
      </c>
      <c r="I47" s="42"/>
      <c r="M47" s="61"/>
      <c r="N47" s="61"/>
      <c r="O47" s="61"/>
      <c r="P47" s="61"/>
      <c r="Q47" s="61"/>
      <c r="X47" s="48">
        <v>550</v>
      </c>
      <c r="Y47" s="49" t="s">
        <v>444</v>
      </c>
      <c r="Z47" s="49" t="s">
        <v>445</v>
      </c>
      <c r="AA47" s="49" t="s">
        <v>68</v>
      </c>
      <c r="AB47" s="49"/>
      <c r="AD47" s="50" t="s">
        <v>446</v>
      </c>
      <c r="AE47" s="50" t="s">
        <v>447</v>
      </c>
    </row>
    <row r="48" spans="3:31" x14ac:dyDescent="0.2">
      <c r="C48" s="42" t="s">
        <v>448</v>
      </c>
      <c r="D48" s="42" t="s">
        <v>449</v>
      </c>
      <c r="E48" s="43" t="s">
        <v>402</v>
      </c>
      <c r="F48" s="42" t="s">
        <v>142</v>
      </c>
      <c r="G48" s="42" t="s">
        <v>143</v>
      </c>
      <c r="H48" s="44" t="s">
        <v>71</v>
      </c>
      <c r="I48" s="42"/>
      <c r="M48" s="60"/>
      <c r="N48" s="60"/>
      <c r="O48" s="60"/>
      <c r="P48" s="60"/>
      <c r="Q48" s="60"/>
      <c r="X48" s="48">
        <v>560</v>
      </c>
      <c r="Y48" s="49" t="s">
        <v>450</v>
      </c>
      <c r="Z48" s="49" t="s">
        <v>451</v>
      </c>
      <c r="AA48" s="49" t="s">
        <v>68</v>
      </c>
      <c r="AB48" s="49"/>
      <c r="AD48" s="50" t="s">
        <v>452</v>
      </c>
      <c r="AE48" s="50" t="s">
        <v>453</v>
      </c>
    </row>
    <row r="49" spans="3:31" x14ac:dyDescent="0.2">
      <c r="C49" s="42" t="s">
        <v>454</v>
      </c>
      <c r="D49" s="42" t="s">
        <v>455</v>
      </c>
      <c r="E49" s="43" t="s">
        <v>456</v>
      </c>
      <c r="F49" s="42" t="s">
        <v>132</v>
      </c>
      <c r="G49" s="42" t="s">
        <v>457</v>
      </c>
      <c r="H49" s="44"/>
      <c r="I49" s="42"/>
      <c r="M49" s="60"/>
      <c r="N49" s="60"/>
      <c r="O49" s="60"/>
      <c r="P49" s="60"/>
      <c r="Q49" s="60"/>
      <c r="X49" s="48">
        <v>600</v>
      </c>
      <c r="Y49" s="49" t="s">
        <v>458</v>
      </c>
      <c r="Z49" s="49" t="s">
        <v>459</v>
      </c>
      <c r="AA49" s="49" t="s">
        <v>68</v>
      </c>
      <c r="AB49" s="49"/>
      <c r="AD49" s="50" t="s">
        <v>460</v>
      </c>
      <c r="AE49" s="50" t="s">
        <v>461</v>
      </c>
    </row>
    <row r="50" spans="3:31" x14ac:dyDescent="0.2">
      <c r="C50" s="42" t="s">
        <v>462</v>
      </c>
      <c r="D50" s="42" t="s">
        <v>463</v>
      </c>
      <c r="E50" s="43" t="s">
        <v>456</v>
      </c>
      <c r="F50" s="42" t="s">
        <v>132</v>
      </c>
      <c r="G50" s="42" t="s">
        <v>457</v>
      </c>
      <c r="H50" s="44"/>
      <c r="I50" s="42"/>
      <c r="M50" s="61"/>
      <c r="N50" s="61"/>
      <c r="O50" s="61"/>
      <c r="P50" s="61"/>
      <c r="Q50" s="61"/>
      <c r="X50" s="48">
        <v>601</v>
      </c>
      <c r="Y50" s="49" t="s">
        <v>464</v>
      </c>
      <c r="Z50" s="49" t="s">
        <v>459</v>
      </c>
      <c r="AA50" s="49" t="s">
        <v>68</v>
      </c>
      <c r="AB50" s="49"/>
      <c r="AD50" s="50" t="s">
        <v>465</v>
      </c>
      <c r="AE50" s="50" t="s">
        <v>466</v>
      </c>
    </row>
    <row r="51" spans="3:31" x14ac:dyDescent="0.2">
      <c r="C51" s="42" t="s">
        <v>467</v>
      </c>
      <c r="D51" s="42" t="s">
        <v>468</v>
      </c>
      <c r="E51" s="43" t="s">
        <v>469</v>
      </c>
      <c r="F51" s="42" t="s">
        <v>132</v>
      </c>
      <c r="G51" s="42" t="s">
        <v>457</v>
      </c>
      <c r="H51" s="44"/>
      <c r="I51" s="42"/>
      <c r="M51" s="61"/>
      <c r="N51" s="61"/>
      <c r="O51" s="61"/>
      <c r="P51" s="61"/>
      <c r="Q51" s="61"/>
      <c r="X51" s="48">
        <v>602</v>
      </c>
      <c r="Y51" s="49" t="s">
        <v>470</v>
      </c>
      <c r="Z51" s="49" t="s">
        <v>459</v>
      </c>
      <c r="AA51" s="49" t="s">
        <v>68</v>
      </c>
      <c r="AB51" s="49"/>
      <c r="AD51" s="50" t="s">
        <v>471</v>
      </c>
      <c r="AE51" s="50" t="s">
        <v>472</v>
      </c>
    </row>
    <row r="52" spans="3:31" x14ac:dyDescent="0.2">
      <c r="C52" s="42" t="s">
        <v>473</v>
      </c>
      <c r="D52" s="42" t="s">
        <v>474</v>
      </c>
      <c r="E52" s="43" t="s">
        <v>469</v>
      </c>
      <c r="F52" s="42" t="s">
        <v>55</v>
      </c>
      <c r="G52" s="42" t="s">
        <v>457</v>
      </c>
      <c r="H52" s="44"/>
      <c r="I52" s="42"/>
      <c r="M52" s="61"/>
      <c r="N52" s="61"/>
      <c r="O52" s="61"/>
      <c r="P52" s="61"/>
      <c r="Q52" s="61"/>
      <c r="X52" s="48">
        <v>603</v>
      </c>
      <c r="Y52" s="49" t="s">
        <v>475</v>
      </c>
      <c r="Z52" s="49" t="s">
        <v>476</v>
      </c>
      <c r="AA52" s="49" t="s">
        <v>68</v>
      </c>
      <c r="AB52" s="49"/>
      <c r="AD52" s="50" t="s">
        <v>477</v>
      </c>
      <c r="AE52" s="50" t="s">
        <v>478</v>
      </c>
    </row>
    <row r="53" spans="3:31" ht="12.75" customHeight="1" x14ac:dyDescent="0.2">
      <c r="C53" s="42" t="s">
        <v>479</v>
      </c>
      <c r="D53" s="42" t="s">
        <v>480</v>
      </c>
      <c r="E53" s="43" t="s">
        <v>402</v>
      </c>
      <c r="F53" s="42" t="s">
        <v>142</v>
      </c>
      <c r="G53" s="42" t="s">
        <v>375</v>
      </c>
      <c r="H53" s="44" t="s">
        <v>82</v>
      </c>
      <c r="I53" s="42"/>
      <c r="M53" s="61"/>
      <c r="N53" s="61"/>
      <c r="O53" s="61"/>
      <c r="P53" s="61"/>
      <c r="Q53" s="61"/>
      <c r="X53" s="48">
        <v>604</v>
      </c>
      <c r="Y53" s="49" t="s">
        <v>481</v>
      </c>
      <c r="Z53" s="49" t="s">
        <v>459</v>
      </c>
      <c r="AA53" s="49" t="s">
        <v>68</v>
      </c>
      <c r="AB53" s="49"/>
      <c r="AD53" s="50" t="s">
        <v>482</v>
      </c>
      <c r="AE53" s="50" t="s">
        <v>483</v>
      </c>
    </row>
    <row r="54" spans="3:31" x14ac:dyDescent="0.2">
      <c r="C54" s="42" t="s">
        <v>484</v>
      </c>
      <c r="D54" s="42" t="s">
        <v>485</v>
      </c>
      <c r="E54" s="43" t="s">
        <v>141</v>
      </c>
      <c r="F54" s="42" t="s">
        <v>142</v>
      </c>
      <c r="G54" s="42" t="s">
        <v>375</v>
      </c>
      <c r="H54" s="44" t="s">
        <v>82</v>
      </c>
      <c r="I54" s="42"/>
      <c r="M54" s="60"/>
      <c r="N54" s="60"/>
      <c r="O54" s="60"/>
      <c r="P54" s="60"/>
      <c r="Q54" s="60"/>
      <c r="X54" s="48">
        <v>605</v>
      </c>
      <c r="Y54" s="49" t="s">
        <v>486</v>
      </c>
      <c r="Z54" s="49" t="s">
        <v>459</v>
      </c>
      <c r="AA54" s="49" t="s">
        <v>68</v>
      </c>
      <c r="AB54" s="49"/>
      <c r="AD54" s="50" t="s">
        <v>487</v>
      </c>
      <c r="AE54" s="50" t="s">
        <v>488</v>
      </c>
    </row>
    <row r="55" spans="3:31" x14ac:dyDescent="0.2">
      <c r="C55" s="42" t="s">
        <v>489</v>
      </c>
      <c r="D55" s="42" t="s">
        <v>490</v>
      </c>
      <c r="E55" s="43" t="s">
        <v>402</v>
      </c>
      <c r="F55" s="42" t="s">
        <v>142</v>
      </c>
      <c r="G55" s="42" t="s">
        <v>143</v>
      </c>
      <c r="H55" s="44" t="s">
        <v>71</v>
      </c>
      <c r="I55" s="42"/>
      <c r="M55" s="60"/>
      <c r="N55" s="60"/>
      <c r="O55" s="60"/>
      <c r="P55" s="60"/>
      <c r="Q55" s="60"/>
      <c r="X55" s="48">
        <v>606</v>
      </c>
      <c r="Y55" s="49" t="s">
        <v>491</v>
      </c>
      <c r="Z55" s="49" t="s">
        <v>459</v>
      </c>
      <c r="AA55" s="49" t="s">
        <v>68</v>
      </c>
      <c r="AB55" s="49"/>
      <c r="AD55" s="50" t="s">
        <v>492</v>
      </c>
      <c r="AE55" s="50" t="s">
        <v>493</v>
      </c>
    </row>
    <row r="56" spans="3:31" x14ac:dyDescent="0.2">
      <c r="C56" s="42" t="s">
        <v>494</v>
      </c>
      <c r="D56" s="42" t="s">
        <v>495</v>
      </c>
      <c r="E56" s="43" t="s">
        <v>402</v>
      </c>
      <c r="F56" s="42" t="s">
        <v>142</v>
      </c>
      <c r="G56" s="42" t="s">
        <v>143</v>
      </c>
      <c r="H56" s="44" t="s">
        <v>71</v>
      </c>
      <c r="I56" s="42"/>
      <c r="M56" s="61"/>
      <c r="N56" s="61"/>
      <c r="O56" s="61"/>
      <c r="P56" s="61"/>
      <c r="Q56" s="61"/>
      <c r="X56" s="48">
        <v>607</v>
      </c>
      <c r="Y56" s="49" t="s">
        <v>496</v>
      </c>
      <c r="Z56" s="49" t="s">
        <v>459</v>
      </c>
      <c r="AA56" s="49" t="s">
        <v>68</v>
      </c>
      <c r="AB56" s="49"/>
      <c r="AD56" s="50" t="s">
        <v>497</v>
      </c>
      <c r="AE56" s="50" t="s">
        <v>498</v>
      </c>
    </row>
    <row r="57" spans="3:31" x14ac:dyDescent="0.2">
      <c r="C57" s="42" t="s">
        <v>499</v>
      </c>
      <c r="D57" s="42" t="s">
        <v>500</v>
      </c>
      <c r="E57" s="43" t="s">
        <v>141</v>
      </c>
      <c r="F57" s="42" t="s">
        <v>142</v>
      </c>
      <c r="G57" s="42" t="s">
        <v>143</v>
      </c>
      <c r="H57" s="44" t="s">
        <v>71</v>
      </c>
      <c r="I57" s="42"/>
      <c r="M57" s="61"/>
      <c r="N57" s="61"/>
      <c r="O57" s="61"/>
      <c r="P57" s="61"/>
      <c r="Q57" s="61"/>
      <c r="X57" s="48">
        <v>608</v>
      </c>
      <c r="Y57" s="49" t="s">
        <v>501</v>
      </c>
      <c r="Z57" s="49" t="s">
        <v>459</v>
      </c>
      <c r="AA57" s="49" t="s">
        <v>68</v>
      </c>
      <c r="AB57" s="49"/>
      <c r="AD57" s="50" t="s">
        <v>502</v>
      </c>
      <c r="AE57" s="50" t="s">
        <v>503</v>
      </c>
    </row>
    <row r="58" spans="3:31" x14ac:dyDescent="0.2">
      <c r="C58" s="42" t="s">
        <v>504</v>
      </c>
      <c r="D58" s="42" t="s">
        <v>505</v>
      </c>
      <c r="E58" s="43" t="s">
        <v>141</v>
      </c>
      <c r="F58" s="42" t="s">
        <v>142</v>
      </c>
      <c r="G58" s="42" t="s">
        <v>143</v>
      </c>
      <c r="H58" s="44" t="s">
        <v>95</v>
      </c>
      <c r="I58" s="42"/>
      <c r="M58" s="61"/>
      <c r="N58" s="61"/>
      <c r="O58" s="61"/>
      <c r="P58" s="61"/>
      <c r="Q58" s="61"/>
      <c r="X58" s="48">
        <v>609</v>
      </c>
      <c r="Y58" s="49" t="s">
        <v>506</v>
      </c>
      <c r="Z58" s="49" t="s">
        <v>507</v>
      </c>
      <c r="AA58" s="49" t="s">
        <v>68</v>
      </c>
      <c r="AB58" s="49"/>
      <c r="AD58" s="50" t="s">
        <v>508</v>
      </c>
      <c r="AE58" s="50" t="s">
        <v>81</v>
      </c>
    </row>
    <row r="59" spans="3:31" ht="12.75" customHeight="1" x14ac:dyDescent="0.2">
      <c r="C59" s="42" t="s">
        <v>509</v>
      </c>
      <c r="D59" s="42" t="s">
        <v>510</v>
      </c>
      <c r="E59" s="43" t="s">
        <v>141</v>
      </c>
      <c r="F59" s="42" t="s">
        <v>142</v>
      </c>
      <c r="G59" s="42" t="s">
        <v>143</v>
      </c>
      <c r="H59" s="44" t="s">
        <v>104</v>
      </c>
      <c r="I59" s="42"/>
      <c r="M59" s="61"/>
      <c r="N59" s="61"/>
      <c r="O59" s="61"/>
      <c r="P59" s="61"/>
      <c r="Q59" s="61"/>
      <c r="X59" s="48">
        <v>610</v>
      </c>
      <c r="Y59" s="49" t="s">
        <v>511</v>
      </c>
      <c r="Z59" s="49" t="s">
        <v>512</v>
      </c>
      <c r="AA59" s="49" t="s">
        <v>68</v>
      </c>
      <c r="AB59" s="49"/>
      <c r="AD59" s="50" t="s">
        <v>513</v>
      </c>
      <c r="AE59" s="50" t="s">
        <v>139</v>
      </c>
    </row>
    <row r="60" spans="3:31" x14ac:dyDescent="0.2">
      <c r="C60" s="42" t="s">
        <v>514</v>
      </c>
      <c r="D60" s="42" t="s">
        <v>515</v>
      </c>
      <c r="E60" s="43" t="s">
        <v>141</v>
      </c>
      <c r="F60" s="42" t="s">
        <v>142</v>
      </c>
      <c r="G60" s="42" t="s">
        <v>143</v>
      </c>
      <c r="H60" s="44" t="s">
        <v>104</v>
      </c>
      <c r="I60" s="42"/>
      <c r="M60" s="61"/>
      <c r="N60" s="61"/>
      <c r="O60" s="61"/>
      <c r="P60" s="61"/>
      <c r="Q60" s="61"/>
      <c r="X60" s="48">
        <v>611</v>
      </c>
      <c r="Y60" s="49" t="s">
        <v>516</v>
      </c>
      <c r="Z60" s="49" t="s">
        <v>517</v>
      </c>
      <c r="AA60" s="49" t="s">
        <v>68</v>
      </c>
      <c r="AB60" s="49"/>
      <c r="AD60" s="50" t="s">
        <v>518</v>
      </c>
      <c r="AE60" s="50" t="s">
        <v>117</v>
      </c>
    </row>
    <row r="61" spans="3:31" ht="12.75" x14ac:dyDescent="0.2">
      <c r="C61" s="42" t="s">
        <v>519</v>
      </c>
      <c r="D61" s="42" t="s">
        <v>520</v>
      </c>
      <c r="E61" s="43" t="s">
        <v>141</v>
      </c>
      <c r="F61" s="42" t="s">
        <v>142</v>
      </c>
      <c r="G61" s="42" t="s">
        <v>143</v>
      </c>
      <c r="H61" s="44" t="s">
        <v>95</v>
      </c>
      <c r="I61" s="42"/>
      <c r="M61" s="61"/>
      <c r="N61" s="22"/>
      <c r="O61" s="22"/>
      <c r="P61" s="22"/>
      <c r="Q61" s="22"/>
      <c r="X61" s="48">
        <v>612</v>
      </c>
      <c r="Y61" s="49" t="s">
        <v>521</v>
      </c>
      <c r="Z61" s="49" t="s">
        <v>517</v>
      </c>
      <c r="AA61" s="49" t="s">
        <v>68</v>
      </c>
      <c r="AB61" s="49"/>
      <c r="AD61" s="50" t="s">
        <v>522</v>
      </c>
      <c r="AE61" s="50" t="s">
        <v>523</v>
      </c>
    </row>
    <row r="62" spans="3:31" ht="12.75" x14ac:dyDescent="0.2">
      <c r="C62" s="42" t="s">
        <v>524</v>
      </c>
      <c r="D62" s="42" t="s">
        <v>525</v>
      </c>
      <c r="E62" s="43" t="s">
        <v>141</v>
      </c>
      <c r="F62" s="42" t="s">
        <v>142</v>
      </c>
      <c r="G62" s="42" t="s">
        <v>375</v>
      </c>
      <c r="H62" s="44" t="s">
        <v>82</v>
      </c>
      <c r="I62" s="42"/>
      <c r="M62" s="61"/>
      <c r="N62" s="22"/>
      <c r="O62" s="22"/>
      <c r="P62" s="22"/>
      <c r="Q62" s="22"/>
      <c r="X62" s="48">
        <v>613</v>
      </c>
      <c r="Y62" s="49" t="s">
        <v>526</v>
      </c>
      <c r="Z62" s="49" t="s">
        <v>517</v>
      </c>
      <c r="AA62" s="49" t="s">
        <v>68</v>
      </c>
      <c r="AB62" s="49"/>
      <c r="AD62" s="50" t="s">
        <v>527</v>
      </c>
      <c r="AE62" s="50" t="s">
        <v>528</v>
      </c>
    </row>
    <row r="63" spans="3:31" ht="12.75" x14ac:dyDescent="0.2">
      <c r="C63" s="42" t="s">
        <v>529</v>
      </c>
      <c r="D63" s="42" t="s">
        <v>76</v>
      </c>
      <c r="E63" s="43" t="s">
        <v>54</v>
      </c>
      <c r="F63" s="42" t="s">
        <v>55</v>
      </c>
      <c r="G63" s="42" t="s">
        <v>77</v>
      </c>
      <c r="H63" s="44"/>
      <c r="I63" s="42"/>
      <c r="M63" s="61"/>
      <c r="N63" s="22"/>
      <c r="O63" s="22"/>
      <c r="P63" s="22"/>
      <c r="Q63" s="22"/>
      <c r="X63" s="48">
        <v>614</v>
      </c>
      <c r="Y63" s="49" t="s">
        <v>530</v>
      </c>
      <c r="Z63" s="49" t="s">
        <v>531</v>
      </c>
      <c r="AA63" s="49" t="s">
        <v>68</v>
      </c>
      <c r="AB63" s="49"/>
      <c r="AD63" s="50" t="s">
        <v>532</v>
      </c>
      <c r="AE63" s="50" t="s">
        <v>533</v>
      </c>
    </row>
    <row r="64" spans="3:31" ht="12.75" x14ac:dyDescent="0.2">
      <c r="C64" s="42" t="s">
        <v>534</v>
      </c>
      <c r="D64" s="42" t="s">
        <v>535</v>
      </c>
      <c r="E64" s="62" t="s">
        <v>244</v>
      </c>
      <c r="F64" s="42" t="s">
        <v>55</v>
      </c>
      <c r="G64" s="42" t="s">
        <v>77</v>
      </c>
      <c r="H64" s="44"/>
      <c r="I64" s="42"/>
      <c r="M64" s="61"/>
      <c r="N64" s="22"/>
      <c r="O64" s="22"/>
      <c r="P64" s="22"/>
      <c r="Q64" s="22"/>
      <c r="X64" s="48">
        <v>615</v>
      </c>
      <c r="Y64" s="49" t="s">
        <v>536</v>
      </c>
      <c r="Z64" s="49" t="s">
        <v>459</v>
      </c>
      <c r="AA64" s="49" t="s">
        <v>68</v>
      </c>
      <c r="AB64" s="49"/>
      <c r="AD64" s="50" t="s">
        <v>537</v>
      </c>
      <c r="AE64" s="50" t="s">
        <v>538</v>
      </c>
    </row>
    <row r="65" spans="3:31" ht="12.75" x14ac:dyDescent="0.2">
      <c r="C65" s="42" t="s">
        <v>240</v>
      </c>
      <c r="D65" s="42" t="s">
        <v>539</v>
      </c>
      <c r="E65" s="43" t="s">
        <v>261</v>
      </c>
      <c r="F65" s="42" t="s">
        <v>540</v>
      </c>
      <c r="G65" s="42" t="s">
        <v>77</v>
      </c>
      <c r="H65" s="44"/>
      <c r="I65" s="42"/>
      <c r="M65" s="61"/>
      <c r="N65" s="22"/>
      <c r="O65" s="22"/>
      <c r="P65" s="22"/>
      <c r="Q65" s="22"/>
      <c r="X65" s="48">
        <v>616</v>
      </c>
      <c r="Y65" s="49" t="s">
        <v>541</v>
      </c>
      <c r="Z65" s="49" t="s">
        <v>542</v>
      </c>
      <c r="AA65" s="49" t="s">
        <v>68</v>
      </c>
      <c r="AB65" s="49"/>
      <c r="AD65" s="50" t="s">
        <v>543</v>
      </c>
      <c r="AE65" s="50" t="s">
        <v>222</v>
      </c>
    </row>
    <row r="66" spans="3:31" ht="12.75" x14ac:dyDescent="0.2">
      <c r="C66" s="42" t="s">
        <v>251</v>
      </c>
      <c r="D66" s="42" t="s">
        <v>544</v>
      </c>
      <c r="E66" s="43" t="s">
        <v>108</v>
      </c>
      <c r="F66" s="42" t="s">
        <v>55</v>
      </c>
      <c r="G66" s="42" t="s">
        <v>77</v>
      </c>
      <c r="H66" s="44"/>
      <c r="I66" s="42"/>
      <c r="M66" s="61"/>
      <c r="N66" s="22"/>
      <c r="O66" s="22"/>
      <c r="P66" s="22"/>
      <c r="Q66" s="22"/>
      <c r="X66" s="48">
        <v>617</v>
      </c>
      <c r="Y66" s="49" t="s">
        <v>545</v>
      </c>
      <c r="Z66" s="49" t="s">
        <v>476</v>
      </c>
      <c r="AA66" s="49" t="s">
        <v>68</v>
      </c>
      <c r="AB66" s="49"/>
      <c r="AD66" s="50" t="s">
        <v>546</v>
      </c>
      <c r="AE66" s="50" t="s">
        <v>547</v>
      </c>
    </row>
    <row r="67" spans="3:31" ht="12.75" customHeight="1" x14ac:dyDescent="0.2">
      <c r="C67" s="42" t="s">
        <v>548</v>
      </c>
      <c r="D67" s="42" t="s">
        <v>549</v>
      </c>
      <c r="E67" s="43" t="s">
        <v>550</v>
      </c>
      <c r="F67" s="42" t="s">
        <v>55</v>
      </c>
      <c r="G67" s="42" t="s">
        <v>77</v>
      </c>
      <c r="H67" s="44"/>
      <c r="I67" s="42"/>
      <c r="M67" s="61"/>
      <c r="N67" s="22"/>
      <c r="O67" s="22"/>
      <c r="P67" s="22"/>
      <c r="Q67" s="22"/>
      <c r="X67" s="48">
        <v>618</v>
      </c>
      <c r="Y67" s="49" t="s">
        <v>551</v>
      </c>
      <c r="Z67" s="49" t="s">
        <v>552</v>
      </c>
      <c r="AA67" s="49" t="s">
        <v>68</v>
      </c>
      <c r="AB67" s="49"/>
      <c r="AD67" s="50" t="s">
        <v>553</v>
      </c>
      <c r="AE67" s="50" t="s">
        <v>466</v>
      </c>
    </row>
    <row r="68" spans="3:31" ht="12.75" x14ac:dyDescent="0.2">
      <c r="C68" s="42" t="s">
        <v>554</v>
      </c>
      <c r="D68" s="42" t="s">
        <v>245</v>
      </c>
      <c r="E68" s="43" t="s">
        <v>244</v>
      </c>
      <c r="F68" s="42" t="s">
        <v>540</v>
      </c>
      <c r="G68" s="42" t="s">
        <v>77</v>
      </c>
      <c r="H68" s="44"/>
      <c r="I68" s="42"/>
      <c r="M68" s="60"/>
      <c r="N68" s="22"/>
      <c r="O68" s="22"/>
      <c r="P68" s="22"/>
      <c r="Q68" s="22"/>
      <c r="X68" s="48">
        <v>619</v>
      </c>
      <c r="Y68" s="49" t="s">
        <v>555</v>
      </c>
      <c r="Z68" s="49" t="s">
        <v>556</v>
      </c>
      <c r="AA68" s="49" t="s">
        <v>68</v>
      </c>
      <c r="AB68" s="49"/>
      <c r="AD68" s="50" t="s">
        <v>557</v>
      </c>
      <c r="AE68" s="50" t="s">
        <v>558</v>
      </c>
    </row>
    <row r="69" spans="3:31" ht="12.75" x14ac:dyDescent="0.2">
      <c r="C69" s="42" t="s">
        <v>559</v>
      </c>
      <c r="D69" s="42" t="s">
        <v>560</v>
      </c>
      <c r="E69" s="43" t="s">
        <v>108</v>
      </c>
      <c r="F69" s="42" t="s">
        <v>55</v>
      </c>
      <c r="G69" s="42" t="s">
        <v>77</v>
      </c>
      <c r="H69" s="44"/>
      <c r="I69" s="42"/>
      <c r="M69" s="60"/>
      <c r="N69" s="22"/>
      <c r="O69" s="22"/>
      <c r="P69" s="22"/>
      <c r="Q69" s="22"/>
      <c r="X69" s="48">
        <v>620</v>
      </c>
      <c r="Y69" s="49" t="s">
        <v>561</v>
      </c>
      <c r="Z69" s="49" t="s">
        <v>531</v>
      </c>
      <c r="AA69" s="49" t="s">
        <v>68</v>
      </c>
      <c r="AB69" s="49"/>
    </row>
    <row r="70" spans="3:31" ht="12.75" x14ac:dyDescent="0.2">
      <c r="C70" s="42" t="s">
        <v>307</v>
      </c>
      <c r="D70" s="42" t="s">
        <v>562</v>
      </c>
      <c r="E70" s="43" t="s">
        <v>108</v>
      </c>
      <c r="F70" s="42" t="s">
        <v>55</v>
      </c>
      <c r="G70" s="42" t="s">
        <v>563</v>
      </c>
      <c r="H70" s="44"/>
      <c r="I70" s="42"/>
      <c r="M70" s="60"/>
      <c r="N70" s="22"/>
      <c r="O70" s="22"/>
      <c r="P70" s="22"/>
      <c r="Q70" s="22"/>
      <c r="X70" s="48">
        <v>621</v>
      </c>
      <c r="Y70" s="49" t="s">
        <v>564</v>
      </c>
      <c r="Z70" s="49" t="s">
        <v>565</v>
      </c>
      <c r="AA70" s="49" t="s">
        <v>68</v>
      </c>
      <c r="AB70" s="49"/>
    </row>
    <row r="71" spans="3:31" ht="12.75" x14ac:dyDescent="0.2">
      <c r="C71" s="42" t="s">
        <v>566</v>
      </c>
      <c r="D71" s="42" t="s">
        <v>567</v>
      </c>
      <c r="E71" s="62" t="s">
        <v>54</v>
      </c>
      <c r="F71" s="42" t="s">
        <v>55</v>
      </c>
      <c r="G71" s="42" t="s">
        <v>77</v>
      </c>
      <c r="H71" s="44"/>
      <c r="I71" s="42"/>
      <c r="M71" s="60"/>
      <c r="N71" s="22"/>
      <c r="O71" s="22"/>
      <c r="P71" s="22"/>
      <c r="Q71" s="22"/>
      <c r="X71" s="48">
        <v>622</v>
      </c>
      <c r="Y71" s="49" t="s">
        <v>568</v>
      </c>
      <c r="Z71" s="49" t="s">
        <v>569</v>
      </c>
      <c r="AA71" s="49" t="s">
        <v>68</v>
      </c>
      <c r="AB71" s="49"/>
    </row>
    <row r="72" spans="3:31" ht="12.75" x14ac:dyDescent="0.2">
      <c r="C72" s="42" t="s">
        <v>570</v>
      </c>
      <c r="D72" s="42" t="s">
        <v>571</v>
      </c>
      <c r="E72" s="62" t="s">
        <v>54</v>
      </c>
      <c r="F72" s="42" t="s">
        <v>55</v>
      </c>
      <c r="G72" s="42" t="s">
        <v>77</v>
      </c>
      <c r="H72" s="44"/>
      <c r="I72" s="42"/>
      <c r="M72" s="60"/>
      <c r="N72" s="22"/>
      <c r="O72" s="22"/>
      <c r="P72" s="63"/>
      <c r="Q72" s="63"/>
      <c r="X72" s="48">
        <v>623</v>
      </c>
      <c r="Y72" s="49" t="s">
        <v>572</v>
      </c>
      <c r="Z72" s="49" t="s">
        <v>459</v>
      </c>
      <c r="AA72" s="49" t="s">
        <v>68</v>
      </c>
      <c r="AB72" s="49"/>
    </row>
    <row r="73" spans="3:31" ht="12.75" x14ac:dyDescent="0.2">
      <c r="C73" s="42" t="s">
        <v>573</v>
      </c>
      <c r="D73" s="42" t="s">
        <v>574</v>
      </c>
      <c r="E73" s="62" t="s">
        <v>54</v>
      </c>
      <c r="F73" s="42" t="s">
        <v>55</v>
      </c>
      <c r="G73" s="42" t="s">
        <v>77</v>
      </c>
      <c r="H73" s="44"/>
      <c r="I73" s="42"/>
      <c r="M73" s="60"/>
      <c r="N73" s="22"/>
      <c r="O73" s="22"/>
      <c r="P73" s="22"/>
      <c r="Q73" s="22"/>
      <c r="X73" s="48">
        <v>624</v>
      </c>
      <c r="Y73" s="49" t="s">
        <v>575</v>
      </c>
      <c r="Z73" s="49" t="s">
        <v>459</v>
      </c>
      <c r="AA73" s="49" t="s">
        <v>68</v>
      </c>
      <c r="AB73" s="49"/>
    </row>
    <row r="74" spans="3:31" ht="12.75" x14ac:dyDescent="0.2">
      <c r="C74" s="42" t="s">
        <v>576</v>
      </c>
      <c r="D74" s="42" t="s">
        <v>577</v>
      </c>
      <c r="E74" s="43" t="s">
        <v>108</v>
      </c>
      <c r="F74" s="42" t="s">
        <v>55</v>
      </c>
      <c r="G74" s="42" t="s">
        <v>77</v>
      </c>
      <c r="H74" s="44"/>
      <c r="I74" s="42"/>
      <c r="M74" s="60"/>
      <c r="N74" s="22"/>
      <c r="O74" s="22"/>
      <c r="P74" s="22"/>
      <c r="Q74" s="22"/>
      <c r="X74" s="48">
        <v>625</v>
      </c>
      <c r="Y74" s="49" t="s">
        <v>578</v>
      </c>
      <c r="Z74" s="49" t="s">
        <v>459</v>
      </c>
      <c r="AA74" s="49" t="s">
        <v>68</v>
      </c>
      <c r="AB74" s="49"/>
    </row>
    <row r="75" spans="3:31" ht="12.75" x14ac:dyDescent="0.2">
      <c r="C75" s="42" t="s">
        <v>579</v>
      </c>
      <c r="D75" s="42" t="s">
        <v>580</v>
      </c>
      <c r="E75" s="43" t="s">
        <v>54</v>
      </c>
      <c r="F75" s="42" t="s">
        <v>55</v>
      </c>
      <c r="G75" s="42" t="s">
        <v>77</v>
      </c>
      <c r="H75" s="44"/>
      <c r="I75" s="42"/>
      <c r="M75" s="60"/>
      <c r="N75" s="22"/>
      <c r="O75" s="22"/>
      <c r="P75" s="22"/>
      <c r="Q75" s="22"/>
      <c r="X75" s="48">
        <v>626</v>
      </c>
      <c r="Y75" s="49" t="s">
        <v>581</v>
      </c>
      <c r="Z75" s="49" t="s">
        <v>556</v>
      </c>
      <c r="AA75" s="49" t="s">
        <v>68</v>
      </c>
      <c r="AB75" s="49"/>
    </row>
    <row r="76" spans="3:31" ht="12.75" x14ac:dyDescent="0.2">
      <c r="C76" s="42" t="s">
        <v>582</v>
      </c>
      <c r="D76" s="42" t="s">
        <v>583</v>
      </c>
      <c r="E76" s="43" t="s">
        <v>244</v>
      </c>
      <c r="F76" s="42" t="s">
        <v>142</v>
      </c>
      <c r="G76" s="42" t="s">
        <v>143</v>
      </c>
      <c r="H76" s="44" t="s">
        <v>95</v>
      </c>
      <c r="I76" s="42"/>
      <c r="M76" s="64"/>
      <c r="N76" s="22"/>
      <c r="O76" s="22"/>
      <c r="P76" s="22"/>
      <c r="Q76" s="22"/>
      <c r="X76" s="48">
        <v>627</v>
      </c>
      <c r="Y76" s="49" t="s">
        <v>584</v>
      </c>
      <c r="Z76" s="49" t="s">
        <v>517</v>
      </c>
      <c r="AA76" s="49" t="s">
        <v>68</v>
      </c>
      <c r="AB76" s="49"/>
    </row>
    <row r="77" spans="3:31" ht="12.75" x14ac:dyDescent="0.2">
      <c r="C77" s="42" t="s">
        <v>585</v>
      </c>
      <c r="D77" s="42" t="s">
        <v>586</v>
      </c>
      <c r="E77" s="43" t="s">
        <v>108</v>
      </c>
      <c r="F77" s="42" t="s">
        <v>55</v>
      </c>
      <c r="G77" s="42" t="s">
        <v>587</v>
      </c>
      <c r="H77" s="44"/>
      <c r="I77" s="42"/>
      <c r="M77" s="64"/>
      <c r="N77" s="22"/>
      <c r="O77" s="22"/>
      <c r="P77" s="22"/>
      <c r="Q77" s="22"/>
      <c r="X77" s="48">
        <v>628</v>
      </c>
      <c r="Y77" s="49" t="s">
        <v>588</v>
      </c>
      <c r="Z77" s="49" t="s">
        <v>531</v>
      </c>
      <c r="AA77" s="49" t="s">
        <v>68</v>
      </c>
      <c r="AB77" s="49"/>
    </row>
    <row r="78" spans="3:31" ht="12.75" x14ac:dyDescent="0.2">
      <c r="C78" s="42" t="s">
        <v>589</v>
      </c>
      <c r="D78" s="42" t="s">
        <v>590</v>
      </c>
      <c r="E78" s="62" t="s">
        <v>54</v>
      </c>
      <c r="F78" s="42" t="s">
        <v>55</v>
      </c>
      <c r="G78" s="42" t="s">
        <v>591</v>
      </c>
      <c r="H78" s="44"/>
      <c r="I78" s="42"/>
      <c r="N78" s="22"/>
      <c r="O78" s="22"/>
      <c r="P78" s="22"/>
      <c r="Q78" s="22"/>
      <c r="X78" s="48">
        <v>629</v>
      </c>
      <c r="Y78" s="49" t="s">
        <v>592</v>
      </c>
      <c r="Z78" s="49" t="s">
        <v>459</v>
      </c>
      <c r="AA78" s="49" t="s">
        <v>68</v>
      </c>
      <c r="AB78" s="49"/>
    </row>
    <row r="79" spans="3:31" ht="12.75" x14ac:dyDescent="0.2">
      <c r="C79" s="42" t="s">
        <v>593</v>
      </c>
      <c r="D79" s="42" t="s">
        <v>594</v>
      </c>
      <c r="E79" s="43" t="s">
        <v>100</v>
      </c>
      <c r="F79" s="42" t="s">
        <v>55</v>
      </c>
      <c r="G79" s="42" t="s">
        <v>595</v>
      </c>
      <c r="H79" s="44"/>
      <c r="I79" s="42"/>
      <c r="N79" s="22"/>
      <c r="O79" s="22"/>
      <c r="P79" s="22"/>
      <c r="Q79" s="22"/>
      <c r="X79" s="48">
        <v>630</v>
      </c>
      <c r="Y79" s="49" t="s">
        <v>596</v>
      </c>
      <c r="Z79" s="49" t="s">
        <v>542</v>
      </c>
      <c r="AA79" s="49" t="s">
        <v>68</v>
      </c>
      <c r="AB79" s="49"/>
    </row>
    <row r="80" spans="3:31" ht="12.75" x14ac:dyDescent="0.2">
      <c r="C80" s="42" t="s">
        <v>597</v>
      </c>
      <c r="D80" s="42" t="s">
        <v>598</v>
      </c>
      <c r="E80" s="43" t="s">
        <v>100</v>
      </c>
      <c r="F80" s="42" t="s">
        <v>55</v>
      </c>
      <c r="G80" s="42" t="s">
        <v>599</v>
      </c>
      <c r="H80" s="44"/>
      <c r="I80" s="42"/>
      <c r="N80" s="22"/>
      <c r="O80" s="22"/>
      <c r="P80" s="22"/>
      <c r="Q80" s="22"/>
      <c r="X80" s="48">
        <v>631</v>
      </c>
      <c r="Y80" s="49" t="s">
        <v>600</v>
      </c>
      <c r="Z80" s="49" t="s">
        <v>476</v>
      </c>
      <c r="AA80" s="49" t="s">
        <v>68</v>
      </c>
      <c r="AB80" s="49"/>
    </row>
    <row r="81" spans="3:28" ht="12.75" x14ac:dyDescent="0.2">
      <c r="C81" s="42" t="s">
        <v>601</v>
      </c>
      <c r="D81" s="42" t="s">
        <v>602</v>
      </c>
      <c r="E81" s="62" t="s">
        <v>54</v>
      </c>
      <c r="F81" s="42" t="s">
        <v>55</v>
      </c>
      <c r="G81" s="42" t="s">
        <v>603</v>
      </c>
      <c r="H81" s="44"/>
      <c r="I81" s="42"/>
      <c r="N81" s="22"/>
      <c r="O81" s="22"/>
      <c r="P81" s="22"/>
      <c r="Q81" s="22"/>
      <c r="X81" s="48">
        <v>632</v>
      </c>
      <c r="Y81" s="49" t="s">
        <v>604</v>
      </c>
      <c r="Z81" s="49" t="s">
        <v>552</v>
      </c>
      <c r="AA81" s="49" t="s">
        <v>68</v>
      </c>
      <c r="AB81" s="49"/>
    </row>
    <row r="82" spans="3:28" ht="12.75" x14ac:dyDescent="0.2">
      <c r="C82" s="42" t="s">
        <v>605</v>
      </c>
      <c r="D82" s="42" t="s">
        <v>606</v>
      </c>
      <c r="E82" s="43" t="s">
        <v>141</v>
      </c>
      <c r="F82" s="42" t="s">
        <v>142</v>
      </c>
      <c r="G82" s="42" t="s">
        <v>143</v>
      </c>
      <c r="H82" s="44" t="s">
        <v>95</v>
      </c>
      <c r="I82" s="42"/>
      <c r="N82" s="22"/>
      <c r="O82" s="22"/>
      <c r="P82" s="22"/>
      <c r="Q82" s="22"/>
      <c r="X82" s="48">
        <v>633</v>
      </c>
      <c r="Y82" s="49" t="s">
        <v>607</v>
      </c>
      <c r="Z82" s="49" t="s">
        <v>565</v>
      </c>
      <c r="AA82" s="49" t="s">
        <v>68</v>
      </c>
    </row>
    <row r="83" spans="3:28" ht="12.75" x14ac:dyDescent="0.2">
      <c r="C83" s="42" t="s">
        <v>608</v>
      </c>
      <c r="D83" s="42" t="s">
        <v>609</v>
      </c>
      <c r="E83" s="43" t="s">
        <v>610</v>
      </c>
      <c r="F83" s="42" t="s">
        <v>142</v>
      </c>
      <c r="G83" s="42" t="s">
        <v>143</v>
      </c>
      <c r="H83" s="44" t="s">
        <v>95</v>
      </c>
      <c r="I83" s="42"/>
      <c r="N83" s="22"/>
      <c r="O83" s="22"/>
      <c r="P83" s="22"/>
      <c r="Q83" s="22"/>
      <c r="X83" s="48">
        <v>699</v>
      </c>
      <c r="Y83" s="49" t="s">
        <v>611</v>
      </c>
      <c r="Z83" s="49" t="s">
        <v>612</v>
      </c>
      <c r="AA83" s="49" t="s">
        <v>68</v>
      </c>
    </row>
    <row r="84" spans="3:28" ht="12.75" x14ac:dyDescent="0.2">
      <c r="C84" s="42" t="s">
        <v>613</v>
      </c>
      <c r="D84" s="42" t="s">
        <v>614</v>
      </c>
      <c r="E84" s="43" t="s">
        <v>54</v>
      </c>
      <c r="F84" s="42" t="s">
        <v>55</v>
      </c>
      <c r="G84" s="42" t="s">
        <v>56</v>
      </c>
      <c r="H84" s="44"/>
      <c r="I84" s="42"/>
      <c r="N84" s="22"/>
      <c r="O84" s="22"/>
      <c r="P84" s="22"/>
      <c r="Q84" s="22"/>
      <c r="X84" s="48">
        <v>999</v>
      </c>
      <c r="Y84" s="49" t="s">
        <v>615</v>
      </c>
      <c r="Z84" s="49" t="s">
        <v>616</v>
      </c>
      <c r="AA84" s="49" t="s">
        <v>68</v>
      </c>
    </row>
    <row r="85" spans="3:28" ht="12.75" x14ac:dyDescent="0.2">
      <c r="C85" s="42" t="s">
        <v>617</v>
      </c>
      <c r="D85" s="42" t="s">
        <v>618</v>
      </c>
      <c r="E85" s="43" t="s">
        <v>108</v>
      </c>
      <c r="F85" s="42" t="s">
        <v>55</v>
      </c>
      <c r="G85" s="42" t="s">
        <v>56</v>
      </c>
      <c r="H85" s="44"/>
      <c r="I85" s="42"/>
      <c r="N85" s="22"/>
      <c r="O85" s="22"/>
      <c r="P85" s="22"/>
      <c r="Q85" s="22"/>
      <c r="X85" s="48">
        <v>1010</v>
      </c>
      <c r="Y85" s="49" t="s">
        <v>619</v>
      </c>
      <c r="Z85" s="49" t="s">
        <v>620</v>
      </c>
      <c r="AA85" s="49" t="s">
        <v>68</v>
      </c>
    </row>
    <row r="86" spans="3:28" ht="12.75" x14ac:dyDescent="0.2">
      <c r="C86" s="42" t="s">
        <v>621</v>
      </c>
      <c r="D86" s="42" t="s">
        <v>622</v>
      </c>
      <c r="E86" s="43" t="s">
        <v>550</v>
      </c>
      <c r="F86" s="42" t="s">
        <v>55</v>
      </c>
      <c r="G86" s="42" t="s">
        <v>56</v>
      </c>
      <c r="H86" s="44"/>
      <c r="I86" s="42"/>
      <c r="N86" s="22"/>
      <c r="O86" s="22"/>
      <c r="P86" s="22"/>
      <c r="Q86" s="22"/>
      <c r="X86" s="48">
        <v>1011</v>
      </c>
      <c r="Y86" s="49" t="s">
        <v>623</v>
      </c>
      <c r="Z86" s="49" t="s">
        <v>620</v>
      </c>
      <c r="AA86" s="49" t="s">
        <v>68</v>
      </c>
    </row>
    <row r="87" spans="3:28" ht="12.75" x14ac:dyDescent="0.2">
      <c r="C87" s="42" t="s">
        <v>624</v>
      </c>
      <c r="D87" s="42" t="s">
        <v>625</v>
      </c>
      <c r="E87" s="43" t="s">
        <v>54</v>
      </c>
      <c r="F87" s="42" t="s">
        <v>142</v>
      </c>
      <c r="G87" s="42" t="s">
        <v>143</v>
      </c>
      <c r="H87" s="44" t="s">
        <v>95</v>
      </c>
      <c r="I87" s="42"/>
      <c r="N87" s="22"/>
      <c r="O87" s="22"/>
      <c r="P87" s="22"/>
      <c r="Q87" s="22"/>
      <c r="X87" s="48">
        <v>1020</v>
      </c>
      <c r="Y87" s="49" t="s">
        <v>626</v>
      </c>
      <c r="Z87" s="49" t="s">
        <v>627</v>
      </c>
      <c r="AA87" s="49" t="s">
        <v>68</v>
      </c>
    </row>
    <row r="88" spans="3:28" ht="12.75" x14ac:dyDescent="0.2">
      <c r="C88" s="42" t="s">
        <v>628</v>
      </c>
      <c r="D88" s="42" t="s">
        <v>629</v>
      </c>
      <c r="E88" s="43" t="s">
        <v>630</v>
      </c>
      <c r="F88" s="42" t="s">
        <v>142</v>
      </c>
      <c r="G88" s="42" t="s">
        <v>143</v>
      </c>
      <c r="H88" s="44" t="s">
        <v>95</v>
      </c>
      <c r="I88" s="42"/>
      <c r="N88" s="22"/>
      <c r="O88" s="22"/>
      <c r="P88" s="22"/>
      <c r="Q88" s="22"/>
      <c r="X88" s="48">
        <v>1021</v>
      </c>
      <c r="Y88" s="49" t="s">
        <v>631</v>
      </c>
      <c r="Z88" s="49" t="s">
        <v>627</v>
      </c>
      <c r="AA88" s="49" t="s">
        <v>68</v>
      </c>
    </row>
    <row r="89" spans="3:28" ht="12.75" x14ac:dyDescent="0.2">
      <c r="C89" s="42" t="s">
        <v>632</v>
      </c>
      <c r="D89" s="42" t="s">
        <v>633</v>
      </c>
      <c r="E89" s="43" t="s">
        <v>100</v>
      </c>
      <c r="F89" s="42" t="s">
        <v>55</v>
      </c>
      <c r="G89" s="42" t="s">
        <v>56</v>
      </c>
      <c r="H89" s="44"/>
      <c r="I89" s="42"/>
      <c r="N89" s="22"/>
      <c r="O89" s="22"/>
      <c r="P89" s="22"/>
      <c r="Q89" s="22"/>
      <c r="X89" s="48">
        <v>1022</v>
      </c>
      <c r="Y89" s="49" t="s">
        <v>634</v>
      </c>
      <c r="Z89" s="49" t="s">
        <v>635</v>
      </c>
      <c r="AA89" s="49" t="s">
        <v>68</v>
      </c>
    </row>
    <row r="90" spans="3:28" ht="12.75" x14ac:dyDescent="0.2">
      <c r="C90" s="42" t="s">
        <v>636</v>
      </c>
      <c r="D90" s="42" t="s">
        <v>637</v>
      </c>
      <c r="E90" s="43" t="s">
        <v>54</v>
      </c>
      <c r="F90" s="42" t="s">
        <v>55</v>
      </c>
      <c r="G90" s="42" t="s">
        <v>77</v>
      </c>
      <c r="H90" s="44"/>
      <c r="I90" s="42"/>
      <c r="N90" s="22"/>
      <c r="O90" s="22"/>
      <c r="P90" s="22"/>
      <c r="Q90" s="22"/>
      <c r="X90" s="48">
        <v>1025</v>
      </c>
      <c r="Y90" s="49" t="s">
        <v>638</v>
      </c>
      <c r="Z90" s="49" t="s">
        <v>639</v>
      </c>
      <c r="AA90" s="49" t="s">
        <v>68</v>
      </c>
    </row>
    <row r="91" spans="3:28" ht="12.75" x14ac:dyDescent="0.2">
      <c r="C91" s="42" t="s">
        <v>640</v>
      </c>
      <c r="D91" s="42" t="s">
        <v>641</v>
      </c>
      <c r="E91" s="43" t="s">
        <v>141</v>
      </c>
      <c r="F91" s="42" t="s">
        <v>55</v>
      </c>
      <c r="G91" s="42" t="s">
        <v>375</v>
      </c>
      <c r="H91" s="44"/>
      <c r="I91" s="42"/>
      <c r="N91" s="22"/>
      <c r="O91" s="22"/>
      <c r="P91" s="22"/>
      <c r="Q91" s="22"/>
      <c r="X91" s="48">
        <v>1026</v>
      </c>
      <c r="Y91" s="49" t="s">
        <v>642</v>
      </c>
      <c r="Z91" s="49" t="s">
        <v>639</v>
      </c>
      <c r="AA91" s="49" t="s">
        <v>68</v>
      </c>
    </row>
    <row r="92" spans="3:28" ht="12.75" x14ac:dyDescent="0.2">
      <c r="C92" s="42" t="s">
        <v>643</v>
      </c>
      <c r="D92" s="42" t="s">
        <v>644</v>
      </c>
      <c r="E92" s="43" t="s">
        <v>402</v>
      </c>
      <c r="F92" s="42" t="s">
        <v>55</v>
      </c>
      <c r="G92" s="42" t="s">
        <v>143</v>
      </c>
      <c r="H92" s="44"/>
      <c r="I92" s="42"/>
      <c r="N92" s="22"/>
      <c r="O92" s="22"/>
      <c r="P92" s="22"/>
      <c r="Q92" s="22"/>
      <c r="X92" s="48">
        <v>1030</v>
      </c>
      <c r="Y92" s="49" t="s">
        <v>645</v>
      </c>
      <c r="Z92" s="49" t="s">
        <v>646</v>
      </c>
      <c r="AA92" s="49" t="s">
        <v>68</v>
      </c>
    </row>
    <row r="93" spans="3:28" ht="12.75" x14ac:dyDescent="0.2">
      <c r="C93" s="42" t="s">
        <v>647</v>
      </c>
      <c r="D93" s="42" t="s">
        <v>648</v>
      </c>
      <c r="E93" s="43" t="s">
        <v>238</v>
      </c>
      <c r="F93" s="42" t="s">
        <v>142</v>
      </c>
      <c r="G93" s="42" t="s">
        <v>143</v>
      </c>
      <c r="H93" s="44" t="s">
        <v>95</v>
      </c>
      <c r="I93" s="42"/>
      <c r="N93" s="22"/>
      <c r="O93" s="22"/>
      <c r="P93" s="22"/>
      <c r="Q93" s="22"/>
      <c r="X93" s="48">
        <v>1031</v>
      </c>
      <c r="Y93" s="49" t="s">
        <v>649</v>
      </c>
      <c r="Z93" s="49" t="s">
        <v>650</v>
      </c>
      <c r="AA93" s="49" t="s">
        <v>68</v>
      </c>
    </row>
    <row r="94" spans="3:28" ht="12.75" x14ac:dyDescent="0.2">
      <c r="C94" s="42" t="s">
        <v>651</v>
      </c>
      <c r="D94" s="42" t="s">
        <v>652</v>
      </c>
      <c r="E94" s="43" t="s">
        <v>199</v>
      </c>
      <c r="F94" s="42" t="s">
        <v>55</v>
      </c>
      <c r="G94" s="42" t="s">
        <v>200</v>
      </c>
      <c r="H94" s="44"/>
      <c r="I94" s="42"/>
      <c r="N94" s="22"/>
      <c r="O94" s="22"/>
      <c r="P94" s="22"/>
      <c r="Q94" s="22"/>
      <c r="X94" s="48">
        <v>1032</v>
      </c>
      <c r="Y94" s="49" t="s">
        <v>653</v>
      </c>
      <c r="Z94" s="49" t="s">
        <v>646</v>
      </c>
      <c r="AA94" s="49" t="s">
        <v>68</v>
      </c>
    </row>
    <row r="95" spans="3:28" ht="12.75" x14ac:dyDescent="0.2">
      <c r="C95" s="42" t="s">
        <v>222</v>
      </c>
      <c r="D95" s="42" t="s">
        <v>654</v>
      </c>
      <c r="E95" s="43" t="s">
        <v>199</v>
      </c>
      <c r="F95" s="42" t="s">
        <v>132</v>
      </c>
      <c r="G95" s="42" t="s">
        <v>200</v>
      </c>
      <c r="H95" s="44"/>
      <c r="I95" s="42"/>
      <c r="N95" s="22"/>
      <c r="O95" s="22"/>
      <c r="P95" s="22"/>
      <c r="Q95" s="22"/>
      <c r="X95" s="48">
        <v>1040</v>
      </c>
      <c r="Y95" s="49" t="s">
        <v>655</v>
      </c>
      <c r="Z95" s="49" t="s">
        <v>656</v>
      </c>
      <c r="AA95" s="49" t="s">
        <v>68</v>
      </c>
    </row>
    <row r="96" spans="3:28" ht="12.75" x14ac:dyDescent="0.2">
      <c r="C96" s="42" t="s">
        <v>657</v>
      </c>
      <c r="D96" s="42" t="s">
        <v>658</v>
      </c>
      <c r="E96" s="43" t="s">
        <v>199</v>
      </c>
      <c r="F96" s="42" t="s">
        <v>132</v>
      </c>
      <c r="G96" s="42" t="s">
        <v>200</v>
      </c>
      <c r="H96" s="44"/>
      <c r="I96" s="42"/>
      <c r="N96" s="22"/>
      <c r="O96" s="22"/>
      <c r="P96" s="22"/>
      <c r="Q96" s="22"/>
      <c r="X96" s="48">
        <v>1041</v>
      </c>
      <c r="Y96" s="49" t="s">
        <v>659</v>
      </c>
      <c r="Z96" s="49" t="s">
        <v>656</v>
      </c>
      <c r="AA96" s="49" t="s">
        <v>68</v>
      </c>
    </row>
    <row r="97" spans="3:27" ht="12.75" x14ac:dyDescent="0.2">
      <c r="C97" s="42" t="s">
        <v>660</v>
      </c>
      <c r="D97" s="42" t="s">
        <v>661</v>
      </c>
      <c r="E97" s="43" t="s">
        <v>662</v>
      </c>
      <c r="F97" s="42" t="s">
        <v>55</v>
      </c>
      <c r="G97" s="42" t="s">
        <v>200</v>
      </c>
      <c r="H97" s="44"/>
      <c r="I97" s="42"/>
      <c r="N97" s="22"/>
      <c r="O97" s="22"/>
      <c r="P97" s="22"/>
      <c r="Q97" s="22"/>
      <c r="X97" s="48">
        <v>1050</v>
      </c>
      <c r="Y97" s="49" t="s">
        <v>663</v>
      </c>
      <c r="Z97" s="49" t="s">
        <v>664</v>
      </c>
      <c r="AA97" s="49" t="s">
        <v>68</v>
      </c>
    </row>
    <row r="98" spans="3:27" ht="12.75" x14ac:dyDescent="0.2">
      <c r="C98" s="42" t="s">
        <v>665</v>
      </c>
      <c r="D98" s="42" t="s">
        <v>666</v>
      </c>
      <c r="E98" s="43" t="s">
        <v>662</v>
      </c>
      <c r="F98" s="42" t="s">
        <v>132</v>
      </c>
      <c r="G98" s="42" t="s">
        <v>200</v>
      </c>
      <c r="H98" s="44"/>
      <c r="I98" s="42"/>
      <c r="N98" s="22"/>
      <c r="O98" s="22"/>
      <c r="P98" s="22"/>
      <c r="Q98" s="22"/>
      <c r="X98" s="48">
        <v>1051</v>
      </c>
      <c r="Y98" s="49" t="s">
        <v>667</v>
      </c>
      <c r="Z98" s="49" t="s">
        <v>668</v>
      </c>
      <c r="AA98" s="49" t="s">
        <v>68</v>
      </c>
    </row>
    <row r="99" spans="3:27" ht="12.75" x14ac:dyDescent="0.2">
      <c r="C99" s="42" t="s">
        <v>483</v>
      </c>
      <c r="D99" s="42" t="s">
        <v>669</v>
      </c>
      <c r="E99" s="43" t="s">
        <v>199</v>
      </c>
      <c r="F99" s="42" t="s">
        <v>132</v>
      </c>
      <c r="G99" s="42" t="s">
        <v>200</v>
      </c>
      <c r="H99" s="44"/>
      <c r="I99" s="42"/>
      <c r="N99" s="22"/>
      <c r="O99" s="22"/>
      <c r="P99" s="22"/>
      <c r="Q99" s="22"/>
      <c r="X99" s="48">
        <v>1052</v>
      </c>
      <c r="Y99" s="49" t="s">
        <v>670</v>
      </c>
      <c r="Z99" s="49" t="s">
        <v>664</v>
      </c>
      <c r="AA99" s="49" t="s">
        <v>68</v>
      </c>
    </row>
    <row r="100" spans="3:27" ht="12.75" x14ac:dyDescent="0.2">
      <c r="C100" s="42" t="s">
        <v>671</v>
      </c>
      <c r="D100" s="42" t="s">
        <v>672</v>
      </c>
      <c r="E100" s="43" t="s">
        <v>199</v>
      </c>
      <c r="F100" s="42" t="s">
        <v>132</v>
      </c>
      <c r="G100" s="42" t="s">
        <v>200</v>
      </c>
      <c r="H100" s="44"/>
      <c r="I100" s="42"/>
      <c r="N100" s="22"/>
      <c r="O100" s="22"/>
      <c r="P100" s="22"/>
      <c r="Q100" s="22"/>
      <c r="X100" s="48">
        <v>1053</v>
      </c>
      <c r="Y100" s="49" t="s">
        <v>673</v>
      </c>
      <c r="Z100" s="49" t="s">
        <v>668</v>
      </c>
      <c r="AA100" s="49" t="s">
        <v>68</v>
      </c>
    </row>
    <row r="101" spans="3:27" ht="12.75" x14ac:dyDescent="0.2">
      <c r="C101" s="42" t="s">
        <v>674</v>
      </c>
      <c r="D101" s="42" t="s">
        <v>675</v>
      </c>
      <c r="E101" s="43" t="s">
        <v>662</v>
      </c>
      <c r="F101" s="42" t="s">
        <v>55</v>
      </c>
      <c r="G101" s="42" t="s">
        <v>200</v>
      </c>
      <c r="H101" s="44"/>
      <c r="I101" s="42"/>
      <c r="N101" s="22"/>
      <c r="O101" s="22"/>
      <c r="P101" s="22"/>
      <c r="Q101" s="22"/>
      <c r="X101" s="48">
        <v>1060</v>
      </c>
      <c r="Y101" s="49" t="s">
        <v>676</v>
      </c>
      <c r="Z101" s="49" t="s">
        <v>677</v>
      </c>
      <c r="AA101" s="49" t="s">
        <v>68</v>
      </c>
    </row>
    <row r="102" spans="3:27" ht="12.75" x14ac:dyDescent="0.2">
      <c r="C102" s="42" t="s">
        <v>678</v>
      </c>
      <c r="D102" s="42" t="s">
        <v>679</v>
      </c>
      <c r="E102" s="43" t="s">
        <v>199</v>
      </c>
      <c r="F102" s="42" t="s">
        <v>132</v>
      </c>
      <c r="G102" s="42" t="s">
        <v>200</v>
      </c>
      <c r="H102" s="44"/>
      <c r="I102" s="42"/>
      <c r="N102" s="22"/>
      <c r="O102" s="22"/>
      <c r="P102" s="22"/>
      <c r="Q102" s="22"/>
      <c r="X102" s="48">
        <v>1061</v>
      </c>
      <c r="Y102" s="49" t="s">
        <v>680</v>
      </c>
      <c r="Z102" s="49" t="s">
        <v>677</v>
      </c>
      <c r="AA102" s="49" t="s">
        <v>68</v>
      </c>
    </row>
    <row r="103" spans="3:27" ht="12.75" x14ac:dyDescent="0.2">
      <c r="C103" s="42" t="s">
        <v>227</v>
      </c>
      <c r="D103" s="42" t="s">
        <v>681</v>
      </c>
      <c r="E103" s="43" t="s">
        <v>610</v>
      </c>
      <c r="F103" s="42" t="s">
        <v>132</v>
      </c>
      <c r="G103" s="42" t="s">
        <v>682</v>
      </c>
      <c r="H103" s="44"/>
      <c r="I103" s="42"/>
      <c r="N103" s="22"/>
      <c r="O103" s="22"/>
      <c r="P103" s="22"/>
      <c r="Q103" s="22"/>
      <c r="X103" s="48">
        <v>1070</v>
      </c>
      <c r="Y103" s="49" t="s">
        <v>683</v>
      </c>
      <c r="Z103" s="49" t="s">
        <v>684</v>
      </c>
      <c r="AA103" s="49" t="s">
        <v>68</v>
      </c>
    </row>
    <row r="104" spans="3:27" ht="12.75" x14ac:dyDescent="0.2">
      <c r="C104" s="42" t="s">
        <v>685</v>
      </c>
      <c r="D104" s="42" t="s">
        <v>686</v>
      </c>
      <c r="E104" s="43" t="s">
        <v>610</v>
      </c>
      <c r="F104" s="42" t="s">
        <v>132</v>
      </c>
      <c r="G104" s="42" t="s">
        <v>682</v>
      </c>
      <c r="H104" s="44"/>
      <c r="I104" s="42"/>
      <c r="N104" s="22"/>
      <c r="O104" s="22"/>
      <c r="P104" s="22"/>
      <c r="Q104" s="22"/>
      <c r="X104" s="48">
        <v>1071</v>
      </c>
      <c r="Y104" s="49" t="s">
        <v>687</v>
      </c>
      <c r="Z104" s="49" t="s">
        <v>684</v>
      </c>
      <c r="AA104" s="49" t="s">
        <v>68</v>
      </c>
    </row>
    <row r="105" spans="3:27" ht="12.75" x14ac:dyDescent="0.2">
      <c r="C105" s="42" t="s">
        <v>688</v>
      </c>
      <c r="D105" s="42" t="s">
        <v>689</v>
      </c>
      <c r="E105" s="43" t="s">
        <v>630</v>
      </c>
      <c r="F105" s="42" t="s">
        <v>132</v>
      </c>
      <c r="G105" s="42" t="s">
        <v>682</v>
      </c>
      <c r="H105" s="44"/>
      <c r="I105" s="42"/>
      <c r="N105" s="22"/>
      <c r="O105" s="22"/>
      <c r="P105" s="22"/>
      <c r="Q105" s="22"/>
      <c r="X105" s="48">
        <v>1080</v>
      </c>
      <c r="Y105" s="49" t="s">
        <v>690</v>
      </c>
      <c r="Z105" s="49" t="s">
        <v>691</v>
      </c>
      <c r="AA105" s="49" t="s">
        <v>68</v>
      </c>
    </row>
    <row r="106" spans="3:27" ht="12.75" x14ac:dyDescent="0.2">
      <c r="C106" s="42" t="s">
        <v>692</v>
      </c>
      <c r="D106" s="42" t="s">
        <v>693</v>
      </c>
      <c r="E106" s="43" t="s">
        <v>610</v>
      </c>
      <c r="F106" s="42" t="s">
        <v>132</v>
      </c>
      <c r="G106" s="42" t="s">
        <v>682</v>
      </c>
      <c r="H106" s="44"/>
      <c r="I106" s="42"/>
      <c r="N106" s="22"/>
      <c r="O106" s="22"/>
      <c r="P106" s="22"/>
      <c r="Q106" s="22"/>
      <c r="X106" s="48">
        <v>1090</v>
      </c>
      <c r="Y106" s="49" t="s">
        <v>694</v>
      </c>
      <c r="Z106" s="49" t="s">
        <v>695</v>
      </c>
      <c r="AA106" s="49" t="s">
        <v>68</v>
      </c>
    </row>
    <row r="107" spans="3:27" ht="12.75" x14ac:dyDescent="0.2">
      <c r="C107" s="42" t="s">
        <v>323</v>
      </c>
      <c r="D107" s="42" t="s">
        <v>696</v>
      </c>
      <c r="E107" s="43" t="s">
        <v>184</v>
      </c>
      <c r="F107" s="42" t="s">
        <v>132</v>
      </c>
      <c r="G107" s="42" t="s">
        <v>682</v>
      </c>
      <c r="H107" s="44"/>
      <c r="I107" s="42"/>
      <c r="N107" s="22"/>
      <c r="O107" s="22"/>
      <c r="P107" s="22"/>
      <c r="Q107" s="22"/>
      <c r="X107" s="48">
        <v>1091</v>
      </c>
      <c r="Y107" s="49" t="s">
        <v>697</v>
      </c>
      <c r="Z107" s="49" t="s">
        <v>695</v>
      </c>
      <c r="AA107" s="49" t="s">
        <v>68</v>
      </c>
    </row>
    <row r="108" spans="3:27" ht="12.75" x14ac:dyDescent="0.2">
      <c r="C108" s="42" t="s">
        <v>698</v>
      </c>
      <c r="D108" s="42" t="s">
        <v>699</v>
      </c>
      <c r="E108" s="43" t="s">
        <v>184</v>
      </c>
      <c r="F108" s="42" t="s">
        <v>132</v>
      </c>
      <c r="G108" s="42" t="s">
        <v>682</v>
      </c>
      <c r="H108" s="44"/>
      <c r="I108" s="42"/>
      <c r="N108" s="22"/>
      <c r="O108" s="22"/>
      <c r="P108" s="22"/>
      <c r="Q108" s="22"/>
      <c r="X108" s="48">
        <v>2010</v>
      </c>
      <c r="Y108" s="49" t="s">
        <v>700</v>
      </c>
      <c r="Z108" s="49" t="s">
        <v>158</v>
      </c>
      <c r="AA108" s="49" t="s">
        <v>68</v>
      </c>
    </row>
    <row r="109" spans="3:27" x14ac:dyDescent="0.2">
      <c r="C109" s="42" t="s">
        <v>701</v>
      </c>
      <c r="D109" s="42" t="s">
        <v>702</v>
      </c>
      <c r="E109" s="43" t="s">
        <v>215</v>
      </c>
      <c r="F109" s="42" t="s">
        <v>55</v>
      </c>
      <c r="G109" s="42" t="s">
        <v>682</v>
      </c>
      <c r="H109" s="44"/>
      <c r="I109" s="42"/>
      <c r="X109" s="48">
        <v>2011</v>
      </c>
      <c r="Y109" s="49" t="s">
        <v>703</v>
      </c>
      <c r="Z109" s="49" t="s">
        <v>158</v>
      </c>
      <c r="AA109" s="49" t="s">
        <v>68</v>
      </c>
    </row>
    <row r="110" spans="3:27" x14ac:dyDescent="0.2">
      <c r="C110" s="42" t="s">
        <v>704</v>
      </c>
      <c r="D110" s="42" t="s">
        <v>705</v>
      </c>
      <c r="E110" s="43" t="s">
        <v>215</v>
      </c>
      <c r="F110" s="42" t="s">
        <v>132</v>
      </c>
      <c r="G110" s="42" t="s">
        <v>682</v>
      </c>
      <c r="H110" s="44"/>
      <c r="I110" s="42"/>
      <c r="X110" s="48">
        <v>2020</v>
      </c>
      <c r="Y110" s="49" t="s">
        <v>706</v>
      </c>
      <c r="Z110" s="49" t="s">
        <v>163</v>
      </c>
      <c r="AA110" s="49" t="s">
        <v>68</v>
      </c>
    </row>
    <row r="111" spans="3:27" x14ac:dyDescent="0.2">
      <c r="C111" s="42" t="s">
        <v>707</v>
      </c>
      <c r="D111" s="42" t="s">
        <v>708</v>
      </c>
      <c r="E111" s="43" t="s">
        <v>184</v>
      </c>
      <c r="F111" s="42" t="s">
        <v>55</v>
      </c>
      <c r="G111" s="42" t="s">
        <v>457</v>
      </c>
      <c r="H111" s="44"/>
      <c r="I111" s="42"/>
      <c r="X111" s="48">
        <v>2021</v>
      </c>
      <c r="Y111" s="49" t="s">
        <v>709</v>
      </c>
      <c r="Z111" s="49" t="s">
        <v>163</v>
      </c>
      <c r="AA111" s="49" t="s">
        <v>68</v>
      </c>
    </row>
    <row r="112" spans="3:27" x14ac:dyDescent="0.2">
      <c r="C112" s="42" t="s">
        <v>330</v>
      </c>
      <c r="D112" s="42" t="s">
        <v>710</v>
      </c>
      <c r="E112" s="43" t="s">
        <v>184</v>
      </c>
      <c r="F112" s="42" t="s">
        <v>132</v>
      </c>
      <c r="G112" s="42" t="s">
        <v>185</v>
      </c>
      <c r="H112" s="44"/>
      <c r="I112" s="42"/>
      <c r="X112" s="48">
        <v>2030</v>
      </c>
      <c r="Y112" s="49" t="s">
        <v>711</v>
      </c>
      <c r="Z112" s="49" t="s">
        <v>712</v>
      </c>
      <c r="AA112" s="49" t="s">
        <v>68</v>
      </c>
    </row>
    <row r="113" spans="3:27" x14ac:dyDescent="0.2">
      <c r="C113" s="42" t="s">
        <v>713</v>
      </c>
      <c r="D113" s="42" t="s">
        <v>714</v>
      </c>
      <c r="E113" s="43" t="s">
        <v>184</v>
      </c>
      <c r="F113" s="42" t="s">
        <v>132</v>
      </c>
      <c r="G113" s="42" t="s">
        <v>185</v>
      </c>
      <c r="H113" s="44"/>
      <c r="I113" s="42"/>
      <c r="X113" s="48">
        <v>2031</v>
      </c>
      <c r="Y113" s="49" t="s">
        <v>715</v>
      </c>
      <c r="Z113" s="49" t="s">
        <v>716</v>
      </c>
      <c r="AA113" s="49" t="s">
        <v>68</v>
      </c>
    </row>
    <row r="114" spans="3:27" x14ac:dyDescent="0.2">
      <c r="C114" s="42" t="s">
        <v>717</v>
      </c>
      <c r="D114" s="42" t="s">
        <v>718</v>
      </c>
      <c r="E114" s="43" t="s">
        <v>215</v>
      </c>
      <c r="F114" s="42" t="s">
        <v>55</v>
      </c>
      <c r="G114" s="42" t="s">
        <v>185</v>
      </c>
      <c r="H114" s="44"/>
      <c r="I114" s="42"/>
      <c r="X114" s="48">
        <v>2040</v>
      </c>
      <c r="Y114" s="49" t="s">
        <v>719</v>
      </c>
      <c r="Z114" s="49" t="s">
        <v>451</v>
      </c>
      <c r="AA114" s="49" t="s">
        <v>68</v>
      </c>
    </row>
    <row r="115" spans="3:27" x14ac:dyDescent="0.2">
      <c r="C115" s="42" t="s">
        <v>720</v>
      </c>
      <c r="D115" s="42" t="s">
        <v>721</v>
      </c>
      <c r="E115" s="43" t="s">
        <v>215</v>
      </c>
      <c r="F115" s="42" t="s">
        <v>132</v>
      </c>
      <c r="G115" s="42" t="s">
        <v>185</v>
      </c>
      <c r="H115" s="44"/>
      <c r="I115" s="42"/>
      <c r="X115" s="48">
        <v>2041</v>
      </c>
      <c r="Y115" s="49" t="s">
        <v>722</v>
      </c>
      <c r="Z115" s="49" t="s">
        <v>451</v>
      </c>
      <c r="AA115" s="49" t="s">
        <v>68</v>
      </c>
    </row>
    <row r="116" spans="3:27" x14ac:dyDescent="0.2">
      <c r="C116" s="42" t="s">
        <v>345</v>
      </c>
      <c r="D116" s="42" t="s">
        <v>723</v>
      </c>
      <c r="E116" s="43" t="s">
        <v>184</v>
      </c>
      <c r="F116" s="42" t="s">
        <v>132</v>
      </c>
      <c r="G116" s="42" t="s">
        <v>457</v>
      </c>
      <c r="H116" s="44"/>
      <c r="I116" s="42"/>
      <c r="X116" s="48">
        <v>2050</v>
      </c>
      <c r="Y116" s="49" t="s">
        <v>724</v>
      </c>
      <c r="Z116" s="49" t="s">
        <v>725</v>
      </c>
      <c r="AA116" s="49" t="s">
        <v>68</v>
      </c>
    </row>
    <row r="117" spans="3:27" x14ac:dyDescent="0.2">
      <c r="C117" s="42" t="s">
        <v>726</v>
      </c>
      <c r="D117" s="42" t="s">
        <v>727</v>
      </c>
      <c r="E117" s="43" t="s">
        <v>184</v>
      </c>
      <c r="F117" s="42" t="s">
        <v>132</v>
      </c>
      <c r="G117" s="42" t="s">
        <v>457</v>
      </c>
      <c r="H117" s="44"/>
      <c r="I117" s="42"/>
      <c r="X117" s="48">
        <v>2060</v>
      </c>
      <c r="Y117" s="49" t="s">
        <v>728</v>
      </c>
      <c r="Z117" s="49" t="s">
        <v>729</v>
      </c>
      <c r="AA117" s="49" t="s">
        <v>68</v>
      </c>
    </row>
    <row r="118" spans="3:27" x14ac:dyDescent="0.2">
      <c r="C118" s="42" t="s">
        <v>730</v>
      </c>
      <c r="D118" s="42" t="s">
        <v>731</v>
      </c>
      <c r="E118" s="43" t="s">
        <v>215</v>
      </c>
      <c r="F118" s="42" t="s">
        <v>55</v>
      </c>
      <c r="G118" s="42" t="s">
        <v>457</v>
      </c>
      <c r="H118" s="44"/>
      <c r="I118" s="42"/>
      <c r="X118" s="48">
        <v>3010</v>
      </c>
      <c r="Y118" s="49" t="s">
        <v>732</v>
      </c>
      <c r="Z118" s="49" t="s">
        <v>733</v>
      </c>
      <c r="AA118" s="49" t="s">
        <v>68</v>
      </c>
    </row>
    <row r="119" spans="3:27" x14ac:dyDescent="0.2">
      <c r="C119" s="42" t="s">
        <v>734</v>
      </c>
      <c r="D119" s="42" t="s">
        <v>735</v>
      </c>
      <c r="E119" s="43" t="s">
        <v>215</v>
      </c>
      <c r="F119" s="42" t="s">
        <v>132</v>
      </c>
      <c r="G119" s="42" t="s">
        <v>457</v>
      </c>
      <c r="H119" s="44"/>
      <c r="I119" s="42"/>
      <c r="X119" s="48">
        <v>3011</v>
      </c>
      <c r="Y119" s="49" t="s">
        <v>736</v>
      </c>
      <c r="Z119" s="49" t="s">
        <v>733</v>
      </c>
      <c r="AA119" s="49" t="s">
        <v>68</v>
      </c>
    </row>
    <row r="120" spans="3:27" x14ac:dyDescent="0.2">
      <c r="C120" s="42" t="s">
        <v>353</v>
      </c>
      <c r="D120" s="42" t="s">
        <v>737</v>
      </c>
      <c r="E120" s="43" t="s">
        <v>738</v>
      </c>
      <c r="F120" s="42" t="s">
        <v>132</v>
      </c>
      <c r="G120" s="42" t="s">
        <v>56</v>
      </c>
      <c r="H120" s="44"/>
      <c r="I120" s="42"/>
      <c r="X120" s="48">
        <v>3020</v>
      </c>
      <c r="Y120" s="49" t="s">
        <v>739</v>
      </c>
      <c r="Z120" s="49" t="s">
        <v>740</v>
      </c>
      <c r="AA120" s="49" t="s">
        <v>68</v>
      </c>
    </row>
    <row r="121" spans="3:27" x14ac:dyDescent="0.2">
      <c r="C121" s="42" t="s">
        <v>741</v>
      </c>
      <c r="D121" s="42" t="s">
        <v>742</v>
      </c>
      <c r="E121" s="43" t="s">
        <v>738</v>
      </c>
      <c r="F121" s="42" t="s">
        <v>132</v>
      </c>
      <c r="G121" s="42" t="s">
        <v>56</v>
      </c>
      <c r="H121" s="44"/>
      <c r="I121" s="42"/>
      <c r="X121" s="48">
        <v>3030</v>
      </c>
      <c r="Y121" s="49" t="s">
        <v>743</v>
      </c>
      <c r="Z121" s="49" t="s">
        <v>744</v>
      </c>
      <c r="AA121" s="49" t="s">
        <v>68</v>
      </c>
    </row>
    <row r="122" spans="3:27" x14ac:dyDescent="0.2">
      <c r="C122" s="42" t="s">
        <v>745</v>
      </c>
      <c r="D122" s="42" t="s">
        <v>746</v>
      </c>
      <c r="E122" s="43" t="s">
        <v>747</v>
      </c>
      <c r="F122" s="42" t="s">
        <v>55</v>
      </c>
      <c r="G122" s="42" t="s">
        <v>56</v>
      </c>
      <c r="H122" s="44"/>
      <c r="I122" s="42"/>
      <c r="X122" s="48">
        <v>3040</v>
      </c>
      <c r="Y122" s="49" t="s">
        <v>748</v>
      </c>
      <c r="Z122" s="49" t="s">
        <v>749</v>
      </c>
      <c r="AA122" s="49" t="s">
        <v>68</v>
      </c>
    </row>
    <row r="123" spans="3:27" x14ac:dyDescent="0.2">
      <c r="C123" s="42" t="s">
        <v>750</v>
      </c>
      <c r="D123" s="42" t="s">
        <v>751</v>
      </c>
      <c r="E123" s="43" t="s">
        <v>747</v>
      </c>
      <c r="F123" s="42" t="s">
        <v>132</v>
      </c>
      <c r="G123" s="42" t="s">
        <v>56</v>
      </c>
      <c r="H123" s="44"/>
      <c r="I123" s="42"/>
      <c r="X123" s="48">
        <v>4010</v>
      </c>
      <c r="Y123" s="49" t="s">
        <v>752</v>
      </c>
      <c r="Z123" s="49" t="s">
        <v>753</v>
      </c>
      <c r="AA123" s="49" t="s">
        <v>68</v>
      </c>
    </row>
    <row r="124" spans="3:27" x14ac:dyDescent="0.2">
      <c r="C124" s="42" t="s">
        <v>488</v>
      </c>
      <c r="D124" s="42" t="s">
        <v>754</v>
      </c>
      <c r="E124" s="43" t="s">
        <v>456</v>
      </c>
      <c r="F124" s="42" t="s">
        <v>132</v>
      </c>
      <c r="G124" s="42" t="s">
        <v>457</v>
      </c>
      <c r="H124" s="44"/>
      <c r="I124" s="42"/>
      <c r="X124" s="48">
        <v>4011</v>
      </c>
      <c r="Y124" s="49" t="s">
        <v>755</v>
      </c>
      <c r="Z124" s="49" t="s">
        <v>753</v>
      </c>
      <c r="AA124" s="49" t="s">
        <v>68</v>
      </c>
    </row>
    <row r="125" spans="3:27" x14ac:dyDescent="0.2">
      <c r="C125" s="42" t="s">
        <v>756</v>
      </c>
      <c r="D125" s="42" t="s">
        <v>757</v>
      </c>
      <c r="E125" s="43" t="s">
        <v>456</v>
      </c>
      <c r="F125" s="42" t="s">
        <v>132</v>
      </c>
      <c r="G125" s="42" t="s">
        <v>457</v>
      </c>
      <c r="H125" s="44"/>
      <c r="I125" s="42"/>
      <c r="X125" s="48">
        <v>4020</v>
      </c>
      <c r="Y125" s="49" t="s">
        <v>758</v>
      </c>
      <c r="Z125" s="49" t="s">
        <v>759</v>
      </c>
      <c r="AA125" s="49" t="s">
        <v>68</v>
      </c>
    </row>
    <row r="126" spans="3:27" x14ac:dyDescent="0.2">
      <c r="C126" s="42" t="s">
        <v>760</v>
      </c>
      <c r="D126" s="42" t="s">
        <v>761</v>
      </c>
      <c r="E126" s="43" t="s">
        <v>469</v>
      </c>
      <c r="F126" s="42" t="s">
        <v>55</v>
      </c>
      <c r="G126" s="42" t="s">
        <v>457</v>
      </c>
      <c r="H126" s="44"/>
      <c r="I126" s="42"/>
      <c r="X126" s="48">
        <v>4021</v>
      </c>
      <c r="Y126" s="49" t="s">
        <v>762</v>
      </c>
      <c r="Z126" s="49" t="s">
        <v>759</v>
      </c>
      <c r="AA126" s="49" t="s">
        <v>68</v>
      </c>
    </row>
    <row r="127" spans="3:27" x14ac:dyDescent="0.2">
      <c r="C127" s="42" t="s">
        <v>763</v>
      </c>
      <c r="D127" s="42" t="s">
        <v>764</v>
      </c>
      <c r="E127" s="43" t="s">
        <v>456</v>
      </c>
      <c r="F127" s="42" t="s">
        <v>132</v>
      </c>
      <c r="G127" s="42" t="s">
        <v>457</v>
      </c>
      <c r="H127" s="44"/>
      <c r="I127" s="42"/>
      <c r="X127" s="48">
        <v>4030</v>
      </c>
      <c r="Y127" s="49" t="s">
        <v>765</v>
      </c>
      <c r="Z127" s="49" t="s">
        <v>766</v>
      </c>
      <c r="AA127" s="49" t="s">
        <v>68</v>
      </c>
    </row>
    <row r="128" spans="3:27" x14ac:dyDescent="0.2">
      <c r="C128" s="42" t="s">
        <v>528</v>
      </c>
      <c r="D128" s="42" t="s">
        <v>767</v>
      </c>
      <c r="E128" s="43" t="s">
        <v>292</v>
      </c>
      <c r="F128" s="42" t="s">
        <v>132</v>
      </c>
      <c r="G128" s="42" t="s">
        <v>56</v>
      </c>
      <c r="H128" s="44"/>
      <c r="I128" s="42"/>
      <c r="X128" s="48">
        <v>4031</v>
      </c>
      <c r="Y128" s="49" t="s">
        <v>768</v>
      </c>
      <c r="Z128" s="49" t="s">
        <v>769</v>
      </c>
      <c r="AA128" s="49" t="s">
        <v>68</v>
      </c>
    </row>
    <row r="129" spans="3:27" x14ac:dyDescent="0.2">
      <c r="C129" s="42" t="s">
        <v>770</v>
      </c>
      <c r="D129" s="42" t="s">
        <v>771</v>
      </c>
      <c r="E129" s="43" t="s">
        <v>292</v>
      </c>
      <c r="F129" s="42" t="s">
        <v>132</v>
      </c>
      <c r="G129" s="42" t="s">
        <v>56</v>
      </c>
      <c r="H129" s="44"/>
      <c r="I129" s="42"/>
      <c r="X129" s="48">
        <v>4040</v>
      </c>
      <c r="Y129" s="49" t="s">
        <v>772</v>
      </c>
      <c r="Z129" s="49" t="s">
        <v>773</v>
      </c>
      <c r="AA129" s="49" t="s">
        <v>68</v>
      </c>
    </row>
    <row r="130" spans="3:27" x14ac:dyDescent="0.2">
      <c r="C130" s="42" t="s">
        <v>774</v>
      </c>
      <c r="D130" s="42" t="s">
        <v>775</v>
      </c>
      <c r="E130" s="43" t="s">
        <v>300</v>
      </c>
      <c r="F130" s="42" t="s">
        <v>55</v>
      </c>
      <c r="G130" s="42" t="s">
        <v>333</v>
      </c>
      <c r="H130" s="44"/>
      <c r="I130" s="42"/>
      <c r="X130" s="48">
        <v>4041</v>
      </c>
      <c r="Y130" s="49" t="s">
        <v>776</v>
      </c>
      <c r="Z130" s="49" t="s">
        <v>773</v>
      </c>
      <c r="AA130" s="49" t="s">
        <v>68</v>
      </c>
    </row>
    <row r="131" spans="3:27" x14ac:dyDescent="0.2">
      <c r="C131" s="42" t="s">
        <v>777</v>
      </c>
      <c r="D131" s="42" t="s">
        <v>778</v>
      </c>
      <c r="E131" s="43" t="s">
        <v>300</v>
      </c>
      <c r="F131" s="42" t="s">
        <v>132</v>
      </c>
      <c r="G131" s="42" t="s">
        <v>56</v>
      </c>
      <c r="H131" s="44"/>
      <c r="I131" s="42"/>
      <c r="X131" s="48">
        <v>4042</v>
      </c>
      <c r="Y131" s="49" t="s">
        <v>779</v>
      </c>
      <c r="Z131" s="49" t="s">
        <v>779</v>
      </c>
      <c r="AA131" s="49" t="s">
        <v>68</v>
      </c>
    </row>
    <row r="132" spans="3:27" x14ac:dyDescent="0.2">
      <c r="C132" s="42" t="s">
        <v>547</v>
      </c>
      <c r="D132" s="42" t="s">
        <v>780</v>
      </c>
      <c r="E132" s="43" t="s">
        <v>292</v>
      </c>
      <c r="F132" s="42" t="s">
        <v>132</v>
      </c>
      <c r="G132" s="42" t="s">
        <v>457</v>
      </c>
      <c r="H132" s="44"/>
      <c r="I132" s="42"/>
      <c r="X132" s="48">
        <v>4050</v>
      </c>
      <c r="Y132" s="49" t="s">
        <v>781</v>
      </c>
      <c r="Z132" s="49" t="s">
        <v>782</v>
      </c>
      <c r="AA132" s="49" t="s">
        <v>68</v>
      </c>
    </row>
    <row r="133" spans="3:27" x14ac:dyDescent="0.2">
      <c r="C133" s="42" t="s">
        <v>783</v>
      </c>
      <c r="D133" s="42" t="s">
        <v>784</v>
      </c>
      <c r="E133" s="43" t="s">
        <v>292</v>
      </c>
      <c r="F133" s="42" t="s">
        <v>132</v>
      </c>
      <c r="G133" s="42" t="s">
        <v>457</v>
      </c>
      <c r="H133" s="44"/>
      <c r="I133" s="42"/>
      <c r="X133" s="48">
        <v>4051</v>
      </c>
      <c r="Y133" s="49" t="s">
        <v>785</v>
      </c>
      <c r="Z133" s="49" t="s">
        <v>782</v>
      </c>
      <c r="AA133" s="49" t="s">
        <v>68</v>
      </c>
    </row>
    <row r="134" spans="3:27" x14ac:dyDescent="0.2">
      <c r="C134" s="42" t="s">
        <v>786</v>
      </c>
      <c r="D134" s="42" t="s">
        <v>787</v>
      </c>
      <c r="E134" s="43" t="s">
        <v>300</v>
      </c>
      <c r="F134" s="42" t="s">
        <v>55</v>
      </c>
      <c r="G134" s="42" t="s">
        <v>333</v>
      </c>
      <c r="H134" s="44"/>
      <c r="I134" s="42"/>
      <c r="X134" s="48">
        <v>4060</v>
      </c>
      <c r="Y134" s="49" t="s">
        <v>788</v>
      </c>
      <c r="Z134" s="49" t="s">
        <v>789</v>
      </c>
      <c r="AA134" s="49" t="s">
        <v>68</v>
      </c>
    </row>
    <row r="135" spans="3:27" x14ac:dyDescent="0.2">
      <c r="C135" s="42" t="s">
        <v>790</v>
      </c>
      <c r="D135" s="42" t="s">
        <v>791</v>
      </c>
      <c r="E135" s="43" t="s">
        <v>300</v>
      </c>
      <c r="F135" s="42" t="s">
        <v>132</v>
      </c>
      <c r="G135" s="42" t="s">
        <v>457</v>
      </c>
      <c r="H135" s="44"/>
      <c r="I135" s="42"/>
      <c r="X135" s="48">
        <v>4061</v>
      </c>
      <c r="Y135" s="49" t="s">
        <v>792</v>
      </c>
      <c r="Z135" s="49" t="s">
        <v>789</v>
      </c>
      <c r="AA135" s="49" t="s">
        <v>68</v>
      </c>
    </row>
    <row r="136" spans="3:27" x14ac:dyDescent="0.2">
      <c r="C136" s="42" t="s">
        <v>793</v>
      </c>
      <c r="D136" s="42" t="s">
        <v>794</v>
      </c>
      <c r="E136" s="43" t="s">
        <v>292</v>
      </c>
      <c r="F136" s="42" t="s">
        <v>132</v>
      </c>
      <c r="G136" s="42" t="s">
        <v>185</v>
      </c>
      <c r="H136" s="44"/>
      <c r="I136" s="42"/>
      <c r="X136" s="48">
        <v>4070</v>
      </c>
      <c r="Y136" s="49" t="s">
        <v>795</v>
      </c>
      <c r="Z136" s="49" t="s">
        <v>796</v>
      </c>
      <c r="AA136" s="49" t="s">
        <v>68</v>
      </c>
    </row>
    <row r="137" spans="3:27" x14ac:dyDescent="0.2">
      <c r="C137" s="42" t="s">
        <v>797</v>
      </c>
      <c r="D137" s="42" t="s">
        <v>798</v>
      </c>
      <c r="E137" s="43" t="s">
        <v>292</v>
      </c>
      <c r="F137" s="42" t="s">
        <v>132</v>
      </c>
      <c r="G137" s="42" t="s">
        <v>185</v>
      </c>
      <c r="H137" s="44"/>
      <c r="I137" s="42"/>
      <c r="X137" s="48">
        <v>4071</v>
      </c>
      <c r="Y137" s="49" t="s">
        <v>799</v>
      </c>
      <c r="Z137" s="49" t="s">
        <v>796</v>
      </c>
      <c r="AA137" s="49" t="s">
        <v>68</v>
      </c>
    </row>
    <row r="138" spans="3:27" x14ac:dyDescent="0.2">
      <c r="C138" s="42" t="s">
        <v>800</v>
      </c>
      <c r="D138" s="42" t="s">
        <v>801</v>
      </c>
      <c r="E138" s="43" t="s">
        <v>300</v>
      </c>
      <c r="F138" s="42" t="s">
        <v>55</v>
      </c>
      <c r="G138" s="42" t="s">
        <v>333</v>
      </c>
      <c r="H138" s="44"/>
      <c r="I138" s="42"/>
      <c r="X138" s="48">
        <v>4080</v>
      </c>
      <c r="Y138" s="49" t="s">
        <v>802</v>
      </c>
      <c r="Z138" s="49" t="s">
        <v>803</v>
      </c>
      <c r="AA138" s="49" t="s">
        <v>68</v>
      </c>
    </row>
    <row r="139" spans="3:27" x14ac:dyDescent="0.2">
      <c r="C139" s="42" t="s">
        <v>804</v>
      </c>
      <c r="D139" s="42" t="s">
        <v>805</v>
      </c>
      <c r="E139" s="43" t="s">
        <v>300</v>
      </c>
      <c r="F139" s="42" t="s">
        <v>132</v>
      </c>
      <c r="G139" s="42" t="s">
        <v>185</v>
      </c>
      <c r="H139" s="44"/>
      <c r="I139" s="42"/>
      <c r="X139" s="48">
        <v>4081</v>
      </c>
      <c r="Y139" s="49" t="s">
        <v>806</v>
      </c>
      <c r="Z139" s="49" t="s">
        <v>807</v>
      </c>
      <c r="AA139" s="49" t="s">
        <v>68</v>
      </c>
    </row>
    <row r="140" spans="3:27" x14ac:dyDescent="0.2">
      <c r="C140" s="42" t="s">
        <v>808</v>
      </c>
      <c r="D140" s="42" t="s">
        <v>133</v>
      </c>
      <c r="E140" s="43" t="s">
        <v>166</v>
      </c>
      <c r="F140" s="42" t="s">
        <v>55</v>
      </c>
      <c r="G140" s="42" t="s">
        <v>167</v>
      </c>
      <c r="H140" s="44"/>
      <c r="I140" s="42"/>
      <c r="X140" s="48">
        <v>4090</v>
      </c>
      <c r="Y140" s="49" t="s">
        <v>809</v>
      </c>
      <c r="Z140" s="49" t="s">
        <v>810</v>
      </c>
      <c r="AA140" s="49" t="s">
        <v>68</v>
      </c>
    </row>
    <row r="141" spans="3:27" x14ac:dyDescent="0.2">
      <c r="C141" s="42" t="s">
        <v>314</v>
      </c>
      <c r="D141" s="42" t="s">
        <v>811</v>
      </c>
      <c r="E141" s="43" t="s">
        <v>166</v>
      </c>
      <c r="F141" s="42" t="s">
        <v>132</v>
      </c>
      <c r="G141" s="42" t="s">
        <v>167</v>
      </c>
      <c r="H141" s="44"/>
      <c r="I141" s="42"/>
      <c r="X141" s="48">
        <v>4091</v>
      </c>
      <c r="Y141" s="49" t="s">
        <v>812</v>
      </c>
      <c r="Z141" s="49" t="s">
        <v>810</v>
      </c>
      <c r="AA141" s="49" t="s">
        <v>68</v>
      </c>
    </row>
    <row r="142" spans="3:27" x14ac:dyDescent="0.2">
      <c r="C142" s="42" t="s">
        <v>813</v>
      </c>
      <c r="D142" s="42" t="s">
        <v>814</v>
      </c>
      <c r="E142" s="43" t="s">
        <v>815</v>
      </c>
      <c r="F142" s="42" t="s">
        <v>132</v>
      </c>
      <c r="G142" s="42" t="s">
        <v>167</v>
      </c>
      <c r="H142" s="44"/>
      <c r="I142" s="42"/>
      <c r="X142" s="48">
        <v>5010</v>
      </c>
      <c r="Y142" s="49" t="s">
        <v>816</v>
      </c>
      <c r="Z142" s="49" t="s">
        <v>817</v>
      </c>
      <c r="AA142" s="49" t="s">
        <v>68</v>
      </c>
    </row>
    <row r="143" spans="3:27" x14ac:dyDescent="0.2">
      <c r="C143" s="42" t="s">
        <v>818</v>
      </c>
      <c r="D143" s="42" t="s">
        <v>815</v>
      </c>
      <c r="E143" s="43" t="s">
        <v>409</v>
      </c>
      <c r="F143" s="42" t="s">
        <v>55</v>
      </c>
      <c r="G143" s="42" t="s">
        <v>167</v>
      </c>
      <c r="H143" s="44"/>
      <c r="I143" s="42"/>
      <c r="X143" s="48">
        <v>5011</v>
      </c>
      <c r="Y143" s="49" t="s">
        <v>819</v>
      </c>
      <c r="Z143" s="49" t="s">
        <v>820</v>
      </c>
      <c r="AA143" s="49" t="s">
        <v>68</v>
      </c>
    </row>
    <row r="144" spans="3:27" x14ac:dyDescent="0.2">
      <c r="C144" s="42" t="s">
        <v>821</v>
      </c>
      <c r="D144" s="42" t="s">
        <v>822</v>
      </c>
      <c r="E144" s="43" t="s">
        <v>409</v>
      </c>
      <c r="F144" s="42" t="s">
        <v>132</v>
      </c>
      <c r="G144" s="42" t="s">
        <v>167</v>
      </c>
      <c r="H144" s="44"/>
      <c r="I144" s="42"/>
      <c r="X144" s="48">
        <v>5012</v>
      </c>
      <c r="Y144" s="49" t="s">
        <v>823</v>
      </c>
      <c r="Z144" s="49" t="s">
        <v>817</v>
      </c>
      <c r="AA144" s="49" t="s">
        <v>68</v>
      </c>
    </row>
    <row r="145" spans="3:27" x14ac:dyDescent="0.2">
      <c r="C145" s="42" t="s">
        <v>824</v>
      </c>
      <c r="D145" s="42" t="s">
        <v>825</v>
      </c>
      <c r="E145" s="43" t="s">
        <v>261</v>
      </c>
      <c r="F145" s="42" t="s">
        <v>540</v>
      </c>
      <c r="G145" s="42" t="s">
        <v>293</v>
      </c>
      <c r="H145" s="44"/>
      <c r="I145" s="42"/>
      <c r="X145" s="48">
        <v>5020</v>
      </c>
      <c r="Y145" s="49" t="s">
        <v>826</v>
      </c>
      <c r="Z145" s="49" t="s">
        <v>827</v>
      </c>
      <c r="AA145" s="49" t="s">
        <v>68</v>
      </c>
    </row>
    <row r="146" spans="3:27" x14ac:dyDescent="0.2">
      <c r="C146" s="42" t="s">
        <v>241</v>
      </c>
      <c r="D146" s="42" t="s">
        <v>828</v>
      </c>
      <c r="E146" s="43" t="s">
        <v>199</v>
      </c>
      <c r="F146" s="42" t="s">
        <v>132</v>
      </c>
      <c r="G146" s="42" t="s">
        <v>293</v>
      </c>
      <c r="H146" s="44"/>
      <c r="I146" s="42"/>
      <c r="X146" s="48">
        <v>5021</v>
      </c>
      <c r="Y146" s="49" t="s">
        <v>829</v>
      </c>
      <c r="Z146" s="49" t="s">
        <v>830</v>
      </c>
      <c r="AA146" s="49" t="s">
        <v>68</v>
      </c>
    </row>
    <row r="147" spans="3:27" x14ac:dyDescent="0.2">
      <c r="C147" s="42" t="s">
        <v>831</v>
      </c>
      <c r="D147" s="42" t="s">
        <v>832</v>
      </c>
      <c r="E147" s="43" t="s">
        <v>199</v>
      </c>
      <c r="F147" s="42" t="s">
        <v>132</v>
      </c>
      <c r="G147" s="42" t="s">
        <v>293</v>
      </c>
      <c r="H147" s="44"/>
      <c r="I147" s="42"/>
      <c r="X147" s="48">
        <v>5022</v>
      </c>
      <c r="Y147" s="49" t="s">
        <v>833</v>
      </c>
      <c r="Z147" s="49" t="s">
        <v>827</v>
      </c>
      <c r="AA147" s="49" t="s">
        <v>68</v>
      </c>
    </row>
    <row r="148" spans="3:27" x14ac:dyDescent="0.2">
      <c r="C148" s="42" t="s">
        <v>834</v>
      </c>
      <c r="D148" s="42" t="s">
        <v>835</v>
      </c>
      <c r="E148" s="43" t="s">
        <v>662</v>
      </c>
      <c r="F148" s="42" t="s">
        <v>55</v>
      </c>
      <c r="G148" s="42" t="s">
        <v>293</v>
      </c>
      <c r="H148" s="44"/>
      <c r="I148" s="42"/>
      <c r="X148" s="48">
        <v>5030</v>
      </c>
      <c r="Y148" s="49" t="s">
        <v>836</v>
      </c>
      <c r="Z148" s="49" t="s">
        <v>827</v>
      </c>
      <c r="AA148" s="49" t="s">
        <v>68</v>
      </c>
    </row>
    <row r="149" spans="3:27" x14ac:dyDescent="0.2">
      <c r="C149" s="42" t="s">
        <v>837</v>
      </c>
      <c r="D149" s="42" t="s">
        <v>838</v>
      </c>
      <c r="E149" s="43" t="s">
        <v>199</v>
      </c>
      <c r="F149" s="42" t="s">
        <v>132</v>
      </c>
      <c r="G149" s="42" t="s">
        <v>293</v>
      </c>
      <c r="H149" s="44"/>
      <c r="I149" s="42"/>
      <c r="X149" s="48">
        <v>5031</v>
      </c>
      <c r="Y149" s="49" t="s">
        <v>839</v>
      </c>
      <c r="Z149" s="49" t="s">
        <v>820</v>
      </c>
      <c r="AA149" s="49" t="s">
        <v>68</v>
      </c>
    </row>
    <row r="150" spans="3:27" x14ac:dyDescent="0.2">
      <c r="C150" s="42" t="s">
        <v>366</v>
      </c>
      <c r="D150" s="42" t="s">
        <v>840</v>
      </c>
      <c r="E150" s="43" t="s">
        <v>184</v>
      </c>
      <c r="F150" s="42" t="s">
        <v>132</v>
      </c>
      <c r="G150" s="42" t="s">
        <v>293</v>
      </c>
      <c r="H150" s="44"/>
      <c r="I150" s="42"/>
      <c r="X150" s="48">
        <v>5032</v>
      </c>
      <c r="Y150" s="49" t="s">
        <v>841</v>
      </c>
      <c r="Z150" s="49" t="s">
        <v>827</v>
      </c>
      <c r="AA150" s="49" t="s">
        <v>68</v>
      </c>
    </row>
    <row r="151" spans="3:27" x14ac:dyDescent="0.2">
      <c r="C151" s="42" t="s">
        <v>842</v>
      </c>
      <c r="D151" s="42" t="s">
        <v>843</v>
      </c>
      <c r="E151" s="43" t="s">
        <v>184</v>
      </c>
      <c r="F151" s="42" t="s">
        <v>132</v>
      </c>
      <c r="G151" s="42" t="s">
        <v>293</v>
      </c>
      <c r="H151" s="44"/>
      <c r="I151" s="42"/>
      <c r="X151" s="48">
        <v>5040</v>
      </c>
      <c r="Y151" s="49" t="s">
        <v>844</v>
      </c>
      <c r="Z151" s="49" t="s">
        <v>827</v>
      </c>
      <c r="AA151" s="49" t="s">
        <v>68</v>
      </c>
    </row>
    <row r="152" spans="3:27" x14ac:dyDescent="0.2">
      <c r="C152" s="42" t="s">
        <v>845</v>
      </c>
      <c r="D152" s="42" t="s">
        <v>846</v>
      </c>
      <c r="E152" s="43" t="s">
        <v>215</v>
      </c>
      <c r="F152" s="42" t="s">
        <v>55</v>
      </c>
      <c r="G152" s="42" t="s">
        <v>293</v>
      </c>
      <c r="H152" s="44"/>
      <c r="I152" s="42"/>
      <c r="X152" s="48">
        <v>5041</v>
      </c>
      <c r="Y152" s="49" t="s">
        <v>847</v>
      </c>
      <c r="Z152" s="49" t="s">
        <v>820</v>
      </c>
      <c r="AA152" s="49" t="s">
        <v>68</v>
      </c>
    </row>
    <row r="153" spans="3:27" x14ac:dyDescent="0.2">
      <c r="C153" s="42" t="s">
        <v>848</v>
      </c>
      <c r="D153" s="42" t="s">
        <v>849</v>
      </c>
      <c r="E153" s="43" t="s">
        <v>215</v>
      </c>
      <c r="F153" s="42" t="s">
        <v>132</v>
      </c>
      <c r="G153" s="42" t="s">
        <v>293</v>
      </c>
      <c r="H153" s="44"/>
      <c r="I153" s="42"/>
      <c r="X153" s="48">
        <v>5042</v>
      </c>
      <c r="Y153" s="49" t="s">
        <v>850</v>
      </c>
      <c r="Z153" s="49" t="s">
        <v>827</v>
      </c>
      <c r="AA153" s="49" t="s">
        <v>68</v>
      </c>
    </row>
    <row r="154" spans="3:27" x14ac:dyDescent="0.2">
      <c r="C154" s="42" t="s">
        <v>493</v>
      </c>
      <c r="D154" s="42" t="s">
        <v>851</v>
      </c>
      <c r="E154" s="43" t="s">
        <v>456</v>
      </c>
      <c r="F154" s="42" t="s">
        <v>132</v>
      </c>
      <c r="G154" s="42" t="s">
        <v>293</v>
      </c>
      <c r="H154" s="44"/>
      <c r="I154" s="42"/>
      <c r="X154" s="48">
        <v>5050</v>
      </c>
      <c r="Y154" s="49" t="s">
        <v>852</v>
      </c>
      <c r="Z154" s="49" t="s">
        <v>827</v>
      </c>
      <c r="AA154" s="49" t="s">
        <v>68</v>
      </c>
    </row>
    <row r="155" spans="3:27" x14ac:dyDescent="0.2">
      <c r="C155" s="42" t="s">
        <v>853</v>
      </c>
      <c r="D155" s="42" t="s">
        <v>854</v>
      </c>
      <c r="E155" s="43" t="s">
        <v>456</v>
      </c>
      <c r="F155" s="42" t="s">
        <v>132</v>
      </c>
      <c r="G155" s="42" t="s">
        <v>293</v>
      </c>
      <c r="H155" s="44"/>
      <c r="I155" s="42"/>
      <c r="X155" s="48">
        <v>5051</v>
      </c>
      <c r="Y155" s="49" t="s">
        <v>855</v>
      </c>
      <c r="Z155" s="49" t="s">
        <v>820</v>
      </c>
      <c r="AA155" s="49" t="s">
        <v>68</v>
      </c>
    </row>
    <row r="156" spans="3:27" x14ac:dyDescent="0.2">
      <c r="C156" s="42" t="s">
        <v>856</v>
      </c>
      <c r="D156" s="42" t="s">
        <v>857</v>
      </c>
      <c r="E156" s="43" t="s">
        <v>469</v>
      </c>
      <c r="F156" s="42" t="s">
        <v>55</v>
      </c>
      <c r="G156" s="42" t="s">
        <v>293</v>
      </c>
      <c r="H156" s="44"/>
      <c r="I156" s="42"/>
      <c r="X156" s="48">
        <v>5052</v>
      </c>
      <c r="Y156" s="49" t="s">
        <v>858</v>
      </c>
      <c r="Z156" s="49" t="s">
        <v>827</v>
      </c>
      <c r="AA156" s="49" t="s">
        <v>68</v>
      </c>
    </row>
    <row r="157" spans="3:27" x14ac:dyDescent="0.2">
      <c r="C157" s="42" t="s">
        <v>859</v>
      </c>
      <c r="D157" s="42" t="s">
        <v>860</v>
      </c>
      <c r="E157" s="43" t="s">
        <v>469</v>
      </c>
      <c r="F157" s="42" t="s">
        <v>132</v>
      </c>
      <c r="G157" s="42" t="s">
        <v>293</v>
      </c>
      <c r="H157" s="44"/>
      <c r="I157" s="42"/>
      <c r="X157" s="48">
        <v>5060</v>
      </c>
      <c r="Y157" s="49" t="s">
        <v>861</v>
      </c>
      <c r="Z157" s="49" t="s">
        <v>862</v>
      </c>
      <c r="AA157" s="49" t="s">
        <v>68</v>
      </c>
    </row>
    <row r="158" spans="3:27" x14ac:dyDescent="0.2">
      <c r="C158" s="42" t="s">
        <v>441</v>
      </c>
      <c r="D158" s="42" t="s">
        <v>863</v>
      </c>
      <c r="E158" s="43" t="s">
        <v>255</v>
      </c>
      <c r="F158" s="42" t="s">
        <v>132</v>
      </c>
      <c r="G158" s="42" t="s">
        <v>293</v>
      </c>
      <c r="H158" s="44"/>
      <c r="I158" s="42"/>
      <c r="X158" s="48">
        <v>5061</v>
      </c>
      <c r="Y158" s="49" t="s">
        <v>864</v>
      </c>
      <c r="Z158" s="49" t="s">
        <v>862</v>
      </c>
      <c r="AA158" s="49" t="s">
        <v>68</v>
      </c>
    </row>
    <row r="159" spans="3:27" x14ac:dyDescent="0.2">
      <c r="C159" s="42" t="s">
        <v>865</v>
      </c>
      <c r="D159" s="42" t="s">
        <v>866</v>
      </c>
      <c r="E159" s="43" t="s">
        <v>261</v>
      </c>
      <c r="F159" s="42" t="s">
        <v>132</v>
      </c>
      <c r="G159" s="42" t="s">
        <v>293</v>
      </c>
      <c r="H159" s="44"/>
      <c r="I159" s="42"/>
      <c r="X159" s="48">
        <v>5070</v>
      </c>
      <c r="Y159" s="49" t="s">
        <v>867</v>
      </c>
      <c r="Z159" s="49" t="s">
        <v>868</v>
      </c>
      <c r="AA159" s="49" t="s">
        <v>68</v>
      </c>
    </row>
    <row r="160" spans="3:27" x14ac:dyDescent="0.2">
      <c r="C160" s="42" t="s">
        <v>869</v>
      </c>
      <c r="D160" s="42" t="s">
        <v>870</v>
      </c>
      <c r="E160" s="43" t="s">
        <v>54</v>
      </c>
      <c r="F160" s="42" t="s">
        <v>55</v>
      </c>
      <c r="G160" s="42" t="s">
        <v>293</v>
      </c>
      <c r="H160" s="44"/>
      <c r="I160" s="42"/>
      <c r="X160" s="48">
        <v>5071</v>
      </c>
      <c r="Y160" s="49" t="s">
        <v>871</v>
      </c>
      <c r="Z160" s="49" t="s">
        <v>820</v>
      </c>
      <c r="AA160" s="49" t="s">
        <v>68</v>
      </c>
    </row>
    <row r="161" spans="3:27" x14ac:dyDescent="0.2">
      <c r="C161" s="42" t="s">
        <v>872</v>
      </c>
      <c r="D161" s="42" t="s">
        <v>873</v>
      </c>
      <c r="E161" s="43" t="s">
        <v>261</v>
      </c>
      <c r="F161" s="42" t="s">
        <v>132</v>
      </c>
      <c r="G161" s="42" t="s">
        <v>293</v>
      </c>
      <c r="H161" s="44"/>
      <c r="I161" s="42"/>
      <c r="X161" s="48">
        <v>5072</v>
      </c>
      <c r="Y161" s="49" t="s">
        <v>874</v>
      </c>
      <c r="Z161" s="49" t="s">
        <v>868</v>
      </c>
      <c r="AA161" s="49" t="s">
        <v>68</v>
      </c>
    </row>
    <row r="162" spans="3:27" x14ac:dyDescent="0.2">
      <c r="C162" s="42" t="s">
        <v>235</v>
      </c>
      <c r="D162" s="42" t="s">
        <v>875</v>
      </c>
      <c r="E162" s="43" t="s">
        <v>292</v>
      </c>
      <c r="F162" s="42" t="s">
        <v>132</v>
      </c>
      <c r="G162" s="42" t="s">
        <v>293</v>
      </c>
      <c r="H162" s="44"/>
      <c r="I162" s="42"/>
      <c r="X162" s="48">
        <v>5080</v>
      </c>
      <c r="Y162" s="49" t="s">
        <v>876</v>
      </c>
      <c r="Z162" s="49" t="s">
        <v>877</v>
      </c>
      <c r="AA162" s="49" t="s">
        <v>68</v>
      </c>
    </row>
    <row r="163" spans="3:27" x14ac:dyDescent="0.2">
      <c r="C163" s="42" t="s">
        <v>878</v>
      </c>
      <c r="D163" s="42" t="s">
        <v>879</v>
      </c>
      <c r="E163" s="43" t="s">
        <v>292</v>
      </c>
      <c r="F163" s="42" t="s">
        <v>132</v>
      </c>
      <c r="G163" s="42" t="s">
        <v>293</v>
      </c>
      <c r="H163" s="44"/>
      <c r="I163" s="42"/>
      <c r="X163" s="48">
        <v>5081</v>
      </c>
      <c r="Y163" s="49" t="s">
        <v>880</v>
      </c>
      <c r="Z163" s="49" t="s">
        <v>881</v>
      </c>
      <c r="AA163" s="49" t="s">
        <v>68</v>
      </c>
    </row>
    <row r="164" spans="3:27" x14ac:dyDescent="0.2">
      <c r="C164" s="42" t="s">
        <v>882</v>
      </c>
      <c r="D164" s="42" t="s">
        <v>883</v>
      </c>
      <c r="E164" s="43" t="s">
        <v>300</v>
      </c>
      <c r="F164" s="42" t="s">
        <v>55</v>
      </c>
      <c r="G164" s="42" t="s">
        <v>293</v>
      </c>
      <c r="H164" s="44"/>
      <c r="I164" s="42"/>
      <c r="X164" s="48">
        <v>5090</v>
      </c>
      <c r="Y164" s="49" t="s">
        <v>884</v>
      </c>
      <c r="Z164" s="49" t="s">
        <v>827</v>
      </c>
      <c r="AA164" s="49" t="s">
        <v>68</v>
      </c>
    </row>
    <row r="165" spans="3:27" x14ac:dyDescent="0.2">
      <c r="C165" s="42" t="s">
        <v>885</v>
      </c>
      <c r="D165" s="42" t="s">
        <v>886</v>
      </c>
      <c r="E165" s="43" t="s">
        <v>300</v>
      </c>
      <c r="F165" s="42" t="s">
        <v>132</v>
      </c>
      <c r="G165" s="42" t="s">
        <v>293</v>
      </c>
      <c r="H165" s="44"/>
      <c r="I165" s="42"/>
      <c r="X165" s="48">
        <v>5091</v>
      </c>
      <c r="Y165" s="49" t="s">
        <v>887</v>
      </c>
      <c r="Z165" s="49" t="s">
        <v>820</v>
      </c>
      <c r="AA165" s="49" t="s">
        <v>68</v>
      </c>
    </row>
    <row r="166" spans="3:27" x14ac:dyDescent="0.2">
      <c r="C166" s="42" t="s">
        <v>447</v>
      </c>
      <c r="D166" s="42" t="s">
        <v>888</v>
      </c>
      <c r="E166" s="43" t="s">
        <v>255</v>
      </c>
      <c r="F166" s="42" t="s">
        <v>132</v>
      </c>
      <c r="G166" s="42" t="s">
        <v>889</v>
      </c>
      <c r="H166" s="44"/>
      <c r="I166" s="42"/>
      <c r="X166" s="48">
        <v>5092</v>
      </c>
      <c r="Y166" s="49" t="s">
        <v>890</v>
      </c>
      <c r="Z166" s="49" t="s">
        <v>827</v>
      </c>
      <c r="AA166" s="49" t="s">
        <v>68</v>
      </c>
    </row>
    <row r="167" spans="3:27" x14ac:dyDescent="0.2">
      <c r="C167" s="42" t="s">
        <v>891</v>
      </c>
      <c r="D167" s="42" t="s">
        <v>892</v>
      </c>
      <c r="E167" s="43" t="s">
        <v>255</v>
      </c>
      <c r="F167" s="42" t="s">
        <v>132</v>
      </c>
      <c r="G167" s="42" t="s">
        <v>889</v>
      </c>
      <c r="H167" s="44"/>
      <c r="I167" s="42"/>
      <c r="X167" s="48">
        <v>5100</v>
      </c>
      <c r="Y167" s="49" t="s">
        <v>893</v>
      </c>
      <c r="Z167" s="49" t="s">
        <v>894</v>
      </c>
      <c r="AA167" s="49" t="s">
        <v>68</v>
      </c>
    </row>
    <row r="168" spans="3:27" x14ac:dyDescent="0.2">
      <c r="C168" s="42" t="s">
        <v>895</v>
      </c>
      <c r="D168" s="42" t="s">
        <v>896</v>
      </c>
      <c r="E168" s="43" t="s">
        <v>261</v>
      </c>
      <c r="F168" s="42" t="s">
        <v>55</v>
      </c>
      <c r="G168" s="42" t="s">
        <v>889</v>
      </c>
      <c r="H168" s="44"/>
      <c r="I168" s="42"/>
      <c r="X168" s="48">
        <v>5101</v>
      </c>
      <c r="Y168" s="49" t="s">
        <v>897</v>
      </c>
      <c r="Z168" s="49" t="s">
        <v>894</v>
      </c>
      <c r="AA168" s="49" t="s">
        <v>68</v>
      </c>
    </row>
    <row r="169" spans="3:27" x14ac:dyDescent="0.2">
      <c r="C169" s="42" t="s">
        <v>898</v>
      </c>
      <c r="D169" s="42" t="s">
        <v>899</v>
      </c>
      <c r="E169" s="43" t="s">
        <v>261</v>
      </c>
      <c r="F169" s="42" t="s">
        <v>132</v>
      </c>
      <c r="G169" s="42" t="s">
        <v>889</v>
      </c>
      <c r="H169" s="44"/>
      <c r="I169" s="42"/>
      <c r="X169" s="48">
        <v>5110</v>
      </c>
      <c r="Y169" s="49" t="s">
        <v>900</v>
      </c>
      <c r="Z169" s="49" t="s">
        <v>901</v>
      </c>
      <c r="AA169" s="49" t="s">
        <v>68</v>
      </c>
    </row>
    <row r="170" spans="3:27" x14ac:dyDescent="0.2">
      <c r="C170" s="42" t="s">
        <v>389</v>
      </c>
      <c r="D170" s="42" t="s">
        <v>902</v>
      </c>
      <c r="E170" s="43" t="s">
        <v>274</v>
      </c>
      <c r="F170" s="42" t="s">
        <v>132</v>
      </c>
      <c r="G170" s="42" t="s">
        <v>889</v>
      </c>
      <c r="H170" s="44"/>
      <c r="I170" s="42"/>
      <c r="X170" s="48">
        <v>5111</v>
      </c>
      <c r="Y170" s="49" t="s">
        <v>903</v>
      </c>
      <c r="Z170" s="49" t="s">
        <v>901</v>
      </c>
      <c r="AA170" s="49" t="s">
        <v>68</v>
      </c>
    </row>
    <row r="171" spans="3:27" x14ac:dyDescent="0.2">
      <c r="C171" s="42" t="s">
        <v>904</v>
      </c>
      <c r="D171" s="42" t="s">
        <v>905</v>
      </c>
      <c r="E171" s="43" t="s">
        <v>274</v>
      </c>
      <c r="F171" s="42" t="s">
        <v>132</v>
      </c>
      <c r="G171" s="42" t="s">
        <v>889</v>
      </c>
      <c r="H171" s="44"/>
      <c r="I171" s="42"/>
      <c r="X171" s="48">
        <v>5120</v>
      </c>
      <c r="Y171" s="49" t="s">
        <v>906</v>
      </c>
      <c r="Z171" s="49" t="s">
        <v>901</v>
      </c>
      <c r="AA171" s="49" t="s">
        <v>68</v>
      </c>
    </row>
    <row r="172" spans="3:27" x14ac:dyDescent="0.2">
      <c r="C172" s="42" t="s">
        <v>907</v>
      </c>
      <c r="D172" s="42" t="s">
        <v>908</v>
      </c>
      <c r="E172" s="43" t="s">
        <v>280</v>
      </c>
      <c r="F172" s="42" t="s">
        <v>55</v>
      </c>
      <c r="G172" s="42" t="s">
        <v>889</v>
      </c>
      <c r="H172" s="44"/>
      <c r="I172" s="42"/>
      <c r="X172" s="48">
        <v>5121</v>
      </c>
      <c r="Y172" s="49" t="s">
        <v>909</v>
      </c>
      <c r="Z172" s="49" t="s">
        <v>901</v>
      </c>
      <c r="AA172" s="49" t="s">
        <v>68</v>
      </c>
    </row>
    <row r="173" spans="3:27" x14ac:dyDescent="0.2">
      <c r="C173" s="42" t="s">
        <v>910</v>
      </c>
      <c r="D173" s="42" t="s">
        <v>911</v>
      </c>
      <c r="E173" s="43" t="s">
        <v>280</v>
      </c>
      <c r="F173" s="42" t="s">
        <v>132</v>
      </c>
      <c r="G173" s="42" t="s">
        <v>889</v>
      </c>
      <c r="H173" s="44"/>
      <c r="I173" s="42"/>
      <c r="X173" s="48">
        <v>5130</v>
      </c>
      <c r="Y173" s="49" t="s">
        <v>912</v>
      </c>
      <c r="Z173" s="49" t="s">
        <v>901</v>
      </c>
      <c r="AA173" s="49" t="s">
        <v>68</v>
      </c>
    </row>
    <row r="174" spans="3:27" x14ac:dyDescent="0.2">
      <c r="C174" s="42" t="s">
        <v>399</v>
      </c>
      <c r="D174" s="42" t="s">
        <v>913</v>
      </c>
      <c r="E174" s="43" t="s">
        <v>274</v>
      </c>
      <c r="F174" s="42" t="s">
        <v>132</v>
      </c>
      <c r="G174" s="42" t="s">
        <v>889</v>
      </c>
      <c r="H174" s="44"/>
      <c r="I174" s="42"/>
      <c r="X174" s="48">
        <v>5131</v>
      </c>
      <c r="Y174" s="49" t="s">
        <v>914</v>
      </c>
      <c r="Z174" s="49" t="s">
        <v>901</v>
      </c>
      <c r="AA174" s="49" t="s">
        <v>68</v>
      </c>
    </row>
    <row r="175" spans="3:27" x14ac:dyDescent="0.2">
      <c r="C175" s="42" t="s">
        <v>915</v>
      </c>
      <c r="D175" s="42" t="s">
        <v>916</v>
      </c>
      <c r="E175" s="43" t="s">
        <v>274</v>
      </c>
      <c r="F175" s="42" t="s">
        <v>132</v>
      </c>
      <c r="G175" s="42" t="s">
        <v>889</v>
      </c>
      <c r="H175" s="44"/>
      <c r="I175" s="42"/>
      <c r="X175" s="48">
        <v>5140</v>
      </c>
      <c r="Y175" s="49" t="s">
        <v>917</v>
      </c>
      <c r="Z175" s="49" t="s">
        <v>901</v>
      </c>
      <c r="AA175" s="49" t="s">
        <v>68</v>
      </c>
    </row>
    <row r="176" spans="3:27" x14ac:dyDescent="0.2">
      <c r="C176" s="42" t="s">
        <v>918</v>
      </c>
      <c r="D176" s="42" t="s">
        <v>919</v>
      </c>
      <c r="E176" s="43" t="s">
        <v>280</v>
      </c>
      <c r="F176" s="42" t="s">
        <v>55</v>
      </c>
      <c r="G176" s="42" t="s">
        <v>889</v>
      </c>
      <c r="H176" s="44"/>
      <c r="I176" s="42"/>
      <c r="X176" s="48">
        <v>5141</v>
      </c>
      <c r="Y176" s="49" t="s">
        <v>920</v>
      </c>
      <c r="Z176" s="49" t="s">
        <v>901</v>
      </c>
      <c r="AA176" s="49" t="s">
        <v>68</v>
      </c>
    </row>
    <row r="177" spans="3:27" x14ac:dyDescent="0.2">
      <c r="C177" s="42" t="s">
        <v>921</v>
      </c>
      <c r="D177" s="42" t="s">
        <v>922</v>
      </c>
      <c r="E177" s="43" t="s">
        <v>280</v>
      </c>
      <c r="F177" s="42" t="s">
        <v>132</v>
      </c>
      <c r="G177" s="42" t="s">
        <v>889</v>
      </c>
      <c r="H177" s="44"/>
      <c r="I177" s="42"/>
      <c r="X177" s="48">
        <v>5150</v>
      </c>
      <c r="Y177" s="49" t="s">
        <v>923</v>
      </c>
      <c r="Z177" s="49" t="s">
        <v>901</v>
      </c>
      <c r="AA177" s="49" t="s">
        <v>68</v>
      </c>
    </row>
    <row r="178" spans="3:27" x14ac:dyDescent="0.2">
      <c r="C178" s="42" t="s">
        <v>252</v>
      </c>
      <c r="D178" s="42" t="s">
        <v>924</v>
      </c>
      <c r="E178" s="43" t="s">
        <v>160</v>
      </c>
      <c r="F178" s="42" t="s">
        <v>132</v>
      </c>
      <c r="G178" s="42" t="s">
        <v>293</v>
      </c>
      <c r="H178" s="44"/>
      <c r="I178" s="42"/>
      <c r="X178" s="48">
        <v>5151</v>
      </c>
      <c r="Y178" s="49" t="s">
        <v>925</v>
      </c>
      <c r="Z178" s="49" t="s">
        <v>901</v>
      </c>
      <c r="AA178" s="49" t="s">
        <v>68</v>
      </c>
    </row>
    <row r="179" spans="3:27" x14ac:dyDescent="0.2">
      <c r="C179" s="42" t="s">
        <v>926</v>
      </c>
      <c r="D179" s="42" t="s">
        <v>927</v>
      </c>
      <c r="E179" s="43" t="s">
        <v>160</v>
      </c>
      <c r="F179" s="42" t="s">
        <v>132</v>
      </c>
      <c r="G179" s="42" t="s">
        <v>293</v>
      </c>
      <c r="H179" s="44"/>
      <c r="I179" s="42"/>
      <c r="X179" s="48">
        <v>7010</v>
      </c>
      <c r="Y179" s="49" t="s">
        <v>928</v>
      </c>
      <c r="Z179" s="49" t="s">
        <v>929</v>
      </c>
      <c r="AA179" s="49" t="s">
        <v>68</v>
      </c>
    </row>
    <row r="180" spans="3:27" x14ac:dyDescent="0.2">
      <c r="C180" s="42" t="s">
        <v>930</v>
      </c>
      <c r="D180" s="42" t="s">
        <v>931</v>
      </c>
      <c r="E180" s="43" t="s">
        <v>211</v>
      </c>
      <c r="F180" s="42" t="s">
        <v>55</v>
      </c>
      <c r="G180" s="42" t="s">
        <v>293</v>
      </c>
      <c r="H180" s="44"/>
      <c r="I180" s="42"/>
      <c r="X180" s="48">
        <v>7011</v>
      </c>
      <c r="Y180" s="49" t="s">
        <v>932</v>
      </c>
      <c r="Z180" s="49" t="s">
        <v>929</v>
      </c>
      <c r="AA180" s="49" t="s">
        <v>68</v>
      </c>
    </row>
    <row r="181" spans="3:27" x14ac:dyDescent="0.2">
      <c r="C181" s="42" t="s">
        <v>933</v>
      </c>
      <c r="D181" s="42" t="s">
        <v>934</v>
      </c>
      <c r="E181" s="43" t="s">
        <v>211</v>
      </c>
      <c r="F181" s="42" t="s">
        <v>132</v>
      </c>
      <c r="G181" s="42" t="s">
        <v>293</v>
      </c>
      <c r="H181" s="44"/>
      <c r="I181" s="42"/>
      <c r="X181" s="48">
        <v>7012</v>
      </c>
      <c r="Y181" s="49" t="s">
        <v>935</v>
      </c>
      <c r="Z181" s="49" t="s">
        <v>936</v>
      </c>
      <c r="AA181" s="49" t="s">
        <v>68</v>
      </c>
    </row>
    <row r="182" spans="3:27" x14ac:dyDescent="0.2">
      <c r="C182" s="42" t="s">
        <v>297</v>
      </c>
      <c r="D182" s="42" t="s">
        <v>937</v>
      </c>
      <c r="E182" s="43" t="s">
        <v>199</v>
      </c>
      <c r="F182" s="42" t="s">
        <v>132</v>
      </c>
      <c r="G182" s="42" t="s">
        <v>333</v>
      </c>
      <c r="H182" s="44"/>
      <c r="I182" s="42"/>
      <c r="X182" s="48">
        <v>7013</v>
      </c>
      <c r="Y182" s="49" t="s">
        <v>938</v>
      </c>
      <c r="Z182" s="49" t="s">
        <v>936</v>
      </c>
      <c r="AA182" s="49" t="s">
        <v>68</v>
      </c>
    </row>
    <row r="183" spans="3:27" x14ac:dyDescent="0.2">
      <c r="C183" s="42" t="s">
        <v>939</v>
      </c>
      <c r="D183" s="42" t="s">
        <v>940</v>
      </c>
      <c r="E183" s="43" t="s">
        <v>199</v>
      </c>
      <c r="F183" s="42" t="s">
        <v>132</v>
      </c>
      <c r="G183" s="42" t="s">
        <v>333</v>
      </c>
      <c r="H183" s="44"/>
      <c r="I183" s="42"/>
      <c r="X183" s="48">
        <v>7015</v>
      </c>
      <c r="Y183" s="49" t="s">
        <v>342</v>
      </c>
      <c r="Z183" s="49" t="s">
        <v>343</v>
      </c>
      <c r="AA183" s="49" t="s">
        <v>68</v>
      </c>
    </row>
    <row r="184" spans="3:27" x14ac:dyDescent="0.2">
      <c r="C184" s="42" t="s">
        <v>941</v>
      </c>
      <c r="D184" s="42" t="s">
        <v>942</v>
      </c>
      <c r="E184" s="43" t="s">
        <v>662</v>
      </c>
      <c r="F184" s="42" t="s">
        <v>55</v>
      </c>
      <c r="G184" s="42" t="s">
        <v>333</v>
      </c>
      <c r="H184" s="44"/>
      <c r="I184" s="42"/>
      <c r="X184" s="48">
        <v>7020</v>
      </c>
      <c r="Y184" s="49" t="s">
        <v>350</v>
      </c>
      <c r="Z184" s="49" t="s">
        <v>351</v>
      </c>
      <c r="AA184" s="49" t="s">
        <v>68</v>
      </c>
    </row>
    <row r="185" spans="3:27" x14ac:dyDescent="0.2">
      <c r="C185" s="42" t="s">
        <v>943</v>
      </c>
      <c r="D185" s="42" t="s">
        <v>944</v>
      </c>
      <c r="E185" s="43" t="s">
        <v>662</v>
      </c>
      <c r="F185" s="42" t="s">
        <v>132</v>
      </c>
      <c r="G185" s="42" t="s">
        <v>333</v>
      </c>
      <c r="H185" s="44"/>
      <c r="I185" s="42"/>
      <c r="X185" s="48">
        <v>7021</v>
      </c>
      <c r="Y185" s="49" t="s">
        <v>945</v>
      </c>
      <c r="Z185" s="49" t="s">
        <v>946</v>
      </c>
      <c r="AA185" s="49" t="s">
        <v>68</v>
      </c>
    </row>
    <row r="186" spans="3:27" x14ac:dyDescent="0.2">
      <c r="C186" s="42" t="s">
        <v>383</v>
      </c>
      <c r="D186" s="42" t="s">
        <v>947</v>
      </c>
      <c r="E186" s="43" t="s">
        <v>184</v>
      </c>
      <c r="F186" s="42" t="s">
        <v>132</v>
      </c>
      <c r="G186" s="42" t="s">
        <v>333</v>
      </c>
      <c r="H186" s="44"/>
      <c r="I186" s="42"/>
      <c r="X186" s="48">
        <v>7022</v>
      </c>
      <c r="Y186" s="49" t="s">
        <v>948</v>
      </c>
      <c r="Z186" s="49" t="s">
        <v>949</v>
      </c>
      <c r="AA186" s="49" t="s">
        <v>68</v>
      </c>
    </row>
    <row r="187" spans="3:27" x14ac:dyDescent="0.2">
      <c r="C187" s="42" t="s">
        <v>950</v>
      </c>
      <c r="D187" s="42" t="s">
        <v>951</v>
      </c>
      <c r="E187" s="43" t="s">
        <v>184</v>
      </c>
      <c r="F187" s="42" t="s">
        <v>132</v>
      </c>
      <c r="G187" s="42" t="s">
        <v>333</v>
      </c>
      <c r="H187" s="44"/>
      <c r="I187" s="42"/>
      <c r="X187" s="48">
        <v>7025</v>
      </c>
      <c r="Y187" s="49" t="s">
        <v>952</v>
      </c>
      <c r="Z187" s="49" t="s">
        <v>953</v>
      </c>
      <c r="AA187" s="49" t="s">
        <v>68</v>
      </c>
    </row>
    <row r="188" spans="3:27" x14ac:dyDescent="0.2">
      <c r="C188" s="42" t="s">
        <v>954</v>
      </c>
      <c r="D188" s="42" t="s">
        <v>955</v>
      </c>
      <c r="E188" s="43" t="s">
        <v>215</v>
      </c>
      <c r="F188" s="42" t="s">
        <v>55</v>
      </c>
      <c r="G188" s="42" t="s">
        <v>333</v>
      </c>
      <c r="H188" s="44"/>
      <c r="I188" s="42"/>
      <c r="X188" s="48">
        <v>7030</v>
      </c>
      <c r="Y188" s="49" t="s">
        <v>956</v>
      </c>
      <c r="Z188" s="49" t="s">
        <v>217</v>
      </c>
      <c r="AA188" s="49" t="s">
        <v>68</v>
      </c>
    </row>
    <row r="189" spans="3:27" x14ac:dyDescent="0.2">
      <c r="C189" s="42" t="s">
        <v>957</v>
      </c>
      <c r="D189" s="42" t="s">
        <v>958</v>
      </c>
      <c r="E189" s="43" t="s">
        <v>215</v>
      </c>
      <c r="F189" s="42" t="s">
        <v>132</v>
      </c>
      <c r="G189" s="42" t="s">
        <v>333</v>
      </c>
      <c r="H189" s="44"/>
      <c r="I189" s="42"/>
      <c r="X189" s="48">
        <v>7031</v>
      </c>
      <c r="Y189" s="49" t="s">
        <v>959</v>
      </c>
      <c r="Z189" s="49" t="s">
        <v>217</v>
      </c>
      <c r="AA189" s="49" t="s">
        <v>68</v>
      </c>
    </row>
    <row r="190" spans="3:27" x14ac:dyDescent="0.2">
      <c r="C190" s="42" t="s">
        <v>503</v>
      </c>
      <c r="D190" s="42" t="s">
        <v>960</v>
      </c>
      <c r="E190" s="43" t="s">
        <v>456</v>
      </c>
      <c r="F190" s="42" t="s">
        <v>132</v>
      </c>
      <c r="G190" s="42" t="s">
        <v>333</v>
      </c>
      <c r="H190" s="44"/>
      <c r="I190" s="42"/>
      <c r="X190" s="48">
        <v>7040</v>
      </c>
      <c r="Y190" s="49" t="s">
        <v>961</v>
      </c>
      <c r="Z190" s="49" t="s">
        <v>962</v>
      </c>
      <c r="AA190" s="49" t="s">
        <v>68</v>
      </c>
    </row>
    <row r="191" spans="3:27" x14ac:dyDescent="0.2">
      <c r="C191" s="42" t="s">
        <v>963</v>
      </c>
      <c r="D191" s="42" t="s">
        <v>964</v>
      </c>
      <c r="E191" s="43" t="s">
        <v>456</v>
      </c>
      <c r="F191" s="42" t="s">
        <v>132</v>
      </c>
      <c r="G191" s="42" t="s">
        <v>333</v>
      </c>
      <c r="H191" s="44"/>
      <c r="I191" s="42"/>
      <c r="X191" s="48">
        <v>7041</v>
      </c>
      <c r="Y191" s="49" t="s">
        <v>965</v>
      </c>
      <c r="Z191" s="49" t="s">
        <v>966</v>
      </c>
      <c r="AA191" s="49" t="s">
        <v>68</v>
      </c>
    </row>
    <row r="192" spans="3:27" x14ac:dyDescent="0.2">
      <c r="C192" s="42" t="s">
        <v>967</v>
      </c>
      <c r="D192" s="42" t="s">
        <v>968</v>
      </c>
      <c r="E192" s="43" t="s">
        <v>469</v>
      </c>
      <c r="F192" s="42" t="s">
        <v>55</v>
      </c>
      <c r="G192" s="42" t="s">
        <v>333</v>
      </c>
      <c r="H192" s="44"/>
      <c r="I192" s="42"/>
      <c r="X192" s="48">
        <v>7050</v>
      </c>
      <c r="Y192" s="49" t="s">
        <v>969</v>
      </c>
      <c r="Z192" s="49" t="s">
        <v>970</v>
      </c>
      <c r="AA192" s="49" t="s">
        <v>68</v>
      </c>
    </row>
    <row r="193" spans="3:27" x14ac:dyDescent="0.2">
      <c r="C193" s="42" t="s">
        <v>971</v>
      </c>
      <c r="D193" s="42" t="s">
        <v>972</v>
      </c>
      <c r="E193" s="43" t="s">
        <v>469</v>
      </c>
      <c r="F193" s="42" t="s">
        <v>132</v>
      </c>
      <c r="G193" s="42" t="s">
        <v>333</v>
      </c>
      <c r="H193" s="44"/>
      <c r="I193" s="42"/>
      <c r="X193" s="48">
        <v>7051</v>
      </c>
      <c r="Y193" s="49" t="s">
        <v>973</v>
      </c>
      <c r="Z193" s="49" t="s">
        <v>970</v>
      </c>
      <c r="AA193" s="49" t="s">
        <v>68</v>
      </c>
    </row>
    <row r="194" spans="3:27" x14ac:dyDescent="0.2">
      <c r="C194" s="42" t="s">
        <v>472</v>
      </c>
      <c r="D194" s="42" t="s">
        <v>974</v>
      </c>
      <c r="E194" s="43" t="s">
        <v>255</v>
      </c>
      <c r="F194" s="42" t="s">
        <v>132</v>
      </c>
      <c r="G194" s="42" t="s">
        <v>333</v>
      </c>
      <c r="H194" s="44"/>
      <c r="I194" s="42"/>
      <c r="X194" s="48">
        <v>7060</v>
      </c>
      <c r="Y194" s="49" t="s">
        <v>975</v>
      </c>
      <c r="Z194" s="49" t="s">
        <v>976</v>
      </c>
      <c r="AA194" s="49" t="s">
        <v>68</v>
      </c>
    </row>
    <row r="195" spans="3:27" x14ac:dyDescent="0.2">
      <c r="C195" s="42" t="s">
        <v>977</v>
      </c>
      <c r="D195" s="42" t="s">
        <v>978</v>
      </c>
      <c r="E195" s="43" t="s">
        <v>255</v>
      </c>
      <c r="F195" s="42" t="s">
        <v>132</v>
      </c>
      <c r="G195" s="42" t="s">
        <v>333</v>
      </c>
      <c r="H195" s="44"/>
      <c r="I195" s="42"/>
      <c r="X195" s="48">
        <v>7061</v>
      </c>
      <c r="Y195" s="49" t="s">
        <v>979</v>
      </c>
      <c r="Z195" s="49" t="s">
        <v>976</v>
      </c>
      <c r="AA195" s="49" t="s">
        <v>68</v>
      </c>
    </row>
    <row r="196" spans="3:27" x14ac:dyDescent="0.2">
      <c r="C196" s="42" t="s">
        <v>980</v>
      </c>
      <c r="D196" s="42" t="s">
        <v>981</v>
      </c>
      <c r="E196" s="43" t="s">
        <v>261</v>
      </c>
      <c r="F196" s="42" t="s">
        <v>55</v>
      </c>
      <c r="G196" s="42" t="s">
        <v>333</v>
      </c>
      <c r="H196" s="44"/>
      <c r="I196" s="42"/>
      <c r="X196" s="48">
        <v>7070</v>
      </c>
      <c r="Y196" s="49" t="s">
        <v>982</v>
      </c>
      <c r="Z196" s="49" t="s">
        <v>983</v>
      </c>
      <c r="AA196" s="49" t="s">
        <v>68</v>
      </c>
    </row>
    <row r="197" spans="3:27" x14ac:dyDescent="0.2">
      <c r="C197" s="42" t="s">
        <v>984</v>
      </c>
      <c r="D197" s="42" t="s">
        <v>985</v>
      </c>
      <c r="E197" s="43" t="s">
        <v>261</v>
      </c>
      <c r="F197" s="42" t="s">
        <v>132</v>
      </c>
      <c r="G197" s="42" t="s">
        <v>333</v>
      </c>
      <c r="H197" s="44"/>
      <c r="I197" s="42"/>
      <c r="X197" s="48">
        <v>7071</v>
      </c>
      <c r="Y197" s="49" t="s">
        <v>986</v>
      </c>
      <c r="Z197" s="49" t="s">
        <v>983</v>
      </c>
      <c r="AA197" s="49" t="s">
        <v>68</v>
      </c>
    </row>
    <row r="198" spans="3:27" x14ac:dyDescent="0.2">
      <c r="C198" s="42" t="s">
        <v>289</v>
      </c>
      <c r="D198" s="42" t="s">
        <v>987</v>
      </c>
      <c r="E198" s="43" t="s">
        <v>292</v>
      </c>
      <c r="F198" s="42" t="s">
        <v>132</v>
      </c>
      <c r="G198" s="42" t="s">
        <v>333</v>
      </c>
      <c r="H198" s="44"/>
      <c r="I198" s="42"/>
      <c r="X198" s="48">
        <v>7080</v>
      </c>
      <c r="Y198" s="49" t="s">
        <v>988</v>
      </c>
      <c r="Z198" s="49" t="s">
        <v>989</v>
      </c>
      <c r="AA198" s="49" t="s">
        <v>68</v>
      </c>
    </row>
    <row r="199" spans="3:27" x14ac:dyDescent="0.2">
      <c r="C199" s="42" t="s">
        <v>990</v>
      </c>
      <c r="D199" s="42" t="s">
        <v>991</v>
      </c>
      <c r="E199" s="43" t="s">
        <v>292</v>
      </c>
      <c r="F199" s="42" t="s">
        <v>132</v>
      </c>
      <c r="G199" s="42" t="s">
        <v>333</v>
      </c>
      <c r="H199" s="44"/>
      <c r="I199" s="42"/>
      <c r="X199" s="48">
        <v>7090</v>
      </c>
      <c r="Y199" s="49" t="s">
        <v>992</v>
      </c>
      <c r="Z199" s="49" t="s">
        <v>993</v>
      </c>
      <c r="AA199" s="49" t="s">
        <v>68</v>
      </c>
    </row>
    <row r="200" spans="3:27" x14ac:dyDescent="0.2">
      <c r="C200" s="42" t="s">
        <v>994</v>
      </c>
      <c r="D200" s="42" t="s">
        <v>995</v>
      </c>
      <c r="E200" s="43" t="s">
        <v>300</v>
      </c>
      <c r="F200" s="42" t="s">
        <v>55</v>
      </c>
      <c r="G200" s="42" t="s">
        <v>333</v>
      </c>
      <c r="H200" s="44"/>
      <c r="I200" s="42"/>
      <c r="X200" s="48">
        <v>7091</v>
      </c>
      <c r="Y200" s="49" t="s">
        <v>996</v>
      </c>
      <c r="Z200" s="49" t="s">
        <v>993</v>
      </c>
      <c r="AA200" s="49" t="s">
        <v>68</v>
      </c>
    </row>
    <row r="201" spans="3:27" x14ac:dyDescent="0.2">
      <c r="C201" s="42" t="s">
        <v>997</v>
      </c>
      <c r="D201" s="42" t="s">
        <v>998</v>
      </c>
      <c r="E201" s="43" t="s">
        <v>300</v>
      </c>
      <c r="F201" s="42" t="s">
        <v>132</v>
      </c>
      <c r="G201" s="42" t="s">
        <v>333</v>
      </c>
      <c r="H201" s="44"/>
      <c r="I201" s="42"/>
      <c r="X201" s="48">
        <v>7120</v>
      </c>
      <c r="Y201" s="49" t="s">
        <v>999</v>
      </c>
      <c r="Z201" s="49" t="s">
        <v>1000</v>
      </c>
      <c r="AA201" s="49" t="s">
        <v>68</v>
      </c>
    </row>
    <row r="202" spans="3:27" x14ac:dyDescent="0.2">
      <c r="C202" s="42" t="s">
        <v>1001</v>
      </c>
      <c r="D202" s="42" t="s">
        <v>1002</v>
      </c>
      <c r="E202" s="43" t="s">
        <v>292</v>
      </c>
      <c r="F202" s="42" t="s">
        <v>55</v>
      </c>
      <c r="G202" s="42" t="s">
        <v>333</v>
      </c>
      <c r="H202" s="44"/>
      <c r="I202" s="42"/>
      <c r="X202" s="48">
        <v>7140</v>
      </c>
      <c r="Y202" s="49" t="s">
        <v>1003</v>
      </c>
      <c r="Z202" s="49" t="s">
        <v>1004</v>
      </c>
      <c r="AA202" s="49" t="s">
        <v>68</v>
      </c>
    </row>
    <row r="203" spans="3:27" x14ac:dyDescent="0.2">
      <c r="C203" s="42" t="s">
        <v>1005</v>
      </c>
      <c r="D203" s="42" t="s">
        <v>1006</v>
      </c>
      <c r="E203" s="43" t="s">
        <v>100</v>
      </c>
      <c r="F203" s="42" t="s">
        <v>55</v>
      </c>
      <c r="G203" s="42" t="s">
        <v>1007</v>
      </c>
      <c r="H203" s="44"/>
      <c r="I203" s="42"/>
      <c r="X203" s="48">
        <v>7141</v>
      </c>
      <c r="Y203" s="49" t="s">
        <v>1008</v>
      </c>
      <c r="Z203" s="49" t="s">
        <v>1009</v>
      </c>
      <c r="AA203" s="49" t="s">
        <v>68</v>
      </c>
    </row>
    <row r="204" spans="3:27" x14ac:dyDescent="0.2">
      <c r="C204" s="42" t="s">
        <v>271</v>
      </c>
      <c r="D204" s="42" t="s">
        <v>1010</v>
      </c>
      <c r="E204" s="43" t="s">
        <v>199</v>
      </c>
      <c r="F204" s="42" t="s">
        <v>132</v>
      </c>
      <c r="G204" s="42" t="s">
        <v>1007</v>
      </c>
      <c r="H204" s="44"/>
      <c r="I204" s="42"/>
      <c r="X204" s="48">
        <v>9001</v>
      </c>
      <c r="Y204" s="49" t="s">
        <v>1011</v>
      </c>
      <c r="Z204" s="49" t="s">
        <v>1012</v>
      </c>
      <c r="AA204" s="49" t="s">
        <v>68</v>
      </c>
    </row>
    <row r="205" spans="3:27" x14ac:dyDescent="0.2">
      <c r="C205" s="42" t="s">
        <v>1013</v>
      </c>
      <c r="D205" s="42" t="s">
        <v>1014</v>
      </c>
      <c r="E205" s="43" t="s">
        <v>199</v>
      </c>
      <c r="F205" s="42" t="s">
        <v>132</v>
      </c>
      <c r="G205" s="42" t="s">
        <v>1007</v>
      </c>
      <c r="H205" s="44"/>
      <c r="I205" s="42"/>
      <c r="X205" s="48">
        <v>9999</v>
      </c>
      <c r="Y205" s="49" t="s">
        <v>1015</v>
      </c>
      <c r="Z205" s="49" t="s">
        <v>1016</v>
      </c>
      <c r="AA205" s="49" t="s">
        <v>68</v>
      </c>
    </row>
    <row r="206" spans="3:27" x14ac:dyDescent="0.2">
      <c r="C206" s="42" t="s">
        <v>1017</v>
      </c>
      <c r="D206" s="42" t="s">
        <v>1018</v>
      </c>
      <c r="E206" s="43" t="s">
        <v>662</v>
      </c>
      <c r="F206" s="42" t="s">
        <v>55</v>
      </c>
      <c r="G206" s="42" t="s">
        <v>1007</v>
      </c>
      <c r="H206" s="44"/>
      <c r="I206" s="42"/>
      <c r="X206" s="48">
        <v>8000</v>
      </c>
      <c r="Y206" s="49" t="s">
        <v>1019</v>
      </c>
      <c r="Z206" s="49" t="s">
        <v>1019</v>
      </c>
      <c r="AA206" s="49" t="s">
        <v>1020</v>
      </c>
    </row>
    <row r="207" spans="3:27" x14ac:dyDescent="0.2">
      <c r="C207" s="42" t="s">
        <v>1021</v>
      </c>
      <c r="D207" s="42" t="s">
        <v>1022</v>
      </c>
      <c r="E207" s="43" t="s">
        <v>662</v>
      </c>
      <c r="F207" s="42" t="s">
        <v>132</v>
      </c>
      <c r="G207" s="42" t="s">
        <v>1007</v>
      </c>
      <c r="H207" s="44"/>
      <c r="I207" s="42"/>
      <c r="X207" s="48">
        <v>8001</v>
      </c>
      <c r="Y207" s="49" t="s">
        <v>1023</v>
      </c>
      <c r="Z207" s="49" t="s">
        <v>1023</v>
      </c>
      <c r="AA207" s="49" t="s">
        <v>1020</v>
      </c>
    </row>
    <row r="208" spans="3:27" x14ac:dyDescent="0.2">
      <c r="C208" s="42" t="s">
        <v>372</v>
      </c>
      <c r="D208" s="42" t="s">
        <v>1024</v>
      </c>
      <c r="E208" s="43" t="s">
        <v>184</v>
      </c>
      <c r="F208" s="42" t="s">
        <v>132</v>
      </c>
      <c r="G208" s="42" t="s">
        <v>1007</v>
      </c>
      <c r="H208" s="44"/>
      <c r="I208" s="42"/>
      <c r="X208" s="48">
        <v>8002</v>
      </c>
      <c r="Y208" s="49" t="s">
        <v>1025</v>
      </c>
      <c r="Z208" s="49" t="s">
        <v>1026</v>
      </c>
      <c r="AA208" s="49" t="s">
        <v>1020</v>
      </c>
    </row>
    <row r="209" spans="3:27" x14ac:dyDescent="0.2">
      <c r="C209" s="42" t="s">
        <v>1027</v>
      </c>
      <c r="D209" s="42" t="s">
        <v>1028</v>
      </c>
      <c r="E209" s="43" t="s">
        <v>184</v>
      </c>
      <c r="F209" s="42" t="s">
        <v>132</v>
      </c>
      <c r="G209" s="42" t="s">
        <v>1007</v>
      </c>
      <c r="H209" s="44"/>
      <c r="I209" s="42"/>
      <c r="X209" s="48">
        <v>8003</v>
      </c>
      <c r="Y209" s="49" t="s">
        <v>1029</v>
      </c>
      <c r="Z209" s="49" t="s">
        <v>1029</v>
      </c>
      <c r="AA209" s="49" t="s">
        <v>1020</v>
      </c>
    </row>
    <row r="210" spans="3:27" x14ac:dyDescent="0.2">
      <c r="C210" s="42" t="s">
        <v>1030</v>
      </c>
      <c r="D210" s="42" t="s">
        <v>1031</v>
      </c>
      <c r="E210" s="43" t="s">
        <v>215</v>
      </c>
      <c r="F210" s="42" t="s">
        <v>55</v>
      </c>
      <c r="G210" s="42" t="s">
        <v>1007</v>
      </c>
      <c r="H210" s="44"/>
      <c r="I210" s="42"/>
      <c r="X210" s="48">
        <v>8004</v>
      </c>
      <c r="Y210" s="49" t="s">
        <v>1032</v>
      </c>
      <c r="Z210" s="49" t="s">
        <v>1033</v>
      </c>
      <c r="AA210" s="49" t="s">
        <v>1020</v>
      </c>
    </row>
    <row r="211" spans="3:27" x14ac:dyDescent="0.2">
      <c r="C211" s="42" t="s">
        <v>1034</v>
      </c>
      <c r="D211" s="42" t="s">
        <v>1035</v>
      </c>
      <c r="E211" s="43" t="s">
        <v>215</v>
      </c>
      <c r="F211" s="42" t="s">
        <v>132</v>
      </c>
      <c r="G211" s="42" t="s">
        <v>1007</v>
      </c>
      <c r="H211" s="44"/>
      <c r="I211" s="42"/>
      <c r="X211" s="48">
        <v>8005</v>
      </c>
      <c r="Y211" s="49" t="s">
        <v>1011</v>
      </c>
      <c r="Z211" s="49" t="s">
        <v>1012</v>
      </c>
      <c r="AA211" s="49" t="s">
        <v>1020</v>
      </c>
    </row>
    <row r="212" spans="3:27" x14ac:dyDescent="0.2">
      <c r="C212" s="42" t="s">
        <v>498</v>
      </c>
      <c r="D212" s="42" t="s">
        <v>1036</v>
      </c>
      <c r="E212" s="43" t="s">
        <v>456</v>
      </c>
      <c r="F212" s="42" t="s">
        <v>132</v>
      </c>
      <c r="G212" s="42" t="s">
        <v>1007</v>
      </c>
      <c r="H212" s="44"/>
      <c r="I212" s="42"/>
      <c r="X212" s="48">
        <v>8006</v>
      </c>
      <c r="Y212" s="49" t="s">
        <v>1037</v>
      </c>
      <c r="Z212" s="49" t="s">
        <v>1038</v>
      </c>
      <c r="AA212" s="49" t="s">
        <v>1020</v>
      </c>
    </row>
    <row r="213" spans="3:27" x14ac:dyDescent="0.2">
      <c r="C213" s="42" t="s">
        <v>1039</v>
      </c>
      <c r="D213" s="42" t="s">
        <v>1040</v>
      </c>
      <c r="E213" s="43" t="s">
        <v>456</v>
      </c>
      <c r="F213" s="42" t="s">
        <v>132</v>
      </c>
      <c r="G213" s="42" t="s">
        <v>1007</v>
      </c>
      <c r="H213" s="44"/>
      <c r="I213" s="42"/>
    </row>
    <row r="214" spans="3:27" x14ac:dyDescent="0.2">
      <c r="C214" s="42" t="s">
        <v>1041</v>
      </c>
      <c r="D214" s="42" t="s">
        <v>1042</v>
      </c>
      <c r="E214" s="43" t="s">
        <v>469</v>
      </c>
      <c r="F214" s="42" t="s">
        <v>55</v>
      </c>
      <c r="G214" s="42" t="s">
        <v>1007</v>
      </c>
      <c r="H214" s="44"/>
      <c r="I214" s="42"/>
    </row>
    <row r="215" spans="3:27" x14ac:dyDescent="0.2">
      <c r="C215" s="42" t="s">
        <v>1043</v>
      </c>
      <c r="D215" s="42" t="s">
        <v>1044</v>
      </c>
      <c r="E215" s="43" t="s">
        <v>469</v>
      </c>
      <c r="F215" s="42" t="s">
        <v>132</v>
      </c>
      <c r="G215" s="42" t="s">
        <v>1007</v>
      </c>
      <c r="H215" s="44"/>
      <c r="I215" s="42"/>
    </row>
    <row r="216" spans="3:27" x14ac:dyDescent="0.2">
      <c r="C216" s="42" t="s">
        <v>453</v>
      </c>
      <c r="D216" s="42" t="s">
        <v>1045</v>
      </c>
      <c r="E216" s="43" t="s">
        <v>255</v>
      </c>
      <c r="F216" s="42" t="s">
        <v>132</v>
      </c>
      <c r="G216" s="42" t="s">
        <v>1007</v>
      </c>
      <c r="H216" s="44"/>
      <c r="I216" s="42"/>
    </row>
    <row r="217" spans="3:27" x14ac:dyDescent="0.2">
      <c r="C217" s="42" t="s">
        <v>1046</v>
      </c>
      <c r="D217" s="42" t="s">
        <v>1047</v>
      </c>
      <c r="E217" s="43" t="s">
        <v>255</v>
      </c>
      <c r="F217" s="42" t="s">
        <v>132</v>
      </c>
      <c r="G217" s="42" t="s">
        <v>1007</v>
      </c>
      <c r="H217" s="44"/>
      <c r="I217" s="42"/>
    </row>
    <row r="218" spans="3:27" x14ac:dyDescent="0.2">
      <c r="C218" s="42" t="s">
        <v>1048</v>
      </c>
      <c r="D218" s="42" t="s">
        <v>1049</v>
      </c>
      <c r="E218" s="43" t="s">
        <v>261</v>
      </c>
      <c r="F218" s="42" t="s">
        <v>55</v>
      </c>
      <c r="G218" s="42" t="s">
        <v>1007</v>
      </c>
      <c r="H218" s="44"/>
      <c r="I218" s="42"/>
    </row>
    <row r="219" spans="3:27" x14ac:dyDescent="0.2">
      <c r="C219" s="42" t="s">
        <v>1050</v>
      </c>
      <c r="D219" s="42" t="s">
        <v>1051</v>
      </c>
      <c r="E219" s="43" t="s">
        <v>261</v>
      </c>
      <c r="F219" s="42" t="s">
        <v>132</v>
      </c>
      <c r="G219" s="42" t="s">
        <v>1007</v>
      </c>
      <c r="H219" s="44"/>
      <c r="I219" s="42"/>
    </row>
    <row r="220" spans="3:27" x14ac:dyDescent="0.2">
      <c r="C220" s="42" t="s">
        <v>258</v>
      </c>
      <c r="D220" s="42" t="s">
        <v>1052</v>
      </c>
      <c r="E220" s="43" t="s">
        <v>292</v>
      </c>
      <c r="F220" s="42" t="s">
        <v>132</v>
      </c>
      <c r="G220" s="42" t="s">
        <v>1007</v>
      </c>
      <c r="H220" s="44"/>
      <c r="I220" s="42"/>
    </row>
    <row r="221" spans="3:27" x14ac:dyDescent="0.2">
      <c r="C221" s="42" t="s">
        <v>1053</v>
      </c>
      <c r="D221" s="42" t="s">
        <v>1054</v>
      </c>
      <c r="E221" s="43" t="s">
        <v>292</v>
      </c>
      <c r="F221" s="42" t="s">
        <v>132</v>
      </c>
      <c r="G221" s="42" t="s">
        <v>1007</v>
      </c>
      <c r="H221" s="44"/>
      <c r="I221" s="42"/>
    </row>
    <row r="222" spans="3:27" x14ac:dyDescent="0.2">
      <c r="C222" s="42" t="s">
        <v>1055</v>
      </c>
      <c r="D222" s="42" t="s">
        <v>1056</v>
      </c>
      <c r="E222" s="43" t="s">
        <v>300</v>
      </c>
      <c r="F222" s="42" t="s">
        <v>55</v>
      </c>
      <c r="G222" s="42" t="s">
        <v>1007</v>
      </c>
      <c r="H222" s="44"/>
      <c r="I222" s="42"/>
    </row>
    <row r="223" spans="3:27" x14ac:dyDescent="0.2">
      <c r="C223" s="42" t="s">
        <v>1057</v>
      </c>
      <c r="D223" s="42" t="s">
        <v>1058</v>
      </c>
      <c r="E223" s="43" t="s">
        <v>300</v>
      </c>
      <c r="F223" s="42" t="s">
        <v>132</v>
      </c>
      <c r="G223" s="42" t="s">
        <v>1007</v>
      </c>
      <c r="H223" s="44"/>
      <c r="I223" s="42"/>
    </row>
    <row r="224" spans="3:27" x14ac:dyDescent="0.2">
      <c r="C224" s="42" t="s">
        <v>461</v>
      </c>
      <c r="D224" s="42" t="s">
        <v>1059</v>
      </c>
      <c r="E224" s="43" t="s">
        <v>255</v>
      </c>
      <c r="F224" s="42" t="s">
        <v>132</v>
      </c>
      <c r="G224" s="42" t="s">
        <v>1060</v>
      </c>
      <c r="H224" s="44"/>
      <c r="I224" s="42"/>
    </row>
    <row r="225" spans="3:9" x14ac:dyDescent="0.2">
      <c r="C225" s="42" t="s">
        <v>1061</v>
      </c>
      <c r="D225" s="42" t="s">
        <v>1062</v>
      </c>
      <c r="E225" s="43" t="s">
        <v>255</v>
      </c>
      <c r="F225" s="42" t="s">
        <v>132</v>
      </c>
      <c r="G225" s="42" t="s">
        <v>1060</v>
      </c>
      <c r="H225" s="44"/>
      <c r="I225" s="42"/>
    </row>
    <row r="226" spans="3:9" x14ac:dyDescent="0.2">
      <c r="C226" s="42" t="s">
        <v>1063</v>
      </c>
      <c r="D226" s="42" t="s">
        <v>1064</v>
      </c>
      <c r="E226" s="43" t="s">
        <v>261</v>
      </c>
      <c r="F226" s="42" t="s">
        <v>55</v>
      </c>
      <c r="G226" s="42" t="s">
        <v>1060</v>
      </c>
      <c r="H226" s="44"/>
    </row>
    <row r="227" spans="3:9" x14ac:dyDescent="0.2">
      <c r="C227" s="42" t="s">
        <v>1065</v>
      </c>
      <c r="D227" s="42" t="s">
        <v>1066</v>
      </c>
      <c r="E227" s="43" t="s">
        <v>261</v>
      </c>
      <c r="F227" s="42" t="s">
        <v>132</v>
      </c>
      <c r="G227" s="42" t="s">
        <v>1060</v>
      </c>
      <c r="H227" s="44"/>
    </row>
    <row r="228" spans="3:9" x14ac:dyDescent="0.2">
      <c r="C228" s="42" t="s">
        <v>406</v>
      </c>
      <c r="D228" s="42" t="s">
        <v>1067</v>
      </c>
      <c r="E228" s="43" t="s">
        <v>274</v>
      </c>
      <c r="F228" s="42" t="s">
        <v>132</v>
      </c>
      <c r="G228" s="42" t="s">
        <v>1060</v>
      </c>
      <c r="H228" s="44"/>
    </row>
    <row r="229" spans="3:9" x14ac:dyDescent="0.2">
      <c r="C229" s="42" t="s">
        <v>1068</v>
      </c>
      <c r="D229" s="42" t="s">
        <v>1069</v>
      </c>
      <c r="E229" s="43" t="s">
        <v>274</v>
      </c>
      <c r="F229" s="42" t="s">
        <v>132</v>
      </c>
      <c r="G229" s="42" t="s">
        <v>1060</v>
      </c>
      <c r="H229" s="44"/>
    </row>
    <row r="230" spans="3:9" x14ac:dyDescent="0.2">
      <c r="C230" s="42" t="s">
        <v>1070</v>
      </c>
      <c r="D230" s="42" t="s">
        <v>1071</v>
      </c>
      <c r="E230" s="43" t="s">
        <v>280</v>
      </c>
      <c r="F230" s="42" t="s">
        <v>55</v>
      </c>
      <c r="G230" s="42" t="s">
        <v>1060</v>
      </c>
      <c r="H230" s="44"/>
    </row>
    <row r="231" spans="3:9" x14ac:dyDescent="0.2">
      <c r="C231" s="42" t="s">
        <v>1072</v>
      </c>
      <c r="D231" s="42" t="s">
        <v>1073</v>
      </c>
      <c r="E231" s="43" t="s">
        <v>274</v>
      </c>
      <c r="F231" s="42" t="s">
        <v>132</v>
      </c>
      <c r="G231" s="42" t="s">
        <v>1060</v>
      </c>
      <c r="H231" s="44"/>
    </row>
    <row r="232" spans="3:9" x14ac:dyDescent="0.2">
      <c r="C232" s="42" t="s">
        <v>412</v>
      </c>
      <c r="D232" s="42" t="s">
        <v>1074</v>
      </c>
      <c r="E232" s="43" t="s">
        <v>274</v>
      </c>
      <c r="F232" s="42" t="s">
        <v>132</v>
      </c>
      <c r="G232" s="42" t="s">
        <v>1060</v>
      </c>
      <c r="H232" s="44"/>
    </row>
    <row r="233" spans="3:9" x14ac:dyDescent="0.2">
      <c r="C233" s="42" t="s">
        <v>1075</v>
      </c>
      <c r="D233" s="42" t="s">
        <v>1076</v>
      </c>
      <c r="E233" s="43" t="s">
        <v>274</v>
      </c>
      <c r="F233" s="42" t="s">
        <v>132</v>
      </c>
      <c r="G233" s="42" t="s">
        <v>1060</v>
      </c>
      <c r="H233" s="44"/>
    </row>
    <row r="234" spans="3:9" x14ac:dyDescent="0.2">
      <c r="C234" s="42" t="s">
        <v>1077</v>
      </c>
      <c r="D234" s="42" t="s">
        <v>1078</v>
      </c>
      <c r="E234" s="43" t="s">
        <v>280</v>
      </c>
      <c r="F234" s="42" t="s">
        <v>55</v>
      </c>
      <c r="G234" s="42" t="s">
        <v>1060</v>
      </c>
      <c r="H234" s="44"/>
    </row>
    <row r="235" spans="3:9" x14ac:dyDescent="0.2">
      <c r="C235" s="42" t="s">
        <v>1079</v>
      </c>
      <c r="D235" s="42" t="s">
        <v>1080</v>
      </c>
      <c r="E235" s="43" t="s">
        <v>274</v>
      </c>
      <c r="F235" s="42" t="s">
        <v>132</v>
      </c>
      <c r="G235" s="42" t="s">
        <v>1060</v>
      </c>
      <c r="H235" s="44"/>
    </row>
    <row r="236" spans="3:9" x14ac:dyDescent="0.2">
      <c r="C236" s="42" t="s">
        <v>277</v>
      </c>
      <c r="D236" s="42" t="s">
        <v>1081</v>
      </c>
      <c r="E236" s="43" t="s">
        <v>160</v>
      </c>
      <c r="F236" s="42" t="s">
        <v>132</v>
      </c>
      <c r="G236" s="42" t="s">
        <v>1007</v>
      </c>
      <c r="H236" s="44"/>
    </row>
    <row r="237" spans="3:9" x14ac:dyDescent="0.2">
      <c r="C237" s="42" t="s">
        <v>1082</v>
      </c>
      <c r="D237" s="42" t="s">
        <v>1083</v>
      </c>
      <c r="E237" s="43" t="s">
        <v>160</v>
      </c>
      <c r="F237" s="42" t="s">
        <v>132</v>
      </c>
      <c r="G237" s="42" t="s">
        <v>1007</v>
      </c>
      <c r="H237" s="44"/>
    </row>
    <row r="238" spans="3:9" x14ac:dyDescent="0.2">
      <c r="C238" s="42" t="s">
        <v>1084</v>
      </c>
      <c r="D238" s="42" t="s">
        <v>1085</v>
      </c>
      <c r="E238" s="43" t="s">
        <v>211</v>
      </c>
      <c r="F238" s="42" t="s">
        <v>55</v>
      </c>
      <c r="G238" s="42" t="s">
        <v>1007</v>
      </c>
      <c r="H238" s="44"/>
    </row>
    <row r="239" spans="3:9" x14ac:dyDescent="0.2">
      <c r="C239" s="42" t="s">
        <v>1086</v>
      </c>
      <c r="D239" s="42" t="s">
        <v>1087</v>
      </c>
      <c r="E239" s="43" t="s">
        <v>160</v>
      </c>
      <c r="F239" s="42" t="s">
        <v>132</v>
      </c>
      <c r="G239" s="42" t="s">
        <v>1007</v>
      </c>
      <c r="H239" s="44"/>
    </row>
    <row r="240" spans="3:9" x14ac:dyDescent="0.2">
      <c r="C240" s="42" t="s">
        <v>1088</v>
      </c>
      <c r="D240" s="42" t="s">
        <v>1089</v>
      </c>
      <c r="E240" s="43" t="s">
        <v>292</v>
      </c>
      <c r="F240" s="42" t="s">
        <v>132</v>
      </c>
      <c r="G240" s="42" t="s">
        <v>563</v>
      </c>
      <c r="H240" s="44"/>
    </row>
    <row r="241" spans="3:8" x14ac:dyDescent="0.2">
      <c r="C241" s="42" t="s">
        <v>1090</v>
      </c>
      <c r="D241" s="42" t="s">
        <v>1091</v>
      </c>
      <c r="E241" s="43" t="s">
        <v>292</v>
      </c>
      <c r="F241" s="42" t="s">
        <v>132</v>
      </c>
      <c r="G241" s="42" t="s">
        <v>563</v>
      </c>
      <c r="H241" s="44"/>
    </row>
    <row r="242" spans="3:8" x14ac:dyDescent="0.2">
      <c r="C242" s="42" t="s">
        <v>1092</v>
      </c>
      <c r="D242" s="42" t="s">
        <v>1093</v>
      </c>
      <c r="E242" s="43" t="s">
        <v>300</v>
      </c>
      <c r="F242" s="42" t="s">
        <v>55</v>
      </c>
      <c r="G242" s="42" t="s">
        <v>563</v>
      </c>
      <c r="H242" s="44"/>
    </row>
    <row r="243" spans="3:8" x14ac:dyDescent="0.2">
      <c r="C243" s="42" t="s">
        <v>1094</v>
      </c>
      <c r="D243" s="42" t="s">
        <v>1095</v>
      </c>
      <c r="E243" s="43" t="s">
        <v>300</v>
      </c>
      <c r="F243" s="42" t="s">
        <v>132</v>
      </c>
      <c r="G243" s="42" t="s">
        <v>563</v>
      </c>
      <c r="H243" s="44"/>
    </row>
    <row r="244" spans="3:8" x14ac:dyDescent="0.2">
      <c r="C244" s="42" t="s">
        <v>1096</v>
      </c>
      <c r="D244" s="42" t="s">
        <v>1097</v>
      </c>
      <c r="E244" s="43" t="s">
        <v>292</v>
      </c>
      <c r="F244" s="42" t="s">
        <v>132</v>
      </c>
      <c r="G244" s="42" t="s">
        <v>563</v>
      </c>
      <c r="H244" s="44"/>
    </row>
    <row r="245" spans="3:8" x14ac:dyDescent="0.2">
      <c r="C245" s="42" t="s">
        <v>1098</v>
      </c>
      <c r="D245" s="42" t="s">
        <v>1099</v>
      </c>
      <c r="E245" s="43" t="s">
        <v>292</v>
      </c>
      <c r="F245" s="42" t="s">
        <v>132</v>
      </c>
      <c r="G245" s="42" t="s">
        <v>563</v>
      </c>
      <c r="H245" s="44"/>
    </row>
    <row r="246" spans="3:8" x14ac:dyDescent="0.2">
      <c r="C246" s="42" t="s">
        <v>1100</v>
      </c>
      <c r="D246" s="42" t="s">
        <v>1101</v>
      </c>
      <c r="E246" s="43" t="s">
        <v>300</v>
      </c>
      <c r="F246" s="42" t="s">
        <v>55</v>
      </c>
      <c r="G246" s="42" t="s">
        <v>333</v>
      </c>
      <c r="H246" s="44"/>
    </row>
    <row r="247" spans="3:8" x14ac:dyDescent="0.2">
      <c r="C247" s="42" t="s">
        <v>1102</v>
      </c>
      <c r="D247" s="42" t="s">
        <v>1103</v>
      </c>
      <c r="E247" s="43" t="s">
        <v>300</v>
      </c>
      <c r="F247" s="42" t="s">
        <v>132</v>
      </c>
      <c r="G247" s="42" t="s">
        <v>563</v>
      </c>
      <c r="H247" s="44"/>
    </row>
    <row r="248" spans="3:8" x14ac:dyDescent="0.2">
      <c r="C248" s="42" t="s">
        <v>523</v>
      </c>
      <c r="D248" s="42" t="s">
        <v>1104</v>
      </c>
      <c r="E248" s="43" t="s">
        <v>292</v>
      </c>
      <c r="F248" s="42" t="s">
        <v>132</v>
      </c>
      <c r="G248" s="42" t="s">
        <v>56</v>
      </c>
      <c r="H248" s="44"/>
    </row>
    <row r="249" spans="3:8" x14ac:dyDescent="0.2">
      <c r="C249" s="42" t="s">
        <v>1105</v>
      </c>
      <c r="D249" s="42" t="s">
        <v>1106</v>
      </c>
      <c r="E249" s="43" t="s">
        <v>292</v>
      </c>
      <c r="F249" s="42" t="s">
        <v>132</v>
      </c>
      <c r="G249" s="42" t="s">
        <v>56</v>
      </c>
      <c r="H249" s="44"/>
    </row>
    <row r="250" spans="3:8" x14ac:dyDescent="0.2">
      <c r="C250" s="42" t="s">
        <v>1107</v>
      </c>
      <c r="D250" s="42" t="s">
        <v>1108</v>
      </c>
      <c r="E250" s="43" t="s">
        <v>300</v>
      </c>
      <c r="F250" s="42" t="s">
        <v>55</v>
      </c>
      <c r="G250" s="42" t="s">
        <v>333</v>
      </c>
      <c r="H250" s="44"/>
    </row>
    <row r="251" spans="3:8" x14ac:dyDescent="0.2">
      <c r="C251" s="42" t="s">
        <v>1109</v>
      </c>
      <c r="D251" s="42" t="s">
        <v>1110</v>
      </c>
      <c r="E251" s="43" t="s">
        <v>300</v>
      </c>
      <c r="F251" s="42" t="s">
        <v>132</v>
      </c>
      <c r="G251" s="42" t="s">
        <v>56</v>
      </c>
      <c r="H251" s="44"/>
    </row>
    <row r="252" spans="3:8" x14ac:dyDescent="0.2">
      <c r="C252" s="42" t="s">
        <v>1111</v>
      </c>
      <c r="D252" s="42" t="s">
        <v>1112</v>
      </c>
      <c r="E252" s="43" t="s">
        <v>292</v>
      </c>
      <c r="F252" s="42" t="s">
        <v>55</v>
      </c>
      <c r="G252" s="42" t="s">
        <v>333</v>
      </c>
      <c r="H252" s="44"/>
    </row>
    <row r="253" spans="3:8" x14ac:dyDescent="0.2">
      <c r="C253" s="42" t="s">
        <v>558</v>
      </c>
      <c r="D253" s="42" t="s">
        <v>1113</v>
      </c>
      <c r="E253" s="43" t="s">
        <v>292</v>
      </c>
      <c r="F253" s="42" t="s">
        <v>132</v>
      </c>
      <c r="G253" s="42" t="s">
        <v>56</v>
      </c>
      <c r="H253" s="44"/>
    </row>
    <row r="254" spans="3:8" x14ac:dyDescent="0.2">
      <c r="C254" s="42" t="s">
        <v>1114</v>
      </c>
      <c r="D254" s="42" t="s">
        <v>1115</v>
      </c>
      <c r="E254" s="43" t="s">
        <v>292</v>
      </c>
      <c r="F254" s="42" t="s">
        <v>132</v>
      </c>
      <c r="G254" s="42" t="s">
        <v>56</v>
      </c>
      <c r="H254" s="44"/>
    </row>
    <row r="255" spans="3:8" x14ac:dyDescent="0.2">
      <c r="C255" s="42" t="s">
        <v>1116</v>
      </c>
      <c r="D255" s="42" t="s">
        <v>1117</v>
      </c>
      <c r="E255" s="43" t="s">
        <v>300</v>
      </c>
      <c r="F255" s="42" t="s">
        <v>55</v>
      </c>
      <c r="G255" s="42" t="s">
        <v>333</v>
      </c>
      <c r="H255" s="44"/>
    </row>
    <row r="256" spans="3:8" x14ac:dyDescent="0.2">
      <c r="C256" s="42" t="s">
        <v>1118</v>
      </c>
      <c r="D256" s="42" t="s">
        <v>1119</v>
      </c>
      <c r="E256" s="43" t="s">
        <v>300</v>
      </c>
      <c r="F256" s="42" t="s">
        <v>132</v>
      </c>
      <c r="G256" s="42" t="s">
        <v>56</v>
      </c>
      <c r="H256" s="44"/>
    </row>
    <row r="257" spans="3:8" x14ac:dyDescent="0.2">
      <c r="C257" s="42" t="s">
        <v>538</v>
      </c>
      <c r="D257" s="42" t="s">
        <v>1120</v>
      </c>
      <c r="E257" s="43" t="s">
        <v>292</v>
      </c>
      <c r="F257" s="42" t="s">
        <v>132</v>
      </c>
      <c r="G257" s="42" t="s">
        <v>293</v>
      </c>
      <c r="H257" s="44"/>
    </row>
    <row r="258" spans="3:8" x14ac:dyDescent="0.2">
      <c r="C258" s="42" t="s">
        <v>1121</v>
      </c>
      <c r="D258" s="42" t="s">
        <v>1122</v>
      </c>
      <c r="E258" s="43" t="s">
        <v>292</v>
      </c>
      <c r="F258" s="42" t="s">
        <v>132</v>
      </c>
      <c r="G258" s="42" t="s">
        <v>293</v>
      </c>
      <c r="H258" s="44"/>
    </row>
    <row r="259" spans="3:8" x14ac:dyDescent="0.2">
      <c r="C259" s="42" t="s">
        <v>1123</v>
      </c>
      <c r="D259" s="42" t="s">
        <v>1124</v>
      </c>
      <c r="E259" s="43" t="s">
        <v>300</v>
      </c>
      <c r="F259" s="42" t="s">
        <v>55</v>
      </c>
      <c r="G259" s="42" t="s">
        <v>333</v>
      </c>
      <c r="H259" s="44"/>
    </row>
    <row r="260" spans="3:8" x14ac:dyDescent="0.2">
      <c r="C260" s="42" t="s">
        <v>1125</v>
      </c>
      <c r="D260" s="42" t="s">
        <v>1126</v>
      </c>
      <c r="E260" s="43" t="s">
        <v>300</v>
      </c>
      <c r="F260" s="42" t="s">
        <v>132</v>
      </c>
      <c r="G260" s="42" t="s">
        <v>293</v>
      </c>
      <c r="H260" s="44"/>
    </row>
    <row r="261" spans="3:8" x14ac:dyDescent="0.2">
      <c r="C261" s="42" t="s">
        <v>308</v>
      </c>
      <c r="D261" s="42" t="s">
        <v>1127</v>
      </c>
      <c r="E261" s="43" t="s">
        <v>160</v>
      </c>
      <c r="F261" s="42" t="s">
        <v>132</v>
      </c>
      <c r="G261" s="42" t="s">
        <v>56</v>
      </c>
      <c r="H261" s="44"/>
    </row>
    <row r="262" spans="3:8" x14ac:dyDescent="0.2">
      <c r="C262" s="42" t="s">
        <v>1128</v>
      </c>
      <c r="D262" s="42" t="s">
        <v>1129</v>
      </c>
      <c r="E262" s="43" t="s">
        <v>160</v>
      </c>
      <c r="F262" s="42" t="s">
        <v>132</v>
      </c>
      <c r="G262" s="42" t="s">
        <v>56</v>
      </c>
      <c r="H262" s="44"/>
    </row>
    <row r="263" spans="3:8" x14ac:dyDescent="0.2">
      <c r="C263" s="42" t="s">
        <v>1130</v>
      </c>
      <c r="D263" s="42" t="s">
        <v>1131</v>
      </c>
      <c r="E263" s="43" t="s">
        <v>211</v>
      </c>
      <c r="F263" s="42" t="s">
        <v>55</v>
      </c>
      <c r="G263" s="42" t="s">
        <v>56</v>
      </c>
      <c r="H263" s="44"/>
    </row>
    <row r="264" spans="3:8" x14ac:dyDescent="0.2">
      <c r="C264" s="42" t="s">
        <v>1132</v>
      </c>
      <c r="D264" s="42" t="s">
        <v>1133</v>
      </c>
      <c r="E264" s="43" t="s">
        <v>211</v>
      </c>
      <c r="F264" s="42" t="s">
        <v>132</v>
      </c>
      <c r="G264" s="42" t="s">
        <v>56</v>
      </c>
      <c r="H264" s="44"/>
    </row>
    <row r="265" spans="3:8" x14ac:dyDescent="0.2">
      <c r="C265" s="42" t="s">
        <v>435</v>
      </c>
      <c r="D265" s="42" t="s">
        <v>1134</v>
      </c>
      <c r="E265" s="43" t="s">
        <v>238</v>
      </c>
      <c r="F265" s="42" t="s">
        <v>132</v>
      </c>
      <c r="G265" s="42" t="s">
        <v>56</v>
      </c>
      <c r="H265" s="44"/>
    </row>
    <row r="266" spans="3:8" x14ac:dyDescent="0.2">
      <c r="C266" s="42" t="s">
        <v>1135</v>
      </c>
      <c r="D266" s="42" t="s">
        <v>1136</v>
      </c>
      <c r="E266" s="43" t="s">
        <v>238</v>
      </c>
      <c r="F266" s="42" t="s">
        <v>132</v>
      </c>
      <c r="G266" s="42" t="s">
        <v>56</v>
      </c>
      <c r="H266" s="44"/>
    </row>
    <row r="267" spans="3:8" x14ac:dyDescent="0.2">
      <c r="C267" s="42" t="s">
        <v>1137</v>
      </c>
      <c r="D267" s="42" t="s">
        <v>1138</v>
      </c>
      <c r="E267" s="43" t="s">
        <v>244</v>
      </c>
      <c r="F267" s="42" t="s">
        <v>55</v>
      </c>
      <c r="G267" s="42" t="s">
        <v>56</v>
      </c>
      <c r="H267" s="44"/>
    </row>
    <row r="268" spans="3:8" x14ac:dyDescent="0.2">
      <c r="C268" s="42" t="s">
        <v>1139</v>
      </c>
      <c r="D268" s="42" t="s">
        <v>1140</v>
      </c>
      <c r="E268" s="43" t="s">
        <v>244</v>
      </c>
      <c r="F268" s="42" t="s">
        <v>132</v>
      </c>
      <c r="G268" s="42" t="s">
        <v>56</v>
      </c>
      <c r="H268" s="44"/>
    </row>
    <row r="269" spans="3:8" x14ac:dyDescent="0.2">
      <c r="C269" s="42" t="s">
        <v>466</v>
      </c>
      <c r="D269" s="42" t="s">
        <v>1141</v>
      </c>
      <c r="E269" s="43" t="s">
        <v>255</v>
      </c>
      <c r="F269" s="42" t="s">
        <v>132</v>
      </c>
      <c r="G269" s="42" t="s">
        <v>56</v>
      </c>
      <c r="H269" s="44"/>
    </row>
    <row r="270" spans="3:8" x14ac:dyDescent="0.2">
      <c r="C270" s="42" t="s">
        <v>1142</v>
      </c>
      <c r="D270" s="42" t="s">
        <v>1143</v>
      </c>
      <c r="E270" s="43" t="s">
        <v>255</v>
      </c>
      <c r="F270" s="42" t="s">
        <v>132</v>
      </c>
      <c r="G270" s="42" t="s">
        <v>56</v>
      </c>
      <c r="H270" s="44"/>
    </row>
    <row r="271" spans="3:8" x14ac:dyDescent="0.2">
      <c r="C271" s="42" t="s">
        <v>1144</v>
      </c>
      <c r="D271" s="42" t="s">
        <v>1145</v>
      </c>
      <c r="E271" s="43" t="s">
        <v>261</v>
      </c>
      <c r="F271" s="42" t="s">
        <v>55</v>
      </c>
      <c r="G271" s="42" t="s">
        <v>56</v>
      </c>
      <c r="H271" s="44"/>
    </row>
    <row r="272" spans="3:8" x14ac:dyDescent="0.2">
      <c r="C272" s="42" t="s">
        <v>1146</v>
      </c>
      <c r="D272" s="42" t="s">
        <v>1147</v>
      </c>
      <c r="E272" s="43" t="s">
        <v>261</v>
      </c>
      <c r="F272" s="42" t="s">
        <v>132</v>
      </c>
      <c r="G272" s="42" t="s">
        <v>56</v>
      </c>
      <c r="H272" s="44"/>
    </row>
    <row r="273" spans="3:8" x14ac:dyDescent="0.2">
      <c r="C273" s="42" t="s">
        <v>1148</v>
      </c>
      <c r="D273" s="42" t="s">
        <v>97</v>
      </c>
      <c r="E273" s="43" t="s">
        <v>1149</v>
      </c>
      <c r="F273" s="42" t="s">
        <v>132</v>
      </c>
      <c r="G273" s="42" t="s">
        <v>56</v>
      </c>
      <c r="H273" s="44"/>
    </row>
    <row r="274" spans="3:8" x14ac:dyDescent="0.2">
      <c r="C274" s="42" t="s">
        <v>478</v>
      </c>
      <c r="D274" s="42" t="s">
        <v>1150</v>
      </c>
      <c r="E274" s="65" t="s">
        <v>1149</v>
      </c>
      <c r="F274" s="42" t="s">
        <v>132</v>
      </c>
      <c r="G274" s="42" t="s">
        <v>56</v>
      </c>
      <c r="H274" s="44"/>
    </row>
    <row r="275" spans="3:8" x14ac:dyDescent="0.2">
      <c r="C275" s="42" t="s">
        <v>1151</v>
      </c>
      <c r="D275" s="42" t="s">
        <v>1152</v>
      </c>
      <c r="E275" s="65" t="s">
        <v>1149</v>
      </c>
      <c r="F275" s="42" t="s">
        <v>132</v>
      </c>
      <c r="G275" s="42" t="s">
        <v>56</v>
      </c>
      <c r="H275" s="44"/>
    </row>
    <row r="276" spans="3:8" x14ac:dyDescent="0.2">
      <c r="C276" s="42" t="s">
        <v>1153</v>
      </c>
      <c r="D276" s="42" t="s">
        <v>1154</v>
      </c>
      <c r="E276" s="66" t="s">
        <v>1155</v>
      </c>
      <c r="F276" s="42" t="s">
        <v>55</v>
      </c>
      <c r="G276" s="42" t="s">
        <v>56</v>
      </c>
      <c r="H276" s="44"/>
    </row>
    <row r="277" spans="3:8" x14ac:dyDescent="0.2">
      <c r="C277" s="42" t="s">
        <v>1156</v>
      </c>
      <c r="D277" s="42" t="s">
        <v>1157</v>
      </c>
      <c r="E277" s="66" t="s">
        <v>1155</v>
      </c>
      <c r="F277" s="42" t="s">
        <v>132</v>
      </c>
      <c r="G277" s="42" t="s">
        <v>56</v>
      </c>
      <c r="H277" s="44"/>
    </row>
    <row r="278" spans="3:8" x14ac:dyDescent="0.2">
      <c r="C278" s="42" t="s">
        <v>417</v>
      </c>
      <c r="D278" s="42" t="s">
        <v>1158</v>
      </c>
      <c r="E278" s="66" t="s">
        <v>1159</v>
      </c>
      <c r="F278" s="42" t="s">
        <v>132</v>
      </c>
      <c r="G278" s="42" t="s">
        <v>56</v>
      </c>
      <c r="H278" s="44"/>
    </row>
    <row r="279" spans="3:8" x14ac:dyDescent="0.2">
      <c r="C279" s="42" t="s">
        <v>1160</v>
      </c>
      <c r="D279" s="42" t="s">
        <v>1161</v>
      </c>
      <c r="E279" s="66" t="s">
        <v>1159</v>
      </c>
      <c r="F279" s="42" t="s">
        <v>132</v>
      </c>
      <c r="G279" s="42" t="s">
        <v>56</v>
      </c>
      <c r="H279" s="44"/>
    </row>
    <row r="280" spans="3:8" x14ac:dyDescent="0.2">
      <c r="C280" s="42" t="s">
        <v>1162</v>
      </c>
      <c r="D280" s="42" t="s">
        <v>1163</v>
      </c>
      <c r="E280" s="66" t="s">
        <v>326</v>
      </c>
      <c r="F280" s="42" t="s">
        <v>55</v>
      </c>
      <c r="G280" s="42" t="s">
        <v>56</v>
      </c>
      <c r="H280" s="44"/>
    </row>
    <row r="281" spans="3:8" x14ac:dyDescent="0.2">
      <c r="C281" s="42" t="s">
        <v>1164</v>
      </c>
      <c r="D281" s="42" t="s">
        <v>1165</v>
      </c>
      <c r="E281" s="66" t="s">
        <v>326</v>
      </c>
      <c r="F281" s="42" t="s">
        <v>132</v>
      </c>
      <c r="G281" s="42" t="s">
        <v>56</v>
      </c>
      <c r="H281" s="44"/>
    </row>
    <row r="282" spans="3:8" x14ac:dyDescent="0.2">
      <c r="C282" s="42" t="s">
        <v>423</v>
      </c>
      <c r="D282" s="42" t="s">
        <v>1166</v>
      </c>
      <c r="E282" s="66" t="s">
        <v>274</v>
      </c>
      <c r="F282" s="42" t="s">
        <v>132</v>
      </c>
      <c r="G282" s="42" t="s">
        <v>56</v>
      </c>
      <c r="H282" s="44"/>
    </row>
    <row r="283" spans="3:8" x14ac:dyDescent="0.2">
      <c r="C283" s="42" t="s">
        <v>1167</v>
      </c>
      <c r="D283" s="42" t="s">
        <v>1168</v>
      </c>
      <c r="E283" s="66" t="s">
        <v>274</v>
      </c>
      <c r="F283" s="42" t="s">
        <v>132</v>
      </c>
      <c r="G283" s="42" t="s">
        <v>56</v>
      </c>
      <c r="H283" s="44"/>
    </row>
    <row r="284" spans="3:8" x14ac:dyDescent="0.2">
      <c r="C284" s="42" t="s">
        <v>1169</v>
      </c>
      <c r="D284" s="42" t="s">
        <v>1170</v>
      </c>
      <c r="E284" s="66" t="s">
        <v>280</v>
      </c>
      <c r="F284" s="42" t="s">
        <v>55</v>
      </c>
      <c r="G284" s="42" t="s">
        <v>56</v>
      </c>
      <c r="H284" s="44"/>
    </row>
    <row r="285" spans="3:8" x14ac:dyDescent="0.2">
      <c r="C285" s="42" t="s">
        <v>1171</v>
      </c>
      <c r="D285" s="42" t="s">
        <v>1172</v>
      </c>
      <c r="E285" s="66" t="s">
        <v>280</v>
      </c>
      <c r="F285" s="42" t="s">
        <v>132</v>
      </c>
      <c r="G285" s="42" t="s">
        <v>56</v>
      </c>
      <c r="H285" s="44"/>
    </row>
    <row r="286" spans="3:8" x14ac:dyDescent="0.2">
      <c r="C286" s="42" t="s">
        <v>429</v>
      </c>
      <c r="D286" s="42" t="s">
        <v>1173</v>
      </c>
      <c r="E286" s="66" t="s">
        <v>274</v>
      </c>
      <c r="F286" s="42" t="s">
        <v>132</v>
      </c>
      <c r="G286" s="42" t="s">
        <v>56</v>
      </c>
      <c r="H286" s="44"/>
    </row>
    <row r="287" spans="3:8" x14ac:dyDescent="0.2">
      <c r="C287" s="42" t="s">
        <v>1174</v>
      </c>
      <c r="D287" s="42" t="s">
        <v>1175</v>
      </c>
      <c r="E287" s="66" t="s">
        <v>274</v>
      </c>
      <c r="F287" s="42" t="s">
        <v>132</v>
      </c>
      <c r="G287" s="42" t="s">
        <v>56</v>
      </c>
      <c r="H287" s="44"/>
    </row>
    <row r="288" spans="3:8" x14ac:dyDescent="0.2">
      <c r="C288" s="42" t="s">
        <v>1176</v>
      </c>
      <c r="D288" s="42" t="s">
        <v>1177</v>
      </c>
      <c r="E288" s="66" t="s">
        <v>280</v>
      </c>
      <c r="F288" s="42" t="s">
        <v>55</v>
      </c>
      <c r="G288" s="42" t="s">
        <v>56</v>
      </c>
      <c r="H288" s="44"/>
    </row>
    <row r="289" spans="3:8" x14ac:dyDescent="0.2">
      <c r="C289" s="42" t="s">
        <v>1178</v>
      </c>
      <c r="D289" s="42" t="s">
        <v>1179</v>
      </c>
      <c r="E289" s="66" t="s">
        <v>280</v>
      </c>
      <c r="F289" s="42" t="s">
        <v>132</v>
      </c>
      <c r="G289" s="42" t="s">
        <v>56</v>
      </c>
      <c r="H289" s="44"/>
    </row>
    <row r="290" spans="3:8" x14ac:dyDescent="0.2">
      <c r="C290" s="42" t="s">
        <v>1180</v>
      </c>
      <c r="D290" s="42" t="s">
        <v>1181</v>
      </c>
      <c r="E290" s="66" t="s">
        <v>238</v>
      </c>
      <c r="F290" s="42" t="s">
        <v>132</v>
      </c>
      <c r="G290" s="42" t="s">
        <v>682</v>
      </c>
      <c r="H290" s="44"/>
    </row>
    <row r="291" spans="3:8" x14ac:dyDescent="0.2">
      <c r="C291" s="42" t="s">
        <v>1182</v>
      </c>
      <c r="D291" s="42" t="s">
        <v>1183</v>
      </c>
      <c r="E291" s="66" t="s">
        <v>238</v>
      </c>
      <c r="F291" s="42" t="s">
        <v>132</v>
      </c>
      <c r="G291" s="42" t="s">
        <v>682</v>
      </c>
      <c r="H291" s="44"/>
    </row>
    <row r="292" spans="3:8" x14ac:dyDescent="0.2">
      <c r="C292" s="42" t="s">
        <v>1184</v>
      </c>
      <c r="D292" s="42" t="s">
        <v>1185</v>
      </c>
      <c r="E292" s="66" t="s">
        <v>244</v>
      </c>
      <c r="F292" s="42" t="s">
        <v>55</v>
      </c>
      <c r="G292" s="42" t="s">
        <v>682</v>
      </c>
      <c r="H292" s="44"/>
    </row>
    <row r="293" spans="3:8" x14ac:dyDescent="0.2">
      <c r="C293" s="42" t="s">
        <v>1186</v>
      </c>
      <c r="D293" s="42" t="s">
        <v>1187</v>
      </c>
      <c r="E293" s="66" t="s">
        <v>244</v>
      </c>
      <c r="F293" s="42" t="s">
        <v>132</v>
      </c>
      <c r="G293" s="42" t="s">
        <v>682</v>
      </c>
      <c r="H293" s="44"/>
    </row>
  </sheetData>
  <dataValidations count="2">
    <dataValidation type="list" allowBlank="1" showInputMessage="1" showErrorMessage="1" sqref="E983043:E983333 E65539:E65829 E131075:E131365 E196611:E196901 E262147:E262437 E327683:E327973 E393219:E393509 E458755:E459045 E524291:E524581 E589827:E590117 E655363:E655653 E720899:E721189 E786435:E786725 E851971:E852261 E917507:E917797" xr:uid="{228F4C76-EAD2-4257-9979-811F2E2A9F82}">
      <formula1>INDIRECT("Table5[GrpInO]")</formula1>
    </dataValidation>
    <dataValidation type="list" allowBlank="1" showInputMessage="1" showErrorMessage="1" sqref="I3" xr:uid="{9C3FA817-AEC0-4A87-9D2E-D180400F98DD}">
      <formula1>"M,D,W,S,C,B,N"</formula1>
    </dataValidation>
  </dataValidations>
  <pageMargins left="0.7" right="0.7" top="0.75" bottom="0.75" header="0.3" footer="0.3"/>
  <headerFooter>
    <oddFooter>&amp;C_x000D_&amp;1#&amp;"Calibri"&amp;8&amp;K000000 Aernnova Group confidential information. Limited use on a need-to-know basis. All rights reserved.</oddFooter>
  </headerFooter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L26"/>
  <sheetViews>
    <sheetView zoomScale="156" workbookViewId="0">
      <selection activeCell="O23" sqref="O23"/>
    </sheetView>
  </sheetViews>
  <sheetFormatPr defaultColWidth="16" defaultRowHeight="12.75" x14ac:dyDescent="0.2"/>
  <cols>
    <col min="1" max="1" width="2.796875" style="1" bestFit="1" customWidth="1"/>
    <col min="2" max="2" width="12.59765625" style="7" bestFit="1" customWidth="1"/>
    <col min="3" max="3" width="13.59765625" style="16" bestFit="1" customWidth="1"/>
    <col min="4" max="4" width="10.59765625" style="6" customWidth="1"/>
    <col min="5" max="5" width="11.59765625" style="6" bestFit="1" customWidth="1"/>
    <col min="6" max="6" width="10.59765625" style="16" bestFit="1" customWidth="1"/>
    <col min="7" max="7" width="8.19921875" style="6" customWidth="1"/>
    <col min="8" max="8" width="6" style="8" bestFit="1" customWidth="1"/>
    <col min="9" max="9" width="16" style="7"/>
    <col min="10" max="10" width="3.19921875" style="23" bestFit="1" customWidth="1"/>
    <col min="11" max="11" width="3.19921875" style="31" bestFit="1" customWidth="1"/>
    <col min="12" max="12" width="12.796875" style="23"/>
    <col min="13" max="16384" width="16" style="7"/>
  </cols>
  <sheetData>
    <row r="1" spans="1:12" s="1" customFormat="1" thickBot="1" x14ac:dyDescent="0.25">
      <c r="D1" s="2"/>
      <c r="E1" s="2"/>
      <c r="G1" s="2"/>
      <c r="H1" s="3"/>
      <c r="I1" s="1" t="s">
        <v>0</v>
      </c>
      <c r="K1" s="1" t="str">
        <f>IF(TRUE,"LNG","LNG")</f>
        <v>LNG</v>
      </c>
    </row>
    <row r="2" spans="1:12" ht="78" x14ac:dyDescent="0.2">
      <c r="B2" s="4" t="s">
        <v>1</v>
      </c>
      <c r="C2" s="5" t="str">
        <f ca="1">LEFT($D$5,FIND("[",$D$5)-1)</f>
        <v>C:\Users\127839\Downloads\Story\DataTracker\Projects\</v>
      </c>
      <c r="F2" s="7"/>
      <c r="G2" s="4" t="s">
        <v>2</v>
      </c>
      <c r="J2" s="32" t="s">
        <v>50</v>
      </c>
      <c r="K2" s="51" t="str">
        <f>IF(Detect_Language()=1033,"R","F")</f>
        <v>R</v>
      </c>
      <c r="L2" s="32"/>
    </row>
    <row r="3" spans="1:12" x14ac:dyDescent="0.2">
      <c r="A3" s="1" t="s">
        <v>3</v>
      </c>
      <c r="B3" s="9" t="s">
        <v>4</v>
      </c>
      <c r="C3" s="10" t="b">
        <f>(OsyS&lt;&gt;"M")</f>
        <v>1</v>
      </c>
      <c r="F3" s="7"/>
      <c r="G3" s="11" t="str" cm="1">
        <f t="array" ref="G3:G5">_xlfn._xlws.SORT(_xlfn.UNIQUE(TRANSPOSE(_xlfn.TEXTSPLIT(PrjX_Id,":"))))</f>
        <v>31199</v>
      </c>
      <c r="K3" s="51" t="str" cm="1">
        <f t="array" ref="K3">LEFT(Detect_OS(),1)</f>
        <v>W</v>
      </c>
    </row>
    <row r="4" spans="1:12" ht="11.25" x14ac:dyDescent="0.2">
      <c r="B4" s="12" t="s">
        <v>5</v>
      </c>
      <c r="C4" s="13" t="b">
        <f>(LngS="R")</f>
        <v>1</v>
      </c>
      <c r="D4" s="8"/>
      <c r="E4" s="8"/>
      <c r="F4" s="7"/>
      <c r="G4" s="11" t="str">
        <v>31200</v>
      </c>
    </row>
    <row r="5" spans="1:12" x14ac:dyDescent="0.2">
      <c r="B5" s="12" t="s">
        <v>6</v>
      </c>
      <c r="C5" s="13" t="str">
        <f ca="1">_xlfn.TEXTAFTER(D5,"]")</f>
        <v>InData</v>
      </c>
      <c r="D5" s="14" t="str" cm="1">
        <f t="array" aca="1" ref="D5" ca="1">CELL("filename",INDIRECT("A1"))</f>
        <v>C:\Users\127839\Downloads\Story\DataTracker\Projects\[OfbDetails.xlsm]InData</v>
      </c>
      <c r="F5" s="7"/>
      <c r="G5" s="11" t="str">
        <v>X</v>
      </c>
      <c r="K5" s="52"/>
    </row>
    <row r="6" spans="1:12" x14ac:dyDescent="0.2">
      <c r="B6" s="9" t="s">
        <v>7</v>
      </c>
      <c r="C6" s="15" t="str">
        <f>IF($D$11="X","X",Prj0_Id)&amp;":"&amp;IF($D$12="X","X",Prj1_Id)&amp;":"&amp;IF($D$13="X","X",Prj2_Id)</f>
        <v>31200:X:31199</v>
      </c>
      <c r="F6" s="7"/>
      <c r="K6" s="52"/>
    </row>
    <row r="7" spans="1:12" x14ac:dyDescent="0.2">
      <c r="B7" s="67" t="s">
        <v>13016</v>
      </c>
      <c r="C7" s="15">
        <v>3</v>
      </c>
      <c r="F7" s="7"/>
      <c r="K7" s="52"/>
    </row>
    <row r="8" spans="1:12" x14ac:dyDescent="0.2">
      <c r="F8" s="7"/>
      <c r="K8" s="53"/>
    </row>
    <row r="9" spans="1:12" x14ac:dyDescent="0.2">
      <c r="K9" s="53"/>
    </row>
    <row r="10" spans="1:12" ht="11.25" x14ac:dyDescent="0.2">
      <c r="B10" s="17" t="s">
        <v>8</v>
      </c>
      <c r="C10" s="18" t="s">
        <v>9</v>
      </c>
      <c r="D10" s="18" t="s">
        <v>10</v>
      </c>
      <c r="E10" s="18" t="s">
        <v>11</v>
      </c>
      <c r="F10" s="18" t="s">
        <v>12</v>
      </c>
      <c r="G10" s="18" t="s">
        <v>13</v>
      </c>
      <c r="K10" s="53"/>
    </row>
    <row r="11" spans="1:12" ht="11.25" x14ac:dyDescent="0.2">
      <c r="B11" s="17" t="s">
        <v>14</v>
      </c>
      <c r="C11" s="19">
        <v>31200</v>
      </c>
      <c r="D11" s="20" t="s">
        <v>15</v>
      </c>
      <c r="E11" s="19" t="str">
        <f>Prj0_Id&amp;"M"</f>
        <v>31200M</v>
      </c>
      <c r="F11" s="20" t="s">
        <v>16</v>
      </c>
      <c r="G11" s="20"/>
      <c r="H11" s="20"/>
    </row>
    <row r="12" spans="1:12" ht="11.25" x14ac:dyDescent="0.2">
      <c r="B12" s="17" t="s">
        <v>17</v>
      </c>
      <c r="C12" s="19" t="s">
        <v>16</v>
      </c>
      <c r="D12" s="20" t="s">
        <v>16</v>
      </c>
      <c r="E12" s="21" t="str">
        <f>_xlfn.LET(_xlpm.x,Prj1_Id,IF(_xlpm.x="X","X",_xlpm.x&amp;"M"))</f>
        <v>X</v>
      </c>
      <c r="F12" s="20" t="s">
        <v>16</v>
      </c>
      <c r="G12" s="20"/>
      <c r="H12" s="20"/>
    </row>
    <row r="13" spans="1:12" ht="11.25" x14ac:dyDescent="0.2">
      <c r="B13" s="17" t="s">
        <v>18</v>
      </c>
      <c r="C13" s="19" t="s">
        <v>19</v>
      </c>
      <c r="D13" s="20" t="s">
        <v>15</v>
      </c>
      <c r="E13" s="21" t="str">
        <f>Prj2_Id&amp;"M"</f>
        <v>31199M</v>
      </c>
      <c r="F13" s="20" t="s">
        <v>16</v>
      </c>
      <c r="G13" s="20"/>
    </row>
    <row r="15" spans="1:12" x14ac:dyDescent="0.2">
      <c r="B15" s="22"/>
      <c r="C15" s="22"/>
      <c r="D15" s="22"/>
      <c r="E15" s="22"/>
      <c r="F15" s="22"/>
      <c r="G15" s="22"/>
    </row>
    <row r="16" spans="1:12" x14ac:dyDescent="0.2">
      <c r="B16" s="22"/>
      <c r="C16" s="22"/>
      <c r="D16" s="22"/>
      <c r="E16" s="22"/>
      <c r="F16" s="22"/>
      <c r="G16" s="22"/>
      <c r="K16" s="53"/>
    </row>
    <row r="17" spans="2:11" x14ac:dyDescent="0.2">
      <c r="B17" s="22"/>
      <c r="C17" s="22"/>
      <c r="D17" s="22"/>
      <c r="E17" s="22"/>
      <c r="F17" s="22"/>
      <c r="G17" s="22"/>
      <c r="K17" s="53"/>
    </row>
    <row r="18" spans="2:11" x14ac:dyDescent="0.2">
      <c r="B18" s="22"/>
      <c r="C18" s="22"/>
      <c r="D18" s="22"/>
      <c r="E18" s="22"/>
      <c r="F18" s="22"/>
      <c r="G18" s="22"/>
    </row>
    <row r="19" spans="2:11" x14ac:dyDescent="0.2">
      <c r="B19" s="22"/>
      <c r="C19" s="22"/>
      <c r="D19" s="22"/>
      <c r="E19" s="22"/>
      <c r="F19" s="22"/>
      <c r="G19" s="22"/>
    </row>
    <row r="20" spans="2:11" x14ac:dyDescent="0.2">
      <c r="B20" s="22"/>
      <c r="C20" s="22"/>
      <c r="D20" s="22"/>
      <c r="E20" s="22"/>
      <c r="F20" s="22"/>
      <c r="G20" s="22"/>
    </row>
    <row r="21" spans="2:11" x14ac:dyDescent="0.2">
      <c r="B21" s="22"/>
      <c r="C21" s="22"/>
      <c r="D21" s="22"/>
      <c r="E21" s="22"/>
      <c r="F21" s="22"/>
      <c r="G21" s="22"/>
    </row>
    <row r="22" spans="2:11" x14ac:dyDescent="0.2">
      <c r="B22" s="22"/>
      <c r="C22" s="22"/>
      <c r="D22" s="22"/>
      <c r="E22" s="22"/>
      <c r="F22" s="22"/>
      <c r="G22" s="22"/>
    </row>
    <row r="23" spans="2:11" x14ac:dyDescent="0.2">
      <c r="B23" s="22"/>
      <c r="C23" s="22"/>
      <c r="D23" s="22"/>
      <c r="E23" s="22"/>
      <c r="F23" s="22"/>
      <c r="G23" s="22"/>
    </row>
    <row r="24" spans="2:11" x14ac:dyDescent="0.2">
      <c r="B24" s="22"/>
      <c r="C24" s="22"/>
      <c r="D24" s="22"/>
      <c r="E24" s="22"/>
      <c r="F24" s="22"/>
      <c r="G24" s="22"/>
    </row>
    <row r="25" spans="2:11" x14ac:dyDescent="0.2">
      <c r="B25" s="22"/>
      <c r="C25" s="22"/>
      <c r="D25" s="22"/>
      <c r="E25" s="22"/>
      <c r="F25" s="22"/>
      <c r="G25" s="22"/>
    </row>
    <row r="26" spans="2:11" x14ac:dyDescent="0.2">
      <c r="B26" s="22"/>
      <c r="C26" s="22"/>
      <c r="D26" s="22"/>
      <c r="E26" s="22"/>
      <c r="F26" s="22"/>
      <c r="G26" s="22"/>
    </row>
  </sheetData>
  <dataConsolidate link="1"/>
  <conditionalFormatting sqref="C11:G13">
    <cfRule type="cellIs" dxfId="22" priority="1" operator="equal">
      <formula>"X"</formula>
    </cfRule>
    <cfRule type="expression" dxfId="21" priority="2">
      <formula>(C11&lt;&gt;"X")</formula>
    </cfRule>
  </conditionalFormatting>
  <dataValidations count="3">
    <dataValidation type="list" allowBlank="1" showInputMessage="1" showErrorMessage="1" sqref="G11:G13" xr:uid="{C2D0060C-3E53-4BC1-BD14-9A438B18774C}">
      <formula1>"X,O"</formula1>
    </dataValidation>
    <dataValidation type="list" allowBlank="1" showInputMessage="1" showErrorMessage="1" sqref="C12:C13" xr:uid="{05A4D004-954C-42B4-A277-6D2F54B86498}">
      <formula1>_xlfn.ANCHORARRAY($G$3)</formula1>
    </dataValidation>
    <dataValidation type="list" allowBlank="1" showInputMessage="1" showErrorMessage="1" sqref="H11:H12 D11:D13 F11:F13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915C1-2688-4425-864F-EEF441B866C1}">
  <dimension ref="B2:U7750"/>
  <sheetViews>
    <sheetView tabSelected="1" topLeftCell="N1" workbookViewId="0">
      <selection activeCell="AB11" sqref="AB11"/>
    </sheetView>
  </sheetViews>
  <sheetFormatPr defaultRowHeight="11.25" x14ac:dyDescent="0.2"/>
  <cols>
    <col min="2" max="2" width="8.59765625" bestFit="1" customWidth="1"/>
    <col min="3" max="3" width="12.3984375" bestFit="1" customWidth="1"/>
    <col min="4" max="4" width="9" bestFit="1" customWidth="1"/>
    <col min="5" max="5" width="23" bestFit="1" customWidth="1"/>
    <col min="6" max="6" width="11.3984375" bestFit="1" customWidth="1"/>
    <col min="7" max="7" width="18" bestFit="1" customWidth="1"/>
    <col min="8" max="8" width="18.3984375" bestFit="1" customWidth="1"/>
    <col min="9" max="9" width="8" bestFit="1" customWidth="1"/>
  </cols>
  <sheetData>
    <row r="2" spans="2:21" x14ac:dyDescent="0.2">
      <c r="B2" t="s">
        <v>5017</v>
      </c>
      <c r="C2" t="s">
        <v>5021</v>
      </c>
      <c r="D2" t="s">
        <v>5019</v>
      </c>
      <c r="E2" t="s">
        <v>5018</v>
      </c>
      <c r="F2" t="s">
        <v>5020</v>
      </c>
      <c r="G2" t="s">
        <v>5022</v>
      </c>
      <c r="H2" t="s">
        <v>5284</v>
      </c>
      <c r="I2" t="s">
        <v>10759</v>
      </c>
      <c r="L2" t="s">
        <v>1188</v>
      </c>
      <c r="M2" t="s">
        <v>1189</v>
      </c>
      <c r="N2" t="s">
        <v>1190</v>
      </c>
      <c r="O2" t="s">
        <v>1191</v>
      </c>
      <c r="R2" t="s">
        <v>5017</v>
      </c>
      <c r="S2" t="s">
        <v>5021</v>
      </c>
      <c r="T2" t="s">
        <v>12949</v>
      </c>
      <c r="U2" t="s">
        <v>12950</v>
      </c>
    </row>
    <row r="3" spans="2:21" x14ac:dyDescent="0.2">
      <c r="B3" t="s">
        <v>1192</v>
      </c>
      <c r="C3" t="s">
        <v>12878</v>
      </c>
      <c r="D3" t="s">
        <v>688</v>
      </c>
      <c r="E3" t="s">
        <v>5023</v>
      </c>
      <c r="F3">
        <v>486</v>
      </c>
      <c r="G3" t="s">
        <v>1193</v>
      </c>
      <c r="L3" t="s">
        <v>1192</v>
      </c>
      <c r="M3" t="s">
        <v>1193</v>
      </c>
      <c r="N3" t="s">
        <v>1194</v>
      </c>
      <c r="O3">
        <v>1</v>
      </c>
      <c r="R3" t="s">
        <v>1192</v>
      </c>
      <c r="S3" t="s">
        <v>7082</v>
      </c>
      <c r="T3" t="s">
        <v>12951</v>
      </c>
      <c r="U3">
        <v>273.76</v>
      </c>
    </row>
    <row r="4" spans="2:21" x14ac:dyDescent="0.2">
      <c r="B4" t="s">
        <v>1192</v>
      </c>
      <c r="C4" t="s">
        <v>12878</v>
      </c>
      <c r="D4" t="s">
        <v>1130</v>
      </c>
      <c r="E4" t="s">
        <v>5027</v>
      </c>
      <c r="F4">
        <v>7470</v>
      </c>
      <c r="G4" t="s">
        <v>1195</v>
      </c>
      <c r="L4" t="s">
        <v>1192</v>
      </c>
      <c r="M4" t="s">
        <v>1195</v>
      </c>
      <c r="N4" t="s">
        <v>1194</v>
      </c>
      <c r="O4">
        <v>1</v>
      </c>
      <c r="R4" t="s">
        <v>1192</v>
      </c>
      <c r="S4" t="s">
        <v>7098</v>
      </c>
      <c r="T4" t="s">
        <v>12951</v>
      </c>
      <c r="U4">
        <v>2003.0399999999997</v>
      </c>
    </row>
    <row r="5" spans="2:21" x14ac:dyDescent="0.2">
      <c r="B5" t="s">
        <v>1192</v>
      </c>
      <c r="C5" t="s">
        <v>12878</v>
      </c>
      <c r="D5" t="s">
        <v>818</v>
      </c>
      <c r="E5" t="s">
        <v>5029</v>
      </c>
      <c r="F5">
        <v>1750</v>
      </c>
      <c r="G5" t="s">
        <v>1196</v>
      </c>
      <c r="L5" t="s">
        <v>1192</v>
      </c>
      <c r="M5" t="s">
        <v>1196</v>
      </c>
      <c r="N5" t="s">
        <v>1194</v>
      </c>
      <c r="O5">
        <v>1</v>
      </c>
      <c r="R5" t="s">
        <v>1192</v>
      </c>
      <c r="S5" t="s">
        <v>7281</v>
      </c>
      <c r="T5" t="s">
        <v>12952</v>
      </c>
      <c r="U5">
        <v>1506.6799999999998</v>
      </c>
    </row>
    <row r="6" spans="2:21" x14ac:dyDescent="0.2">
      <c r="B6" t="s">
        <v>1192</v>
      </c>
      <c r="C6" t="s">
        <v>12879</v>
      </c>
      <c r="D6" t="s">
        <v>1030</v>
      </c>
      <c r="E6" t="s">
        <v>6983</v>
      </c>
      <c r="F6">
        <v>14000</v>
      </c>
      <c r="G6" t="s">
        <v>1197</v>
      </c>
      <c r="L6" t="s">
        <v>1192</v>
      </c>
      <c r="M6" t="s">
        <v>1197</v>
      </c>
      <c r="N6" t="s">
        <v>1198</v>
      </c>
      <c r="O6">
        <v>1</v>
      </c>
      <c r="R6" t="s">
        <v>1192</v>
      </c>
      <c r="S6" t="s">
        <v>7287</v>
      </c>
      <c r="T6" t="s">
        <v>12953</v>
      </c>
      <c r="U6">
        <v>66990.040000000008</v>
      </c>
    </row>
    <row r="7" spans="2:21" x14ac:dyDescent="0.2">
      <c r="B7" t="s">
        <v>1192</v>
      </c>
      <c r="C7" t="s">
        <v>12879</v>
      </c>
      <c r="D7" t="s">
        <v>1030</v>
      </c>
      <c r="E7" t="s">
        <v>6988</v>
      </c>
      <c r="F7">
        <v>9900</v>
      </c>
      <c r="G7" t="s">
        <v>1199</v>
      </c>
      <c r="L7" t="s">
        <v>1192</v>
      </c>
      <c r="M7" t="s">
        <v>1199</v>
      </c>
      <c r="N7" t="s">
        <v>1200</v>
      </c>
      <c r="O7">
        <v>1</v>
      </c>
      <c r="R7" t="s">
        <v>1192</v>
      </c>
      <c r="S7" t="s">
        <v>7298</v>
      </c>
      <c r="T7" t="s">
        <v>12954</v>
      </c>
      <c r="U7">
        <v>21218.13</v>
      </c>
    </row>
    <row r="8" spans="2:21" x14ac:dyDescent="0.2">
      <c r="B8" t="s">
        <v>1192</v>
      </c>
      <c r="C8" t="s">
        <v>12879</v>
      </c>
      <c r="D8" t="s">
        <v>1030</v>
      </c>
      <c r="E8" t="s">
        <v>6989</v>
      </c>
      <c r="F8">
        <v>7680</v>
      </c>
      <c r="G8" t="s">
        <v>1201</v>
      </c>
      <c r="L8" t="s">
        <v>1192</v>
      </c>
      <c r="M8" t="s">
        <v>1201</v>
      </c>
      <c r="N8" t="s">
        <v>1202</v>
      </c>
      <c r="O8">
        <v>1</v>
      </c>
      <c r="R8" t="s">
        <v>1192</v>
      </c>
      <c r="S8" t="s">
        <v>7276</v>
      </c>
      <c r="T8" t="s">
        <v>12955</v>
      </c>
      <c r="U8">
        <v>68724.959999999992</v>
      </c>
    </row>
    <row r="9" spans="2:21" x14ac:dyDescent="0.2">
      <c r="B9" t="s">
        <v>1192</v>
      </c>
      <c r="C9" t="s">
        <v>12879</v>
      </c>
      <c r="D9" t="s">
        <v>1030</v>
      </c>
      <c r="E9" t="s">
        <v>6990</v>
      </c>
      <c r="F9">
        <v>14080</v>
      </c>
      <c r="G9" t="s">
        <v>1203</v>
      </c>
      <c r="L9" t="s">
        <v>1192</v>
      </c>
      <c r="M9" t="s">
        <v>1203</v>
      </c>
      <c r="N9" t="s">
        <v>1204</v>
      </c>
      <c r="O9">
        <v>1</v>
      </c>
      <c r="R9" t="s">
        <v>1192</v>
      </c>
      <c r="S9" t="s">
        <v>7287</v>
      </c>
      <c r="T9" t="s">
        <v>12956</v>
      </c>
      <c r="U9">
        <v>1799.3600000000001</v>
      </c>
    </row>
    <row r="10" spans="2:21" x14ac:dyDescent="0.2">
      <c r="B10" t="s">
        <v>1192</v>
      </c>
      <c r="C10" t="s">
        <v>12879</v>
      </c>
      <c r="D10" t="s">
        <v>1030</v>
      </c>
      <c r="E10" t="s">
        <v>6993</v>
      </c>
      <c r="F10">
        <v>11450</v>
      </c>
      <c r="G10" t="s">
        <v>1205</v>
      </c>
      <c r="L10" t="s">
        <v>1192</v>
      </c>
      <c r="M10" t="s">
        <v>1205</v>
      </c>
      <c r="N10" t="s">
        <v>1206</v>
      </c>
      <c r="O10">
        <v>1</v>
      </c>
      <c r="R10" t="s">
        <v>1192</v>
      </c>
      <c r="S10" t="s">
        <v>7281</v>
      </c>
      <c r="T10" t="s">
        <v>12957</v>
      </c>
      <c r="U10">
        <v>13006.560000000014</v>
      </c>
    </row>
    <row r="11" spans="2:21" x14ac:dyDescent="0.2">
      <c r="B11" t="s">
        <v>1192</v>
      </c>
      <c r="C11" t="s">
        <v>12879</v>
      </c>
      <c r="D11" t="s">
        <v>1030</v>
      </c>
      <c r="E11" t="s">
        <v>6994</v>
      </c>
      <c r="F11">
        <v>4800</v>
      </c>
      <c r="G11" t="s">
        <v>1207</v>
      </c>
      <c r="L11" t="s">
        <v>1192</v>
      </c>
      <c r="M11" t="s">
        <v>1207</v>
      </c>
      <c r="N11" t="s">
        <v>1208</v>
      </c>
      <c r="O11">
        <v>1</v>
      </c>
      <c r="R11" t="s">
        <v>1192</v>
      </c>
      <c r="S11" t="s">
        <v>7301</v>
      </c>
      <c r="T11" t="s">
        <v>12958</v>
      </c>
      <c r="U11">
        <v>4988.1600000000008</v>
      </c>
    </row>
    <row r="12" spans="2:21" x14ac:dyDescent="0.2">
      <c r="B12" t="s">
        <v>1192</v>
      </c>
      <c r="C12" t="s">
        <v>12879</v>
      </c>
      <c r="D12" t="s">
        <v>1030</v>
      </c>
      <c r="E12" t="s">
        <v>6996</v>
      </c>
      <c r="F12">
        <v>5760</v>
      </c>
      <c r="G12" t="s">
        <v>1209</v>
      </c>
      <c r="L12" t="s">
        <v>1192</v>
      </c>
      <c r="M12" t="s">
        <v>1209</v>
      </c>
      <c r="N12" t="s">
        <v>1208</v>
      </c>
      <c r="O12">
        <v>1</v>
      </c>
      <c r="R12" t="s">
        <v>1192</v>
      </c>
      <c r="S12" t="s">
        <v>6984</v>
      </c>
      <c r="T12" t="s">
        <v>12956</v>
      </c>
      <c r="U12">
        <v>516.84</v>
      </c>
    </row>
    <row r="13" spans="2:21" x14ac:dyDescent="0.2">
      <c r="B13" t="s">
        <v>1192</v>
      </c>
      <c r="C13" t="s">
        <v>12879</v>
      </c>
      <c r="D13" t="s">
        <v>1030</v>
      </c>
      <c r="E13" t="s">
        <v>6997</v>
      </c>
      <c r="F13">
        <v>8250</v>
      </c>
      <c r="G13" t="s">
        <v>1210</v>
      </c>
      <c r="L13" t="s">
        <v>1192</v>
      </c>
      <c r="M13" t="s">
        <v>1210</v>
      </c>
      <c r="N13" t="s">
        <v>1211</v>
      </c>
      <c r="O13">
        <v>1</v>
      </c>
      <c r="R13" t="s">
        <v>1192</v>
      </c>
      <c r="S13" t="s">
        <v>7287</v>
      </c>
      <c r="T13" t="s">
        <v>12959</v>
      </c>
      <c r="U13">
        <v>8780.7199999999993</v>
      </c>
    </row>
    <row r="14" spans="2:21" x14ac:dyDescent="0.2">
      <c r="B14" t="s">
        <v>1192</v>
      </c>
      <c r="C14" t="s">
        <v>12879</v>
      </c>
      <c r="D14" t="s">
        <v>1030</v>
      </c>
      <c r="E14" t="s">
        <v>6998</v>
      </c>
      <c r="F14">
        <v>8250</v>
      </c>
      <c r="G14" t="s">
        <v>1212</v>
      </c>
      <c r="L14" t="s">
        <v>1192</v>
      </c>
      <c r="M14" t="s">
        <v>1212</v>
      </c>
      <c r="N14" t="s">
        <v>1213</v>
      </c>
      <c r="O14">
        <v>1</v>
      </c>
      <c r="R14" t="s">
        <v>1192</v>
      </c>
      <c r="S14" t="s">
        <v>7306</v>
      </c>
      <c r="T14" t="s">
        <v>12960</v>
      </c>
      <c r="U14">
        <v>3794.1700000000014</v>
      </c>
    </row>
    <row r="15" spans="2:21" x14ac:dyDescent="0.2">
      <c r="B15" t="s">
        <v>1192</v>
      </c>
      <c r="C15" t="s">
        <v>12879</v>
      </c>
      <c r="D15" t="s">
        <v>1030</v>
      </c>
      <c r="E15" t="s">
        <v>7000</v>
      </c>
      <c r="F15">
        <v>2450</v>
      </c>
      <c r="G15" t="s">
        <v>1216</v>
      </c>
      <c r="L15" t="s">
        <v>1192</v>
      </c>
      <c r="M15" t="s">
        <v>1214</v>
      </c>
      <c r="N15" t="s">
        <v>1215</v>
      </c>
      <c r="O15">
        <v>1</v>
      </c>
      <c r="R15" t="s">
        <v>1192</v>
      </c>
      <c r="S15" t="s">
        <v>7276</v>
      </c>
      <c r="T15" t="s">
        <v>12960</v>
      </c>
      <c r="U15">
        <v>1231.26</v>
      </c>
    </row>
    <row r="16" spans="2:21" x14ac:dyDescent="0.2">
      <c r="B16" t="s">
        <v>1192</v>
      </c>
      <c r="C16" t="s">
        <v>12879</v>
      </c>
      <c r="D16" t="s">
        <v>1030</v>
      </c>
      <c r="E16" t="s">
        <v>7002</v>
      </c>
      <c r="F16">
        <v>4410</v>
      </c>
      <c r="G16" t="s">
        <v>1218</v>
      </c>
      <c r="L16" t="s">
        <v>1192</v>
      </c>
      <c r="M16" t="s">
        <v>1216</v>
      </c>
      <c r="N16" t="s">
        <v>1217</v>
      </c>
      <c r="O16">
        <v>1</v>
      </c>
      <c r="R16" t="s">
        <v>1192</v>
      </c>
      <c r="S16" t="s">
        <v>7281</v>
      </c>
      <c r="T16" t="s">
        <v>12961</v>
      </c>
      <c r="U16">
        <v>1095.04</v>
      </c>
    </row>
    <row r="17" spans="2:21" x14ac:dyDescent="0.2">
      <c r="B17" t="s">
        <v>1192</v>
      </c>
      <c r="C17" t="s">
        <v>12879</v>
      </c>
      <c r="D17" t="s">
        <v>1041</v>
      </c>
      <c r="E17" t="s">
        <v>7003</v>
      </c>
      <c r="F17">
        <v>9538</v>
      </c>
      <c r="G17" t="s">
        <v>1221</v>
      </c>
      <c r="L17" t="s">
        <v>1192</v>
      </c>
      <c r="M17" t="s">
        <v>1218</v>
      </c>
      <c r="N17" t="s">
        <v>1217</v>
      </c>
      <c r="O17">
        <v>1</v>
      </c>
      <c r="R17" t="s">
        <v>1192</v>
      </c>
      <c r="S17" t="s">
        <v>7301</v>
      </c>
      <c r="T17" t="s">
        <v>12962</v>
      </c>
      <c r="U17">
        <v>1899.3600000000001</v>
      </c>
    </row>
    <row r="18" spans="2:21" x14ac:dyDescent="0.2">
      <c r="B18" t="s">
        <v>1192</v>
      </c>
      <c r="C18" t="s">
        <v>12879</v>
      </c>
      <c r="D18" t="s">
        <v>1030</v>
      </c>
      <c r="E18" t="s">
        <v>7004</v>
      </c>
      <c r="F18">
        <v>5390</v>
      </c>
      <c r="G18" t="s">
        <v>1223</v>
      </c>
      <c r="L18" t="s">
        <v>1192</v>
      </c>
      <c r="M18" t="s">
        <v>1219</v>
      </c>
      <c r="N18" t="s">
        <v>1220</v>
      </c>
      <c r="O18">
        <v>1</v>
      </c>
      <c r="R18" t="s">
        <v>1192</v>
      </c>
      <c r="S18" t="s">
        <v>7309</v>
      </c>
      <c r="T18" t="s">
        <v>12963</v>
      </c>
      <c r="U18">
        <v>1766.23</v>
      </c>
    </row>
    <row r="19" spans="2:21" x14ac:dyDescent="0.2">
      <c r="B19" t="s">
        <v>1192</v>
      </c>
      <c r="C19" t="s">
        <v>12879</v>
      </c>
      <c r="D19" t="s">
        <v>1030</v>
      </c>
      <c r="E19" t="s">
        <v>7005</v>
      </c>
      <c r="F19">
        <v>2200</v>
      </c>
      <c r="G19" t="s">
        <v>1225</v>
      </c>
      <c r="L19" t="s">
        <v>1192</v>
      </c>
      <c r="M19" t="s">
        <v>1221</v>
      </c>
      <c r="N19" t="s">
        <v>1222</v>
      </c>
      <c r="O19">
        <v>1</v>
      </c>
      <c r="R19" t="s">
        <v>1192</v>
      </c>
      <c r="S19" t="s">
        <v>7298</v>
      </c>
      <c r="T19" t="s">
        <v>12964</v>
      </c>
      <c r="U19">
        <v>172.31</v>
      </c>
    </row>
    <row r="20" spans="2:21" x14ac:dyDescent="0.2">
      <c r="B20" t="s">
        <v>1192</v>
      </c>
      <c r="C20" t="s">
        <v>12879</v>
      </c>
      <c r="D20" t="s">
        <v>1041</v>
      </c>
      <c r="E20" t="s">
        <v>7006</v>
      </c>
      <c r="F20">
        <v>16382.31</v>
      </c>
      <c r="G20" t="s">
        <v>1226</v>
      </c>
      <c r="L20" t="s">
        <v>1192</v>
      </c>
      <c r="M20" t="s">
        <v>1223</v>
      </c>
      <c r="N20" t="s">
        <v>1224</v>
      </c>
      <c r="O20">
        <v>1</v>
      </c>
      <c r="R20" t="s">
        <v>1192</v>
      </c>
      <c r="S20" t="s">
        <v>7306</v>
      </c>
      <c r="T20" t="s">
        <v>12965</v>
      </c>
      <c r="U20">
        <v>83.46</v>
      </c>
    </row>
    <row r="21" spans="2:21" x14ac:dyDescent="0.2">
      <c r="B21" t="s">
        <v>1192</v>
      </c>
      <c r="C21" t="s">
        <v>12879</v>
      </c>
      <c r="D21" t="s">
        <v>1041</v>
      </c>
      <c r="E21" t="s">
        <v>7008</v>
      </c>
      <c r="F21">
        <v>5928.81</v>
      </c>
      <c r="G21" t="s">
        <v>1228</v>
      </c>
      <c r="L21" t="s">
        <v>1192</v>
      </c>
      <c r="M21" t="s">
        <v>1225</v>
      </c>
      <c r="N21" t="s">
        <v>1224</v>
      </c>
      <c r="O21">
        <v>1</v>
      </c>
      <c r="R21" t="s">
        <v>1192</v>
      </c>
      <c r="S21" t="s">
        <v>7281</v>
      </c>
      <c r="T21" t="s">
        <v>12966</v>
      </c>
      <c r="U21">
        <v>9082.8399999999929</v>
      </c>
    </row>
    <row r="22" spans="2:21" x14ac:dyDescent="0.2">
      <c r="B22" t="s">
        <v>1192</v>
      </c>
      <c r="C22" t="s">
        <v>12879</v>
      </c>
      <c r="D22" t="s">
        <v>1041</v>
      </c>
      <c r="E22" t="s">
        <v>7010</v>
      </c>
      <c r="F22">
        <v>2372</v>
      </c>
      <c r="G22" t="s">
        <v>1232</v>
      </c>
      <c r="L22" t="s">
        <v>1192</v>
      </c>
      <c r="M22" t="s">
        <v>1226</v>
      </c>
      <c r="N22" t="s">
        <v>1227</v>
      </c>
      <c r="O22">
        <v>1</v>
      </c>
      <c r="R22" t="s">
        <v>1192</v>
      </c>
      <c r="S22" t="s">
        <v>7298</v>
      </c>
      <c r="T22" t="s">
        <v>12967</v>
      </c>
      <c r="U22">
        <v>3314.82</v>
      </c>
    </row>
    <row r="23" spans="2:21" x14ac:dyDescent="0.2">
      <c r="B23" t="s">
        <v>1192</v>
      </c>
      <c r="C23" t="s">
        <v>12879</v>
      </c>
      <c r="D23" t="s">
        <v>1041</v>
      </c>
      <c r="E23" t="s">
        <v>7011</v>
      </c>
      <c r="F23">
        <v>2372</v>
      </c>
      <c r="G23" t="s">
        <v>1232</v>
      </c>
      <c r="L23" t="s">
        <v>1192</v>
      </c>
      <c r="M23" t="s">
        <v>1228</v>
      </c>
      <c r="N23" t="s">
        <v>1227</v>
      </c>
      <c r="O23">
        <v>1</v>
      </c>
      <c r="R23" t="s">
        <v>1192</v>
      </c>
      <c r="S23" t="s">
        <v>7494</v>
      </c>
      <c r="T23" t="s">
        <v>12956</v>
      </c>
      <c r="U23">
        <v>675.59999999999991</v>
      </c>
    </row>
    <row r="24" spans="2:21" x14ac:dyDescent="0.2">
      <c r="B24" t="s">
        <v>1192</v>
      </c>
      <c r="C24" t="s">
        <v>12879</v>
      </c>
      <c r="D24" t="s">
        <v>1041</v>
      </c>
      <c r="E24" t="s">
        <v>7012</v>
      </c>
      <c r="F24">
        <v>7116</v>
      </c>
      <c r="G24" t="s">
        <v>1232</v>
      </c>
      <c r="L24" t="s">
        <v>1192</v>
      </c>
      <c r="M24" t="s">
        <v>1229</v>
      </c>
      <c r="N24" t="s">
        <v>1230</v>
      </c>
      <c r="O24">
        <v>1</v>
      </c>
      <c r="R24" t="s">
        <v>1192</v>
      </c>
      <c r="S24" t="s">
        <v>7869</v>
      </c>
      <c r="T24" t="s">
        <v>12956</v>
      </c>
      <c r="U24">
        <v>225.2</v>
      </c>
    </row>
    <row r="25" spans="2:21" x14ac:dyDescent="0.2">
      <c r="B25" t="s">
        <v>1192</v>
      </c>
      <c r="C25" t="s">
        <v>12879</v>
      </c>
      <c r="D25" t="s">
        <v>1041</v>
      </c>
      <c r="E25" t="s">
        <v>7014</v>
      </c>
      <c r="F25">
        <v>1550</v>
      </c>
      <c r="G25" t="s">
        <v>1234</v>
      </c>
      <c r="L25" t="s">
        <v>1192</v>
      </c>
      <c r="M25" t="s">
        <v>1231</v>
      </c>
      <c r="N25" t="s">
        <v>1230</v>
      </c>
      <c r="O25">
        <v>1</v>
      </c>
      <c r="R25" t="s">
        <v>1433</v>
      </c>
      <c r="S25" t="s">
        <v>6298</v>
      </c>
      <c r="T25" t="s">
        <v>12962</v>
      </c>
      <c r="U25">
        <v>5329.3499999999995</v>
      </c>
    </row>
    <row r="26" spans="2:21" x14ac:dyDescent="0.2">
      <c r="B26" t="s">
        <v>1192</v>
      </c>
      <c r="C26" t="s">
        <v>12879</v>
      </c>
      <c r="D26" t="s">
        <v>1041</v>
      </c>
      <c r="E26" t="s">
        <v>7015</v>
      </c>
      <c r="F26">
        <v>1550</v>
      </c>
      <c r="G26" t="s">
        <v>1234</v>
      </c>
      <c r="L26" t="s">
        <v>1192</v>
      </c>
      <c r="M26" t="s">
        <v>1232</v>
      </c>
      <c r="N26" t="s">
        <v>1233</v>
      </c>
      <c r="O26">
        <v>1</v>
      </c>
      <c r="R26" t="s">
        <v>1433</v>
      </c>
      <c r="S26" t="s">
        <v>5032</v>
      </c>
      <c r="T26" t="s">
        <v>12952</v>
      </c>
      <c r="U26">
        <v>1700.4299999999748</v>
      </c>
    </row>
    <row r="27" spans="2:21" x14ac:dyDescent="0.2">
      <c r="B27" t="s">
        <v>1192</v>
      </c>
      <c r="C27" t="s">
        <v>12879</v>
      </c>
      <c r="D27" t="s">
        <v>1041</v>
      </c>
      <c r="E27" t="s">
        <v>7017</v>
      </c>
      <c r="F27">
        <v>4650</v>
      </c>
      <c r="G27" t="s">
        <v>1234</v>
      </c>
      <c r="L27" t="s">
        <v>1192</v>
      </c>
      <c r="M27" t="s">
        <v>1234</v>
      </c>
      <c r="N27" t="s">
        <v>1233</v>
      </c>
      <c r="O27">
        <v>1</v>
      </c>
      <c r="R27" t="s">
        <v>1433</v>
      </c>
      <c r="S27" t="s">
        <v>5032</v>
      </c>
      <c r="T27" t="s">
        <v>12957</v>
      </c>
      <c r="U27">
        <v>66573.199999999953</v>
      </c>
    </row>
    <row r="28" spans="2:21" x14ac:dyDescent="0.2">
      <c r="B28" t="s">
        <v>1192</v>
      </c>
      <c r="C28" t="s">
        <v>12879</v>
      </c>
      <c r="D28" t="s">
        <v>1030</v>
      </c>
      <c r="E28" t="s">
        <v>7018</v>
      </c>
      <c r="F28">
        <v>9860</v>
      </c>
      <c r="G28" t="s">
        <v>1235</v>
      </c>
      <c r="L28" t="s">
        <v>1192</v>
      </c>
      <c r="M28" t="s">
        <v>1235</v>
      </c>
      <c r="N28" t="s">
        <v>1236</v>
      </c>
      <c r="O28">
        <v>1</v>
      </c>
      <c r="R28" t="s">
        <v>1433</v>
      </c>
      <c r="S28" t="s">
        <v>5026</v>
      </c>
      <c r="T28" t="s">
        <v>12968</v>
      </c>
      <c r="U28">
        <v>83689.919999999984</v>
      </c>
    </row>
    <row r="29" spans="2:21" x14ac:dyDescent="0.2">
      <c r="B29" t="s">
        <v>1192</v>
      </c>
      <c r="C29" t="s">
        <v>12879</v>
      </c>
      <c r="D29" t="s">
        <v>613</v>
      </c>
      <c r="E29" t="s">
        <v>7019</v>
      </c>
      <c r="F29">
        <v>2530</v>
      </c>
      <c r="G29" t="s">
        <v>1239</v>
      </c>
      <c r="L29" t="s">
        <v>1192</v>
      </c>
      <c r="M29" t="s">
        <v>1237</v>
      </c>
      <c r="N29" t="s">
        <v>1238</v>
      </c>
      <c r="O29">
        <v>1</v>
      </c>
      <c r="R29" t="s">
        <v>1433</v>
      </c>
      <c r="S29" t="s">
        <v>5044</v>
      </c>
      <c r="T29" t="s">
        <v>12954</v>
      </c>
      <c r="U29">
        <v>13278.92</v>
      </c>
    </row>
    <row r="30" spans="2:21" x14ac:dyDescent="0.2">
      <c r="B30" t="s">
        <v>1192</v>
      </c>
      <c r="C30" t="s">
        <v>12879</v>
      </c>
      <c r="D30" t="s">
        <v>1030</v>
      </c>
      <c r="E30" t="s">
        <v>7021</v>
      </c>
      <c r="F30">
        <v>10190</v>
      </c>
      <c r="G30" t="s">
        <v>1270</v>
      </c>
      <c r="L30" t="s">
        <v>1192</v>
      </c>
      <c r="M30" t="s">
        <v>1239</v>
      </c>
      <c r="N30" t="s">
        <v>1240</v>
      </c>
      <c r="O30">
        <v>1</v>
      </c>
      <c r="R30" t="s">
        <v>1433</v>
      </c>
      <c r="S30" t="s">
        <v>5060</v>
      </c>
      <c r="T30" t="s">
        <v>12965</v>
      </c>
      <c r="U30">
        <v>15049.970000000021</v>
      </c>
    </row>
    <row r="31" spans="2:21" x14ac:dyDescent="0.2">
      <c r="B31" t="s">
        <v>1192</v>
      </c>
      <c r="C31" t="s">
        <v>12879</v>
      </c>
      <c r="D31" t="s">
        <v>1030</v>
      </c>
      <c r="E31" t="s">
        <v>7023</v>
      </c>
      <c r="F31">
        <v>9703</v>
      </c>
      <c r="G31" t="s">
        <v>1272</v>
      </c>
      <c r="L31" t="s">
        <v>1192</v>
      </c>
      <c r="M31" t="s">
        <v>1241</v>
      </c>
      <c r="N31" t="s">
        <v>1242</v>
      </c>
      <c r="O31">
        <v>1</v>
      </c>
      <c r="R31" t="s">
        <v>1433</v>
      </c>
      <c r="S31" t="s">
        <v>5041</v>
      </c>
      <c r="T31" t="s">
        <v>12956</v>
      </c>
      <c r="U31">
        <v>36410.860000000015</v>
      </c>
    </row>
    <row r="32" spans="2:21" x14ac:dyDescent="0.2">
      <c r="B32" t="s">
        <v>1192</v>
      </c>
      <c r="C32" t="s">
        <v>12879</v>
      </c>
      <c r="D32" t="s">
        <v>1041</v>
      </c>
      <c r="E32" t="s">
        <v>7025</v>
      </c>
      <c r="F32">
        <v>9703</v>
      </c>
      <c r="G32" t="s">
        <v>1274</v>
      </c>
      <c r="L32" t="s">
        <v>1192</v>
      </c>
      <c r="M32" t="s">
        <v>1243</v>
      </c>
      <c r="N32" t="s">
        <v>1244</v>
      </c>
      <c r="O32">
        <v>2</v>
      </c>
      <c r="R32" t="s">
        <v>1433</v>
      </c>
      <c r="S32" t="s">
        <v>5060</v>
      </c>
      <c r="T32" t="s">
        <v>12969</v>
      </c>
      <c r="U32">
        <v>2542.2600000000002</v>
      </c>
    </row>
    <row r="33" spans="2:21" x14ac:dyDescent="0.2">
      <c r="B33" t="s">
        <v>1192</v>
      </c>
      <c r="C33" t="s">
        <v>12879</v>
      </c>
      <c r="D33" t="s">
        <v>1041</v>
      </c>
      <c r="E33" t="s">
        <v>7027</v>
      </c>
      <c r="F33">
        <v>13188</v>
      </c>
      <c r="G33" t="s">
        <v>1251</v>
      </c>
      <c r="L33" t="s">
        <v>1192</v>
      </c>
      <c r="M33" t="s">
        <v>1245</v>
      </c>
      <c r="N33" t="s">
        <v>1244</v>
      </c>
      <c r="O33">
        <v>2</v>
      </c>
      <c r="R33" t="s">
        <v>1433</v>
      </c>
      <c r="S33" t="s">
        <v>5026</v>
      </c>
      <c r="T33" t="s">
        <v>12956</v>
      </c>
      <c r="U33">
        <v>342.3</v>
      </c>
    </row>
    <row r="34" spans="2:21" x14ac:dyDescent="0.2">
      <c r="B34" t="s">
        <v>1192</v>
      </c>
      <c r="C34" t="s">
        <v>12879</v>
      </c>
      <c r="D34" t="s">
        <v>1041</v>
      </c>
      <c r="E34" t="s">
        <v>7029</v>
      </c>
      <c r="F34">
        <v>13188</v>
      </c>
      <c r="G34" t="s">
        <v>1251</v>
      </c>
      <c r="L34" t="s">
        <v>1192</v>
      </c>
      <c r="M34" t="s">
        <v>1246</v>
      </c>
      <c r="N34" t="s">
        <v>1247</v>
      </c>
      <c r="O34">
        <v>1</v>
      </c>
      <c r="R34" t="s">
        <v>1433</v>
      </c>
      <c r="S34" t="s">
        <v>5063</v>
      </c>
      <c r="T34" t="s">
        <v>12956</v>
      </c>
      <c r="U34">
        <v>20034.130000000019</v>
      </c>
    </row>
    <row r="35" spans="2:21" x14ac:dyDescent="0.2">
      <c r="B35" t="s">
        <v>1192</v>
      </c>
      <c r="C35" t="s">
        <v>12879</v>
      </c>
      <c r="D35" t="s">
        <v>1041</v>
      </c>
      <c r="E35" t="s">
        <v>7030</v>
      </c>
      <c r="F35">
        <v>39564</v>
      </c>
      <c r="G35" t="s">
        <v>1251</v>
      </c>
      <c r="L35" t="s">
        <v>1192</v>
      </c>
      <c r="M35" t="s">
        <v>1248</v>
      </c>
      <c r="N35" t="s">
        <v>1247</v>
      </c>
      <c r="O35">
        <v>1</v>
      </c>
      <c r="R35" t="s">
        <v>1433</v>
      </c>
      <c r="S35" t="s">
        <v>5041</v>
      </c>
      <c r="T35" t="s">
        <v>12959</v>
      </c>
      <c r="U35">
        <v>9775.0200000000023</v>
      </c>
    </row>
    <row r="36" spans="2:21" x14ac:dyDescent="0.2">
      <c r="B36" t="s">
        <v>1192</v>
      </c>
      <c r="C36" t="s">
        <v>12879</v>
      </c>
      <c r="D36" t="s">
        <v>1030</v>
      </c>
      <c r="E36" t="s">
        <v>7031</v>
      </c>
      <c r="F36">
        <v>12490</v>
      </c>
      <c r="G36" t="s">
        <v>1249</v>
      </c>
      <c r="L36" t="s">
        <v>1192</v>
      </c>
      <c r="M36" t="s">
        <v>1249</v>
      </c>
      <c r="N36" t="s">
        <v>1250</v>
      </c>
      <c r="O36">
        <v>1</v>
      </c>
      <c r="R36" t="s">
        <v>1433</v>
      </c>
      <c r="S36" t="s">
        <v>5026</v>
      </c>
      <c r="T36" t="s">
        <v>12955</v>
      </c>
      <c r="U36">
        <v>57086.580000000009</v>
      </c>
    </row>
    <row r="37" spans="2:21" x14ac:dyDescent="0.2">
      <c r="B37" t="s">
        <v>1192</v>
      </c>
      <c r="C37" t="s">
        <v>12879</v>
      </c>
      <c r="D37" t="s">
        <v>1030</v>
      </c>
      <c r="E37" t="s">
        <v>7032</v>
      </c>
      <c r="F37">
        <v>12490</v>
      </c>
      <c r="G37" t="s">
        <v>1249</v>
      </c>
      <c r="L37" t="s">
        <v>1192</v>
      </c>
      <c r="M37" t="s">
        <v>1251</v>
      </c>
      <c r="N37" t="s">
        <v>1252</v>
      </c>
      <c r="O37">
        <v>1</v>
      </c>
      <c r="R37" t="s">
        <v>1433</v>
      </c>
      <c r="S37" t="s">
        <v>7081</v>
      </c>
      <c r="T37" t="s">
        <v>12970</v>
      </c>
      <c r="U37">
        <v>-78.260000000000005</v>
      </c>
    </row>
    <row r="38" spans="2:21" x14ac:dyDescent="0.2">
      <c r="B38" t="s">
        <v>1192</v>
      </c>
      <c r="C38" t="s">
        <v>12879</v>
      </c>
      <c r="D38" t="s">
        <v>1030</v>
      </c>
      <c r="E38" t="s">
        <v>7033</v>
      </c>
      <c r="F38">
        <v>19950</v>
      </c>
      <c r="G38" t="s">
        <v>1246</v>
      </c>
      <c r="L38" t="s">
        <v>1192</v>
      </c>
      <c r="M38" t="s">
        <v>1253</v>
      </c>
      <c r="N38" t="s">
        <v>1254</v>
      </c>
      <c r="O38">
        <v>1</v>
      </c>
      <c r="R38" t="s">
        <v>1433</v>
      </c>
      <c r="S38" t="s">
        <v>5099</v>
      </c>
      <c r="T38" t="s">
        <v>12969</v>
      </c>
      <c r="U38">
        <v>1065.6799999999998</v>
      </c>
    </row>
    <row r="39" spans="2:21" x14ac:dyDescent="0.2">
      <c r="B39" t="s">
        <v>1192</v>
      </c>
      <c r="C39" t="s">
        <v>12879</v>
      </c>
      <c r="D39" t="s">
        <v>1030</v>
      </c>
      <c r="E39" t="s">
        <v>7034</v>
      </c>
      <c r="F39">
        <v>15675</v>
      </c>
      <c r="G39" t="s">
        <v>1248</v>
      </c>
      <c r="L39" t="s">
        <v>1192</v>
      </c>
      <c r="M39" t="s">
        <v>1255</v>
      </c>
      <c r="N39" t="s">
        <v>1256</v>
      </c>
      <c r="O39">
        <v>1</v>
      </c>
      <c r="R39" t="s">
        <v>1433</v>
      </c>
      <c r="S39" t="s">
        <v>5047</v>
      </c>
      <c r="T39" t="s">
        <v>12962</v>
      </c>
      <c r="U39">
        <v>2510.6499999999996</v>
      </c>
    </row>
    <row r="40" spans="2:21" x14ac:dyDescent="0.2">
      <c r="B40" t="s">
        <v>1192</v>
      </c>
      <c r="C40" t="s">
        <v>12879</v>
      </c>
      <c r="D40" t="s">
        <v>1030</v>
      </c>
      <c r="E40" t="s">
        <v>7035</v>
      </c>
      <c r="F40">
        <v>24786</v>
      </c>
      <c r="G40" t="s">
        <v>1429</v>
      </c>
      <c r="L40" t="s">
        <v>1192</v>
      </c>
      <c r="M40" t="s">
        <v>1257</v>
      </c>
      <c r="N40" t="s">
        <v>1258</v>
      </c>
      <c r="O40">
        <v>1</v>
      </c>
      <c r="R40" t="s">
        <v>1433</v>
      </c>
      <c r="S40" t="s">
        <v>11494</v>
      </c>
      <c r="T40" t="s">
        <v>12971</v>
      </c>
      <c r="U40">
        <v>3740.29</v>
      </c>
    </row>
    <row r="41" spans="2:21" x14ac:dyDescent="0.2">
      <c r="B41" t="s">
        <v>1192</v>
      </c>
      <c r="C41" t="s">
        <v>12879</v>
      </c>
      <c r="D41" t="s">
        <v>1030</v>
      </c>
      <c r="E41" t="s">
        <v>7036</v>
      </c>
      <c r="F41">
        <v>6660</v>
      </c>
      <c r="G41" t="s">
        <v>1257</v>
      </c>
      <c r="L41" t="s">
        <v>1192</v>
      </c>
      <c r="M41" t="s">
        <v>1259</v>
      </c>
      <c r="N41" t="s">
        <v>1258</v>
      </c>
      <c r="O41">
        <v>1</v>
      </c>
      <c r="R41" t="s">
        <v>1433</v>
      </c>
      <c r="S41" t="s">
        <v>11494</v>
      </c>
      <c r="T41" t="s">
        <v>12970</v>
      </c>
      <c r="U41">
        <v>1163.48</v>
      </c>
    </row>
    <row r="42" spans="2:21" x14ac:dyDescent="0.2">
      <c r="B42" t="s">
        <v>1192</v>
      </c>
      <c r="C42" t="s">
        <v>12879</v>
      </c>
      <c r="D42" t="s">
        <v>1030</v>
      </c>
      <c r="E42" t="s">
        <v>7037</v>
      </c>
      <c r="F42">
        <v>8880</v>
      </c>
      <c r="G42" t="s">
        <v>1259</v>
      </c>
      <c r="L42" t="s">
        <v>1192</v>
      </c>
      <c r="M42" t="s">
        <v>1260</v>
      </c>
      <c r="N42" t="s">
        <v>1258</v>
      </c>
      <c r="O42">
        <v>1</v>
      </c>
      <c r="R42" t="s">
        <v>1433</v>
      </c>
      <c r="S42" t="s">
        <v>5047</v>
      </c>
      <c r="T42" t="s">
        <v>12958</v>
      </c>
      <c r="U42">
        <v>6911.67</v>
      </c>
    </row>
    <row r="43" spans="2:21" x14ac:dyDescent="0.2">
      <c r="B43" t="s">
        <v>1192</v>
      </c>
      <c r="C43" t="s">
        <v>12879</v>
      </c>
      <c r="D43" t="s">
        <v>1041</v>
      </c>
      <c r="E43" t="s">
        <v>7038</v>
      </c>
      <c r="F43">
        <v>2220</v>
      </c>
      <c r="G43" t="s">
        <v>1260</v>
      </c>
      <c r="L43" t="s">
        <v>1192</v>
      </c>
      <c r="M43" t="s">
        <v>1261</v>
      </c>
      <c r="N43" t="s">
        <v>1262</v>
      </c>
      <c r="O43">
        <v>2</v>
      </c>
      <c r="R43" t="s">
        <v>1433</v>
      </c>
      <c r="S43" t="s">
        <v>5069</v>
      </c>
      <c r="T43" t="s">
        <v>12972</v>
      </c>
      <c r="U43">
        <v>3080.63</v>
      </c>
    </row>
    <row r="44" spans="2:21" x14ac:dyDescent="0.2">
      <c r="B44" t="s">
        <v>1192</v>
      </c>
      <c r="C44" t="s">
        <v>12879</v>
      </c>
      <c r="D44" t="s">
        <v>1041</v>
      </c>
      <c r="E44" t="s">
        <v>7039</v>
      </c>
      <c r="F44">
        <v>16303.94</v>
      </c>
      <c r="G44" t="s">
        <v>1255</v>
      </c>
      <c r="L44" t="s">
        <v>1192</v>
      </c>
      <c r="M44" t="s">
        <v>1263</v>
      </c>
      <c r="N44" t="s">
        <v>1262</v>
      </c>
      <c r="O44">
        <v>2</v>
      </c>
      <c r="R44" t="s">
        <v>1433</v>
      </c>
      <c r="S44" t="s">
        <v>12392</v>
      </c>
      <c r="T44" t="s">
        <v>12973</v>
      </c>
      <c r="U44">
        <v>2661.3599999999992</v>
      </c>
    </row>
    <row r="45" spans="2:21" x14ac:dyDescent="0.2">
      <c r="B45" t="s">
        <v>1192</v>
      </c>
      <c r="C45" t="s">
        <v>12879</v>
      </c>
      <c r="D45" t="s">
        <v>1030</v>
      </c>
      <c r="E45" t="s">
        <v>7040</v>
      </c>
      <c r="F45">
        <v>4400</v>
      </c>
      <c r="G45" t="s">
        <v>1286</v>
      </c>
      <c r="L45" t="s">
        <v>1192</v>
      </c>
      <c r="M45" t="s">
        <v>1264</v>
      </c>
      <c r="N45" t="s">
        <v>1262</v>
      </c>
      <c r="O45">
        <v>2</v>
      </c>
      <c r="R45" t="s">
        <v>1433</v>
      </c>
      <c r="S45" t="s">
        <v>12778</v>
      </c>
      <c r="T45" t="s">
        <v>12973</v>
      </c>
      <c r="U45">
        <v>1910.72</v>
      </c>
    </row>
    <row r="46" spans="2:21" x14ac:dyDescent="0.2">
      <c r="B46" t="s">
        <v>1192</v>
      </c>
      <c r="C46" t="s">
        <v>12879</v>
      </c>
      <c r="D46" t="s">
        <v>1030</v>
      </c>
      <c r="E46" t="s">
        <v>7041</v>
      </c>
      <c r="F46">
        <v>13875</v>
      </c>
      <c r="G46" t="s">
        <v>1288</v>
      </c>
      <c r="L46" t="s">
        <v>1192</v>
      </c>
      <c r="M46" t="s">
        <v>1265</v>
      </c>
      <c r="N46" t="s">
        <v>1262</v>
      </c>
      <c r="O46">
        <v>2</v>
      </c>
      <c r="R46" t="s">
        <v>1433</v>
      </c>
      <c r="S46" t="s">
        <v>12778</v>
      </c>
      <c r="T46" t="s">
        <v>12970</v>
      </c>
      <c r="U46">
        <v>2013.0799999999995</v>
      </c>
    </row>
    <row r="47" spans="2:21" x14ac:dyDescent="0.2">
      <c r="B47" t="s">
        <v>1192</v>
      </c>
      <c r="C47" t="s">
        <v>12879</v>
      </c>
      <c r="D47" t="s">
        <v>1030</v>
      </c>
      <c r="E47" t="s">
        <v>7042</v>
      </c>
      <c r="F47">
        <v>7806</v>
      </c>
      <c r="G47" t="s">
        <v>1290</v>
      </c>
      <c r="L47" t="s">
        <v>1192</v>
      </c>
      <c r="M47" t="s">
        <v>1266</v>
      </c>
      <c r="N47" t="s">
        <v>1262</v>
      </c>
      <c r="O47">
        <v>2</v>
      </c>
      <c r="R47" t="s">
        <v>1433</v>
      </c>
      <c r="S47" t="s">
        <v>5140</v>
      </c>
      <c r="T47" t="s">
        <v>12956</v>
      </c>
      <c r="U47">
        <v>2160.3000000000002</v>
      </c>
    </row>
    <row r="48" spans="2:21" x14ac:dyDescent="0.2">
      <c r="B48" t="s">
        <v>1192</v>
      </c>
      <c r="C48" t="s">
        <v>12879</v>
      </c>
      <c r="D48" t="s">
        <v>1041</v>
      </c>
      <c r="E48" t="s">
        <v>7043</v>
      </c>
      <c r="F48">
        <v>19994.48</v>
      </c>
      <c r="G48" t="s">
        <v>1303</v>
      </c>
      <c r="L48" t="s">
        <v>1192</v>
      </c>
      <c r="M48" t="s">
        <v>1267</v>
      </c>
      <c r="N48" t="s">
        <v>1262</v>
      </c>
      <c r="O48">
        <v>2</v>
      </c>
      <c r="R48" t="s">
        <v>1433</v>
      </c>
      <c r="S48" t="s">
        <v>12392</v>
      </c>
      <c r="T48" t="s">
        <v>12974</v>
      </c>
      <c r="U48">
        <v>4572.08</v>
      </c>
    </row>
    <row r="49" spans="2:21" x14ac:dyDescent="0.2">
      <c r="B49" t="s">
        <v>1192</v>
      </c>
      <c r="C49" t="s">
        <v>12879</v>
      </c>
      <c r="D49" t="s">
        <v>1041</v>
      </c>
      <c r="E49" t="s">
        <v>7044</v>
      </c>
      <c r="F49">
        <v>13329.65</v>
      </c>
      <c r="G49" t="s">
        <v>1303</v>
      </c>
      <c r="L49" t="s">
        <v>1192</v>
      </c>
      <c r="M49" t="s">
        <v>1268</v>
      </c>
      <c r="N49" t="s">
        <v>1262</v>
      </c>
      <c r="O49">
        <v>2</v>
      </c>
      <c r="R49" t="s">
        <v>1433</v>
      </c>
      <c r="S49" t="s">
        <v>10196</v>
      </c>
      <c r="T49" t="s">
        <v>12962</v>
      </c>
      <c r="U49">
        <v>15531.679999999998</v>
      </c>
    </row>
    <row r="50" spans="2:21" x14ac:dyDescent="0.2">
      <c r="B50" t="s">
        <v>1192</v>
      </c>
      <c r="C50" t="s">
        <v>12879</v>
      </c>
      <c r="D50" t="s">
        <v>1030</v>
      </c>
      <c r="E50" t="s">
        <v>7045</v>
      </c>
      <c r="F50">
        <v>44746</v>
      </c>
      <c r="G50" t="s">
        <v>1315</v>
      </c>
      <c r="L50" t="s">
        <v>1192</v>
      </c>
      <c r="M50" t="s">
        <v>1269</v>
      </c>
      <c r="N50" t="s">
        <v>1262</v>
      </c>
      <c r="O50">
        <v>2</v>
      </c>
      <c r="R50" t="s">
        <v>1433</v>
      </c>
      <c r="S50" t="s">
        <v>5058</v>
      </c>
      <c r="T50" t="s">
        <v>12975</v>
      </c>
      <c r="U50">
        <v>11680.269999999999</v>
      </c>
    </row>
    <row r="51" spans="2:21" x14ac:dyDescent="0.2">
      <c r="B51" t="s">
        <v>1192</v>
      </c>
      <c r="C51" t="s">
        <v>12879</v>
      </c>
      <c r="D51" t="s">
        <v>1030</v>
      </c>
      <c r="E51" t="s">
        <v>7046</v>
      </c>
      <c r="F51">
        <v>14475</v>
      </c>
      <c r="G51" t="s">
        <v>1319</v>
      </c>
      <c r="L51" t="s">
        <v>1192</v>
      </c>
      <c r="M51" t="s">
        <v>1270</v>
      </c>
      <c r="N51" t="s">
        <v>1271</v>
      </c>
      <c r="O51">
        <v>1</v>
      </c>
      <c r="R51" t="s">
        <v>1433</v>
      </c>
      <c r="S51" t="s">
        <v>10219</v>
      </c>
      <c r="T51" t="s">
        <v>12962</v>
      </c>
      <c r="U51">
        <v>16855.87</v>
      </c>
    </row>
    <row r="52" spans="2:21" x14ac:dyDescent="0.2">
      <c r="B52" t="s">
        <v>1192</v>
      </c>
      <c r="C52" t="s">
        <v>12879</v>
      </c>
      <c r="D52" t="s">
        <v>1030</v>
      </c>
      <c r="E52" t="s">
        <v>7047</v>
      </c>
      <c r="F52">
        <v>16350</v>
      </c>
      <c r="G52" t="s">
        <v>1323</v>
      </c>
      <c r="L52" t="s">
        <v>1192</v>
      </c>
      <c r="M52" t="s">
        <v>1272</v>
      </c>
      <c r="N52" t="s">
        <v>1273</v>
      </c>
      <c r="O52">
        <v>1</v>
      </c>
      <c r="R52" t="s">
        <v>1433</v>
      </c>
      <c r="S52" t="s">
        <v>11903</v>
      </c>
      <c r="T52" t="s">
        <v>12958</v>
      </c>
      <c r="U52">
        <v>6565.93</v>
      </c>
    </row>
    <row r="53" spans="2:21" x14ac:dyDescent="0.2">
      <c r="B53" t="s">
        <v>1192</v>
      </c>
      <c r="C53" t="s">
        <v>12879</v>
      </c>
      <c r="D53" t="s">
        <v>1041</v>
      </c>
      <c r="E53" t="s">
        <v>7048</v>
      </c>
      <c r="F53">
        <v>3375</v>
      </c>
      <c r="G53" t="s">
        <v>1332</v>
      </c>
      <c r="L53" t="s">
        <v>1192</v>
      </c>
      <c r="M53" t="s">
        <v>1274</v>
      </c>
      <c r="N53" t="s">
        <v>1273</v>
      </c>
      <c r="O53">
        <v>1</v>
      </c>
      <c r="R53" t="s">
        <v>1433</v>
      </c>
      <c r="S53" t="s">
        <v>6839</v>
      </c>
      <c r="T53" t="s">
        <v>12976</v>
      </c>
      <c r="U53">
        <v>17251.560000000009</v>
      </c>
    </row>
    <row r="54" spans="2:21" x14ac:dyDescent="0.2">
      <c r="B54" t="s">
        <v>1192</v>
      </c>
      <c r="C54" t="s">
        <v>12879</v>
      </c>
      <c r="D54" t="s">
        <v>1030</v>
      </c>
      <c r="E54" t="s">
        <v>7049</v>
      </c>
      <c r="F54">
        <v>34876</v>
      </c>
      <c r="G54" t="s">
        <v>1334</v>
      </c>
      <c r="L54" t="s">
        <v>1192</v>
      </c>
      <c r="M54" t="s">
        <v>1275</v>
      </c>
      <c r="N54" t="s">
        <v>1276</v>
      </c>
      <c r="O54">
        <v>1</v>
      </c>
      <c r="R54" t="s">
        <v>1433</v>
      </c>
      <c r="S54" t="s">
        <v>10196</v>
      </c>
      <c r="T54" t="s">
        <v>12958</v>
      </c>
      <c r="U54">
        <v>4011.3700000000003</v>
      </c>
    </row>
    <row r="55" spans="2:21" x14ac:dyDescent="0.2">
      <c r="B55" t="s">
        <v>1192</v>
      </c>
      <c r="C55" t="s">
        <v>12879</v>
      </c>
      <c r="D55" t="s">
        <v>1041</v>
      </c>
      <c r="E55" t="s">
        <v>7050</v>
      </c>
      <c r="F55">
        <v>21687</v>
      </c>
      <c r="G55" t="s">
        <v>1338</v>
      </c>
      <c r="L55" t="s">
        <v>1192</v>
      </c>
      <c r="M55" t="s">
        <v>1277</v>
      </c>
      <c r="N55" t="s">
        <v>1278</v>
      </c>
      <c r="O55">
        <v>1</v>
      </c>
      <c r="R55" t="s">
        <v>1433</v>
      </c>
      <c r="S55" t="s">
        <v>10219</v>
      </c>
      <c r="T55" t="s">
        <v>12958</v>
      </c>
      <c r="U55">
        <v>7302.1799999999994</v>
      </c>
    </row>
    <row r="56" spans="2:21" x14ac:dyDescent="0.2">
      <c r="B56" t="s">
        <v>1192</v>
      </c>
      <c r="C56" t="s">
        <v>12879</v>
      </c>
      <c r="D56" t="s">
        <v>1041</v>
      </c>
      <c r="E56" t="s">
        <v>7051</v>
      </c>
      <c r="F56">
        <v>21687</v>
      </c>
      <c r="G56" t="s">
        <v>1338</v>
      </c>
      <c r="L56" t="s">
        <v>1192</v>
      </c>
      <c r="M56" t="s">
        <v>1279</v>
      </c>
      <c r="N56" t="s">
        <v>1280</v>
      </c>
      <c r="O56">
        <v>1</v>
      </c>
      <c r="R56" t="s">
        <v>1433</v>
      </c>
      <c r="S56" t="s">
        <v>12392</v>
      </c>
      <c r="T56" t="s">
        <v>12970</v>
      </c>
      <c r="U56">
        <v>6653.3999999999978</v>
      </c>
    </row>
    <row r="57" spans="2:21" x14ac:dyDescent="0.2">
      <c r="B57" t="s">
        <v>1192</v>
      </c>
      <c r="C57" t="s">
        <v>12879</v>
      </c>
      <c r="D57" t="s">
        <v>1041</v>
      </c>
      <c r="E57" t="s">
        <v>7052</v>
      </c>
      <c r="F57">
        <v>21687</v>
      </c>
      <c r="G57" t="s">
        <v>1338</v>
      </c>
      <c r="L57" t="s">
        <v>1192</v>
      </c>
      <c r="M57" t="s">
        <v>1281</v>
      </c>
      <c r="N57" t="s">
        <v>1280</v>
      </c>
      <c r="O57">
        <v>1</v>
      </c>
      <c r="R57" t="s">
        <v>1433</v>
      </c>
      <c r="S57" t="s">
        <v>6839</v>
      </c>
      <c r="T57" t="s">
        <v>12964</v>
      </c>
      <c r="U57">
        <v>6006.1399999999985</v>
      </c>
    </row>
    <row r="58" spans="2:21" x14ac:dyDescent="0.2">
      <c r="B58" t="s">
        <v>1192</v>
      </c>
      <c r="C58" t="s">
        <v>12879</v>
      </c>
      <c r="D58" t="s">
        <v>1041</v>
      </c>
      <c r="E58" t="s">
        <v>7053</v>
      </c>
      <c r="F58">
        <v>7229</v>
      </c>
      <c r="G58" t="s">
        <v>1338</v>
      </c>
      <c r="L58" t="s">
        <v>1192</v>
      </c>
      <c r="M58" t="s">
        <v>1282</v>
      </c>
      <c r="N58" t="s">
        <v>1283</v>
      </c>
      <c r="O58">
        <v>4</v>
      </c>
      <c r="R58" t="s">
        <v>1433</v>
      </c>
      <c r="S58" t="s">
        <v>5041</v>
      </c>
      <c r="T58" t="s">
        <v>12953</v>
      </c>
      <c r="U58">
        <v>16509.679999999997</v>
      </c>
    </row>
    <row r="59" spans="2:21" x14ac:dyDescent="0.2">
      <c r="B59" t="s">
        <v>1192</v>
      </c>
      <c r="C59" t="s">
        <v>12879</v>
      </c>
      <c r="D59" t="s">
        <v>1030</v>
      </c>
      <c r="E59" t="s">
        <v>7054</v>
      </c>
      <c r="F59">
        <v>56718</v>
      </c>
      <c r="G59" t="s">
        <v>1340</v>
      </c>
      <c r="L59" t="s">
        <v>1192</v>
      </c>
      <c r="M59" t="s">
        <v>1284</v>
      </c>
      <c r="N59" t="s">
        <v>1285</v>
      </c>
      <c r="O59">
        <v>2</v>
      </c>
      <c r="R59" t="s">
        <v>1433</v>
      </c>
      <c r="S59" t="s">
        <v>5063</v>
      </c>
      <c r="T59" t="s">
        <v>12977</v>
      </c>
      <c r="U59">
        <v>2152.15</v>
      </c>
    </row>
    <row r="60" spans="2:21" x14ac:dyDescent="0.2">
      <c r="B60" t="s">
        <v>1192</v>
      </c>
      <c r="C60" t="s">
        <v>12879</v>
      </c>
      <c r="D60" t="s">
        <v>1030</v>
      </c>
      <c r="E60" t="s">
        <v>7055</v>
      </c>
      <c r="F60">
        <v>8725</v>
      </c>
      <c r="G60" t="s">
        <v>1336</v>
      </c>
      <c r="L60" t="s">
        <v>1192</v>
      </c>
      <c r="M60" t="s">
        <v>1286</v>
      </c>
      <c r="N60" t="s">
        <v>1287</v>
      </c>
      <c r="O60">
        <v>1</v>
      </c>
      <c r="R60" t="s">
        <v>1433</v>
      </c>
      <c r="S60" t="s">
        <v>5060</v>
      </c>
      <c r="T60" t="s">
        <v>12960</v>
      </c>
      <c r="U60">
        <v>606.38000000000011</v>
      </c>
    </row>
    <row r="61" spans="2:21" x14ac:dyDescent="0.2">
      <c r="B61" t="s">
        <v>1192</v>
      </c>
      <c r="C61" t="s">
        <v>12879</v>
      </c>
      <c r="D61" t="s">
        <v>1030</v>
      </c>
      <c r="E61" t="s">
        <v>7056</v>
      </c>
      <c r="F61">
        <v>26175</v>
      </c>
      <c r="G61" t="s">
        <v>1336</v>
      </c>
      <c r="L61" t="s">
        <v>1192</v>
      </c>
      <c r="M61" t="s">
        <v>1288</v>
      </c>
      <c r="N61" t="s">
        <v>1289</v>
      </c>
      <c r="O61">
        <v>1</v>
      </c>
      <c r="R61" t="s">
        <v>1433</v>
      </c>
      <c r="S61" t="s">
        <v>6839</v>
      </c>
      <c r="T61" t="s">
        <v>12978</v>
      </c>
      <c r="U61">
        <v>5316.8399999999992</v>
      </c>
    </row>
    <row r="62" spans="2:21" x14ac:dyDescent="0.2">
      <c r="B62" t="s">
        <v>1192</v>
      </c>
      <c r="C62" t="s">
        <v>12879</v>
      </c>
      <c r="D62" t="s">
        <v>1030</v>
      </c>
      <c r="E62" t="s">
        <v>7057</v>
      </c>
      <c r="F62">
        <v>13842.5</v>
      </c>
      <c r="G62" t="s">
        <v>1344</v>
      </c>
      <c r="L62" t="s">
        <v>1192</v>
      </c>
      <c r="M62" t="s">
        <v>1290</v>
      </c>
      <c r="N62" t="s">
        <v>1291</v>
      </c>
      <c r="O62">
        <v>1</v>
      </c>
      <c r="R62" t="s">
        <v>1433</v>
      </c>
      <c r="S62" t="s">
        <v>6839</v>
      </c>
      <c r="T62" t="s">
        <v>12979</v>
      </c>
      <c r="U62">
        <v>11741.520000000004</v>
      </c>
    </row>
    <row r="63" spans="2:21" x14ac:dyDescent="0.2">
      <c r="B63" t="s">
        <v>1192</v>
      </c>
      <c r="C63" t="s">
        <v>12879</v>
      </c>
      <c r="D63" t="s">
        <v>1030</v>
      </c>
      <c r="E63" t="s">
        <v>7058</v>
      </c>
      <c r="F63">
        <v>13842.5</v>
      </c>
      <c r="G63" t="s">
        <v>1344</v>
      </c>
      <c r="L63" t="s">
        <v>1192</v>
      </c>
      <c r="M63" t="s">
        <v>1292</v>
      </c>
      <c r="N63" t="s">
        <v>1293</v>
      </c>
      <c r="O63">
        <v>1</v>
      </c>
      <c r="R63" t="s">
        <v>1433</v>
      </c>
      <c r="S63" t="s">
        <v>5047</v>
      </c>
      <c r="T63" t="s">
        <v>12980</v>
      </c>
      <c r="U63">
        <v>900.6400000000001</v>
      </c>
    </row>
    <row r="64" spans="2:21" x14ac:dyDescent="0.2">
      <c r="B64" t="s">
        <v>1192</v>
      </c>
      <c r="C64" t="s">
        <v>12879</v>
      </c>
      <c r="D64" t="s">
        <v>1030</v>
      </c>
      <c r="E64" t="s">
        <v>7059</v>
      </c>
      <c r="F64">
        <v>5932.5</v>
      </c>
      <c r="G64" t="s">
        <v>1344</v>
      </c>
      <c r="L64" t="s">
        <v>1192</v>
      </c>
      <c r="M64" t="s">
        <v>1294</v>
      </c>
      <c r="N64" t="s">
        <v>1295</v>
      </c>
      <c r="O64">
        <v>1</v>
      </c>
      <c r="R64" t="s">
        <v>1433</v>
      </c>
      <c r="S64" t="s">
        <v>5217</v>
      </c>
      <c r="T64" t="s">
        <v>12978</v>
      </c>
      <c r="U64">
        <v>918.96</v>
      </c>
    </row>
    <row r="65" spans="2:21" x14ac:dyDescent="0.2">
      <c r="B65" t="s">
        <v>1192</v>
      </c>
      <c r="C65" t="s">
        <v>12879</v>
      </c>
      <c r="D65" t="s">
        <v>1030</v>
      </c>
      <c r="E65" t="s">
        <v>7060</v>
      </c>
      <c r="F65">
        <v>5932.5</v>
      </c>
      <c r="G65" t="s">
        <v>1344</v>
      </c>
      <c r="L65" t="s">
        <v>1192</v>
      </c>
      <c r="M65" t="s">
        <v>1296</v>
      </c>
      <c r="N65" t="s">
        <v>1297</v>
      </c>
      <c r="O65">
        <v>2</v>
      </c>
      <c r="R65" t="s">
        <v>1433</v>
      </c>
      <c r="S65" t="s">
        <v>5136</v>
      </c>
      <c r="T65" t="s">
        <v>12956</v>
      </c>
      <c r="U65">
        <v>479.08</v>
      </c>
    </row>
    <row r="66" spans="2:21" x14ac:dyDescent="0.2">
      <c r="B66" t="s">
        <v>1192</v>
      </c>
      <c r="C66" t="s">
        <v>12879</v>
      </c>
      <c r="D66" t="s">
        <v>1030</v>
      </c>
      <c r="E66" t="s">
        <v>7061</v>
      </c>
      <c r="F66">
        <v>67099.199999999997</v>
      </c>
      <c r="G66" t="s">
        <v>1352</v>
      </c>
      <c r="L66" t="s">
        <v>1192</v>
      </c>
      <c r="M66" t="s">
        <v>1298</v>
      </c>
      <c r="N66" t="s">
        <v>1299</v>
      </c>
      <c r="O66">
        <v>2</v>
      </c>
      <c r="R66" t="s">
        <v>1433</v>
      </c>
      <c r="S66" t="s">
        <v>12778</v>
      </c>
      <c r="T66" t="s">
        <v>12971</v>
      </c>
      <c r="U66">
        <v>3289.1999999999994</v>
      </c>
    </row>
    <row r="67" spans="2:21" x14ac:dyDescent="0.2">
      <c r="B67" t="s">
        <v>1192</v>
      </c>
      <c r="C67" t="s">
        <v>12879</v>
      </c>
      <c r="D67" t="s">
        <v>1041</v>
      </c>
      <c r="E67" t="s">
        <v>7062</v>
      </c>
      <c r="F67">
        <v>12259.5</v>
      </c>
      <c r="G67" t="s">
        <v>1354</v>
      </c>
      <c r="L67" t="s">
        <v>1192</v>
      </c>
      <c r="M67" t="s">
        <v>1300</v>
      </c>
      <c r="N67" t="s">
        <v>1299</v>
      </c>
      <c r="O67">
        <v>2</v>
      </c>
      <c r="R67" t="s">
        <v>1433</v>
      </c>
      <c r="S67" t="s">
        <v>10194</v>
      </c>
      <c r="T67" t="s">
        <v>12962</v>
      </c>
      <c r="U67">
        <v>590.76</v>
      </c>
    </row>
    <row r="68" spans="2:21" x14ac:dyDescent="0.2">
      <c r="B68" t="s">
        <v>1192</v>
      </c>
      <c r="C68" t="s">
        <v>12879</v>
      </c>
      <c r="D68" t="s">
        <v>1041</v>
      </c>
      <c r="E68" t="s">
        <v>7063</v>
      </c>
      <c r="F68">
        <v>24519</v>
      </c>
      <c r="G68" t="s">
        <v>1354</v>
      </c>
      <c r="L68" t="s">
        <v>1192</v>
      </c>
      <c r="M68" t="s">
        <v>1301</v>
      </c>
      <c r="N68" t="s">
        <v>1302</v>
      </c>
      <c r="O68">
        <v>1</v>
      </c>
      <c r="R68" t="s">
        <v>1433</v>
      </c>
      <c r="S68" t="s">
        <v>6839</v>
      </c>
      <c r="T68" t="s">
        <v>12981</v>
      </c>
      <c r="U68">
        <v>1879.4599999999998</v>
      </c>
    </row>
    <row r="69" spans="2:21" x14ac:dyDescent="0.2">
      <c r="B69" t="s">
        <v>1192</v>
      </c>
      <c r="C69" t="s">
        <v>12879</v>
      </c>
      <c r="D69" t="s">
        <v>1041</v>
      </c>
      <c r="E69" t="s">
        <v>7064</v>
      </c>
      <c r="F69">
        <v>8050</v>
      </c>
      <c r="G69" t="s">
        <v>1368</v>
      </c>
      <c r="L69" t="s">
        <v>1192</v>
      </c>
      <c r="M69" t="s">
        <v>1303</v>
      </c>
      <c r="N69" t="s">
        <v>1304</v>
      </c>
      <c r="O69">
        <v>1</v>
      </c>
      <c r="R69" t="s">
        <v>1433</v>
      </c>
      <c r="S69" t="s">
        <v>10194</v>
      </c>
      <c r="T69" t="s">
        <v>12958</v>
      </c>
      <c r="U69">
        <v>426.65999999999997</v>
      </c>
    </row>
    <row r="70" spans="2:21" x14ac:dyDescent="0.2">
      <c r="B70" t="s">
        <v>1192</v>
      </c>
      <c r="C70" t="s">
        <v>12879</v>
      </c>
      <c r="D70" t="s">
        <v>1041</v>
      </c>
      <c r="E70" t="s">
        <v>7065</v>
      </c>
      <c r="F70">
        <v>8050</v>
      </c>
      <c r="G70" t="s">
        <v>1393</v>
      </c>
      <c r="L70" t="s">
        <v>1192</v>
      </c>
      <c r="M70" t="s">
        <v>1305</v>
      </c>
      <c r="N70" t="s">
        <v>1306</v>
      </c>
      <c r="O70">
        <v>1</v>
      </c>
      <c r="R70" t="s">
        <v>1433</v>
      </c>
      <c r="S70" t="s">
        <v>11903</v>
      </c>
      <c r="T70" t="s">
        <v>12962</v>
      </c>
      <c r="U70">
        <v>4767.9999999999991</v>
      </c>
    </row>
    <row r="71" spans="2:21" x14ac:dyDescent="0.2">
      <c r="B71" t="s">
        <v>1192</v>
      </c>
      <c r="C71" t="s">
        <v>12879</v>
      </c>
      <c r="D71" t="s">
        <v>617</v>
      </c>
      <c r="E71" t="s">
        <v>7066</v>
      </c>
      <c r="F71">
        <v>389.7</v>
      </c>
      <c r="G71" t="s">
        <v>1358</v>
      </c>
      <c r="L71" t="s">
        <v>1192</v>
      </c>
      <c r="M71" t="s">
        <v>1307</v>
      </c>
      <c r="N71" t="s">
        <v>1308</v>
      </c>
      <c r="O71">
        <v>1</v>
      </c>
      <c r="R71" t="s">
        <v>1433</v>
      </c>
      <c r="S71" t="s">
        <v>10196</v>
      </c>
      <c r="T71" t="s">
        <v>12980</v>
      </c>
      <c r="U71">
        <v>277.12</v>
      </c>
    </row>
    <row r="72" spans="2:21" x14ac:dyDescent="0.2">
      <c r="B72" t="s">
        <v>1192</v>
      </c>
      <c r="C72" t="s">
        <v>12879</v>
      </c>
      <c r="D72" t="s">
        <v>1041</v>
      </c>
      <c r="E72" t="s">
        <v>7067</v>
      </c>
      <c r="F72">
        <v>1597</v>
      </c>
      <c r="G72" t="s">
        <v>1356</v>
      </c>
      <c r="L72" t="s">
        <v>1192</v>
      </c>
      <c r="M72" t="s">
        <v>1309</v>
      </c>
      <c r="N72" t="s">
        <v>1310</v>
      </c>
      <c r="O72">
        <v>1</v>
      </c>
      <c r="R72" t="s">
        <v>1433</v>
      </c>
      <c r="S72" t="s">
        <v>11903</v>
      </c>
      <c r="T72" t="s">
        <v>12980</v>
      </c>
      <c r="U72">
        <v>1514.38</v>
      </c>
    </row>
    <row r="73" spans="2:21" x14ac:dyDescent="0.2">
      <c r="B73" t="s">
        <v>1192</v>
      </c>
      <c r="C73" t="s">
        <v>12879</v>
      </c>
      <c r="D73" t="s">
        <v>1048</v>
      </c>
      <c r="E73" t="s">
        <v>7068</v>
      </c>
      <c r="F73">
        <v>1250</v>
      </c>
      <c r="G73" t="s">
        <v>1394</v>
      </c>
      <c r="L73" t="s">
        <v>1192</v>
      </c>
      <c r="M73" t="s">
        <v>1311</v>
      </c>
      <c r="N73" t="s">
        <v>1312</v>
      </c>
      <c r="O73">
        <v>1</v>
      </c>
      <c r="R73" t="s">
        <v>1433</v>
      </c>
      <c r="S73" t="s">
        <v>5225</v>
      </c>
      <c r="T73" t="s">
        <v>12982</v>
      </c>
      <c r="U73">
        <v>665.66000000000008</v>
      </c>
    </row>
    <row r="74" spans="2:21" x14ac:dyDescent="0.2">
      <c r="B74" t="s">
        <v>1192</v>
      </c>
      <c r="C74" t="s">
        <v>12879</v>
      </c>
      <c r="D74" t="s">
        <v>1048</v>
      </c>
      <c r="E74" t="s">
        <v>7069</v>
      </c>
      <c r="F74">
        <v>960</v>
      </c>
      <c r="G74" t="s">
        <v>1396</v>
      </c>
      <c r="L74" t="s">
        <v>1192</v>
      </c>
      <c r="M74" t="s">
        <v>1313</v>
      </c>
      <c r="N74" t="s">
        <v>1314</v>
      </c>
      <c r="O74">
        <v>1</v>
      </c>
      <c r="R74" t="s">
        <v>1433</v>
      </c>
      <c r="S74" t="s">
        <v>12778</v>
      </c>
      <c r="T74" t="s">
        <v>12981</v>
      </c>
      <c r="U74">
        <v>435.03</v>
      </c>
    </row>
    <row r="75" spans="2:21" x14ac:dyDescent="0.2">
      <c r="B75" t="s">
        <v>1192</v>
      </c>
      <c r="C75" t="s">
        <v>12879</v>
      </c>
      <c r="D75" t="s">
        <v>1048</v>
      </c>
      <c r="E75" t="s">
        <v>7070</v>
      </c>
      <c r="F75">
        <v>1250</v>
      </c>
      <c r="G75" t="s">
        <v>1397</v>
      </c>
      <c r="L75" t="s">
        <v>1192</v>
      </c>
      <c r="M75" t="s">
        <v>1315</v>
      </c>
      <c r="N75" t="s">
        <v>1316</v>
      </c>
      <c r="O75">
        <v>1</v>
      </c>
      <c r="R75" t="s">
        <v>1433</v>
      </c>
      <c r="S75" t="s">
        <v>10194</v>
      </c>
      <c r="T75" t="s">
        <v>12983</v>
      </c>
      <c r="U75">
        <v>924.66</v>
      </c>
    </row>
    <row r="76" spans="2:21" x14ac:dyDescent="0.2">
      <c r="B76" t="s">
        <v>1192</v>
      </c>
      <c r="C76" t="s">
        <v>12879</v>
      </c>
      <c r="D76" t="s">
        <v>1048</v>
      </c>
      <c r="E76" t="s">
        <v>7071</v>
      </c>
      <c r="F76">
        <v>1152</v>
      </c>
      <c r="G76" t="s">
        <v>1398</v>
      </c>
      <c r="L76" t="s">
        <v>1192</v>
      </c>
      <c r="M76" t="s">
        <v>1317</v>
      </c>
      <c r="N76" t="s">
        <v>1318</v>
      </c>
      <c r="O76">
        <v>4</v>
      </c>
      <c r="R76" t="s">
        <v>1433</v>
      </c>
      <c r="S76" t="s">
        <v>6298</v>
      </c>
      <c r="T76" t="s">
        <v>12980</v>
      </c>
      <c r="U76">
        <v>242.48000000000002</v>
      </c>
    </row>
    <row r="77" spans="2:21" x14ac:dyDescent="0.2">
      <c r="B77" t="s">
        <v>1192</v>
      </c>
      <c r="C77" t="s">
        <v>12879</v>
      </c>
      <c r="D77" t="s">
        <v>1048</v>
      </c>
      <c r="E77" t="s">
        <v>7072</v>
      </c>
      <c r="F77">
        <v>1080</v>
      </c>
      <c r="G77" t="s">
        <v>1399</v>
      </c>
      <c r="L77" t="s">
        <v>1192</v>
      </c>
      <c r="M77" t="s">
        <v>1319</v>
      </c>
      <c r="N77" t="s">
        <v>1320</v>
      </c>
      <c r="O77">
        <v>1</v>
      </c>
      <c r="R77" t="s">
        <v>1433</v>
      </c>
      <c r="S77" t="s">
        <v>10194</v>
      </c>
      <c r="T77" t="s">
        <v>12954</v>
      </c>
      <c r="U77">
        <v>3520.8199999999997</v>
      </c>
    </row>
    <row r="78" spans="2:21" x14ac:dyDescent="0.2">
      <c r="B78" t="s">
        <v>1192</v>
      </c>
      <c r="C78" t="s">
        <v>12879</v>
      </c>
      <c r="D78" t="s">
        <v>1048</v>
      </c>
      <c r="E78" t="s">
        <v>7073</v>
      </c>
      <c r="F78">
        <v>1104</v>
      </c>
      <c r="G78" t="s">
        <v>1400</v>
      </c>
      <c r="L78" t="s">
        <v>1192</v>
      </c>
      <c r="M78" t="s">
        <v>1321</v>
      </c>
      <c r="N78" t="s">
        <v>1322</v>
      </c>
      <c r="O78">
        <v>1</v>
      </c>
      <c r="R78" t="s">
        <v>1433</v>
      </c>
      <c r="S78" t="s">
        <v>12392</v>
      </c>
      <c r="T78" t="s">
        <v>12981</v>
      </c>
      <c r="U78">
        <v>5061.1899999999996</v>
      </c>
    </row>
    <row r="79" spans="2:21" x14ac:dyDescent="0.2">
      <c r="B79" t="s">
        <v>1192</v>
      </c>
      <c r="C79" t="s">
        <v>12879</v>
      </c>
      <c r="D79" t="s">
        <v>1030</v>
      </c>
      <c r="E79" t="s">
        <v>7074</v>
      </c>
      <c r="F79">
        <v>10000</v>
      </c>
      <c r="G79" t="s">
        <v>1401</v>
      </c>
      <c r="L79" t="s">
        <v>1192</v>
      </c>
      <c r="M79" t="s">
        <v>1323</v>
      </c>
      <c r="N79" t="s">
        <v>1324</v>
      </c>
      <c r="O79">
        <v>1</v>
      </c>
      <c r="R79" t="s">
        <v>1433</v>
      </c>
      <c r="S79" t="s">
        <v>10757</v>
      </c>
      <c r="T79" t="s">
        <v>12983</v>
      </c>
      <c r="U79">
        <v>656.4</v>
      </c>
    </row>
    <row r="80" spans="2:21" x14ac:dyDescent="0.2">
      <c r="B80" t="s">
        <v>1192</v>
      </c>
      <c r="C80" t="s">
        <v>12879</v>
      </c>
      <c r="D80" t="s">
        <v>1041</v>
      </c>
      <c r="E80" t="s">
        <v>7075</v>
      </c>
      <c r="F80">
        <v>10880</v>
      </c>
      <c r="G80" t="s">
        <v>2181</v>
      </c>
      <c r="L80" t="s">
        <v>1192</v>
      </c>
      <c r="M80" t="s">
        <v>1325</v>
      </c>
      <c r="N80" t="s">
        <v>1326</v>
      </c>
      <c r="O80">
        <v>2</v>
      </c>
      <c r="R80" t="s">
        <v>1433</v>
      </c>
      <c r="S80" t="s">
        <v>12778</v>
      </c>
      <c r="T80" t="s">
        <v>12974</v>
      </c>
      <c r="U80">
        <v>1057.7199999999998</v>
      </c>
    </row>
    <row r="81" spans="2:21" x14ac:dyDescent="0.2">
      <c r="B81" t="s">
        <v>1192</v>
      </c>
      <c r="C81" t="s">
        <v>12879</v>
      </c>
      <c r="D81" t="s">
        <v>1041</v>
      </c>
      <c r="E81" t="s">
        <v>7076</v>
      </c>
      <c r="F81">
        <v>10880</v>
      </c>
      <c r="G81" t="s">
        <v>2182</v>
      </c>
      <c r="L81" t="s">
        <v>1192</v>
      </c>
      <c r="M81" t="s">
        <v>1327</v>
      </c>
      <c r="N81" t="s">
        <v>1328</v>
      </c>
      <c r="O81">
        <v>2</v>
      </c>
      <c r="R81" t="s">
        <v>1433</v>
      </c>
      <c r="S81" t="s">
        <v>5144</v>
      </c>
      <c r="T81" t="s">
        <v>12976</v>
      </c>
      <c r="U81">
        <v>270.77</v>
      </c>
    </row>
    <row r="82" spans="2:21" x14ac:dyDescent="0.2">
      <c r="B82" t="s">
        <v>1192</v>
      </c>
      <c r="C82" t="s">
        <v>12879</v>
      </c>
      <c r="D82" t="s">
        <v>1169</v>
      </c>
      <c r="E82" t="s">
        <v>7077</v>
      </c>
      <c r="F82">
        <v>2781.07</v>
      </c>
      <c r="G82" t="s">
        <v>1423</v>
      </c>
      <c r="L82" t="s">
        <v>1192</v>
      </c>
      <c r="M82" t="s">
        <v>1329</v>
      </c>
      <c r="N82" t="s">
        <v>1328</v>
      </c>
      <c r="O82">
        <v>2</v>
      </c>
      <c r="R82" t="s">
        <v>1433</v>
      </c>
      <c r="S82" t="s">
        <v>5026</v>
      </c>
      <c r="T82" t="s">
        <v>12969</v>
      </c>
      <c r="U82">
        <v>1926.17</v>
      </c>
    </row>
    <row r="83" spans="2:21" x14ac:dyDescent="0.2">
      <c r="B83" t="s">
        <v>1192</v>
      </c>
      <c r="C83" t="s">
        <v>12879</v>
      </c>
      <c r="D83" t="s">
        <v>372</v>
      </c>
      <c r="E83" t="s">
        <v>7078</v>
      </c>
      <c r="F83">
        <v>516.84</v>
      </c>
      <c r="G83" t="s">
        <v>6984</v>
      </c>
      <c r="L83" t="s">
        <v>1192</v>
      </c>
      <c r="M83" t="s">
        <v>1330</v>
      </c>
      <c r="N83" t="s">
        <v>1331</v>
      </c>
      <c r="O83">
        <v>1</v>
      </c>
      <c r="R83" t="s">
        <v>1433</v>
      </c>
      <c r="S83" t="s">
        <v>10194</v>
      </c>
      <c r="T83" t="s">
        <v>12981</v>
      </c>
      <c r="U83">
        <v>1161.8499999999999</v>
      </c>
    </row>
    <row r="84" spans="2:21" x14ac:dyDescent="0.2">
      <c r="B84" t="s">
        <v>1192</v>
      </c>
      <c r="C84" t="s">
        <v>12880</v>
      </c>
      <c r="D84" t="s">
        <v>308</v>
      </c>
      <c r="E84" t="s">
        <v>7079</v>
      </c>
      <c r="F84">
        <v>273.76</v>
      </c>
      <c r="G84" t="s">
        <v>7082</v>
      </c>
      <c r="L84" t="s">
        <v>1192</v>
      </c>
      <c r="M84" t="s">
        <v>1332</v>
      </c>
      <c r="N84" t="s">
        <v>1333</v>
      </c>
      <c r="O84">
        <v>1</v>
      </c>
      <c r="R84" t="s">
        <v>1433</v>
      </c>
      <c r="S84" t="s">
        <v>12392</v>
      </c>
      <c r="T84" t="s">
        <v>12978</v>
      </c>
      <c r="U84">
        <v>1709.52</v>
      </c>
    </row>
    <row r="85" spans="2:21" x14ac:dyDescent="0.2">
      <c r="B85" t="s">
        <v>1192</v>
      </c>
      <c r="C85" t="s">
        <v>12880</v>
      </c>
      <c r="D85" t="s">
        <v>314</v>
      </c>
      <c r="E85" t="s">
        <v>7096</v>
      </c>
      <c r="F85">
        <v>2003.04</v>
      </c>
      <c r="G85" t="s">
        <v>7098</v>
      </c>
      <c r="L85" t="s">
        <v>1192</v>
      </c>
      <c r="M85" t="s">
        <v>1334</v>
      </c>
      <c r="N85" t="s">
        <v>1335</v>
      </c>
      <c r="O85">
        <v>1</v>
      </c>
      <c r="R85" t="s">
        <v>1433</v>
      </c>
      <c r="S85" t="s">
        <v>12778</v>
      </c>
      <c r="T85" t="s">
        <v>12978</v>
      </c>
      <c r="U85">
        <v>1040</v>
      </c>
    </row>
    <row r="86" spans="2:21" x14ac:dyDescent="0.2">
      <c r="B86" t="s">
        <v>1192</v>
      </c>
      <c r="C86" t="s">
        <v>12881</v>
      </c>
      <c r="D86" t="s">
        <v>84</v>
      </c>
      <c r="E86" t="s">
        <v>7274</v>
      </c>
      <c r="F86">
        <v>3.94</v>
      </c>
      <c r="G86" t="s">
        <v>6484</v>
      </c>
      <c r="L86" t="s">
        <v>1192</v>
      </c>
      <c r="M86" t="s">
        <v>1336</v>
      </c>
      <c r="N86" t="s">
        <v>1337</v>
      </c>
      <c r="O86">
        <v>1</v>
      </c>
      <c r="R86" t="s">
        <v>1433</v>
      </c>
      <c r="S86" t="s">
        <v>5136</v>
      </c>
      <c r="T86" t="s">
        <v>12976</v>
      </c>
      <c r="U86">
        <v>564.64</v>
      </c>
    </row>
    <row r="87" spans="2:21" x14ac:dyDescent="0.2">
      <c r="B87" t="s">
        <v>1192</v>
      </c>
      <c r="C87" t="s">
        <v>12881</v>
      </c>
      <c r="D87" t="s">
        <v>613</v>
      </c>
      <c r="E87" t="s">
        <v>7279</v>
      </c>
      <c r="F87">
        <v>1.2</v>
      </c>
      <c r="G87" t="s">
        <v>7282</v>
      </c>
      <c r="L87" t="s">
        <v>1192</v>
      </c>
      <c r="M87" t="s">
        <v>1338</v>
      </c>
      <c r="N87" t="s">
        <v>1339</v>
      </c>
      <c r="O87">
        <v>1</v>
      </c>
      <c r="R87" t="s">
        <v>1433</v>
      </c>
      <c r="S87" t="s">
        <v>11905</v>
      </c>
      <c r="T87" t="s">
        <v>12962</v>
      </c>
      <c r="U87">
        <v>3625.2799999999997</v>
      </c>
    </row>
    <row r="88" spans="2:21" x14ac:dyDescent="0.2">
      <c r="B88" t="s">
        <v>1192</v>
      </c>
      <c r="C88" t="s">
        <v>12881</v>
      </c>
      <c r="D88" t="s">
        <v>613</v>
      </c>
      <c r="E88" t="s">
        <v>7286</v>
      </c>
      <c r="F88">
        <v>41.26</v>
      </c>
      <c r="G88" t="s">
        <v>1214</v>
      </c>
      <c r="L88" t="s">
        <v>1192</v>
      </c>
      <c r="M88" t="s">
        <v>1340</v>
      </c>
      <c r="N88" t="s">
        <v>1341</v>
      </c>
      <c r="O88">
        <v>1</v>
      </c>
      <c r="R88" t="s">
        <v>1433</v>
      </c>
      <c r="S88" t="s">
        <v>5144</v>
      </c>
      <c r="T88" t="s">
        <v>12981</v>
      </c>
      <c r="U88">
        <v>1723.0900000000004</v>
      </c>
    </row>
    <row r="89" spans="2:21" x14ac:dyDescent="0.2">
      <c r="B89" t="s">
        <v>1192</v>
      </c>
      <c r="C89" t="s">
        <v>12881</v>
      </c>
      <c r="D89" t="s">
        <v>84</v>
      </c>
      <c r="E89" t="s">
        <v>7297</v>
      </c>
      <c r="F89">
        <v>20</v>
      </c>
      <c r="G89" t="s">
        <v>7299</v>
      </c>
      <c r="L89" t="s">
        <v>1192</v>
      </c>
      <c r="M89" t="s">
        <v>1342</v>
      </c>
      <c r="N89" t="s">
        <v>1343</v>
      </c>
      <c r="O89">
        <v>1</v>
      </c>
      <c r="R89" t="s">
        <v>1433</v>
      </c>
      <c r="S89" t="s">
        <v>5223</v>
      </c>
      <c r="T89" t="s">
        <v>12976</v>
      </c>
      <c r="U89">
        <v>417.97</v>
      </c>
    </row>
    <row r="90" spans="2:21" x14ac:dyDescent="0.2">
      <c r="B90" t="s">
        <v>1192</v>
      </c>
      <c r="C90" t="s">
        <v>12881</v>
      </c>
      <c r="D90" t="s">
        <v>84</v>
      </c>
      <c r="E90" t="s">
        <v>7300</v>
      </c>
      <c r="F90">
        <v>20</v>
      </c>
      <c r="G90" t="s">
        <v>7302</v>
      </c>
      <c r="L90" t="s">
        <v>1192</v>
      </c>
      <c r="M90" t="s">
        <v>1344</v>
      </c>
      <c r="N90" t="s">
        <v>1345</v>
      </c>
      <c r="O90">
        <v>1</v>
      </c>
      <c r="R90" t="s">
        <v>1433</v>
      </c>
      <c r="S90" t="s">
        <v>10219</v>
      </c>
      <c r="T90" t="s">
        <v>12980</v>
      </c>
      <c r="U90">
        <v>277.12</v>
      </c>
    </row>
    <row r="91" spans="2:21" x14ac:dyDescent="0.2">
      <c r="B91" t="s">
        <v>1192</v>
      </c>
      <c r="C91" t="s">
        <v>12881</v>
      </c>
      <c r="D91" t="s">
        <v>84</v>
      </c>
      <c r="E91" t="s">
        <v>7303</v>
      </c>
      <c r="F91">
        <v>27.5</v>
      </c>
      <c r="G91" t="s">
        <v>7304</v>
      </c>
      <c r="L91" t="s">
        <v>1192</v>
      </c>
      <c r="M91" t="s">
        <v>1346</v>
      </c>
      <c r="N91" t="s">
        <v>1347</v>
      </c>
      <c r="O91">
        <v>3</v>
      </c>
      <c r="R91" t="s">
        <v>1433</v>
      </c>
      <c r="S91" t="s">
        <v>11905</v>
      </c>
      <c r="T91" t="s">
        <v>12981</v>
      </c>
      <c r="U91">
        <v>86.6</v>
      </c>
    </row>
    <row r="92" spans="2:21" x14ac:dyDescent="0.2">
      <c r="B92" t="s">
        <v>1192</v>
      </c>
      <c r="C92" t="s">
        <v>12881</v>
      </c>
      <c r="D92" t="s">
        <v>84</v>
      </c>
      <c r="E92" t="s">
        <v>7305</v>
      </c>
      <c r="F92">
        <v>14.5</v>
      </c>
      <c r="G92" t="s">
        <v>7307</v>
      </c>
      <c r="L92" t="s">
        <v>1192</v>
      </c>
      <c r="M92" t="s">
        <v>1348</v>
      </c>
      <c r="N92" t="s">
        <v>1349</v>
      </c>
      <c r="O92">
        <v>1</v>
      </c>
      <c r="R92" t="s">
        <v>1433</v>
      </c>
      <c r="S92" t="s">
        <v>5217</v>
      </c>
      <c r="T92" t="s">
        <v>12981</v>
      </c>
      <c r="U92">
        <v>164.1</v>
      </c>
    </row>
    <row r="93" spans="2:21" x14ac:dyDescent="0.2">
      <c r="B93" t="s">
        <v>1192</v>
      </c>
      <c r="C93" t="s">
        <v>12881</v>
      </c>
      <c r="D93" t="s">
        <v>84</v>
      </c>
      <c r="E93" t="s">
        <v>7308</v>
      </c>
      <c r="F93">
        <v>9.75</v>
      </c>
      <c r="G93" t="s">
        <v>7310</v>
      </c>
      <c r="L93" t="s">
        <v>1192</v>
      </c>
      <c r="M93" t="s">
        <v>1350</v>
      </c>
      <c r="N93" t="s">
        <v>1351</v>
      </c>
      <c r="O93">
        <v>1</v>
      </c>
      <c r="R93" t="s">
        <v>1433</v>
      </c>
      <c r="S93" t="s">
        <v>5144</v>
      </c>
      <c r="T93" t="s">
        <v>12978</v>
      </c>
      <c r="U93">
        <v>590.76</v>
      </c>
    </row>
    <row r="94" spans="2:21" x14ac:dyDescent="0.2">
      <c r="B94" t="s">
        <v>1192</v>
      </c>
      <c r="C94" t="s">
        <v>12881</v>
      </c>
      <c r="D94" t="s">
        <v>84</v>
      </c>
      <c r="E94" t="s">
        <v>7316</v>
      </c>
      <c r="F94">
        <v>19.5</v>
      </c>
      <c r="G94" t="s">
        <v>7317</v>
      </c>
      <c r="L94" t="s">
        <v>1192</v>
      </c>
      <c r="M94" t="s">
        <v>1352</v>
      </c>
      <c r="N94" t="s">
        <v>1353</v>
      </c>
      <c r="O94">
        <v>0.99997000000000003</v>
      </c>
      <c r="R94" t="s">
        <v>1433</v>
      </c>
      <c r="S94" t="s">
        <v>5217</v>
      </c>
      <c r="T94" t="s">
        <v>12976</v>
      </c>
      <c r="U94">
        <v>246.15</v>
      </c>
    </row>
    <row r="95" spans="2:21" x14ac:dyDescent="0.2">
      <c r="B95" t="s">
        <v>1192</v>
      </c>
      <c r="C95" t="s">
        <v>12881</v>
      </c>
      <c r="D95" t="s">
        <v>613</v>
      </c>
      <c r="E95" t="s">
        <v>7323</v>
      </c>
      <c r="F95">
        <v>48.6</v>
      </c>
      <c r="G95" t="s">
        <v>7324</v>
      </c>
      <c r="L95" t="s">
        <v>1192</v>
      </c>
      <c r="M95" t="s">
        <v>1354</v>
      </c>
      <c r="N95" t="s">
        <v>1355</v>
      </c>
      <c r="O95">
        <v>1</v>
      </c>
      <c r="R95" t="s">
        <v>1433</v>
      </c>
      <c r="S95" t="s">
        <v>11263</v>
      </c>
      <c r="T95" t="s">
        <v>12954</v>
      </c>
      <c r="U95">
        <v>5308.6400000000012</v>
      </c>
    </row>
    <row r="96" spans="2:21" x14ac:dyDescent="0.2">
      <c r="B96" t="s">
        <v>1192</v>
      </c>
      <c r="C96" t="s">
        <v>12881</v>
      </c>
      <c r="D96" t="s">
        <v>613</v>
      </c>
      <c r="E96" t="s">
        <v>7325</v>
      </c>
      <c r="F96">
        <v>0.18</v>
      </c>
      <c r="G96" t="s">
        <v>7326</v>
      </c>
      <c r="L96" t="s">
        <v>1192</v>
      </c>
      <c r="M96" t="s">
        <v>1356</v>
      </c>
      <c r="N96" t="s">
        <v>1357</v>
      </c>
      <c r="O96">
        <v>1</v>
      </c>
      <c r="R96" t="s">
        <v>1433</v>
      </c>
      <c r="S96" t="s">
        <v>12392</v>
      </c>
      <c r="T96" t="s">
        <v>12958</v>
      </c>
      <c r="U96">
        <v>409.43999999999994</v>
      </c>
    </row>
    <row r="97" spans="2:21" x14ac:dyDescent="0.2">
      <c r="B97" t="s">
        <v>1192</v>
      </c>
      <c r="C97" t="s">
        <v>12881</v>
      </c>
      <c r="D97" t="s">
        <v>617</v>
      </c>
      <c r="E97" t="s">
        <v>7327</v>
      </c>
      <c r="F97">
        <v>9.06</v>
      </c>
      <c r="G97" t="s">
        <v>5251</v>
      </c>
      <c r="L97" t="s">
        <v>1192</v>
      </c>
      <c r="M97" t="s">
        <v>1358</v>
      </c>
      <c r="N97" t="s">
        <v>1359</v>
      </c>
      <c r="O97">
        <v>30</v>
      </c>
      <c r="R97" t="s">
        <v>1433</v>
      </c>
      <c r="S97" t="s">
        <v>5099</v>
      </c>
      <c r="T97" t="s">
        <v>12975</v>
      </c>
      <c r="U97">
        <v>20919.130000000005</v>
      </c>
    </row>
    <row r="98" spans="2:21" x14ac:dyDescent="0.2">
      <c r="B98" t="s">
        <v>1192</v>
      </c>
      <c r="C98" t="s">
        <v>12881</v>
      </c>
      <c r="D98" t="s">
        <v>617</v>
      </c>
      <c r="E98" t="s">
        <v>7330</v>
      </c>
      <c r="F98">
        <v>5.61</v>
      </c>
      <c r="G98" t="s">
        <v>6489</v>
      </c>
      <c r="L98" t="s">
        <v>1192</v>
      </c>
      <c r="M98" t="s">
        <v>1360</v>
      </c>
      <c r="N98" t="s">
        <v>1361</v>
      </c>
      <c r="O98">
        <v>2</v>
      </c>
      <c r="R98" t="s">
        <v>1433</v>
      </c>
      <c r="S98" t="s">
        <v>5099</v>
      </c>
      <c r="T98" t="s">
        <v>12956</v>
      </c>
      <c r="U98">
        <v>288.8</v>
      </c>
    </row>
    <row r="99" spans="2:21" x14ac:dyDescent="0.2">
      <c r="B99" t="s">
        <v>1192</v>
      </c>
      <c r="C99" t="s">
        <v>12881</v>
      </c>
      <c r="D99" t="s">
        <v>617</v>
      </c>
      <c r="E99" t="s">
        <v>7333</v>
      </c>
      <c r="F99">
        <v>11.22</v>
      </c>
      <c r="G99" t="s">
        <v>6489</v>
      </c>
      <c r="L99" t="s">
        <v>1192</v>
      </c>
      <c r="M99" t="s">
        <v>1362</v>
      </c>
      <c r="N99" t="s">
        <v>1363</v>
      </c>
      <c r="O99">
        <v>1</v>
      </c>
      <c r="R99" t="s">
        <v>1433</v>
      </c>
      <c r="S99" t="s">
        <v>5225</v>
      </c>
      <c r="T99" t="s">
        <v>12984</v>
      </c>
      <c r="U99">
        <v>102.35999999999999</v>
      </c>
    </row>
    <row r="100" spans="2:21" x14ac:dyDescent="0.2">
      <c r="B100" t="s">
        <v>1192</v>
      </c>
      <c r="C100" t="s">
        <v>12881</v>
      </c>
      <c r="D100" t="s">
        <v>1137</v>
      </c>
      <c r="E100" t="s">
        <v>7334</v>
      </c>
      <c r="F100">
        <v>282</v>
      </c>
      <c r="G100" t="s">
        <v>1219</v>
      </c>
      <c r="L100" t="s">
        <v>1192</v>
      </c>
      <c r="M100" t="s">
        <v>1364</v>
      </c>
      <c r="N100" t="s">
        <v>1365</v>
      </c>
      <c r="O100">
        <v>1</v>
      </c>
      <c r="R100" t="s">
        <v>1433</v>
      </c>
      <c r="S100" t="s">
        <v>11505</v>
      </c>
      <c r="T100" t="s">
        <v>12961</v>
      </c>
      <c r="U100">
        <v>12149.710000000008</v>
      </c>
    </row>
    <row r="101" spans="2:21" x14ac:dyDescent="0.2">
      <c r="B101" t="s">
        <v>1192</v>
      </c>
      <c r="C101" t="s">
        <v>12881</v>
      </c>
      <c r="D101" t="s">
        <v>617</v>
      </c>
      <c r="E101" t="s">
        <v>7335</v>
      </c>
      <c r="F101">
        <v>326</v>
      </c>
      <c r="G101" t="s">
        <v>1237</v>
      </c>
      <c r="L101" t="s">
        <v>1192</v>
      </c>
      <c r="M101" t="s">
        <v>1366</v>
      </c>
      <c r="N101" t="s">
        <v>1367</v>
      </c>
      <c r="O101">
        <v>1</v>
      </c>
      <c r="R101" t="s">
        <v>1433</v>
      </c>
      <c r="S101" t="s">
        <v>11265</v>
      </c>
      <c r="T101" t="s">
        <v>12958</v>
      </c>
      <c r="U101">
        <v>19903.7</v>
      </c>
    </row>
    <row r="102" spans="2:21" x14ac:dyDescent="0.2">
      <c r="B102" t="s">
        <v>1192</v>
      </c>
      <c r="C102" t="s">
        <v>12881</v>
      </c>
      <c r="D102" t="s">
        <v>1048</v>
      </c>
      <c r="E102" t="s">
        <v>7336</v>
      </c>
      <c r="F102">
        <v>1564</v>
      </c>
      <c r="G102" t="s">
        <v>1229</v>
      </c>
      <c r="L102" t="s">
        <v>1192</v>
      </c>
      <c r="M102" t="s">
        <v>1368</v>
      </c>
      <c r="N102" t="s">
        <v>1369</v>
      </c>
      <c r="O102">
        <v>1</v>
      </c>
      <c r="R102" t="s">
        <v>1433</v>
      </c>
      <c r="S102" t="s">
        <v>12392</v>
      </c>
      <c r="T102" t="s">
        <v>12971</v>
      </c>
      <c r="U102">
        <v>1122.56</v>
      </c>
    </row>
    <row r="103" spans="2:21" x14ac:dyDescent="0.2">
      <c r="B103" t="s">
        <v>1192</v>
      </c>
      <c r="C103" t="s">
        <v>12881</v>
      </c>
      <c r="D103" t="s">
        <v>1048</v>
      </c>
      <c r="E103" t="s">
        <v>7337</v>
      </c>
      <c r="F103">
        <v>966</v>
      </c>
      <c r="G103" t="s">
        <v>1231</v>
      </c>
      <c r="L103" t="s">
        <v>1192</v>
      </c>
      <c r="M103" t="s">
        <v>1370</v>
      </c>
      <c r="N103" t="s">
        <v>1371</v>
      </c>
      <c r="O103">
        <v>10</v>
      </c>
      <c r="R103" t="s">
        <v>1433</v>
      </c>
      <c r="S103" t="s">
        <v>5069</v>
      </c>
      <c r="T103" t="s">
        <v>12956</v>
      </c>
      <c r="U103">
        <v>939.12000000000012</v>
      </c>
    </row>
    <row r="104" spans="2:21" x14ac:dyDescent="0.2">
      <c r="B104" t="s">
        <v>1192</v>
      </c>
      <c r="C104" t="s">
        <v>12881</v>
      </c>
      <c r="D104" t="s">
        <v>1048</v>
      </c>
      <c r="E104" t="s">
        <v>7338</v>
      </c>
      <c r="F104">
        <v>6624</v>
      </c>
      <c r="G104" t="s">
        <v>1241</v>
      </c>
      <c r="L104" t="s">
        <v>1192</v>
      </c>
      <c r="M104" t="s">
        <v>1372</v>
      </c>
      <c r="N104" t="s">
        <v>1373</v>
      </c>
      <c r="O104">
        <v>30</v>
      </c>
      <c r="R104" t="s">
        <v>1433</v>
      </c>
      <c r="S104" t="s">
        <v>6298</v>
      </c>
      <c r="T104" t="s">
        <v>12985</v>
      </c>
      <c r="U104">
        <v>2442.12</v>
      </c>
    </row>
    <row r="105" spans="2:21" x14ac:dyDescent="0.2">
      <c r="B105" t="s">
        <v>1192</v>
      </c>
      <c r="C105" t="s">
        <v>12881</v>
      </c>
      <c r="D105" t="s">
        <v>613</v>
      </c>
      <c r="E105" t="s">
        <v>7339</v>
      </c>
      <c r="F105">
        <v>55.58</v>
      </c>
      <c r="G105" t="s">
        <v>1261</v>
      </c>
      <c r="L105" t="s">
        <v>1192</v>
      </c>
      <c r="M105" t="s">
        <v>1374</v>
      </c>
      <c r="N105" t="s">
        <v>1373</v>
      </c>
      <c r="O105">
        <v>5</v>
      </c>
      <c r="R105" t="s">
        <v>1433</v>
      </c>
      <c r="S105" t="s">
        <v>7081</v>
      </c>
      <c r="T105" t="s">
        <v>12956</v>
      </c>
      <c r="U105">
        <v>313.04000000000002</v>
      </c>
    </row>
    <row r="106" spans="2:21" x14ac:dyDescent="0.2">
      <c r="B106" t="s">
        <v>1192</v>
      </c>
      <c r="C106" t="s">
        <v>12881</v>
      </c>
      <c r="D106" t="s">
        <v>613</v>
      </c>
      <c r="E106" t="s">
        <v>7340</v>
      </c>
      <c r="F106">
        <v>55.58</v>
      </c>
      <c r="G106" t="s">
        <v>1263</v>
      </c>
      <c r="L106" t="s">
        <v>1192</v>
      </c>
      <c r="M106" t="s">
        <v>1375</v>
      </c>
      <c r="N106" t="s">
        <v>1373</v>
      </c>
      <c r="O106">
        <v>2</v>
      </c>
      <c r="R106" t="s">
        <v>1433</v>
      </c>
      <c r="S106" t="s">
        <v>10194</v>
      </c>
      <c r="T106" t="s">
        <v>12967</v>
      </c>
      <c r="U106">
        <v>15101.64</v>
      </c>
    </row>
    <row r="107" spans="2:21" x14ac:dyDescent="0.2">
      <c r="B107" t="s">
        <v>1192</v>
      </c>
      <c r="C107" t="s">
        <v>12881</v>
      </c>
      <c r="D107" t="s">
        <v>613</v>
      </c>
      <c r="E107" t="s">
        <v>7341</v>
      </c>
      <c r="F107">
        <v>55.58</v>
      </c>
      <c r="G107" t="s">
        <v>1264</v>
      </c>
      <c r="L107" t="s">
        <v>1192</v>
      </c>
      <c r="M107" t="s">
        <v>1376</v>
      </c>
      <c r="N107" t="s">
        <v>1373</v>
      </c>
      <c r="O107">
        <v>2</v>
      </c>
      <c r="R107" t="s">
        <v>1433</v>
      </c>
      <c r="S107" t="s">
        <v>10194</v>
      </c>
      <c r="T107" t="s">
        <v>12986</v>
      </c>
      <c r="U107">
        <v>2920.98</v>
      </c>
    </row>
    <row r="108" spans="2:21" x14ac:dyDescent="0.2">
      <c r="B108" t="s">
        <v>1192</v>
      </c>
      <c r="C108" t="s">
        <v>12881</v>
      </c>
      <c r="D108" t="s">
        <v>613</v>
      </c>
      <c r="E108" t="s">
        <v>7342</v>
      </c>
      <c r="F108">
        <v>55.58</v>
      </c>
      <c r="G108" t="s">
        <v>1265</v>
      </c>
      <c r="L108" t="s">
        <v>1192</v>
      </c>
      <c r="M108" t="s">
        <v>1377</v>
      </c>
      <c r="N108" t="s">
        <v>1373</v>
      </c>
      <c r="O108">
        <v>7</v>
      </c>
      <c r="R108" t="s">
        <v>1433</v>
      </c>
      <c r="S108" t="s">
        <v>5152</v>
      </c>
      <c r="T108" t="s">
        <v>12987</v>
      </c>
      <c r="U108">
        <v>34.119999999999997</v>
      </c>
    </row>
    <row r="109" spans="2:21" x14ac:dyDescent="0.2">
      <c r="B109" t="s">
        <v>1192</v>
      </c>
      <c r="C109" t="s">
        <v>12881</v>
      </c>
      <c r="D109" t="s">
        <v>613</v>
      </c>
      <c r="E109" t="s">
        <v>7344</v>
      </c>
      <c r="F109">
        <v>55.58</v>
      </c>
      <c r="G109" t="s">
        <v>1266</v>
      </c>
      <c r="L109" t="s">
        <v>1192</v>
      </c>
      <c r="M109" t="s">
        <v>1378</v>
      </c>
      <c r="N109" t="s">
        <v>1379</v>
      </c>
      <c r="O109">
        <v>22</v>
      </c>
      <c r="R109" t="s">
        <v>1433</v>
      </c>
      <c r="S109" t="s">
        <v>5225</v>
      </c>
      <c r="T109" t="s">
        <v>12987</v>
      </c>
      <c r="U109">
        <v>136.47999999999999</v>
      </c>
    </row>
    <row r="110" spans="2:21" x14ac:dyDescent="0.2">
      <c r="B110" t="s">
        <v>1192</v>
      </c>
      <c r="C110" t="s">
        <v>12881</v>
      </c>
      <c r="D110" t="s">
        <v>613</v>
      </c>
      <c r="E110" t="s">
        <v>7356</v>
      </c>
      <c r="F110">
        <v>55.58</v>
      </c>
      <c r="G110" t="s">
        <v>1267</v>
      </c>
      <c r="L110" t="s">
        <v>1192</v>
      </c>
      <c r="M110" t="s">
        <v>1380</v>
      </c>
      <c r="N110" t="s">
        <v>1381</v>
      </c>
      <c r="O110">
        <v>114</v>
      </c>
      <c r="R110" t="s">
        <v>1433</v>
      </c>
      <c r="S110" t="s">
        <v>5103</v>
      </c>
      <c r="T110" t="s">
        <v>12964</v>
      </c>
      <c r="U110">
        <v>98.460000000000008</v>
      </c>
    </row>
    <row r="111" spans="2:21" x14ac:dyDescent="0.2">
      <c r="B111" t="s">
        <v>1192</v>
      </c>
      <c r="C111" t="s">
        <v>12881</v>
      </c>
      <c r="D111" t="s">
        <v>613</v>
      </c>
      <c r="E111" t="s">
        <v>7362</v>
      </c>
      <c r="F111">
        <v>55.58</v>
      </c>
      <c r="G111" t="s">
        <v>1268</v>
      </c>
      <c r="L111" t="s">
        <v>1192</v>
      </c>
      <c r="M111" t="s">
        <v>1382</v>
      </c>
      <c r="N111" t="s">
        <v>1381</v>
      </c>
      <c r="O111">
        <v>4</v>
      </c>
      <c r="R111" t="s">
        <v>1433</v>
      </c>
      <c r="S111" t="s">
        <v>5107</v>
      </c>
      <c r="T111" t="s">
        <v>12956</v>
      </c>
      <c r="U111">
        <v>5119.5</v>
      </c>
    </row>
    <row r="112" spans="2:21" x14ac:dyDescent="0.2">
      <c r="B112" t="s">
        <v>1192</v>
      </c>
      <c r="C112" t="s">
        <v>12881</v>
      </c>
      <c r="D112" t="s">
        <v>613</v>
      </c>
      <c r="E112" t="s">
        <v>7366</v>
      </c>
      <c r="F112">
        <v>55.58</v>
      </c>
      <c r="G112" t="s">
        <v>1269</v>
      </c>
      <c r="L112" t="s">
        <v>1192</v>
      </c>
      <c r="M112" t="s">
        <v>1383</v>
      </c>
      <c r="N112" t="s">
        <v>1381</v>
      </c>
      <c r="O112">
        <v>8</v>
      </c>
      <c r="R112" t="s">
        <v>1433</v>
      </c>
      <c r="S112" t="s">
        <v>5152</v>
      </c>
      <c r="T112" t="s">
        <v>12982</v>
      </c>
      <c r="U112">
        <v>235.62</v>
      </c>
    </row>
    <row r="113" spans="2:21" x14ac:dyDescent="0.2">
      <c r="B113" t="s">
        <v>1192</v>
      </c>
      <c r="C113" t="s">
        <v>12881</v>
      </c>
      <c r="D113" t="s">
        <v>613</v>
      </c>
      <c r="E113" t="s">
        <v>7368</v>
      </c>
      <c r="F113">
        <v>42.26</v>
      </c>
      <c r="H113" t="s">
        <v>1243</v>
      </c>
      <c r="L113" t="s">
        <v>1192</v>
      </c>
      <c r="M113" t="s">
        <v>1384</v>
      </c>
      <c r="N113" t="s">
        <v>1385</v>
      </c>
      <c r="O113">
        <v>4</v>
      </c>
      <c r="R113" t="s">
        <v>1433</v>
      </c>
      <c r="S113" t="s">
        <v>10194</v>
      </c>
      <c r="T113" t="s">
        <v>12988</v>
      </c>
      <c r="U113">
        <v>4359.68</v>
      </c>
    </row>
    <row r="114" spans="2:21" x14ac:dyDescent="0.2">
      <c r="B114" t="s">
        <v>1192</v>
      </c>
      <c r="C114" t="s">
        <v>12881</v>
      </c>
      <c r="D114" t="s">
        <v>613</v>
      </c>
      <c r="E114" t="s">
        <v>7369</v>
      </c>
      <c r="F114">
        <v>30.1</v>
      </c>
      <c r="H114" t="s">
        <v>1245</v>
      </c>
      <c r="L114" t="s">
        <v>1192</v>
      </c>
      <c r="M114" t="s">
        <v>1386</v>
      </c>
      <c r="N114" t="s">
        <v>1385</v>
      </c>
      <c r="O114">
        <v>7</v>
      </c>
      <c r="R114" t="s">
        <v>1433</v>
      </c>
      <c r="S114" t="s">
        <v>10194</v>
      </c>
      <c r="T114" t="s">
        <v>12985</v>
      </c>
      <c r="U114">
        <v>787.68000000000006</v>
      </c>
    </row>
    <row r="115" spans="2:21" x14ac:dyDescent="0.2">
      <c r="B115" t="s">
        <v>1192</v>
      </c>
      <c r="C115" t="s">
        <v>12881</v>
      </c>
      <c r="D115" t="s">
        <v>1137</v>
      </c>
      <c r="E115" t="s">
        <v>7370</v>
      </c>
      <c r="F115">
        <v>1467.75</v>
      </c>
      <c r="G115" t="s">
        <v>1253</v>
      </c>
      <c r="L115" t="s">
        <v>1192</v>
      </c>
      <c r="M115" t="s">
        <v>1387</v>
      </c>
      <c r="N115" t="s">
        <v>1385</v>
      </c>
      <c r="O115">
        <v>300</v>
      </c>
      <c r="R115" t="s">
        <v>1433</v>
      </c>
      <c r="S115" t="s">
        <v>5144</v>
      </c>
      <c r="T115" t="s">
        <v>12988</v>
      </c>
      <c r="U115">
        <v>1575.36</v>
      </c>
    </row>
    <row r="116" spans="2:21" x14ac:dyDescent="0.2">
      <c r="B116" t="s">
        <v>1192</v>
      </c>
      <c r="C116" t="s">
        <v>12881</v>
      </c>
      <c r="D116" t="s">
        <v>613</v>
      </c>
      <c r="E116" t="s">
        <v>7375</v>
      </c>
      <c r="F116">
        <v>16.72</v>
      </c>
      <c r="H116" t="s">
        <v>1282</v>
      </c>
      <c r="L116" t="s">
        <v>1192</v>
      </c>
      <c r="M116" t="s">
        <v>1388</v>
      </c>
      <c r="N116" t="s">
        <v>1385</v>
      </c>
      <c r="O116">
        <v>163</v>
      </c>
      <c r="R116" t="s">
        <v>1433</v>
      </c>
      <c r="S116" t="s">
        <v>5103</v>
      </c>
      <c r="T116" t="s">
        <v>12989</v>
      </c>
      <c r="U116">
        <v>1050.24</v>
      </c>
    </row>
    <row r="117" spans="2:21" x14ac:dyDescent="0.2">
      <c r="B117" t="s">
        <v>1192</v>
      </c>
      <c r="C117" t="s">
        <v>12881</v>
      </c>
      <c r="D117" t="s">
        <v>613</v>
      </c>
      <c r="E117" t="s">
        <v>7376</v>
      </c>
      <c r="F117">
        <v>276.62</v>
      </c>
      <c r="H117" t="s">
        <v>1284</v>
      </c>
      <c r="L117" t="s">
        <v>1192</v>
      </c>
      <c r="M117" t="s">
        <v>1389</v>
      </c>
      <c r="N117" t="s">
        <v>1390</v>
      </c>
      <c r="O117">
        <v>2</v>
      </c>
      <c r="R117" t="s">
        <v>1433</v>
      </c>
      <c r="S117" t="s">
        <v>11418</v>
      </c>
      <c r="T117" t="s">
        <v>12975</v>
      </c>
      <c r="U117">
        <v>16538.62</v>
      </c>
    </row>
    <row r="118" spans="2:21" x14ac:dyDescent="0.2">
      <c r="B118" t="s">
        <v>1192</v>
      </c>
      <c r="C118" t="s">
        <v>12881</v>
      </c>
      <c r="D118" t="s">
        <v>613</v>
      </c>
      <c r="E118" t="s">
        <v>7377</v>
      </c>
      <c r="F118">
        <v>132.82</v>
      </c>
      <c r="H118" t="s">
        <v>1360</v>
      </c>
      <c r="L118" t="s">
        <v>1192</v>
      </c>
      <c r="M118" t="s">
        <v>1391</v>
      </c>
      <c r="N118" t="s">
        <v>1392</v>
      </c>
      <c r="O118">
        <v>100</v>
      </c>
      <c r="R118" t="s">
        <v>1433</v>
      </c>
      <c r="S118" t="s">
        <v>11413</v>
      </c>
      <c r="T118" t="s">
        <v>12956</v>
      </c>
      <c r="U118">
        <v>16600.409999999993</v>
      </c>
    </row>
    <row r="119" spans="2:21" x14ac:dyDescent="0.2">
      <c r="B119" t="s">
        <v>1192</v>
      </c>
      <c r="C119" t="s">
        <v>12881</v>
      </c>
      <c r="D119" t="s">
        <v>1137</v>
      </c>
      <c r="E119" t="s">
        <v>7382</v>
      </c>
      <c r="F119">
        <v>1910</v>
      </c>
      <c r="G119" t="s">
        <v>1277</v>
      </c>
      <c r="L119" t="s">
        <v>1192</v>
      </c>
      <c r="M119" t="s">
        <v>1393</v>
      </c>
      <c r="N119" t="s">
        <v>1369</v>
      </c>
      <c r="O119">
        <v>1</v>
      </c>
      <c r="R119" t="s">
        <v>1433</v>
      </c>
      <c r="S119" t="s">
        <v>11494</v>
      </c>
      <c r="T119" t="s">
        <v>12961</v>
      </c>
      <c r="U119">
        <v>22640.240000000005</v>
      </c>
    </row>
    <row r="120" spans="2:21" x14ac:dyDescent="0.2">
      <c r="B120" t="s">
        <v>1192</v>
      </c>
      <c r="C120" t="s">
        <v>12881</v>
      </c>
      <c r="D120" t="s">
        <v>1137</v>
      </c>
      <c r="E120" t="s">
        <v>7387</v>
      </c>
      <c r="F120">
        <v>76.8</v>
      </c>
      <c r="G120" t="s">
        <v>1275</v>
      </c>
      <c r="L120" t="s">
        <v>1192</v>
      </c>
      <c r="M120" t="s">
        <v>1394</v>
      </c>
      <c r="N120" t="s">
        <v>1395</v>
      </c>
      <c r="O120">
        <v>1</v>
      </c>
      <c r="R120" t="s">
        <v>1433</v>
      </c>
      <c r="S120" t="s">
        <v>6298</v>
      </c>
      <c r="T120" t="s">
        <v>12958</v>
      </c>
      <c r="U120">
        <v>3714.43</v>
      </c>
    </row>
    <row r="121" spans="2:21" x14ac:dyDescent="0.2">
      <c r="B121" t="s">
        <v>1192</v>
      </c>
      <c r="C121" t="s">
        <v>12881</v>
      </c>
      <c r="D121" t="s">
        <v>1137</v>
      </c>
      <c r="E121" t="s">
        <v>7393</v>
      </c>
      <c r="F121">
        <v>464</v>
      </c>
      <c r="G121" t="s">
        <v>1292</v>
      </c>
      <c r="L121" t="s">
        <v>1192</v>
      </c>
      <c r="M121" t="s">
        <v>1396</v>
      </c>
      <c r="N121" t="s">
        <v>1395</v>
      </c>
      <c r="O121">
        <v>1</v>
      </c>
      <c r="R121" t="s">
        <v>1433</v>
      </c>
      <c r="S121" t="s">
        <v>11422</v>
      </c>
      <c r="T121" t="s">
        <v>12954</v>
      </c>
      <c r="U121">
        <v>5011.8099999999995</v>
      </c>
    </row>
    <row r="122" spans="2:21" x14ac:dyDescent="0.2">
      <c r="B122" t="s">
        <v>1192</v>
      </c>
      <c r="C122" t="s">
        <v>12881</v>
      </c>
      <c r="D122" t="s">
        <v>1048</v>
      </c>
      <c r="E122" t="s">
        <v>7394</v>
      </c>
      <c r="F122">
        <v>667</v>
      </c>
      <c r="G122" t="s">
        <v>1279</v>
      </c>
      <c r="L122" t="s">
        <v>1192</v>
      </c>
      <c r="M122" t="s">
        <v>1397</v>
      </c>
      <c r="N122" t="s">
        <v>1395</v>
      </c>
      <c r="O122">
        <v>1</v>
      </c>
      <c r="R122" t="s">
        <v>1433</v>
      </c>
      <c r="S122" t="s">
        <v>5231</v>
      </c>
      <c r="T122" t="s">
        <v>12961</v>
      </c>
      <c r="U122">
        <v>9138.4800000000014</v>
      </c>
    </row>
    <row r="123" spans="2:21" x14ac:dyDescent="0.2">
      <c r="B123" t="s">
        <v>1192</v>
      </c>
      <c r="C123" t="s">
        <v>12881</v>
      </c>
      <c r="D123" t="s">
        <v>1048</v>
      </c>
      <c r="E123" t="s">
        <v>7395</v>
      </c>
      <c r="F123">
        <v>345</v>
      </c>
      <c r="G123" t="s">
        <v>1281</v>
      </c>
      <c r="L123" t="s">
        <v>1192</v>
      </c>
      <c r="M123" t="s">
        <v>1398</v>
      </c>
      <c r="N123" t="s">
        <v>1395</v>
      </c>
      <c r="O123">
        <v>1</v>
      </c>
      <c r="R123" t="s">
        <v>1433</v>
      </c>
      <c r="S123" t="s">
        <v>5231</v>
      </c>
      <c r="T123" t="s">
        <v>12958</v>
      </c>
      <c r="U123">
        <v>1890.72</v>
      </c>
    </row>
    <row r="124" spans="2:21" x14ac:dyDescent="0.2">
      <c r="B124" t="s">
        <v>1192</v>
      </c>
      <c r="C124" t="s">
        <v>12881</v>
      </c>
      <c r="D124" t="s">
        <v>1137</v>
      </c>
      <c r="E124" t="s">
        <v>7396</v>
      </c>
      <c r="F124">
        <v>692</v>
      </c>
      <c r="G124" t="s">
        <v>1301</v>
      </c>
      <c r="L124" t="s">
        <v>1192</v>
      </c>
      <c r="M124" t="s">
        <v>1399</v>
      </c>
      <c r="N124" t="s">
        <v>1395</v>
      </c>
      <c r="O124">
        <v>1</v>
      </c>
      <c r="R124" t="s">
        <v>1433</v>
      </c>
      <c r="S124" t="s">
        <v>5026</v>
      </c>
      <c r="T124" t="s">
        <v>12954</v>
      </c>
      <c r="U124">
        <v>112.56</v>
      </c>
    </row>
    <row r="125" spans="2:21" x14ac:dyDescent="0.2">
      <c r="B125" t="s">
        <v>1192</v>
      </c>
      <c r="C125" t="s">
        <v>12881</v>
      </c>
      <c r="D125" t="s">
        <v>1137</v>
      </c>
      <c r="E125" t="s">
        <v>7397</v>
      </c>
      <c r="F125">
        <v>1130</v>
      </c>
      <c r="G125" t="s">
        <v>1294</v>
      </c>
      <c r="L125" t="s">
        <v>1192</v>
      </c>
      <c r="M125" t="s">
        <v>1400</v>
      </c>
      <c r="N125" t="s">
        <v>1395</v>
      </c>
      <c r="O125">
        <v>1</v>
      </c>
      <c r="R125" t="s">
        <v>1433</v>
      </c>
      <c r="S125" t="s">
        <v>5044</v>
      </c>
      <c r="T125" t="s">
        <v>12983</v>
      </c>
      <c r="U125">
        <v>377.8</v>
      </c>
    </row>
    <row r="126" spans="2:21" x14ac:dyDescent="0.2">
      <c r="B126" t="s">
        <v>1192</v>
      </c>
      <c r="C126" t="s">
        <v>12881</v>
      </c>
      <c r="D126" t="s">
        <v>613</v>
      </c>
      <c r="E126" t="s">
        <v>7401</v>
      </c>
      <c r="F126">
        <v>104.28</v>
      </c>
      <c r="G126" t="s">
        <v>1296</v>
      </c>
      <c r="L126" t="s">
        <v>1192</v>
      </c>
      <c r="M126" t="s">
        <v>1401</v>
      </c>
      <c r="N126" t="s">
        <v>1402</v>
      </c>
      <c r="O126">
        <v>1</v>
      </c>
      <c r="R126" t="s">
        <v>1433</v>
      </c>
      <c r="S126" t="s">
        <v>10774</v>
      </c>
      <c r="T126" t="s">
        <v>12954</v>
      </c>
      <c r="U126">
        <v>6460.3799999999992</v>
      </c>
    </row>
    <row r="127" spans="2:21" x14ac:dyDescent="0.2">
      <c r="B127" t="s">
        <v>1192</v>
      </c>
      <c r="C127" t="s">
        <v>12881</v>
      </c>
      <c r="D127" t="s">
        <v>613</v>
      </c>
      <c r="E127" t="s">
        <v>7402</v>
      </c>
      <c r="F127">
        <v>40.200000000000003</v>
      </c>
      <c r="G127" t="s">
        <v>1298</v>
      </c>
      <c r="L127" t="s">
        <v>1192</v>
      </c>
      <c r="M127" t="s">
        <v>1403</v>
      </c>
      <c r="N127" t="s">
        <v>1404</v>
      </c>
      <c r="O127">
        <v>6</v>
      </c>
      <c r="R127" t="s">
        <v>1433</v>
      </c>
      <c r="S127" t="s">
        <v>10774</v>
      </c>
      <c r="T127" t="s">
        <v>12967</v>
      </c>
      <c r="U127">
        <v>41595.780000000013</v>
      </c>
    </row>
    <row r="128" spans="2:21" x14ac:dyDescent="0.2">
      <c r="B128" t="s">
        <v>1192</v>
      </c>
      <c r="C128" t="s">
        <v>12881</v>
      </c>
      <c r="D128" t="s">
        <v>613</v>
      </c>
      <c r="E128" t="s">
        <v>7403</v>
      </c>
      <c r="F128">
        <v>52.82</v>
      </c>
      <c r="G128" t="s">
        <v>1300</v>
      </c>
      <c r="L128" t="s">
        <v>1192</v>
      </c>
      <c r="M128" t="s">
        <v>1405</v>
      </c>
      <c r="N128" t="s">
        <v>1404</v>
      </c>
      <c r="O128">
        <v>6</v>
      </c>
      <c r="R128" t="s">
        <v>1433</v>
      </c>
      <c r="S128" t="s">
        <v>11905</v>
      </c>
      <c r="T128" t="s">
        <v>12958</v>
      </c>
      <c r="U128">
        <v>1315.71</v>
      </c>
    </row>
    <row r="129" spans="2:21" x14ac:dyDescent="0.2">
      <c r="B129" t="s">
        <v>1192</v>
      </c>
      <c r="C129" t="s">
        <v>12881</v>
      </c>
      <c r="D129" t="s">
        <v>1048</v>
      </c>
      <c r="E129" t="s">
        <v>7404</v>
      </c>
      <c r="F129">
        <v>5600</v>
      </c>
      <c r="G129" t="s">
        <v>1305</v>
      </c>
      <c r="L129" t="s">
        <v>1192</v>
      </c>
      <c r="M129" t="s">
        <v>1406</v>
      </c>
      <c r="N129" t="s">
        <v>1407</v>
      </c>
      <c r="O129">
        <v>150</v>
      </c>
      <c r="R129" t="s">
        <v>1433</v>
      </c>
      <c r="S129" t="s">
        <v>7275</v>
      </c>
      <c r="T129" t="s">
        <v>12956</v>
      </c>
      <c r="U129">
        <v>720.64</v>
      </c>
    </row>
    <row r="130" spans="2:21" x14ac:dyDescent="0.2">
      <c r="B130" t="s">
        <v>1192</v>
      </c>
      <c r="C130" t="s">
        <v>12881</v>
      </c>
      <c r="D130" t="s">
        <v>1137</v>
      </c>
      <c r="E130" t="s">
        <v>7416</v>
      </c>
      <c r="F130">
        <v>1480</v>
      </c>
      <c r="G130" t="s">
        <v>1309</v>
      </c>
      <c r="L130" t="s">
        <v>1192</v>
      </c>
      <c r="M130" t="s">
        <v>1408</v>
      </c>
      <c r="N130" t="s">
        <v>1407</v>
      </c>
      <c r="O130">
        <v>30</v>
      </c>
      <c r="R130" t="s">
        <v>1433</v>
      </c>
      <c r="S130" t="s">
        <v>11265</v>
      </c>
      <c r="T130" t="s">
        <v>12985</v>
      </c>
      <c r="U130">
        <v>4126.55</v>
      </c>
    </row>
    <row r="131" spans="2:21" x14ac:dyDescent="0.2">
      <c r="B131" t="s">
        <v>1192</v>
      </c>
      <c r="C131" t="s">
        <v>12881</v>
      </c>
      <c r="D131" t="s">
        <v>1137</v>
      </c>
      <c r="E131" t="s">
        <v>7417</v>
      </c>
      <c r="F131">
        <v>848</v>
      </c>
      <c r="G131" t="s">
        <v>1307</v>
      </c>
      <c r="L131" t="s">
        <v>1192</v>
      </c>
      <c r="M131" t="s">
        <v>1409</v>
      </c>
      <c r="N131" t="s">
        <v>1407</v>
      </c>
      <c r="O131">
        <v>50</v>
      </c>
      <c r="R131" t="s">
        <v>1433</v>
      </c>
      <c r="S131" t="s">
        <v>10194</v>
      </c>
      <c r="T131" t="s">
        <v>12976</v>
      </c>
      <c r="U131">
        <v>859.50000000000011</v>
      </c>
    </row>
    <row r="132" spans="2:21" x14ac:dyDescent="0.2">
      <c r="B132" t="s">
        <v>1192</v>
      </c>
      <c r="C132" t="s">
        <v>12881</v>
      </c>
      <c r="D132" t="s">
        <v>1041</v>
      </c>
      <c r="E132" t="s">
        <v>7418</v>
      </c>
      <c r="F132">
        <v>21960</v>
      </c>
      <c r="G132" t="s">
        <v>1313</v>
      </c>
      <c r="L132" t="s">
        <v>1192</v>
      </c>
      <c r="M132" t="s">
        <v>1410</v>
      </c>
      <c r="N132" t="s">
        <v>1373</v>
      </c>
      <c r="O132">
        <v>13</v>
      </c>
      <c r="R132" t="s">
        <v>1433</v>
      </c>
      <c r="S132" t="s">
        <v>11418</v>
      </c>
      <c r="T132" t="s">
        <v>12990</v>
      </c>
      <c r="U132">
        <v>3710.42</v>
      </c>
    </row>
    <row r="133" spans="2:21" x14ac:dyDescent="0.2">
      <c r="B133" t="s">
        <v>1192</v>
      </c>
      <c r="C133" t="s">
        <v>12881</v>
      </c>
      <c r="D133" t="s">
        <v>1041</v>
      </c>
      <c r="E133" t="s">
        <v>7419</v>
      </c>
      <c r="F133">
        <v>21960</v>
      </c>
      <c r="G133" t="s">
        <v>1313</v>
      </c>
      <c r="L133" t="s">
        <v>1192</v>
      </c>
      <c r="M133" t="s">
        <v>1411</v>
      </c>
      <c r="N133" t="s">
        <v>1373</v>
      </c>
      <c r="O133">
        <v>10</v>
      </c>
      <c r="R133" t="s">
        <v>1433</v>
      </c>
      <c r="S133" t="s">
        <v>10757</v>
      </c>
      <c r="T133" t="s">
        <v>12976</v>
      </c>
      <c r="U133">
        <v>935.06999999999994</v>
      </c>
    </row>
    <row r="134" spans="2:21" x14ac:dyDescent="0.2">
      <c r="B134" t="s">
        <v>1192</v>
      </c>
      <c r="C134" t="s">
        <v>12881</v>
      </c>
      <c r="D134" t="s">
        <v>1041</v>
      </c>
      <c r="E134" t="s">
        <v>7420</v>
      </c>
      <c r="F134">
        <v>29280</v>
      </c>
      <c r="G134" t="s">
        <v>1313</v>
      </c>
      <c r="L134" t="s">
        <v>1192</v>
      </c>
      <c r="M134" t="s">
        <v>1403</v>
      </c>
      <c r="N134" t="s">
        <v>1412</v>
      </c>
      <c r="O134">
        <v>2</v>
      </c>
      <c r="R134" t="s">
        <v>1433</v>
      </c>
      <c r="S134" t="s">
        <v>10757</v>
      </c>
      <c r="T134" t="s">
        <v>12981</v>
      </c>
      <c r="U134">
        <v>1161.7499999999998</v>
      </c>
    </row>
    <row r="135" spans="2:21" x14ac:dyDescent="0.2">
      <c r="B135" t="s">
        <v>1192</v>
      </c>
      <c r="C135" t="s">
        <v>12881</v>
      </c>
      <c r="D135" t="s">
        <v>1030</v>
      </c>
      <c r="E135" t="s">
        <v>7421</v>
      </c>
      <c r="F135">
        <v>10280</v>
      </c>
      <c r="G135" t="s">
        <v>1311</v>
      </c>
      <c r="L135" t="s">
        <v>1192</v>
      </c>
      <c r="M135" t="s">
        <v>1405</v>
      </c>
      <c r="N135" t="s">
        <v>1412</v>
      </c>
      <c r="O135">
        <v>2</v>
      </c>
      <c r="R135" t="s">
        <v>1433</v>
      </c>
      <c r="S135" t="s">
        <v>7280</v>
      </c>
      <c r="T135" t="s">
        <v>12975</v>
      </c>
      <c r="U135">
        <v>20183.000000000007</v>
      </c>
    </row>
    <row r="136" spans="2:21" x14ac:dyDescent="0.2">
      <c r="B136" t="s">
        <v>1192</v>
      </c>
      <c r="C136" t="s">
        <v>12881</v>
      </c>
      <c r="D136" t="s">
        <v>613</v>
      </c>
      <c r="E136" t="s">
        <v>7423</v>
      </c>
      <c r="F136">
        <v>67.62</v>
      </c>
      <c r="G136" t="s">
        <v>1317</v>
      </c>
      <c r="L136" t="s">
        <v>1192</v>
      </c>
      <c r="M136" t="s">
        <v>1413</v>
      </c>
      <c r="N136" t="s">
        <v>1414</v>
      </c>
      <c r="O136">
        <v>1</v>
      </c>
      <c r="R136" t="s">
        <v>1433</v>
      </c>
      <c r="S136" t="s">
        <v>7492</v>
      </c>
      <c r="T136" t="s">
        <v>12969</v>
      </c>
      <c r="U136">
        <v>444.28</v>
      </c>
    </row>
    <row r="137" spans="2:21" x14ac:dyDescent="0.2">
      <c r="B137" t="s">
        <v>1192</v>
      </c>
      <c r="C137" t="s">
        <v>12881</v>
      </c>
      <c r="D137" t="s">
        <v>613</v>
      </c>
      <c r="E137" t="s">
        <v>7425</v>
      </c>
      <c r="F137">
        <v>234</v>
      </c>
      <c r="G137" t="s">
        <v>1330</v>
      </c>
      <c r="L137" t="s">
        <v>1192</v>
      </c>
      <c r="M137" t="s">
        <v>1415</v>
      </c>
      <c r="N137" t="s">
        <v>1416</v>
      </c>
      <c r="O137">
        <v>1</v>
      </c>
      <c r="R137" t="s">
        <v>1433</v>
      </c>
      <c r="S137" t="s">
        <v>11289</v>
      </c>
      <c r="T137" t="s">
        <v>12956</v>
      </c>
      <c r="U137">
        <v>6846.0799999999981</v>
      </c>
    </row>
    <row r="138" spans="2:21" x14ac:dyDescent="0.2">
      <c r="B138" t="s">
        <v>1192</v>
      </c>
      <c r="C138" t="s">
        <v>12881</v>
      </c>
      <c r="D138" t="s">
        <v>1137</v>
      </c>
      <c r="E138" t="s">
        <v>7428</v>
      </c>
      <c r="F138">
        <v>1825</v>
      </c>
      <c r="G138" t="s">
        <v>1321</v>
      </c>
      <c r="L138" t="s">
        <v>1192</v>
      </c>
      <c r="M138" t="s">
        <v>1417</v>
      </c>
      <c r="N138" t="s">
        <v>1418</v>
      </c>
      <c r="O138">
        <v>1</v>
      </c>
      <c r="R138" t="s">
        <v>1433</v>
      </c>
      <c r="S138" t="s">
        <v>7866</v>
      </c>
      <c r="T138" t="s">
        <v>12969</v>
      </c>
      <c r="U138">
        <v>463.97</v>
      </c>
    </row>
    <row r="139" spans="2:21" x14ac:dyDescent="0.2">
      <c r="B139" t="s">
        <v>1192</v>
      </c>
      <c r="C139" t="s">
        <v>12881</v>
      </c>
      <c r="D139" t="s">
        <v>613</v>
      </c>
      <c r="E139" t="s">
        <v>7429</v>
      </c>
      <c r="F139">
        <v>29</v>
      </c>
      <c r="G139" t="s">
        <v>1327</v>
      </c>
      <c r="L139" t="s">
        <v>1192</v>
      </c>
      <c r="M139" t="s">
        <v>1419</v>
      </c>
      <c r="N139" t="s">
        <v>1420</v>
      </c>
      <c r="O139">
        <v>1</v>
      </c>
      <c r="R139" t="s">
        <v>1433</v>
      </c>
      <c r="S139" t="s">
        <v>11263</v>
      </c>
      <c r="T139" t="s">
        <v>12988</v>
      </c>
      <c r="U139">
        <v>5704.78</v>
      </c>
    </row>
    <row r="140" spans="2:21" x14ac:dyDescent="0.2">
      <c r="B140" t="s">
        <v>1192</v>
      </c>
      <c r="C140" t="s">
        <v>12881</v>
      </c>
      <c r="D140" t="s">
        <v>613</v>
      </c>
      <c r="E140" t="s">
        <v>7430</v>
      </c>
      <c r="F140">
        <v>27</v>
      </c>
      <c r="G140" t="s">
        <v>1329</v>
      </c>
      <c r="L140" t="s">
        <v>1192</v>
      </c>
      <c r="M140" t="s">
        <v>1421</v>
      </c>
      <c r="N140" t="s">
        <v>1422</v>
      </c>
      <c r="O140">
        <v>1</v>
      </c>
      <c r="R140" t="s">
        <v>1433</v>
      </c>
      <c r="S140" t="s">
        <v>11263</v>
      </c>
      <c r="T140" t="s">
        <v>12986</v>
      </c>
      <c r="U140">
        <v>3362.42</v>
      </c>
    </row>
    <row r="141" spans="2:21" x14ac:dyDescent="0.2">
      <c r="B141" t="s">
        <v>1192</v>
      </c>
      <c r="C141" t="s">
        <v>12881</v>
      </c>
      <c r="D141" t="s">
        <v>613</v>
      </c>
      <c r="E141" t="s">
        <v>7431</v>
      </c>
      <c r="F141">
        <v>4.0999999999999996</v>
      </c>
      <c r="G141" t="s">
        <v>1325</v>
      </c>
      <c r="L141" t="s">
        <v>1192</v>
      </c>
      <c r="M141" t="s">
        <v>1423</v>
      </c>
      <c r="N141" t="s">
        <v>1424</v>
      </c>
      <c r="O141">
        <v>1</v>
      </c>
      <c r="R141" t="s">
        <v>1433</v>
      </c>
      <c r="S141" t="s">
        <v>11304</v>
      </c>
      <c r="T141" t="s">
        <v>12954</v>
      </c>
      <c r="U141">
        <v>8547.73</v>
      </c>
    </row>
    <row r="142" spans="2:21" x14ac:dyDescent="0.2">
      <c r="B142" t="s">
        <v>1192</v>
      </c>
      <c r="C142" t="s">
        <v>12881</v>
      </c>
      <c r="D142" t="s">
        <v>1137</v>
      </c>
      <c r="E142" t="s">
        <v>7432</v>
      </c>
      <c r="F142">
        <v>671</v>
      </c>
      <c r="G142" t="s">
        <v>1342</v>
      </c>
      <c r="L142" t="s">
        <v>1192</v>
      </c>
      <c r="M142" t="s">
        <v>1425</v>
      </c>
      <c r="N142" t="s">
        <v>1426</v>
      </c>
      <c r="O142">
        <v>1</v>
      </c>
      <c r="R142" t="s">
        <v>1433</v>
      </c>
      <c r="S142" t="s">
        <v>12781</v>
      </c>
      <c r="T142" t="s">
        <v>12956</v>
      </c>
      <c r="U142">
        <v>4098.6400000000003</v>
      </c>
    </row>
    <row r="143" spans="2:21" x14ac:dyDescent="0.2">
      <c r="B143" t="s">
        <v>1192</v>
      </c>
      <c r="C143" t="s">
        <v>12881</v>
      </c>
      <c r="D143" t="s">
        <v>617</v>
      </c>
      <c r="E143" t="s">
        <v>7433</v>
      </c>
      <c r="F143">
        <v>28.48</v>
      </c>
      <c r="G143" t="s">
        <v>1346</v>
      </c>
      <c r="L143" t="s">
        <v>1192</v>
      </c>
      <c r="M143" t="s">
        <v>1427</v>
      </c>
      <c r="N143" t="s">
        <v>1428</v>
      </c>
      <c r="O143">
        <v>1</v>
      </c>
      <c r="R143" t="s">
        <v>1433</v>
      </c>
      <c r="S143" t="s">
        <v>12810</v>
      </c>
      <c r="T143" t="s">
        <v>12956</v>
      </c>
      <c r="U143">
        <v>3378.0000000000005</v>
      </c>
    </row>
    <row r="144" spans="2:21" x14ac:dyDescent="0.2">
      <c r="B144" t="s">
        <v>1192</v>
      </c>
      <c r="C144" t="s">
        <v>12881</v>
      </c>
      <c r="D144" t="s">
        <v>1048</v>
      </c>
      <c r="E144" t="s">
        <v>7434</v>
      </c>
      <c r="F144">
        <v>600</v>
      </c>
      <c r="G144" t="s">
        <v>1348</v>
      </c>
      <c r="L144" t="s">
        <v>1192</v>
      </c>
      <c r="M144" t="s">
        <v>1429</v>
      </c>
      <c r="N144" t="s">
        <v>1430</v>
      </c>
      <c r="O144">
        <v>1</v>
      </c>
      <c r="R144" t="s">
        <v>1433</v>
      </c>
      <c r="S144" t="s">
        <v>11304</v>
      </c>
      <c r="T144" t="s">
        <v>12967</v>
      </c>
      <c r="U144">
        <v>21019.290000000005</v>
      </c>
    </row>
    <row r="145" spans="2:21" x14ac:dyDescent="0.2">
      <c r="B145" t="s">
        <v>1192</v>
      </c>
      <c r="C145" t="s">
        <v>12881</v>
      </c>
      <c r="D145" t="s">
        <v>1048</v>
      </c>
      <c r="E145" t="s">
        <v>7435</v>
      </c>
      <c r="F145">
        <v>1776</v>
      </c>
      <c r="G145" t="s">
        <v>1350</v>
      </c>
      <c r="L145" t="s">
        <v>1192</v>
      </c>
      <c r="M145" t="s">
        <v>1431</v>
      </c>
      <c r="N145" t="s">
        <v>1432</v>
      </c>
      <c r="O145">
        <v>1</v>
      </c>
      <c r="R145" t="s">
        <v>1433</v>
      </c>
      <c r="S145" t="s">
        <v>11289</v>
      </c>
      <c r="T145" t="s">
        <v>12953</v>
      </c>
      <c r="U145">
        <v>32001.649999999998</v>
      </c>
    </row>
    <row r="146" spans="2:21" x14ac:dyDescent="0.2">
      <c r="B146" t="s">
        <v>1192</v>
      </c>
      <c r="C146" t="s">
        <v>12881</v>
      </c>
      <c r="D146" t="s">
        <v>613</v>
      </c>
      <c r="E146" t="s">
        <v>7436</v>
      </c>
      <c r="F146">
        <v>7421</v>
      </c>
      <c r="G146" t="s">
        <v>1362</v>
      </c>
      <c r="L146" t="s">
        <v>1433</v>
      </c>
      <c r="M146" t="s">
        <v>1434</v>
      </c>
      <c r="N146" t="s">
        <v>1435</v>
      </c>
      <c r="O146">
        <v>731.2</v>
      </c>
      <c r="R146" t="s">
        <v>1433</v>
      </c>
      <c r="S146" t="s">
        <v>5032</v>
      </c>
      <c r="T146" t="s">
        <v>12956</v>
      </c>
      <c r="U146">
        <v>395.4</v>
      </c>
    </row>
    <row r="147" spans="2:21" x14ac:dyDescent="0.2">
      <c r="B147" t="s">
        <v>1192</v>
      </c>
      <c r="C147" t="s">
        <v>12881</v>
      </c>
      <c r="D147" t="s">
        <v>613</v>
      </c>
      <c r="E147" t="s">
        <v>7437</v>
      </c>
      <c r="F147">
        <v>61.59</v>
      </c>
      <c r="G147" t="s">
        <v>1370</v>
      </c>
      <c r="L147" t="s">
        <v>1433</v>
      </c>
      <c r="M147" t="s">
        <v>1212</v>
      </c>
      <c r="N147" t="s">
        <v>1436</v>
      </c>
      <c r="O147">
        <v>1</v>
      </c>
      <c r="R147" t="s">
        <v>1433</v>
      </c>
      <c r="S147" t="s">
        <v>12812</v>
      </c>
      <c r="T147" t="s">
        <v>12956</v>
      </c>
      <c r="U147">
        <v>415.5</v>
      </c>
    </row>
    <row r="148" spans="2:21" x14ac:dyDescent="0.2">
      <c r="B148" t="s">
        <v>1192</v>
      </c>
      <c r="C148" t="s">
        <v>12881</v>
      </c>
      <c r="D148" t="s">
        <v>1137</v>
      </c>
      <c r="E148" t="s">
        <v>7438</v>
      </c>
      <c r="F148">
        <v>576</v>
      </c>
      <c r="G148" t="s">
        <v>1366</v>
      </c>
      <c r="L148" t="s">
        <v>1433</v>
      </c>
      <c r="M148" t="s">
        <v>1437</v>
      </c>
      <c r="N148" t="s">
        <v>1438</v>
      </c>
      <c r="O148">
        <v>70</v>
      </c>
      <c r="R148" t="s">
        <v>1433</v>
      </c>
      <c r="S148" t="s">
        <v>10194</v>
      </c>
      <c r="T148" t="s">
        <v>12978</v>
      </c>
      <c r="U148">
        <v>377.8</v>
      </c>
    </row>
    <row r="149" spans="2:21" x14ac:dyDescent="0.2">
      <c r="B149" t="s">
        <v>1192</v>
      </c>
      <c r="C149" t="s">
        <v>12881</v>
      </c>
      <c r="D149" t="s">
        <v>617</v>
      </c>
      <c r="E149" t="s">
        <v>7439</v>
      </c>
      <c r="F149">
        <v>156.51</v>
      </c>
      <c r="H149" t="s">
        <v>1388</v>
      </c>
      <c r="L149" t="s">
        <v>1433</v>
      </c>
      <c r="M149" t="s">
        <v>1439</v>
      </c>
      <c r="N149" t="s">
        <v>1440</v>
      </c>
      <c r="O149">
        <v>20</v>
      </c>
      <c r="R149" t="s">
        <v>1433</v>
      </c>
      <c r="S149" t="s">
        <v>12864</v>
      </c>
      <c r="T149" t="s">
        <v>12956</v>
      </c>
      <c r="U149">
        <v>900.8</v>
      </c>
    </row>
    <row r="150" spans="2:21" x14ac:dyDescent="0.2">
      <c r="B150" t="s">
        <v>1192</v>
      </c>
      <c r="C150" t="s">
        <v>12881</v>
      </c>
      <c r="D150" t="s">
        <v>617</v>
      </c>
      <c r="E150" t="s">
        <v>7440</v>
      </c>
      <c r="F150">
        <v>33.53</v>
      </c>
      <c r="H150" t="s">
        <v>7441</v>
      </c>
      <c r="L150" t="s">
        <v>1433</v>
      </c>
      <c r="M150" t="s">
        <v>1199</v>
      </c>
      <c r="N150" t="s">
        <v>1441</v>
      </c>
      <c r="O150">
        <v>1</v>
      </c>
      <c r="R150" t="s">
        <v>1433</v>
      </c>
      <c r="S150" t="s">
        <v>12838</v>
      </c>
      <c r="T150" t="s">
        <v>12956</v>
      </c>
      <c r="U150">
        <v>810.72</v>
      </c>
    </row>
    <row r="151" spans="2:21" x14ac:dyDescent="0.2">
      <c r="B151" t="s">
        <v>1192</v>
      </c>
      <c r="C151" t="s">
        <v>12881</v>
      </c>
      <c r="D151" t="s">
        <v>617</v>
      </c>
      <c r="E151" t="s">
        <v>7442</v>
      </c>
      <c r="F151">
        <v>679</v>
      </c>
      <c r="H151" t="s">
        <v>1391</v>
      </c>
      <c r="L151" t="s">
        <v>1433</v>
      </c>
      <c r="M151" t="s">
        <v>1201</v>
      </c>
      <c r="N151" t="s">
        <v>1441</v>
      </c>
      <c r="O151">
        <v>1</v>
      </c>
      <c r="R151" t="s">
        <v>1433</v>
      </c>
      <c r="S151" t="s">
        <v>5231</v>
      </c>
      <c r="T151" t="s">
        <v>12966</v>
      </c>
      <c r="U151">
        <v>1858.0200000000002</v>
      </c>
    </row>
    <row r="152" spans="2:21" x14ac:dyDescent="0.2">
      <c r="B152" t="s">
        <v>1192</v>
      </c>
      <c r="C152" t="s">
        <v>12881</v>
      </c>
      <c r="D152" t="s">
        <v>617</v>
      </c>
      <c r="E152" t="s">
        <v>7443</v>
      </c>
      <c r="F152">
        <v>660.54</v>
      </c>
      <c r="H152" t="s">
        <v>1387</v>
      </c>
      <c r="L152" t="s">
        <v>1433</v>
      </c>
      <c r="M152" t="s">
        <v>1203</v>
      </c>
      <c r="N152" t="s">
        <v>1441</v>
      </c>
      <c r="O152">
        <v>1</v>
      </c>
      <c r="R152" t="s">
        <v>1433</v>
      </c>
      <c r="S152" t="s">
        <v>12842</v>
      </c>
      <c r="T152" t="s">
        <v>12989</v>
      </c>
      <c r="U152">
        <v>24065.859999999997</v>
      </c>
    </row>
    <row r="153" spans="2:21" x14ac:dyDescent="0.2">
      <c r="B153" t="s">
        <v>1192</v>
      </c>
      <c r="C153" t="s">
        <v>12881</v>
      </c>
      <c r="D153" t="s">
        <v>617</v>
      </c>
      <c r="E153" t="s">
        <v>7444</v>
      </c>
      <c r="F153">
        <v>29.04</v>
      </c>
      <c r="H153" t="s">
        <v>1389</v>
      </c>
      <c r="L153" t="s">
        <v>1433</v>
      </c>
      <c r="M153" t="s">
        <v>1205</v>
      </c>
      <c r="N153" t="s">
        <v>1441</v>
      </c>
      <c r="O153">
        <v>1</v>
      </c>
      <c r="R153" t="s">
        <v>1433</v>
      </c>
      <c r="S153" t="s">
        <v>5144</v>
      </c>
      <c r="T153" t="s">
        <v>12964</v>
      </c>
      <c r="U153">
        <v>170.01</v>
      </c>
    </row>
    <row r="154" spans="2:21" x14ac:dyDescent="0.2">
      <c r="B154" t="s">
        <v>1192</v>
      </c>
      <c r="C154" t="s">
        <v>12881</v>
      </c>
      <c r="D154" t="s">
        <v>617</v>
      </c>
      <c r="E154" t="s">
        <v>7445</v>
      </c>
      <c r="F154">
        <v>272.58</v>
      </c>
      <c r="H154" t="s">
        <v>1378</v>
      </c>
      <c r="L154" t="s">
        <v>1433</v>
      </c>
      <c r="M154" t="s">
        <v>1207</v>
      </c>
      <c r="N154" t="s">
        <v>1441</v>
      </c>
      <c r="O154">
        <v>1</v>
      </c>
      <c r="R154" t="s">
        <v>1433</v>
      </c>
      <c r="S154" t="s">
        <v>11494</v>
      </c>
      <c r="T154" t="s">
        <v>12983</v>
      </c>
      <c r="U154">
        <v>1339.26</v>
      </c>
    </row>
    <row r="155" spans="2:21" x14ac:dyDescent="0.2">
      <c r="B155" t="s">
        <v>1192</v>
      </c>
      <c r="C155" t="s">
        <v>12881</v>
      </c>
      <c r="D155" t="s">
        <v>617</v>
      </c>
      <c r="E155" t="s">
        <v>7446</v>
      </c>
      <c r="F155">
        <v>62.4</v>
      </c>
      <c r="H155" t="s">
        <v>1372</v>
      </c>
      <c r="L155" t="s">
        <v>1433</v>
      </c>
      <c r="M155" t="s">
        <v>1209</v>
      </c>
      <c r="N155" t="s">
        <v>1441</v>
      </c>
      <c r="O155">
        <v>1</v>
      </c>
      <c r="R155" t="s">
        <v>1433</v>
      </c>
      <c r="S155" t="s">
        <v>12844</v>
      </c>
      <c r="T155" t="s">
        <v>12957</v>
      </c>
      <c r="U155">
        <v>1260.48</v>
      </c>
    </row>
    <row r="156" spans="2:21" x14ac:dyDescent="0.2">
      <c r="B156" t="s">
        <v>1192</v>
      </c>
      <c r="C156" t="s">
        <v>12881</v>
      </c>
      <c r="D156" t="s">
        <v>617</v>
      </c>
      <c r="E156" t="s">
        <v>7447</v>
      </c>
      <c r="F156">
        <v>34.32</v>
      </c>
      <c r="H156" t="s">
        <v>1410</v>
      </c>
      <c r="L156" t="s">
        <v>1433</v>
      </c>
      <c r="M156" t="s">
        <v>1434</v>
      </c>
      <c r="N156" t="s">
        <v>1442</v>
      </c>
      <c r="O156">
        <v>534.1</v>
      </c>
      <c r="R156" t="s">
        <v>1433</v>
      </c>
      <c r="S156" t="s">
        <v>12842</v>
      </c>
      <c r="T156" t="s">
        <v>12967</v>
      </c>
      <c r="U156">
        <v>15905.38</v>
      </c>
    </row>
    <row r="157" spans="2:21" x14ac:dyDescent="0.2">
      <c r="B157" t="s">
        <v>1192</v>
      </c>
      <c r="C157" t="s">
        <v>12881</v>
      </c>
      <c r="D157" t="s">
        <v>617</v>
      </c>
      <c r="E157" t="s">
        <v>7448</v>
      </c>
      <c r="F157">
        <v>411.84</v>
      </c>
      <c r="H157" t="s">
        <v>1410</v>
      </c>
      <c r="L157" t="s">
        <v>1433</v>
      </c>
      <c r="M157" t="s">
        <v>1327</v>
      </c>
      <c r="N157" t="s">
        <v>1443</v>
      </c>
      <c r="O157">
        <v>4</v>
      </c>
      <c r="R157" t="s">
        <v>1433</v>
      </c>
      <c r="S157" t="s">
        <v>10781</v>
      </c>
      <c r="T157" t="s">
        <v>12962</v>
      </c>
      <c r="U157">
        <v>3927.2</v>
      </c>
    </row>
    <row r="158" spans="2:21" x14ac:dyDescent="0.2">
      <c r="B158" t="s">
        <v>1192</v>
      </c>
      <c r="C158" t="s">
        <v>12881</v>
      </c>
      <c r="D158" t="s">
        <v>617</v>
      </c>
      <c r="E158" t="s">
        <v>7449</v>
      </c>
      <c r="F158">
        <v>10.06</v>
      </c>
      <c r="H158" t="s">
        <v>1384</v>
      </c>
      <c r="L158" t="s">
        <v>1433</v>
      </c>
      <c r="M158" t="s">
        <v>1374</v>
      </c>
      <c r="N158" t="s">
        <v>1444</v>
      </c>
      <c r="O158">
        <v>28</v>
      </c>
      <c r="R158" t="s">
        <v>1433</v>
      </c>
      <c r="S158" t="s">
        <v>10757</v>
      </c>
      <c r="T158" t="s">
        <v>12964</v>
      </c>
      <c r="U158">
        <v>151.12</v>
      </c>
    </row>
    <row r="159" spans="2:21" x14ac:dyDescent="0.2">
      <c r="B159" t="s">
        <v>1192</v>
      </c>
      <c r="C159" t="s">
        <v>12881</v>
      </c>
      <c r="D159" t="s">
        <v>617</v>
      </c>
      <c r="E159" t="s">
        <v>7450</v>
      </c>
      <c r="F159">
        <v>26.57</v>
      </c>
      <c r="H159" t="s">
        <v>1386</v>
      </c>
      <c r="L159" t="s">
        <v>1433</v>
      </c>
      <c r="M159" t="s">
        <v>1445</v>
      </c>
      <c r="N159" t="s">
        <v>1444</v>
      </c>
      <c r="O159">
        <v>16</v>
      </c>
      <c r="R159" t="s">
        <v>1433</v>
      </c>
      <c r="S159" t="s">
        <v>7097</v>
      </c>
      <c r="T159" t="s">
        <v>12975</v>
      </c>
      <c r="U159">
        <v>2815.0100000000007</v>
      </c>
    </row>
    <row r="160" spans="2:21" x14ac:dyDescent="0.2">
      <c r="B160" t="s">
        <v>1192</v>
      </c>
      <c r="C160" t="s">
        <v>12881</v>
      </c>
      <c r="D160" t="s">
        <v>617</v>
      </c>
      <c r="E160" t="s">
        <v>7451</v>
      </c>
      <c r="F160">
        <v>3.3</v>
      </c>
      <c r="H160" t="s">
        <v>4878</v>
      </c>
      <c r="L160" t="s">
        <v>1433</v>
      </c>
      <c r="M160" t="s">
        <v>1446</v>
      </c>
      <c r="N160" t="s">
        <v>1444</v>
      </c>
      <c r="O160">
        <v>8</v>
      </c>
      <c r="R160" t="s">
        <v>1433</v>
      </c>
      <c r="S160" t="s">
        <v>5146</v>
      </c>
      <c r="T160" t="s">
        <v>12985</v>
      </c>
      <c r="U160">
        <v>1275.8399999999999</v>
      </c>
    </row>
    <row r="161" spans="2:21" x14ac:dyDescent="0.2">
      <c r="B161" t="s">
        <v>1192</v>
      </c>
      <c r="C161" t="s">
        <v>12881</v>
      </c>
      <c r="D161" t="s">
        <v>617</v>
      </c>
      <c r="E161" t="s">
        <v>7452</v>
      </c>
      <c r="F161">
        <v>5.03</v>
      </c>
      <c r="H161" t="s">
        <v>7453</v>
      </c>
      <c r="L161" t="s">
        <v>1433</v>
      </c>
      <c r="M161" t="s">
        <v>1447</v>
      </c>
      <c r="N161" t="s">
        <v>1444</v>
      </c>
      <c r="O161">
        <v>8</v>
      </c>
      <c r="R161" t="s">
        <v>1433</v>
      </c>
      <c r="S161" t="s">
        <v>11413</v>
      </c>
      <c r="T161" t="s">
        <v>12953</v>
      </c>
      <c r="U161">
        <v>19332.93</v>
      </c>
    </row>
    <row r="162" spans="2:21" x14ac:dyDescent="0.2">
      <c r="B162" t="s">
        <v>1192</v>
      </c>
      <c r="C162" t="s">
        <v>12881</v>
      </c>
      <c r="D162" t="s">
        <v>621</v>
      </c>
      <c r="E162" t="s">
        <v>7454</v>
      </c>
      <c r="F162">
        <v>2.6</v>
      </c>
      <c r="H162" t="s">
        <v>7455</v>
      </c>
      <c r="L162" t="s">
        <v>1433</v>
      </c>
      <c r="M162" t="s">
        <v>1448</v>
      </c>
      <c r="N162" t="s">
        <v>1444</v>
      </c>
      <c r="O162">
        <v>2</v>
      </c>
      <c r="R162" t="s">
        <v>1433</v>
      </c>
      <c r="S162" t="s">
        <v>11494</v>
      </c>
      <c r="T162" t="s">
        <v>12966</v>
      </c>
      <c r="U162">
        <v>571.16</v>
      </c>
    </row>
    <row r="163" spans="2:21" x14ac:dyDescent="0.2">
      <c r="B163" t="s">
        <v>1192</v>
      </c>
      <c r="C163" t="s">
        <v>12881</v>
      </c>
      <c r="D163" t="s">
        <v>617</v>
      </c>
      <c r="E163" t="s">
        <v>7456</v>
      </c>
      <c r="F163">
        <v>45.08</v>
      </c>
      <c r="H163" t="s">
        <v>1380</v>
      </c>
      <c r="L163" t="s">
        <v>1433</v>
      </c>
      <c r="M163" t="s">
        <v>1449</v>
      </c>
      <c r="N163" t="s">
        <v>1444</v>
      </c>
      <c r="O163">
        <v>50</v>
      </c>
      <c r="R163" t="s">
        <v>1433</v>
      </c>
      <c r="S163" t="s">
        <v>11265</v>
      </c>
      <c r="T163" t="s">
        <v>12962</v>
      </c>
      <c r="U163">
        <v>558.17999999999995</v>
      </c>
    </row>
    <row r="164" spans="2:21" x14ac:dyDescent="0.2">
      <c r="B164" t="s">
        <v>1192</v>
      </c>
      <c r="C164" t="s">
        <v>12881</v>
      </c>
      <c r="D164" t="s">
        <v>617</v>
      </c>
      <c r="E164" t="s">
        <v>7457</v>
      </c>
      <c r="F164">
        <v>777.92</v>
      </c>
      <c r="H164" t="s">
        <v>1374</v>
      </c>
      <c r="L164" t="s">
        <v>1433</v>
      </c>
      <c r="M164" t="s">
        <v>1450</v>
      </c>
      <c r="N164" t="s">
        <v>1444</v>
      </c>
      <c r="O164">
        <v>50</v>
      </c>
      <c r="R164" t="s">
        <v>1433</v>
      </c>
      <c r="S164" t="s">
        <v>7081</v>
      </c>
      <c r="T164" t="s">
        <v>12953</v>
      </c>
      <c r="U164">
        <v>1035.92</v>
      </c>
    </row>
    <row r="165" spans="2:21" x14ac:dyDescent="0.2">
      <c r="B165" t="s">
        <v>1192</v>
      </c>
      <c r="C165" t="s">
        <v>12881</v>
      </c>
      <c r="D165" t="s">
        <v>617</v>
      </c>
      <c r="E165" t="s">
        <v>7458</v>
      </c>
      <c r="F165">
        <v>8.69</v>
      </c>
      <c r="H165" t="s">
        <v>1375</v>
      </c>
      <c r="L165" t="s">
        <v>1433</v>
      </c>
      <c r="M165" t="s">
        <v>1451</v>
      </c>
      <c r="N165" t="s">
        <v>1444</v>
      </c>
      <c r="O165">
        <v>11</v>
      </c>
      <c r="R165" t="s">
        <v>1433</v>
      </c>
      <c r="S165" t="s">
        <v>12868</v>
      </c>
      <c r="T165" t="s">
        <v>12967</v>
      </c>
      <c r="U165">
        <v>21943.079999999998</v>
      </c>
    </row>
    <row r="166" spans="2:21" x14ac:dyDescent="0.2">
      <c r="B166" t="s">
        <v>1192</v>
      </c>
      <c r="C166" t="s">
        <v>12881</v>
      </c>
      <c r="D166" t="s">
        <v>617</v>
      </c>
      <c r="E166" t="s">
        <v>7459</v>
      </c>
      <c r="F166">
        <v>5.57</v>
      </c>
      <c r="H166" t="s">
        <v>1376</v>
      </c>
      <c r="L166" t="s">
        <v>1433</v>
      </c>
      <c r="M166" t="s">
        <v>1452</v>
      </c>
      <c r="N166" t="s">
        <v>1444</v>
      </c>
      <c r="O166">
        <v>11</v>
      </c>
      <c r="R166" t="s">
        <v>1433</v>
      </c>
      <c r="S166" t="s">
        <v>7492</v>
      </c>
      <c r="T166" t="s">
        <v>12991</v>
      </c>
      <c r="U166">
        <v>785.16</v>
      </c>
    </row>
    <row r="167" spans="2:21" x14ac:dyDescent="0.2">
      <c r="B167" t="s">
        <v>1192</v>
      </c>
      <c r="C167" t="s">
        <v>12881</v>
      </c>
      <c r="D167" t="s">
        <v>617</v>
      </c>
      <c r="E167" t="s">
        <v>7460</v>
      </c>
      <c r="F167">
        <v>5.91</v>
      </c>
      <c r="H167" t="s">
        <v>1411</v>
      </c>
      <c r="L167" t="s">
        <v>1433</v>
      </c>
      <c r="M167" t="s">
        <v>1453</v>
      </c>
      <c r="N167" t="s">
        <v>1444</v>
      </c>
      <c r="O167">
        <v>11</v>
      </c>
      <c r="R167" t="s">
        <v>1433</v>
      </c>
      <c r="S167" t="s">
        <v>11263</v>
      </c>
      <c r="T167" t="s">
        <v>12980</v>
      </c>
      <c r="U167">
        <v>1372</v>
      </c>
    </row>
    <row r="168" spans="2:21" x14ac:dyDescent="0.2">
      <c r="B168" t="s">
        <v>1192</v>
      </c>
      <c r="C168" t="s">
        <v>12881</v>
      </c>
      <c r="D168" t="s">
        <v>617</v>
      </c>
      <c r="E168" t="s">
        <v>7461</v>
      </c>
      <c r="F168">
        <v>1.1599999999999999</v>
      </c>
      <c r="H168" t="s">
        <v>1383</v>
      </c>
      <c r="L168" t="s">
        <v>1433</v>
      </c>
      <c r="M168" t="s">
        <v>1454</v>
      </c>
      <c r="N168" t="s">
        <v>1444</v>
      </c>
      <c r="O168">
        <v>49</v>
      </c>
      <c r="R168" t="s">
        <v>1433</v>
      </c>
      <c r="S168" t="s">
        <v>11418</v>
      </c>
      <c r="T168" t="s">
        <v>12992</v>
      </c>
      <c r="U168">
        <v>1946.52</v>
      </c>
    </row>
    <row r="169" spans="2:21" x14ac:dyDescent="0.2">
      <c r="B169" t="s">
        <v>1192</v>
      </c>
      <c r="C169" t="s">
        <v>12881</v>
      </c>
      <c r="D169" t="s">
        <v>617</v>
      </c>
      <c r="E169" t="s">
        <v>7462</v>
      </c>
      <c r="F169">
        <v>7.36</v>
      </c>
      <c r="H169" t="s">
        <v>1380</v>
      </c>
      <c r="L169" t="s">
        <v>1433</v>
      </c>
      <c r="M169" t="s">
        <v>1455</v>
      </c>
      <c r="N169" t="s">
        <v>1444</v>
      </c>
      <c r="O169">
        <v>50</v>
      </c>
      <c r="R169" t="s">
        <v>1433</v>
      </c>
      <c r="S169" t="s">
        <v>6839</v>
      </c>
      <c r="T169" t="s">
        <v>12993</v>
      </c>
      <c r="U169">
        <v>1560.65</v>
      </c>
    </row>
    <row r="170" spans="2:21" x14ac:dyDescent="0.2">
      <c r="B170" t="s">
        <v>1192</v>
      </c>
      <c r="C170" t="s">
        <v>12881</v>
      </c>
      <c r="D170" t="s">
        <v>617</v>
      </c>
      <c r="E170" t="s">
        <v>7463</v>
      </c>
      <c r="F170">
        <v>1.08</v>
      </c>
      <c r="H170" t="s">
        <v>1382</v>
      </c>
      <c r="L170" t="s">
        <v>1433</v>
      </c>
      <c r="M170" t="s">
        <v>1456</v>
      </c>
      <c r="N170" t="s">
        <v>1444</v>
      </c>
      <c r="O170">
        <v>10</v>
      </c>
      <c r="R170" t="s">
        <v>1433</v>
      </c>
      <c r="S170" t="s">
        <v>12868</v>
      </c>
      <c r="T170" t="s">
        <v>12994</v>
      </c>
      <c r="U170">
        <v>102.9</v>
      </c>
    </row>
    <row r="171" spans="2:21" x14ac:dyDescent="0.2">
      <c r="B171" t="s">
        <v>1192</v>
      </c>
      <c r="C171" t="s">
        <v>12881</v>
      </c>
      <c r="D171" t="s">
        <v>617</v>
      </c>
      <c r="E171" t="s">
        <v>7464</v>
      </c>
      <c r="F171">
        <v>363.98</v>
      </c>
      <c r="H171" t="s">
        <v>7465</v>
      </c>
      <c r="L171" t="s">
        <v>1433</v>
      </c>
      <c r="M171" t="s">
        <v>1457</v>
      </c>
      <c r="N171" t="s">
        <v>1444</v>
      </c>
      <c r="O171">
        <v>13</v>
      </c>
      <c r="R171" t="s">
        <v>1433</v>
      </c>
      <c r="S171" t="s">
        <v>12866</v>
      </c>
      <c r="T171" t="s">
        <v>12992</v>
      </c>
      <c r="U171">
        <v>19862.75</v>
      </c>
    </row>
    <row r="172" spans="2:21" x14ac:dyDescent="0.2">
      <c r="B172" t="s">
        <v>1192</v>
      </c>
      <c r="C172" t="s">
        <v>12881</v>
      </c>
      <c r="D172" t="s">
        <v>617</v>
      </c>
      <c r="E172" t="s">
        <v>7466</v>
      </c>
      <c r="F172">
        <v>363.98</v>
      </c>
      <c r="H172" t="s">
        <v>7465</v>
      </c>
      <c r="L172" t="s">
        <v>1433</v>
      </c>
      <c r="M172" t="s">
        <v>1372</v>
      </c>
      <c r="N172" t="s">
        <v>1444</v>
      </c>
      <c r="O172">
        <v>25</v>
      </c>
      <c r="R172" t="s">
        <v>1433</v>
      </c>
      <c r="S172" t="s">
        <v>10757</v>
      </c>
      <c r="T172" t="s">
        <v>12995</v>
      </c>
      <c r="U172">
        <v>1166.2199999999998</v>
      </c>
    </row>
    <row r="173" spans="2:21" x14ac:dyDescent="0.2">
      <c r="B173" t="s">
        <v>1192</v>
      </c>
      <c r="C173" t="s">
        <v>12881</v>
      </c>
      <c r="D173" t="s">
        <v>617</v>
      </c>
      <c r="E173" t="s">
        <v>7467</v>
      </c>
      <c r="F173">
        <v>2359.5</v>
      </c>
      <c r="H173" t="s">
        <v>1377</v>
      </c>
      <c r="L173" t="s">
        <v>1433</v>
      </c>
      <c r="M173" t="s">
        <v>1458</v>
      </c>
      <c r="N173" t="s">
        <v>1444</v>
      </c>
      <c r="O173">
        <v>30</v>
      </c>
      <c r="R173" t="s">
        <v>1433</v>
      </c>
      <c r="S173" t="s">
        <v>10194</v>
      </c>
      <c r="T173" t="s">
        <v>12995</v>
      </c>
      <c r="U173">
        <v>1011.86</v>
      </c>
    </row>
    <row r="174" spans="2:21" x14ac:dyDescent="0.2">
      <c r="B174" t="s">
        <v>1192</v>
      </c>
      <c r="C174" t="s">
        <v>12881</v>
      </c>
      <c r="D174" t="s">
        <v>617</v>
      </c>
      <c r="E174" t="s">
        <v>7468</v>
      </c>
      <c r="F174">
        <v>3146</v>
      </c>
      <c r="H174" t="s">
        <v>1377</v>
      </c>
      <c r="L174" t="s">
        <v>1433</v>
      </c>
      <c r="M174" t="s">
        <v>1459</v>
      </c>
      <c r="N174" t="s">
        <v>1444</v>
      </c>
      <c r="O174">
        <v>70</v>
      </c>
      <c r="R174" t="s">
        <v>1433</v>
      </c>
      <c r="S174" t="s">
        <v>5063</v>
      </c>
      <c r="T174" t="s">
        <v>12953</v>
      </c>
      <c r="U174">
        <v>4879.619999999999</v>
      </c>
    </row>
    <row r="175" spans="2:21" x14ac:dyDescent="0.2">
      <c r="B175" t="s">
        <v>1192</v>
      </c>
      <c r="C175" t="s">
        <v>12881</v>
      </c>
      <c r="D175" t="s">
        <v>617</v>
      </c>
      <c r="E175" t="s">
        <v>7469</v>
      </c>
      <c r="F175">
        <v>1.1599999999999999</v>
      </c>
      <c r="H175" t="s">
        <v>1383</v>
      </c>
      <c r="L175" t="s">
        <v>1433</v>
      </c>
      <c r="M175" t="s">
        <v>1460</v>
      </c>
      <c r="N175" t="s">
        <v>1444</v>
      </c>
      <c r="O175">
        <v>2</v>
      </c>
      <c r="R175" t="s">
        <v>1433</v>
      </c>
      <c r="S175" t="s">
        <v>7097</v>
      </c>
      <c r="T175" t="s">
        <v>12992</v>
      </c>
      <c r="U175">
        <v>3534.85</v>
      </c>
    </row>
    <row r="176" spans="2:21" x14ac:dyDescent="0.2">
      <c r="B176" t="s">
        <v>1192</v>
      </c>
      <c r="C176" t="s">
        <v>12881</v>
      </c>
      <c r="D176" t="s">
        <v>1030</v>
      </c>
      <c r="E176" t="s">
        <v>7470</v>
      </c>
      <c r="F176">
        <v>1701</v>
      </c>
      <c r="G176" t="s">
        <v>1364</v>
      </c>
      <c r="L176" t="s">
        <v>1433</v>
      </c>
      <c r="M176" t="s">
        <v>1461</v>
      </c>
      <c r="N176" t="s">
        <v>1444</v>
      </c>
      <c r="O176">
        <v>5</v>
      </c>
      <c r="R176" t="s">
        <v>1433</v>
      </c>
      <c r="S176" t="s">
        <v>5060</v>
      </c>
      <c r="T176" t="s">
        <v>12996</v>
      </c>
      <c r="U176">
        <v>260.25</v>
      </c>
    </row>
    <row r="177" spans="2:21" x14ac:dyDescent="0.2">
      <c r="B177" t="s">
        <v>1192</v>
      </c>
      <c r="C177" t="s">
        <v>12881</v>
      </c>
      <c r="D177" t="s">
        <v>1030</v>
      </c>
      <c r="E177" t="s">
        <v>7471</v>
      </c>
      <c r="F177">
        <v>1701</v>
      </c>
      <c r="G177" t="s">
        <v>1364</v>
      </c>
      <c r="L177" t="s">
        <v>1433</v>
      </c>
      <c r="M177" t="s">
        <v>1462</v>
      </c>
      <c r="N177" t="s">
        <v>1444</v>
      </c>
      <c r="O177">
        <v>2</v>
      </c>
      <c r="R177" t="s">
        <v>1433</v>
      </c>
      <c r="S177" t="s">
        <v>5047</v>
      </c>
      <c r="T177" t="s">
        <v>12997</v>
      </c>
      <c r="U177">
        <v>145.72</v>
      </c>
    </row>
    <row r="178" spans="2:21" x14ac:dyDescent="0.2">
      <c r="B178" t="s">
        <v>1192</v>
      </c>
      <c r="C178" t="s">
        <v>12881</v>
      </c>
      <c r="D178" t="s">
        <v>617</v>
      </c>
      <c r="E178" t="s">
        <v>7472</v>
      </c>
      <c r="F178">
        <v>47.49</v>
      </c>
      <c r="H178" t="s">
        <v>1403</v>
      </c>
      <c r="L178" t="s">
        <v>1433</v>
      </c>
      <c r="M178" t="s">
        <v>1463</v>
      </c>
      <c r="N178" t="s">
        <v>1444</v>
      </c>
      <c r="O178">
        <v>5</v>
      </c>
      <c r="R178" t="s">
        <v>1433</v>
      </c>
      <c r="S178" t="s">
        <v>12840</v>
      </c>
      <c r="T178" t="s">
        <v>12992</v>
      </c>
      <c r="U178">
        <v>8176.1799999999994</v>
      </c>
    </row>
    <row r="179" spans="2:21" x14ac:dyDescent="0.2">
      <c r="B179" t="s">
        <v>1192</v>
      </c>
      <c r="C179" t="s">
        <v>12881</v>
      </c>
      <c r="D179" t="s">
        <v>617</v>
      </c>
      <c r="E179" t="s">
        <v>7473</v>
      </c>
      <c r="F179">
        <v>699.66</v>
      </c>
      <c r="H179" t="s">
        <v>1405</v>
      </c>
      <c r="L179" t="s">
        <v>1433</v>
      </c>
      <c r="M179" t="s">
        <v>1464</v>
      </c>
      <c r="N179" t="s">
        <v>1444</v>
      </c>
      <c r="O179">
        <v>60</v>
      </c>
      <c r="R179" t="s">
        <v>1433</v>
      </c>
      <c r="S179" t="s">
        <v>11422</v>
      </c>
      <c r="T179" t="s">
        <v>12967</v>
      </c>
      <c r="U179">
        <v>1543.4999999999998</v>
      </c>
    </row>
    <row r="180" spans="2:21" x14ac:dyDescent="0.2">
      <c r="B180" t="s">
        <v>1192</v>
      </c>
      <c r="C180" t="s">
        <v>12881</v>
      </c>
      <c r="D180" t="s">
        <v>617</v>
      </c>
      <c r="E180" t="s">
        <v>7474</v>
      </c>
      <c r="F180">
        <v>23.51</v>
      </c>
      <c r="H180" t="s">
        <v>1409</v>
      </c>
      <c r="L180" t="s">
        <v>1433</v>
      </c>
      <c r="M180" t="s">
        <v>1465</v>
      </c>
      <c r="N180" t="s">
        <v>1466</v>
      </c>
      <c r="O180">
        <v>10</v>
      </c>
      <c r="R180" t="s">
        <v>19</v>
      </c>
      <c r="S180" t="s">
        <v>5024</v>
      </c>
      <c r="T180" t="s">
        <v>12998</v>
      </c>
      <c r="U180">
        <v>675.36</v>
      </c>
    </row>
    <row r="181" spans="2:21" x14ac:dyDescent="0.2">
      <c r="B181" t="s">
        <v>1192</v>
      </c>
      <c r="C181" t="s">
        <v>12881</v>
      </c>
      <c r="D181" t="s">
        <v>617</v>
      </c>
      <c r="E181" t="s">
        <v>7475</v>
      </c>
      <c r="F181">
        <v>109.5</v>
      </c>
      <c r="H181" t="s">
        <v>1406</v>
      </c>
      <c r="L181" t="s">
        <v>1433</v>
      </c>
      <c r="M181" t="s">
        <v>1467</v>
      </c>
      <c r="N181" t="s">
        <v>1468</v>
      </c>
      <c r="O181">
        <v>2</v>
      </c>
      <c r="R181" t="s">
        <v>19</v>
      </c>
      <c r="S181" t="s">
        <v>5038</v>
      </c>
      <c r="T181" t="s">
        <v>12998</v>
      </c>
      <c r="U181">
        <v>19973.439999999981</v>
      </c>
    </row>
    <row r="182" spans="2:21" x14ac:dyDescent="0.2">
      <c r="B182" t="s">
        <v>1192</v>
      </c>
      <c r="C182" t="s">
        <v>12881</v>
      </c>
      <c r="D182" t="s">
        <v>617</v>
      </c>
      <c r="E182" t="s">
        <v>7476</v>
      </c>
      <c r="F182">
        <v>223.08</v>
      </c>
      <c r="H182" t="s">
        <v>1408</v>
      </c>
      <c r="L182" t="s">
        <v>1433</v>
      </c>
      <c r="M182" t="s">
        <v>1469</v>
      </c>
      <c r="N182" t="s">
        <v>1468</v>
      </c>
      <c r="O182">
        <v>1</v>
      </c>
      <c r="R182" t="s">
        <v>19</v>
      </c>
      <c r="S182" t="s">
        <v>5053</v>
      </c>
      <c r="T182" t="s">
        <v>12965</v>
      </c>
      <c r="U182">
        <v>919.92</v>
      </c>
    </row>
    <row r="183" spans="2:21" x14ac:dyDescent="0.2">
      <c r="B183" t="s">
        <v>1192</v>
      </c>
      <c r="C183" t="s">
        <v>12881</v>
      </c>
      <c r="D183" t="s">
        <v>617</v>
      </c>
      <c r="E183" t="s">
        <v>7477</v>
      </c>
      <c r="F183">
        <v>15.83</v>
      </c>
      <c r="H183" t="s">
        <v>1403</v>
      </c>
      <c r="L183" t="s">
        <v>1433</v>
      </c>
      <c r="M183" t="s">
        <v>1470</v>
      </c>
      <c r="N183" t="s">
        <v>1468</v>
      </c>
      <c r="O183">
        <v>2</v>
      </c>
      <c r="R183" t="s">
        <v>19</v>
      </c>
      <c r="S183" t="s">
        <v>5024</v>
      </c>
      <c r="T183" t="s">
        <v>12955</v>
      </c>
      <c r="U183">
        <v>32164.019999999997</v>
      </c>
    </row>
    <row r="184" spans="2:21" x14ac:dyDescent="0.2">
      <c r="B184" t="s">
        <v>1192</v>
      </c>
      <c r="C184" t="s">
        <v>12881</v>
      </c>
      <c r="D184" t="s">
        <v>617</v>
      </c>
      <c r="E184" t="s">
        <v>7478</v>
      </c>
      <c r="F184">
        <v>233.22</v>
      </c>
      <c r="H184" t="s">
        <v>1405</v>
      </c>
      <c r="L184" t="s">
        <v>1433</v>
      </c>
      <c r="M184" t="s">
        <v>1471</v>
      </c>
      <c r="N184" t="s">
        <v>1468</v>
      </c>
      <c r="O184">
        <v>2</v>
      </c>
      <c r="R184" t="s">
        <v>19</v>
      </c>
      <c r="S184" t="s">
        <v>5062</v>
      </c>
      <c r="T184" t="s">
        <v>12999</v>
      </c>
      <c r="U184">
        <v>10563.679999999991</v>
      </c>
    </row>
    <row r="185" spans="2:21" x14ac:dyDescent="0.2">
      <c r="B185" t="s">
        <v>1192</v>
      </c>
      <c r="C185" t="s">
        <v>12881</v>
      </c>
      <c r="D185" t="s">
        <v>1137</v>
      </c>
      <c r="E185" t="s">
        <v>7479</v>
      </c>
      <c r="F185">
        <v>188</v>
      </c>
      <c r="G185" t="s">
        <v>1413</v>
      </c>
      <c r="L185" t="s">
        <v>1433</v>
      </c>
      <c r="M185" t="s">
        <v>1472</v>
      </c>
      <c r="N185" t="s">
        <v>1468</v>
      </c>
      <c r="O185">
        <v>2</v>
      </c>
      <c r="R185" t="s">
        <v>19</v>
      </c>
      <c r="S185" t="s">
        <v>5104</v>
      </c>
      <c r="T185" t="s">
        <v>13000</v>
      </c>
      <c r="U185">
        <v>23163.76000000002</v>
      </c>
    </row>
    <row r="186" spans="2:21" x14ac:dyDescent="0.2">
      <c r="B186" t="s">
        <v>1192</v>
      </c>
      <c r="C186" t="s">
        <v>12881</v>
      </c>
      <c r="D186" t="s">
        <v>1137</v>
      </c>
      <c r="E186" t="s">
        <v>7480</v>
      </c>
      <c r="F186">
        <v>376</v>
      </c>
      <c r="G186" t="s">
        <v>1421</v>
      </c>
      <c r="L186" t="s">
        <v>1433</v>
      </c>
      <c r="M186" t="s">
        <v>1473</v>
      </c>
      <c r="N186" t="s">
        <v>1468</v>
      </c>
      <c r="O186">
        <v>1</v>
      </c>
      <c r="R186" t="s">
        <v>19</v>
      </c>
      <c r="S186" t="s">
        <v>6290</v>
      </c>
      <c r="T186" t="s">
        <v>12970</v>
      </c>
      <c r="U186">
        <v>3965.0599999999981</v>
      </c>
    </row>
    <row r="187" spans="2:21" x14ac:dyDescent="0.2">
      <c r="B187" t="s">
        <v>1192</v>
      </c>
      <c r="C187" t="s">
        <v>12881</v>
      </c>
      <c r="D187" t="s">
        <v>1169</v>
      </c>
      <c r="E187" t="s">
        <v>7481</v>
      </c>
      <c r="F187">
        <v>854.4</v>
      </c>
      <c r="G187" t="s">
        <v>1425</v>
      </c>
      <c r="L187" t="s">
        <v>1433</v>
      </c>
      <c r="M187" t="s">
        <v>1474</v>
      </c>
      <c r="N187" t="s">
        <v>1468</v>
      </c>
      <c r="O187">
        <v>2</v>
      </c>
      <c r="R187" t="s">
        <v>19</v>
      </c>
      <c r="S187" t="s">
        <v>5066</v>
      </c>
      <c r="T187" t="s">
        <v>12972</v>
      </c>
      <c r="U187">
        <v>6012.84</v>
      </c>
    </row>
    <row r="188" spans="2:21" x14ac:dyDescent="0.2">
      <c r="B188" t="s">
        <v>1192</v>
      </c>
      <c r="C188" t="s">
        <v>12881</v>
      </c>
      <c r="D188" t="s">
        <v>1169</v>
      </c>
      <c r="E188" t="s">
        <v>7482</v>
      </c>
      <c r="F188">
        <v>265</v>
      </c>
      <c r="G188" t="s">
        <v>1427</v>
      </c>
      <c r="L188" t="s">
        <v>1433</v>
      </c>
      <c r="M188" t="s">
        <v>1475</v>
      </c>
      <c r="N188" t="s">
        <v>1468</v>
      </c>
      <c r="O188">
        <v>2</v>
      </c>
      <c r="R188" t="s">
        <v>19</v>
      </c>
      <c r="S188" t="s">
        <v>6290</v>
      </c>
      <c r="T188" t="s">
        <v>12971</v>
      </c>
      <c r="U188">
        <v>2513.2800000000002</v>
      </c>
    </row>
    <row r="189" spans="2:21" x14ac:dyDescent="0.2">
      <c r="B189" t="s">
        <v>1192</v>
      </c>
      <c r="C189" t="s">
        <v>12881</v>
      </c>
      <c r="D189" t="s">
        <v>613</v>
      </c>
      <c r="E189" t="s">
        <v>7483</v>
      </c>
      <c r="F189">
        <v>613</v>
      </c>
      <c r="G189" t="s">
        <v>1431</v>
      </c>
      <c r="L189" t="s">
        <v>1433</v>
      </c>
      <c r="M189" t="s">
        <v>1476</v>
      </c>
      <c r="N189" t="s">
        <v>1468</v>
      </c>
      <c r="O189">
        <v>2</v>
      </c>
      <c r="R189" t="s">
        <v>19</v>
      </c>
      <c r="S189" t="s">
        <v>6290</v>
      </c>
      <c r="T189" t="s">
        <v>12974</v>
      </c>
      <c r="U189">
        <v>1099.56</v>
      </c>
    </row>
    <row r="190" spans="2:21" x14ac:dyDescent="0.2">
      <c r="B190" t="s">
        <v>1192</v>
      </c>
      <c r="C190" t="s">
        <v>12881</v>
      </c>
      <c r="D190" t="s">
        <v>222</v>
      </c>
      <c r="E190" t="s">
        <v>7484</v>
      </c>
      <c r="F190">
        <v>69956.22</v>
      </c>
      <c r="G190" t="s">
        <v>7276</v>
      </c>
      <c r="L190" t="s">
        <v>1433</v>
      </c>
      <c r="M190" t="s">
        <v>1477</v>
      </c>
      <c r="N190" t="s">
        <v>1468</v>
      </c>
      <c r="O190">
        <v>2</v>
      </c>
      <c r="R190" t="s">
        <v>19</v>
      </c>
      <c r="S190" t="s">
        <v>5137</v>
      </c>
      <c r="T190" t="s">
        <v>12969</v>
      </c>
      <c r="U190">
        <v>4152.1899999999996</v>
      </c>
    </row>
    <row r="191" spans="2:21" x14ac:dyDescent="0.2">
      <c r="B191" t="s">
        <v>1192</v>
      </c>
      <c r="C191" t="s">
        <v>12881</v>
      </c>
      <c r="D191" t="s">
        <v>308</v>
      </c>
      <c r="E191" t="s">
        <v>7485</v>
      </c>
      <c r="F191">
        <v>24691.119999999999</v>
      </c>
      <c r="G191" t="s">
        <v>7281</v>
      </c>
      <c r="L191" t="s">
        <v>1433</v>
      </c>
      <c r="M191" t="s">
        <v>1478</v>
      </c>
      <c r="N191" t="s">
        <v>1468</v>
      </c>
      <c r="O191">
        <v>4</v>
      </c>
      <c r="R191" t="s">
        <v>19</v>
      </c>
      <c r="S191" t="s">
        <v>6290</v>
      </c>
      <c r="T191" t="s">
        <v>12973</v>
      </c>
      <c r="U191">
        <v>1834.0600000000002</v>
      </c>
    </row>
    <row r="192" spans="2:21" x14ac:dyDescent="0.2">
      <c r="B192" t="s">
        <v>1192</v>
      </c>
      <c r="C192" t="s">
        <v>12881</v>
      </c>
      <c r="D192" t="s">
        <v>366</v>
      </c>
      <c r="E192" t="s">
        <v>7486</v>
      </c>
      <c r="F192">
        <v>77570.12</v>
      </c>
      <c r="G192" t="s">
        <v>7287</v>
      </c>
      <c r="L192" t="s">
        <v>1433</v>
      </c>
      <c r="M192" t="s">
        <v>1479</v>
      </c>
      <c r="N192" t="s">
        <v>1468</v>
      </c>
      <c r="O192">
        <v>2</v>
      </c>
      <c r="R192" t="s">
        <v>19</v>
      </c>
      <c r="S192" t="s">
        <v>5051</v>
      </c>
      <c r="T192" t="s">
        <v>12980</v>
      </c>
      <c r="U192">
        <v>5063.49</v>
      </c>
    </row>
    <row r="193" spans="2:21" x14ac:dyDescent="0.2">
      <c r="B193" t="s">
        <v>1192</v>
      </c>
      <c r="C193" t="s">
        <v>12881</v>
      </c>
      <c r="D193" t="s">
        <v>466</v>
      </c>
      <c r="E193" t="s">
        <v>7487</v>
      </c>
      <c r="F193">
        <v>24705.26</v>
      </c>
      <c r="G193" t="s">
        <v>7298</v>
      </c>
      <c r="L193" t="s">
        <v>1433</v>
      </c>
      <c r="M193" t="s">
        <v>1480</v>
      </c>
      <c r="N193" t="s">
        <v>1468</v>
      </c>
      <c r="O193">
        <v>1</v>
      </c>
      <c r="R193" t="s">
        <v>19</v>
      </c>
      <c r="S193" t="s">
        <v>6837</v>
      </c>
      <c r="T193" t="s">
        <v>12979</v>
      </c>
      <c r="U193">
        <v>5396.7599999999984</v>
      </c>
    </row>
    <row r="194" spans="2:21" x14ac:dyDescent="0.2">
      <c r="B194" t="s">
        <v>1192</v>
      </c>
      <c r="C194" t="s">
        <v>12881</v>
      </c>
      <c r="D194" t="s">
        <v>423</v>
      </c>
      <c r="E194" t="s">
        <v>7488</v>
      </c>
      <c r="F194">
        <v>6887.52</v>
      </c>
      <c r="G194" t="s">
        <v>7301</v>
      </c>
      <c r="L194" t="s">
        <v>1433</v>
      </c>
      <c r="M194" t="s">
        <v>1481</v>
      </c>
      <c r="N194" t="s">
        <v>1482</v>
      </c>
      <c r="O194">
        <v>4</v>
      </c>
      <c r="R194" t="s">
        <v>19</v>
      </c>
      <c r="S194" t="s">
        <v>6837</v>
      </c>
      <c r="T194" t="s">
        <v>12978</v>
      </c>
      <c r="U194">
        <v>2569.04</v>
      </c>
    </row>
    <row r="195" spans="2:21" x14ac:dyDescent="0.2">
      <c r="B195" t="s">
        <v>1192</v>
      </c>
      <c r="C195" t="s">
        <v>12881</v>
      </c>
      <c r="D195" t="s">
        <v>314</v>
      </c>
      <c r="E195" t="s">
        <v>7489</v>
      </c>
      <c r="F195">
        <v>3877.63</v>
      </c>
      <c r="G195" t="s">
        <v>7306</v>
      </c>
      <c r="L195" t="s">
        <v>1433</v>
      </c>
      <c r="M195" t="s">
        <v>1483</v>
      </c>
      <c r="N195" t="s">
        <v>1482</v>
      </c>
      <c r="O195">
        <v>4</v>
      </c>
      <c r="R195" t="s">
        <v>19</v>
      </c>
      <c r="S195" t="s">
        <v>7099</v>
      </c>
      <c r="T195" t="s">
        <v>12984</v>
      </c>
      <c r="U195">
        <v>137.45999999999998</v>
      </c>
    </row>
    <row r="196" spans="2:21" x14ac:dyDescent="0.2">
      <c r="B196" t="s">
        <v>1192</v>
      </c>
      <c r="C196" t="s">
        <v>12881</v>
      </c>
      <c r="D196" t="s">
        <v>235</v>
      </c>
      <c r="E196" t="s">
        <v>7490</v>
      </c>
      <c r="F196">
        <v>1766.23</v>
      </c>
      <c r="G196" t="s">
        <v>7309</v>
      </c>
      <c r="L196" t="s">
        <v>1433</v>
      </c>
      <c r="M196" t="s">
        <v>1484</v>
      </c>
      <c r="N196" t="s">
        <v>1482</v>
      </c>
      <c r="O196">
        <v>8</v>
      </c>
      <c r="R196" t="s">
        <v>19</v>
      </c>
      <c r="S196" t="s">
        <v>6999</v>
      </c>
      <c r="T196" t="s">
        <v>12984</v>
      </c>
      <c r="U196">
        <v>78.55</v>
      </c>
    </row>
    <row r="197" spans="2:21" x14ac:dyDescent="0.2">
      <c r="B197" t="s">
        <v>1192</v>
      </c>
      <c r="C197" t="s">
        <v>12882</v>
      </c>
      <c r="D197" t="s">
        <v>383</v>
      </c>
      <c r="E197" t="s">
        <v>7491</v>
      </c>
      <c r="F197">
        <v>675.6</v>
      </c>
      <c r="G197" t="s">
        <v>7494</v>
      </c>
      <c r="L197" t="s">
        <v>1433</v>
      </c>
      <c r="M197" t="s">
        <v>1485</v>
      </c>
      <c r="N197" t="s">
        <v>1486</v>
      </c>
      <c r="O197">
        <v>8</v>
      </c>
      <c r="R197" t="s">
        <v>19</v>
      </c>
      <c r="S197" t="s">
        <v>6837</v>
      </c>
      <c r="T197" t="s">
        <v>13001</v>
      </c>
      <c r="U197">
        <v>302.24</v>
      </c>
    </row>
    <row r="198" spans="2:21" x14ac:dyDescent="0.2">
      <c r="B198" t="s">
        <v>1192</v>
      </c>
      <c r="C198" t="s">
        <v>12883</v>
      </c>
      <c r="D198" t="s">
        <v>1041</v>
      </c>
      <c r="E198" t="s">
        <v>7865</v>
      </c>
      <c r="F198">
        <v>10880</v>
      </c>
      <c r="G198" t="s">
        <v>3076</v>
      </c>
      <c r="L198" t="s">
        <v>1433</v>
      </c>
      <c r="M198" t="s">
        <v>1487</v>
      </c>
      <c r="N198" t="s">
        <v>1488</v>
      </c>
      <c r="O198">
        <v>45</v>
      </c>
      <c r="R198" t="s">
        <v>19</v>
      </c>
      <c r="S198" t="s">
        <v>6300</v>
      </c>
      <c r="T198" t="s">
        <v>12962</v>
      </c>
      <c r="U198">
        <v>159.47999999999999</v>
      </c>
    </row>
    <row r="199" spans="2:21" x14ac:dyDescent="0.2">
      <c r="B199" t="s">
        <v>1192</v>
      </c>
      <c r="C199" t="s">
        <v>12883</v>
      </c>
      <c r="D199" t="s">
        <v>1041</v>
      </c>
      <c r="E199" t="s">
        <v>7871</v>
      </c>
      <c r="F199">
        <v>6060</v>
      </c>
      <c r="G199" t="s">
        <v>1415</v>
      </c>
      <c r="L199" t="s">
        <v>1433</v>
      </c>
      <c r="M199" t="s">
        <v>1489</v>
      </c>
      <c r="N199" t="s">
        <v>1490</v>
      </c>
      <c r="O199">
        <v>2</v>
      </c>
      <c r="R199" t="s">
        <v>19</v>
      </c>
      <c r="S199" t="s">
        <v>7080</v>
      </c>
      <c r="T199" t="s">
        <v>12978</v>
      </c>
      <c r="U199">
        <v>302.24</v>
      </c>
    </row>
    <row r="200" spans="2:21" x14ac:dyDescent="0.2">
      <c r="B200" t="s">
        <v>1192</v>
      </c>
      <c r="C200" t="s">
        <v>12883</v>
      </c>
      <c r="D200" t="s">
        <v>613</v>
      </c>
      <c r="E200" t="s">
        <v>7872</v>
      </c>
      <c r="F200">
        <v>3.92</v>
      </c>
      <c r="G200" t="s">
        <v>7873</v>
      </c>
      <c r="L200" t="s">
        <v>1433</v>
      </c>
      <c r="M200" t="s">
        <v>1491</v>
      </c>
      <c r="N200" t="s">
        <v>1492</v>
      </c>
      <c r="O200">
        <v>2</v>
      </c>
      <c r="R200" t="s">
        <v>19</v>
      </c>
      <c r="S200" t="s">
        <v>6991</v>
      </c>
      <c r="T200" t="s">
        <v>12978</v>
      </c>
      <c r="U200">
        <v>604.48</v>
      </c>
    </row>
    <row r="201" spans="2:21" x14ac:dyDescent="0.2">
      <c r="B201" t="s">
        <v>1192</v>
      </c>
      <c r="C201" t="s">
        <v>12883</v>
      </c>
      <c r="D201" t="s">
        <v>613</v>
      </c>
      <c r="E201" t="s">
        <v>7874</v>
      </c>
      <c r="F201">
        <v>1.86</v>
      </c>
      <c r="G201" t="s">
        <v>6511</v>
      </c>
      <c r="L201" t="s">
        <v>1433</v>
      </c>
      <c r="M201" t="s">
        <v>1493</v>
      </c>
      <c r="N201" t="s">
        <v>1492</v>
      </c>
      <c r="O201">
        <v>48</v>
      </c>
      <c r="R201" t="s">
        <v>19</v>
      </c>
      <c r="S201" t="s">
        <v>6837</v>
      </c>
      <c r="T201" t="s">
        <v>12981</v>
      </c>
      <c r="U201">
        <v>1662.34</v>
      </c>
    </row>
    <row r="202" spans="2:21" x14ac:dyDescent="0.2">
      <c r="B202" t="s">
        <v>1192</v>
      </c>
      <c r="C202" t="s">
        <v>12883</v>
      </c>
      <c r="D202" t="s">
        <v>613</v>
      </c>
      <c r="E202" t="s">
        <v>7875</v>
      </c>
      <c r="F202">
        <v>1.42</v>
      </c>
      <c r="G202" t="s">
        <v>7876</v>
      </c>
      <c r="L202" t="s">
        <v>1433</v>
      </c>
      <c r="M202" t="s">
        <v>1494</v>
      </c>
      <c r="N202" t="s">
        <v>1495</v>
      </c>
      <c r="O202">
        <v>20</v>
      </c>
      <c r="R202" t="s">
        <v>19</v>
      </c>
      <c r="S202" t="s">
        <v>6290</v>
      </c>
      <c r="T202" t="s">
        <v>12978</v>
      </c>
      <c r="U202">
        <v>785.39999999999986</v>
      </c>
    </row>
    <row r="203" spans="2:21" x14ac:dyDescent="0.2">
      <c r="B203" t="s">
        <v>1192</v>
      </c>
      <c r="C203" t="s">
        <v>12883</v>
      </c>
      <c r="D203" t="s">
        <v>383</v>
      </c>
      <c r="E203" t="s">
        <v>7877</v>
      </c>
      <c r="F203">
        <v>225.2</v>
      </c>
      <c r="G203" t="s">
        <v>7869</v>
      </c>
      <c r="L203" t="s">
        <v>1433</v>
      </c>
      <c r="M203" t="s">
        <v>1496</v>
      </c>
      <c r="N203" t="s">
        <v>1497</v>
      </c>
      <c r="O203">
        <v>2</v>
      </c>
      <c r="R203" t="s">
        <v>19</v>
      </c>
      <c r="S203" t="s">
        <v>5049</v>
      </c>
      <c r="T203" t="s">
        <v>12999</v>
      </c>
      <c r="U203">
        <v>2027.2</v>
      </c>
    </row>
    <row r="204" spans="2:21" x14ac:dyDescent="0.2">
      <c r="B204" t="s">
        <v>1433</v>
      </c>
      <c r="C204" t="s">
        <v>12884</v>
      </c>
      <c r="D204" t="s">
        <v>688</v>
      </c>
      <c r="E204" t="s">
        <v>5023</v>
      </c>
      <c r="F204">
        <v>4200</v>
      </c>
      <c r="G204" t="s">
        <v>1203</v>
      </c>
      <c r="L204" t="s">
        <v>1433</v>
      </c>
      <c r="M204" t="s">
        <v>1498</v>
      </c>
      <c r="N204" t="s">
        <v>1497</v>
      </c>
      <c r="O204">
        <v>2</v>
      </c>
      <c r="R204" t="s">
        <v>19</v>
      </c>
      <c r="S204" t="s">
        <v>6837</v>
      </c>
      <c r="T204" t="s">
        <v>12995</v>
      </c>
      <c r="U204">
        <v>205.79999999999998</v>
      </c>
    </row>
    <row r="205" spans="2:21" x14ac:dyDescent="0.2">
      <c r="B205" t="s">
        <v>1433</v>
      </c>
      <c r="C205" t="s">
        <v>12884</v>
      </c>
      <c r="D205" t="s">
        <v>688</v>
      </c>
      <c r="E205" t="s">
        <v>5027</v>
      </c>
      <c r="F205">
        <v>1200</v>
      </c>
      <c r="G205" t="s">
        <v>1203</v>
      </c>
      <c r="L205" t="s">
        <v>1433</v>
      </c>
      <c r="M205" t="s">
        <v>1499</v>
      </c>
      <c r="N205" t="s">
        <v>1500</v>
      </c>
      <c r="O205">
        <v>20</v>
      </c>
      <c r="R205" t="s">
        <v>19</v>
      </c>
      <c r="S205" t="s">
        <v>5049</v>
      </c>
      <c r="T205" t="s">
        <v>12956</v>
      </c>
      <c r="U205">
        <v>2636.64</v>
      </c>
    </row>
    <row r="206" spans="2:21" x14ac:dyDescent="0.2">
      <c r="B206" t="s">
        <v>1433</v>
      </c>
      <c r="C206" t="s">
        <v>12884</v>
      </c>
      <c r="D206" t="s">
        <v>688</v>
      </c>
      <c r="E206" t="s">
        <v>5029</v>
      </c>
      <c r="F206">
        <v>600</v>
      </c>
      <c r="G206" t="s">
        <v>1203</v>
      </c>
      <c r="L206" t="s">
        <v>1433</v>
      </c>
      <c r="M206" t="s">
        <v>1501</v>
      </c>
      <c r="N206" t="s">
        <v>1502</v>
      </c>
      <c r="O206">
        <v>44</v>
      </c>
      <c r="R206" t="s">
        <v>19</v>
      </c>
      <c r="S206" t="s">
        <v>6290</v>
      </c>
      <c r="T206" t="s">
        <v>12981</v>
      </c>
      <c r="U206">
        <v>55.28</v>
      </c>
    </row>
    <row r="207" spans="2:21" x14ac:dyDescent="0.2">
      <c r="B207" t="s">
        <v>1433</v>
      </c>
      <c r="C207" t="s">
        <v>12884</v>
      </c>
      <c r="D207" t="s">
        <v>688</v>
      </c>
      <c r="E207" t="s">
        <v>5031</v>
      </c>
      <c r="F207">
        <v>3032.4</v>
      </c>
      <c r="G207" t="s">
        <v>1209</v>
      </c>
      <c r="L207" t="s">
        <v>1433</v>
      </c>
      <c r="M207" t="s">
        <v>1503</v>
      </c>
      <c r="N207" t="s">
        <v>1502</v>
      </c>
      <c r="O207">
        <v>8</v>
      </c>
      <c r="R207" t="s">
        <v>19</v>
      </c>
      <c r="S207" t="s">
        <v>5051</v>
      </c>
      <c r="T207" t="s">
        <v>12962</v>
      </c>
      <c r="U207">
        <v>36.43</v>
      </c>
    </row>
    <row r="208" spans="2:21" x14ac:dyDescent="0.2">
      <c r="B208" t="s">
        <v>1433</v>
      </c>
      <c r="C208" t="s">
        <v>12884</v>
      </c>
      <c r="D208" t="s">
        <v>688</v>
      </c>
      <c r="E208" t="s">
        <v>5034</v>
      </c>
      <c r="F208">
        <v>866.4</v>
      </c>
      <c r="G208" t="s">
        <v>1209</v>
      </c>
      <c r="L208" t="s">
        <v>1433</v>
      </c>
      <c r="M208" t="s">
        <v>1504</v>
      </c>
      <c r="N208" t="s">
        <v>1505</v>
      </c>
      <c r="O208">
        <v>19</v>
      </c>
      <c r="R208" t="s">
        <v>19</v>
      </c>
      <c r="S208" t="s">
        <v>5232</v>
      </c>
      <c r="T208" t="s">
        <v>13002</v>
      </c>
      <c r="U208">
        <v>1165.47</v>
      </c>
    </row>
    <row r="209" spans="2:21" x14ac:dyDescent="0.2">
      <c r="B209" t="s">
        <v>1433</v>
      </c>
      <c r="C209" t="s">
        <v>12884</v>
      </c>
      <c r="D209" t="s">
        <v>688</v>
      </c>
      <c r="E209" t="s">
        <v>5036</v>
      </c>
      <c r="F209">
        <v>433.2</v>
      </c>
      <c r="G209" t="s">
        <v>1209</v>
      </c>
      <c r="L209" t="s">
        <v>1433</v>
      </c>
      <c r="M209" t="s">
        <v>1506</v>
      </c>
      <c r="N209" t="s">
        <v>1505</v>
      </c>
      <c r="O209">
        <v>8</v>
      </c>
      <c r="R209" t="s">
        <v>19</v>
      </c>
      <c r="S209" t="s">
        <v>5101</v>
      </c>
      <c r="T209" t="s">
        <v>12991</v>
      </c>
      <c r="U209">
        <v>36.619999999999997</v>
      </c>
    </row>
    <row r="210" spans="2:21" x14ac:dyDescent="0.2">
      <c r="B210" t="s">
        <v>1433</v>
      </c>
      <c r="C210" t="s">
        <v>12884</v>
      </c>
      <c r="D210" t="s">
        <v>84</v>
      </c>
      <c r="E210" t="s">
        <v>5039</v>
      </c>
      <c r="F210">
        <v>12.8</v>
      </c>
      <c r="G210" t="s">
        <v>5042</v>
      </c>
      <c r="L210" t="s">
        <v>1433</v>
      </c>
      <c r="M210" t="s">
        <v>1507</v>
      </c>
      <c r="N210" t="s">
        <v>1508</v>
      </c>
      <c r="O210">
        <v>7</v>
      </c>
      <c r="R210" t="s">
        <v>19</v>
      </c>
      <c r="S210" t="s">
        <v>5232</v>
      </c>
      <c r="T210" t="s">
        <v>13003</v>
      </c>
      <c r="U210">
        <v>1050.56</v>
      </c>
    </row>
    <row r="211" spans="2:21" x14ac:dyDescent="0.2">
      <c r="B211" t="s">
        <v>1433</v>
      </c>
      <c r="C211" t="s">
        <v>12884</v>
      </c>
      <c r="D211" t="s">
        <v>84</v>
      </c>
      <c r="E211" t="s">
        <v>5043</v>
      </c>
      <c r="F211">
        <v>19.2</v>
      </c>
      <c r="G211" t="s">
        <v>5045</v>
      </c>
      <c r="L211" t="s">
        <v>1433</v>
      </c>
      <c r="M211" t="s">
        <v>1509</v>
      </c>
      <c r="N211" t="s">
        <v>1508</v>
      </c>
      <c r="O211">
        <v>20</v>
      </c>
      <c r="R211" t="s">
        <v>19</v>
      </c>
      <c r="S211" t="s">
        <v>6985</v>
      </c>
      <c r="T211" t="s">
        <v>13004</v>
      </c>
      <c r="U211">
        <v>1510.1799999999996</v>
      </c>
    </row>
    <row r="212" spans="2:21" x14ac:dyDescent="0.2">
      <c r="B212" t="s">
        <v>1433</v>
      </c>
      <c r="C212" t="s">
        <v>12884</v>
      </c>
      <c r="D212" t="s">
        <v>84</v>
      </c>
      <c r="E212" t="s">
        <v>5046</v>
      </c>
      <c r="F212">
        <v>16</v>
      </c>
      <c r="G212" t="s">
        <v>5048</v>
      </c>
      <c r="L212" t="s">
        <v>1433</v>
      </c>
      <c r="M212" t="s">
        <v>1243</v>
      </c>
      <c r="N212" t="s">
        <v>1510</v>
      </c>
      <c r="O212">
        <v>470</v>
      </c>
      <c r="R212" t="s">
        <v>4428</v>
      </c>
      <c r="S212" t="s">
        <v>5028</v>
      </c>
      <c r="T212" t="s">
        <v>13005</v>
      </c>
      <c r="U212">
        <v>75338.749999999724</v>
      </c>
    </row>
    <row r="213" spans="2:21" x14ac:dyDescent="0.2">
      <c r="B213" t="s">
        <v>1433</v>
      </c>
      <c r="C213" t="s">
        <v>12884</v>
      </c>
      <c r="D213" t="s">
        <v>222</v>
      </c>
      <c r="E213" t="s">
        <v>5050</v>
      </c>
      <c r="F213">
        <v>143157.53</v>
      </c>
      <c r="G213" t="s">
        <v>5026</v>
      </c>
      <c r="L213" t="s">
        <v>1433</v>
      </c>
      <c r="M213" t="s">
        <v>1245</v>
      </c>
      <c r="N213" t="s">
        <v>1510</v>
      </c>
      <c r="O213">
        <v>416</v>
      </c>
      <c r="R213" t="s">
        <v>4428</v>
      </c>
      <c r="S213" t="s">
        <v>5030</v>
      </c>
      <c r="T213" t="s">
        <v>12999</v>
      </c>
      <c r="U213">
        <v>20206.239999999969</v>
      </c>
    </row>
    <row r="214" spans="2:21" x14ac:dyDescent="0.2">
      <c r="B214" t="s">
        <v>1433</v>
      </c>
      <c r="C214" t="s">
        <v>12884</v>
      </c>
      <c r="D214" t="s">
        <v>227</v>
      </c>
      <c r="E214" t="s">
        <v>5052</v>
      </c>
      <c r="F214">
        <v>68669.03</v>
      </c>
      <c r="G214" t="s">
        <v>5032</v>
      </c>
      <c r="L214" t="s">
        <v>1433</v>
      </c>
      <c r="M214" t="s">
        <v>1511</v>
      </c>
      <c r="N214" t="s">
        <v>1510</v>
      </c>
      <c r="O214">
        <v>25</v>
      </c>
      <c r="R214" t="s">
        <v>4428</v>
      </c>
      <c r="S214" t="s">
        <v>6301</v>
      </c>
      <c r="T214" t="s">
        <v>12993</v>
      </c>
      <c r="U214">
        <v>45694.349999999969</v>
      </c>
    </row>
    <row r="215" spans="2:21" x14ac:dyDescent="0.2">
      <c r="B215" t="s">
        <v>1433</v>
      </c>
      <c r="C215" t="s">
        <v>12884</v>
      </c>
      <c r="D215" t="s">
        <v>323</v>
      </c>
      <c r="E215" t="s">
        <v>5054</v>
      </c>
      <c r="F215">
        <v>62695.56</v>
      </c>
      <c r="G215" t="s">
        <v>5041</v>
      </c>
      <c r="L215" t="s">
        <v>1433</v>
      </c>
      <c r="M215" t="s">
        <v>1512</v>
      </c>
      <c r="N215" t="s">
        <v>1510</v>
      </c>
      <c r="O215">
        <v>15</v>
      </c>
      <c r="R215" t="s">
        <v>4428</v>
      </c>
      <c r="S215" t="s">
        <v>5138</v>
      </c>
      <c r="T215" t="s">
        <v>12991</v>
      </c>
      <c r="U215">
        <v>42953.819999999992</v>
      </c>
    </row>
    <row r="216" spans="2:21" x14ac:dyDescent="0.2">
      <c r="B216" t="s">
        <v>1433</v>
      </c>
      <c r="C216" t="s">
        <v>12884</v>
      </c>
      <c r="D216" t="s">
        <v>466</v>
      </c>
      <c r="E216" t="s">
        <v>5055</v>
      </c>
      <c r="F216">
        <v>13656.72</v>
      </c>
      <c r="G216" t="s">
        <v>5044</v>
      </c>
      <c r="L216" t="s">
        <v>1433</v>
      </c>
      <c r="M216" t="s">
        <v>1513</v>
      </c>
      <c r="N216" t="s">
        <v>1510</v>
      </c>
      <c r="O216">
        <v>6</v>
      </c>
      <c r="R216" t="s">
        <v>4428</v>
      </c>
      <c r="S216" t="s">
        <v>5040</v>
      </c>
      <c r="T216" t="s">
        <v>12965</v>
      </c>
      <c r="U216">
        <v>5321.6799999999967</v>
      </c>
    </row>
    <row r="217" spans="2:21" x14ac:dyDescent="0.2">
      <c r="B217" t="s">
        <v>1433</v>
      </c>
      <c r="C217" t="s">
        <v>12884</v>
      </c>
      <c r="D217" t="s">
        <v>423</v>
      </c>
      <c r="E217" t="s">
        <v>5056</v>
      </c>
      <c r="F217">
        <v>10213.67</v>
      </c>
      <c r="G217" t="s">
        <v>5047</v>
      </c>
      <c r="L217" t="s">
        <v>1433</v>
      </c>
      <c r="M217" t="s">
        <v>1514</v>
      </c>
      <c r="N217" t="s">
        <v>1515</v>
      </c>
      <c r="O217">
        <v>5</v>
      </c>
      <c r="R217" t="s">
        <v>4428</v>
      </c>
      <c r="S217" t="s">
        <v>6301</v>
      </c>
      <c r="T217" t="s">
        <v>13004</v>
      </c>
      <c r="U217">
        <v>23004.149999999994</v>
      </c>
    </row>
    <row r="218" spans="2:21" x14ac:dyDescent="0.2">
      <c r="B218" t="s">
        <v>1433</v>
      </c>
      <c r="C218" t="s">
        <v>12884</v>
      </c>
      <c r="D218" t="s">
        <v>488</v>
      </c>
      <c r="E218" t="s">
        <v>5057</v>
      </c>
      <c r="F218">
        <v>11680.27</v>
      </c>
      <c r="G218" t="s">
        <v>5058</v>
      </c>
      <c r="L218" t="s">
        <v>1433</v>
      </c>
      <c r="M218" t="s">
        <v>1516</v>
      </c>
      <c r="N218" t="s">
        <v>1515</v>
      </c>
      <c r="O218">
        <v>5</v>
      </c>
      <c r="R218" t="s">
        <v>4428</v>
      </c>
      <c r="S218" t="s">
        <v>5030</v>
      </c>
      <c r="T218" t="s">
        <v>13006</v>
      </c>
      <c r="U218">
        <v>146.38</v>
      </c>
    </row>
    <row r="219" spans="2:21" x14ac:dyDescent="0.2">
      <c r="B219" t="s">
        <v>1433</v>
      </c>
      <c r="C219" t="s">
        <v>12884</v>
      </c>
      <c r="D219" t="s">
        <v>227</v>
      </c>
      <c r="E219" t="s">
        <v>5059</v>
      </c>
      <c r="F219">
        <v>18458.86</v>
      </c>
      <c r="G219" t="s">
        <v>5060</v>
      </c>
      <c r="L219" t="s">
        <v>1433</v>
      </c>
      <c r="M219" t="s">
        <v>1517</v>
      </c>
      <c r="N219" t="s">
        <v>1515</v>
      </c>
      <c r="O219">
        <v>12</v>
      </c>
      <c r="R219" t="s">
        <v>4428</v>
      </c>
      <c r="S219" t="s">
        <v>5025</v>
      </c>
      <c r="T219" t="s">
        <v>12955</v>
      </c>
      <c r="U219">
        <v>51890.16</v>
      </c>
    </row>
    <row r="220" spans="2:21" x14ac:dyDescent="0.2">
      <c r="B220" t="s">
        <v>1433</v>
      </c>
      <c r="C220" t="s">
        <v>12885</v>
      </c>
      <c r="D220" t="s">
        <v>717</v>
      </c>
      <c r="E220" t="s">
        <v>5061</v>
      </c>
      <c r="F220">
        <v>5400</v>
      </c>
      <c r="G220" t="s">
        <v>1216</v>
      </c>
      <c r="L220" t="s">
        <v>1433</v>
      </c>
      <c r="M220" t="s">
        <v>1518</v>
      </c>
      <c r="N220" t="s">
        <v>1515</v>
      </c>
      <c r="O220">
        <v>2</v>
      </c>
      <c r="R220" t="s">
        <v>4428</v>
      </c>
      <c r="S220" t="s">
        <v>6301</v>
      </c>
      <c r="T220" t="s">
        <v>13007</v>
      </c>
      <c r="U220">
        <v>19114.010000000002</v>
      </c>
    </row>
    <row r="221" spans="2:21" x14ac:dyDescent="0.2">
      <c r="B221" t="s">
        <v>1433</v>
      </c>
      <c r="C221" t="s">
        <v>12885</v>
      </c>
      <c r="D221" t="s">
        <v>717</v>
      </c>
      <c r="E221" t="s">
        <v>5065</v>
      </c>
      <c r="F221">
        <v>4320</v>
      </c>
      <c r="G221" t="s">
        <v>1216</v>
      </c>
      <c r="L221" t="s">
        <v>1433</v>
      </c>
      <c r="M221" t="s">
        <v>1519</v>
      </c>
      <c r="N221" t="s">
        <v>1515</v>
      </c>
      <c r="O221">
        <v>2</v>
      </c>
      <c r="R221" t="s">
        <v>4428</v>
      </c>
      <c r="S221" t="s">
        <v>6301</v>
      </c>
      <c r="T221" t="s">
        <v>13008</v>
      </c>
      <c r="U221">
        <v>62233.510000000097</v>
      </c>
    </row>
    <row r="222" spans="2:21" x14ac:dyDescent="0.2">
      <c r="B222" t="s">
        <v>1433</v>
      </c>
      <c r="C222" t="s">
        <v>12885</v>
      </c>
      <c r="D222" t="s">
        <v>717</v>
      </c>
      <c r="E222" t="s">
        <v>5067</v>
      </c>
      <c r="F222">
        <v>3780</v>
      </c>
      <c r="G222" t="s">
        <v>1216</v>
      </c>
      <c r="L222" t="s">
        <v>1433</v>
      </c>
      <c r="M222" t="s">
        <v>1520</v>
      </c>
      <c r="N222" t="s">
        <v>1521</v>
      </c>
      <c r="O222">
        <v>32</v>
      </c>
      <c r="R222" t="s">
        <v>4428</v>
      </c>
      <c r="S222" t="s">
        <v>6301</v>
      </c>
      <c r="T222" t="s">
        <v>13009</v>
      </c>
      <c r="U222">
        <v>23633.999999999996</v>
      </c>
    </row>
    <row r="223" spans="2:21" x14ac:dyDescent="0.2">
      <c r="B223" t="s">
        <v>1433</v>
      </c>
      <c r="C223" t="s">
        <v>12885</v>
      </c>
      <c r="D223" t="s">
        <v>717</v>
      </c>
      <c r="E223" t="s">
        <v>5068</v>
      </c>
      <c r="F223">
        <v>3375</v>
      </c>
      <c r="G223" t="s">
        <v>2587</v>
      </c>
      <c r="L223" t="s">
        <v>1433</v>
      </c>
      <c r="M223" t="s">
        <v>1210</v>
      </c>
      <c r="N223" t="s">
        <v>1522</v>
      </c>
      <c r="O223">
        <v>1</v>
      </c>
      <c r="R223" t="s">
        <v>4428</v>
      </c>
      <c r="S223" t="s">
        <v>5106</v>
      </c>
      <c r="T223" t="s">
        <v>13010</v>
      </c>
      <c r="U223">
        <v>18796.419999999998</v>
      </c>
    </row>
    <row r="224" spans="2:21" x14ac:dyDescent="0.2">
      <c r="B224" t="s">
        <v>1433</v>
      </c>
      <c r="C224" t="s">
        <v>12885</v>
      </c>
      <c r="D224" t="s">
        <v>717</v>
      </c>
      <c r="E224" t="s">
        <v>5070</v>
      </c>
      <c r="F224">
        <v>1687.5</v>
      </c>
      <c r="G224" t="s">
        <v>2587</v>
      </c>
      <c r="L224" t="s">
        <v>1433</v>
      </c>
      <c r="M224" t="s">
        <v>1523</v>
      </c>
      <c r="N224" t="s">
        <v>1524</v>
      </c>
      <c r="O224">
        <v>12</v>
      </c>
      <c r="R224" t="s">
        <v>4428</v>
      </c>
      <c r="S224" t="s">
        <v>11410</v>
      </c>
      <c r="T224" t="s">
        <v>13011</v>
      </c>
      <c r="U224">
        <v>9188.16</v>
      </c>
    </row>
    <row r="225" spans="2:21" x14ac:dyDescent="0.2">
      <c r="B225" t="s">
        <v>1433</v>
      </c>
      <c r="C225" t="s">
        <v>12885</v>
      </c>
      <c r="D225" t="s">
        <v>330</v>
      </c>
      <c r="E225" t="s">
        <v>5073</v>
      </c>
      <c r="F225">
        <v>27065.9</v>
      </c>
      <c r="G225" t="s">
        <v>5063</v>
      </c>
      <c r="L225" t="s">
        <v>1433</v>
      </c>
      <c r="M225" t="s">
        <v>1525</v>
      </c>
      <c r="N225" t="s">
        <v>1524</v>
      </c>
      <c r="O225">
        <v>10</v>
      </c>
      <c r="R225" t="s">
        <v>4428</v>
      </c>
      <c r="S225" t="s">
        <v>6301</v>
      </c>
      <c r="T225" t="s">
        <v>13002</v>
      </c>
      <c r="U225">
        <v>23233.559999999998</v>
      </c>
    </row>
    <row r="226" spans="2:21" x14ac:dyDescent="0.2">
      <c r="B226" t="s">
        <v>1433</v>
      </c>
      <c r="C226" t="s">
        <v>12885</v>
      </c>
      <c r="D226" t="s">
        <v>353</v>
      </c>
      <c r="E226" t="s">
        <v>5074</v>
      </c>
      <c r="F226">
        <v>4019.75</v>
      </c>
      <c r="G226" t="s">
        <v>5069</v>
      </c>
      <c r="L226" t="s">
        <v>1433</v>
      </c>
      <c r="M226" t="s">
        <v>1526</v>
      </c>
      <c r="N226" t="s">
        <v>1527</v>
      </c>
      <c r="O226">
        <v>6</v>
      </c>
      <c r="R226" t="s">
        <v>4428</v>
      </c>
      <c r="S226" t="s">
        <v>5030</v>
      </c>
      <c r="T226" t="s">
        <v>12959</v>
      </c>
      <c r="U226">
        <v>112.6</v>
      </c>
    </row>
    <row r="227" spans="2:21" x14ac:dyDescent="0.2">
      <c r="B227" t="s">
        <v>1433</v>
      </c>
      <c r="C227" t="s">
        <v>12886</v>
      </c>
      <c r="D227" t="s">
        <v>613</v>
      </c>
      <c r="E227" t="s">
        <v>5098</v>
      </c>
      <c r="F227">
        <v>760</v>
      </c>
      <c r="G227" t="s">
        <v>2082</v>
      </c>
      <c r="L227" t="s">
        <v>1433</v>
      </c>
      <c r="M227" t="s">
        <v>1528</v>
      </c>
      <c r="N227" t="s">
        <v>1527</v>
      </c>
      <c r="O227">
        <v>12</v>
      </c>
      <c r="R227" t="s">
        <v>4428</v>
      </c>
      <c r="S227" t="s">
        <v>5138</v>
      </c>
      <c r="T227" t="s">
        <v>12960</v>
      </c>
      <c r="U227">
        <v>144.09</v>
      </c>
    </row>
    <row r="228" spans="2:21" x14ac:dyDescent="0.2">
      <c r="B228" t="s">
        <v>1433</v>
      </c>
      <c r="C228" t="s">
        <v>12886</v>
      </c>
      <c r="D228" t="s">
        <v>613</v>
      </c>
      <c r="E228" t="s">
        <v>5102</v>
      </c>
      <c r="F228">
        <v>1776</v>
      </c>
      <c r="G228" t="s">
        <v>2812</v>
      </c>
      <c r="L228" t="s">
        <v>1433</v>
      </c>
      <c r="M228" t="s">
        <v>1529</v>
      </c>
      <c r="N228" t="s">
        <v>1527</v>
      </c>
      <c r="O228">
        <v>12</v>
      </c>
      <c r="R228" t="s">
        <v>4428</v>
      </c>
      <c r="S228" t="s">
        <v>5138</v>
      </c>
      <c r="T228" t="s">
        <v>12969</v>
      </c>
      <c r="U228">
        <v>1553.3000000000002</v>
      </c>
    </row>
    <row r="229" spans="2:21" x14ac:dyDescent="0.2">
      <c r="B229" t="s">
        <v>1433</v>
      </c>
      <c r="C229" t="s">
        <v>12886</v>
      </c>
      <c r="D229" t="s">
        <v>613</v>
      </c>
      <c r="E229" t="s">
        <v>5105</v>
      </c>
      <c r="F229">
        <v>2064</v>
      </c>
      <c r="G229" t="s">
        <v>2814</v>
      </c>
      <c r="L229" t="s">
        <v>1433</v>
      </c>
      <c r="M229" t="s">
        <v>1530</v>
      </c>
      <c r="N229" t="s">
        <v>1527</v>
      </c>
      <c r="O229">
        <v>38</v>
      </c>
      <c r="R229" t="s">
        <v>4428</v>
      </c>
      <c r="S229" t="s">
        <v>5071</v>
      </c>
      <c r="T229" t="s">
        <v>12972</v>
      </c>
      <c r="U229">
        <v>10611.330000000004</v>
      </c>
    </row>
    <row r="230" spans="2:21" x14ac:dyDescent="0.2">
      <c r="B230" t="s">
        <v>1433</v>
      </c>
      <c r="C230" t="s">
        <v>12886</v>
      </c>
      <c r="D230" t="s">
        <v>613</v>
      </c>
      <c r="E230" t="s">
        <v>5108</v>
      </c>
      <c r="F230">
        <v>1200</v>
      </c>
      <c r="G230" t="s">
        <v>2815</v>
      </c>
      <c r="L230" t="s">
        <v>1433</v>
      </c>
      <c r="M230" t="s">
        <v>1496</v>
      </c>
      <c r="N230" t="s">
        <v>1531</v>
      </c>
      <c r="O230">
        <v>6</v>
      </c>
      <c r="R230" t="s">
        <v>4428</v>
      </c>
      <c r="S230" t="s">
        <v>11410</v>
      </c>
      <c r="T230" t="s">
        <v>12953</v>
      </c>
      <c r="U230">
        <v>731.9</v>
      </c>
    </row>
    <row r="231" spans="2:21" x14ac:dyDescent="0.2">
      <c r="B231" t="s">
        <v>1433</v>
      </c>
      <c r="C231" t="s">
        <v>12886</v>
      </c>
      <c r="D231" t="s">
        <v>613</v>
      </c>
      <c r="E231" t="s">
        <v>5109</v>
      </c>
      <c r="F231">
        <v>765</v>
      </c>
      <c r="G231" t="s">
        <v>2816</v>
      </c>
      <c r="L231" t="s">
        <v>1433</v>
      </c>
      <c r="M231" t="s">
        <v>1532</v>
      </c>
      <c r="N231" t="s">
        <v>1531</v>
      </c>
      <c r="O231">
        <v>12</v>
      </c>
      <c r="R231" t="s">
        <v>4428</v>
      </c>
      <c r="S231" t="s">
        <v>6840</v>
      </c>
      <c r="T231" t="s">
        <v>12966</v>
      </c>
      <c r="U231">
        <v>1772.55</v>
      </c>
    </row>
    <row r="232" spans="2:21" x14ac:dyDescent="0.2">
      <c r="B232" t="s">
        <v>1433</v>
      </c>
      <c r="C232" t="s">
        <v>12886</v>
      </c>
      <c r="D232" t="s">
        <v>613</v>
      </c>
      <c r="E232" t="s">
        <v>5110</v>
      </c>
      <c r="F232">
        <v>258</v>
      </c>
      <c r="G232" t="s">
        <v>2817</v>
      </c>
      <c r="L232" t="s">
        <v>1433</v>
      </c>
      <c r="M232" t="s">
        <v>1533</v>
      </c>
      <c r="N232" t="s">
        <v>1534</v>
      </c>
      <c r="O232">
        <v>6</v>
      </c>
      <c r="R232" t="s">
        <v>4428</v>
      </c>
      <c r="S232" t="s">
        <v>5106</v>
      </c>
      <c r="T232" t="s">
        <v>13000</v>
      </c>
      <c r="U232">
        <v>25671.959999999992</v>
      </c>
    </row>
    <row r="233" spans="2:21" x14ac:dyDescent="0.2">
      <c r="B233" t="s">
        <v>1433</v>
      </c>
      <c r="C233" t="s">
        <v>12886</v>
      </c>
      <c r="D233" t="s">
        <v>613</v>
      </c>
      <c r="E233" t="s">
        <v>5111</v>
      </c>
      <c r="F233">
        <v>1740</v>
      </c>
      <c r="G233" t="s">
        <v>2818</v>
      </c>
      <c r="L233" t="s">
        <v>1433</v>
      </c>
      <c r="M233" t="s">
        <v>1535</v>
      </c>
      <c r="N233" t="s">
        <v>1510</v>
      </c>
      <c r="O233">
        <v>6</v>
      </c>
      <c r="R233" t="s">
        <v>4428</v>
      </c>
      <c r="S233" t="s">
        <v>10220</v>
      </c>
      <c r="T233" t="s">
        <v>12973</v>
      </c>
      <c r="U233">
        <v>1791.64</v>
      </c>
    </row>
    <row r="234" spans="2:21" x14ac:dyDescent="0.2">
      <c r="B234" t="s">
        <v>1433</v>
      </c>
      <c r="C234" t="s">
        <v>12886</v>
      </c>
      <c r="D234" t="s">
        <v>554</v>
      </c>
      <c r="E234" t="s">
        <v>5112</v>
      </c>
      <c r="F234">
        <v>727.07</v>
      </c>
      <c r="G234" t="s">
        <v>2889</v>
      </c>
      <c r="L234" t="s">
        <v>1433</v>
      </c>
      <c r="M234" t="s">
        <v>1536</v>
      </c>
      <c r="N234" t="s">
        <v>1537</v>
      </c>
      <c r="O234">
        <v>80</v>
      </c>
      <c r="R234" t="s">
        <v>4428</v>
      </c>
      <c r="S234" t="s">
        <v>5035</v>
      </c>
      <c r="T234" t="s">
        <v>12962</v>
      </c>
      <c r="U234">
        <v>471.55999999999995</v>
      </c>
    </row>
    <row r="235" spans="2:21" x14ac:dyDescent="0.2">
      <c r="B235" t="s">
        <v>1433</v>
      </c>
      <c r="C235" t="s">
        <v>12886</v>
      </c>
      <c r="D235" t="s">
        <v>613</v>
      </c>
      <c r="E235" t="s">
        <v>5113</v>
      </c>
      <c r="F235">
        <v>2.6</v>
      </c>
      <c r="G235" t="s">
        <v>5114</v>
      </c>
      <c r="L235" t="s">
        <v>1433</v>
      </c>
      <c r="M235" t="s">
        <v>1538</v>
      </c>
      <c r="N235" t="s">
        <v>1444</v>
      </c>
      <c r="O235">
        <v>3</v>
      </c>
      <c r="R235" t="s">
        <v>4428</v>
      </c>
      <c r="S235" t="s">
        <v>5100</v>
      </c>
      <c r="T235" t="s">
        <v>13011</v>
      </c>
      <c r="U235">
        <v>12758.48</v>
      </c>
    </row>
    <row r="236" spans="2:21" x14ac:dyDescent="0.2">
      <c r="B236" t="s">
        <v>1433</v>
      </c>
      <c r="C236" t="s">
        <v>12886</v>
      </c>
      <c r="D236" t="s">
        <v>869</v>
      </c>
      <c r="E236" t="s">
        <v>5115</v>
      </c>
      <c r="F236">
        <v>918</v>
      </c>
      <c r="G236" t="s">
        <v>3090</v>
      </c>
      <c r="L236" t="s">
        <v>1433</v>
      </c>
      <c r="M236" t="s">
        <v>1539</v>
      </c>
      <c r="N236" t="s">
        <v>1444</v>
      </c>
      <c r="O236">
        <v>7</v>
      </c>
      <c r="R236" t="s">
        <v>4428</v>
      </c>
      <c r="S236" t="s">
        <v>5035</v>
      </c>
      <c r="T236" t="s">
        <v>13012</v>
      </c>
      <c r="U236">
        <v>8405.5899999999983</v>
      </c>
    </row>
    <row r="237" spans="2:21" x14ac:dyDescent="0.2">
      <c r="B237" t="s">
        <v>1433</v>
      </c>
      <c r="C237" t="s">
        <v>12886</v>
      </c>
      <c r="D237" t="s">
        <v>869</v>
      </c>
      <c r="E237" t="s">
        <v>5116</v>
      </c>
      <c r="F237">
        <v>308</v>
      </c>
      <c r="G237" t="s">
        <v>3092</v>
      </c>
      <c r="L237" t="s">
        <v>1433</v>
      </c>
      <c r="M237" t="s">
        <v>1540</v>
      </c>
      <c r="N237" t="s">
        <v>1444</v>
      </c>
      <c r="O237">
        <v>500</v>
      </c>
      <c r="R237" t="s">
        <v>4428</v>
      </c>
      <c r="S237" t="s">
        <v>7864</v>
      </c>
      <c r="T237" t="s">
        <v>12962</v>
      </c>
      <c r="U237">
        <v>2362.48</v>
      </c>
    </row>
    <row r="238" spans="2:21" x14ac:dyDescent="0.2">
      <c r="B238" t="s">
        <v>1433</v>
      </c>
      <c r="C238" t="s">
        <v>12886</v>
      </c>
      <c r="D238" t="s">
        <v>869</v>
      </c>
      <c r="E238" t="s">
        <v>5117</v>
      </c>
      <c r="F238">
        <v>224</v>
      </c>
      <c r="G238" t="s">
        <v>3093</v>
      </c>
      <c r="L238" t="s">
        <v>1433</v>
      </c>
      <c r="M238" t="s">
        <v>1541</v>
      </c>
      <c r="N238" t="s">
        <v>1444</v>
      </c>
      <c r="O238">
        <v>15</v>
      </c>
      <c r="R238" t="s">
        <v>4428</v>
      </c>
      <c r="S238" t="s">
        <v>10220</v>
      </c>
      <c r="T238" t="s">
        <v>12970</v>
      </c>
      <c r="U238">
        <v>5174.2700000000004</v>
      </c>
    </row>
    <row r="239" spans="2:21" x14ac:dyDescent="0.2">
      <c r="B239" t="s">
        <v>1433</v>
      </c>
      <c r="C239" t="s">
        <v>12886</v>
      </c>
      <c r="D239" t="s">
        <v>869</v>
      </c>
      <c r="E239" t="s">
        <v>5118</v>
      </c>
      <c r="F239">
        <v>672</v>
      </c>
      <c r="G239" t="s">
        <v>3096</v>
      </c>
      <c r="L239" t="s">
        <v>1433</v>
      </c>
      <c r="M239" t="s">
        <v>1542</v>
      </c>
      <c r="N239" t="s">
        <v>1444</v>
      </c>
      <c r="O239">
        <v>20</v>
      </c>
      <c r="R239" t="s">
        <v>4428</v>
      </c>
      <c r="S239" t="s">
        <v>10220</v>
      </c>
      <c r="T239" t="s">
        <v>12974</v>
      </c>
      <c r="U239">
        <v>1676.9800000000002</v>
      </c>
    </row>
    <row r="240" spans="2:21" x14ac:dyDescent="0.2">
      <c r="B240" t="s">
        <v>1433</v>
      </c>
      <c r="C240" t="s">
        <v>12886</v>
      </c>
      <c r="D240" t="s">
        <v>869</v>
      </c>
      <c r="E240" t="s">
        <v>5119</v>
      </c>
      <c r="F240">
        <v>980</v>
      </c>
      <c r="G240" t="s">
        <v>3116</v>
      </c>
      <c r="L240" t="s">
        <v>1433</v>
      </c>
      <c r="M240" t="s">
        <v>1543</v>
      </c>
      <c r="N240" t="s">
        <v>1444</v>
      </c>
      <c r="O240">
        <v>8</v>
      </c>
      <c r="R240" t="s">
        <v>4428</v>
      </c>
      <c r="S240" t="s">
        <v>7273</v>
      </c>
      <c r="T240" t="s">
        <v>12962</v>
      </c>
      <c r="U240">
        <v>189.02999999999997</v>
      </c>
    </row>
    <row r="241" spans="2:21" x14ac:dyDescent="0.2">
      <c r="B241" t="s">
        <v>1433</v>
      </c>
      <c r="C241" t="s">
        <v>12886</v>
      </c>
      <c r="D241" t="s">
        <v>869</v>
      </c>
      <c r="E241" t="s">
        <v>5120</v>
      </c>
      <c r="F241">
        <v>1120</v>
      </c>
      <c r="G241" t="s">
        <v>3118</v>
      </c>
      <c r="L241" t="s">
        <v>1433</v>
      </c>
      <c r="M241" t="s">
        <v>1544</v>
      </c>
      <c r="N241" t="s">
        <v>1444</v>
      </c>
      <c r="O241">
        <v>8</v>
      </c>
      <c r="R241" t="s">
        <v>4428</v>
      </c>
      <c r="S241" t="s">
        <v>10220</v>
      </c>
      <c r="T241" t="s">
        <v>12971</v>
      </c>
      <c r="U241">
        <v>2259.0799999999995</v>
      </c>
    </row>
    <row r="242" spans="2:21" x14ac:dyDescent="0.2">
      <c r="B242" t="s">
        <v>1433</v>
      </c>
      <c r="C242" t="s">
        <v>12886</v>
      </c>
      <c r="D242" t="s">
        <v>869</v>
      </c>
      <c r="E242" t="s">
        <v>5121</v>
      </c>
      <c r="F242">
        <v>540</v>
      </c>
      <c r="G242" t="s">
        <v>3163</v>
      </c>
      <c r="L242" t="s">
        <v>1433</v>
      </c>
      <c r="M242" t="s">
        <v>1545</v>
      </c>
      <c r="N242" t="s">
        <v>1546</v>
      </c>
      <c r="O242">
        <v>9</v>
      </c>
      <c r="R242" t="s">
        <v>4428</v>
      </c>
      <c r="S242" t="s">
        <v>5033</v>
      </c>
      <c r="T242" t="s">
        <v>12994</v>
      </c>
      <c r="U242">
        <v>6127.2999999999993</v>
      </c>
    </row>
    <row r="243" spans="2:21" x14ac:dyDescent="0.2">
      <c r="B243" t="s">
        <v>1433</v>
      </c>
      <c r="C243" t="s">
        <v>12886</v>
      </c>
      <c r="D243" t="s">
        <v>869</v>
      </c>
      <c r="E243" t="s">
        <v>5122</v>
      </c>
      <c r="F243">
        <v>945</v>
      </c>
      <c r="G243" t="s">
        <v>3192</v>
      </c>
      <c r="L243" t="s">
        <v>1433</v>
      </c>
      <c r="M243" t="s">
        <v>1547</v>
      </c>
      <c r="N243" t="s">
        <v>1546</v>
      </c>
      <c r="O243">
        <v>9</v>
      </c>
      <c r="R243" t="s">
        <v>4428</v>
      </c>
      <c r="S243" t="s">
        <v>11412</v>
      </c>
      <c r="T243" t="s">
        <v>12967</v>
      </c>
      <c r="U243">
        <v>3693.2799999999997</v>
      </c>
    </row>
    <row r="244" spans="2:21" x14ac:dyDescent="0.2">
      <c r="B244" t="s">
        <v>1433</v>
      </c>
      <c r="C244" t="s">
        <v>12886</v>
      </c>
      <c r="D244" t="s">
        <v>869</v>
      </c>
      <c r="E244" t="s">
        <v>5123</v>
      </c>
      <c r="F244">
        <v>1053</v>
      </c>
      <c r="G244" t="s">
        <v>3196</v>
      </c>
      <c r="L244" t="s">
        <v>1433</v>
      </c>
      <c r="M244" t="s">
        <v>1548</v>
      </c>
      <c r="N244" t="s">
        <v>1546</v>
      </c>
      <c r="O244">
        <v>2</v>
      </c>
      <c r="R244" t="s">
        <v>4428</v>
      </c>
      <c r="S244" t="s">
        <v>5037</v>
      </c>
      <c r="T244" t="s">
        <v>13010</v>
      </c>
      <c r="U244">
        <v>166.2</v>
      </c>
    </row>
    <row r="245" spans="2:21" x14ac:dyDescent="0.2">
      <c r="B245" t="s">
        <v>1433</v>
      </c>
      <c r="C245" t="s">
        <v>12886</v>
      </c>
      <c r="D245" t="s">
        <v>869</v>
      </c>
      <c r="E245" t="s">
        <v>5124</v>
      </c>
      <c r="F245">
        <v>1080</v>
      </c>
      <c r="G245" t="s">
        <v>3197</v>
      </c>
      <c r="L245" t="s">
        <v>1433</v>
      </c>
      <c r="M245" t="s">
        <v>1549</v>
      </c>
      <c r="N245" t="s">
        <v>1546</v>
      </c>
      <c r="O245">
        <v>7</v>
      </c>
      <c r="R245" t="s">
        <v>4428</v>
      </c>
      <c r="S245" t="s">
        <v>6986</v>
      </c>
      <c r="T245" t="s">
        <v>12979</v>
      </c>
      <c r="U245">
        <v>4586.9500000000007</v>
      </c>
    </row>
    <row r="246" spans="2:21" x14ac:dyDescent="0.2">
      <c r="B246" t="s">
        <v>1433</v>
      </c>
      <c r="C246" t="s">
        <v>12886</v>
      </c>
      <c r="D246" t="s">
        <v>869</v>
      </c>
      <c r="E246" t="s">
        <v>5125</v>
      </c>
      <c r="F246">
        <v>1110</v>
      </c>
      <c r="G246" t="s">
        <v>3221</v>
      </c>
      <c r="L246" t="s">
        <v>1433</v>
      </c>
      <c r="M246" t="s">
        <v>1550</v>
      </c>
      <c r="N246" t="s">
        <v>1551</v>
      </c>
      <c r="O246">
        <v>45</v>
      </c>
      <c r="R246" t="s">
        <v>4428</v>
      </c>
      <c r="S246" t="s">
        <v>6986</v>
      </c>
      <c r="T246" t="s">
        <v>12981</v>
      </c>
      <c r="U246">
        <v>1401.23</v>
      </c>
    </row>
    <row r="247" spans="2:21" x14ac:dyDescent="0.2">
      <c r="B247" t="s">
        <v>1433</v>
      </c>
      <c r="C247" t="s">
        <v>12886</v>
      </c>
      <c r="D247" t="s">
        <v>869</v>
      </c>
      <c r="E247" t="s">
        <v>5126</v>
      </c>
      <c r="F247">
        <v>1245</v>
      </c>
      <c r="G247" t="s">
        <v>3290</v>
      </c>
      <c r="L247" t="s">
        <v>1433</v>
      </c>
      <c r="M247" t="s">
        <v>1552</v>
      </c>
      <c r="N247" t="s">
        <v>1551</v>
      </c>
      <c r="O247">
        <v>15</v>
      </c>
      <c r="R247" t="s">
        <v>4428</v>
      </c>
      <c r="S247" t="s">
        <v>7898</v>
      </c>
      <c r="T247" t="s">
        <v>12984</v>
      </c>
      <c r="U247">
        <v>78.55</v>
      </c>
    </row>
    <row r="248" spans="2:21" x14ac:dyDescent="0.2">
      <c r="B248" t="s">
        <v>1433</v>
      </c>
      <c r="C248" t="s">
        <v>12886</v>
      </c>
      <c r="D248" t="s">
        <v>869</v>
      </c>
      <c r="E248" t="s">
        <v>5127</v>
      </c>
      <c r="F248">
        <v>1596</v>
      </c>
      <c r="G248" t="s">
        <v>3324</v>
      </c>
      <c r="L248" t="s">
        <v>1433</v>
      </c>
      <c r="M248" t="s">
        <v>1553</v>
      </c>
      <c r="N248" t="s">
        <v>1482</v>
      </c>
      <c r="O248">
        <v>41</v>
      </c>
      <c r="R248" t="s">
        <v>4428</v>
      </c>
      <c r="S248" t="s">
        <v>6840</v>
      </c>
      <c r="T248" t="s">
        <v>13008</v>
      </c>
      <c r="U248">
        <v>2983.8</v>
      </c>
    </row>
    <row r="249" spans="2:21" x14ac:dyDescent="0.2">
      <c r="B249" t="s">
        <v>1433</v>
      </c>
      <c r="C249" t="s">
        <v>12886</v>
      </c>
      <c r="D249" t="s">
        <v>869</v>
      </c>
      <c r="E249" t="s">
        <v>5128</v>
      </c>
      <c r="F249">
        <v>864</v>
      </c>
      <c r="G249" t="s">
        <v>3326</v>
      </c>
      <c r="L249" t="s">
        <v>1433</v>
      </c>
      <c r="M249" t="s">
        <v>1554</v>
      </c>
      <c r="N249" t="s">
        <v>1482</v>
      </c>
      <c r="O249">
        <v>41</v>
      </c>
      <c r="R249" t="s">
        <v>4428</v>
      </c>
      <c r="S249" t="s">
        <v>6986</v>
      </c>
      <c r="T249" t="s">
        <v>12976</v>
      </c>
      <c r="U249">
        <v>5763.5999999999985</v>
      </c>
    </row>
    <row r="250" spans="2:21" x14ac:dyDescent="0.2">
      <c r="B250" t="s">
        <v>1433</v>
      </c>
      <c r="C250" t="s">
        <v>12886</v>
      </c>
      <c r="D250" t="s">
        <v>613</v>
      </c>
      <c r="E250" t="s">
        <v>5129</v>
      </c>
      <c r="F250">
        <v>540</v>
      </c>
      <c r="G250" t="s">
        <v>3360</v>
      </c>
      <c r="L250" t="s">
        <v>1433</v>
      </c>
      <c r="M250" t="s">
        <v>1517</v>
      </c>
      <c r="N250" t="s">
        <v>1555</v>
      </c>
      <c r="O250">
        <v>50</v>
      </c>
      <c r="R250" t="s">
        <v>4428</v>
      </c>
      <c r="S250" t="s">
        <v>7493</v>
      </c>
      <c r="T250" t="s">
        <v>12994</v>
      </c>
      <c r="U250">
        <v>20541.009999999998</v>
      </c>
    </row>
    <row r="251" spans="2:21" x14ac:dyDescent="0.2">
      <c r="B251" t="s">
        <v>1433</v>
      </c>
      <c r="C251" t="s">
        <v>12886</v>
      </c>
      <c r="D251" t="s">
        <v>613</v>
      </c>
      <c r="E251" t="s">
        <v>5130</v>
      </c>
      <c r="F251">
        <v>3.9</v>
      </c>
      <c r="G251" t="s">
        <v>5131</v>
      </c>
      <c r="L251" t="s">
        <v>1433</v>
      </c>
      <c r="M251" t="s">
        <v>1514</v>
      </c>
      <c r="N251" t="s">
        <v>1555</v>
      </c>
      <c r="O251">
        <v>20</v>
      </c>
      <c r="R251" t="s">
        <v>4428</v>
      </c>
      <c r="S251" t="s">
        <v>10733</v>
      </c>
      <c r="T251" t="s">
        <v>12976</v>
      </c>
      <c r="U251">
        <v>2618.7799999999997</v>
      </c>
    </row>
    <row r="252" spans="2:21" x14ac:dyDescent="0.2">
      <c r="B252" t="s">
        <v>1433</v>
      </c>
      <c r="C252" t="s">
        <v>12886</v>
      </c>
      <c r="D252" t="s">
        <v>493</v>
      </c>
      <c r="E252" t="s">
        <v>5132</v>
      </c>
      <c r="F252">
        <v>22273.61</v>
      </c>
      <c r="G252" t="s">
        <v>5099</v>
      </c>
      <c r="L252" t="s">
        <v>1433</v>
      </c>
      <c r="M252" t="s">
        <v>1516</v>
      </c>
      <c r="N252" t="s">
        <v>1555</v>
      </c>
      <c r="O252">
        <v>20</v>
      </c>
      <c r="R252" t="s">
        <v>4428</v>
      </c>
      <c r="S252" t="s">
        <v>6986</v>
      </c>
      <c r="T252" t="s">
        <v>12978</v>
      </c>
      <c r="U252">
        <v>1749.8</v>
      </c>
    </row>
    <row r="253" spans="2:21" x14ac:dyDescent="0.2">
      <c r="B253" t="s">
        <v>1433</v>
      </c>
      <c r="C253" t="s">
        <v>12886</v>
      </c>
      <c r="D253" t="s">
        <v>441</v>
      </c>
      <c r="E253" t="s">
        <v>5133</v>
      </c>
      <c r="F253">
        <v>1148.7</v>
      </c>
      <c r="G253" t="s">
        <v>5103</v>
      </c>
      <c r="L253" t="s">
        <v>1433</v>
      </c>
      <c r="M253" t="s">
        <v>1556</v>
      </c>
      <c r="N253" t="s">
        <v>1555</v>
      </c>
      <c r="O253">
        <v>4</v>
      </c>
      <c r="R253" t="s">
        <v>4428</v>
      </c>
      <c r="S253" t="s">
        <v>6840</v>
      </c>
      <c r="T253" t="s">
        <v>12993</v>
      </c>
      <c r="U253">
        <v>2363.7800000000002</v>
      </c>
    </row>
    <row r="254" spans="2:21" x14ac:dyDescent="0.2">
      <c r="B254" t="s">
        <v>1433</v>
      </c>
      <c r="C254" t="s">
        <v>12886</v>
      </c>
      <c r="D254" t="s">
        <v>366</v>
      </c>
      <c r="E254" t="s">
        <v>5134</v>
      </c>
      <c r="F254">
        <v>5119.5</v>
      </c>
      <c r="G254" t="s">
        <v>5107</v>
      </c>
      <c r="L254" t="s">
        <v>1433</v>
      </c>
      <c r="M254" t="s">
        <v>1557</v>
      </c>
      <c r="N254" t="s">
        <v>1555</v>
      </c>
      <c r="O254">
        <v>3</v>
      </c>
      <c r="R254" t="s">
        <v>4428</v>
      </c>
      <c r="S254" t="s">
        <v>5035</v>
      </c>
      <c r="T254" t="s">
        <v>12980</v>
      </c>
      <c r="U254">
        <v>3142.29</v>
      </c>
    </row>
    <row r="255" spans="2:21" x14ac:dyDescent="0.2">
      <c r="B255" t="s">
        <v>1433</v>
      </c>
      <c r="C255" t="s">
        <v>12887</v>
      </c>
      <c r="D255" t="s">
        <v>554</v>
      </c>
      <c r="E255" t="s">
        <v>5139</v>
      </c>
      <c r="F255">
        <v>2496</v>
      </c>
      <c r="G255" t="s">
        <v>1396</v>
      </c>
      <c r="L255" t="s">
        <v>1433</v>
      </c>
      <c r="M255" t="s">
        <v>1558</v>
      </c>
      <c r="N255" t="s">
        <v>1555</v>
      </c>
      <c r="O255">
        <v>3</v>
      </c>
      <c r="R255" t="s">
        <v>4428</v>
      </c>
      <c r="S255" t="s">
        <v>7273</v>
      </c>
      <c r="T255" t="s">
        <v>13012</v>
      </c>
      <c r="U255">
        <v>3770.8999999999996</v>
      </c>
    </row>
    <row r="256" spans="2:21" x14ac:dyDescent="0.2">
      <c r="B256" t="s">
        <v>1433</v>
      </c>
      <c r="C256" t="s">
        <v>12887</v>
      </c>
      <c r="D256" t="s">
        <v>613</v>
      </c>
      <c r="E256" t="s">
        <v>5141</v>
      </c>
      <c r="F256">
        <v>22.6</v>
      </c>
      <c r="G256" t="s">
        <v>1243</v>
      </c>
      <c r="L256" t="s">
        <v>1433</v>
      </c>
      <c r="M256" t="s">
        <v>1559</v>
      </c>
      <c r="N256" t="s">
        <v>1555</v>
      </c>
      <c r="O256">
        <v>16</v>
      </c>
      <c r="R256" t="s">
        <v>4428</v>
      </c>
      <c r="S256" t="s">
        <v>5064</v>
      </c>
      <c r="T256" t="s">
        <v>12999</v>
      </c>
      <c r="U256">
        <v>4687.3599999999997</v>
      </c>
    </row>
    <row r="257" spans="2:21" x14ac:dyDescent="0.2">
      <c r="B257" t="s">
        <v>1433</v>
      </c>
      <c r="C257" t="s">
        <v>12887</v>
      </c>
      <c r="D257" t="s">
        <v>613</v>
      </c>
      <c r="E257" t="s">
        <v>5142</v>
      </c>
      <c r="F257">
        <v>30.1</v>
      </c>
      <c r="G257" t="s">
        <v>1245</v>
      </c>
      <c r="L257" t="s">
        <v>1433</v>
      </c>
      <c r="M257" t="s">
        <v>1560</v>
      </c>
      <c r="N257" t="s">
        <v>1555</v>
      </c>
      <c r="O257">
        <v>2</v>
      </c>
      <c r="R257" t="s">
        <v>4428</v>
      </c>
      <c r="S257" t="s">
        <v>10733</v>
      </c>
      <c r="T257" t="s">
        <v>12978</v>
      </c>
      <c r="U257">
        <v>960.4</v>
      </c>
    </row>
    <row r="258" spans="2:21" x14ac:dyDescent="0.2">
      <c r="B258" t="s">
        <v>1433</v>
      </c>
      <c r="C258" t="s">
        <v>12887</v>
      </c>
      <c r="D258" t="s">
        <v>613</v>
      </c>
      <c r="E258" t="s">
        <v>5143</v>
      </c>
      <c r="F258">
        <v>31.56</v>
      </c>
      <c r="G258" t="s">
        <v>2463</v>
      </c>
      <c r="L258" t="s">
        <v>1433</v>
      </c>
      <c r="M258" t="s">
        <v>1561</v>
      </c>
      <c r="N258" t="s">
        <v>1555</v>
      </c>
      <c r="O258">
        <v>5</v>
      </c>
      <c r="R258" t="s">
        <v>4428</v>
      </c>
      <c r="S258" t="s">
        <v>5035</v>
      </c>
      <c r="T258" t="s">
        <v>13013</v>
      </c>
      <c r="U258">
        <v>582.88</v>
      </c>
    </row>
    <row r="259" spans="2:21" x14ac:dyDescent="0.2">
      <c r="B259" t="s">
        <v>1433</v>
      </c>
      <c r="C259" t="s">
        <v>12887</v>
      </c>
      <c r="D259" t="s">
        <v>613</v>
      </c>
      <c r="E259" t="s">
        <v>5145</v>
      </c>
      <c r="F259">
        <v>22.6</v>
      </c>
      <c r="G259" t="s">
        <v>1243</v>
      </c>
      <c r="L259" t="s">
        <v>1433</v>
      </c>
      <c r="M259" t="s">
        <v>1562</v>
      </c>
      <c r="N259" t="s">
        <v>1555</v>
      </c>
      <c r="O259">
        <v>5</v>
      </c>
      <c r="R259" t="s">
        <v>4428</v>
      </c>
      <c r="S259" t="s">
        <v>7864</v>
      </c>
      <c r="T259" t="s">
        <v>12980</v>
      </c>
      <c r="U259">
        <v>3278.7000000000003</v>
      </c>
    </row>
    <row r="260" spans="2:21" x14ac:dyDescent="0.2">
      <c r="B260" t="s">
        <v>1433</v>
      </c>
      <c r="C260" t="s">
        <v>12887</v>
      </c>
      <c r="D260" t="s">
        <v>613</v>
      </c>
      <c r="E260" t="s">
        <v>5147</v>
      </c>
      <c r="F260">
        <v>30.1</v>
      </c>
      <c r="G260" t="s">
        <v>1245</v>
      </c>
      <c r="L260" t="s">
        <v>1433</v>
      </c>
      <c r="M260" t="s">
        <v>1563</v>
      </c>
      <c r="N260" t="s">
        <v>1555</v>
      </c>
      <c r="O260">
        <v>2</v>
      </c>
      <c r="R260" t="s">
        <v>4428</v>
      </c>
      <c r="S260" t="s">
        <v>5106</v>
      </c>
      <c r="T260" t="s">
        <v>13014</v>
      </c>
      <c r="U260">
        <v>566.88</v>
      </c>
    </row>
    <row r="261" spans="2:21" x14ac:dyDescent="0.2">
      <c r="B261" t="s">
        <v>1433</v>
      </c>
      <c r="C261" t="s">
        <v>12887</v>
      </c>
      <c r="D261" t="s">
        <v>1137</v>
      </c>
      <c r="E261" t="s">
        <v>5148</v>
      </c>
      <c r="F261">
        <v>104</v>
      </c>
      <c r="G261" t="s">
        <v>2479</v>
      </c>
      <c r="L261" t="s">
        <v>1433</v>
      </c>
      <c r="M261" t="s">
        <v>1564</v>
      </c>
      <c r="N261" t="s">
        <v>1555</v>
      </c>
      <c r="O261">
        <v>2</v>
      </c>
      <c r="R261" t="s">
        <v>4428</v>
      </c>
      <c r="S261" t="s">
        <v>5030</v>
      </c>
      <c r="T261" t="s">
        <v>12956</v>
      </c>
      <c r="U261">
        <v>1245.08</v>
      </c>
    </row>
    <row r="262" spans="2:21" x14ac:dyDescent="0.2">
      <c r="B262" t="s">
        <v>1433</v>
      </c>
      <c r="C262" t="s">
        <v>12887</v>
      </c>
      <c r="D262" t="s">
        <v>1137</v>
      </c>
      <c r="E262" t="s">
        <v>5149</v>
      </c>
      <c r="F262">
        <v>159</v>
      </c>
      <c r="G262" t="s">
        <v>2484</v>
      </c>
      <c r="L262" t="s">
        <v>1433</v>
      </c>
      <c r="M262" t="s">
        <v>1565</v>
      </c>
      <c r="N262" t="s">
        <v>1555</v>
      </c>
      <c r="O262">
        <v>49</v>
      </c>
      <c r="R262" t="s">
        <v>4428</v>
      </c>
      <c r="S262" t="s">
        <v>11241</v>
      </c>
      <c r="T262" t="s">
        <v>12962</v>
      </c>
      <c r="U262">
        <v>182.14999999999998</v>
      </c>
    </row>
    <row r="263" spans="2:21" x14ac:dyDescent="0.2">
      <c r="B263" t="s">
        <v>1433</v>
      </c>
      <c r="C263" t="s">
        <v>12887</v>
      </c>
      <c r="D263" t="s">
        <v>1169</v>
      </c>
      <c r="E263" t="s">
        <v>5150</v>
      </c>
      <c r="F263">
        <v>992</v>
      </c>
      <c r="G263" t="s">
        <v>1400</v>
      </c>
      <c r="L263" t="s">
        <v>1433</v>
      </c>
      <c r="M263" t="s">
        <v>1566</v>
      </c>
      <c r="N263" t="s">
        <v>1555</v>
      </c>
      <c r="O263">
        <v>16</v>
      </c>
      <c r="R263" t="s">
        <v>4428</v>
      </c>
      <c r="S263" t="s">
        <v>7273</v>
      </c>
      <c r="T263" t="s">
        <v>13013</v>
      </c>
      <c r="U263">
        <v>291.44</v>
      </c>
    </row>
    <row r="264" spans="2:21" x14ac:dyDescent="0.2">
      <c r="B264" t="s">
        <v>1433</v>
      </c>
      <c r="C264" t="s">
        <v>12887</v>
      </c>
      <c r="D264" t="s">
        <v>1137</v>
      </c>
      <c r="E264" t="s">
        <v>5151</v>
      </c>
      <c r="F264">
        <v>432</v>
      </c>
      <c r="G264" t="s">
        <v>2540</v>
      </c>
      <c r="L264" t="s">
        <v>1433</v>
      </c>
      <c r="M264" t="s">
        <v>1567</v>
      </c>
      <c r="N264" t="s">
        <v>1555</v>
      </c>
      <c r="O264">
        <v>16</v>
      </c>
      <c r="R264" t="s">
        <v>4428</v>
      </c>
      <c r="S264" t="s">
        <v>5215</v>
      </c>
      <c r="T264" t="s">
        <v>13000</v>
      </c>
      <c r="U264">
        <v>2028.3799999999999</v>
      </c>
    </row>
    <row r="265" spans="2:21" x14ac:dyDescent="0.2">
      <c r="B265" t="s">
        <v>1433</v>
      </c>
      <c r="C265" t="s">
        <v>12887</v>
      </c>
      <c r="D265" t="s">
        <v>613</v>
      </c>
      <c r="E265" t="s">
        <v>5153</v>
      </c>
      <c r="F265">
        <v>24</v>
      </c>
      <c r="G265" t="s">
        <v>1619</v>
      </c>
      <c r="L265" t="s">
        <v>1433</v>
      </c>
      <c r="M265" t="s">
        <v>1568</v>
      </c>
      <c r="N265" t="s">
        <v>1555</v>
      </c>
      <c r="O265">
        <v>38</v>
      </c>
      <c r="R265" t="s">
        <v>4428</v>
      </c>
      <c r="S265" t="s">
        <v>5221</v>
      </c>
      <c r="T265" t="s">
        <v>12994</v>
      </c>
      <c r="U265">
        <v>10461.499999999998</v>
      </c>
    </row>
    <row r="266" spans="2:21" x14ac:dyDescent="0.2">
      <c r="B266" t="s">
        <v>1433</v>
      </c>
      <c r="C266" t="s">
        <v>12887</v>
      </c>
      <c r="D266" t="s">
        <v>1137</v>
      </c>
      <c r="E266" t="s">
        <v>5154</v>
      </c>
      <c r="F266">
        <v>784</v>
      </c>
      <c r="G266" t="s">
        <v>2623</v>
      </c>
      <c r="L266" t="s">
        <v>1433</v>
      </c>
      <c r="M266" t="s">
        <v>1569</v>
      </c>
      <c r="N266" t="s">
        <v>1555</v>
      </c>
      <c r="O266">
        <v>4</v>
      </c>
      <c r="R266" t="s">
        <v>4428</v>
      </c>
      <c r="S266" t="s">
        <v>5213</v>
      </c>
      <c r="T266" t="s">
        <v>13011</v>
      </c>
      <c r="U266">
        <v>878.87999999999988</v>
      </c>
    </row>
    <row r="267" spans="2:21" x14ac:dyDescent="0.2">
      <c r="B267" t="s">
        <v>1433</v>
      </c>
      <c r="C267" t="s">
        <v>12887</v>
      </c>
      <c r="D267" t="s">
        <v>1137</v>
      </c>
      <c r="E267" t="s">
        <v>5155</v>
      </c>
      <c r="F267">
        <v>240</v>
      </c>
      <c r="G267" t="s">
        <v>2634</v>
      </c>
      <c r="L267" t="s">
        <v>1433</v>
      </c>
      <c r="M267" t="s">
        <v>1570</v>
      </c>
      <c r="N267" t="s">
        <v>1555</v>
      </c>
      <c r="O267">
        <v>4</v>
      </c>
      <c r="R267" t="s">
        <v>4428</v>
      </c>
      <c r="S267" t="s">
        <v>7864</v>
      </c>
      <c r="T267" t="s">
        <v>12995</v>
      </c>
      <c r="U267">
        <v>1338.81</v>
      </c>
    </row>
    <row r="268" spans="2:21" x14ac:dyDescent="0.2">
      <c r="B268" t="s">
        <v>1433</v>
      </c>
      <c r="C268" t="s">
        <v>12887</v>
      </c>
      <c r="D268" t="s">
        <v>613</v>
      </c>
      <c r="E268" t="s">
        <v>5156</v>
      </c>
      <c r="F268">
        <v>53.8</v>
      </c>
      <c r="G268" t="s">
        <v>1513</v>
      </c>
      <c r="L268" t="s">
        <v>1433</v>
      </c>
      <c r="M268" t="s">
        <v>1571</v>
      </c>
      <c r="N268" t="s">
        <v>1555</v>
      </c>
      <c r="O268">
        <v>4</v>
      </c>
      <c r="R268" t="s">
        <v>4428</v>
      </c>
      <c r="S268" t="s">
        <v>5106</v>
      </c>
      <c r="T268" t="s">
        <v>13015</v>
      </c>
      <c r="U268">
        <v>318.87</v>
      </c>
    </row>
    <row r="269" spans="2:21" x14ac:dyDescent="0.2">
      <c r="B269" t="s">
        <v>1433</v>
      </c>
      <c r="C269" t="s">
        <v>12887</v>
      </c>
      <c r="D269" t="s">
        <v>613</v>
      </c>
      <c r="E269" t="s">
        <v>5157</v>
      </c>
      <c r="F269">
        <v>50.54</v>
      </c>
      <c r="G269" t="s">
        <v>1956</v>
      </c>
      <c r="L269" t="s">
        <v>1433</v>
      </c>
      <c r="M269" t="s">
        <v>1572</v>
      </c>
      <c r="N269" t="s">
        <v>1555</v>
      </c>
      <c r="O269">
        <v>20</v>
      </c>
      <c r="R269" t="s">
        <v>4428</v>
      </c>
      <c r="S269" t="s">
        <v>5040</v>
      </c>
      <c r="T269" t="s">
        <v>12996</v>
      </c>
      <c r="U269">
        <v>3209.75</v>
      </c>
    </row>
    <row r="270" spans="2:21" x14ac:dyDescent="0.2">
      <c r="B270" t="s">
        <v>1433</v>
      </c>
      <c r="C270" t="s">
        <v>12887</v>
      </c>
      <c r="D270" t="s">
        <v>1137</v>
      </c>
      <c r="E270" t="s">
        <v>5158</v>
      </c>
      <c r="F270">
        <v>520</v>
      </c>
      <c r="G270" t="s">
        <v>2695</v>
      </c>
      <c r="L270" t="s">
        <v>1433</v>
      </c>
      <c r="M270" t="s">
        <v>1573</v>
      </c>
      <c r="N270" t="s">
        <v>1555</v>
      </c>
      <c r="O270">
        <v>4</v>
      </c>
      <c r="R270" t="s">
        <v>4428</v>
      </c>
      <c r="S270" t="s">
        <v>5215</v>
      </c>
      <c r="T270" t="s">
        <v>13010</v>
      </c>
      <c r="U270">
        <v>3046.98</v>
      </c>
    </row>
    <row r="271" spans="2:21" x14ac:dyDescent="0.2">
      <c r="B271" t="s">
        <v>1433</v>
      </c>
      <c r="C271" t="s">
        <v>12887</v>
      </c>
      <c r="D271" t="s">
        <v>1137</v>
      </c>
      <c r="E271" t="s">
        <v>5159</v>
      </c>
      <c r="F271">
        <v>520</v>
      </c>
      <c r="G271" t="s">
        <v>2697</v>
      </c>
      <c r="L271" t="s">
        <v>1433</v>
      </c>
      <c r="M271" t="s">
        <v>1574</v>
      </c>
      <c r="N271" t="s">
        <v>1555</v>
      </c>
      <c r="O271">
        <v>4</v>
      </c>
      <c r="R271" t="s">
        <v>4428</v>
      </c>
      <c r="S271" t="s">
        <v>7864</v>
      </c>
      <c r="T271" t="s">
        <v>13012</v>
      </c>
      <c r="U271">
        <v>2695.82</v>
      </c>
    </row>
    <row r="272" spans="2:21" x14ac:dyDescent="0.2">
      <c r="B272" t="s">
        <v>1433</v>
      </c>
      <c r="C272" t="s">
        <v>12887</v>
      </c>
      <c r="D272" t="s">
        <v>1169</v>
      </c>
      <c r="E272" t="s">
        <v>5160</v>
      </c>
      <c r="F272">
        <v>184</v>
      </c>
      <c r="G272" t="s">
        <v>2742</v>
      </c>
      <c r="L272" t="s">
        <v>1433</v>
      </c>
      <c r="M272" t="s">
        <v>1575</v>
      </c>
      <c r="N272" t="s">
        <v>1555</v>
      </c>
      <c r="O272">
        <v>2</v>
      </c>
      <c r="R272" t="s">
        <v>4428</v>
      </c>
      <c r="S272" t="s">
        <v>5528</v>
      </c>
      <c r="T272" t="s">
        <v>13010</v>
      </c>
      <c r="U272">
        <v>425.15999999999997</v>
      </c>
    </row>
    <row r="273" spans="2:21" x14ac:dyDescent="0.2">
      <c r="B273" t="s">
        <v>1433</v>
      </c>
      <c r="C273" t="s">
        <v>12887</v>
      </c>
      <c r="D273" t="s">
        <v>617</v>
      </c>
      <c r="E273" t="s">
        <v>5161</v>
      </c>
      <c r="F273">
        <v>46</v>
      </c>
      <c r="G273" t="s">
        <v>2744</v>
      </c>
      <c r="L273" t="s">
        <v>1433</v>
      </c>
      <c r="M273" t="s">
        <v>1576</v>
      </c>
      <c r="N273" t="s">
        <v>1555</v>
      </c>
      <c r="O273">
        <v>2</v>
      </c>
      <c r="R273" t="s">
        <v>4428</v>
      </c>
      <c r="S273" t="s">
        <v>5030</v>
      </c>
      <c r="T273" t="s">
        <v>13011</v>
      </c>
      <c r="U273">
        <v>146.47999999999999</v>
      </c>
    </row>
    <row r="274" spans="2:21" x14ac:dyDescent="0.2">
      <c r="B274" t="s">
        <v>1433</v>
      </c>
      <c r="C274" t="s">
        <v>12887</v>
      </c>
      <c r="D274" t="s">
        <v>1137</v>
      </c>
      <c r="E274" t="s">
        <v>5162</v>
      </c>
      <c r="F274">
        <v>156</v>
      </c>
      <c r="G274" t="s">
        <v>2770</v>
      </c>
      <c r="L274" t="s">
        <v>1433</v>
      </c>
      <c r="M274" t="s">
        <v>1518</v>
      </c>
      <c r="N274" t="s">
        <v>1555</v>
      </c>
      <c r="O274">
        <v>8</v>
      </c>
      <c r="R274" t="s">
        <v>4428</v>
      </c>
      <c r="S274" t="s">
        <v>5035</v>
      </c>
      <c r="T274" t="s">
        <v>12997</v>
      </c>
      <c r="U274">
        <v>72.86</v>
      </c>
    </row>
    <row r="275" spans="2:21" x14ac:dyDescent="0.2">
      <c r="B275" t="s">
        <v>1433</v>
      </c>
      <c r="C275" t="s">
        <v>12887</v>
      </c>
      <c r="D275" t="s">
        <v>1137</v>
      </c>
      <c r="E275" t="s">
        <v>5163</v>
      </c>
      <c r="F275">
        <v>1620</v>
      </c>
      <c r="G275" t="s">
        <v>2780</v>
      </c>
      <c r="L275" t="s">
        <v>1433</v>
      </c>
      <c r="M275" t="s">
        <v>1577</v>
      </c>
      <c r="N275" t="s">
        <v>1555</v>
      </c>
      <c r="O275">
        <v>26</v>
      </c>
      <c r="R275" t="s">
        <v>4428</v>
      </c>
      <c r="S275" t="s">
        <v>5528</v>
      </c>
      <c r="T275" t="s">
        <v>13000</v>
      </c>
      <c r="U275">
        <v>150.58000000000004</v>
      </c>
    </row>
    <row r="276" spans="2:21" x14ac:dyDescent="0.2">
      <c r="B276" t="s">
        <v>1433</v>
      </c>
      <c r="C276" t="s">
        <v>12887</v>
      </c>
      <c r="D276" t="s">
        <v>613</v>
      </c>
      <c r="E276" t="s">
        <v>5164</v>
      </c>
      <c r="F276">
        <v>95.54</v>
      </c>
      <c r="G276" t="s">
        <v>1509</v>
      </c>
      <c r="L276" t="s">
        <v>1433</v>
      </c>
      <c r="M276" t="s">
        <v>1578</v>
      </c>
      <c r="N276" t="s">
        <v>1555</v>
      </c>
      <c r="O276">
        <v>12</v>
      </c>
      <c r="R276" t="s">
        <v>4428</v>
      </c>
      <c r="S276" t="s">
        <v>5651</v>
      </c>
      <c r="T276" t="s">
        <v>12962</v>
      </c>
      <c r="U276">
        <v>437.15999999999997</v>
      </c>
    </row>
    <row r="277" spans="2:21" x14ac:dyDescent="0.2">
      <c r="B277" t="s">
        <v>1433</v>
      </c>
      <c r="C277" t="s">
        <v>12887</v>
      </c>
      <c r="D277" t="s">
        <v>1144</v>
      </c>
      <c r="E277" t="s">
        <v>5165</v>
      </c>
      <c r="F277">
        <v>189.75</v>
      </c>
      <c r="G277" t="s">
        <v>2191</v>
      </c>
      <c r="L277" t="s">
        <v>1433</v>
      </c>
      <c r="M277" t="s">
        <v>1579</v>
      </c>
      <c r="N277" t="s">
        <v>1555</v>
      </c>
      <c r="O277">
        <v>80</v>
      </c>
      <c r="R277" t="s">
        <v>4428</v>
      </c>
      <c r="S277" t="s">
        <v>7864</v>
      </c>
      <c r="T277" t="s">
        <v>12958</v>
      </c>
      <c r="U277">
        <v>1202.19</v>
      </c>
    </row>
    <row r="278" spans="2:21" x14ac:dyDescent="0.2">
      <c r="B278" t="s">
        <v>1433</v>
      </c>
      <c r="C278" t="s">
        <v>12887</v>
      </c>
      <c r="D278" t="s">
        <v>1144</v>
      </c>
      <c r="E278" t="s">
        <v>5166</v>
      </c>
      <c r="F278">
        <v>92</v>
      </c>
      <c r="G278" t="s">
        <v>2194</v>
      </c>
      <c r="L278" t="s">
        <v>1433</v>
      </c>
      <c r="M278" t="s">
        <v>1580</v>
      </c>
      <c r="N278" t="s">
        <v>1581</v>
      </c>
      <c r="O278">
        <v>900</v>
      </c>
      <c r="R278" t="s">
        <v>4428</v>
      </c>
      <c r="S278" t="s">
        <v>5235</v>
      </c>
      <c r="T278" t="s">
        <v>13012</v>
      </c>
      <c r="U278">
        <v>1985.44</v>
      </c>
    </row>
    <row r="279" spans="2:21" x14ac:dyDescent="0.2">
      <c r="B279" t="s">
        <v>1433</v>
      </c>
      <c r="C279" t="s">
        <v>12887</v>
      </c>
      <c r="D279" t="s">
        <v>1137</v>
      </c>
      <c r="E279" t="s">
        <v>5167</v>
      </c>
      <c r="F279">
        <v>1472</v>
      </c>
      <c r="G279" t="s">
        <v>2925</v>
      </c>
      <c r="L279" t="s">
        <v>1433</v>
      </c>
      <c r="M279" t="s">
        <v>1582</v>
      </c>
      <c r="N279" t="s">
        <v>1581</v>
      </c>
      <c r="O279">
        <v>100</v>
      </c>
      <c r="R279" t="s">
        <v>4428</v>
      </c>
      <c r="S279" t="s">
        <v>7870</v>
      </c>
      <c r="T279" t="s">
        <v>12978</v>
      </c>
      <c r="U279">
        <v>686</v>
      </c>
    </row>
    <row r="280" spans="2:21" x14ac:dyDescent="0.2">
      <c r="B280" t="s">
        <v>1433</v>
      </c>
      <c r="C280" t="s">
        <v>12887</v>
      </c>
      <c r="D280" t="s">
        <v>1137</v>
      </c>
      <c r="E280" t="s">
        <v>5168</v>
      </c>
      <c r="F280">
        <v>108</v>
      </c>
      <c r="G280" t="s">
        <v>2926</v>
      </c>
      <c r="L280" t="s">
        <v>1433</v>
      </c>
      <c r="M280" t="s">
        <v>1406</v>
      </c>
      <c r="N280" t="s">
        <v>1583</v>
      </c>
      <c r="O280">
        <v>400</v>
      </c>
      <c r="R280" t="s">
        <v>4428</v>
      </c>
      <c r="S280" t="s">
        <v>7879</v>
      </c>
      <c r="T280" t="s">
        <v>12978</v>
      </c>
      <c r="U280">
        <v>686</v>
      </c>
    </row>
    <row r="281" spans="2:21" x14ac:dyDescent="0.2">
      <c r="B281" t="s">
        <v>1433</v>
      </c>
      <c r="C281" t="s">
        <v>12887</v>
      </c>
      <c r="D281" t="s">
        <v>1144</v>
      </c>
      <c r="E281" t="s">
        <v>5169</v>
      </c>
      <c r="F281">
        <v>304.75</v>
      </c>
      <c r="G281" t="s">
        <v>2200</v>
      </c>
      <c r="L281" t="s">
        <v>1433</v>
      </c>
      <c r="M281" t="s">
        <v>1533</v>
      </c>
      <c r="N281" t="s">
        <v>1584</v>
      </c>
      <c r="O281">
        <v>6</v>
      </c>
      <c r="R281" t="s">
        <v>4428</v>
      </c>
      <c r="S281" t="s">
        <v>10733</v>
      </c>
      <c r="T281" t="s">
        <v>12970</v>
      </c>
      <c r="U281">
        <v>240.09999999999997</v>
      </c>
    </row>
    <row r="282" spans="2:21" x14ac:dyDescent="0.2">
      <c r="B282" t="s">
        <v>1433</v>
      </c>
      <c r="C282" t="s">
        <v>12887</v>
      </c>
      <c r="D282" t="s">
        <v>1137</v>
      </c>
      <c r="E282" t="s">
        <v>5170</v>
      </c>
      <c r="F282">
        <v>170</v>
      </c>
      <c r="G282" t="s">
        <v>3034</v>
      </c>
      <c r="L282" t="s">
        <v>1433</v>
      </c>
      <c r="M282" t="s">
        <v>1585</v>
      </c>
      <c r="N282" t="s">
        <v>1586</v>
      </c>
      <c r="O282">
        <v>100</v>
      </c>
      <c r="R282" t="s">
        <v>4428</v>
      </c>
      <c r="S282" t="s">
        <v>11241</v>
      </c>
      <c r="T282" t="s">
        <v>12980</v>
      </c>
      <c r="U282">
        <v>2249.5500000000002</v>
      </c>
    </row>
    <row r="283" spans="2:21" x14ac:dyDescent="0.2">
      <c r="B283" t="s">
        <v>1433</v>
      </c>
      <c r="C283" t="s">
        <v>12887</v>
      </c>
      <c r="D283" t="s">
        <v>1137</v>
      </c>
      <c r="E283" t="s">
        <v>5171</v>
      </c>
      <c r="F283">
        <v>844</v>
      </c>
      <c r="G283" t="s">
        <v>3036</v>
      </c>
      <c r="L283" t="s">
        <v>1433</v>
      </c>
      <c r="M283" t="s">
        <v>1587</v>
      </c>
      <c r="N283" t="s">
        <v>1586</v>
      </c>
      <c r="O283">
        <v>100</v>
      </c>
      <c r="R283" t="s">
        <v>4428</v>
      </c>
      <c r="S283" t="s">
        <v>7870</v>
      </c>
      <c r="T283" t="s">
        <v>12976</v>
      </c>
      <c r="U283">
        <v>411.59999999999997</v>
      </c>
    </row>
    <row r="284" spans="2:21" x14ac:dyDescent="0.2">
      <c r="B284" t="s">
        <v>1433</v>
      </c>
      <c r="C284" t="s">
        <v>12887</v>
      </c>
      <c r="D284" t="s">
        <v>1137</v>
      </c>
      <c r="E284" t="s">
        <v>5172</v>
      </c>
      <c r="F284">
        <v>276</v>
      </c>
      <c r="G284" t="s">
        <v>3003</v>
      </c>
      <c r="L284" t="s">
        <v>1433</v>
      </c>
      <c r="M284" t="s">
        <v>1588</v>
      </c>
      <c r="N284" t="s">
        <v>1586</v>
      </c>
      <c r="O284">
        <v>35</v>
      </c>
      <c r="R284" t="s">
        <v>4428</v>
      </c>
      <c r="S284" t="s">
        <v>5064</v>
      </c>
      <c r="T284" t="s">
        <v>12997</v>
      </c>
      <c r="U284">
        <v>1245.08</v>
      </c>
    </row>
    <row r="285" spans="2:21" x14ac:dyDescent="0.2">
      <c r="B285" t="s">
        <v>1433</v>
      </c>
      <c r="C285" t="s">
        <v>12887</v>
      </c>
      <c r="D285" t="s">
        <v>613</v>
      </c>
      <c r="E285" t="s">
        <v>5173</v>
      </c>
      <c r="F285">
        <v>2180</v>
      </c>
      <c r="G285" t="s">
        <v>3084</v>
      </c>
      <c r="L285" t="s">
        <v>1433</v>
      </c>
      <c r="M285" t="s">
        <v>1216</v>
      </c>
      <c r="N285" t="s">
        <v>1589</v>
      </c>
      <c r="O285">
        <v>1</v>
      </c>
      <c r="R285" t="s">
        <v>4428</v>
      </c>
      <c r="S285" t="s">
        <v>10220</v>
      </c>
      <c r="T285" t="s">
        <v>12976</v>
      </c>
      <c r="U285">
        <v>1527.11</v>
      </c>
    </row>
    <row r="286" spans="2:21" x14ac:dyDescent="0.2">
      <c r="B286" t="s">
        <v>1433</v>
      </c>
      <c r="C286" t="s">
        <v>12887</v>
      </c>
      <c r="D286" t="s">
        <v>1137</v>
      </c>
      <c r="E286" t="s">
        <v>5174</v>
      </c>
      <c r="F286">
        <v>200</v>
      </c>
      <c r="G286" t="s">
        <v>3114</v>
      </c>
      <c r="L286" t="s">
        <v>1433</v>
      </c>
      <c r="M286" t="s">
        <v>1590</v>
      </c>
      <c r="N286" t="s">
        <v>1490</v>
      </c>
      <c r="O286">
        <v>18</v>
      </c>
    </row>
    <row r="287" spans="2:21" x14ac:dyDescent="0.2">
      <c r="B287" t="s">
        <v>1433</v>
      </c>
      <c r="C287" t="s">
        <v>12887</v>
      </c>
      <c r="D287" t="s">
        <v>613</v>
      </c>
      <c r="E287" t="s">
        <v>5175</v>
      </c>
      <c r="F287">
        <v>936</v>
      </c>
      <c r="G287" t="s">
        <v>3355</v>
      </c>
      <c r="L287" t="s">
        <v>1433</v>
      </c>
      <c r="M287" t="s">
        <v>1591</v>
      </c>
      <c r="N287" t="s">
        <v>1592</v>
      </c>
      <c r="O287">
        <v>7</v>
      </c>
    </row>
    <row r="288" spans="2:21" x14ac:dyDescent="0.2">
      <c r="B288" t="s">
        <v>1433</v>
      </c>
      <c r="C288" t="s">
        <v>12887</v>
      </c>
      <c r="D288" t="s">
        <v>1137</v>
      </c>
      <c r="E288" t="s">
        <v>5176</v>
      </c>
      <c r="F288">
        <v>62</v>
      </c>
      <c r="G288" t="s">
        <v>3179</v>
      </c>
      <c r="L288" t="s">
        <v>1433</v>
      </c>
      <c r="M288" t="s">
        <v>1593</v>
      </c>
      <c r="N288" t="s">
        <v>1592</v>
      </c>
      <c r="O288">
        <v>100</v>
      </c>
    </row>
    <row r="289" spans="2:15" x14ac:dyDescent="0.2">
      <c r="B289" t="s">
        <v>1433</v>
      </c>
      <c r="C289" t="s">
        <v>12887</v>
      </c>
      <c r="D289" t="s">
        <v>613</v>
      </c>
      <c r="E289" t="s">
        <v>5177</v>
      </c>
      <c r="F289">
        <v>4.3499999999999996</v>
      </c>
      <c r="G289" t="s">
        <v>5178</v>
      </c>
      <c r="L289" t="s">
        <v>1433</v>
      </c>
      <c r="M289" t="s">
        <v>1594</v>
      </c>
      <c r="N289" t="s">
        <v>1592</v>
      </c>
      <c r="O289">
        <v>50</v>
      </c>
    </row>
    <row r="290" spans="2:15" x14ac:dyDescent="0.2">
      <c r="B290" t="s">
        <v>1433</v>
      </c>
      <c r="C290" t="s">
        <v>12887</v>
      </c>
      <c r="D290" t="s">
        <v>1137</v>
      </c>
      <c r="E290" t="s">
        <v>5179</v>
      </c>
      <c r="F290">
        <v>1574</v>
      </c>
      <c r="G290" t="s">
        <v>3228</v>
      </c>
      <c r="L290" t="s">
        <v>1433</v>
      </c>
      <c r="M290" t="s">
        <v>1595</v>
      </c>
      <c r="N290" t="s">
        <v>1596</v>
      </c>
      <c r="O290">
        <v>8</v>
      </c>
    </row>
    <row r="291" spans="2:15" x14ac:dyDescent="0.2">
      <c r="B291" t="s">
        <v>1433</v>
      </c>
      <c r="C291" t="s">
        <v>12887</v>
      </c>
      <c r="D291" t="s">
        <v>1137</v>
      </c>
      <c r="E291" t="s">
        <v>5180</v>
      </c>
      <c r="F291">
        <v>148</v>
      </c>
      <c r="G291" t="s">
        <v>3266</v>
      </c>
      <c r="L291" t="s">
        <v>1433</v>
      </c>
      <c r="M291" t="s">
        <v>1597</v>
      </c>
      <c r="N291" t="s">
        <v>1596</v>
      </c>
      <c r="O291">
        <v>6</v>
      </c>
    </row>
    <row r="292" spans="2:15" x14ac:dyDescent="0.2">
      <c r="B292" t="s">
        <v>1433</v>
      </c>
      <c r="C292" t="s">
        <v>12887</v>
      </c>
      <c r="D292" t="s">
        <v>1137</v>
      </c>
      <c r="E292" t="s">
        <v>5181</v>
      </c>
      <c r="F292">
        <v>150</v>
      </c>
      <c r="G292" t="s">
        <v>3268</v>
      </c>
      <c r="L292" t="s">
        <v>1433</v>
      </c>
      <c r="M292" t="s">
        <v>1598</v>
      </c>
      <c r="N292" t="s">
        <v>1596</v>
      </c>
      <c r="O292">
        <v>6</v>
      </c>
    </row>
    <row r="293" spans="2:15" x14ac:dyDescent="0.2">
      <c r="B293" t="s">
        <v>1433</v>
      </c>
      <c r="C293" t="s">
        <v>12887</v>
      </c>
      <c r="D293" t="s">
        <v>1137</v>
      </c>
      <c r="E293" t="s">
        <v>5182</v>
      </c>
      <c r="F293">
        <v>264</v>
      </c>
      <c r="G293" t="s">
        <v>3298</v>
      </c>
      <c r="L293" t="s">
        <v>1433</v>
      </c>
      <c r="M293" t="s">
        <v>1599</v>
      </c>
      <c r="N293" t="s">
        <v>1596</v>
      </c>
      <c r="O293">
        <v>14</v>
      </c>
    </row>
    <row r="294" spans="2:15" x14ac:dyDescent="0.2">
      <c r="B294" t="s">
        <v>1433</v>
      </c>
      <c r="C294" t="s">
        <v>12887</v>
      </c>
      <c r="D294" t="s">
        <v>1137</v>
      </c>
      <c r="E294" t="s">
        <v>5183</v>
      </c>
      <c r="F294">
        <v>1970</v>
      </c>
      <c r="G294" t="s">
        <v>3299</v>
      </c>
      <c r="L294" t="s">
        <v>1433</v>
      </c>
      <c r="M294" t="s">
        <v>1600</v>
      </c>
      <c r="N294" t="s">
        <v>1596</v>
      </c>
      <c r="O294">
        <v>14</v>
      </c>
    </row>
    <row r="295" spans="2:15" x14ac:dyDescent="0.2">
      <c r="B295" t="s">
        <v>1433</v>
      </c>
      <c r="C295" t="s">
        <v>12887</v>
      </c>
      <c r="D295" t="s">
        <v>1169</v>
      </c>
      <c r="E295" t="s">
        <v>5184</v>
      </c>
      <c r="F295">
        <v>192</v>
      </c>
      <c r="G295" t="s">
        <v>3295</v>
      </c>
      <c r="L295" t="s">
        <v>1433</v>
      </c>
      <c r="M295" t="s">
        <v>1601</v>
      </c>
      <c r="N295" t="s">
        <v>1602</v>
      </c>
      <c r="O295">
        <v>60</v>
      </c>
    </row>
    <row r="296" spans="2:15" x14ac:dyDescent="0.2">
      <c r="B296" t="s">
        <v>1433</v>
      </c>
      <c r="C296" t="s">
        <v>12887</v>
      </c>
      <c r="D296" t="s">
        <v>1137</v>
      </c>
      <c r="E296" t="s">
        <v>5185</v>
      </c>
      <c r="F296">
        <v>125</v>
      </c>
      <c r="G296" t="s">
        <v>3316</v>
      </c>
      <c r="L296" t="s">
        <v>1433</v>
      </c>
      <c r="M296" t="s">
        <v>1603</v>
      </c>
      <c r="N296" t="s">
        <v>1604</v>
      </c>
      <c r="O296">
        <v>5</v>
      </c>
    </row>
    <row r="297" spans="2:15" x14ac:dyDescent="0.2">
      <c r="B297" t="s">
        <v>1433</v>
      </c>
      <c r="C297" t="s">
        <v>12887</v>
      </c>
      <c r="D297" t="s">
        <v>1137</v>
      </c>
      <c r="E297" t="s">
        <v>5186</v>
      </c>
      <c r="F297">
        <v>49</v>
      </c>
      <c r="G297" t="s">
        <v>3342</v>
      </c>
      <c r="L297" t="s">
        <v>1433</v>
      </c>
      <c r="M297" t="s">
        <v>1605</v>
      </c>
      <c r="N297" t="s">
        <v>1604</v>
      </c>
      <c r="O297">
        <v>12</v>
      </c>
    </row>
    <row r="298" spans="2:15" x14ac:dyDescent="0.2">
      <c r="B298" t="s">
        <v>1433</v>
      </c>
      <c r="C298" t="s">
        <v>12887</v>
      </c>
      <c r="D298" t="s">
        <v>1048</v>
      </c>
      <c r="E298" t="s">
        <v>5187</v>
      </c>
      <c r="F298">
        <v>2668.8</v>
      </c>
      <c r="G298" t="s">
        <v>3338</v>
      </c>
      <c r="L298" t="s">
        <v>1433</v>
      </c>
      <c r="M298" t="s">
        <v>1606</v>
      </c>
      <c r="N298" t="s">
        <v>1604</v>
      </c>
      <c r="O298">
        <v>6</v>
      </c>
    </row>
    <row r="299" spans="2:15" x14ac:dyDescent="0.2">
      <c r="B299" t="s">
        <v>1433</v>
      </c>
      <c r="C299" t="s">
        <v>12887</v>
      </c>
      <c r="D299" t="s">
        <v>1144</v>
      </c>
      <c r="E299" t="s">
        <v>5188</v>
      </c>
      <c r="F299">
        <v>648</v>
      </c>
      <c r="G299" t="s">
        <v>3382</v>
      </c>
      <c r="L299" t="s">
        <v>1433</v>
      </c>
      <c r="M299" t="s">
        <v>1496</v>
      </c>
      <c r="N299" t="s">
        <v>1607</v>
      </c>
      <c r="O299">
        <v>10</v>
      </c>
    </row>
    <row r="300" spans="2:15" x14ac:dyDescent="0.2">
      <c r="B300" t="s">
        <v>1433</v>
      </c>
      <c r="C300" t="s">
        <v>12887</v>
      </c>
      <c r="D300" t="s">
        <v>613</v>
      </c>
      <c r="E300" t="s">
        <v>5189</v>
      </c>
      <c r="F300">
        <v>6684</v>
      </c>
      <c r="G300" t="s">
        <v>3386</v>
      </c>
      <c r="L300" t="s">
        <v>1433</v>
      </c>
      <c r="M300" t="s">
        <v>1608</v>
      </c>
      <c r="N300" t="s">
        <v>1607</v>
      </c>
      <c r="O300">
        <v>8</v>
      </c>
    </row>
    <row r="301" spans="2:15" x14ac:dyDescent="0.2">
      <c r="B301" t="s">
        <v>1433</v>
      </c>
      <c r="C301" t="s">
        <v>12887</v>
      </c>
      <c r="D301" t="s">
        <v>613</v>
      </c>
      <c r="E301" t="s">
        <v>5190</v>
      </c>
      <c r="F301">
        <v>468</v>
      </c>
      <c r="G301" t="s">
        <v>3355</v>
      </c>
      <c r="L301" t="s">
        <v>1433</v>
      </c>
      <c r="M301" t="s">
        <v>1532</v>
      </c>
      <c r="N301" t="s">
        <v>1607</v>
      </c>
      <c r="O301">
        <v>112</v>
      </c>
    </row>
    <row r="302" spans="2:15" x14ac:dyDescent="0.2">
      <c r="B302" t="s">
        <v>1433</v>
      </c>
      <c r="C302" t="s">
        <v>12887</v>
      </c>
      <c r="D302" t="s">
        <v>1048</v>
      </c>
      <c r="E302" t="s">
        <v>5191</v>
      </c>
      <c r="F302">
        <v>825</v>
      </c>
      <c r="G302" t="s">
        <v>3468</v>
      </c>
      <c r="L302" t="s">
        <v>1433</v>
      </c>
      <c r="M302" t="s">
        <v>1609</v>
      </c>
      <c r="N302" t="s">
        <v>1607</v>
      </c>
      <c r="O302">
        <v>8</v>
      </c>
    </row>
    <row r="303" spans="2:15" x14ac:dyDescent="0.2">
      <c r="B303" t="s">
        <v>1433</v>
      </c>
      <c r="C303" t="s">
        <v>12887</v>
      </c>
      <c r="D303" t="s">
        <v>1169</v>
      </c>
      <c r="E303" t="s">
        <v>5192</v>
      </c>
      <c r="F303">
        <v>325</v>
      </c>
      <c r="G303" t="s">
        <v>3504</v>
      </c>
      <c r="L303" t="s">
        <v>1433</v>
      </c>
      <c r="M303" t="s">
        <v>1610</v>
      </c>
      <c r="N303" t="s">
        <v>1607</v>
      </c>
      <c r="O303">
        <v>4</v>
      </c>
    </row>
    <row r="304" spans="2:15" x14ac:dyDescent="0.2">
      <c r="B304" t="s">
        <v>1433</v>
      </c>
      <c r="C304" t="s">
        <v>12887</v>
      </c>
      <c r="D304" t="s">
        <v>1137</v>
      </c>
      <c r="E304" t="s">
        <v>5193</v>
      </c>
      <c r="F304">
        <v>111</v>
      </c>
      <c r="G304" t="s">
        <v>3527</v>
      </c>
      <c r="L304" t="s">
        <v>1433</v>
      </c>
      <c r="M304" t="s">
        <v>1498</v>
      </c>
      <c r="N304" t="s">
        <v>1607</v>
      </c>
      <c r="O304">
        <v>20</v>
      </c>
    </row>
    <row r="305" spans="2:15" x14ac:dyDescent="0.2">
      <c r="B305" t="s">
        <v>1433</v>
      </c>
      <c r="C305" t="s">
        <v>12887</v>
      </c>
      <c r="D305" t="s">
        <v>1137</v>
      </c>
      <c r="E305" t="s">
        <v>5194</v>
      </c>
      <c r="F305">
        <v>468</v>
      </c>
      <c r="G305" t="s">
        <v>3528</v>
      </c>
      <c r="L305" t="s">
        <v>1433</v>
      </c>
      <c r="M305" t="s">
        <v>1611</v>
      </c>
      <c r="N305" t="s">
        <v>1607</v>
      </c>
      <c r="O305">
        <v>8</v>
      </c>
    </row>
    <row r="306" spans="2:15" x14ac:dyDescent="0.2">
      <c r="B306" t="s">
        <v>1433</v>
      </c>
      <c r="C306" t="s">
        <v>12887</v>
      </c>
      <c r="D306" t="s">
        <v>613</v>
      </c>
      <c r="E306" t="s">
        <v>5195</v>
      </c>
      <c r="F306">
        <v>136</v>
      </c>
      <c r="G306" t="s">
        <v>3515</v>
      </c>
      <c r="L306" t="s">
        <v>1433</v>
      </c>
      <c r="M306" t="s">
        <v>1612</v>
      </c>
      <c r="N306" t="s">
        <v>1607</v>
      </c>
      <c r="O306">
        <v>4</v>
      </c>
    </row>
    <row r="307" spans="2:15" x14ac:dyDescent="0.2">
      <c r="B307" t="s">
        <v>1433</v>
      </c>
      <c r="C307" t="s">
        <v>12887</v>
      </c>
      <c r="D307" t="s">
        <v>1030</v>
      </c>
      <c r="E307" t="s">
        <v>5196</v>
      </c>
      <c r="F307">
        <v>325</v>
      </c>
      <c r="G307" t="s">
        <v>3519</v>
      </c>
      <c r="L307" t="s">
        <v>1433</v>
      </c>
      <c r="M307" t="s">
        <v>1613</v>
      </c>
      <c r="N307" t="s">
        <v>1614</v>
      </c>
      <c r="O307">
        <v>100</v>
      </c>
    </row>
    <row r="308" spans="2:15" x14ac:dyDescent="0.2">
      <c r="B308" t="s">
        <v>1433</v>
      </c>
      <c r="C308" t="s">
        <v>12887</v>
      </c>
      <c r="D308" t="s">
        <v>1030</v>
      </c>
      <c r="E308" t="s">
        <v>5197</v>
      </c>
      <c r="F308">
        <v>100</v>
      </c>
      <c r="G308" t="s">
        <v>3522</v>
      </c>
      <c r="L308" t="s">
        <v>1433</v>
      </c>
      <c r="M308" t="s">
        <v>1615</v>
      </c>
      <c r="N308" t="s">
        <v>1614</v>
      </c>
      <c r="O308">
        <v>100</v>
      </c>
    </row>
    <row r="309" spans="2:15" x14ac:dyDescent="0.2">
      <c r="B309" t="s">
        <v>1433</v>
      </c>
      <c r="C309" t="s">
        <v>12887</v>
      </c>
      <c r="D309" t="s">
        <v>1030</v>
      </c>
      <c r="E309" t="s">
        <v>5198</v>
      </c>
      <c r="F309">
        <v>1377</v>
      </c>
      <c r="G309" t="s">
        <v>3560</v>
      </c>
      <c r="L309" t="s">
        <v>1433</v>
      </c>
      <c r="M309" t="s">
        <v>1616</v>
      </c>
      <c r="N309" t="s">
        <v>1614</v>
      </c>
      <c r="O309">
        <v>40</v>
      </c>
    </row>
    <row r="310" spans="2:15" x14ac:dyDescent="0.2">
      <c r="B310" t="s">
        <v>1433</v>
      </c>
      <c r="C310" t="s">
        <v>12887</v>
      </c>
      <c r="D310" t="s">
        <v>613</v>
      </c>
      <c r="E310" t="s">
        <v>5199</v>
      </c>
      <c r="F310">
        <v>1940</v>
      </c>
      <c r="G310" t="s">
        <v>3600</v>
      </c>
      <c r="L310" t="s">
        <v>1433</v>
      </c>
      <c r="M310" t="s">
        <v>1617</v>
      </c>
      <c r="N310" t="s">
        <v>1614</v>
      </c>
      <c r="O310">
        <v>12</v>
      </c>
    </row>
    <row r="311" spans="2:15" x14ac:dyDescent="0.2">
      <c r="B311" t="s">
        <v>1433</v>
      </c>
      <c r="C311" t="s">
        <v>12887</v>
      </c>
      <c r="D311" t="s">
        <v>1048</v>
      </c>
      <c r="E311" t="s">
        <v>5200</v>
      </c>
      <c r="F311">
        <v>1926</v>
      </c>
      <c r="G311" t="s">
        <v>3646</v>
      </c>
      <c r="L311" t="s">
        <v>1433</v>
      </c>
      <c r="M311" t="s">
        <v>1618</v>
      </c>
      <c r="N311" t="s">
        <v>1614</v>
      </c>
      <c r="O311">
        <v>4</v>
      </c>
    </row>
    <row r="312" spans="2:15" x14ac:dyDescent="0.2">
      <c r="B312" t="s">
        <v>1433</v>
      </c>
      <c r="C312" t="s">
        <v>12887</v>
      </c>
      <c r="D312" t="s">
        <v>1137</v>
      </c>
      <c r="E312" t="s">
        <v>5201</v>
      </c>
      <c r="F312">
        <v>144</v>
      </c>
      <c r="G312" t="s">
        <v>3682</v>
      </c>
      <c r="L312" t="s">
        <v>1433</v>
      </c>
      <c r="M312" t="s">
        <v>1619</v>
      </c>
      <c r="N312" t="s">
        <v>1614</v>
      </c>
      <c r="O312">
        <v>32</v>
      </c>
    </row>
    <row r="313" spans="2:15" x14ac:dyDescent="0.2">
      <c r="B313" t="s">
        <v>1433</v>
      </c>
      <c r="C313" t="s">
        <v>12887</v>
      </c>
      <c r="D313" t="s">
        <v>1137</v>
      </c>
      <c r="E313" t="s">
        <v>5202</v>
      </c>
      <c r="F313">
        <v>95</v>
      </c>
      <c r="G313" t="s">
        <v>3794</v>
      </c>
      <c r="L313" t="s">
        <v>1433</v>
      </c>
      <c r="M313" t="s">
        <v>1620</v>
      </c>
      <c r="N313" t="s">
        <v>1614</v>
      </c>
      <c r="O313">
        <v>32</v>
      </c>
    </row>
    <row r="314" spans="2:15" x14ac:dyDescent="0.2">
      <c r="B314" t="s">
        <v>1433</v>
      </c>
      <c r="C314" t="s">
        <v>12887</v>
      </c>
      <c r="D314" t="s">
        <v>613</v>
      </c>
      <c r="E314" t="s">
        <v>5203</v>
      </c>
      <c r="F314">
        <v>141.91999999999999</v>
      </c>
      <c r="G314" t="s">
        <v>3873</v>
      </c>
      <c r="L314" t="s">
        <v>1433</v>
      </c>
      <c r="M314" t="s">
        <v>1621</v>
      </c>
      <c r="N314" t="s">
        <v>1614</v>
      </c>
      <c r="O314">
        <v>50</v>
      </c>
    </row>
    <row r="315" spans="2:15" x14ac:dyDescent="0.2">
      <c r="B315" t="s">
        <v>1433</v>
      </c>
      <c r="C315" t="s">
        <v>12887</v>
      </c>
      <c r="D315" t="s">
        <v>613</v>
      </c>
      <c r="E315" t="s">
        <v>5204</v>
      </c>
      <c r="F315">
        <v>4922.4399999999996</v>
      </c>
      <c r="G315" t="s">
        <v>3934</v>
      </c>
      <c r="L315" t="s">
        <v>1433</v>
      </c>
      <c r="M315" t="s">
        <v>1622</v>
      </c>
      <c r="N315" t="s">
        <v>1614</v>
      </c>
      <c r="O315">
        <v>100</v>
      </c>
    </row>
    <row r="316" spans="2:15" x14ac:dyDescent="0.2">
      <c r="B316" t="s">
        <v>1433</v>
      </c>
      <c r="C316" t="s">
        <v>12887</v>
      </c>
      <c r="D316" t="s">
        <v>1137</v>
      </c>
      <c r="E316" t="s">
        <v>5205</v>
      </c>
      <c r="F316">
        <v>236</v>
      </c>
      <c r="G316" t="s">
        <v>3999</v>
      </c>
      <c r="L316" t="s">
        <v>1433</v>
      </c>
      <c r="M316" t="s">
        <v>1623</v>
      </c>
      <c r="N316" t="s">
        <v>1614</v>
      </c>
      <c r="O316">
        <v>100</v>
      </c>
    </row>
    <row r="317" spans="2:15" x14ac:dyDescent="0.2">
      <c r="B317" t="s">
        <v>1433</v>
      </c>
      <c r="C317" t="s">
        <v>12887</v>
      </c>
      <c r="D317" t="s">
        <v>308</v>
      </c>
      <c r="E317" t="s">
        <v>5206</v>
      </c>
      <c r="F317">
        <v>1043.72</v>
      </c>
      <c r="G317" t="s">
        <v>5136</v>
      </c>
      <c r="L317" t="s">
        <v>1433</v>
      </c>
      <c r="M317" t="s">
        <v>1624</v>
      </c>
      <c r="N317" t="s">
        <v>1625</v>
      </c>
      <c r="O317">
        <v>72</v>
      </c>
    </row>
    <row r="318" spans="2:15" x14ac:dyDescent="0.2">
      <c r="B318" t="s">
        <v>1433</v>
      </c>
      <c r="C318" t="s">
        <v>12887</v>
      </c>
      <c r="D318" t="s">
        <v>323</v>
      </c>
      <c r="E318" t="s">
        <v>5207</v>
      </c>
      <c r="F318">
        <v>2160.3000000000002</v>
      </c>
      <c r="G318" t="s">
        <v>5140</v>
      </c>
      <c r="L318" t="s">
        <v>1433</v>
      </c>
      <c r="M318" t="s">
        <v>1626</v>
      </c>
      <c r="N318" t="s">
        <v>1625</v>
      </c>
      <c r="O318">
        <v>48</v>
      </c>
    </row>
    <row r="319" spans="2:15" x14ac:dyDescent="0.2">
      <c r="B319" t="s">
        <v>1433</v>
      </c>
      <c r="C319" t="s">
        <v>12887</v>
      </c>
      <c r="D319" t="s">
        <v>466</v>
      </c>
      <c r="E319" t="s">
        <v>5208</v>
      </c>
      <c r="F319">
        <v>4329.99</v>
      </c>
      <c r="G319" t="s">
        <v>5144</v>
      </c>
      <c r="L319" t="s">
        <v>1433</v>
      </c>
      <c r="M319" t="s">
        <v>1627</v>
      </c>
      <c r="N319" t="s">
        <v>1625</v>
      </c>
      <c r="O319">
        <v>36</v>
      </c>
    </row>
    <row r="320" spans="2:15" x14ac:dyDescent="0.2">
      <c r="B320" t="s">
        <v>1433</v>
      </c>
      <c r="C320" t="s">
        <v>12887</v>
      </c>
      <c r="D320" t="s">
        <v>423</v>
      </c>
      <c r="E320" t="s">
        <v>5209</v>
      </c>
      <c r="F320">
        <v>1275.8399999999999</v>
      </c>
      <c r="G320" t="s">
        <v>5146</v>
      </c>
      <c r="L320" t="s">
        <v>1433</v>
      </c>
      <c r="M320" t="s">
        <v>1628</v>
      </c>
      <c r="N320" t="s">
        <v>1625</v>
      </c>
      <c r="O320">
        <v>100</v>
      </c>
    </row>
    <row r="321" spans="2:15" x14ac:dyDescent="0.2">
      <c r="B321" t="s">
        <v>1433</v>
      </c>
      <c r="C321" t="s">
        <v>12887</v>
      </c>
      <c r="D321" t="s">
        <v>478</v>
      </c>
      <c r="E321" t="s">
        <v>5210</v>
      </c>
      <c r="F321">
        <v>269.74</v>
      </c>
      <c r="G321" t="s">
        <v>5152</v>
      </c>
      <c r="L321" t="s">
        <v>1433</v>
      </c>
      <c r="M321" t="s">
        <v>1629</v>
      </c>
      <c r="N321" t="s">
        <v>1625</v>
      </c>
      <c r="O321">
        <v>60</v>
      </c>
    </row>
    <row r="322" spans="2:15" x14ac:dyDescent="0.2">
      <c r="B322" t="s">
        <v>1433</v>
      </c>
      <c r="C322" t="s">
        <v>12888</v>
      </c>
      <c r="D322" t="s">
        <v>1144</v>
      </c>
      <c r="E322" t="s">
        <v>5211</v>
      </c>
      <c r="F322">
        <v>115</v>
      </c>
      <c r="G322" t="s">
        <v>2198</v>
      </c>
      <c r="L322" t="s">
        <v>1433</v>
      </c>
      <c r="M322" t="s">
        <v>1630</v>
      </c>
      <c r="N322" t="s">
        <v>1625</v>
      </c>
      <c r="O322">
        <v>80</v>
      </c>
    </row>
    <row r="323" spans="2:15" x14ac:dyDescent="0.2">
      <c r="B323" t="s">
        <v>1433</v>
      </c>
      <c r="C323" t="s">
        <v>12888</v>
      </c>
      <c r="D323" t="s">
        <v>1137</v>
      </c>
      <c r="E323" t="s">
        <v>5212</v>
      </c>
      <c r="F323">
        <v>155</v>
      </c>
      <c r="G323" t="s">
        <v>3000</v>
      </c>
      <c r="L323" t="s">
        <v>1433</v>
      </c>
      <c r="M323" t="s">
        <v>1631</v>
      </c>
      <c r="N323" t="s">
        <v>1625</v>
      </c>
      <c r="O323">
        <v>30</v>
      </c>
    </row>
    <row r="324" spans="2:15" x14ac:dyDescent="0.2">
      <c r="B324" t="s">
        <v>1433</v>
      </c>
      <c r="C324" t="s">
        <v>12888</v>
      </c>
      <c r="D324" t="s">
        <v>1048</v>
      </c>
      <c r="E324" t="s">
        <v>5214</v>
      </c>
      <c r="F324">
        <v>950</v>
      </c>
      <c r="G324" t="s">
        <v>3194</v>
      </c>
      <c r="L324" t="s">
        <v>1433</v>
      </c>
      <c r="M324" t="s">
        <v>1632</v>
      </c>
      <c r="N324" t="s">
        <v>1625</v>
      </c>
      <c r="O324">
        <v>16</v>
      </c>
    </row>
    <row r="325" spans="2:15" x14ac:dyDescent="0.2">
      <c r="B325" t="s">
        <v>1433</v>
      </c>
      <c r="C325" t="s">
        <v>12888</v>
      </c>
      <c r="D325" t="s">
        <v>1048</v>
      </c>
      <c r="E325" t="s">
        <v>5216</v>
      </c>
      <c r="F325">
        <v>1110</v>
      </c>
      <c r="G325" t="s">
        <v>3195</v>
      </c>
      <c r="L325" t="s">
        <v>1433</v>
      </c>
      <c r="M325" t="s">
        <v>1633</v>
      </c>
      <c r="N325" t="s">
        <v>1634</v>
      </c>
      <c r="O325">
        <v>1400</v>
      </c>
    </row>
    <row r="326" spans="2:15" x14ac:dyDescent="0.2">
      <c r="B326" t="s">
        <v>1433</v>
      </c>
      <c r="C326" t="s">
        <v>12888</v>
      </c>
      <c r="D326" t="s">
        <v>1169</v>
      </c>
      <c r="E326" t="s">
        <v>5218</v>
      </c>
      <c r="F326">
        <v>120</v>
      </c>
      <c r="G326" t="s">
        <v>3296</v>
      </c>
      <c r="L326" t="s">
        <v>1433</v>
      </c>
      <c r="M326" t="s">
        <v>1635</v>
      </c>
      <c r="N326" t="s">
        <v>1634</v>
      </c>
      <c r="O326">
        <v>300</v>
      </c>
    </row>
    <row r="327" spans="2:15" x14ac:dyDescent="0.2">
      <c r="B327" t="s">
        <v>1433</v>
      </c>
      <c r="C327" t="s">
        <v>12888</v>
      </c>
      <c r="D327" t="s">
        <v>1048</v>
      </c>
      <c r="E327" t="s">
        <v>5219</v>
      </c>
      <c r="F327">
        <v>2026</v>
      </c>
      <c r="G327" t="s">
        <v>3568</v>
      </c>
      <c r="L327" t="s">
        <v>1433</v>
      </c>
      <c r="M327" t="s">
        <v>1636</v>
      </c>
      <c r="N327" t="s">
        <v>1634</v>
      </c>
      <c r="O327">
        <v>700</v>
      </c>
    </row>
    <row r="328" spans="2:15" x14ac:dyDescent="0.2">
      <c r="B328" t="s">
        <v>1433</v>
      </c>
      <c r="C328" t="s">
        <v>12888</v>
      </c>
      <c r="D328" t="s">
        <v>1048</v>
      </c>
      <c r="E328" t="s">
        <v>5220</v>
      </c>
      <c r="F328">
        <v>1650</v>
      </c>
      <c r="G328" t="s">
        <v>3570</v>
      </c>
      <c r="L328" t="s">
        <v>1433</v>
      </c>
      <c r="M328" t="s">
        <v>1637</v>
      </c>
      <c r="N328" t="s">
        <v>1638</v>
      </c>
      <c r="O328">
        <v>4</v>
      </c>
    </row>
    <row r="329" spans="2:15" x14ac:dyDescent="0.2">
      <c r="B329" t="s">
        <v>1433</v>
      </c>
      <c r="C329" t="s">
        <v>12888</v>
      </c>
      <c r="D329" t="s">
        <v>1048</v>
      </c>
      <c r="E329" t="s">
        <v>5222</v>
      </c>
      <c r="F329">
        <v>3752</v>
      </c>
      <c r="G329" t="s">
        <v>3571</v>
      </c>
      <c r="L329" t="s">
        <v>1433</v>
      </c>
      <c r="M329" t="s">
        <v>1639</v>
      </c>
      <c r="N329" t="s">
        <v>1638</v>
      </c>
      <c r="O329">
        <v>40</v>
      </c>
    </row>
    <row r="330" spans="2:15" x14ac:dyDescent="0.2">
      <c r="B330" t="s">
        <v>1433</v>
      </c>
      <c r="C330" t="s">
        <v>12888</v>
      </c>
      <c r="D330" t="s">
        <v>1048</v>
      </c>
      <c r="E330" t="s">
        <v>5224</v>
      </c>
      <c r="F330">
        <v>2000</v>
      </c>
      <c r="G330" t="s">
        <v>3590</v>
      </c>
      <c r="L330" t="s">
        <v>1433</v>
      </c>
      <c r="M330" t="s">
        <v>1640</v>
      </c>
      <c r="N330" t="s">
        <v>1638</v>
      </c>
      <c r="O330">
        <v>4</v>
      </c>
    </row>
    <row r="331" spans="2:15" x14ac:dyDescent="0.2">
      <c r="B331" t="s">
        <v>1433</v>
      </c>
      <c r="C331" t="s">
        <v>12888</v>
      </c>
      <c r="D331" t="s">
        <v>1048</v>
      </c>
      <c r="E331" t="s">
        <v>5226</v>
      </c>
      <c r="F331">
        <v>638</v>
      </c>
      <c r="G331" t="s">
        <v>3591</v>
      </c>
      <c r="L331" t="s">
        <v>1433</v>
      </c>
      <c r="M331" t="s">
        <v>1641</v>
      </c>
      <c r="N331" t="s">
        <v>1638</v>
      </c>
      <c r="O331">
        <v>40</v>
      </c>
    </row>
    <row r="332" spans="2:15" x14ac:dyDescent="0.2">
      <c r="B332" t="s">
        <v>1433</v>
      </c>
      <c r="C332" t="s">
        <v>12888</v>
      </c>
      <c r="D332" t="s">
        <v>466</v>
      </c>
      <c r="E332" t="s">
        <v>5227</v>
      </c>
      <c r="F332">
        <v>1329.21</v>
      </c>
      <c r="G332" t="s">
        <v>5217</v>
      </c>
      <c r="L332" t="s">
        <v>1433</v>
      </c>
      <c r="M332" t="s">
        <v>1449</v>
      </c>
      <c r="N332" t="s">
        <v>1638</v>
      </c>
      <c r="O332">
        <v>32</v>
      </c>
    </row>
    <row r="333" spans="2:15" x14ac:dyDescent="0.2">
      <c r="B333" t="s">
        <v>1433</v>
      </c>
      <c r="C333" t="s">
        <v>12888</v>
      </c>
      <c r="D333" t="s">
        <v>478</v>
      </c>
      <c r="E333" t="s">
        <v>5228</v>
      </c>
      <c r="F333">
        <v>417.97</v>
      </c>
      <c r="G333" t="s">
        <v>5223</v>
      </c>
      <c r="L333" t="s">
        <v>1433</v>
      </c>
      <c r="M333" t="s">
        <v>1458</v>
      </c>
      <c r="N333" t="s">
        <v>1638</v>
      </c>
      <c r="O333">
        <v>8</v>
      </c>
    </row>
    <row r="334" spans="2:15" x14ac:dyDescent="0.2">
      <c r="B334" t="s">
        <v>1433</v>
      </c>
      <c r="C334" t="s">
        <v>12888</v>
      </c>
      <c r="D334" t="s">
        <v>478</v>
      </c>
      <c r="E334" t="s">
        <v>5229</v>
      </c>
      <c r="F334">
        <v>904.5</v>
      </c>
      <c r="G334" t="s">
        <v>5225</v>
      </c>
      <c r="L334" t="s">
        <v>1433</v>
      </c>
      <c r="M334" t="s">
        <v>1642</v>
      </c>
      <c r="N334" t="s">
        <v>1638</v>
      </c>
      <c r="O334">
        <v>2</v>
      </c>
    </row>
    <row r="335" spans="2:15" x14ac:dyDescent="0.2">
      <c r="B335" t="s">
        <v>1433</v>
      </c>
      <c r="C335" t="s">
        <v>12889</v>
      </c>
      <c r="D335" t="s">
        <v>1130</v>
      </c>
      <c r="E335" t="s">
        <v>5230</v>
      </c>
      <c r="F335">
        <v>359.2</v>
      </c>
      <c r="G335" t="s">
        <v>1311</v>
      </c>
      <c r="L335" t="s">
        <v>1433</v>
      </c>
      <c r="M335" t="s">
        <v>1643</v>
      </c>
      <c r="N335" t="s">
        <v>1638</v>
      </c>
      <c r="O335">
        <v>2</v>
      </c>
    </row>
    <row r="336" spans="2:15" x14ac:dyDescent="0.2">
      <c r="B336" t="s">
        <v>1433</v>
      </c>
      <c r="C336" t="s">
        <v>12889</v>
      </c>
      <c r="D336" t="s">
        <v>1130</v>
      </c>
      <c r="E336" t="s">
        <v>5233</v>
      </c>
      <c r="F336">
        <v>359.2</v>
      </c>
      <c r="G336" t="s">
        <v>1311</v>
      </c>
      <c r="L336" t="s">
        <v>1433</v>
      </c>
      <c r="M336" t="s">
        <v>1461</v>
      </c>
      <c r="N336" t="s">
        <v>1638</v>
      </c>
      <c r="O336">
        <v>2</v>
      </c>
    </row>
    <row r="337" spans="2:15" x14ac:dyDescent="0.2">
      <c r="B337" t="s">
        <v>1433</v>
      </c>
      <c r="C337" t="s">
        <v>12889</v>
      </c>
      <c r="D337" t="s">
        <v>1130</v>
      </c>
      <c r="E337" t="s">
        <v>5234</v>
      </c>
      <c r="F337">
        <v>898</v>
      </c>
      <c r="G337" t="s">
        <v>1315</v>
      </c>
      <c r="L337" t="s">
        <v>1433</v>
      </c>
      <c r="M337" t="s">
        <v>1644</v>
      </c>
      <c r="N337" t="s">
        <v>1638</v>
      </c>
      <c r="O337">
        <v>2</v>
      </c>
    </row>
    <row r="338" spans="2:15" x14ac:dyDescent="0.2">
      <c r="B338" t="s">
        <v>1433</v>
      </c>
      <c r="C338" t="s">
        <v>12889</v>
      </c>
      <c r="D338" t="s">
        <v>1130</v>
      </c>
      <c r="E338" t="s">
        <v>5236</v>
      </c>
      <c r="F338">
        <v>718.4</v>
      </c>
      <c r="G338" t="s">
        <v>1319</v>
      </c>
      <c r="L338" t="s">
        <v>1433</v>
      </c>
      <c r="M338" t="s">
        <v>1645</v>
      </c>
      <c r="N338" t="s">
        <v>1646</v>
      </c>
      <c r="O338">
        <v>20</v>
      </c>
    </row>
    <row r="339" spans="2:15" x14ac:dyDescent="0.2">
      <c r="B339" t="s">
        <v>1433</v>
      </c>
      <c r="C339" t="s">
        <v>12889</v>
      </c>
      <c r="D339" t="s">
        <v>1130</v>
      </c>
      <c r="E339" t="s">
        <v>5237</v>
      </c>
      <c r="F339">
        <v>6624</v>
      </c>
      <c r="G339" t="s">
        <v>1348</v>
      </c>
      <c r="L339" t="s">
        <v>1433</v>
      </c>
      <c r="M339" t="s">
        <v>1647</v>
      </c>
      <c r="N339" t="s">
        <v>1646</v>
      </c>
      <c r="O339">
        <v>30</v>
      </c>
    </row>
    <row r="340" spans="2:15" x14ac:dyDescent="0.2">
      <c r="B340" t="s">
        <v>1433</v>
      </c>
      <c r="C340" t="s">
        <v>12889</v>
      </c>
      <c r="D340" t="s">
        <v>1130</v>
      </c>
      <c r="E340" t="s">
        <v>5238</v>
      </c>
      <c r="F340">
        <v>9584</v>
      </c>
      <c r="G340" t="s">
        <v>1399</v>
      </c>
      <c r="L340" t="s">
        <v>1433</v>
      </c>
      <c r="M340" t="s">
        <v>1648</v>
      </c>
      <c r="N340" t="s">
        <v>1646</v>
      </c>
      <c r="O340">
        <v>10</v>
      </c>
    </row>
    <row r="341" spans="2:15" x14ac:dyDescent="0.2">
      <c r="B341" t="s">
        <v>1433</v>
      </c>
      <c r="C341" t="s">
        <v>12889</v>
      </c>
      <c r="D341" t="s">
        <v>1130</v>
      </c>
      <c r="E341" t="s">
        <v>5239</v>
      </c>
      <c r="F341">
        <v>880.04</v>
      </c>
      <c r="G341" t="s">
        <v>2707</v>
      </c>
      <c r="L341" t="s">
        <v>1433</v>
      </c>
      <c r="M341" t="s">
        <v>1649</v>
      </c>
      <c r="N341" t="s">
        <v>1646</v>
      </c>
      <c r="O341">
        <v>4</v>
      </c>
    </row>
    <row r="342" spans="2:15" x14ac:dyDescent="0.2">
      <c r="B342" t="s">
        <v>1433</v>
      </c>
      <c r="C342" t="s">
        <v>12889</v>
      </c>
      <c r="D342" t="s">
        <v>1130</v>
      </c>
      <c r="E342" t="s">
        <v>5240</v>
      </c>
      <c r="F342">
        <v>880.04</v>
      </c>
      <c r="G342" t="s">
        <v>2707</v>
      </c>
      <c r="L342" t="s">
        <v>1433</v>
      </c>
      <c r="M342" t="s">
        <v>1650</v>
      </c>
      <c r="N342" t="s">
        <v>1646</v>
      </c>
      <c r="O342">
        <v>10</v>
      </c>
    </row>
    <row r="343" spans="2:15" x14ac:dyDescent="0.2">
      <c r="B343" t="s">
        <v>1433</v>
      </c>
      <c r="C343" t="s">
        <v>12889</v>
      </c>
      <c r="D343" t="s">
        <v>613</v>
      </c>
      <c r="E343" t="s">
        <v>5241</v>
      </c>
      <c r="F343">
        <v>18.670000000000002</v>
      </c>
      <c r="G343" t="s">
        <v>5242</v>
      </c>
      <c r="L343" t="s">
        <v>1433</v>
      </c>
      <c r="M343" t="s">
        <v>1651</v>
      </c>
      <c r="N343" t="s">
        <v>1646</v>
      </c>
      <c r="O343">
        <v>2</v>
      </c>
    </row>
    <row r="344" spans="2:15" x14ac:dyDescent="0.2">
      <c r="B344" t="s">
        <v>1433</v>
      </c>
      <c r="C344" t="s">
        <v>12889</v>
      </c>
      <c r="D344" t="s">
        <v>613</v>
      </c>
      <c r="E344" t="s">
        <v>5243</v>
      </c>
      <c r="F344">
        <v>8.5</v>
      </c>
      <c r="G344" t="s">
        <v>5244</v>
      </c>
      <c r="L344" t="s">
        <v>1433</v>
      </c>
      <c r="M344" t="s">
        <v>1652</v>
      </c>
      <c r="N344" t="s">
        <v>1646</v>
      </c>
      <c r="O344">
        <v>10</v>
      </c>
    </row>
    <row r="345" spans="2:15" x14ac:dyDescent="0.2">
      <c r="B345" t="s">
        <v>1433</v>
      </c>
      <c r="C345" t="s">
        <v>12889</v>
      </c>
      <c r="D345" t="s">
        <v>1130</v>
      </c>
      <c r="E345" t="s">
        <v>5245</v>
      </c>
      <c r="F345">
        <v>6142.32</v>
      </c>
      <c r="G345" t="s">
        <v>3007</v>
      </c>
      <c r="L345" t="s">
        <v>1433</v>
      </c>
      <c r="M345" t="s">
        <v>1653</v>
      </c>
      <c r="N345" t="s">
        <v>1646</v>
      </c>
      <c r="O345">
        <v>10</v>
      </c>
    </row>
    <row r="346" spans="2:15" x14ac:dyDescent="0.2">
      <c r="B346" t="s">
        <v>1433</v>
      </c>
      <c r="C346" t="s">
        <v>12889</v>
      </c>
      <c r="D346" t="s">
        <v>1130</v>
      </c>
      <c r="E346" t="s">
        <v>5246</v>
      </c>
      <c r="F346">
        <v>682.48</v>
      </c>
      <c r="G346" t="s">
        <v>3007</v>
      </c>
      <c r="L346" t="s">
        <v>1433</v>
      </c>
      <c r="M346" t="s">
        <v>1654</v>
      </c>
      <c r="N346" t="s">
        <v>1646</v>
      </c>
      <c r="O346">
        <v>10</v>
      </c>
    </row>
    <row r="347" spans="2:15" x14ac:dyDescent="0.2">
      <c r="B347" t="s">
        <v>1433</v>
      </c>
      <c r="C347" t="s">
        <v>12889</v>
      </c>
      <c r="D347" t="s">
        <v>613</v>
      </c>
      <c r="E347" t="s">
        <v>5247</v>
      </c>
      <c r="F347">
        <v>34</v>
      </c>
      <c r="G347" t="s">
        <v>5244</v>
      </c>
      <c r="L347" t="s">
        <v>1433</v>
      </c>
      <c r="M347" t="s">
        <v>1655</v>
      </c>
      <c r="N347" t="s">
        <v>1646</v>
      </c>
      <c r="O347">
        <v>10</v>
      </c>
    </row>
    <row r="348" spans="2:15" x14ac:dyDescent="0.2">
      <c r="B348" t="s">
        <v>1433</v>
      </c>
      <c r="C348" t="s">
        <v>12889</v>
      </c>
      <c r="D348" t="s">
        <v>613</v>
      </c>
      <c r="E348" t="s">
        <v>5248</v>
      </c>
      <c r="F348">
        <v>8</v>
      </c>
      <c r="G348" t="s">
        <v>5249</v>
      </c>
      <c r="L348" t="s">
        <v>1433</v>
      </c>
      <c r="M348" t="s">
        <v>1656</v>
      </c>
      <c r="N348" t="s">
        <v>1646</v>
      </c>
      <c r="O348">
        <v>10</v>
      </c>
    </row>
    <row r="349" spans="2:15" x14ac:dyDescent="0.2">
      <c r="B349" t="s">
        <v>1433</v>
      </c>
      <c r="C349" t="s">
        <v>12889</v>
      </c>
      <c r="D349" t="s">
        <v>617</v>
      </c>
      <c r="E349" t="s">
        <v>5250</v>
      </c>
      <c r="F349">
        <v>4.53</v>
      </c>
      <c r="G349" t="s">
        <v>5251</v>
      </c>
      <c r="L349" t="s">
        <v>1433</v>
      </c>
      <c r="M349" t="s">
        <v>1657</v>
      </c>
      <c r="N349" t="s">
        <v>1646</v>
      </c>
      <c r="O349">
        <v>5</v>
      </c>
    </row>
    <row r="350" spans="2:15" x14ac:dyDescent="0.2">
      <c r="B350" t="s">
        <v>1433</v>
      </c>
      <c r="C350" t="s">
        <v>12889</v>
      </c>
      <c r="D350" t="s">
        <v>613</v>
      </c>
      <c r="E350" t="s">
        <v>5252</v>
      </c>
      <c r="F350">
        <v>5.77</v>
      </c>
      <c r="G350" t="s">
        <v>5253</v>
      </c>
      <c r="L350" t="s">
        <v>1433</v>
      </c>
      <c r="M350" t="s">
        <v>1658</v>
      </c>
      <c r="N350" t="s">
        <v>1646</v>
      </c>
      <c r="O350">
        <v>3</v>
      </c>
    </row>
    <row r="351" spans="2:15" x14ac:dyDescent="0.2">
      <c r="B351" t="s">
        <v>1433</v>
      </c>
      <c r="C351" t="s">
        <v>12889</v>
      </c>
      <c r="D351" t="s">
        <v>617</v>
      </c>
      <c r="E351" t="s">
        <v>5254</v>
      </c>
      <c r="F351">
        <v>0.72</v>
      </c>
      <c r="G351" t="s">
        <v>5255</v>
      </c>
      <c r="L351" t="s">
        <v>1433</v>
      </c>
      <c r="M351" t="s">
        <v>1659</v>
      </c>
      <c r="N351" t="s">
        <v>1646</v>
      </c>
      <c r="O351">
        <v>10</v>
      </c>
    </row>
    <row r="352" spans="2:15" x14ac:dyDescent="0.2">
      <c r="B352" t="s">
        <v>1433</v>
      </c>
      <c r="C352" t="s">
        <v>12889</v>
      </c>
      <c r="D352" t="s">
        <v>613</v>
      </c>
      <c r="E352" t="s">
        <v>5256</v>
      </c>
      <c r="F352">
        <v>18.670000000000002</v>
      </c>
      <c r="G352" t="s">
        <v>5242</v>
      </c>
      <c r="L352" t="s">
        <v>1433</v>
      </c>
      <c r="M352" t="s">
        <v>1552</v>
      </c>
      <c r="N352" t="s">
        <v>1660</v>
      </c>
      <c r="O352">
        <v>87</v>
      </c>
    </row>
    <row r="353" spans="2:15" x14ac:dyDescent="0.2">
      <c r="B353" t="s">
        <v>1433</v>
      </c>
      <c r="C353" t="s">
        <v>12889</v>
      </c>
      <c r="D353" t="s">
        <v>613</v>
      </c>
      <c r="E353" t="s">
        <v>5257</v>
      </c>
      <c r="F353">
        <v>37.33</v>
      </c>
      <c r="G353" t="s">
        <v>5242</v>
      </c>
      <c r="L353" t="s">
        <v>1433</v>
      </c>
      <c r="M353" t="s">
        <v>1661</v>
      </c>
      <c r="N353" t="s">
        <v>1662</v>
      </c>
      <c r="O353">
        <v>14</v>
      </c>
    </row>
    <row r="354" spans="2:15" x14ac:dyDescent="0.2">
      <c r="B354" t="s">
        <v>1433</v>
      </c>
      <c r="C354" t="s">
        <v>12889</v>
      </c>
      <c r="D354" t="s">
        <v>613</v>
      </c>
      <c r="E354" t="s">
        <v>5258</v>
      </c>
      <c r="F354">
        <v>1.84</v>
      </c>
      <c r="G354" t="s">
        <v>5259</v>
      </c>
      <c r="L354" t="s">
        <v>1433</v>
      </c>
      <c r="M354" t="s">
        <v>1663</v>
      </c>
      <c r="N354" t="s">
        <v>1662</v>
      </c>
      <c r="O354">
        <v>14</v>
      </c>
    </row>
    <row r="355" spans="2:15" x14ac:dyDescent="0.2">
      <c r="B355" t="s">
        <v>1433</v>
      </c>
      <c r="C355" t="s">
        <v>12889</v>
      </c>
      <c r="D355" t="s">
        <v>613</v>
      </c>
      <c r="E355" t="s">
        <v>5260</v>
      </c>
      <c r="F355">
        <v>0.12</v>
      </c>
      <c r="G355" t="s">
        <v>5261</v>
      </c>
      <c r="L355" t="s">
        <v>1433</v>
      </c>
      <c r="M355" t="s">
        <v>1580</v>
      </c>
      <c r="N355" t="s">
        <v>1664</v>
      </c>
      <c r="O355">
        <v>200</v>
      </c>
    </row>
    <row r="356" spans="2:15" x14ac:dyDescent="0.2">
      <c r="B356" t="s">
        <v>1433</v>
      </c>
      <c r="C356" t="s">
        <v>12889</v>
      </c>
      <c r="D356" t="s">
        <v>613</v>
      </c>
      <c r="E356" t="s">
        <v>5262</v>
      </c>
      <c r="F356">
        <v>0.13</v>
      </c>
      <c r="G356" t="s">
        <v>5263</v>
      </c>
      <c r="L356" t="s">
        <v>1433</v>
      </c>
      <c r="M356" t="s">
        <v>1665</v>
      </c>
      <c r="N356" t="s">
        <v>1666</v>
      </c>
      <c r="O356">
        <v>50</v>
      </c>
    </row>
    <row r="357" spans="2:15" x14ac:dyDescent="0.2">
      <c r="B357" t="s">
        <v>1433</v>
      </c>
      <c r="C357" t="s">
        <v>12889</v>
      </c>
      <c r="D357" t="s">
        <v>621</v>
      </c>
      <c r="E357" t="s">
        <v>5264</v>
      </c>
      <c r="F357">
        <v>1.17</v>
      </c>
      <c r="G357" t="s">
        <v>5265</v>
      </c>
      <c r="L357" t="s">
        <v>1433</v>
      </c>
      <c r="M357" t="s">
        <v>1667</v>
      </c>
      <c r="N357" t="s">
        <v>1666</v>
      </c>
      <c r="O357">
        <v>400</v>
      </c>
    </row>
    <row r="358" spans="2:15" x14ac:dyDescent="0.2">
      <c r="B358" t="s">
        <v>1433</v>
      </c>
      <c r="C358" t="s">
        <v>12889</v>
      </c>
      <c r="D358" t="s">
        <v>613</v>
      </c>
      <c r="E358" t="s">
        <v>5266</v>
      </c>
      <c r="F358">
        <v>0.6</v>
      </c>
      <c r="G358" t="s">
        <v>5267</v>
      </c>
      <c r="L358" t="s">
        <v>1433</v>
      </c>
      <c r="M358" t="s">
        <v>1668</v>
      </c>
      <c r="N358" t="s">
        <v>1666</v>
      </c>
      <c r="O358">
        <v>500</v>
      </c>
    </row>
    <row r="359" spans="2:15" x14ac:dyDescent="0.2">
      <c r="B359" t="s">
        <v>1433</v>
      </c>
      <c r="C359" t="s">
        <v>12889</v>
      </c>
      <c r="D359" t="s">
        <v>617</v>
      </c>
      <c r="E359" t="s">
        <v>5268</v>
      </c>
      <c r="F359">
        <v>4.5</v>
      </c>
      <c r="G359" t="s">
        <v>5269</v>
      </c>
      <c r="L359" t="s">
        <v>1433</v>
      </c>
      <c r="M359" t="s">
        <v>1669</v>
      </c>
      <c r="N359" t="s">
        <v>1666</v>
      </c>
      <c r="O359">
        <v>700</v>
      </c>
    </row>
    <row r="360" spans="2:15" x14ac:dyDescent="0.2">
      <c r="B360" t="s">
        <v>1433</v>
      </c>
      <c r="C360" t="s">
        <v>12889</v>
      </c>
      <c r="D360" t="s">
        <v>613</v>
      </c>
      <c r="E360" t="s">
        <v>5270</v>
      </c>
      <c r="F360">
        <v>0.77</v>
      </c>
      <c r="G360" t="s">
        <v>5271</v>
      </c>
      <c r="L360" t="s">
        <v>1433</v>
      </c>
      <c r="M360" t="s">
        <v>1670</v>
      </c>
      <c r="N360" t="s">
        <v>1666</v>
      </c>
      <c r="O360">
        <v>400</v>
      </c>
    </row>
    <row r="361" spans="2:15" x14ac:dyDescent="0.2">
      <c r="B361" t="s">
        <v>1433</v>
      </c>
      <c r="C361" t="s">
        <v>12889</v>
      </c>
      <c r="D361" t="s">
        <v>613</v>
      </c>
      <c r="E361" t="s">
        <v>5272</v>
      </c>
      <c r="F361">
        <v>1.36</v>
      </c>
      <c r="G361" t="s">
        <v>5273</v>
      </c>
      <c r="L361" t="s">
        <v>1433</v>
      </c>
      <c r="M361" t="s">
        <v>1671</v>
      </c>
      <c r="N361" t="s">
        <v>1666</v>
      </c>
      <c r="O361">
        <v>100</v>
      </c>
    </row>
    <row r="362" spans="2:15" x14ac:dyDescent="0.2">
      <c r="B362" t="s">
        <v>1433</v>
      </c>
      <c r="C362" t="s">
        <v>12889</v>
      </c>
      <c r="D362" t="s">
        <v>621</v>
      </c>
      <c r="E362" t="s">
        <v>5274</v>
      </c>
      <c r="F362">
        <v>1.08</v>
      </c>
      <c r="G362" t="s">
        <v>4184</v>
      </c>
      <c r="L362" t="s">
        <v>1433</v>
      </c>
      <c r="M362" t="s">
        <v>1672</v>
      </c>
      <c r="N362" t="s">
        <v>1666</v>
      </c>
      <c r="O362">
        <v>180</v>
      </c>
    </row>
    <row r="363" spans="2:15" x14ac:dyDescent="0.2">
      <c r="B363" t="s">
        <v>1433</v>
      </c>
      <c r="C363" t="s">
        <v>12889</v>
      </c>
      <c r="D363" t="s">
        <v>621</v>
      </c>
      <c r="E363" t="s">
        <v>5275</v>
      </c>
      <c r="F363">
        <v>3.36</v>
      </c>
      <c r="G363" t="s">
        <v>5276</v>
      </c>
      <c r="L363" t="s">
        <v>1433</v>
      </c>
      <c r="M363" t="s">
        <v>1673</v>
      </c>
      <c r="N363" t="s">
        <v>1666</v>
      </c>
      <c r="O363">
        <v>30</v>
      </c>
    </row>
    <row r="364" spans="2:15" x14ac:dyDescent="0.2">
      <c r="B364" t="s">
        <v>1433</v>
      </c>
      <c r="C364" t="s">
        <v>12889</v>
      </c>
      <c r="D364" t="s">
        <v>617</v>
      </c>
      <c r="E364" t="s">
        <v>5277</v>
      </c>
      <c r="F364">
        <v>7.8</v>
      </c>
      <c r="G364" t="s">
        <v>5278</v>
      </c>
      <c r="L364" t="s">
        <v>1433</v>
      </c>
      <c r="M364" t="s">
        <v>1674</v>
      </c>
      <c r="N364" t="s">
        <v>1666</v>
      </c>
      <c r="O364">
        <v>300</v>
      </c>
    </row>
    <row r="365" spans="2:15" x14ac:dyDescent="0.2">
      <c r="B365" t="s">
        <v>1433</v>
      </c>
      <c r="C365" t="s">
        <v>12889</v>
      </c>
      <c r="D365" t="s">
        <v>617</v>
      </c>
      <c r="E365" t="s">
        <v>5279</v>
      </c>
      <c r="F365">
        <v>7.3</v>
      </c>
      <c r="G365" t="s">
        <v>5280</v>
      </c>
      <c r="L365" t="s">
        <v>1433</v>
      </c>
      <c r="M365" t="s">
        <v>1675</v>
      </c>
      <c r="N365" t="s">
        <v>1666</v>
      </c>
      <c r="O365">
        <v>120</v>
      </c>
    </row>
    <row r="366" spans="2:15" x14ac:dyDescent="0.2">
      <c r="B366" t="s">
        <v>1433</v>
      </c>
      <c r="C366" t="s">
        <v>12889</v>
      </c>
      <c r="D366" t="s">
        <v>1130</v>
      </c>
      <c r="E366" t="s">
        <v>5281</v>
      </c>
      <c r="F366">
        <v>553.9</v>
      </c>
      <c r="G366" t="s">
        <v>4046</v>
      </c>
      <c r="L366" t="s">
        <v>1433</v>
      </c>
      <c r="M366" t="s">
        <v>1676</v>
      </c>
      <c r="N366" t="s">
        <v>1666</v>
      </c>
      <c r="O366">
        <v>30</v>
      </c>
    </row>
    <row r="367" spans="2:15" x14ac:dyDescent="0.2">
      <c r="B367" t="s">
        <v>1433</v>
      </c>
      <c r="C367" t="s">
        <v>12889</v>
      </c>
      <c r="D367" t="s">
        <v>1130</v>
      </c>
      <c r="E367" t="s">
        <v>5282</v>
      </c>
      <c r="F367">
        <v>3189.7</v>
      </c>
      <c r="G367" t="s">
        <v>4115</v>
      </c>
      <c r="L367" t="s">
        <v>1433</v>
      </c>
      <c r="M367" t="s">
        <v>1677</v>
      </c>
      <c r="N367" t="s">
        <v>1666</v>
      </c>
      <c r="O367">
        <v>40</v>
      </c>
    </row>
    <row r="368" spans="2:15" x14ac:dyDescent="0.2">
      <c r="B368" t="s">
        <v>1433</v>
      </c>
      <c r="C368" t="s">
        <v>12889</v>
      </c>
      <c r="D368" t="s">
        <v>308</v>
      </c>
      <c r="E368" t="s">
        <v>5283</v>
      </c>
      <c r="F368">
        <v>12887.22</v>
      </c>
      <c r="G368" t="s">
        <v>5231</v>
      </c>
      <c r="L368" t="s">
        <v>1433</v>
      </c>
      <c r="M368" t="s">
        <v>1678</v>
      </c>
      <c r="N368" t="s">
        <v>1679</v>
      </c>
      <c r="O368">
        <v>8</v>
      </c>
    </row>
    <row r="369" spans="2:15" x14ac:dyDescent="0.2">
      <c r="B369" t="s">
        <v>1433</v>
      </c>
      <c r="C369" t="s">
        <v>12890</v>
      </c>
      <c r="D369" t="s">
        <v>617</v>
      </c>
      <c r="E369" t="s">
        <v>5285</v>
      </c>
      <c r="F369">
        <v>1314.12</v>
      </c>
      <c r="H369" t="s">
        <v>1699</v>
      </c>
      <c r="L369" t="s">
        <v>1433</v>
      </c>
      <c r="M369" t="s">
        <v>1680</v>
      </c>
      <c r="N369" t="s">
        <v>1679</v>
      </c>
      <c r="O369">
        <v>4</v>
      </c>
    </row>
    <row r="370" spans="2:15" x14ac:dyDescent="0.2">
      <c r="B370" t="s">
        <v>1433</v>
      </c>
      <c r="C370" t="s">
        <v>12890</v>
      </c>
      <c r="D370" t="s">
        <v>617</v>
      </c>
      <c r="E370" t="s">
        <v>5287</v>
      </c>
      <c r="F370">
        <v>10.95</v>
      </c>
      <c r="H370" t="s">
        <v>1699</v>
      </c>
      <c r="L370" t="s">
        <v>1433</v>
      </c>
      <c r="M370" t="s">
        <v>1214</v>
      </c>
      <c r="N370" t="s">
        <v>1681</v>
      </c>
      <c r="O370">
        <v>1</v>
      </c>
    </row>
    <row r="371" spans="2:15" x14ac:dyDescent="0.2">
      <c r="B371" t="s">
        <v>1433</v>
      </c>
      <c r="C371" t="s">
        <v>12890</v>
      </c>
      <c r="D371" t="s">
        <v>617</v>
      </c>
      <c r="E371" t="s">
        <v>5288</v>
      </c>
      <c r="F371">
        <v>10.95</v>
      </c>
      <c r="H371" t="s">
        <v>1699</v>
      </c>
      <c r="L371" t="s">
        <v>1433</v>
      </c>
      <c r="M371" t="s">
        <v>1682</v>
      </c>
      <c r="N371" t="s">
        <v>1683</v>
      </c>
      <c r="O371">
        <v>12</v>
      </c>
    </row>
    <row r="372" spans="2:15" x14ac:dyDescent="0.2">
      <c r="B372" t="s">
        <v>1433</v>
      </c>
      <c r="C372" t="s">
        <v>12890</v>
      </c>
      <c r="D372" t="s">
        <v>617</v>
      </c>
      <c r="E372" t="s">
        <v>5289</v>
      </c>
      <c r="F372">
        <v>290.64</v>
      </c>
      <c r="H372" t="s">
        <v>1699</v>
      </c>
      <c r="L372" t="s">
        <v>1433</v>
      </c>
      <c r="M372" t="s">
        <v>1684</v>
      </c>
      <c r="N372" t="s">
        <v>1683</v>
      </c>
      <c r="O372">
        <v>12</v>
      </c>
    </row>
    <row r="373" spans="2:15" x14ac:dyDescent="0.2">
      <c r="B373" t="s">
        <v>1433</v>
      </c>
      <c r="C373" t="s">
        <v>12890</v>
      </c>
      <c r="D373" t="s">
        <v>617</v>
      </c>
      <c r="E373" t="s">
        <v>5290</v>
      </c>
      <c r="F373">
        <v>1223.3499999999999</v>
      </c>
      <c r="H373" t="s">
        <v>1699</v>
      </c>
      <c r="L373" t="s">
        <v>1433</v>
      </c>
      <c r="M373" t="s">
        <v>1496</v>
      </c>
      <c r="N373" t="s">
        <v>1685</v>
      </c>
      <c r="O373">
        <v>6</v>
      </c>
    </row>
    <row r="374" spans="2:15" x14ac:dyDescent="0.2">
      <c r="B374" t="s">
        <v>1433</v>
      </c>
      <c r="C374" t="s">
        <v>12890</v>
      </c>
      <c r="D374" t="s">
        <v>617</v>
      </c>
      <c r="E374" t="s">
        <v>5291</v>
      </c>
      <c r="F374">
        <v>10.95</v>
      </c>
      <c r="H374" t="s">
        <v>1699</v>
      </c>
      <c r="L374" t="s">
        <v>1433</v>
      </c>
      <c r="M374" t="s">
        <v>1532</v>
      </c>
      <c r="N374" t="s">
        <v>1685</v>
      </c>
      <c r="O374">
        <v>12</v>
      </c>
    </row>
    <row r="375" spans="2:15" x14ac:dyDescent="0.2">
      <c r="B375" t="s">
        <v>1433</v>
      </c>
      <c r="C375" t="s">
        <v>12890</v>
      </c>
      <c r="D375" t="s">
        <v>617</v>
      </c>
      <c r="E375" t="s">
        <v>5292</v>
      </c>
      <c r="F375">
        <v>175.22</v>
      </c>
      <c r="H375" t="s">
        <v>1699</v>
      </c>
      <c r="L375" t="s">
        <v>1433</v>
      </c>
      <c r="M375" t="s">
        <v>1686</v>
      </c>
      <c r="N375" t="s">
        <v>1685</v>
      </c>
      <c r="O375">
        <v>1100</v>
      </c>
    </row>
    <row r="376" spans="2:15" x14ac:dyDescent="0.2">
      <c r="B376" t="s">
        <v>1433</v>
      </c>
      <c r="C376" t="s">
        <v>12890</v>
      </c>
      <c r="D376" t="s">
        <v>617</v>
      </c>
      <c r="E376" t="s">
        <v>5293</v>
      </c>
      <c r="F376">
        <v>237.81</v>
      </c>
      <c r="H376" t="s">
        <v>2021</v>
      </c>
      <c r="L376" t="s">
        <v>1433</v>
      </c>
      <c r="M376" t="s">
        <v>1687</v>
      </c>
      <c r="N376" t="s">
        <v>1685</v>
      </c>
      <c r="O376">
        <v>20</v>
      </c>
    </row>
    <row r="377" spans="2:15" x14ac:dyDescent="0.2">
      <c r="B377" t="s">
        <v>1433</v>
      </c>
      <c r="C377" t="s">
        <v>12890</v>
      </c>
      <c r="D377" t="s">
        <v>617</v>
      </c>
      <c r="E377" t="s">
        <v>5294</v>
      </c>
      <c r="F377">
        <v>30.36</v>
      </c>
      <c r="H377" t="s">
        <v>2021</v>
      </c>
      <c r="L377" t="s">
        <v>1433</v>
      </c>
      <c r="M377" t="s">
        <v>1688</v>
      </c>
      <c r="N377" t="s">
        <v>1685</v>
      </c>
      <c r="O377">
        <v>1200</v>
      </c>
    </row>
    <row r="378" spans="2:15" x14ac:dyDescent="0.2">
      <c r="B378" t="s">
        <v>1433</v>
      </c>
      <c r="C378" t="s">
        <v>12890</v>
      </c>
      <c r="D378" t="s">
        <v>617</v>
      </c>
      <c r="E378" t="s">
        <v>5295</v>
      </c>
      <c r="F378">
        <v>193.36</v>
      </c>
      <c r="H378" t="s">
        <v>2261</v>
      </c>
      <c r="L378" t="s">
        <v>1433</v>
      </c>
      <c r="M378" t="s">
        <v>1689</v>
      </c>
      <c r="N378" t="s">
        <v>1690</v>
      </c>
      <c r="O378">
        <v>80</v>
      </c>
    </row>
    <row r="379" spans="2:15" x14ac:dyDescent="0.2">
      <c r="B379" t="s">
        <v>1433</v>
      </c>
      <c r="C379" t="s">
        <v>12890</v>
      </c>
      <c r="D379" t="s">
        <v>617</v>
      </c>
      <c r="E379" t="s">
        <v>5296</v>
      </c>
      <c r="F379">
        <v>3712.43</v>
      </c>
      <c r="H379" t="s">
        <v>2262</v>
      </c>
      <c r="L379" t="s">
        <v>1433</v>
      </c>
      <c r="M379" t="s">
        <v>1691</v>
      </c>
      <c r="N379" t="s">
        <v>1690</v>
      </c>
      <c r="O379">
        <v>80</v>
      </c>
    </row>
    <row r="380" spans="2:15" x14ac:dyDescent="0.2">
      <c r="B380" t="s">
        <v>1433</v>
      </c>
      <c r="C380" t="s">
        <v>12890</v>
      </c>
      <c r="D380" t="s">
        <v>617</v>
      </c>
      <c r="E380" t="s">
        <v>5297</v>
      </c>
      <c r="F380">
        <v>6980.54</v>
      </c>
      <c r="H380" t="s">
        <v>1374</v>
      </c>
      <c r="L380" t="s">
        <v>1433</v>
      </c>
      <c r="M380" t="s">
        <v>1692</v>
      </c>
      <c r="N380" t="s">
        <v>1690</v>
      </c>
      <c r="O380">
        <v>80</v>
      </c>
    </row>
    <row r="381" spans="2:15" x14ac:dyDescent="0.2">
      <c r="B381" t="s">
        <v>1433</v>
      </c>
      <c r="C381" t="s">
        <v>12890</v>
      </c>
      <c r="D381" t="s">
        <v>617</v>
      </c>
      <c r="E381" t="s">
        <v>5298</v>
      </c>
      <c r="F381">
        <v>165.02</v>
      </c>
      <c r="H381" t="s">
        <v>1445</v>
      </c>
      <c r="L381" t="s">
        <v>1433</v>
      </c>
      <c r="M381" t="s">
        <v>1529</v>
      </c>
      <c r="N381" t="s">
        <v>1690</v>
      </c>
      <c r="O381">
        <v>72</v>
      </c>
    </row>
    <row r="382" spans="2:15" x14ac:dyDescent="0.2">
      <c r="B382" t="s">
        <v>1433</v>
      </c>
      <c r="C382" t="s">
        <v>12890</v>
      </c>
      <c r="D382" t="s">
        <v>617</v>
      </c>
      <c r="E382" t="s">
        <v>5299</v>
      </c>
      <c r="F382">
        <v>10066.219999999999</v>
      </c>
      <c r="H382" t="s">
        <v>1445</v>
      </c>
      <c r="L382" t="s">
        <v>1433</v>
      </c>
      <c r="M382" t="s">
        <v>1693</v>
      </c>
      <c r="N382" t="s">
        <v>1690</v>
      </c>
      <c r="O382">
        <v>116</v>
      </c>
    </row>
    <row r="383" spans="2:15" x14ac:dyDescent="0.2">
      <c r="B383" t="s">
        <v>1433</v>
      </c>
      <c r="C383" t="s">
        <v>12890</v>
      </c>
      <c r="D383" t="s">
        <v>617</v>
      </c>
      <c r="E383" t="s">
        <v>5300</v>
      </c>
      <c r="F383">
        <v>533.97</v>
      </c>
      <c r="H383" t="s">
        <v>2263</v>
      </c>
      <c r="L383" t="s">
        <v>1433</v>
      </c>
      <c r="M383" t="s">
        <v>1694</v>
      </c>
      <c r="N383" t="s">
        <v>1690</v>
      </c>
      <c r="O383">
        <v>64</v>
      </c>
    </row>
    <row r="384" spans="2:15" x14ac:dyDescent="0.2">
      <c r="B384" t="s">
        <v>1433</v>
      </c>
      <c r="C384" t="s">
        <v>12890</v>
      </c>
      <c r="D384" t="s">
        <v>617</v>
      </c>
      <c r="E384" t="s">
        <v>5301</v>
      </c>
      <c r="F384">
        <v>3025.83</v>
      </c>
      <c r="H384" t="s">
        <v>2263</v>
      </c>
      <c r="L384" t="s">
        <v>1433</v>
      </c>
      <c r="M384" t="s">
        <v>1530</v>
      </c>
      <c r="N384" t="s">
        <v>1690</v>
      </c>
      <c r="O384">
        <v>16</v>
      </c>
    </row>
    <row r="385" spans="2:15" x14ac:dyDescent="0.2">
      <c r="B385" t="s">
        <v>1433</v>
      </c>
      <c r="C385" t="s">
        <v>12890</v>
      </c>
      <c r="D385" t="s">
        <v>617</v>
      </c>
      <c r="E385" t="s">
        <v>5302</v>
      </c>
      <c r="F385">
        <v>684.32</v>
      </c>
      <c r="H385" t="s">
        <v>2256</v>
      </c>
      <c r="L385" t="s">
        <v>1433</v>
      </c>
      <c r="M385" t="s">
        <v>1695</v>
      </c>
      <c r="N385" t="s">
        <v>1696</v>
      </c>
      <c r="O385">
        <v>40</v>
      </c>
    </row>
    <row r="386" spans="2:15" x14ac:dyDescent="0.2">
      <c r="B386" t="s">
        <v>1433</v>
      </c>
      <c r="C386" t="s">
        <v>12890</v>
      </c>
      <c r="D386" t="s">
        <v>617</v>
      </c>
      <c r="E386" t="s">
        <v>5303</v>
      </c>
      <c r="F386">
        <v>329</v>
      </c>
      <c r="H386" t="s">
        <v>1923</v>
      </c>
      <c r="L386" t="s">
        <v>1433</v>
      </c>
      <c r="M386" t="s">
        <v>1374</v>
      </c>
      <c r="N386" t="s">
        <v>1697</v>
      </c>
      <c r="O386">
        <v>16</v>
      </c>
    </row>
    <row r="387" spans="2:15" x14ac:dyDescent="0.2">
      <c r="B387" t="s">
        <v>1433</v>
      </c>
      <c r="C387" t="s">
        <v>12890</v>
      </c>
      <c r="D387" t="s">
        <v>617</v>
      </c>
      <c r="E387" t="s">
        <v>5304</v>
      </c>
      <c r="F387">
        <v>16.45</v>
      </c>
      <c r="H387" t="s">
        <v>1923</v>
      </c>
      <c r="L387" t="s">
        <v>1433</v>
      </c>
      <c r="M387" t="s">
        <v>1446</v>
      </c>
      <c r="N387" t="s">
        <v>1697</v>
      </c>
      <c r="O387">
        <v>16</v>
      </c>
    </row>
    <row r="388" spans="2:15" x14ac:dyDescent="0.2">
      <c r="B388" t="s">
        <v>1433</v>
      </c>
      <c r="C388" t="s">
        <v>12890</v>
      </c>
      <c r="D388" t="s">
        <v>617</v>
      </c>
      <c r="E388" t="s">
        <v>5305</v>
      </c>
      <c r="F388">
        <v>16.45</v>
      </c>
      <c r="H388" t="s">
        <v>1923</v>
      </c>
      <c r="L388" t="s">
        <v>1433</v>
      </c>
      <c r="M388" t="s">
        <v>1698</v>
      </c>
      <c r="N388" t="s">
        <v>1697</v>
      </c>
      <c r="O388">
        <v>10</v>
      </c>
    </row>
    <row r="389" spans="2:15" x14ac:dyDescent="0.2">
      <c r="B389" t="s">
        <v>1433</v>
      </c>
      <c r="C389" t="s">
        <v>12890</v>
      </c>
      <c r="D389" t="s">
        <v>617</v>
      </c>
      <c r="E389" t="s">
        <v>5306</v>
      </c>
      <c r="F389">
        <v>789.6</v>
      </c>
      <c r="H389" t="s">
        <v>1923</v>
      </c>
      <c r="L389" t="s">
        <v>1433</v>
      </c>
      <c r="M389" t="s">
        <v>1699</v>
      </c>
      <c r="N389" t="s">
        <v>1697</v>
      </c>
      <c r="O389">
        <v>150</v>
      </c>
    </row>
    <row r="390" spans="2:15" x14ac:dyDescent="0.2">
      <c r="B390" t="s">
        <v>1433</v>
      </c>
      <c r="C390" t="s">
        <v>12890</v>
      </c>
      <c r="D390" t="s">
        <v>617</v>
      </c>
      <c r="E390" t="s">
        <v>5307</v>
      </c>
      <c r="F390">
        <v>8820.06</v>
      </c>
      <c r="H390" t="s">
        <v>2264</v>
      </c>
      <c r="L390" t="s">
        <v>1433</v>
      </c>
      <c r="M390" t="s">
        <v>1700</v>
      </c>
      <c r="N390" t="s">
        <v>1697</v>
      </c>
      <c r="O390">
        <v>10</v>
      </c>
    </row>
    <row r="391" spans="2:15" x14ac:dyDescent="0.2">
      <c r="B391" t="s">
        <v>1433</v>
      </c>
      <c r="C391" t="s">
        <v>12890</v>
      </c>
      <c r="D391" t="s">
        <v>617</v>
      </c>
      <c r="E391" t="s">
        <v>5308</v>
      </c>
      <c r="F391">
        <v>4410.03</v>
      </c>
      <c r="H391" t="s">
        <v>2264</v>
      </c>
      <c r="L391" t="s">
        <v>1433</v>
      </c>
      <c r="M391" t="s">
        <v>1701</v>
      </c>
      <c r="N391" t="s">
        <v>1702</v>
      </c>
      <c r="O391">
        <v>2</v>
      </c>
    </row>
    <row r="392" spans="2:15" x14ac:dyDescent="0.2">
      <c r="B392" t="s">
        <v>1433</v>
      </c>
      <c r="C392" t="s">
        <v>12890</v>
      </c>
      <c r="D392" t="s">
        <v>617</v>
      </c>
      <c r="E392" t="s">
        <v>5309</v>
      </c>
      <c r="F392">
        <v>726.4</v>
      </c>
      <c r="H392" t="s">
        <v>1842</v>
      </c>
      <c r="L392" t="s">
        <v>1433</v>
      </c>
      <c r="M392" t="s">
        <v>1703</v>
      </c>
      <c r="N392" t="s">
        <v>1704</v>
      </c>
      <c r="O392">
        <v>73</v>
      </c>
    </row>
    <row r="393" spans="2:15" x14ac:dyDescent="0.2">
      <c r="B393" t="s">
        <v>1433</v>
      </c>
      <c r="C393" t="s">
        <v>12890</v>
      </c>
      <c r="D393" t="s">
        <v>617</v>
      </c>
      <c r="E393" t="s">
        <v>5310</v>
      </c>
      <c r="F393">
        <v>72.64</v>
      </c>
      <c r="H393" t="s">
        <v>1842</v>
      </c>
      <c r="L393" t="s">
        <v>1433</v>
      </c>
      <c r="M393" t="s">
        <v>1705</v>
      </c>
      <c r="N393" t="s">
        <v>1704</v>
      </c>
      <c r="O393">
        <v>63</v>
      </c>
    </row>
    <row r="394" spans="2:15" x14ac:dyDescent="0.2">
      <c r="B394" t="s">
        <v>1433</v>
      </c>
      <c r="C394" t="s">
        <v>12890</v>
      </c>
      <c r="D394" t="s">
        <v>617</v>
      </c>
      <c r="E394" t="s">
        <v>5311</v>
      </c>
      <c r="F394">
        <v>72.64</v>
      </c>
      <c r="H394" t="s">
        <v>1842</v>
      </c>
      <c r="L394" t="s">
        <v>1433</v>
      </c>
      <c r="M394" t="s">
        <v>1706</v>
      </c>
      <c r="N394" t="s">
        <v>1704</v>
      </c>
      <c r="O394">
        <v>14</v>
      </c>
    </row>
    <row r="395" spans="2:15" x14ac:dyDescent="0.2">
      <c r="B395" t="s">
        <v>1433</v>
      </c>
      <c r="C395" t="s">
        <v>12890</v>
      </c>
      <c r="D395" t="s">
        <v>617</v>
      </c>
      <c r="E395" t="s">
        <v>5312</v>
      </c>
      <c r="F395">
        <v>1089.5999999999999</v>
      </c>
      <c r="H395" t="s">
        <v>1842</v>
      </c>
      <c r="L395" t="s">
        <v>1433</v>
      </c>
      <c r="M395" t="s">
        <v>1707</v>
      </c>
      <c r="N395" t="s">
        <v>1704</v>
      </c>
      <c r="O395">
        <v>45</v>
      </c>
    </row>
    <row r="396" spans="2:15" x14ac:dyDescent="0.2">
      <c r="B396" t="s">
        <v>1433</v>
      </c>
      <c r="C396" t="s">
        <v>12890</v>
      </c>
      <c r="D396" t="s">
        <v>617</v>
      </c>
      <c r="E396" t="s">
        <v>5313</v>
      </c>
      <c r="F396">
        <v>686.66</v>
      </c>
      <c r="H396" t="s">
        <v>1842</v>
      </c>
      <c r="L396" t="s">
        <v>1433</v>
      </c>
      <c r="M396" t="s">
        <v>1708</v>
      </c>
      <c r="N396" t="s">
        <v>1704</v>
      </c>
      <c r="O396">
        <v>64</v>
      </c>
    </row>
    <row r="397" spans="2:15" x14ac:dyDescent="0.2">
      <c r="B397" t="s">
        <v>1433</v>
      </c>
      <c r="C397" t="s">
        <v>12890</v>
      </c>
      <c r="D397" t="s">
        <v>617</v>
      </c>
      <c r="E397" t="s">
        <v>5314</v>
      </c>
      <c r="F397">
        <v>1743.36</v>
      </c>
      <c r="H397" t="s">
        <v>1842</v>
      </c>
      <c r="L397" t="s">
        <v>1433</v>
      </c>
      <c r="M397" t="s">
        <v>1526</v>
      </c>
      <c r="N397" t="s">
        <v>1709</v>
      </c>
      <c r="O397">
        <v>6</v>
      </c>
    </row>
    <row r="398" spans="2:15" x14ac:dyDescent="0.2">
      <c r="B398" t="s">
        <v>1433</v>
      </c>
      <c r="C398" t="s">
        <v>12890</v>
      </c>
      <c r="D398" t="s">
        <v>617</v>
      </c>
      <c r="E398" t="s">
        <v>5315</v>
      </c>
      <c r="F398">
        <v>12.8</v>
      </c>
      <c r="H398" t="s">
        <v>1843</v>
      </c>
      <c r="L398" t="s">
        <v>1433</v>
      </c>
      <c r="M398" t="s">
        <v>1528</v>
      </c>
      <c r="N398" t="s">
        <v>1709</v>
      </c>
      <c r="O398">
        <v>6</v>
      </c>
    </row>
    <row r="399" spans="2:15" x14ac:dyDescent="0.2">
      <c r="B399" t="s">
        <v>1433</v>
      </c>
      <c r="C399" t="s">
        <v>12890</v>
      </c>
      <c r="D399" t="s">
        <v>617</v>
      </c>
      <c r="E399" t="s">
        <v>5316</v>
      </c>
      <c r="F399">
        <v>12.8</v>
      </c>
      <c r="H399" t="s">
        <v>1843</v>
      </c>
      <c r="L399" t="s">
        <v>1433</v>
      </c>
      <c r="M399" t="s">
        <v>1529</v>
      </c>
      <c r="N399" t="s">
        <v>1709</v>
      </c>
      <c r="O399">
        <v>12</v>
      </c>
    </row>
    <row r="400" spans="2:15" x14ac:dyDescent="0.2">
      <c r="B400" t="s">
        <v>1433</v>
      </c>
      <c r="C400" t="s">
        <v>12890</v>
      </c>
      <c r="D400" t="s">
        <v>617</v>
      </c>
      <c r="E400" t="s">
        <v>5317</v>
      </c>
      <c r="F400">
        <v>59.36</v>
      </c>
      <c r="H400" t="s">
        <v>1843</v>
      </c>
      <c r="L400" t="s">
        <v>1433</v>
      </c>
      <c r="M400" t="s">
        <v>1530</v>
      </c>
      <c r="N400" t="s">
        <v>1709</v>
      </c>
      <c r="O400">
        <v>6</v>
      </c>
    </row>
    <row r="401" spans="2:15" x14ac:dyDescent="0.2">
      <c r="B401" t="s">
        <v>1433</v>
      </c>
      <c r="C401" t="s">
        <v>12890</v>
      </c>
      <c r="D401" t="s">
        <v>617</v>
      </c>
      <c r="E401" t="s">
        <v>5318</v>
      </c>
      <c r="F401">
        <v>89.04</v>
      </c>
      <c r="H401" t="s">
        <v>1843</v>
      </c>
      <c r="L401" t="s">
        <v>1433</v>
      </c>
      <c r="M401" t="s">
        <v>1536</v>
      </c>
      <c r="N401" t="s">
        <v>1709</v>
      </c>
      <c r="O401">
        <v>80</v>
      </c>
    </row>
    <row r="402" spans="2:15" x14ac:dyDescent="0.2">
      <c r="B402" t="s">
        <v>1433</v>
      </c>
      <c r="C402" t="s">
        <v>12890</v>
      </c>
      <c r="D402" t="s">
        <v>617</v>
      </c>
      <c r="E402" t="s">
        <v>5319</v>
      </c>
      <c r="F402">
        <v>614.4</v>
      </c>
      <c r="H402" t="s">
        <v>1843</v>
      </c>
      <c r="L402" t="s">
        <v>1433</v>
      </c>
      <c r="M402" t="s">
        <v>1710</v>
      </c>
      <c r="N402" t="s">
        <v>1711</v>
      </c>
      <c r="O402">
        <v>600</v>
      </c>
    </row>
    <row r="403" spans="2:15" x14ac:dyDescent="0.2">
      <c r="B403" t="s">
        <v>1433</v>
      </c>
      <c r="C403" t="s">
        <v>12890</v>
      </c>
      <c r="D403" t="s">
        <v>617</v>
      </c>
      <c r="E403" t="s">
        <v>5320</v>
      </c>
      <c r="F403">
        <v>558.91999999999996</v>
      </c>
      <c r="H403" t="s">
        <v>1446</v>
      </c>
      <c r="L403" t="s">
        <v>1433</v>
      </c>
      <c r="M403" t="s">
        <v>1712</v>
      </c>
      <c r="N403" t="s">
        <v>1711</v>
      </c>
      <c r="O403">
        <v>50</v>
      </c>
    </row>
    <row r="404" spans="2:15" x14ac:dyDescent="0.2">
      <c r="B404" t="s">
        <v>1433</v>
      </c>
      <c r="C404" t="s">
        <v>12890</v>
      </c>
      <c r="D404" t="s">
        <v>617</v>
      </c>
      <c r="E404" t="s">
        <v>5321</v>
      </c>
      <c r="F404">
        <v>82.4</v>
      </c>
      <c r="H404" t="s">
        <v>1446</v>
      </c>
      <c r="L404" t="s">
        <v>1433</v>
      </c>
      <c r="M404" t="s">
        <v>1713</v>
      </c>
      <c r="N404" t="s">
        <v>1714</v>
      </c>
      <c r="O404">
        <v>1000</v>
      </c>
    </row>
    <row r="405" spans="2:15" x14ac:dyDescent="0.2">
      <c r="B405" t="s">
        <v>1433</v>
      </c>
      <c r="C405" t="s">
        <v>12890</v>
      </c>
      <c r="D405" t="s">
        <v>617</v>
      </c>
      <c r="E405" t="s">
        <v>5322</v>
      </c>
      <c r="F405">
        <v>164.82</v>
      </c>
      <c r="H405" t="s">
        <v>1446</v>
      </c>
      <c r="L405" t="s">
        <v>1433</v>
      </c>
      <c r="M405" t="s">
        <v>1715</v>
      </c>
      <c r="N405" t="s">
        <v>1714</v>
      </c>
      <c r="O405">
        <v>120</v>
      </c>
    </row>
    <row r="406" spans="2:15" x14ac:dyDescent="0.2">
      <c r="B406" t="s">
        <v>1433</v>
      </c>
      <c r="C406" t="s">
        <v>12890</v>
      </c>
      <c r="D406" t="s">
        <v>617</v>
      </c>
      <c r="E406" t="s">
        <v>5323</v>
      </c>
      <c r="F406">
        <v>172.82</v>
      </c>
      <c r="H406" t="s">
        <v>1446</v>
      </c>
      <c r="L406" t="s">
        <v>1433</v>
      </c>
      <c r="M406" t="s">
        <v>1716</v>
      </c>
      <c r="N406" t="s">
        <v>1714</v>
      </c>
      <c r="O406">
        <v>270</v>
      </c>
    </row>
    <row r="407" spans="2:15" x14ac:dyDescent="0.2">
      <c r="B407" t="s">
        <v>1433</v>
      </c>
      <c r="C407" t="s">
        <v>12890</v>
      </c>
      <c r="D407" t="s">
        <v>617</v>
      </c>
      <c r="E407" t="s">
        <v>5324</v>
      </c>
      <c r="F407">
        <v>44.12</v>
      </c>
      <c r="H407" t="s">
        <v>1446</v>
      </c>
      <c r="L407" t="s">
        <v>1433</v>
      </c>
      <c r="M407" t="s">
        <v>1717</v>
      </c>
      <c r="N407" t="s">
        <v>1714</v>
      </c>
      <c r="O407">
        <v>180</v>
      </c>
    </row>
    <row r="408" spans="2:15" x14ac:dyDescent="0.2">
      <c r="B408" t="s">
        <v>1433</v>
      </c>
      <c r="C408" t="s">
        <v>12890</v>
      </c>
      <c r="D408" t="s">
        <v>617</v>
      </c>
      <c r="E408" t="s">
        <v>5325</v>
      </c>
      <c r="F408">
        <v>1073.76</v>
      </c>
      <c r="H408" t="s">
        <v>1446</v>
      </c>
      <c r="L408" t="s">
        <v>1433</v>
      </c>
      <c r="M408" t="s">
        <v>1718</v>
      </c>
      <c r="N408" t="s">
        <v>1714</v>
      </c>
      <c r="O408">
        <v>192</v>
      </c>
    </row>
    <row r="409" spans="2:15" x14ac:dyDescent="0.2">
      <c r="B409" t="s">
        <v>1433</v>
      </c>
      <c r="C409" t="s">
        <v>12890</v>
      </c>
      <c r="D409" t="s">
        <v>617</v>
      </c>
      <c r="E409" t="s">
        <v>5326</v>
      </c>
      <c r="F409">
        <v>714.19</v>
      </c>
      <c r="H409" t="s">
        <v>1924</v>
      </c>
      <c r="L409" t="s">
        <v>1433</v>
      </c>
      <c r="M409" t="s">
        <v>1719</v>
      </c>
      <c r="N409" t="s">
        <v>1679</v>
      </c>
      <c r="O409">
        <v>92</v>
      </c>
    </row>
    <row r="410" spans="2:15" x14ac:dyDescent="0.2">
      <c r="B410" t="s">
        <v>1433</v>
      </c>
      <c r="C410" t="s">
        <v>12890</v>
      </c>
      <c r="D410" t="s">
        <v>617</v>
      </c>
      <c r="E410" t="s">
        <v>5327</v>
      </c>
      <c r="F410">
        <v>3079.44</v>
      </c>
      <c r="H410" t="s">
        <v>1924</v>
      </c>
      <c r="L410" t="s">
        <v>1433</v>
      </c>
      <c r="M410" t="s">
        <v>1720</v>
      </c>
      <c r="N410" t="s">
        <v>1679</v>
      </c>
      <c r="O410">
        <v>4</v>
      </c>
    </row>
    <row r="411" spans="2:15" x14ac:dyDescent="0.2">
      <c r="B411" t="s">
        <v>1433</v>
      </c>
      <c r="C411" t="s">
        <v>12890</v>
      </c>
      <c r="D411" t="s">
        <v>617</v>
      </c>
      <c r="E411" t="s">
        <v>5328</v>
      </c>
      <c r="F411">
        <v>68.099999999999994</v>
      </c>
      <c r="H411" t="s">
        <v>2267</v>
      </c>
      <c r="L411" t="s">
        <v>1433</v>
      </c>
      <c r="M411" t="s">
        <v>1721</v>
      </c>
      <c r="N411" t="s">
        <v>1679</v>
      </c>
      <c r="O411">
        <v>8</v>
      </c>
    </row>
    <row r="412" spans="2:15" x14ac:dyDescent="0.2">
      <c r="B412" t="s">
        <v>1433</v>
      </c>
      <c r="C412" t="s">
        <v>12890</v>
      </c>
      <c r="D412" t="s">
        <v>617</v>
      </c>
      <c r="E412" t="s">
        <v>5329</v>
      </c>
      <c r="F412">
        <v>13.62</v>
      </c>
      <c r="H412" t="s">
        <v>2267</v>
      </c>
      <c r="L412" t="s">
        <v>1433</v>
      </c>
      <c r="M412" t="s">
        <v>1722</v>
      </c>
      <c r="N412" t="s">
        <v>1586</v>
      </c>
      <c r="O412">
        <v>530</v>
      </c>
    </row>
    <row r="413" spans="2:15" x14ac:dyDescent="0.2">
      <c r="B413" t="s">
        <v>1433</v>
      </c>
      <c r="C413" t="s">
        <v>12890</v>
      </c>
      <c r="D413" t="s">
        <v>617</v>
      </c>
      <c r="E413" t="s">
        <v>5330</v>
      </c>
      <c r="F413">
        <v>40.86</v>
      </c>
      <c r="H413" t="s">
        <v>2267</v>
      </c>
      <c r="L413" t="s">
        <v>1433</v>
      </c>
      <c r="M413" t="s">
        <v>1723</v>
      </c>
      <c r="N413" t="s">
        <v>1586</v>
      </c>
      <c r="O413">
        <v>550</v>
      </c>
    </row>
    <row r="414" spans="2:15" x14ac:dyDescent="0.2">
      <c r="B414" t="s">
        <v>1433</v>
      </c>
      <c r="C414" t="s">
        <v>12890</v>
      </c>
      <c r="D414" t="s">
        <v>617</v>
      </c>
      <c r="E414" t="s">
        <v>5331</v>
      </c>
      <c r="F414">
        <v>13.62</v>
      </c>
      <c r="H414" t="s">
        <v>2267</v>
      </c>
      <c r="L414" t="s">
        <v>1433</v>
      </c>
      <c r="M414" t="s">
        <v>1724</v>
      </c>
      <c r="N414" t="s">
        <v>1586</v>
      </c>
      <c r="O414">
        <v>450</v>
      </c>
    </row>
    <row r="415" spans="2:15" x14ac:dyDescent="0.2">
      <c r="B415" t="s">
        <v>1433</v>
      </c>
      <c r="C415" t="s">
        <v>12890</v>
      </c>
      <c r="D415" t="s">
        <v>617</v>
      </c>
      <c r="E415" t="s">
        <v>5332</v>
      </c>
      <c r="F415">
        <v>4819.8500000000004</v>
      </c>
      <c r="H415" t="s">
        <v>2268</v>
      </c>
      <c r="L415" t="s">
        <v>1433</v>
      </c>
      <c r="M415" t="s">
        <v>1725</v>
      </c>
      <c r="N415" t="s">
        <v>1586</v>
      </c>
      <c r="O415">
        <v>250</v>
      </c>
    </row>
    <row r="416" spans="2:15" x14ac:dyDescent="0.2">
      <c r="B416" t="s">
        <v>1433</v>
      </c>
      <c r="C416" t="s">
        <v>12890</v>
      </c>
      <c r="D416" t="s">
        <v>617</v>
      </c>
      <c r="E416" t="s">
        <v>5333</v>
      </c>
      <c r="F416">
        <v>3059.52</v>
      </c>
      <c r="H416" t="s">
        <v>2269</v>
      </c>
      <c r="L416" t="s">
        <v>1433</v>
      </c>
      <c r="M416" t="s">
        <v>1536</v>
      </c>
      <c r="N416" t="s">
        <v>1726</v>
      </c>
      <c r="O416">
        <v>30</v>
      </c>
    </row>
    <row r="417" spans="2:15" x14ac:dyDescent="0.2">
      <c r="B417" t="s">
        <v>1433</v>
      </c>
      <c r="C417" t="s">
        <v>12890</v>
      </c>
      <c r="D417" t="s">
        <v>617</v>
      </c>
      <c r="E417" t="s">
        <v>5334</v>
      </c>
      <c r="F417">
        <v>1659.8</v>
      </c>
      <c r="H417" t="s">
        <v>2270</v>
      </c>
      <c r="L417" t="s">
        <v>1433</v>
      </c>
      <c r="M417" t="s">
        <v>1727</v>
      </c>
      <c r="N417" t="s">
        <v>1679</v>
      </c>
      <c r="O417">
        <v>14</v>
      </c>
    </row>
    <row r="418" spans="2:15" x14ac:dyDescent="0.2">
      <c r="B418" t="s">
        <v>1433</v>
      </c>
      <c r="C418" t="s">
        <v>12890</v>
      </c>
      <c r="D418" t="s">
        <v>617</v>
      </c>
      <c r="E418" t="s">
        <v>5335</v>
      </c>
      <c r="F418">
        <v>13416.15</v>
      </c>
      <c r="H418" t="s">
        <v>2271</v>
      </c>
      <c r="L418" t="s">
        <v>1433</v>
      </c>
      <c r="M418" t="s">
        <v>1728</v>
      </c>
      <c r="N418" t="s">
        <v>1679</v>
      </c>
      <c r="O418">
        <v>16</v>
      </c>
    </row>
    <row r="419" spans="2:15" x14ac:dyDescent="0.2">
      <c r="B419" t="s">
        <v>1433</v>
      </c>
      <c r="C419" t="s">
        <v>12890</v>
      </c>
      <c r="D419" t="s">
        <v>617</v>
      </c>
      <c r="E419" t="s">
        <v>5336</v>
      </c>
      <c r="F419">
        <v>8018.22</v>
      </c>
      <c r="H419" t="s">
        <v>2022</v>
      </c>
      <c r="L419" t="s">
        <v>1433</v>
      </c>
      <c r="M419" t="s">
        <v>1729</v>
      </c>
      <c r="N419" t="s">
        <v>1730</v>
      </c>
      <c r="O419">
        <v>2</v>
      </c>
    </row>
    <row r="420" spans="2:15" x14ac:dyDescent="0.2">
      <c r="B420" t="s">
        <v>1433</v>
      </c>
      <c r="C420" t="s">
        <v>12890</v>
      </c>
      <c r="D420" t="s">
        <v>617</v>
      </c>
      <c r="E420" t="s">
        <v>5337</v>
      </c>
      <c r="F420">
        <v>25629.96</v>
      </c>
      <c r="H420" t="s">
        <v>2273</v>
      </c>
      <c r="L420" t="s">
        <v>1433</v>
      </c>
      <c r="M420" t="s">
        <v>1731</v>
      </c>
      <c r="N420" t="s">
        <v>1732</v>
      </c>
      <c r="O420">
        <v>10</v>
      </c>
    </row>
    <row r="421" spans="2:15" x14ac:dyDescent="0.2">
      <c r="B421" t="s">
        <v>1433</v>
      </c>
      <c r="C421" t="s">
        <v>12890</v>
      </c>
      <c r="D421" t="s">
        <v>617</v>
      </c>
      <c r="E421" t="s">
        <v>5338</v>
      </c>
      <c r="F421">
        <v>19222.47</v>
      </c>
      <c r="H421" t="s">
        <v>2273</v>
      </c>
      <c r="L421" t="s">
        <v>1433</v>
      </c>
      <c r="M421" t="s">
        <v>1733</v>
      </c>
      <c r="N421" t="s">
        <v>1734</v>
      </c>
      <c r="O421">
        <v>1</v>
      </c>
    </row>
    <row r="422" spans="2:15" x14ac:dyDescent="0.2">
      <c r="B422" t="s">
        <v>1433</v>
      </c>
      <c r="C422" t="s">
        <v>12890</v>
      </c>
      <c r="D422" t="s">
        <v>617</v>
      </c>
      <c r="E422" t="s">
        <v>5339</v>
      </c>
      <c r="F422">
        <v>5921.62</v>
      </c>
      <c r="H422" t="s">
        <v>2274</v>
      </c>
      <c r="L422" t="s">
        <v>1433</v>
      </c>
      <c r="M422" t="s">
        <v>1735</v>
      </c>
      <c r="N422" t="s">
        <v>1736</v>
      </c>
      <c r="O422">
        <v>14</v>
      </c>
    </row>
    <row r="423" spans="2:15" x14ac:dyDescent="0.2">
      <c r="B423" t="s">
        <v>1433</v>
      </c>
      <c r="C423" t="s">
        <v>12890</v>
      </c>
      <c r="D423" t="s">
        <v>617</v>
      </c>
      <c r="E423" t="s">
        <v>5340</v>
      </c>
      <c r="F423">
        <v>6571.35</v>
      </c>
      <c r="H423" t="s">
        <v>1377</v>
      </c>
      <c r="L423" t="s">
        <v>1433</v>
      </c>
      <c r="M423" t="s">
        <v>1737</v>
      </c>
      <c r="N423" t="s">
        <v>1738</v>
      </c>
      <c r="O423">
        <v>14</v>
      </c>
    </row>
    <row r="424" spans="2:15" x14ac:dyDescent="0.2">
      <c r="B424" t="s">
        <v>1433</v>
      </c>
      <c r="C424" t="s">
        <v>12890</v>
      </c>
      <c r="D424" t="s">
        <v>613</v>
      </c>
      <c r="E424" t="s">
        <v>5353</v>
      </c>
      <c r="F424">
        <v>18.399999999999999</v>
      </c>
      <c r="H424" t="s">
        <v>5354</v>
      </c>
      <c r="L424" t="s">
        <v>1433</v>
      </c>
      <c r="M424" t="s">
        <v>1739</v>
      </c>
      <c r="N424" t="s">
        <v>1738</v>
      </c>
      <c r="O424">
        <v>14</v>
      </c>
    </row>
    <row r="425" spans="2:15" x14ac:dyDescent="0.2">
      <c r="B425" t="s">
        <v>1433</v>
      </c>
      <c r="C425" t="s">
        <v>12890</v>
      </c>
      <c r="D425" t="s">
        <v>617</v>
      </c>
      <c r="E425" t="s">
        <v>5355</v>
      </c>
      <c r="F425">
        <v>16.760000000000002</v>
      </c>
      <c r="H425" t="s">
        <v>1616</v>
      </c>
      <c r="L425" t="s">
        <v>1433</v>
      </c>
      <c r="M425" t="s">
        <v>1740</v>
      </c>
      <c r="N425" t="s">
        <v>1738</v>
      </c>
      <c r="O425">
        <v>10</v>
      </c>
    </row>
    <row r="426" spans="2:15" x14ac:dyDescent="0.2">
      <c r="B426" t="s">
        <v>1433</v>
      </c>
      <c r="C426" t="s">
        <v>12890</v>
      </c>
      <c r="D426" t="s">
        <v>613</v>
      </c>
      <c r="E426" t="s">
        <v>5356</v>
      </c>
      <c r="F426">
        <v>12.32</v>
      </c>
      <c r="H426" t="s">
        <v>1689</v>
      </c>
      <c r="L426" t="s">
        <v>1433</v>
      </c>
      <c r="M426" t="s">
        <v>1741</v>
      </c>
      <c r="N426" t="s">
        <v>1738</v>
      </c>
      <c r="O426">
        <v>43</v>
      </c>
    </row>
    <row r="427" spans="2:15" x14ac:dyDescent="0.2">
      <c r="B427" t="s">
        <v>1433</v>
      </c>
      <c r="C427" t="s">
        <v>12890</v>
      </c>
      <c r="D427" t="s">
        <v>617</v>
      </c>
      <c r="E427" t="s">
        <v>5357</v>
      </c>
      <c r="F427">
        <v>79.599999999999994</v>
      </c>
      <c r="H427" t="s">
        <v>1976</v>
      </c>
      <c r="L427" t="s">
        <v>1433</v>
      </c>
      <c r="M427" t="s">
        <v>1742</v>
      </c>
      <c r="N427" t="s">
        <v>1738</v>
      </c>
      <c r="O427">
        <v>12</v>
      </c>
    </row>
    <row r="428" spans="2:15" x14ac:dyDescent="0.2">
      <c r="B428" t="s">
        <v>1433</v>
      </c>
      <c r="C428" t="s">
        <v>12890</v>
      </c>
      <c r="D428" t="s">
        <v>617</v>
      </c>
      <c r="E428" t="s">
        <v>5358</v>
      </c>
      <c r="F428">
        <v>39</v>
      </c>
      <c r="H428" t="s">
        <v>1978</v>
      </c>
      <c r="L428" t="s">
        <v>1433</v>
      </c>
      <c r="M428" t="s">
        <v>1743</v>
      </c>
      <c r="N428" t="s">
        <v>1738</v>
      </c>
      <c r="O428">
        <v>400</v>
      </c>
    </row>
    <row r="429" spans="2:15" x14ac:dyDescent="0.2">
      <c r="B429" t="s">
        <v>1433</v>
      </c>
      <c r="C429" t="s">
        <v>12890</v>
      </c>
      <c r="D429" t="s">
        <v>617</v>
      </c>
      <c r="E429" t="s">
        <v>5359</v>
      </c>
      <c r="F429">
        <v>307.62</v>
      </c>
      <c r="H429" t="s">
        <v>1651</v>
      </c>
      <c r="L429" t="s">
        <v>1433</v>
      </c>
      <c r="M429" t="s">
        <v>1744</v>
      </c>
      <c r="N429" t="s">
        <v>1738</v>
      </c>
      <c r="O429">
        <v>1400</v>
      </c>
    </row>
    <row r="430" spans="2:15" x14ac:dyDescent="0.2">
      <c r="B430" t="s">
        <v>1433</v>
      </c>
      <c r="C430" t="s">
        <v>12890</v>
      </c>
      <c r="D430" t="s">
        <v>617</v>
      </c>
      <c r="E430" t="s">
        <v>5360</v>
      </c>
      <c r="F430">
        <v>102.54</v>
      </c>
      <c r="H430" t="s">
        <v>1651</v>
      </c>
      <c r="L430" t="s">
        <v>1433</v>
      </c>
      <c r="M430" t="s">
        <v>1745</v>
      </c>
      <c r="N430" t="s">
        <v>1738</v>
      </c>
      <c r="O430">
        <v>100</v>
      </c>
    </row>
    <row r="431" spans="2:15" x14ac:dyDescent="0.2">
      <c r="B431" t="s">
        <v>1433</v>
      </c>
      <c r="C431" t="s">
        <v>12890</v>
      </c>
      <c r="D431" t="s">
        <v>617</v>
      </c>
      <c r="E431" t="s">
        <v>5361</v>
      </c>
      <c r="F431">
        <v>215.95</v>
      </c>
      <c r="H431" t="s">
        <v>1917</v>
      </c>
      <c r="L431" t="s">
        <v>1433</v>
      </c>
      <c r="M431" t="s">
        <v>1746</v>
      </c>
      <c r="N431" t="s">
        <v>1738</v>
      </c>
      <c r="O431">
        <v>1400</v>
      </c>
    </row>
    <row r="432" spans="2:15" x14ac:dyDescent="0.2">
      <c r="B432" t="s">
        <v>1433</v>
      </c>
      <c r="C432" t="s">
        <v>12890</v>
      </c>
      <c r="D432" t="s">
        <v>617</v>
      </c>
      <c r="E432" t="s">
        <v>5362</v>
      </c>
      <c r="F432">
        <v>21.5</v>
      </c>
      <c r="H432" t="s">
        <v>1449</v>
      </c>
      <c r="L432" t="s">
        <v>1433</v>
      </c>
      <c r="M432" t="s">
        <v>1747</v>
      </c>
      <c r="N432" t="s">
        <v>1738</v>
      </c>
      <c r="O432">
        <v>100</v>
      </c>
    </row>
    <row r="433" spans="2:15" x14ac:dyDescent="0.2">
      <c r="B433" t="s">
        <v>1433</v>
      </c>
      <c r="C433" t="s">
        <v>12890</v>
      </c>
      <c r="D433" t="s">
        <v>617</v>
      </c>
      <c r="E433" t="s">
        <v>5363</v>
      </c>
      <c r="F433">
        <v>21.5</v>
      </c>
      <c r="H433" t="s">
        <v>1449</v>
      </c>
      <c r="L433" t="s">
        <v>1433</v>
      </c>
      <c r="M433" t="s">
        <v>1748</v>
      </c>
      <c r="N433" t="s">
        <v>1738</v>
      </c>
      <c r="O433">
        <v>1200</v>
      </c>
    </row>
    <row r="434" spans="2:15" x14ac:dyDescent="0.2">
      <c r="B434" t="s">
        <v>1433</v>
      </c>
      <c r="C434" t="s">
        <v>12890</v>
      </c>
      <c r="D434" t="s">
        <v>617</v>
      </c>
      <c r="E434" t="s">
        <v>5364</v>
      </c>
      <c r="F434">
        <v>159.30000000000001</v>
      </c>
      <c r="H434" t="s">
        <v>2025</v>
      </c>
      <c r="L434" t="s">
        <v>1433</v>
      </c>
      <c r="M434" t="s">
        <v>1749</v>
      </c>
      <c r="N434" t="s">
        <v>1738</v>
      </c>
      <c r="O434">
        <v>1350</v>
      </c>
    </row>
    <row r="435" spans="2:15" x14ac:dyDescent="0.2">
      <c r="B435" t="s">
        <v>1433</v>
      </c>
      <c r="C435" t="s">
        <v>12890</v>
      </c>
      <c r="D435" t="s">
        <v>617</v>
      </c>
      <c r="E435" t="s">
        <v>5365</v>
      </c>
      <c r="F435">
        <v>9.7899999999999991</v>
      </c>
      <c r="H435" t="s">
        <v>1806</v>
      </c>
      <c r="L435" t="s">
        <v>1433</v>
      </c>
      <c r="M435" t="s">
        <v>1750</v>
      </c>
      <c r="N435" t="s">
        <v>1738</v>
      </c>
      <c r="O435">
        <v>500</v>
      </c>
    </row>
    <row r="436" spans="2:15" x14ac:dyDescent="0.2">
      <c r="B436" t="s">
        <v>1433</v>
      </c>
      <c r="C436" t="s">
        <v>12890</v>
      </c>
      <c r="D436" t="s">
        <v>617</v>
      </c>
      <c r="E436" t="s">
        <v>5366</v>
      </c>
      <c r="F436">
        <v>37.18</v>
      </c>
      <c r="H436" t="s">
        <v>1918</v>
      </c>
      <c r="L436" t="s">
        <v>1433</v>
      </c>
      <c r="M436" t="s">
        <v>1751</v>
      </c>
      <c r="N436" t="s">
        <v>1738</v>
      </c>
      <c r="O436">
        <v>150</v>
      </c>
    </row>
    <row r="437" spans="2:15" x14ac:dyDescent="0.2">
      <c r="B437" t="s">
        <v>1433</v>
      </c>
      <c r="C437" t="s">
        <v>12890</v>
      </c>
      <c r="D437" t="s">
        <v>617</v>
      </c>
      <c r="E437" t="s">
        <v>5367</v>
      </c>
      <c r="F437">
        <v>14.87</v>
      </c>
      <c r="H437" t="s">
        <v>1918</v>
      </c>
      <c r="L437" t="s">
        <v>1433</v>
      </c>
      <c r="M437" t="s">
        <v>1752</v>
      </c>
      <c r="N437" t="s">
        <v>1738</v>
      </c>
      <c r="O437">
        <v>750</v>
      </c>
    </row>
    <row r="438" spans="2:15" x14ac:dyDescent="0.2">
      <c r="B438" t="s">
        <v>1433</v>
      </c>
      <c r="C438" t="s">
        <v>12890</v>
      </c>
      <c r="D438" t="s">
        <v>617</v>
      </c>
      <c r="E438" t="s">
        <v>5368</v>
      </c>
      <c r="F438">
        <v>1011.3</v>
      </c>
      <c r="H438" t="s">
        <v>1918</v>
      </c>
      <c r="L438" t="s">
        <v>1433</v>
      </c>
      <c r="M438" t="s">
        <v>1753</v>
      </c>
      <c r="N438" t="s">
        <v>1738</v>
      </c>
      <c r="O438">
        <v>30</v>
      </c>
    </row>
    <row r="439" spans="2:15" x14ac:dyDescent="0.2">
      <c r="B439" t="s">
        <v>1433</v>
      </c>
      <c r="C439" t="s">
        <v>12890</v>
      </c>
      <c r="D439" t="s">
        <v>617</v>
      </c>
      <c r="E439" t="s">
        <v>5369</v>
      </c>
      <c r="F439">
        <v>13.31</v>
      </c>
      <c r="H439" t="s">
        <v>2066</v>
      </c>
      <c r="L439" t="s">
        <v>1433</v>
      </c>
      <c r="M439" t="s">
        <v>1754</v>
      </c>
      <c r="N439" t="s">
        <v>1755</v>
      </c>
      <c r="O439">
        <v>2</v>
      </c>
    </row>
    <row r="440" spans="2:15" x14ac:dyDescent="0.2">
      <c r="B440" t="s">
        <v>1433</v>
      </c>
      <c r="C440" t="s">
        <v>12890</v>
      </c>
      <c r="D440" t="s">
        <v>617</v>
      </c>
      <c r="E440" t="s">
        <v>5370</v>
      </c>
      <c r="F440">
        <v>136.18</v>
      </c>
      <c r="H440" t="s">
        <v>2067</v>
      </c>
      <c r="L440" t="s">
        <v>1433</v>
      </c>
      <c r="M440" t="s">
        <v>1756</v>
      </c>
      <c r="N440" t="s">
        <v>1755</v>
      </c>
      <c r="O440">
        <v>2</v>
      </c>
    </row>
    <row r="441" spans="2:15" x14ac:dyDescent="0.2">
      <c r="B441" t="s">
        <v>1433</v>
      </c>
      <c r="C441" t="s">
        <v>12890</v>
      </c>
      <c r="D441" t="s">
        <v>617</v>
      </c>
      <c r="E441" t="s">
        <v>5371</v>
      </c>
      <c r="F441">
        <v>10.01</v>
      </c>
      <c r="H441" t="s">
        <v>1919</v>
      </c>
      <c r="L441" t="s">
        <v>1433</v>
      </c>
      <c r="M441" t="s">
        <v>1757</v>
      </c>
      <c r="N441" t="s">
        <v>1755</v>
      </c>
      <c r="O441">
        <v>2</v>
      </c>
    </row>
    <row r="442" spans="2:15" x14ac:dyDescent="0.2">
      <c r="B442" t="s">
        <v>1433</v>
      </c>
      <c r="C442" t="s">
        <v>12890</v>
      </c>
      <c r="D442" t="s">
        <v>617</v>
      </c>
      <c r="E442" t="s">
        <v>5372</v>
      </c>
      <c r="F442">
        <v>17.690000000000001</v>
      </c>
      <c r="H442" t="s">
        <v>1919</v>
      </c>
      <c r="L442" t="s">
        <v>1433</v>
      </c>
      <c r="M442" t="s">
        <v>1758</v>
      </c>
      <c r="N442" t="s">
        <v>1755</v>
      </c>
      <c r="O442">
        <v>2</v>
      </c>
    </row>
    <row r="443" spans="2:15" x14ac:dyDescent="0.2">
      <c r="B443" t="s">
        <v>1433</v>
      </c>
      <c r="C443" t="s">
        <v>12890</v>
      </c>
      <c r="D443" t="s">
        <v>617</v>
      </c>
      <c r="E443" t="s">
        <v>5373</v>
      </c>
      <c r="F443">
        <v>187.2</v>
      </c>
      <c r="H443" t="s">
        <v>2026</v>
      </c>
      <c r="L443" t="s">
        <v>1433</v>
      </c>
      <c r="M443" t="s">
        <v>1759</v>
      </c>
      <c r="N443" t="s">
        <v>1755</v>
      </c>
      <c r="O443">
        <v>2</v>
      </c>
    </row>
    <row r="444" spans="2:15" x14ac:dyDescent="0.2">
      <c r="B444" t="s">
        <v>1433</v>
      </c>
      <c r="C444" t="s">
        <v>12890</v>
      </c>
      <c r="D444" t="s">
        <v>617</v>
      </c>
      <c r="E444" t="s">
        <v>5374</v>
      </c>
      <c r="F444">
        <v>19.95</v>
      </c>
      <c r="H444" t="s">
        <v>1450</v>
      </c>
      <c r="L444" t="s">
        <v>1433</v>
      </c>
      <c r="M444" t="s">
        <v>1760</v>
      </c>
      <c r="N444" t="s">
        <v>1761</v>
      </c>
      <c r="O444">
        <v>60</v>
      </c>
    </row>
    <row r="445" spans="2:15" x14ac:dyDescent="0.2">
      <c r="B445" t="s">
        <v>1433</v>
      </c>
      <c r="C445" t="s">
        <v>12890</v>
      </c>
      <c r="D445" t="s">
        <v>617</v>
      </c>
      <c r="E445" t="s">
        <v>5375</v>
      </c>
      <c r="F445">
        <v>15.6</v>
      </c>
      <c r="H445" t="s">
        <v>1450</v>
      </c>
      <c r="L445" t="s">
        <v>1433</v>
      </c>
      <c r="M445" t="s">
        <v>1762</v>
      </c>
      <c r="N445" t="s">
        <v>1761</v>
      </c>
      <c r="O445">
        <v>350</v>
      </c>
    </row>
    <row r="446" spans="2:15" x14ac:dyDescent="0.2">
      <c r="B446" t="s">
        <v>1433</v>
      </c>
      <c r="C446" t="s">
        <v>12890</v>
      </c>
      <c r="D446" t="s">
        <v>617</v>
      </c>
      <c r="E446" t="s">
        <v>5376</v>
      </c>
      <c r="F446">
        <v>46.98</v>
      </c>
      <c r="H446" t="s">
        <v>1544</v>
      </c>
      <c r="L446" t="s">
        <v>1433</v>
      </c>
      <c r="M446" t="s">
        <v>1763</v>
      </c>
      <c r="N446" t="s">
        <v>1761</v>
      </c>
      <c r="O446">
        <v>70</v>
      </c>
    </row>
    <row r="447" spans="2:15" x14ac:dyDescent="0.2">
      <c r="B447" t="s">
        <v>1433</v>
      </c>
      <c r="C447" t="s">
        <v>12890</v>
      </c>
      <c r="D447" t="s">
        <v>617</v>
      </c>
      <c r="E447" t="s">
        <v>5377</v>
      </c>
      <c r="F447">
        <v>72</v>
      </c>
      <c r="H447" t="s">
        <v>1544</v>
      </c>
      <c r="L447" t="s">
        <v>1433</v>
      </c>
      <c r="M447" t="s">
        <v>1764</v>
      </c>
      <c r="N447" t="s">
        <v>1765</v>
      </c>
      <c r="O447">
        <v>40</v>
      </c>
    </row>
    <row r="448" spans="2:15" x14ac:dyDescent="0.2">
      <c r="B448" t="s">
        <v>1433</v>
      </c>
      <c r="C448" t="s">
        <v>12890</v>
      </c>
      <c r="D448" t="s">
        <v>617</v>
      </c>
      <c r="E448" t="s">
        <v>5378</v>
      </c>
      <c r="F448">
        <v>180</v>
      </c>
      <c r="H448" t="s">
        <v>1544</v>
      </c>
      <c r="L448" t="s">
        <v>1433</v>
      </c>
      <c r="M448" t="s">
        <v>1766</v>
      </c>
      <c r="N448" t="s">
        <v>1765</v>
      </c>
      <c r="O448">
        <v>40</v>
      </c>
    </row>
    <row r="449" spans="2:15" x14ac:dyDescent="0.2">
      <c r="B449" t="s">
        <v>1433</v>
      </c>
      <c r="C449" t="s">
        <v>12890</v>
      </c>
      <c r="D449" t="s">
        <v>617</v>
      </c>
      <c r="E449" t="s">
        <v>5379</v>
      </c>
      <c r="F449">
        <v>206.1</v>
      </c>
      <c r="H449" t="s">
        <v>2027</v>
      </c>
      <c r="L449" t="s">
        <v>1433</v>
      </c>
      <c r="M449" t="s">
        <v>1767</v>
      </c>
      <c r="N449" t="s">
        <v>1765</v>
      </c>
      <c r="O449">
        <v>40</v>
      </c>
    </row>
    <row r="450" spans="2:15" x14ac:dyDescent="0.2">
      <c r="B450" t="s">
        <v>1433</v>
      </c>
      <c r="C450" t="s">
        <v>12890</v>
      </c>
      <c r="D450" t="s">
        <v>617</v>
      </c>
      <c r="E450" t="s">
        <v>5380</v>
      </c>
      <c r="F450">
        <v>61</v>
      </c>
      <c r="H450" t="s">
        <v>2028</v>
      </c>
      <c r="L450" t="s">
        <v>1433</v>
      </c>
      <c r="M450" t="s">
        <v>1768</v>
      </c>
      <c r="N450" t="s">
        <v>1765</v>
      </c>
      <c r="O450">
        <v>60</v>
      </c>
    </row>
    <row r="451" spans="2:15" x14ac:dyDescent="0.2">
      <c r="B451" t="s">
        <v>1433</v>
      </c>
      <c r="C451" t="s">
        <v>12890</v>
      </c>
      <c r="D451" t="s">
        <v>617</v>
      </c>
      <c r="E451" t="s">
        <v>5381</v>
      </c>
      <c r="F451">
        <v>389.61</v>
      </c>
      <c r="H451" t="s">
        <v>2030</v>
      </c>
      <c r="L451" t="s">
        <v>1433</v>
      </c>
      <c r="M451" t="s">
        <v>1769</v>
      </c>
      <c r="N451" t="s">
        <v>1765</v>
      </c>
      <c r="O451">
        <v>1000</v>
      </c>
    </row>
    <row r="452" spans="2:15" x14ac:dyDescent="0.2">
      <c r="B452" t="s">
        <v>1433</v>
      </c>
      <c r="C452" t="s">
        <v>12890</v>
      </c>
      <c r="D452" t="s">
        <v>617</v>
      </c>
      <c r="E452" t="s">
        <v>5382</v>
      </c>
      <c r="F452">
        <v>3.6</v>
      </c>
      <c r="H452" t="s">
        <v>1807</v>
      </c>
      <c r="L452" t="s">
        <v>1433</v>
      </c>
      <c r="M452" t="s">
        <v>1770</v>
      </c>
      <c r="N452" t="s">
        <v>1765</v>
      </c>
      <c r="O452">
        <v>700</v>
      </c>
    </row>
    <row r="453" spans="2:15" x14ac:dyDescent="0.2">
      <c r="B453" t="s">
        <v>1433</v>
      </c>
      <c r="C453" t="s">
        <v>12890</v>
      </c>
      <c r="D453" t="s">
        <v>617</v>
      </c>
      <c r="E453" t="s">
        <v>5383</v>
      </c>
      <c r="F453">
        <v>5.68</v>
      </c>
      <c r="H453" t="s">
        <v>1807</v>
      </c>
      <c r="L453" t="s">
        <v>1433</v>
      </c>
      <c r="M453" t="s">
        <v>1771</v>
      </c>
      <c r="N453" t="s">
        <v>1765</v>
      </c>
      <c r="O453">
        <v>20</v>
      </c>
    </row>
    <row r="454" spans="2:15" x14ac:dyDescent="0.2">
      <c r="B454" t="s">
        <v>1433</v>
      </c>
      <c r="C454" t="s">
        <v>12890</v>
      </c>
      <c r="D454" t="s">
        <v>617</v>
      </c>
      <c r="E454" t="s">
        <v>5384</v>
      </c>
      <c r="F454">
        <v>66.72</v>
      </c>
      <c r="H454" t="s">
        <v>2099</v>
      </c>
      <c r="L454" t="s">
        <v>1433</v>
      </c>
      <c r="M454" t="s">
        <v>1772</v>
      </c>
      <c r="N454" t="s">
        <v>1505</v>
      </c>
      <c r="O454">
        <v>16</v>
      </c>
    </row>
    <row r="455" spans="2:15" x14ac:dyDescent="0.2">
      <c r="B455" t="s">
        <v>1433</v>
      </c>
      <c r="C455" t="s">
        <v>12890</v>
      </c>
      <c r="D455" t="s">
        <v>617</v>
      </c>
      <c r="E455" t="s">
        <v>5385</v>
      </c>
      <c r="F455">
        <v>848.7</v>
      </c>
      <c r="H455" t="s">
        <v>2031</v>
      </c>
      <c r="L455" t="s">
        <v>1433</v>
      </c>
      <c r="M455" t="s">
        <v>1773</v>
      </c>
      <c r="N455" t="s">
        <v>1774</v>
      </c>
      <c r="O455">
        <v>32</v>
      </c>
    </row>
    <row r="456" spans="2:15" x14ac:dyDescent="0.2">
      <c r="B456" t="s">
        <v>1433</v>
      </c>
      <c r="C456" t="s">
        <v>12890</v>
      </c>
      <c r="D456" t="s">
        <v>617</v>
      </c>
      <c r="E456" t="s">
        <v>5386</v>
      </c>
      <c r="F456">
        <v>333.96</v>
      </c>
      <c r="H456" t="s">
        <v>1982</v>
      </c>
      <c r="L456" t="s">
        <v>1433</v>
      </c>
      <c r="M456" t="s">
        <v>1775</v>
      </c>
      <c r="N456" t="s">
        <v>1774</v>
      </c>
      <c r="O456">
        <v>32</v>
      </c>
    </row>
    <row r="457" spans="2:15" x14ac:dyDescent="0.2">
      <c r="B457" t="s">
        <v>1433</v>
      </c>
      <c r="C457" t="s">
        <v>12890</v>
      </c>
      <c r="D457" t="s">
        <v>617</v>
      </c>
      <c r="E457" t="s">
        <v>5387</v>
      </c>
      <c r="F457">
        <v>119.98</v>
      </c>
      <c r="H457" t="s">
        <v>5388</v>
      </c>
      <c r="L457" t="s">
        <v>1433</v>
      </c>
      <c r="M457" t="s">
        <v>1776</v>
      </c>
      <c r="N457" t="s">
        <v>1466</v>
      </c>
      <c r="O457">
        <v>23</v>
      </c>
    </row>
    <row r="458" spans="2:15" x14ac:dyDescent="0.2">
      <c r="B458" t="s">
        <v>1433</v>
      </c>
      <c r="C458" t="s">
        <v>12890</v>
      </c>
      <c r="D458" t="s">
        <v>617</v>
      </c>
      <c r="E458" t="s">
        <v>5389</v>
      </c>
      <c r="F458">
        <v>78.709999999999994</v>
      </c>
      <c r="H458" t="s">
        <v>2068</v>
      </c>
      <c r="L458" t="s">
        <v>1433</v>
      </c>
      <c r="M458" t="s">
        <v>1777</v>
      </c>
      <c r="N458" t="s">
        <v>1466</v>
      </c>
      <c r="O458">
        <v>10</v>
      </c>
    </row>
    <row r="459" spans="2:15" x14ac:dyDescent="0.2">
      <c r="B459" t="s">
        <v>1433</v>
      </c>
      <c r="C459" t="s">
        <v>12890</v>
      </c>
      <c r="D459" t="s">
        <v>617</v>
      </c>
      <c r="E459" t="s">
        <v>5390</v>
      </c>
      <c r="F459">
        <v>2.41</v>
      </c>
      <c r="H459" t="s">
        <v>2069</v>
      </c>
      <c r="L459" t="s">
        <v>1433</v>
      </c>
      <c r="M459" t="s">
        <v>1778</v>
      </c>
      <c r="N459" t="s">
        <v>1779</v>
      </c>
      <c r="O459">
        <v>2</v>
      </c>
    </row>
    <row r="460" spans="2:15" x14ac:dyDescent="0.2">
      <c r="B460" t="s">
        <v>1433</v>
      </c>
      <c r="C460" t="s">
        <v>12890</v>
      </c>
      <c r="D460" t="s">
        <v>617</v>
      </c>
      <c r="E460" t="s">
        <v>5391</v>
      </c>
      <c r="F460">
        <v>9.64</v>
      </c>
      <c r="H460" t="s">
        <v>2069</v>
      </c>
      <c r="L460" t="s">
        <v>1433</v>
      </c>
      <c r="M460" t="s">
        <v>1545</v>
      </c>
      <c r="N460" t="s">
        <v>1780</v>
      </c>
      <c r="O460">
        <v>2</v>
      </c>
    </row>
    <row r="461" spans="2:15" x14ac:dyDescent="0.2">
      <c r="B461" t="s">
        <v>1433</v>
      </c>
      <c r="C461" t="s">
        <v>12890</v>
      </c>
      <c r="D461" t="s">
        <v>617</v>
      </c>
      <c r="E461" t="s">
        <v>5392</v>
      </c>
      <c r="F461">
        <v>225.05</v>
      </c>
      <c r="H461" t="s">
        <v>2070</v>
      </c>
      <c r="L461" t="s">
        <v>1433</v>
      </c>
      <c r="M461" t="s">
        <v>1547</v>
      </c>
      <c r="N461" t="s">
        <v>1780</v>
      </c>
      <c r="O461">
        <v>2</v>
      </c>
    </row>
    <row r="462" spans="2:15" x14ac:dyDescent="0.2">
      <c r="B462" t="s">
        <v>1433</v>
      </c>
      <c r="C462" t="s">
        <v>12890</v>
      </c>
      <c r="D462" t="s">
        <v>617</v>
      </c>
      <c r="E462" t="s">
        <v>5393</v>
      </c>
      <c r="F462">
        <v>105.69</v>
      </c>
      <c r="H462" t="s">
        <v>2021</v>
      </c>
      <c r="L462" t="s">
        <v>1433</v>
      </c>
      <c r="M462" t="s">
        <v>1548</v>
      </c>
      <c r="N462" t="s">
        <v>1780</v>
      </c>
      <c r="O462">
        <v>2</v>
      </c>
    </row>
    <row r="463" spans="2:15" x14ac:dyDescent="0.2">
      <c r="B463" t="s">
        <v>1433</v>
      </c>
      <c r="C463" t="s">
        <v>12890</v>
      </c>
      <c r="D463" t="s">
        <v>617</v>
      </c>
      <c r="E463" t="s">
        <v>5394</v>
      </c>
      <c r="F463">
        <v>184.03</v>
      </c>
      <c r="H463" t="s">
        <v>5395</v>
      </c>
      <c r="L463" t="s">
        <v>1433</v>
      </c>
      <c r="M463" t="s">
        <v>1781</v>
      </c>
      <c r="N463" t="s">
        <v>1782</v>
      </c>
      <c r="O463">
        <v>4</v>
      </c>
    </row>
    <row r="464" spans="2:15" x14ac:dyDescent="0.2">
      <c r="B464" t="s">
        <v>1433</v>
      </c>
      <c r="C464" t="s">
        <v>12890</v>
      </c>
      <c r="D464" t="s">
        <v>617</v>
      </c>
      <c r="E464" t="s">
        <v>5396</v>
      </c>
      <c r="F464">
        <v>187.2</v>
      </c>
      <c r="H464" t="s">
        <v>2080</v>
      </c>
      <c r="L464" t="s">
        <v>1433</v>
      </c>
      <c r="M464" t="s">
        <v>1783</v>
      </c>
      <c r="N464" t="s">
        <v>1782</v>
      </c>
      <c r="O464">
        <v>16</v>
      </c>
    </row>
    <row r="465" spans="2:15" x14ac:dyDescent="0.2">
      <c r="B465" t="s">
        <v>1433</v>
      </c>
      <c r="C465" t="s">
        <v>12890</v>
      </c>
      <c r="D465" t="s">
        <v>617</v>
      </c>
      <c r="E465" t="s">
        <v>5397</v>
      </c>
      <c r="F465">
        <v>99.4</v>
      </c>
      <c r="H465" t="s">
        <v>1985</v>
      </c>
      <c r="L465" t="s">
        <v>1433</v>
      </c>
      <c r="M465" t="s">
        <v>1784</v>
      </c>
      <c r="N465" t="s">
        <v>1782</v>
      </c>
      <c r="O465">
        <v>16</v>
      </c>
    </row>
    <row r="466" spans="2:15" x14ac:dyDescent="0.2">
      <c r="B466" t="s">
        <v>1433</v>
      </c>
      <c r="C466" t="s">
        <v>12890</v>
      </c>
      <c r="D466" t="s">
        <v>617</v>
      </c>
      <c r="E466" t="s">
        <v>5398</v>
      </c>
      <c r="F466">
        <v>477.4</v>
      </c>
      <c r="H466" t="s">
        <v>1809</v>
      </c>
      <c r="L466" t="s">
        <v>1433</v>
      </c>
      <c r="M466" t="s">
        <v>1785</v>
      </c>
      <c r="N466" t="s">
        <v>1782</v>
      </c>
      <c r="O466">
        <v>4</v>
      </c>
    </row>
    <row r="467" spans="2:15" x14ac:dyDescent="0.2">
      <c r="B467" t="s">
        <v>1433</v>
      </c>
      <c r="C467" t="s">
        <v>12890</v>
      </c>
      <c r="D467" t="s">
        <v>617</v>
      </c>
      <c r="E467" t="s">
        <v>5399</v>
      </c>
      <c r="F467">
        <v>-477.4</v>
      </c>
      <c r="H467" t="s">
        <v>1809</v>
      </c>
      <c r="L467" t="s">
        <v>1433</v>
      </c>
      <c r="M467" t="s">
        <v>1786</v>
      </c>
      <c r="N467" t="s">
        <v>1787</v>
      </c>
      <c r="O467">
        <v>28</v>
      </c>
    </row>
    <row r="468" spans="2:15" x14ac:dyDescent="0.2">
      <c r="B468" t="s">
        <v>1433</v>
      </c>
      <c r="C468" t="s">
        <v>12890</v>
      </c>
      <c r="D468" t="s">
        <v>617</v>
      </c>
      <c r="E468" t="s">
        <v>5400</v>
      </c>
      <c r="F468">
        <v>477.4</v>
      </c>
      <c r="H468" t="s">
        <v>1809</v>
      </c>
      <c r="L468" t="s">
        <v>1433</v>
      </c>
      <c r="M468" t="s">
        <v>1788</v>
      </c>
      <c r="N468" t="s">
        <v>1787</v>
      </c>
      <c r="O468">
        <v>32</v>
      </c>
    </row>
    <row r="469" spans="2:15" x14ac:dyDescent="0.2">
      <c r="B469" t="s">
        <v>1433</v>
      </c>
      <c r="C469" t="s">
        <v>12890</v>
      </c>
      <c r="D469" t="s">
        <v>617</v>
      </c>
      <c r="E469" t="s">
        <v>5401</v>
      </c>
      <c r="F469">
        <v>47.74</v>
      </c>
      <c r="H469" t="s">
        <v>1809</v>
      </c>
      <c r="L469" t="s">
        <v>1433</v>
      </c>
      <c r="M469" t="s">
        <v>1789</v>
      </c>
      <c r="N469" t="s">
        <v>1787</v>
      </c>
      <c r="O469">
        <v>2</v>
      </c>
    </row>
    <row r="470" spans="2:15" x14ac:dyDescent="0.2">
      <c r="B470" t="s">
        <v>1433</v>
      </c>
      <c r="C470" t="s">
        <v>12890</v>
      </c>
      <c r="D470" t="s">
        <v>617</v>
      </c>
      <c r="E470" t="s">
        <v>5402</v>
      </c>
      <c r="F470">
        <v>-47.74</v>
      </c>
      <c r="H470" t="s">
        <v>1809</v>
      </c>
      <c r="L470" t="s">
        <v>1433</v>
      </c>
      <c r="M470" t="s">
        <v>1790</v>
      </c>
      <c r="N470" t="s">
        <v>1791</v>
      </c>
      <c r="O470">
        <v>125</v>
      </c>
    </row>
    <row r="471" spans="2:15" x14ac:dyDescent="0.2">
      <c r="B471" t="s">
        <v>1433</v>
      </c>
      <c r="C471" t="s">
        <v>12890</v>
      </c>
      <c r="D471" t="s">
        <v>617</v>
      </c>
      <c r="E471" t="s">
        <v>5403</v>
      </c>
      <c r="F471">
        <v>47.74</v>
      </c>
      <c r="H471" t="s">
        <v>1809</v>
      </c>
      <c r="L471" t="s">
        <v>1433</v>
      </c>
      <c r="M471" t="s">
        <v>1792</v>
      </c>
      <c r="N471" t="s">
        <v>1791</v>
      </c>
      <c r="O471">
        <v>125</v>
      </c>
    </row>
    <row r="472" spans="2:15" x14ac:dyDescent="0.2">
      <c r="B472" t="s">
        <v>1433</v>
      </c>
      <c r="C472" t="s">
        <v>12890</v>
      </c>
      <c r="D472" t="s">
        <v>617</v>
      </c>
      <c r="E472" t="s">
        <v>5404</v>
      </c>
      <c r="F472">
        <v>620.62</v>
      </c>
      <c r="H472" t="s">
        <v>1809</v>
      </c>
      <c r="L472" t="s">
        <v>1433</v>
      </c>
      <c r="M472" t="s">
        <v>1793</v>
      </c>
      <c r="N472" t="s">
        <v>1791</v>
      </c>
      <c r="O472">
        <v>25</v>
      </c>
    </row>
    <row r="473" spans="2:15" x14ac:dyDescent="0.2">
      <c r="B473" t="s">
        <v>1433</v>
      </c>
      <c r="C473" t="s">
        <v>12890</v>
      </c>
      <c r="D473" t="s">
        <v>617</v>
      </c>
      <c r="E473" t="s">
        <v>5405</v>
      </c>
      <c r="F473">
        <v>198.29</v>
      </c>
      <c r="H473" t="s">
        <v>1811</v>
      </c>
      <c r="L473" t="s">
        <v>1433</v>
      </c>
      <c r="M473" t="s">
        <v>1794</v>
      </c>
      <c r="N473" t="s">
        <v>1791</v>
      </c>
      <c r="O473">
        <v>50</v>
      </c>
    </row>
    <row r="474" spans="2:15" x14ac:dyDescent="0.2">
      <c r="B474" t="s">
        <v>1433</v>
      </c>
      <c r="C474" t="s">
        <v>12890</v>
      </c>
      <c r="D474" t="s">
        <v>617</v>
      </c>
      <c r="E474" t="s">
        <v>5406</v>
      </c>
      <c r="F474">
        <v>-198.29</v>
      </c>
      <c r="H474" t="s">
        <v>1811</v>
      </c>
      <c r="L474" t="s">
        <v>1433</v>
      </c>
      <c r="M474" t="s">
        <v>1795</v>
      </c>
      <c r="N474" t="s">
        <v>1791</v>
      </c>
      <c r="O474">
        <v>25</v>
      </c>
    </row>
    <row r="475" spans="2:15" x14ac:dyDescent="0.2">
      <c r="B475" t="s">
        <v>1433</v>
      </c>
      <c r="C475" t="s">
        <v>12890</v>
      </c>
      <c r="D475" t="s">
        <v>617</v>
      </c>
      <c r="E475" t="s">
        <v>5407</v>
      </c>
      <c r="F475">
        <v>198.29</v>
      </c>
      <c r="H475" t="s">
        <v>1811</v>
      </c>
      <c r="L475" t="s">
        <v>1433</v>
      </c>
      <c r="M475" t="s">
        <v>1796</v>
      </c>
      <c r="N475" t="s">
        <v>1791</v>
      </c>
      <c r="O475">
        <v>50</v>
      </c>
    </row>
    <row r="476" spans="2:15" x14ac:dyDescent="0.2">
      <c r="B476" t="s">
        <v>1433</v>
      </c>
      <c r="C476" t="s">
        <v>12890</v>
      </c>
      <c r="D476" t="s">
        <v>617</v>
      </c>
      <c r="E476" t="s">
        <v>5408</v>
      </c>
      <c r="F476">
        <v>1218.08</v>
      </c>
      <c r="H476" t="s">
        <v>1811</v>
      </c>
      <c r="L476" t="s">
        <v>1433</v>
      </c>
      <c r="M476" t="s">
        <v>1797</v>
      </c>
      <c r="N476" t="s">
        <v>1791</v>
      </c>
      <c r="O476">
        <v>25</v>
      </c>
    </row>
    <row r="477" spans="2:15" x14ac:dyDescent="0.2">
      <c r="B477" t="s">
        <v>1433</v>
      </c>
      <c r="C477" t="s">
        <v>12890</v>
      </c>
      <c r="D477" t="s">
        <v>617</v>
      </c>
      <c r="E477" t="s">
        <v>5409</v>
      </c>
      <c r="F477">
        <v>148.38999999999999</v>
      </c>
      <c r="H477" t="s">
        <v>1790</v>
      </c>
      <c r="L477" t="s">
        <v>1433</v>
      </c>
      <c r="M477" t="s">
        <v>1798</v>
      </c>
      <c r="N477" t="s">
        <v>1791</v>
      </c>
      <c r="O477">
        <v>25</v>
      </c>
    </row>
    <row r="478" spans="2:15" x14ac:dyDescent="0.2">
      <c r="B478" t="s">
        <v>1433</v>
      </c>
      <c r="C478" t="s">
        <v>12890</v>
      </c>
      <c r="D478" t="s">
        <v>617</v>
      </c>
      <c r="E478" t="s">
        <v>5410</v>
      </c>
      <c r="F478">
        <v>100.7</v>
      </c>
      <c r="H478" t="s">
        <v>1792</v>
      </c>
      <c r="L478" t="s">
        <v>1433</v>
      </c>
      <c r="M478" t="s">
        <v>1799</v>
      </c>
      <c r="N478" t="s">
        <v>1791</v>
      </c>
      <c r="O478">
        <v>125</v>
      </c>
    </row>
    <row r="479" spans="2:15" x14ac:dyDescent="0.2">
      <c r="B479" t="s">
        <v>1433</v>
      </c>
      <c r="C479" t="s">
        <v>12890</v>
      </c>
      <c r="D479" t="s">
        <v>617</v>
      </c>
      <c r="E479" t="s">
        <v>5411</v>
      </c>
      <c r="F479">
        <v>426</v>
      </c>
      <c r="H479" t="s">
        <v>1794</v>
      </c>
      <c r="L479" t="s">
        <v>1433</v>
      </c>
      <c r="M479" t="s">
        <v>1800</v>
      </c>
      <c r="N479" t="s">
        <v>1791</v>
      </c>
      <c r="O479">
        <v>125</v>
      </c>
    </row>
    <row r="480" spans="2:15" x14ac:dyDescent="0.2">
      <c r="B480" t="s">
        <v>1433</v>
      </c>
      <c r="C480" t="s">
        <v>12890</v>
      </c>
      <c r="D480" t="s">
        <v>617</v>
      </c>
      <c r="E480" t="s">
        <v>5412</v>
      </c>
      <c r="F480">
        <v>724.2</v>
      </c>
      <c r="H480" t="s">
        <v>1794</v>
      </c>
      <c r="L480" t="s">
        <v>1433</v>
      </c>
      <c r="M480" t="s">
        <v>1801</v>
      </c>
      <c r="N480" t="s">
        <v>1802</v>
      </c>
      <c r="O480">
        <v>1200</v>
      </c>
    </row>
    <row r="481" spans="2:15" x14ac:dyDescent="0.2">
      <c r="B481" t="s">
        <v>1433</v>
      </c>
      <c r="C481" t="s">
        <v>12890</v>
      </c>
      <c r="D481" t="s">
        <v>617</v>
      </c>
      <c r="E481" t="s">
        <v>5413</v>
      </c>
      <c r="F481">
        <v>306</v>
      </c>
      <c r="H481" t="s">
        <v>1796</v>
      </c>
      <c r="L481" t="s">
        <v>1433</v>
      </c>
      <c r="M481" t="s">
        <v>1803</v>
      </c>
      <c r="N481" t="s">
        <v>1802</v>
      </c>
      <c r="O481">
        <v>150</v>
      </c>
    </row>
    <row r="482" spans="2:15" x14ac:dyDescent="0.2">
      <c r="B482" t="s">
        <v>1433</v>
      </c>
      <c r="C482" t="s">
        <v>12890</v>
      </c>
      <c r="D482" t="s">
        <v>617</v>
      </c>
      <c r="E482" t="s">
        <v>5414</v>
      </c>
      <c r="F482">
        <v>612</v>
      </c>
      <c r="H482" t="s">
        <v>1796</v>
      </c>
      <c r="L482" t="s">
        <v>1433</v>
      </c>
      <c r="M482" t="s">
        <v>1804</v>
      </c>
      <c r="N482" t="s">
        <v>1802</v>
      </c>
      <c r="O482">
        <v>180</v>
      </c>
    </row>
    <row r="483" spans="2:15" x14ac:dyDescent="0.2">
      <c r="B483" t="s">
        <v>1433</v>
      </c>
      <c r="C483" t="s">
        <v>12890</v>
      </c>
      <c r="D483" t="s">
        <v>617</v>
      </c>
      <c r="E483" t="s">
        <v>5415</v>
      </c>
      <c r="F483">
        <v>277</v>
      </c>
      <c r="H483" t="s">
        <v>1797</v>
      </c>
      <c r="L483" t="s">
        <v>1433</v>
      </c>
      <c r="M483" t="s">
        <v>1805</v>
      </c>
      <c r="N483" t="s">
        <v>1802</v>
      </c>
      <c r="O483">
        <v>60</v>
      </c>
    </row>
    <row r="484" spans="2:15" x14ac:dyDescent="0.2">
      <c r="B484" t="s">
        <v>1433</v>
      </c>
      <c r="C484" t="s">
        <v>12890</v>
      </c>
      <c r="D484" t="s">
        <v>617</v>
      </c>
      <c r="E484" t="s">
        <v>5416</v>
      </c>
      <c r="F484">
        <v>609.4</v>
      </c>
      <c r="H484" t="s">
        <v>1797</v>
      </c>
      <c r="L484" t="s">
        <v>1433</v>
      </c>
      <c r="M484" t="s">
        <v>1806</v>
      </c>
      <c r="N484" t="s">
        <v>1802</v>
      </c>
      <c r="O484">
        <v>100</v>
      </c>
    </row>
    <row r="485" spans="2:15" x14ac:dyDescent="0.2">
      <c r="B485" t="s">
        <v>1433</v>
      </c>
      <c r="C485" t="s">
        <v>12890</v>
      </c>
      <c r="D485" t="s">
        <v>617</v>
      </c>
      <c r="E485" t="s">
        <v>5417</v>
      </c>
      <c r="F485">
        <v>260.75</v>
      </c>
      <c r="H485" t="s">
        <v>1798</v>
      </c>
      <c r="L485" t="s">
        <v>1433</v>
      </c>
      <c r="M485" t="s">
        <v>1807</v>
      </c>
      <c r="N485" t="s">
        <v>1802</v>
      </c>
      <c r="O485">
        <v>8</v>
      </c>
    </row>
    <row r="486" spans="2:15" x14ac:dyDescent="0.2">
      <c r="B486" t="s">
        <v>1433</v>
      </c>
      <c r="C486" t="s">
        <v>12890</v>
      </c>
      <c r="D486" t="s">
        <v>617</v>
      </c>
      <c r="E486" t="s">
        <v>5418</v>
      </c>
      <c r="F486">
        <v>573.65</v>
      </c>
      <c r="H486" t="s">
        <v>1798</v>
      </c>
      <c r="L486" t="s">
        <v>1433</v>
      </c>
      <c r="M486" t="s">
        <v>1808</v>
      </c>
      <c r="N486" t="s">
        <v>1802</v>
      </c>
      <c r="O486">
        <v>36</v>
      </c>
    </row>
    <row r="487" spans="2:15" x14ac:dyDescent="0.2">
      <c r="B487" t="s">
        <v>1433</v>
      </c>
      <c r="C487" t="s">
        <v>12890</v>
      </c>
      <c r="D487" t="s">
        <v>617</v>
      </c>
      <c r="E487" t="s">
        <v>5419</v>
      </c>
      <c r="F487">
        <v>161.1</v>
      </c>
      <c r="H487" t="s">
        <v>2032</v>
      </c>
      <c r="L487" t="s">
        <v>1433</v>
      </c>
      <c r="M487" t="s">
        <v>1809</v>
      </c>
      <c r="N487" t="s">
        <v>1810</v>
      </c>
      <c r="O487">
        <v>50</v>
      </c>
    </row>
    <row r="488" spans="2:15" x14ac:dyDescent="0.2">
      <c r="B488" t="s">
        <v>1433</v>
      </c>
      <c r="C488" t="s">
        <v>12890</v>
      </c>
      <c r="D488" t="s">
        <v>617</v>
      </c>
      <c r="E488" t="s">
        <v>5420</v>
      </c>
      <c r="F488">
        <v>2910.9</v>
      </c>
      <c r="H488" t="s">
        <v>1986</v>
      </c>
      <c r="L488" t="s">
        <v>1433</v>
      </c>
      <c r="M488" t="s">
        <v>1811</v>
      </c>
      <c r="N488" t="s">
        <v>1810</v>
      </c>
      <c r="O488">
        <v>50</v>
      </c>
    </row>
    <row r="489" spans="2:15" x14ac:dyDescent="0.2">
      <c r="B489" t="s">
        <v>1433</v>
      </c>
      <c r="C489" t="s">
        <v>12890</v>
      </c>
      <c r="D489" t="s">
        <v>617</v>
      </c>
      <c r="E489" t="s">
        <v>5421</v>
      </c>
      <c r="F489">
        <v>350.64</v>
      </c>
      <c r="H489" t="s">
        <v>2078</v>
      </c>
      <c r="L489" t="s">
        <v>1433</v>
      </c>
      <c r="M489" t="s">
        <v>1812</v>
      </c>
      <c r="N489" t="s">
        <v>1813</v>
      </c>
      <c r="O489">
        <v>15</v>
      </c>
    </row>
    <row r="490" spans="2:15" x14ac:dyDescent="0.2">
      <c r="B490" t="s">
        <v>1433</v>
      </c>
      <c r="C490" t="s">
        <v>12890</v>
      </c>
      <c r="D490" t="s">
        <v>617</v>
      </c>
      <c r="E490" t="s">
        <v>5422</v>
      </c>
      <c r="F490">
        <v>266.68</v>
      </c>
      <c r="H490" t="s">
        <v>1799</v>
      </c>
      <c r="L490" t="s">
        <v>1433</v>
      </c>
      <c r="M490" t="s">
        <v>1221</v>
      </c>
      <c r="N490" t="s">
        <v>1814</v>
      </c>
      <c r="O490">
        <v>1</v>
      </c>
    </row>
    <row r="491" spans="2:15" x14ac:dyDescent="0.2">
      <c r="B491" t="s">
        <v>1433</v>
      </c>
      <c r="C491" t="s">
        <v>12890</v>
      </c>
      <c r="D491" t="s">
        <v>617</v>
      </c>
      <c r="E491" t="s">
        <v>5423</v>
      </c>
      <c r="F491">
        <v>308.43</v>
      </c>
      <c r="H491" t="s">
        <v>1800</v>
      </c>
      <c r="L491" t="s">
        <v>1433</v>
      </c>
      <c r="M491" t="s">
        <v>1815</v>
      </c>
      <c r="N491" t="s">
        <v>1816</v>
      </c>
      <c r="O491">
        <v>10</v>
      </c>
    </row>
    <row r="492" spans="2:15" x14ac:dyDescent="0.2">
      <c r="B492" t="s">
        <v>1433</v>
      </c>
      <c r="C492" t="s">
        <v>12890</v>
      </c>
      <c r="D492" t="s">
        <v>617</v>
      </c>
      <c r="E492" t="s">
        <v>5424</v>
      </c>
      <c r="F492">
        <v>166.32</v>
      </c>
      <c r="H492" t="s">
        <v>2033</v>
      </c>
      <c r="L492" t="s">
        <v>1433</v>
      </c>
      <c r="M492" t="s">
        <v>1817</v>
      </c>
      <c r="N492" t="s">
        <v>1816</v>
      </c>
      <c r="O492">
        <v>14</v>
      </c>
    </row>
    <row r="493" spans="2:15" x14ac:dyDescent="0.2">
      <c r="B493" t="s">
        <v>1433</v>
      </c>
      <c r="C493" t="s">
        <v>12890</v>
      </c>
      <c r="D493" t="s">
        <v>617</v>
      </c>
      <c r="E493" t="s">
        <v>5425</v>
      </c>
      <c r="F493">
        <v>214.5</v>
      </c>
      <c r="H493" t="s">
        <v>1925</v>
      </c>
      <c r="L493" t="s">
        <v>1433</v>
      </c>
      <c r="M493" t="s">
        <v>1818</v>
      </c>
      <c r="N493" t="s">
        <v>1679</v>
      </c>
      <c r="O493">
        <v>6</v>
      </c>
    </row>
    <row r="494" spans="2:15" x14ac:dyDescent="0.2">
      <c r="B494" t="s">
        <v>1433</v>
      </c>
      <c r="C494" t="s">
        <v>12890</v>
      </c>
      <c r="D494" t="s">
        <v>617</v>
      </c>
      <c r="E494" t="s">
        <v>5426</v>
      </c>
      <c r="F494">
        <v>465.78</v>
      </c>
      <c r="H494" t="s">
        <v>1987</v>
      </c>
      <c r="L494" t="s">
        <v>1433</v>
      </c>
      <c r="M494" t="s">
        <v>1533</v>
      </c>
      <c r="N494" t="s">
        <v>1679</v>
      </c>
      <c r="O494">
        <v>66</v>
      </c>
    </row>
    <row r="495" spans="2:15" x14ac:dyDescent="0.2">
      <c r="B495" t="s">
        <v>1433</v>
      </c>
      <c r="C495" t="s">
        <v>12890</v>
      </c>
      <c r="D495" t="s">
        <v>617</v>
      </c>
      <c r="E495" t="s">
        <v>5427</v>
      </c>
      <c r="F495">
        <v>491.04</v>
      </c>
      <c r="H495" t="s">
        <v>2037</v>
      </c>
      <c r="L495" t="s">
        <v>1433</v>
      </c>
      <c r="M495" t="s">
        <v>1819</v>
      </c>
      <c r="N495" t="s">
        <v>1679</v>
      </c>
      <c r="O495">
        <v>8</v>
      </c>
    </row>
    <row r="496" spans="2:15" x14ac:dyDescent="0.2">
      <c r="B496" t="s">
        <v>1433</v>
      </c>
      <c r="C496" t="s">
        <v>12890</v>
      </c>
      <c r="D496" t="s">
        <v>617</v>
      </c>
      <c r="E496" t="s">
        <v>5428</v>
      </c>
      <c r="F496">
        <v>26.05</v>
      </c>
      <c r="H496" t="s">
        <v>2071</v>
      </c>
      <c r="L496" t="s">
        <v>1433</v>
      </c>
      <c r="M496" t="s">
        <v>1820</v>
      </c>
      <c r="N496" t="s">
        <v>1821</v>
      </c>
      <c r="O496">
        <v>46</v>
      </c>
    </row>
    <row r="497" spans="2:15" x14ac:dyDescent="0.2">
      <c r="B497" t="s">
        <v>1433</v>
      </c>
      <c r="C497" t="s">
        <v>12890</v>
      </c>
      <c r="D497" t="s">
        <v>617</v>
      </c>
      <c r="E497" t="s">
        <v>5429</v>
      </c>
      <c r="F497">
        <v>902.25</v>
      </c>
      <c r="H497" t="s">
        <v>2038</v>
      </c>
      <c r="L497" t="s">
        <v>1433</v>
      </c>
      <c r="M497" t="s">
        <v>1822</v>
      </c>
      <c r="N497" t="s">
        <v>1823</v>
      </c>
      <c r="O497">
        <v>105</v>
      </c>
    </row>
    <row r="498" spans="2:15" x14ac:dyDescent="0.2">
      <c r="B498" t="s">
        <v>1433</v>
      </c>
      <c r="C498" t="s">
        <v>12890</v>
      </c>
      <c r="D498" t="s">
        <v>617</v>
      </c>
      <c r="E498" t="s">
        <v>5430</v>
      </c>
      <c r="F498">
        <v>27.5</v>
      </c>
      <c r="H498" t="s">
        <v>1455</v>
      </c>
      <c r="L498" t="s">
        <v>1433</v>
      </c>
      <c r="M498" t="s">
        <v>1824</v>
      </c>
      <c r="N498" t="s">
        <v>1823</v>
      </c>
      <c r="O498">
        <v>180</v>
      </c>
    </row>
    <row r="499" spans="2:15" x14ac:dyDescent="0.2">
      <c r="B499" t="s">
        <v>1433</v>
      </c>
      <c r="C499" t="s">
        <v>12890</v>
      </c>
      <c r="D499" t="s">
        <v>617</v>
      </c>
      <c r="E499" t="s">
        <v>5431</v>
      </c>
      <c r="F499">
        <v>22</v>
      </c>
      <c r="H499" t="s">
        <v>1455</v>
      </c>
      <c r="L499" t="s">
        <v>1433</v>
      </c>
      <c r="M499" t="s">
        <v>1825</v>
      </c>
      <c r="N499" t="s">
        <v>1823</v>
      </c>
      <c r="O499">
        <v>267</v>
      </c>
    </row>
    <row r="500" spans="2:15" x14ac:dyDescent="0.2">
      <c r="B500" t="s">
        <v>1433</v>
      </c>
      <c r="C500" t="s">
        <v>12890</v>
      </c>
      <c r="D500" t="s">
        <v>617</v>
      </c>
      <c r="E500" t="s">
        <v>5432</v>
      </c>
      <c r="F500">
        <v>115</v>
      </c>
      <c r="H500" t="s">
        <v>1988</v>
      </c>
      <c r="L500" t="s">
        <v>1433</v>
      </c>
      <c r="M500" t="s">
        <v>1826</v>
      </c>
      <c r="N500" t="s">
        <v>1823</v>
      </c>
      <c r="O500">
        <v>168</v>
      </c>
    </row>
    <row r="501" spans="2:15" x14ac:dyDescent="0.2">
      <c r="B501" t="s">
        <v>1433</v>
      </c>
      <c r="C501" t="s">
        <v>12890</v>
      </c>
      <c r="D501" t="s">
        <v>617</v>
      </c>
      <c r="E501" t="s">
        <v>5433</v>
      </c>
      <c r="F501">
        <v>89</v>
      </c>
      <c r="H501" t="s">
        <v>1989</v>
      </c>
      <c r="L501" t="s">
        <v>1433</v>
      </c>
      <c r="M501" t="s">
        <v>1827</v>
      </c>
      <c r="N501" t="s">
        <v>1823</v>
      </c>
      <c r="O501">
        <v>1140</v>
      </c>
    </row>
    <row r="502" spans="2:15" x14ac:dyDescent="0.2">
      <c r="B502" t="s">
        <v>1433</v>
      </c>
      <c r="C502" t="s">
        <v>12890</v>
      </c>
      <c r="D502" t="s">
        <v>617</v>
      </c>
      <c r="E502" t="s">
        <v>5434</v>
      </c>
      <c r="F502">
        <v>152.02000000000001</v>
      </c>
      <c r="H502" t="s">
        <v>1990</v>
      </c>
      <c r="L502" t="s">
        <v>1433</v>
      </c>
      <c r="M502" t="s">
        <v>1828</v>
      </c>
      <c r="N502" t="s">
        <v>1823</v>
      </c>
      <c r="O502">
        <v>800</v>
      </c>
    </row>
    <row r="503" spans="2:15" x14ac:dyDescent="0.2">
      <c r="B503" t="s">
        <v>1433</v>
      </c>
      <c r="C503" t="s">
        <v>12890</v>
      </c>
      <c r="D503" t="s">
        <v>617</v>
      </c>
      <c r="E503" t="s">
        <v>5435</v>
      </c>
      <c r="F503">
        <v>407.36</v>
      </c>
      <c r="H503" t="s">
        <v>1991</v>
      </c>
      <c r="L503" t="s">
        <v>1433</v>
      </c>
      <c r="M503" t="s">
        <v>1829</v>
      </c>
      <c r="N503" t="s">
        <v>1823</v>
      </c>
      <c r="O503">
        <v>1200</v>
      </c>
    </row>
    <row r="504" spans="2:15" x14ac:dyDescent="0.2">
      <c r="B504" t="s">
        <v>1433</v>
      </c>
      <c r="C504" t="s">
        <v>12890</v>
      </c>
      <c r="D504" t="s">
        <v>617</v>
      </c>
      <c r="E504" t="s">
        <v>5436</v>
      </c>
      <c r="F504">
        <v>70.040000000000006</v>
      </c>
      <c r="H504" t="s">
        <v>2101</v>
      </c>
      <c r="L504" t="s">
        <v>1433</v>
      </c>
      <c r="M504" t="s">
        <v>1830</v>
      </c>
      <c r="N504" t="s">
        <v>1823</v>
      </c>
      <c r="O504">
        <v>1400</v>
      </c>
    </row>
    <row r="505" spans="2:15" x14ac:dyDescent="0.2">
      <c r="B505" t="s">
        <v>1433</v>
      </c>
      <c r="C505" t="s">
        <v>12890</v>
      </c>
      <c r="D505" t="s">
        <v>617</v>
      </c>
      <c r="E505" t="s">
        <v>5437</v>
      </c>
      <c r="F505">
        <v>468.73</v>
      </c>
      <c r="H505" t="s">
        <v>2101</v>
      </c>
      <c r="L505" t="s">
        <v>1433</v>
      </c>
      <c r="M505" t="s">
        <v>1831</v>
      </c>
      <c r="N505" t="s">
        <v>1823</v>
      </c>
      <c r="O505">
        <v>105</v>
      </c>
    </row>
    <row r="506" spans="2:15" x14ac:dyDescent="0.2">
      <c r="B506" t="s">
        <v>1433</v>
      </c>
      <c r="C506" t="s">
        <v>12890</v>
      </c>
      <c r="D506" t="s">
        <v>617</v>
      </c>
      <c r="E506" t="s">
        <v>5438</v>
      </c>
      <c r="F506">
        <v>2849.2</v>
      </c>
      <c r="H506" t="s">
        <v>1374</v>
      </c>
      <c r="L506" t="s">
        <v>1433</v>
      </c>
      <c r="M506" t="s">
        <v>1832</v>
      </c>
      <c r="N506" t="s">
        <v>1823</v>
      </c>
      <c r="O506">
        <v>180</v>
      </c>
    </row>
    <row r="507" spans="2:15" x14ac:dyDescent="0.2">
      <c r="B507" t="s">
        <v>1433</v>
      </c>
      <c r="C507" t="s">
        <v>12890</v>
      </c>
      <c r="D507" t="s">
        <v>617</v>
      </c>
      <c r="E507" t="s">
        <v>5439</v>
      </c>
      <c r="F507">
        <v>165.02</v>
      </c>
      <c r="H507" t="s">
        <v>1445</v>
      </c>
      <c r="L507" t="s">
        <v>1433</v>
      </c>
      <c r="M507" t="s">
        <v>1833</v>
      </c>
      <c r="N507" t="s">
        <v>1823</v>
      </c>
      <c r="O507">
        <v>168</v>
      </c>
    </row>
    <row r="508" spans="2:15" x14ac:dyDescent="0.2">
      <c r="B508" t="s">
        <v>1433</v>
      </c>
      <c r="C508" t="s">
        <v>12890</v>
      </c>
      <c r="D508" t="s">
        <v>617</v>
      </c>
      <c r="E508" t="s">
        <v>5440</v>
      </c>
      <c r="F508">
        <v>1485.18</v>
      </c>
      <c r="H508" t="s">
        <v>1445</v>
      </c>
      <c r="L508" t="s">
        <v>1433</v>
      </c>
      <c r="M508" t="s">
        <v>1834</v>
      </c>
      <c r="N508" t="s">
        <v>1823</v>
      </c>
      <c r="O508">
        <v>100</v>
      </c>
    </row>
    <row r="509" spans="2:15" x14ac:dyDescent="0.2">
      <c r="B509" t="s">
        <v>1433</v>
      </c>
      <c r="C509" t="s">
        <v>12890</v>
      </c>
      <c r="D509" t="s">
        <v>617</v>
      </c>
      <c r="E509" t="s">
        <v>5441</v>
      </c>
      <c r="F509">
        <v>299.67</v>
      </c>
      <c r="H509" t="s">
        <v>1923</v>
      </c>
      <c r="L509" t="s">
        <v>1433</v>
      </c>
      <c r="M509" t="s">
        <v>1835</v>
      </c>
      <c r="N509" t="s">
        <v>1823</v>
      </c>
      <c r="O509">
        <v>160</v>
      </c>
    </row>
    <row r="510" spans="2:15" x14ac:dyDescent="0.2">
      <c r="B510" t="s">
        <v>1433</v>
      </c>
      <c r="C510" t="s">
        <v>12890</v>
      </c>
      <c r="D510" t="s">
        <v>617</v>
      </c>
      <c r="E510" t="s">
        <v>5442</v>
      </c>
      <c r="F510">
        <v>91.5</v>
      </c>
      <c r="H510" t="s">
        <v>1963</v>
      </c>
      <c r="L510" t="s">
        <v>1433</v>
      </c>
      <c r="M510" t="s">
        <v>1836</v>
      </c>
      <c r="N510" t="s">
        <v>1823</v>
      </c>
      <c r="O510">
        <v>250</v>
      </c>
    </row>
    <row r="511" spans="2:15" x14ac:dyDescent="0.2">
      <c r="B511" t="s">
        <v>1433</v>
      </c>
      <c r="C511" t="s">
        <v>12890</v>
      </c>
      <c r="D511" t="s">
        <v>617</v>
      </c>
      <c r="E511" t="s">
        <v>5443</v>
      </c>
      <c r="F511">
        <v>946.08</v>
      </c>
      <c r="H511" t="s">
        <v>1963</v>
      </c>
      <c r="L511" t="s">
        <v>1433</v>
      </c>
      <c r="M511" t="s">
        <v>1837</v>
      </c>
      <c r="N511" t="s">
        <v>1823</v>
      </c>
      <c r="O511">
        <v>267</v>
      </c>
    </row>
    <row r="512" spans="2:15" x14ac:dyDescent="0.2">
      <c r="B512" t="s">
        <v>1433</v>
      </c>
      <c r="C512" t="s">
        <v>12890</v>
      </c>
      <c r="D512" t="s">
        <v>617</v>
      </c>
      <c r="E512" t="s">
        <v>5444</v>
      </c>
      <c r="F512">
        <v>1393.88</v>
      </c>
      <c r="H512" t="s">
        <v>1842</v>
      </c>
      <c r="L512" t="s">
        <v>1433</v>
      </c>
      <c r="M512" t="s">
        <v>1838</v>
      </c>
      <c r="N512" t="s">
        <v>1823</v>
      </c>
      <c r="O512">
        <v>160</v>
      </c>
    </row>
    <row r="513" spans="2:15" x14ac:dyDescent="0.2">
      <c r="B513" t="s">
        <v>1433</v>
      </c>
      <c r="C513" t="s">
        <v>12890</v>
      </c>
      <c r="D513" t="s">
        <v>617</v>
      </c>
      <c r="E513" t="s">
        <v>5445</v>
      </c>
      <c r="F513">
        <v>246.1</v>
      </c>
      <c r="H513" t="s">
        <v>1843</v>
      </c>
      <c r="L513" t="s">
        <v>1433</v>
      </c>
      <c r="M513" t="s">
        <v>1839</v>
      </c>
      <c r="N513" t="s">
        <v>1730</v>
      </c>
      <c r="O513">
        <v>6</v>
      </c>
    </row>
    <row r="514" spans="2:15" x14ac:dyDescent="0.2">
      <c r="B514" t="s">
        <v>1433</v>
      </c>
      <c r="C514" t="s">
        <v>12890</v>
      </c>
      <c r="D514" t="s">
        <v>617</v>
      </c>
      <c r="E514" t="s">
        <v>5446</v>
      </c>
      <c r="F514">
        <v>822</v>
      </c>
      <c r="H514" t="s">
        <v>2098</v>
      </c>
      <c r="L514" t="s">
        <v>1433</v>
      </c>
      <c r="M514" t="s">
        <v>1840</v>
      </c>
      <c r="N514" t="s">
        <v>1730</v>
      </c>
      <c r="O514">
        <v>4</v>
      </c>
    </row>
    <row r="515" spans="2:15" x14ac:dyDescent="0.2">
      <c r="B515" t="s">
        <v>1433</v>
      </c>
      <c r="C515" t="s">
        <v>12890</v>
      </c>
      <c r="D515" t="s">
        <v>617</v>
      </c>
      <c r="E515" t="s">
        <v>5447</v>
      </c>
      <c r="F515">
        <v>822</v>
      </c>
      <c r="H515" t="s">
        <v>2098</v>
      </c>
      <c r="L515" t="s">
        <v>1433</v>
      </c>
      <c r="M515" t="s">
        <v>1445</v>
      </c>
      <c r="N515" t="s">
        <v>1841</v>
      </c>
      <c r="O515">
        <v>16</v>
      </c>
    </row>
    <row r="516" spans="2:15" x14ac:dyDescent="0.2">
      <c r="B516" t="s">
        <v>1433</v>
      </c>
      <c r="C516" t="s">
        <v>12890</v>
      </c>
      <c r="D516" t="s">
        <v>617</v>
      </c>
      <c r="E516" t="s">
        <v>5448</v>
      </c>
      <c r="F516">
        <v>178.96</v>
      </c>
      <c r="H516" t="s">
        <v>1446</v>
      </c>
      <c r="L516" t="s">
        <v>1433</v>
      </c>
      <c r="M516" t="s">
        <v>1842</v>
      </c>
      <c r="N516" t="s">
        <v>1841</v>
      </c>
      <c r="O516">
        <v>50</v>
      </c>
    </row>
    <row r="517" spans="2:15" x14ac:dyDescent="0.2">
      <c r="B517" t="s">
        <v>1433</v>
      </c>
      <c r="C517" t="s">
        <v>12890</v>
      </c>
      <c r="D517" t="s">
        <v>617</v>
      </c>
      <c r="E517" t="s">
        <v>5449</v>
      </c>
      <c r="F517">
        <v>45.9</v>
      </c>
      <c r="H517" t="s">
        <v>2040</v>
      </c>
      <c r="L517" t="s">
        <v>1433</v>
      </c>
      <c r="M517" t="s">
        <v>1446</v>
      </c>
      <c r="N517" t="s">
        <v>1841</v>
      </c>
      <c r="O517">
        <v>16</v>
      </c>
    </row>
    <row r="518" spans="2:15" x14ac:dyDescent="0.2">
      <c r="B518" t="s">
        <v>1433</v>
      </c>
      <c r="C518" t="s">
        <v>12890</v>
      </c>
      <c r="D518" t="s">
        <v>617</v>
      </c>
      <c r="E518" t="s">
        <v>5450</v>
      </c>
      <c r="F518">
        <v>1627.2</v>
      </c>
      <c r="H518" t="s">
        <v>2041</v>
      </c>
      <c r="L518" t="s">
        <v>1433</v>
      </c>
      <c r="M518" t="s">
        <v>1449</v>
      </c>
      <c r="N518" t="s">
        <v>1841</v>
      </c>
      <c r="O518">
        <v>125</v>
      </c>
    </row>
    <row r="519" spans="2:15" x14ac:dyDescent="0.2">
      <c r="B519" t="s">
        <v>1433</v>
      </c>
      <c r="C519" t="s">
        <v>12890</v>
      </c>
      <c r="D519" t="s">
        <v>617</v>
      </c>
      <c r="E519" t="s">
        <v>5451</v>
      </c>
      <c r="F519">
        <v>169.27</v>
      </c>
      <c r="H519" t="s">
        <v>1777</v>
      </c>
      <c r="L519" t="s">
        <v>1433</v>
      </c>
      <c r="M519" t="s">
        <v>1450</v>
      </c>
      <c r="N519" t="s">
        <v>1841</v>
      </c>
      <c r="O519">
        <v>110</v>
      </c>
    </row>
    <row r="520" spans="2:15" x14ac:dyDescent="0.2">
      <c r="B520" t="s">
        <v>1433</v>
      </c>
      <c r="C520" t="s">
        <v>12890</v>
      </c>
      <c r="D520" t="s">
        <v>617</v>
      </c>
      <c r="E520" t="s">
        <v>5452</v>
      </c>
      <c r="F520">
        <v>43.56</v>
      </c>
      <c r="H520" t="s">
        <v>1479</v>
      </c>
      <c r="L520" t="s">
        <v>1433</v>
      </c>
      <c r="M520" t="s">
        <v>1455</v>
      </c>
      <c r="N520" t="s">
        <v>1841</v>
      </c>
      <c r="O520">
        <v>110</v>
      </c>
    </row>
    <row r="521" spans="2:15" x14ac:dyDescent="0.2">
      <c r="B521" t="s">
        <v>1433</v>
      </c>
      <c r="C521" t="s">
        <v>12890</v>
      </c>
      <c r="D521" t="s">
        <v>617</v>
      </c>
      <c r="E521" t="s">
        <v>5453</v>
      </c>
      <c r="F521">
        <v>392.04</v>
      </c>
      <c r="H521" t="s">
        <v>1479</v>
      </c>
      <c r="L521" t="s">
        <v>1433</v>
      </c>
      <c r="M521" t="s">
        <v>1843</v>
      </c>
      <c r="N521" t="s">
        <v>1841</v>
      </c>
      <c r="O521">
        <v>50</v>
      </c>
    </row>
    <row r="522" spans="2:15" x14ac:dyDescent="0.2">
      <c r="B522" t="s">
        <v>1433</v>
      </c>
      <c r="C522" t="s">
        <v>12890</v>
      </c>
      <c r="D522" t="s">
        <v>617</v>
      </c>
      <c r="E522" t="s">
        <v>5454</v>
      </c>
      <c r="F522">
        <v>107.92</v>
      </c>
      <c r="H522" t="s">
        <v>1993</v>
      </c>
      <c r="L522" t="s">
        <v>1433</v>
      </c>
      <c r="M522" t="s">
        <v>1777</v>
      </c>
      <c r="N522" t="s">
        <v>1841</v>
      </c>
      <c r="O522">
        <v>20</v>
      </c>
    </row>
    <row r="523" spans="2:15" x14ac:dyDescent="0.2">
      <c r="B523" t="s">
        <v>1433</v>
      </c>
      <c r="C523" t="s">
        <v>12890</v>
      </c>
      <c r="D523" t="s">
        <v>617</v>
      </c>
      <c r="E523" t="s">
        <v>5455</v>
      </c>
      <c r="F523">
        <v>9983</v>
      </c>
      <c r="H523" t="s">
        <v>2469</v>
      </c>
      <c r="L523" t="s">
        <v>1433</v>
      </c>
      <c r="M523" t="s">
        <v>1464</v>
      </c>
      <c r="N523" t="s">
        <v>1841</v>
      </c>
      <c r="O523">
        <v>100</v>
      </c>
    </row>
    <row r="524" spans="2:15" x14ac:dyDescent="0.2">
      <c r="B524" t="s">
        <v>1433</v>
      </c>
      <c r="C524" t="s">
        <v>12890</v>
      </c>
      <c r="D524" t="s">
        <v>617</v>
      </c>
      <c r="E524" t="s">
        <v>5456</v>
      </c>
      <c r="F524">
        <v>28.53</v>
      </c>
      <c r="H524" t="s">
        <v>2042</v>
      </c>
      <c r="L524" t="s">
        <v>1433</v>
      </c>
      <c r="M524" t="s">
        <v>1700</v>
      </c>
      <c r="N524" t="s">
        <v>1844</v>
      </c>
      <c r="O524">
        <v>4</v>
      </c>
    </row>
    <row r="525" spans="2:15" x14ac:dyDescent="0.2">
      <c r="B525" t="s">
        <v>1433</v>
      </c>
      <c r="C525" t="s">
        <v>12890</v>
      </c>
      <c r="D525" t="s">
        <v>617</v>
      </c>
      <c r="E525" t="s">
        <v>5457</v>
      </c>
      <c r="F525">
        <v>81.45</v>
      </c>
      <c r="H525" t="s">
        <v>1480</v>
      </c>
      <c r="L525" t="s">
        <v>1433</v>
      </c>
      <c r="M525" t="s">
        <v>1845</v>
      </c>
      <c r="N525" t="s">
        <v>1844</v>
      </c>
      <c r="O525">
        <v>4</v>
      </c>
    </row>
    <row r="526" spans="2:15" x14ac:dyDescent="0.2">
      <c r="B526" t="s">
        <v>1433</v>
      </c>
      <c r="C526" t="s">
        <v>12890</v>
      </c>
      <c r="D526" t="s">
        <v>617</v>
      </c>
      <c r="E526" t="s">
        <v>5458</v>
      </c>
      <c r="F526">
        <v>570.15</v>
      </c>
      <c r="H526" t="s">
        <v>1480</v>
      </c>
      <c r="L526" t="s">
        <v>1433</v>
      </c>
      <c r="M526" t="s">
        <v>1480</v>
      </c>
      <c r="N526" t="s">
        <v>1846</v>
      </c>
      <c r="O526">
        <v>7</v>
      </c>
    </row>
    <row r="527" spans="2:15" x14ac:dyDescent="0.2">
      <c r="B527" t="s">
        <v>1433</v>
      </c>
      <c r="C527" t="s">
        <v>12890</v>
      </c>
      <c r="D527" t="s">
        <v>617</v>
      </c>
      <c r="E527" t="s">
        <v>5459</v>
      </c>
      <c r="F527">
        <v>1677.87</v>
      </c>
      <c r="H527" t="s">
        <v>1480</v>
      </c>
      <c r="L527" t="s">
        <v>1433</v>
      </c>
      <c r="M527" t="s">
        <v>1789</v>
      </c>
      <c r="N527" t="s">
        <v>1846</v>
      </c>
      <c r="O527">
        <v>11</v>
      </c>
    </row>
    <row r="528" spans="2:15" x14ac:dyDescent="0.2">
      <c r="B528" t="s">
        <v>1433</v>
      </c>
      <c r="C528" t="s">
        <v>12890</v>
      </c>
      <c r="D528" t="s">
        <v>617</v>
      </c>
      <c r="E528" t="s">
        <v>5460</v>
      </c>
      <c r="F528">
        <v>10.199999999999999</v>
      </c>
      <c r="H528" t="s">
        <v>1464</v>
      </c>
      <c r="L528" t="s">
        <v>1433</v>
      </c>
      <c r="M528" t="s">
        <v>1847</v>
      </c>
      <c r="N528" t="s">
        <v>1846</v>
      </c>
      <c r="O528">
        <v>10</v>
      </c>
    </row>
    <row r="529" spans="2:15" x14ac:dyDescent="0.2">
      <c r="B529" t="s">
        <v>1433</v>
      </c>
      <c r="C529" t="s">
        <v>12890</v>
      </c>
      <c r="D529" t="s">
        <v>617</v>
      </c>
      <c r="E529" t="s">
        <v>5461</v>
      </c>
      <c r="F529">
        <v>61.2</v>
      </c>
      <c r="H529" t="s">
        <v>1464</v>
      </c>
      <c r="L529" t="s">
        <v>1433</v>
      </c>
      <c r="M529" t="s">
        <v>1848</v>
      </c>
      <c r="N529" t="s">
        <v>1849</v>
      </c>
      <c r="O529">
        <v>14</v>
      </c>
    </row>
    <row r="530" spans="2:15" x14ac:dyDescent="0.2">
      <c r="B530" t="s">
        <v>1433</v>
      </c>
      <c r="C530" t="s">
        <v>12890</v>
      </c>
      <c r="D530" t="s">
        <v>617</v>
      </c>
      <c r="E530" t="s">
        <v>5462</v>
      </c>
      <c r="F530">
        <v>336.6</v>
      </c>
      <c r="H530" t="s">
        <v>1464</v>
      </c>
      <c r="L530" t="s">
        <v>1433</v>
      </c>
      <c r="M530" t="s">
        <v>1850</v>
      </c>
      <c r="N530" t="s">
        <v>1849</v>
      </c>
      <c r="O530">
        <v>14</v>
      </c>
    </row>
    <row r="531" spans="2:15" x14ac:dyDescent="0.2">
      <c r="B531" t="s">
        <v>1433</v>
      </c>
      <c r="C531" t="s">
        <v>12890</v>
      </c>
      <c r="D531" t="s">
        <v>617</v>
      </c>
      <c r="E531" t="s">
        <v>5463</v>
      </c>
      <c r="F531">
        <v>664.5</v>
      </c>
      <c r="H531" t="s">
        <v>1999</v>
      </c>
      <c r="L531" t="s">
        <v>1433</v>
      </c>
      <c r="M531" t="s">
        <v>1851</v>
      </c>
      <c r="N531" t="s">
        <v>1849</v>
      </c>
      <c r="O531">
        <v>14</v>
      </c>
    </row>
    <row r="532" spans="2:15" x14ac:dyDescent="0.2">
      <c r="B532" t="s">
        <v>1433</v>
      </c>
      <c r="C532" t="s">
        <v>12890</v>
      </c>
      <c r="D532" t="s">
        <v>617</v>
      </c>
      <c r="E532" t="s">
        <v>5464</v>
      </c>
      <c r="F532">
        <v>8.41</v>
      </c>
      <c r="H532" t="s">
        <v>2072</v>
      </c>
      <c r="L532" t="s">
        <v>1433</v>
      </c>
      <c r="M532" t="s">
        <v>1852</v>
      </c>
      <c r="N532" t="s">
        <v>1849</v>
      </c>
      <c r="O532">
        <v>14</v>
      </c>
    </row>
    <row r="533" spans="2:15" x14ac:dyDescent="0.2">
      <c r="B533" t="s">
        <v>1433</v>
      </c>
      <c r="C533" t="s">
        <v>12890</v>
      </c>
      <c r="D533" t="s">
        <v>617</v>
      </c>
      <c r="E533" t="s">
        <v>5465</v>
      </c>
      <c r="F533">
        <v>1645.92</v>
      </c>
      <c r="H533" t="s">
        <v>2102</v>
      </c>
      <c r="L533" t="s">
        <v>1433</v>
      </c>
      <c r="M533" t="s">
        <v>1853</v>
      </c>
      <c r="N533" t="s">
        <v>1854</v>
      </c>
      <c r="O533">
        <v>8</v>
      </c>
    </row>
    <row r="534" spans="2:15" x14ac:dyDescent="0.2">
      <c r="B534" t="s">
        <v>1433</v>
      </c>
      <c r="C534" t="s">
        <v>12890</v>
      </c>
      <c r="D534" t="s">
        <v>617</v>
      </c>
      <c r="E534" t="s">
        <v>5466</v>
      </c>
      <c r="F534">
        <v>778.69</v>
      </c>
      <c r="H534" t="s">
        <v>2103</v>
      </c>
      <c r="L534" t="s">
        <v>1433</v>
      </c>
      <c r="M534" t="s">
        <v>1806</v>
      </c>
      <c r="N534" t="s">
        <v>1855</v>
      </c>
      <c r="O534">
        <v>53</v>
      </c>
    </row>
    <row r="535" spans="2:15" x14ac:dyDescent="0.2">
      <c r="B535" t="s">
        <v>1433</v>
      </c>
      <c r="C535" t="s">
        <v>12890</v>
      </c>
      <c r="D535" t="s">
        <v>617</v>
      </c>
      <c r="E535" t="s">
        <v>5467</v>
      </c>
      <c r="F535">
        <v>2672.74</v>
      </c>
      <c r="H535" t="s">
        <v>2022</v>
      </c>
      <c r="L535" t="s">
        <v>1433</v>
      </c>
      <c r="M535" t="s">
        <v>1801</v>
      </c>
      <c r="N535" t="s">
        <v>1855</v>
      </c>
      <c r="O535">
        <v>550</v>
      </c>
    </row>
    <row r="536" spans="2:15" x14ac:dyDescent="0.2">
      <c r="B536" t="s">
        <v>1433</v>
      </c>
      <c r="C536" t="s">
        <v>12890</v>
      </c>
      <c r="D536" t="s">
        <v>617</v>
      </c>
      <c r="E536" t="s">
        <v>5468</v>
      </c>
      <c r="F536">
        <v>25.74</v>
      </c>
      <c r="H536" t="s">
        <v>1652</v>
      </c>
      <c r="L536" t="s">
        <v>1433</v>
      </c>
      <c r="M536" t="s">
        <v>1803</v>
      </c>
      <c r="N536" t="s">
        <v>1855</v>
      </c>
      <c r="O536">
        <v>55</v>
      </c>
    </row>
    <row r="537" spans="2:15" x14ac:dyDescent="0.2">
      <c r="B537" t="s">
        <v>1433</v>
      </c>
      <c r="C537" t="s">
        <v>12890</v>
      </c>
      <c r="D537" t="s">
        <v>617</v>
      </c>
      <c r="E537" t="s">
        <v>5469</v>
      </c>
      <c r="F537">
        <v>25.7</v>
      </c>
      <c r="H537" t="s">
        <v>1652</v>
      </c>
      <c r="L537" t="s">
        <v>1433</v>
      </c>
      <c r="M537" t="s">
        <v>1804</v>
      </c>
      <c r="N537" t="s">
        <v>1855</v>
      </c>
      <c r="O537">
        <v>66</v>
      </c>
    </row>
    <row r="538" spans="2:15" x14ac:dyDescent="0.2">
      <c r="B538" t="s">
        <v>1433</v>
      </c>
      <c r="C538" t="s">
        <v>12890</v>
      </c>
      <c r="D538" t="s">
        <v>617</v>
      </c>
      <c r="E538" t="s">
        <v>5470</v>
      </c>
      <c r="F538">
        <v>12690</v>
      </c>
      <c r="H538" t="s">
        <v>2043</v>
      </c>
      <c r="L538" t="s">
        <v>1433</v>
      </c>
      <c r="M538" t="s">
        <v>1856</v>
      </c>
      <c r="N538" t="s">
        <v>1857</v>
      </c>
      <c r="O538">
        <v>14</v>
      </c>
    </row>
    <row r="539" spans="2:15" x14ac:dyDescent="0.2">
      <c r="B539" t="s">
        <v>1433</v>
      </c>
      <c r="C539" t="s">
        <v>12890</v>
      </c>
      <c r="D539" t="s">
        <v>617</v>
      </c>
      <c r="E539" t="s">
        <v>5471</v>
      </c>
      <c r="F539">
        <v>916.2</v>
      </c>
      <c r="H539" t="s">
        <v>2044</v>
      </c>
      <c r="L539" t="s">
        <v>1433</v>
      </c>
      <c r="M539" t="s">
        <v>1858</v>
      </c>
      <c r="N539" t="s">
        <v>1857</v>
      </c>
      <c r="O539">
        <v>14</v>
      </c>
    </row>
    <row r="540" spans="2:15" x14ac:dyDescent="0.2">
      <c r="B540" t="s">
        <v>1433</v>
      </c>
      <c r="C540" t="s">
        <v>12890</v>
      </c>
      <c r="D540" t="s">
        <v>617</v>
      </c>
      <c r="E540" t="s">
        <v>5472</v>
      </c>
      <c r="F540">
        <v>356.94</v>
      </c>
      <c r="H540" t="s">
        <v>2045</v>
      </c>
      <c r="L540" t="s">
        <v>1433</v>
      </c>
      <c r="M540" t="s">
        <v>1707</v>
      </c>
      <c r="N540" t="s">
        <v>1859</v>
      </c>
      <c r="O540">
        <v>6</v>
      </c>
    </row>
    <row r="541" spans="2:15" x14ac:dyDescent="0.2">
      <c r="B541" t="s">
        <v>1433</v>
      </c>
      <c r="C541" t="s">
        <v>12890</v>
      </c>
      <c r="D541" t="s">
        <v>617</v>
      </c>
      <c r="E541" t="s">
        <v>5473</v>
      </c>
      <c r="F541">
        <v>237.96</v>
      </c>
      <c r="H541" t="s">
        <v>2045</v>
      </c>
      <c r="L541" t="s">
        <v>1433</v>
      </c>
      <c r="M541" t="s">
        <v>1706</v>
      </c>
      <c r="N541" t="s">
        <v>1859</v>
      </c>
      <c r="O541">
        <v>6</v>
      </c>
    </row>
    <row r="542" spans="2:15" x14ac:dyDescent="0.2">
      <c r="B542" t="s">
        <v>1433</v>
      </c>
      <c r="C542" t="s">
        <v>12890</v>
      </c>
      <c r="D542" t="s">
        <v>617</v>
      </c>
      <c r="E542" t="s">
        <v>5474</v>
      </c>
      <c r="F542">
        <v>119.07</v>
      </c>
      <c r="H542" t="s">
        <v>1653</v>
      </c>
      <c r="L542" t="s">
        <v>1433</v>
      </c>
      <c r="M542" t="s">
        <v>1860</v>
      </c>
      <c r="N542" t="s">
        <v>1861</v>
      </c>
      <c r="O542">
        <v>300</v>
      </c>
    </row>
    <row r="543" spans="2:15" x14ac:dyDescent="0.2">
      <c r="B543" t="s">
        <v>1433</v>
      </c>
      <c r="C543" t="s">
        <v>12890</v>
      </c>
      <c r="D543" t="s">
        <v>617</v>
      </c>
      <c r="E543" t="s">
        <v>5475</v>
      </c>
      <c r="F543">
        <v>51.03</v>
      </c>
      <c r="H543" t="s">
        <v>1654</v>
      </c>
      <c r="L543" t="s">
        <v>1433</v>
      </c>
      <c r="M543" t="s">
        <v>1235</v>
      </c>
      <c r="N543" t="s">
        <v>1862</v>
      </c>
      <c r="O543">
        <v>1</v>
      </c>
    </row>
    <row r="544" spans="2:15" x14ac:dyDescent="0.2">
      <c r="B544" t="s">
        <v>1433</v>
      </c>
      <c r="C544" t="s">
        <v>12890</v>
      </c>
      <c r="D544" t="s">
        <v>617</v>
      </c>
      <c r="E544" t="s">
        <v>5476</v>
      </c>
      <c r="F544">
        <v>46.17</v>
      </c>
      <c r="H544" t="s">
        <v>1655</v>
      </c>
      <c r="L544" t="s">
        <v>1433</v>
      </c>
      <c r="M544" t="s">
        <v>1863</v>
      </c>
      <c r="N544" t="s">
        <v>1862</v>
      </c>
      <c r="O544">
        <v>1</v>
      </c>
    </row>
    <row r="545" spans="2:15" x14ac:dyDescent="0.2">
      <c r="B545" t="s">
        <v>1433</v>
      </c>
      <c r="C545" t="s">
        <v>12890</v>
      </c>
      <c r="D545" t="s">
        <v>617</v>
      </c>
      <c r="E545" t="s">
        <v>5477</v>
      </c>
      <c r="F545">
        <v>297.89999999999998</v>
      </c>
      <c r="H545" t="s">
        <v>1656</v>
      </c>
      <c r="L545" t="s">
        <v>1433</v>
      </c>
      <c r="M545" t="s">
        <v>1864</v>
      </c>
      <c r="N545" t="s">
        <v>1865</v>
      </c>
      <c r="O545">
        <v>1200</v>
      </c>
    </row>
    <row r="546" spans="2:15" x14ac:dyDescent="0.2">
      <c r="B546" t="s">
        <v>1433</v>
      </c>
      <c r="C546" t="s">
        <v>12890</v>
      </c>
      <c r="D546" t="s">
        <v>617</v>
      </c>
      <c r="E546" t="s">
        <v>5478</v>
      </c>
      <c r="F546">
        <v>297.89999999999998</v>
      </c>
      <c r="H546" t="s">
        <v>1656</v>
      </c>
      <c r="L546" t="s">
        <v>1433</v>
      </c>
      <c r="M546" t="s">
        <v>1866</v>
      </c>
      <c r="N546" t="s">
        <v>1865</v>
      </c>
      <c r="O546">
        <v>1200</v>
      </c>
    </row>
    <row r="547" spans="2:15" x14ac:dyDescent="0.2">
      <c r="B547" t="s">
        <v>1433</v>
      </c>
      <c r="C547" t="s">
        <v>12890</v>
      </c>
      <c r="D547" t="s">
        <v>617</v>
      </c>
      <c r="E547" t="s">
        <v>5479</v>
      </c>
      <c r="F547">
        <v>82.8</v>
      </c>
      <c r="H547" t="s">
        <v>1657</v>
      </c>
      <c r="L547" t="s">
        <v>1433</v>
      </c>
      <c r="M547" t="s">
        <v>1867</v>
      </c>
      <c r="N547" t="s">
        <v>1865</v>
      </c>
      <c r="O547">
        <v>1200</v>
      </c>
    </row>
    <row r="548" spans="2:15" x14ac:dyDescent="0.2">
      <c r="B548" t="s">
        <v>1433</v>
      </c>
      <c r="C548" t="s">
        <v>12890</v>
      </c>
      <c r="D548" t="s">
        <v>617</v>
      </c>
      <c r="E548" t="s">
        <v>5480</v>
      </c>
      <c r="F548">
        <v>165.6</v>
      </c>
      <c r="H548" t="s">
        <v>1657</v>
      </c>
      <c r="L548" t="s">
        <v>1433</v>
      </c>
      <c r="M548" t="s">
        <v>1603</v>
      </c>
      <c r="N548" t="s">
        <v>1868</v>
      </c>
      <c r="O548">
        <v>3</v>
      </c>
    </row>
    <row r="549" spans="2:15" x14ac:dyDescent="0.2">
      <c r="B549" t="s">
        <v>1433</v>
      </c>
      <c r="C549" t="s">
        <v>12890</v>
      </c>
      <c r="D549" t="s">
        <v>617</v>
      </c>
      <c r="E549" t="s">
        <v>5481</v>
      </c>
      <c r="F549">
        <v>39.86</v>
      </c>
      <c r="H549" t="s">
        <v>1808</v>
      </c>
      <c r="L549" t="s">
        <v>1433</v>
      </c>
      <c r="M549" t="s">
        <v>1606</v>
      </c>
      <c r="N549" t="s">
        <v>1868</v>
      </c>
      <c r="O549">
        <v>2</v>
      </c>
    </row>
    <row r="550" spans="2:15" x14ac:dyDescent="0.2">
      <c r="B550" t="s">
        <v>1433</v>
      </c>
      <c r="C550" t="s">
        <v>12890</v>
      </c>
      <c r="D550" t="s">
        <v>617</v>
      </c>
      <c r="E550" t="s">
        <v>5482</v>
      </c>
      <c r="F550">
        <v>-39.86</v>
      </c>
      <c r="H550" t="s">
        <v>1808</v>
      </c>
      <c r="L550" t="s">
        <v>1433</v>
      </c>
      <c r="M550" t="s">
        <v>1605</v>
      </c>
      <c r="N550" t="s">
        <v>1868</v>
      </c>
      <c r="O550">
        <v>8</v>
      </c>
    </row>
    <row r="551" spans="2:15" x14ac:dyDescent="0.2">
      <c r="B551" t="s">
        <v>1433</v>
      </c>
      <c r="C551" t="s">
        <v>12890</v>
      </c>
      <c r="D551" t="s">
        <v>617</v>
      </c>
      <c r="E551" t="s">
        <v>5483</v>
      </c>
      <c r="F551">
        <v>39.86</v>
      </c>
      <c r="H551" t="s">
        <v>1808</v>
      </c>
      <c r="L551" t="s">
        <v>1433</v>
      </c>
      <c r="M551" t="s">
        <v>1869</v>
      </c>
      <c r="N551" t="s">
        <v>1607</v>
      </c>
      <c r="O551">
        <v>4</v>
      </c>
    </row>
    <row r="552" spans="2:15" x14ac:dyDescent="0.2">
      <c r="B552" t="s">
        <v>1433</v>
      </c>
      <c r="C552" t="s">
        <v>12890</v>
      </c>
      <c r="D552" t="s">
        <v>617</v>
      </c>
      <c r="E552" t="s">
        <v>5484</v>
      </c>
      <c r="F552">
        <v>137.31</v>
      </c>
      <c r="H552" t="s">
        <v>1808</v>
      </c>
      <c r="L552" t="s">
        <v>1433</v>
      </c>
      <c r="M552" t="s">
        <v>1526</v>
      </c>
      <c r="N552" t="s">
        <v>1870</v>
      </c>
      <c r="O552">
        <v>22</v>
      </c>
    </row>
    <row r="553" spans="2:15" x14ac:dyDescent="0.2">
      <c r="B553" t="s">
        <v>1433</v>
      </c>
      <c r="C553" t="s">
        <v>12890</v>
      </c>
      <c r="D553" t="s">
        <v>617</v>
      </c>
      <c r="E553" t="s">
        <v>5485</v>
      </c>
      <c r="F553">
        <v>38.61</v>
      </c>
      <c r="H553" t="s">
        <v>1658</v>
      </c>
      <c r="L553" t="s">
        <v>1433</v>
      </c>
      <c r="M553" t="s">
        <v>1528</v>
      </c>
      <c r="N553" t="s">
        <v>1870</v>
      </c>
      <c r="O553">
        <v>12</v>
      </c>
    </row>
    <row r="554" spans="2:15" x14ac:dyDescent="0.2">
      <c r="B554" t="s">
        <v>1433</v>
      </c>
      <c r="C554" t="s">
        <v>12890</v>
      </c>
      <c r="D554" t="s">
        <v>617</v>
      </c>
      <c r="E554" t="s">
        <v>5486</v>
      </c>
      <c r="F554">
        <v>90.09</v>
      </c>
      <c r="H554" t="s">
        <v>1658</v>
      </c>
      <c r="L554" t="s">
        <v>1433</v>
      </c>
      <c r="M554" t="s">
        <v>1529</v>
      </c>
      <c r="N554" t="s">
        <v>1870</v>
      </c>
      <c r="O554">
        <v>60</v>
      </c>
    </row>
    <row r="555" spans="2:15" x14ac:dyDescent="0.2">
      <c r="B555" t="s">
        <v>1433</v>
      </c>
      <c r="C555" t="s">
        <v>12890</v>
      </c>
      <c r="D555" t="s">
        <v>617</v>
      </c>
      <c r="E555" t="s">
        <v>5487</v>
      </c>
      <c r="F555">
        <v>1405.8</v>
      </c>
      <c r="H555" t="s">
        <v>2046</v>
      </c>
      <c r="L555" t="s">
        <v>1433</v>
      </c>
      <c r="M555" t="s">
        <v>1530</v>
      </c>
      <c r="N555" t="s">
        <v>1870</v>
      </c>
      <c r="O555">
        <v>26</v>
      </c>
    </row>
    <row r="556" spans="2:15" x14ac:dyDescent="0.2">
      <c r="B556" t="s">
        <v>1433</v>
      </c>
      <c r="C556" t="s">
        <v>12890</v>
      </c>
      <c r="D556" t="s">
        <v>617</v>
      </c>
      <c r="E556" t="s">
        <v>5488</v>
      </c>
      <c r="F556">
        <v>147.6</v>
      </c>
      <c r="H556" t="s">
        <v>1847</v>
      </c>
      <c r="L556" t="s">
        <v>1433</v>
      </c>
      <c r="M556" t="s">
        <v>1691</v>
      </c>
      <c r="N556" t="s">
        <v>1870</v>
      </c>
      <c r="O556">
        <v>2</v>
      </c>
    </row>
    <row r="557" spans="2:15" x14ac:dyDescent="0.2">
      <c r="B557" t="s">
        <v>1433</v>
      </c>
      <c r="C557" t="s">
        <v>12890</v>
      </c>
      <c r="D557" t="s">
        <v>617</v>
      </c>
      <c r="E557" t="s">
        <v>5489</v>
      </c>
      <c r="F557">
        <v>147.6</v>
      </c>
      <c r="H557" t="s">
        <v>1847</v>
      </c>
      <c r="L557" t="s">
        <v>1433</v>
      </c>
      <c r="M557" t="s">
        <v>1692</v>
      </c>
      <c r="N557" t="s">
        <v>1870</v>
      </c>
      <c r="O557">
        <v>2</v>
      </c>
    </row>
    <row r="558" spans="2:15" x14ac:dyDescent="0.2">
      <c r="B558" t="s">
        <v>1433</v>
      </c>
      <c r="C558" t="s">
        <v>12890</v>
      </c>
      <c r="D558" t="s">
        <v>617</v>
      </c>
      <c r="E558" t="s">
        <v>5490</v>
      </c>
      <c r="F558">
        <v>314.55</v>
      </c>
      <c r="H558" t="s">
        <v>2047</v>
      </c>
      <c r="L558" t="s">
        <v>1433</v>
      </c>
      <c r="M558" t="s">
        <v>1449</v>
      </c>
      <c r="N558" t="s">
        <v>1871</v>
      </c>
      <c r="O558">
        <v>150</v>
      </c>
    </row>
    <row r="559" spans="2:15" x14ac:dyDescent="0.2">
      <c r="B559" t="s">
        <v>1433</v>
      </c>
      <c r="C559" t="s">
        <v>12890</v>
      </c>
      <c r="D559" t="s">
        <v>617</v>
      </c>
      <c r="E559" t="s">
        <v>5491</v>
      </c>
      <c r="F559">
        <v>208.8</v>
      </c>
      <c r="H559" t="s">
        <v>2003</v>
      </c>
      <c r="L559" t="s">
        <v>1433</v>
      </c>
      <c r="M559" t="s">
        <v>1450</v>
      </c>
      <c r="N559" t="s">
        <v>1871</v>
      </c>
      <c r="O559">
        <v>150</v>
      </c>
    </row>
    <row r="560" spans="2:15" x14ac:dyDescent="0.2">
      <c r="B560" t="s">
        <v>1433</v>
      </c>
      <c r="C560" t="s">
        <v>12890</v>
      </c>
      <c r="D560" t="s">
        <v>617</v>
      </c>
      <c r="E560" t="s">
        <v>5492</v>
      </c>
      <c r="F560">
        <v>121.44</v>
      </c>
      <c r="H560" t="s">
        <v>2004</v>
      </c>
      <c r="L560" t="s">
        <v>1433</v>
      </c>
      <c r="M560" t="s">
        <v>1455</v>
      </c>
      <c r="N560" t="s">
        <v>1871</v>
      </c>
      <c r="O560">
        <v>150</v>
      </c>
    </row>
    <row r="561" spans="2:15" x14ac:dyDescent="0.2">
      <c r="B561" t="s">
        <v>1433</v>
      </c>
      <c r="C561" t="s">
        <v>12890</v>
      </c>
      <c r="D561" t="s">
        <v>617</v>
      </c>
      <c r="E561" t="s">
        <v>5493</v>
      </c>
      <c r="F561">
        <v>139.5</v>
      </c>
      <c r="H561" t="s">
        <v>1659</v>
      </c>
      <c r="L561" t="s">
        <v>1433</v>
      </c>
      <c r="M561" t="s">
        <v>1372</v>
      </c>
      <c r="N561" t="s">
        <v>1871</v>
      </c>
      <c r="O561">
        <v>5</v>
      </c>
    </row>
    <row r="562" spans="2:15" x14ac:dyDescent="0.2">
      <c r="B562" t="s">
        <v>1433</v>
      </c>
      <c r="C562" t="s">
        <v>12890</v>
      </c>
      <c r="D562" t="s">
        <v>617</v>
      </c>
      <c r="E562" t="s">
        <v>5494</v>
      </c>
      <c r="F562">
        <v>33.89</v>
      </c>
      <c r="H562" t="s">
        <v>1913</v>
      </c>
      <c r="L562" t="s">
        <v>1433</v>
      </c>
      <c r="M562" t="s">
        <v>1458</v>
      </c>
      <c r="N562" t="s">
        <v>1871</v>
      </c>
      <c r="O562">
        <v>4</v>
      </c>
    </row>
    <row r="563" spans="2:15" x14ac:dyDescent="0.2">
      <c r="B563" t="s">
        <v>1433</v>
      </c>
      <c r="C563" t="s">
        <v>12890</v>
      </c>
      <c r="D563" t="s">
        <v>617</v>
      </c>
      <c r="E563" t="s">
        <v>5495</v>
      </c>
      <c r="F563">
        <v>46.71</v>
      </c>
      <c r="H563" t="s">
        <v>2169</v>
      </c>
      <c r="L563" t="s">
        <v>1433</v>
      </c>
      <c r="M563" t="s">
        <v>1461</v>
      </c>
      <c r="N563" t="s">
        <v>1871</v>
      </c>
      <c r="O563">
        <v>4</v>
      </c>
    </row>
    <row r="564" spans="2:15" x14ac:dyDescent="0.2">
      <c r="B564" t="s">
        <v>1433</v>
      </c>
      <c r="C564" t="s">
        <v>12890</v>
      </c>
      <c r="D564" t="s">
        <v>617</v>
      </c>
      <c r="E564" t="s">
        <v>5496</v>
      </c>
      <c r="F564">
        <v>108.99</v>
      </c>
      <c r="H564" t="s">
        <v>2169</v>
      </c>
      <c r="L564" t="s">
        <v>1433</v>
      </c>
      <c r="M564" t="s">
        <v>1464</v>
      </c>
      <c r="N564" t="s">
        <v>1871</v>
      </c>
      <c r="O564">
        <v>150</v>
      </c>
    </row>
    <row r="565" spans="2:15" x14ac:dyDescent="0.2">
      <c r="B565" t="s">
        <v>1433</v>
      </c>
      <c r="C565" t="s">
        <v>12890</v>
      </c>
      <c r="D565" t="s">
        <v>617</v>
      </c>
      <c r="E565" t="s">
        <v>5497</v>
      </c>
      <c r="F565">
        <v>610.87</v>
      </c>
      <c r="H565" t="s">
        <v>2006</v>
      </c>
      <c r="L565" t="s">
        <v>1433</v>
      </c>
      <c r="M565" t="s">
        <v>1872</v>
      </c>
      <c r="N565" t="s">
        <v>1871</v>
      </c>
      <c r="O565">
        <v>4</v>
      </c>
    </row>
    <row r="566" spans="2:15" x14ac:dyDescent="0.2">
      <c r="B566" t="s">
        <v>1433</v>
      </c>
      <c r="C566" t="s">
        <v>12890</v>
      </c>
      <c r="D566" t="s">
        <v>617</v>
      </c>
      <c r="E566" t="s">
        <v>5498</v>
      </c>
      <c r="F566">
        <v>536</v>
      </c>
      <c r="H566" t="s">
        <v>2007</v>
      </c>
      <c r="L566" t="s">
        <v>1433</v>
      </c>
      <c r="M566" t="s">
        <v>1786</v>
      </c>
      <c r="N566" t="s">
        <v>1873</v>
      </c>
      <c r="O566">
        <v>3</v>
      </c>
    </row>
    <row r="567" spans="2:15" x14ac:dyDescent="0.2">
      <c r="B567" t="s">
        <v>1433</v>
      </c>
      <c r="C567" t="s">
        <v>12890</v>
      </c>
      <c r="D567" t="s">
        <v>617</v>
      </c>
      <c r="E567" t="s">
        <v>5499</v>
      </c>
      <c r="F567">
        <v>500.1</v>
      </c>
      <c r="H567" t="s">
        <v>2008</v>
      </c>
      <c r="L567" t="s">
        <v>1433</v>
      </c>
      <c r="M567" t="s">
        <v>1789</v>
      </c>
      <c r="N567" t="s">
        <v>1873</v>
      </c>
      <c r="O567">
        <v>4</v>
      </c>
    </row>
    <row r="568" spans="2:15" x14ac:dyDescent="0.2">
      <c r="B568" t="s">
        <v>1433</v>
      </c>
      <c r="C568" t="s">
        <v>12890</v>
      </c>
      <c r="D568" t="s">
        <v>617</v>
      </c>
      <c r="E568" t="s">
        <v>5500</v>
      </c>
      <c r="F568">
        <v>1642.03</v>
      </c>
      <c r="H568" t="s">
        <v>1682</v>
      </c>
      <c r="L568" t="s">
        <v>1433</v>
      </c>
      <c r="M568" t="s">
        <v>1496</v>
      </c>
      <c r="N568" t="s">
        <v>1874</v>
      </c>
      <c r="O568">
        <v>12</v>
      </c>
    </row>
    <row r="569" spans="2:15" x14ac:dyDescent="0.2">
      <c r="B569" t="s">
        <v>1433</v>
      </c>
      <c r="C569" t="s">
        <v>12890</v>
      </c>
      <c r="D569" t="s">
        <v>554</v>
      </c>
      <c r="E569" t="s">
        <v>5501</v>
      </c>
      <c r="F569">
        <v>834</v>
      </c>
      <c r="H569" t="s">
        <v>1601</v>
      </c>
      <c r="L569" t="s">
        <v>1433</v>
      </c>
      <c r="M569" t="s">
        <v>1532</v>
      </c>
      <c r="N569" t="s">
        <v>1874</v>
      </c>
      <c r="O569">
        <v>28</v>
      </c>
    </row>
    <row r="570" spans="2:15" x14ac:dyDescent="0.2">
      <c r="B570" t="s">
        <v>1433</v>
      </c>
      <c r="C570" t="s">
        <v>12890</v>
      </c>
      <c r="D570" t="s">
        <v>84</v>
      </c>
      <c r="E570" t="s">
        <v>5502</v>
      </c>
      <c r="F570">
        <v>131.28</v>
      </c>
      <c r="H570" t="s">
        <v>5503</v>
      </c>
      <c r="L570" t="s">
        <v>1433</v>
      </c>
      <c r="M570" t="s">
        <v>1875</v>
      </c>
      <c r="N570" t="s">
        <v>1874</v>
      </c>
      <c r="O570">
        <v>2</v>
      </c>
    </row>
    <row r="571" spans="2:15" x14ac:dyDescent="0.2">
      <c r="B571" t="s">
        <v>1433</v>
      </c>
      <c r="C571" t="s">
        <v>12890</v>
      </c>
      <c r="D571" t="s">
        <v>617</v>
      </c>
      <c r="E571" t="s">
        <v>5504</v>
      </c>
      <c r="F571">
        <v>93.46</v>
      </c>
      <c r="H571" t="s">
        <v>1493</v>
      </c>
      <c r="L571" t="s">
        <v>1433</v>
      </c>
      <c r="M571" t="s">
        <v>1806</v>
      </c>
      <c r="N571" t="s">
        <v>1876</v>
      </c>
      <c r="O571">
        <v>29</v>
      </c>
    </row>
    <row r="572" spans="2:15" x14ac:dyDescent="0.2">
      <c r="B572" t="s">
        <v>1433</v>
      </c>
      <c r="C572" t="s">
        <v>12890</v>
      </c>
      <c r="D572" t="s">
        <v>617</v>
      </c>
      <c r="E572" t="s">
        <v>5505</v>
      </c>
      <c r="F572">
        <v>238.85</v>
      </c>
      <c r="H572" t="s">
        <v>1684</v>
      </c>
      <c r="L572" t="s">
        <v>1433</v>
      </c>
      <c r="M572" t="s">
        <v>1801</v>
      </c>
      <c r="N572" t="s">
        <v>1876</v>
      </c>
      <c r="O572">
        <v>350</v>
      </c>
    </row>
    <row r="573" spans="2:15" x14ac:dyDescent="0.2">
      <c r="B573" t="s">
        <v>1433</v>
      </c>
      <c r="C573" t="s">
        <v>12890</v>
      </c>
      <c r="D573" t="s">
        <v>617</v>
      </c>
      <c r="E573" t="s">
        <v>5506</v>
      </c>
      <c r="F573">
        <v>231.66</v>
      </c>
      <c r="H573" t="s">
        <v>2106</v>
      </c>
      <c r="L573" t="s">
        <v>1433</v>
      </c>
      <c r="M573" t="s">
        <v>1803</v>
      </c>
      <c r="N573" t="s">
        <v>1876</v>
      </c>
      <c r="O573">
        <v>35</v>
      </c>
    </row>
    <row r="574" spans="2:15" x14ac:dyDescent="0.2">
      <c r="B574" t="s">
        <v>1433</v>
      </c>
      <c r="C574" t="s">
        <v>12890</v>
      </c>
      <c r="D574" t="s">
        <v>617</v>
      </c>
      <c r="E574" t="s">
        <v>5507</v>
      </c>
      <c r="F574">
        <v>484.88</v>
      </c>
      <c r="H574" t="s">
        <v>2009</v>
      </c>
      <c r="L574" t="s">
        <v>1433</v>
      </c>
      <c r="M574" t="s">
        <v>1804</v>
      </c>
      <c r="N574" t="s">
        <v>1876</v>
      </c>
      <c r="O574">
        <v>42</v>
      </c>
    </row>
    <row r="575" spans="2:15" x14ac:dyDescent="0.2">
      <c r="B575" t="s">
        <v>1433</v>
      </c>
      <c r="C575" t="s">
        <v>12890</v>
      </c>
      <c r="D575" t="s">
        <v>617</v>
      </c>
      <c r="E575" t="s">
        <v>5508</v>
      </c>
      <c r="F575">
        <v>1148.1600000000001</v>
      </c>
      <c r="H575" t="s">
        <v>2010</v>
      </c>
      <c r="L575" t="s">
        <v>1433</v>
      </c>
      <c r="M575" t="s">
        <v>1805</v>
      </c>
      <c r="N575" t="s">
        <v>1876</v>
      </c>
      <c r="O575">
        <v>14</v>
      </c>
    </row>
    <row r="576" spans="2:15" x14ac:dyDescent="0.2">
      <c r="B576" t="s">
        <v>1433</v>
      </c>
      <c r="C576" t="s">
        <v>12890</v>
      </c>
      <c r="D576" t="s">
        <v>617</v>
      </c>
      <c r="E576" t="s">
        <v>5509</v>
      </c>
      <c r="F576">
        <v>1148.1600000000001</v>
      </c>
      <c r="H576" t="s">
        <v>2011</v>
      </c>
      <c r="L576" t="s">
        <v>1433</v>
      </c>
      <c r="M576" t="s">
        <v>1239</v>
      </c>
      <c r="N576" t="s">
        <v>1877</v>
      </c>
      <c r="O576">
        <v>1</v>
      </c>
    </row>
    <row r="577" spans="2:15" x14ac:dyDescent="0.2">
      <c r="B577" t="s">
        <v>1433</v>
      </c>
      <c r="C577" t="s">
        <v>12890</v>
      </c>
      <c r="D577" t="s">
        <v>617</v>
      </c>
      <c r="E577" t="s">
        <v>5510</v>
      </c>
      <c r="F577">
        <v>59.94</v>
      </c>
      <c r="H577" t="s">
        <v>1700</v>
      </c>
      <c r="L577" t="s">
        <v>1433</v>
      </c>
      <c r="M577" t="s">
        <v>1241</v>
      </c>
      <c r="N577" t="s">
        <v>1877</v>
      </c>
      <c r="O577">
        <v>1</v>
      </c>
    </row>
    <row r="578" spans="2:15" x14ac:dyDescent="0.2">
      <c r="B578" t="s">
        <v>1433</v>
      </c>
      <c r="C578" t="s">
        <v>12890</v>
      </c>
      <c r="D578" t="s">
        <v>617</v>
      </c>
      <c r="E578" t="s">
        <v>5511</v>
      </c>
      <c r="F578">
        <v>288.3</v>
      </c>
      <c r="H578" t="s">
        <v>1845</v>
      </c>
      <c r="L578" t="s">
        <v>1433</v>
      </c>
      <c r="M578" t="s">
        <v>1878</v>
      </c>
      <c r="N578" t="s">
        <v>1879</v>
      </c>
      <c r="O578">
        <v>12</v>
      </c>
    </row>
    <row r="579" spans="2:15" x14ac:dyDescent="0.2">
      <c r="B579" t="s">
        <v>1433</v>
      </c>
      <c r="C579" t="s">
        <v>12890</v>
      </c>
      <c r="D579" t="s">
        <v>617</v>
      </c>
      <c r="E579" t="s">
        <v>5512</v>
      </c>
      <c r="F579">
        <v>57.52</v>
      </c>
      <c r="H579" t="s">
        <v>2012</v>
      </c>
      <c r="L579" t="s">
        <v>1433</v>
      </c>
      <c r="M579" t="s">
        <v>1880</v>
      </c>
      <c r="N579" t="s">
        <v>1879</v>
      </c>
      <c r="O579">
        <v>12</v>
      </c>
    </row>
    <row r="580" spans="2:15" x14ac:dyDescent="0.2">
      <c r="B580" t="s">
        <v>1433</v>
      </c>
      <c r="C580" t="s">
        <v>12890</v>
      </c>
      <c r="D580" t="s">
        <v>617</v>
      </c>
      <c r="E580" t="s">
        <v>5513</v>
      </c>
      <c r="F580">
        <v>279.92</v>
      </c>
      <c r="H580" t="s">
        <v>2013</v>
      </c>
      <c r="L580" t="s">
        <v>1433</v>
      </c>
      <c r="M580" t="s">
        <v>1881</v>
      </c>
      <c r="N580" t="s">
        <v>1879</v>
      </c>
      <c r="O580">
        <v>4</v>
      </c>
    </row>
    <row r="581" spans="2:15" x14ac:dyDescent="0.2">
      <c r="B581" t="s">
        <v>1433</v>
      </c>
      <c r="C581" t="s">
        <v>12890</v>
      </c>
      <c r="D581" t="s">
        <v>617</v>
      </c>
      <c r="E581" t="s">
        <v>5514</v>
      </c>
      <c r="F581">
        <v>544.9</v>
      </c>
      <c r="H581" t="s">
        <v>2014</v>
      </c>
      <c r="L581" t="s">
        <v>1433</v>
      </c>
      <c r="M581" t="s">
        <v>1270</v>
      </c>
      <c r="N581" t="s">
        <v>1882</v>
      </c>
      <c r="O581">
        <v>1</v>
      </c>
    </row>
    <row r="582" spans="2:15" x14ac:dyDescent="0.2">
      <c r="B582" t="s">
        <v>1433</v>
      </c>
      <c r="C582" t="s">
        <v>12890</v>
      </c>
      <c r="D582" t="s">
        <v>617</v>
      </c>
      <c r="E582" t="s">
        <v>5515</v>
      </c>
      <c r="F582">
        <v>81.040000000000006</v>
      </c>
      <c r="H582" t="s">
        <v>2015</v>
      </c>
      <c r="L582" t="s">
        <v>1433</v>
      </c>
      <c r="M582" t="s">
        <v>1272</v>
      </c>
      <c r="N582" t="s">
        <v>1882</v>
      </c>
      <c r="O582">
        <v>1</v>
      </c>
    </row>
    <row r="583" spans="2:15" x14ac:dyDescent="0.2">
      <c r="B583" t="s">
        <v>1433</v>
      </c>
      <c r="C583" t="s">
        <v>12890</v>
      </c>
      <c r="D583" t="s">
        <v>617</v>
      </c>
      <c r="E583" t="s">
        <v>5516</v>
      </c>
      <c r="F583">
        <v>121.56</v>
      </c>
      <c r="H583" t="s">
        <v>2015</v>
      </c>
      <c r="L583" t="s">
        <v>1433</v>
      </c>
      <c r="M583" t="s">
        <v>1883</v>
      </c>
      <c r="N583" t="s">
        <v>1884</v>
      </c>
      <c r="O583">
        <v>7</v>
      </c>
    </row>
    <row r="584" spans="2:15" x14ac:dyDescent="0.2">
      <c r="B584" t="s">
        <v>1433</v>
      </c>
      <c r="C584" t="s">
        <v>12890</v>
      </c>
      <c r="D584" t="s">
        <v>617</v>
      </c>
      <c r="E584" t="s">
        <v>5517</v>
      </c>
      <c r="F584">
        <v>909.1</v>
      </c>
      <c r="H584" t="s">
        <v>2016</v>
      </c>
      <c r="L584" t="s">
        <v>1433</v>
      </c>
      <c r="M584" t="s">
        <v>1885</v>
      </c>
      <c r="N584" t="s">
        <v>1884</v>
      </c>
      <c r="O584">
        <v>1</v>
      </c>
    </row>
    <row r="585" spans="2:15" x14ac:dyDescent="0.2">
      <c r="B585" t="s">
        <v>1433</v>
      </c>
      <c r="C585" t="s">
        <v>12890</v>
      </c>
      <c r="D585" t="s">
        <v>617</v>
      </c>
      <c r="E585" t="s">
        <v>5518</v>
      </c>
      <c r="F585">
        <v>2361.08</v>
      </c>
      <c r="H585" t="s">
        <v>2017</v>
      </c>
      <c r="L585" t="s">
        <v>1433</v>
      </c>
      <c r="M585" t="s">
        <v>1886</v>
      </c>
      <c r="N585" t="s">
        <v>1887</v>
      </c>
      <c r="O585">
        <v>240</v>
      </c>
    </row>
    <row r="586" spans="2:15" x14ac:dyDescent="0.2">
      <c r="B586" t="s">
        <v>1433</v>
      </c>
      <c r="C586" t="s">
        <v>12890</v>
      </c>
      <c r="D586" t="s">
        <v>617</v>
      </c>
      <c r="E586" t="s">
        <v>5519</v>
      </c>
      <c r="F586">
        <v>230</v>
      </c>
      <c r="H586" t="s">
        <v>2018</v>
      </c>
      <c r="L586" t="s">
        <v>1433</v>
      </c>
      <c r="M586" t="s">
        <v>1888</v>
      </c>
      <c r="N586" t="s">
        <v>1887</v>
      </c>
      <c r="O586">
        <v>240</v>
      </c>
    </row>
    <row r="587" spans="2:15" x14ac:dyDescent="0.2">
      <c r="B587" t="s">
        <v>1433</v>
      </c>
      <c r="C587" t="s">
        <v>12890</v>
      </c>
      <c r="D587" t="s">
        <v>617</v>
      </c>
      <c r="E587" t="s">
        <v>5520</v>
      </c>
      <c r="F587">
        <v>45.8</v>
      </c>
      <c r="H587" t="s">
        <v>2019</v>
      </c>
      <c r="L587" t="s">
        <v>1433</v>
      </c>
      <c r="M587" t="s">
        <v>1889</v>
      </c>
      <c r="N587" t="s">
        <v>1887</v>
      </c>
      <c r="O587">
        <v>100</v>
      </c>
    </row>
    <row r="588" spans="2:15" x14ac:dyDescent="0.2">
      <c r="B588" t="s">
        <v>1433</v>
      </c>
      <c r="C588" t="s">
        <v>12890</v>
      </c>
      <c r="D588" t="s">
        <v>617</v>
      </c>
      <c r="E588" t="s">
        <v>5521</v>
      </c>
      <c r="F588">
        <v>71.099999999999994</v>
      </c>
      <c r="H588" t="s">
        <v>2020</v>
      </c>
      <c r="L588" t="s">
        <v>1433</v>
      </c>
      <c r="M588" t="s">
        <v>1725</v>
      </c>
      <c r="N588" t="s">
        <v>1890</v>
      </c>
      <c r="O588">
        <v>100</v>
      </c>
    </row>
    <row r="589" spans="2:15" x14ac:dyDescent="0.2">
      <c r="B589" t="s">
        <v>1433</v>
      </c>
      <c r="C589" t="s">
        <v>12890</v>
      </c>
      <c r="D589" t="s">
        <v>617</v>
      </c>
      <c r="E589" t="s">
        <v>5522</v>
      </c>
      <c r="F589">
        <v>28.43</v>
      </c>
      <c r="H589" t="s">
        <v>2020</v>
      </c>
      <c r="L589" t="s">
        <v>1433</v>
      </c>
      <c r="M589" t="s">
        <v>1820</v>
      </c>
      <c r="N589" t="s">
        <v>1890</v>
      </c>
      <c r="O589">
        <v>10</v>
      </c>
    </row>
    <row r="590" spans="2:15" x14ac:dyDescent="0.2">
      <c r="B590" t="s">
        <v>1433</v>
      </c>
      <c r="C590" t="s">
        <v>12890</v>
      </c>
      <c r="D590" t="s">
        <v>617</v>
      </c>
      <c r="E590" t="s">
        <v>5523</v>
      </c>
      <c r="F590">
        <v>7.73</v>
      </c>
      <c r="H590" t="s">
        <v>2073</v>
      </c>
      <c r="L590" t="s">
        <v>1433</v>
      </c>
      <c r="M590" t="s">
        <v>1722</v>
      </c>
      <c r="N590" t="s">
        <v>1890</v>
      </c>
      <c r="O590">
        <v>300</v>
      </c>
    </row>
    <row r="591" spans="2:15" x14ac:dyDescent="0.2">
      <c r="B591" t="s">
        <v>1433</v>
      </c>
      <c r="C591" t="s">
        <v>12890</v>
      </c>
      <c r="D591" t="s">
        <v>617</v>
      </c>
      <c r="E591" t="s">
        <v>5524</v>
      </c>
      <c r="F591">
        <v>33.43</v>
      </c>
      <c r="H591" t="s">
        <v>2074</v>
      </c>
      <c r="L591" t="s">
        <v>1433</v>
      </c>
      <c r="M591" t="s">
        <v>1585</v>
      </c>
      <c r="N591" t="s">
        <v>1890</v>
      </c>
      <c r="O591">
        <v>75</v>
      </c>
    </row>
    <row r="592" spans="2:15" x14ac:dyDescent="0.2">
      <c r="B592" t="s">
        <v>1433</v>
      </c>
      <c r="C592" t="s">
        <v>12890</v>
      </c>
      <c r="D592" t="s">
        <v>617</v>
      </c>
      <c r="E592" t="s">
        <v>5525</v>
      </c>
      <c r="F592">
        <v>13.92</v>
      </c>
      <c r="H592" t="s">
        <v>2075</v>
      </c>
      <c r="L592" t="s">
        <v>1433</v>
      </c>
      <c r="M592" t="s">
        <v>1587</v>
      </c>
      <c r="N592" t="s">
        <v>1890</v>
      </c>
      <c r="O592">
        <v>75</v>
      </c>
    </row>
    <row r="593" spans="2:15" x14ac:dyDescent="0.2">
      <c r="B593" t="s">
        <v>1433</v>
      </c>
      <c r="C593" t="s">
        <v>12890</v>
      </c>
      <c r="D593" t="s">
        <v>617</v>
      </c>
      <c r="E593" t="s">
        <v>5526</v>
      </c>
      <c r="F593">
        <v>111.72</v>
      </c>
      <c r="H593" t="s">
        <v>2076</v>
      </c>
      <c r="L593" t="s">
        <v>1433</v>
      </c>
      <c r="M593" t="s">
        <v>1723</v>
      </c>
      <c r="N593" t="s">
        <v>1890</v>
      </c>
      <c r="O593">
        <v>150</v>
      </c>
    </row>
    <row r="594" spans="2:15" x14ac:dyDescent="0.2">
      <c r="B594" t="s">
        <v>1433</v>
      </c>
      <c r="C594" t="s">
        <v>12890</v>
      </c>
      <c r="D594" t="s">
        <v>613</v>
      </c>
      <c r="E594" t="s">
        <v>5560</v>
      </c>
      <c r="F594">
        <v>12.8</v>
      </c>
      <c r="H594" t="s">
        <v>1689</v>
      </c>
      <c r="L594" t="s">
        <v>1433</v>
      </c>
      <c r="M594" t="s">
        <v>1724</v>
      </c>
      <c r="N594" t="s">
        <v>1890</v>
      </c>
      <c r="O594">
        <v>100</v>
      </c>
    </row>
    <row r="595" spans="2:15" x14ac:dyDescent="0.2">
      <c r="B595" t="s">
        <v>1433</v>
      </c>
      <c r="C595" t="s">
        <v>12890</v>
      </c>
      <c r="D595" t="s">
        <v>617</v>
      </c>
      <c r="E595" t="s">
        <v>5561</v>
      </c>
      <c r="F595">
        <v>3.53</v>
      </c>
      <c r="H595" t="s">
        <v>5562</v>
      </c>
      <c r="L595" t="s">
        <v>1433</v>
      </c>
      <c r="M595" t="s">
        <v>1588</v>
      </c>
      <c r="N595" t="s">
        <v>1890</v>
      </c>
      <c r="O595">
        <v>25</v>
      </c>
    </row>
    <row r="596" spans="2:15" x14ac:dyDescent="0.2">
      <c r="B596" t="s">
        <v>1433</v>
      </c>
      <c r="C596" t="s">
        <v>12890</v>
      </c>
      <c r="D596" t="s">
        <v>617</v>
      </c>
      <c r="E596" t="s">
        <v>5563</v>
      </c>
      <c r="F596">
        <v>4.6399999999999997</v>
      </c>
      <c r="H596" t="s">
        <v>1917</v>
      </c>
      <c r="L596" t="s">
        <v>1433</v>
      </c>
      <c r="M596" t="s">
        <v>1891</v>
      </c>
      <c r="N596" t="s">
        <v>1890</v>
      </c>
      <c r="O596">
        <v>250</v>
      </c>
    </row>
    <row r="597" spans="2:15" x14ac:dyDescent="0.2">
      <c r="B597" t="s">
        <v>1433</v>
      </c>
      <c r="C597" t="s">
        <v>12890</v>
      </c>
      <c r="D597" t="s">
        <v>617</v>
      </c>
      <c r="E597" t="s">
        <v>5564</v>
      </c>
      <c r="F597">
        <v>41.04</v>
      </c>
      <c r="H597" t="s">
        <v>1467</v>
      </c>
      <c r="L597" t="s">
        <v>1433</v>
      </c>
      <c r="M597" t="s">
        <v>1892</v>
      </c>
      <c r="N597" t="s">
        <v>1893</v>
      </c>
      <c r="O597">
        <v>2</v>
      </c>
    </row>
    <row r="598" spans="2:15" x14ac:dyDescent="0.2">
      <c r="B598" t="s">
        <v>1433</v>
      </c>
      <c r="C598" t="s">
        <v>12890</v>
      </c>
      <c r="D598" t="s">
        <v>617</v>
      </c>
      <c r="E598" t="s">
        <v>5565</v>
      </c>
      <c r="F598">
        <v>21.5</v>
      </c>
      <c r="H598" t="s">
        <v>1449</v>
      </c>
      <c r="L598" t="s">
        <v>1433</v>
      </c>
      <c r="M598" t="s">
        <v>1894</v>
      </c>
      <c r="N598" t="s">
        <v>1893</v>
      </c>
      <c r="O598">
        <v>2</v>
      </c>
    </row>
    <row r="599" spans="2:15" x14ac:dyDescent="0.2">
      <c r="B599" t="s">
        <v>1433</v>
      </c>
      <c r="C599" t="s">
        <v>12890</v>
      </c>
      <c r="D599" t="s">
        <v>617</v>
      </c>
      <c r="E599" t="s">
        <v>5566</v>
      </c>
      <c r="F599">
        <v>49.23</v>
      </c>
      <c r="H599" t="s">
        <v>1469</v>
      </c>
      <c r="L599" t="s">
        <v>1433</v>
      </c>
      <c r="M599" t="s">
        <v>1895</v>
      </c>
      <c r="N599" t="s">
        <v>1893</v>
      </c>
      <c r="O599">
        <v>2</v>
      </c>
    </row>
    <row r="600" spans="2:15" x14ac:dyDescent="0.2">
      <c r="B600" t="s">
        <v>1433</v>
      </c>
      <c r="C600" t="s">
        <v>12890</v>
      </c>
      <c r="D600" t="s">
        <v>617</v>
      </c>
      <c r="E600" t="s">
        <v>5567</v>
      </c>
      <c r="F600">
        <v>28.93</v>
      </c>
      <c r="H600" t="s">
        <v>1380</v>
      </c>
      <c r="L600" t="s">
        <v>1433</v>
      </c>
      <c r="M600" t="s">
        <v>1896</v>
      </c>
      <c r="N600" t="s">
        <v>1893</v>
      </c>
      <c r="O600">
        <v>2</v>
      </c>
    </row>
    <row r="601" spans="2:15" x14ac:dyDescent="0.2">
      <c r="B601" t="s">
        <v>1433</v>
      </c>
      <c r="C601" t="s">
        <v>12890</v>
      </c>
      <c r="D601" t="s">
        <v>617</v>
      </c>
      <c r="E601" t="s">
        <v>5568</v>
      </c>
      <c r="F601">
        <v>2.4500000000000002</v>
      </c>
      <c r="H601" t="s">
        <v>1806</v>
      </c>
      <c r="L601" t="s">
        <v>1433</v>
      </c>
      <c r="M601" t="s">
        <v>1897</v>
      </c>
      <c r="N601" t="s">
        <v>1893</v>
      </c>
      <c r="O601">
        <v>2</v>
      </c>
    </row>
    <row r="602" spans="2:15" x14ac:dyDescent="0.2">
      <c r="B602" t="s">
        <v>1433</v>
      </c>
      <c r="C602" t="s">
        <v>12890</v>
      </c>
      <c r="D602" t="s">
        <v>617</v>
      </c>
      <c r="E602" t="s">
        <v>5569</v>
      </c>
      <c r="F602">
        <v>10.96</v>
      </c>
      <c r="H602" t="s">
        <v>2173</v>
      </c>
      <c r="L602" t="s">
        <v>1433</v>
      </c>
      <c r="M602" t="s">
        <v>1898</v>
      </c>
      <c r="N602" t="s">
        <v>1893</v>
      </c>
      <c r="O602">
        <v>2</v>
      </c>
    </row>
    <row r="603" spans="2:15" x14ac:dyDescent="0.2">
      <c r="B603" t="s">
        <v>1433</v>
      </c>
      <c r="C603" t="s">
        <v>12890</v>
      </c>
      <c r="D603" t="s">
        <v>617</v>
      </c>
      <c r="E603" t="s">
        <v>5570</v>
      </c>
      <c r="F603">
        <v>37.26</v>
      </c>
      <c r="H603" t="s">
        <v>1470</v>
      </c>
      <c r="L603" t="s">
        <v>1433</v>
      </c>
      <c r="M603" t="s">
        <v>1899</v>
      </c>
      <c r="N603" t="s">
        <v>1893</v>
      </c>
      <c r="O603">
        <v>2</v>
      </c>
    </row>
    <row r="604" spans="2:15" x14ac:dyDescent="0.2">
      <c r="B604" t="s">
        <v>1433</v>
      </c>
      <c r="C604" t="s">
        <v>12890</v>
      </c>
      <c r="D604" t="s">
        <v>617</v>
      </c>
      <c r="E604" t="s">
        <v>5571</v>
      </c>
      <c r="F604">
        <v>19.95</v>
      </c>
      <c r="H604" t="s">
        <v>1450</v>
      </c>
      <c r="L604" t="s">
        <v>1433</v>
      </c>
      <c r="M604" t="s">
        <v>1900</v>
      </c>
      <c r="N604" t="s">
        <v>1893</v>
      </c>
      <c r="O604">
        <v>2</v>
      </c>
    </row>
    <row r="605" spans="2:15" x14ac:dyDescent="0.2">
      <c r="B605" t="s">
        <v>1433</v>
      </c>
      <c r="C605" t="s">
        <v>12890</v>
      </c>
      <c r="D605" t="s">
        <v>617</v>
      </c>
      <c r="E605" t="s">
        <v>5572</v>
      </c>
      <c r="F605">
        <v>0.99</v>
      </c>
      <c r="H605" t="s">
        <v>1382</v>
      </c>
      <c r="L605" t="s">
        <v>1433</v>
      </c>
      <c r="M605" t="s">
        <v>1805</v>
      </c>
      <c r="N605" t="s">
        <v>1855</v>
      </c>
      <c r="O605">
        <v>22</v>
      </c>
    </row>
    <row r="606" spans="2:15" x14ac:dyDescent="0.2">
      <c r="B606" t="s">
        <v>1433</v>
      </c>
      <c r="C606" t="s">
        <v>12890</v>
      </c>
      <c r="D606" t="s">
        <v>617</v>
      </c>
      <c r="E606" t="s">
        <v>5573</v>
      </c>
      <c r="F606">
        <v>50.94</v>
      </c>
      <c r="H606" t="s">
        <v>1491</v>
      </c>
      <c r="L606" t="s">
        <v>1433</v>
      </c>
      <c r="M606" t="s">
        <v>1886</v>
      </c>
      <c r="N606" t="s">
        <v>1901</v>
      </c>
      <c r="O606">
        <v>320</v>
      </c>
    </row>
    <row r="607" spans="2:15" x14ac:dyDescent="0.2">
      <c r="B607" t="s">
        <v>1433</v>
      </c>
      <c r="C607" t="s">
        <v>12890</v>
      </c>
      <c r="D607" t="s">
        <v>617</v>
      </c>
      <c r="E607" t="s">
        <v>5574</v>
      </c>
      <c r="F607">
        <v>458.2</v>
      </c>
      <c r="H607" t="s">
        <v>2174</v>
      </c>
      <c r="L607" t="s">
        <v>1433</v>
      </c>
      <c r="M607" t="s">
        <v>1888</v>
      </c>
      <c r="N607" t="s">
        <v>1901</v>
      </c>
      <c r="O607">
        <v>320</v>
      </c>
    </row>
    <row r="608" spans="2:15" x14ac:dyDescent="0.2">
      <c r="B608" t="s">
        <v>1433</v>
      </c>
      <c r="C608" t="s">
        <v>12890</v>
      </c>
      <c r="D608" t="s">
        <v>617</v>
      </c>
      <c r="E608" t="s">
        <v>5575</v>
      </c>
      <c r="F608">
        <v>102.24</v>
      </c>
      <c r="H608" t="s">
        <v>5395</v>
      </c>
      <c r="L608" t="s">
        <v>1433</v>
      </c>
      <c r="M608" t="s">
        <v>1902</v>
      </c>
      <c r="N608" t="s">
        <v>1901</v>
      </c>
      <c r="O608">
        <v>2</v>
      </c>
    </row>
    <row r="609" spans="2:15" x14ac:dyDescent="0.2">
      <c r="B609" t="s">
        <v>1433</v>
      </c>
      <c r="C609" t="s">
        <v>12890</v>
      </c>
      <c r="D609" t="s">
        <v>617</v>
      </c>
      <c r="E609" t="s">
        <v>5576</v>
      </c>
      <c r="F609">
        <v>123.44</v>
      </c>
      <c r="H609" t="s">
        <v>1447</v>
      </c>
      <c r="L609" t="s">
        <v>1433</v>
      </c>
      <c r="M609" t="s">
        <v>1903</v>
      </c>
      <c r="N609" t="s">
        <v>1901</v>
      </c>
      <c r="O609">
        <v>4</v>
      </c>
    </row>
    <row r="610" spans="2:15" x14ac:dyDescent="0.2">
      <c r="B610" t="s">
        <v>1433</v>
      </c>
      <c r="C610" t="s">
        <v>12890</v>
      </c>
      <c r="D610" t="s">
        <v>617</v>
      </c>
      <c r="E610" t="s">
        <v>5577</v>
      </c>
      <c r="F610">
        <v>0.98</v>
      </c>
      <c r="H610" t="s">
        <v>2175</v>
      </c>
      <c r="L610" t="s">
        <v>1433</v>
      </c>
      <c r="M610" t="s">
        <v>1904</v>
      </c>
      <c r="N610" t="s">
        <v>1901</v>
      </c>
      <c r="O610">
        <v>1</v>
      </c>
    </row>
    <row r="611" spans="2:15" x14ac:dyDescent="0.2">
      <c r="B611" t="s">
        <v>1433</v>
      </c>
      <c r="C611" t="s">
        <v>12890</v>
      </c>
      <c r="D611" t="s">
        <v>617</v>
      </c>
      <c r="E611" t="s">
        <v>5578</v>
      </c>
      <c r="F611">
        <v>0.51</v>
      </c>
      <c r="H611" t="s">
        <v>2176</v>
      </c>
      <c r="L611" t="s">
        <v>1433</v>
      </c>
      <c r="M611" t="s">
        <v>1905</v>
      </c>
      <c r="N611" t="s">
        <v>1901</v>
      </c>
      <c r="O611">
        <v>14</v>
      </c>
    </row>
    <row r="612" spans="2:15" x14ac:dyDescent="0.2">
      <c r="B612" t="s">
        <v>1433</v>
      </c>
      <c r="C612" t="s">
        <v>12890</v>
      </c>
      <c r="D612" t="s">
        <v>617</v>
      </c>
      <c r="E612" t="s">
        <v>5579</v>
      </c>
      <c r="F612">
        <v>113.94</v>
      </c>
      <c r="H612" t="s">
        <v>1471</v>
      </c>
      <c r="L612" t="s">
        <v>1433</v>
      </c>
      <c r="M612" t="s">
        <v>1906</v>
      </c>
      <c r="N612" t="s">
        <v>1901</v>
      </c>
      <c r="O612">
        <v>80</v>
      </c>
    </row>
    <row r="613" spans="2:15" x14ac:dyDescent="0.2">
      <c r="B613" t="s">
        <v>1433</v>
      </c>
      <c r="C613" t="s">
        <v>12890</v>
      </c>
      <c r="D613" t="s">
        <v>617</v>
      </c>
      <c r="E613" t="s">
        <v>5580</v>
      </c>
      <c r="F613">
        <v>29.7</v>
      </c>
      <c r="H613" t="s">
        <v>1472</v>
      </c>
      <c r="L613" t="s">
        <v>1433</v>
      </c>
      <c r="M613" t="s">
        <v>1907</v>
      </c>
      <c r="N613" t="s">
        <v>1901</v>
      </c>
      <c r="O613">
        <v>20</v>
      </c>
    </row>
    <row r="614" spans="2:15" x14ac:dyDescent="0.2">
      <c r="B614" t="s">
        <v>1433</v>
      </c>
      <c r="C614" t="s">
        <v>12890</v>
      </c>
      <c r="D614" t="s">
        <v>617</v>
      </c>
      <c r="E614" t="s">
        <v>5581</v>
      </c>
      <c r="F614">
        <v>27.5</v>
      </c>
      <c r="H614" t="s">
        <v>1455</v>
      </c>
      <c r="L614" t="s">
        <v>1433</v>
      </c>
      <c r="M614" t="s">
        <v>1889</v>
      </c>
      <c r="N614" t="s">
        <v>1901</v>
      </c>
      <c r="O614">
        <v>80</v>
      </c>
    </row>
    <row r="615" spans="2:15" x14ac:dyDescent="0.2">
      <c r="B615" t="s">
        <v>1433</v>
      </c>
      <c r="C615" t="s">
        <v>12890</v>
      </c>
      <c r="D615" t="s">
        <v>617</v>
      </c>
      <c r="E615" t="s">
        <v>5582</v>
      </c>
      <c r="F615">
        <v>7.96</v>
      </c>
      <c r="H615" t="s">
        <v>1460</v>
      </c>
      <c r="L615" t="s">
        <v>1433</v>
      </c>
      <c r="M615" t="s">
        <v>1908</v>
      </c>
      <c r="N615" t="s">
        <v>1679</v>
      </c>
      <c r="O615">
        <v>48</v>
      </c>
    </row>
    <row r="616" spans="2:15" x14ac:dyDescent="0.2">
      <c r="B616" t="s">
        <v>1433</v>
      </c>
      <c r="C616" t="s">
        <v>12890</v>
      </c>
      <c r="D616" t="s">
        <v>617</v>
      </c>
      <c r="E616" t="s">
        <v>5583</v>
      </c>
      <c r="F616">
        <v>63.68</v>
      </c>
      <c r="H616" t="s">
        <v>1489</v>
      </c>
      <c r="L616" t="s">
        <v>1433</v>
      </c>
      <c r="M616" t="s">
        <v>1909</v>
      </c>
      <c r="N616" t="s">
        <v>1910</v>
      </c>
      <c r="O616">
        <v>8</v>
      </c>
    </row>
    <row r="617" spans="2:15" x14ac:dyDescent="0.2">
      <c r="B617" t="s">
        <v>1433</v>
      </c>
      <c r="C617" t="s">
        <v>12890</v>
      </c>
      <c r="D617" t="s">
        <v>617</v>
      </c>
      <c r="E617" t="s">
        <v>5584</v>
      </c>
      <c r="F617">
        <v>199.67</v>
      </c>
      <c r="H617" t="s">
        <v>2262</v>
      </c>
      <c r="L617" t="s">
        <v>1433</v>
      </c>
      <c r="M617" t="s">
        <v>1911</v>
      </c>
      <c r="N617" t="s">
        <v>1910</v>
      </c>
      <c r="O617">
        <v>10</v>
      </c>
    </row>
    <row r="618" spans="2:15" x14ac:dyDescent="0.2">
      <c r="B618" t="s">
        <v>1433</v>
      </c>
      <c r="C618" t="s">
        <v>12890</v>
      </c>
      <c r="D618" t="s">
        <v>617</v>
      </c>
      <c r="E618" t="s">
        <v>5585</v>
      </c>
      <c r="F618">
        <v>1139.68</v>
      </c>
      <c r="H618" t="s">
        <v>1374</v>
      </c>
      <c r="L618" t="s">
        <v>1433</v>
      </c>
      <c r="M618" t="s">
        <v>1807</v>
      </c>
      <c r="N618" t="s">
        <v>1912</v>
      </c>
      <c r="O618">
        <v>20</v>
      </c>
    </row>
    <row r="619" spans="2:15" x14ac:dyDescent="0.2">
      <c r="B619" t="s">
        <v>1433</v>
      </c>
      <c r="C619" t="s">
        <v>12890</v>
      </c>
      <c r="D619" t="s">
        <v>617</v>
      </c>
      <c r="E619" t="s">
        <v>5586</v>
      </c>
      <c r="F619">
        <v>165.02</v>
      </c>
      <c r="H619" t="s">
        <v>1445</v>
      </c>
      <c r="L619" t="s">
        <v>1433</v>
      </c>
      <c r="M619" t="s">
        <v>1913</v>
      </c>
      <c r="N619" t="s">
        <v>1912</v>
      </c>
      <c r="O619">
        <v>30</v>
      </c>
    </row>
    <row r="620" spans="2:15" x14ac:dyDescent="0.2">
      <c r="B620" t="s">
        <v>1433</v>
      </c>
      <c r="C620" t="s">
        <v>12890</v>
      </c>
      <c r="D620" t="s">
        <v>617</v>
      </c>
      <c r="E620" t="s">
        <v>5587</v>
      </c>
      <c r="F620">
        <v>825.1</v>
      </c>
      <c r="H620" t="s">
        <v>1445</v>
      </c>
      <c r="L620" t="s">
        <v>1433</v>
      </c>
      <c r="M620" t="s">
        <v>1914</v>
      </c>
      <c r="N620" t="s">
        <v>1915</v>
      </c>
      <c r="O620">
        <v>20</v>
      </c>
    </row>
    <row r="621" spans="2:15" x14ac:dyDescent="0.2">
      <c r="B621" t="s">
        <v>1433</v>
      </c>
      <c r="C621" t="s">
        <v>12890</v>
      </c>
      <c r="D621" t="s">
        <v>617</v>
      </c>
      <c r="E621" t="s">
        <v>5588</v>
      </c>
      <c r="F621">
        <v>220.81</v>
      </c>
      <c r="H621" t="s">
        <v>1923</v>
      </c>
      <c r="L621" t="s">
        <v>1433</v>
      </c>
      <c r="M621" t="s">
        <v>1916</v>
      </c>
      <c r="N621" t="s">
        <v>1915</v>
      </c>
      <c r="O621">
        <v>20</v>
      </c>
    </row>
    <row r="622" spans="2:15" x14ac:dyDescent="0.2">
      <c r="B622" t="s">
        <v>1433</v>
      </c>
      <c r="C622" t="s">
        <v>12890</v>
      </c>
      <c r="D622" t="s">
        <v>617</v>
      </c>
      <c r="E622" t="s">
        <v>5589</v>
      </c>
      <c r="F622">
        <v>726.4</v>
      </c>
      <c r="H622" t="s">
        <v>1842</v>
      </c>
      <c r="L622" t="s">
        <v>1433</v>
      </c>
      <c r="M622" t="s">
        <v>1807</v>
      </c>
      <c r="N622" t="s">
        <v>1915</v>
      </c>
      <c r="O622">
        <v>10</v>
      </c>
    </row>
    <row r="623" spans="2:15" x14ac:dyDescent="0.2">
      <c r="B623" t="s">
        <v>1433</v>
      </c>
      <c r="C623" t="s">
        <v>12890</v>
      </c>
      <c r="D623" t="s">
        <v>617</v>
      </c>
      <c r="E623" t="s">
        <v>5590</v>
      </c>
      <c r="F623">
        <v>72.64</v>
      </c>
      <c r="H623" t="s">
        <v>1842</v>
      </c>
      <c r="L623" t="s">
        <v>1433</v>
      </c>
      <c r="M623" t="s">
        <v>1917</v>
      </c>
      <c r="N623" t="s">
        <v>1915</v>
      </c>
      <c r="O623">
        <v>200</v>
      </c>
    </row>
    <row r="624" spans="2:15" x14ac:dyDescent="0.2">
      <c r="B624" t="s">
        <v>1433</v>
      </c>
      <c r="C624" t="s">
        <v>12890</v>
      </c>
      <c r="D624" t="s">
        <v>617</v>
      </c>
      <c r="E624" t="s">
        <v>5591</v>
      </c>
      <c r="F624">
        <v>72.64</v>
      </c>
      <c r="H624" t="s">
        <v>1842</v>
      </c>
      <c r="L624" t="s">
        <v>1433</v>
      </c>
      <c r="M624" t="s">
        <v>1806</v>
      </c>
      <c r="N624" t="s">
        <v>1915</v>
      </c>
      <c r="O624">
        <v>50</v>
      </c>
    </row>
    <row r="625" spans="2:15" x14ac:dyDescent="0.2">
      <c r="B625" t="s">
        <v>1433</v>
      </c>
      <c r="C625" t="s">
        <v>12890</v>
      </c>
      <c r="D625" t="s">
        <v>617</v>
      </c>
      <c r="E625" t="s">
        <v>5592</v>
      </c>
      <c r="F625">
        <v>1089.5999999999999</v>
      </c>
      <c r="H625" t="s">
        <v>1842</v>
      </c>
      <c r="L625" t="s">
        <v>1433</v>
      </c>
      <c r="M625" t="s">
        <v>1918</v>
      </c>
      <c r="N625" t="s">
        <v>1915</v>
      </c>
      <c r="O625">
        <v>740</v>
      </c>
    </row>
    <row r="626" spans="2:15" x14ac:dyDescent="0.2">
      <c r="B626" t="s">
        <v>1433</v>
      </c>
      <c r="C626" t="s">
        <v>12890</v>
      </c>
      <c r="D626" t="s">
        <v>617</v>
      </c>
      <c r="E626" t="s">
        <v>5593</v>
      </c>
      <c r="F626">
        <v>228.89</v>
      </c>
      <c r="H626" t="s">
        <v>1842</v>
      </c>
      <c r="L626" t="s">
        <v>1433</v>
      </c>
      <c r="M626" t="s">
        <v>1919</v>
      </c>
      <c r="N626" t="s">
        <v>1915</v>
      </c>
      <c r="O626">
        <v>70</v>
      </c>
    </row>
    <row r="627" spans="2:15" x14ac:dyDescent="0.2">
      <c r="B627" t="s">
        <v>1433</v>
      </c>
      <c r="C627" t="s">
        <v>12890</v>
      </c>
      <c r="D627" t="s">
        <v>617</v>
      </c>
      <c r="E627" t="s">
        <v>5594</v>
      </c>
      <c r="F627">
        <v>12.8</v>
      </c>
      <c r="H627" t="s">
        <v>1843</v>
      </c>
      <c r="L627" t="s">
        <v>1433</v>
      </c>
      <c r="M627" t="s">
        <v>1818</v>
      </c>
      <c r="N627" t="s">
        <v>1920</v>
      </c>
      <c r="O627">
        <v>6</v>
      </c>
    </row>
    <row r="628" spans="2:15" x14ac:dyDescent="0.2">
      <c r="B628" t="s">
        <v>1433</v>
      </c>
      <c r="C628" t="s">
        <v>12890</v>
      </c>
      <c r="D628" t="s">
        <v>617</v>
      </c>
      <c r="E628" t="s">
        <v>5595</v>
      </c>
      <c r="F628">
        <v>12.8</v>
      </c>
      <c r="H628" t="s">
        <v>1843</v>
      </c>
      <c r="L628" t="s">
        <v>1433</v>
      </c>
      <c r="M628" t="s">
        <v>1818</v>
      </c>
      <c r="N628" t="s">
        <v>1534</v>
      </c>
      <c r="O628">
        <v>6</v>
      </c>
    </row>
    <row r="629" spans="2:15" x14ac:dyDescent="0.2">
      <c r="B629" t="s">
        <v>1433</v>
      </c>
      <c r="C629" t="s">
        <v>12890</v>
      </c>
      <c r="D629" t="s">
        <v>617</v>
      </c>
      <c r="E629" t="s">
        <v>5596</v>
      </c>
      <c r="F629">
        <v>59.36</v>
      </c>
      <c r="H629" t="s">
        <v>1843</v>
      </c>
      <c r="L629" t="s">
        <v>1433</v>
      </c>
      <c r="M629" t="s">
        <v>1693</v>
      </c>
      <c r="N629" t="s">
        <v>1870</v>
      </c>
      <c r="O629">
        <v>112</v>
      </c>
    </row>
    <row r="630" spans="2:15" x14ac:dyDescent="0.2">
      <c r="B630" t="s">
        <v>1433</v>
      </c>
      <c r="C630" t="s">
        <v>12890</v>
      </c>
      <c r="D630" t="s">
        <v>617</v>
      </c>
      <c r="E630" t="s">
        <v>5597</v>
      </c>
      <c r="F630">
        <v>89.04</v>
      </c>
      <c r="H630" t="s">
        <v>1843</v>
      </c>
      <c r="L630" t="s">
        <v>1433</v>
      </c>
      <c r="M630" t="s">
        <v>1921</v>
      </c>
      <c r="N630" t="s">
        <v>1870</v>
      </c>
      <c r="O630">
        <v>16</v>
      </c>
    </row>
    <row r="631" spans="2:15" x14ac:dyDescent="0.2">
      <c r="B631" t="s">
        <v>1433</v>
      </c>
      <c r="C631" t="s">
        <v>12890</v>
      </c>
      <c r="D631" t="s">
        <v>617</v>
      </c>
      <c r="E631" t="s">
        <v>5598</v>
      </c>
      <c r="F631">
        <v>230.4</v>
      </c>
      <c r="H631" t="s">
        <v>1843</v>
      </c>
      <c r="L631" t="s">
        <v>1433</v>
      </c>
      <c r="M631" t="s">
        <v>1922</v>
      </c>
      <c r="N631" t="s">
        <v>1870</v>
      </c>
      <c r="O631">
        <v>8</v>
      </c>
    </row>
    <row r="632" spans="2:15" x14ac:dyDescent="0.2">
      <c r="B632" t="s">
        <v>1433</v>
      </c>
      <c r="C632" t="s">
        <v>12890</v>
      </c>
      <c r="D632" t="s">
        <v>617</v>
      </c>
      <c r="E632" t="s">
        <v>5599</v>
      </c>
      <c r="F632">
        <v>236.88</v>
      </c>
      <c r="H632" t="s">
        <v>1924</v>
      </c>
      <c r="L632" t="s">
        <v>1433</v>
      </c>
      <c r="M632" t="s">
        <v>1923</v>
      </c>
      <c r="N632" t="s">
        <v>1910</v>
      </c>
      <c r="O632">
        <v>10</v>
      </c>
    </row>
    <row r="633" spans="2:15" x14ac:dyDescent="0.2">
      <c r="B633" t="s">
        <v>1433</v>
      </c>
      <c r="C633" t="s">
        <v>12890</v>
      </c>
      <c r="D633" t="s">
        <v>617</v>
      </c>
      <c r="E633" t="s">
        <v>5600</v>
      </c>
      <c r="F633">
        <v>16.02</v>
      </c>
      <c r="H633" t="s">
        <v>1473</v>
      </c>
      <c r="L633" t="s">
        <v>1433</v>
      </c>
      <c r="M633" t="s">
        <v>1924</v>
      </c>
      <c r="N633" t="s">
        <v>1910</v>
      </c>
      <c r="O633">
        <v>10</v>
      </c>
    </row>
    <row r="634" spans="2:15" x14ac:dyDescent="0.2">
      <c r="B634" t="s">
        <v>1433</v>
      </c>
      <c r="C634" t="s">
        <v>12890</v>
      </c>
      <c r="D634" t="s">
        <v>617</v>
      </c>
      <c r="E634" t="s">
        <v>5601</v>
      </c>
      <c r="F634">
        <v>43.56</v>
      </c>
      <c r="H634" t="s">
        <v>1479</v>
      </c>
      <c r="L634" t="s">
        <v>1433</v>
      </c>
      <c r="M634" t="s">
        <v>1925</v>
      </c>
      <c r="N634" t="s">
        <v>1910</v>
      </c>
      <c r="O634">
        <v>8</v>
      </c>
    </row>
    <row r="635" spans="2:15" x14ac:dyDescent="0.2">
      <c r="B635" t="s">
        <v>1433</v>
      </c>
      <c r="C635" t="s">
        <v>12890</v>
      </c>
      <c r="D635" t="s">
        <v>617</v>
      </c>
      <c r="E635" t="s">
        <v>5602</v>
      </c>
      <c r="F635">
        <v>81.45</v>
      </c>
      <c r="H635" t="s">
        <v>1480</v>
      </c>
      <c r="L635" t="s">
        <v>1433</v>
      </c>
      <c r="M635" t="s">
        <v>1790</v>
      </c>
      <c r="N635" t="s">
        <v>1926</v>
      </c>
      <c r="O635">
        <v>50</v>
      </c>
    </row>
    <row r="636" spans="2:15" x14ac:dyDescent="0.2">
      <c r="B636" t="s">
        <v>1433</v>
      </c>
      <c r="C636" t="s">
        <v>12890</v>
      </c>
      <c r="D636" t="s">
        <v>617</v>
      </c>
      <c r="E636" t="s">
        <v>5603</v>
      </c>
      <c r="F636">
        <v>16.29</v>
      </c>
      <c r="H636" t="s">
        <v>1480</v>
      </c>
      <c r="L636" t="s">
        <v>1433</v>
      </c>
      <c r="M636" t="s">
        <v>1792</v>
      </c>
      <c r="N636" t="s">
        <v>1926</v>
      </c>
      <c r="O636">
        <v>50</v>
      </c>
    </row>
    <row r="637" spans="2:15" x14ac:dyDescent="0.2">
      <c r="B637" t="s">
        <v>1433</v>
      </c>
      <c r="C637" t="s">
        <v>12890</v>
      </c>
      <c r="D637" t="s">
        <v>617</v>
      </c>
      <c r="E637" t="s">
        <v>5604</v>
      </c>
      <c r="F637">
        <v>7.72</v>
      </c>
      <c r="H637" t="s">
        <v>1462</v>
      </c>
      <c r="L637" t="s">
        <v>1433</v>
      </c>
      <c r="M637" t="s">
        <v>1793</v>
      </c>
      <c r="N637" t="s">
        <v>1926</v>
      </c>
      <c r="O637">
        <v>100</v>
      </c>
    </row>
    <row r="638" spans="2:15" x14ac:dyDescent="0.2">
      <c r="B638" t="s">
        <v>1433</v>
      </c>
      <c r="C638" t="s">
        <v>12890</v>
      </c>
      <c r="D638" t="s">
        <v>617</v>
      </c>
      <c r="E638" t="s">
        <v>5605</v>
      </c>
      <c r="F638">
        <v>7.9</v>
      </c>
      <c r="H638" t="s">
        <v>1463</v>
      </c>
      <c r="L638" t="s">
        <v>1433</v>
      </c>
      <c r="M638" t="s">
        <v>1795</v>
      </c>
      <c r="N638" t="s">
        <v>1926</v>
      </c>
      <c r="O638">
        <v>100</v>
      </c>
    </row>
    <row r="639" spans="2:15" x14ac:dyDescent="0.2">
      <c r="B639" t="s">
        <v>1433</v>
      </c>
      <c r="C639" t="s">
        <v>12890</v>
      </c>
      <c r="D639" t="s">
        <v>617</v>
      </c>
      <c r="E639" t="s">
        <v>5606</v>
      </c>
      <c r="F639">
        <v>10.199999999999999</v>
      </c>
      <c r="H639" t="s">
        <v>1464</v>
      </c>
      <c r="L639" t="s">
        <v>1433</v>
      </c>
      <c r="M639" t="s">
        <v>1799</v>
      </c>
      <c r="N639" t="s">
        <v>1926</v>
      </c>
      <c r="O639">
        <v>50</v>
      </c>
    </row>
    <row r="640" spans="2:15" x14ac:dyDescent="0.2">
      <c r="B640" t="s">
        <v>1433</v>
      </c>
      <c r="C640" t="s">
        <v>12890</v>
      </c>
      <c r="D640" t="s">
        <v>617</v>
      </c>
      <c r="E640" t="s">
        <v>5607</v>
      </c>
      <c r="F640">
        <v>42.84</v>
      </c>
      <c r="H640" t="s">
        <v>1464</v>
      </c>
      <c r="L640" t="s">
        <v>1433</v>
      </c>
      <c r="M640" t="s">
        <v>1800</v>
      </c>
      <c r="N640" t="s">
        <v>1926</v>
      </c>
      <c r="O640">
        <v>50</v>
      </c>
    </row>
    <row r="641" spans="2:15" x14ac:dyDescent="0.2">
      <c r="B641" t="s">
        <v>1433</v>
      </c>
      <c r="C641" t="s">
        <v>12890</v>
      </c>
      <c r="D641" t="s">
        <v>617</v>
      </c>
      <c r="E641" t="s">
        <v>5608</v>
      </c>
      <c r="F641">
        <v>84.24</v>
      </c>
      <c r="H641" t="s">
        <v>1474</v>
      </c>
      <c r="L641" t="s">
        <v>1433</v>
      </c>
      <c r="M641" t="s">
        <v>1927</v>
      </c>
      <c r="N641" t="s">
        <v>1928</v>
      </c>
      <c r="O641">
        <v>2</v>
      </c>
    </row>
    <row r="642" spans="2:15" x14ac:dyDescent="0.2">
      <c r="B642" t="s">
        <v>1433</v>
      </c>
      <c r="C642" t="s">
        <v>12890</v>
      </c>
      <c r="D642" t="s">
        <v>617</v>
      </c>
      <c r="E642" t="s">
        <v>5609</v>
      </c>
      <c r="F642">
        <v>792</v>
      </c>
      <c r="H642" t="s">
        <v>1475</v>
      </c>
      <c r="L642" t="s">
        <v>1433</v>
      </c>
      <c r="M642" t="s">
        <v>1929</v>
      </c>
      <c r="N642" t="s">
        <v>1928</v>
      </c>
      <c r="O642">
        <v>2</v>
      </c>
    </row>
    <row r="643" spans="2:15" x14ac:dyDescent="0.2">
      <c r="B643" t="s">
        <v>1433</v>
      </c>
      <c r="C643" t="s">
        <v>12890</v>
      </c>
      <c r="D643" t="s">
        <v>617</v>
      </c>
      <c r="E643" t="s">
        <v>5610</v>
      </c>
      <c r="F643">
        <v>31.86</v>
      </c>
      <c r="H643" t="s">
        <v>1476</v>
      </c>
      <c r="L643" t="s">
        <v>1433</v>
      </c>
      <c r="M643" t="s">
        <v>1930</v>
      </c>
      <c r="N643" t="s">
        <v>1928</v>
      </c>
      <c r="O643">
        <v>2</v>
      </c>
    </row>
    <row r="644" spans="2:15" x14ac:dyDescent="0.2">
      <c r="B644" t="s">
        <v>1433</v>
      </c>
      <c r="C644" t="s">
        <v>12890</v>
      </c>
      <c r="D644" t="s">
        <v>617</v>
      </c>
      <c r="E644" t="s">
        <v>5611</v>
      </c>
      <c r="F644">
        <v>63.72</v>
      </c>
      <c r="H644" t="s">
        <v>1477</v>
      </c>
      <c r="L644" t="s">
        <v>1433</v>
      </c>
      <c r="M644" t="s">
        <v>1931</v>
      </c>
      <c r="N644" t="s">
        <v>1928</v>
      </c>
      <c r="O644">
        <v>1</v>
      </c>
    </row>
    <row r="645" spans="2:15" x14ac:dyDescent="0.2">
      <c r="B645" t="s">
        <v>1433</v>
      </c>
      <c r="C645" t="s">
        <v>12890</v>
      </c>
      <c r="D645" t="s">
        <v>617</v>
      </c>
      <c r="E645" t="s">
        <v>5612</v>
      </c>
      <c r="F645">
        <v>63.72</v>
      </c>
      <c r="H645" t="s">
        <v>1477</v>
      </c>
      <c r="L645" t="s">
        <v>1433</v>
      </c>
      <c r="M645" t="s">
        <v>1932</v>
      </c>
      <c r="N645" t="s">
        <v>1928</v>
      </c>
      <c r="O645">
        <v>1</v>
      </c>
    </row>
    <row r="646" spans="2:15" x14ac:dyDescent="0.2">
      <c r="B646" t="s">
        <v>1433</v>
      </c>
      <c r="C646" t="s">
        <v>12890</v>
      </c>
      <c r="D646" t="s">
        <v>617</v>
      </c>
      <c r="E646" t="s">
        <v>5613</v>
      </c>
      <c r="F646">
        <v>111.24</v>
      </c>
      <c r="H646" t="s">
        <v>1478</v>
      </c>
      <c r="L646" t="s">
        <v>1433</v>
      </c>
      <c r="M646" t="s">
        <v>1933</v>
      </c>
      <c r="N646" t="s">
        <v>1928</v>
      </c>
      <c r="O646">
        <v>2</v>
      </c>
    </row>
    <row r="647" spans="2:15" x14ac:dyDescent="0.2">
      <c r="B647" t="s">
        <v>1433</v>
      </c>
      <c r="C647" t="s">
        <v>12890</v>
      </c>
      <c r="D647" t="s">
        <v>617</v>
      </c>
      <c r="E647" t="s">
        <v>5614</v>
      </c>
      <c r="F647">
        <v>8.2799999999999994</v>
      </c>
      <c r="H647" t="s">
        <v>1448</v>
      </c>
      <c r="L647" t="s">
        <v>1433</v>
      </c>
      <c r="M647" t="s">
        <v>1934</v>
      </c>
      <c r="N647" t="s">
        <v>1935</v>
      </c>
      <c r="O647">
        <v>6</v>
      </c>
    </row>
    <row r="648" spans="2:15" x14ac:dyDescent="0.2">
      <c r="B648" t="s">
        <v>1433</v>
      </c>
      <c r="C648" t="s">
        <v>12890</v>
      </c>
      <c r="D648" t="s">
        <v>617</v>
      </c>
      <c r="E648" t="s">
        <v>5615</v>
      </c>
      <c r="F648">
        <v>13.92</v>
      </c>
      <c r="H648" t="s">
        <v>2177</v>
      </c>
      <c r="L648" t="s">
        <v>1433</v>
      </c>
      <c r="M648" t="s">
        <v>1933</v>
      </c>
      <c r="N648" t="s">
        <v>1935</v>
      </c>
      <c r="O648">
        <v>4</v>
      </c>
    </row>
    <row r="649" spans="2:15" x14ac:dyDescent="0.2">
      <c r="B649" t="s">
        <v>1433</v>
      </c>
      <c r="C649" t="s">
        <v>12890</v>
      </c>
      <c r="D649" t="s">
        <v>617</v>
      </c>
      <c r="E649" t="s">
        <v>5616</v>
      </c>
      <c r="F649">
        <v>27.93</v>
      </c>
      <c r="H649" t="s">
        <v>1878</v>
      </c>
      <c r="L649" t="s">
        <v>1433</v>
      </c>
      <c r="M649" t="s">
        <v>1936</v>
      </c>
      <c r="N649" t="s">
        <v>1935</v>
      </c>
      <c r="O649">
        <v>2</v>
      </c>
    </row>
    <row r="650" spans="2:15" x14ac:dyDescent="0.2">
      <c r="B650" t="s">
        <v>1433</v>
      </c>
      <c r="C650" t="s">
        <v>12890</v>
      </c>
      <c r="D650" t="s">
        <v>617</v>
      </c>
      <c r="E650" t="s">
        <v>5617</v>
      </c>
      <c r="F650">
        <v>36.450000000000003</v>
      </c>
      <c r="H650" t="s">
        <v>1880</v>
      </c>
      <c r="L650" t="s">
        <v>1433</v>
      </c>
      <c r="M650" t="s">
        <v>1937</v>
      </c>
      <c r="N650" t="s">
        <v>1935</v>
      </c>
      <c r="O650">
        <v>2</v>
      </c>
    </row>
    <row r="651" spans="2:15" x14ac:dyDescent="0.2">
      <c r="B651" t="s">
        <v>1433</v>
      </c>
      <c r="C651" t="s">
        <v>12890</v>
      </c>
      <c r="D651" t="s">
        <v>617</v>
      </c>
      <c r="E651" t="s">
        <v>5618</v>
      </c>
      <c r="F651">
        <v>16.829999999999998</v>
      </c>
      <c r="H651" t="s">
        <v>1881</v>
      </c>
      <c r="L651" t="s">
        <v>1433</v>
      </c>
      <c r="M651" t="s">
        <v>1938</v>
      </c>
      <c r="N651" t="s">
        <v>1935</v>
      </c>
      <c r="O651">
        <v>1</v>
      </c>
    </row>
    <row r="652" spans="2:15" x14ac:dyDescent="0.2">
      <c r="B652" t="s">
        <v>1433</v>
      </c>
      <c r="C652" t="s">
        <v>12890</v>
      </c>
      <c r="D652" t="s">
        <v>617</v>
      </c>
      <c r="E652" t="s">
        <v>5619</v>
      </c>
      <c r="F652">
        <v>108.29</v>
      </c>
      <c r="H652" t="s">
        <v>1465</v>
      </c>
      <c r="L652" t="s">
        <v>1433</v>
      </c>
      <c r="M652" t="s">
        <v>1939</v>
      </c>
      <c r="N652" t="s">
        <v>1935</v>
      </c>
      <c r="O652">
        <v>1</v>
      </c>
    </row>
    <row r="653" spans="2:15" x14ac:dyDescent="0.2">
      <c r="B653" t="s">
        <v>1433</v>
      </c>
      <c r="C653" t="s">
        <v>12890</v>
      </c>
      <c r="D653" t="s">
        <v>617</v>
      </c>
      <c r="E653" t="s">
        <v>5645</v>
      </c>
      <c r="F653">
        <v>46.98</v>
      </c>
      <c r="H653" t="s">
        <v>1544</v>
      </c>
      <c r="L653" t="s">
        <v>1433</v>
      </c>
      <c r="M653" t="s">
        <v>1940</v>
      </c>
      <c r="N653" t="s">
        <v>1935</v>
      </c>
      <c r="O653">
        <v>7</v>
      </c>
    </row>
    <row r="654" spans="2:15" x14ac:dyDescent="0.2">
      <c r="B654" t="s">
        <v>1433</v>
      </c>
      <c r="C654" t="s">
        <v>12890</v>
      </c>
      <c r="D654" t="s">
        <v>617</v>
      </c>
      <c r="E654" t="s">
        <v>5646</v>
      </c>
      <c r="F654">
        <v>18</v>
      </c>
      <c r="H654" t="s">
        <v>1544</v>
      </c>
      <c r="L654" t="s">
        <v>1433</v>
      </c>
      <c r="M654" t="s">
        <v>1570</v>
      </c>
      <c r="N654" t="s">
        <v>1935</v>
      </c>
      <c r="O654">
        <v>6</v>
      </c>
    </row>
    <row r="655" spans="2:15" x14ac:dyDescent="0.2">
      <c r="B655" t="s">
        <v>1433</v>
      </c>
      <c r="C655" t="s">
        <v>12890</v>
      </c>
      <c r="D655" t="s">
        <v>617</v>
      </c>
      <c r="E655" t="s">
        <v>5647</v>
      </c>
      <c r="F655">
        <v>128.4</v>
      </c>
      <c r="H655" t="s">
        <v>1543</v>
      </c>
      <c r="L655" t="s">
        <v>1433</v>
      </c>
      <c r="M655" t="s">
        <v>1571</v>
      </c>
      <c r="N655" t="s">
        <v>1935</v>
      </c>
      <c r="O655">
        <v>6</v>
      </c>
    </row>
    <row r="656" spans="2:15" x14ac:dyDescent="0.2">
      <c r="B656" t="s">
        <v>1433</v>
      </c>
      <c r="C656" t="s">
        <v>12890</v>
      </c>
      <c r="D656" t="s">
        <v>613</v>
      </c>
      <c r="E656" t="s">
        <v>5648</v>
      </c>
      <c r="F656">
        <v>1.44</v>
      </c>
      <c r="H656" t="s">
        <v>5649</v>
      </c>
      <c r="L656" t="s">
        <v>1433</v>
      </c>
      <c r="M656" t="s">
        <v>1579</v>
      </c>
      <c r="N656" t="s">
        <v>1935</v>
      </c>
      <c r="O656">
        <v>12</v>
      </c>
    </row>
    <row r="657" spans="2:15" x14ac:dyDescent="0.2">
      <c r="B657" t="s">
        <v>1433</v>
      </c>
      <c r="C657" t="s">
        <v>12890</v>
      </c>
      <c r="D657" t="s">
        <v>617</v>
      </c>
      <c r="E657" t="s">
        <v>5661</v>
      </c>
      <c r="F657">
        <v>1.63</v>
      </c>
      <c r="H657" t="s">
        <v>1806</v>
      </c>
      <c r="L657" t="s">
        <v>1433</v>
      </c>
      <c r="M657" t="s">
        <v>1941</v>
      </c>
      <c r="N657" t="s">
        <v>1942</v>
      </c>
      <c r="O657">
        <v>500</v>
      </c>
    </row>
    <row r="658" spans="2:15" x14ac:dyDescent="0.2">
      <c r="B658" t="s">
        <v>1433</v>
      </c>
      <c r="C658" t="s">
        <v>12890</v>
      </c>
      <c r="D658" t="s">
        <v>617</v>
      </c>
      <c r="E658" t="s">
        <v>5662</v>
      </c>
      <c r="F658">
        <v>3.6</v>
      </c>
      <c r="H658" t="s">
        <v>1807</v>
      </c>
      <c r="L658" t="s">
        <v>1433</v>
      </c>
      <c r="M658" t="s">
        <v>1943</v>
      </c>
      <c r="N658" t="s">
        <v>1944</v>
      </c>
      <c r="O658">
        <v>13</v>
      </c>
    </row>
    <row r="659" spans="2:15" x14ac:dyDescent="0.2">
      <c r="B659" t="s">
        <v>1433</v>
      </c>
      <c r="C659" t="s">
        <v>12890</v>
      </c>
      <c r="D659" t="s">
        <v>617</v>
      </c>
      <c r="E659" t="s">
        <v>5663</v>
      </c>
      <c r="F659">
        <v>169.27</v>
      </c>
      <c r="H659" t="s">
        <v>1777</v>
      </c>
      <c r="L659" t="s">
        <v>1433</v>
      </c>
      <c r="M659" t="s">
        <v>1945</v>
      </c>
      <c r="N659" t="s">
        <v>1944</v>
      </c>
      <c r="O659">
        <v>13</v>
      </c>
    </row>
    <row r="660" spans="2:15" x14ac:dyDescent="0.2">
      <c r="B660" t="s">
        <v>1433</v>
      </c>
      <c r="C660" t="s">
        <v>12890</v>
      </c>
      <c r="D660" t="s">
        <v>617</v>
      </c>
      <c r="E660" t="s">
        <v>5664</v>
      </c>
      <c r="F660">
        <v>39.86</v>
      </c>
      <c r="H660" t="s">
        <v>1808</v>
      </c>
      <c r="L660" t="s">
        <v>1433</v>
      </c>
      <c r="M660" t="s">
        <v>1946</v>
      </c>
      <c r="N660" t="s">
        <v>1944</v>
      </c>
      <c r="O660">
        <v>13</v>
      </c>
    </row>
    <row r="661" spans="2:15" x14ac:dyDescent="0.2">
      <c r="B661" t="s">
        <v>1433</v>
      </c>
      <c r="C661" t="s">
        <v>12890</v>
      </c>
      <c r="D661" t="s">
        <v>617</v>
      </c>
      <c r="E661" t="s">
        <v>5665</v>
      </c>
      <c r="F661">
        <v>45.32</v>
      </c>
      <c r="H661" t="s">
        <v>5251</v>
      </c>
      <c r="L661" t="s">
        <v>1433</v>
      </c>
      <c r="M661" t="s">
        <v>1947</v>
      </c>
      <c r="N661" t="s">
        <v>1944</v>
      </c>
      <c r="O661">
        <v>13</v>
      </c>
    </row>
    <row r="662" spans="2:15" x14ac:dyDescent="0.2">
      <c r="B662" t="s">
        <v>1433</v>
      </c>
      <c r="C662" t="s">
        <v>12890</v>
      </c>
      <c r="D662" t="s">
        <v>617</v>
      </c>
      <c r="E662" t="s">
        <v>5684</v>
      </c>
      <c r="F662">
        <v>170.37</v>
      </c>
      <c r="H662" t="s">
        <v>1616</v>
      </c>
      <c r="L662" t="s">
        <v>1433</v>
      </c>
      <c r="M662" t="s">
        <v>1948</v>
      </c>
      <c r="N662" t="s">
        <v>1944</v>
      </c>
      <c r="O662">
        <v>26</v>
      </c>
    </row>
    <row r="663" spans="2:15" x14ac:dyDescent="0.2">
      <c r="B663" t="s">
        <v>1433</v>
      </c>
      <c r="C663" t="s">
        <v>12890</v>
      </c>
      <c r="D663" t="s">
        <v>617</v>
      </c>
      <c r="E663" t="s">
        <v>5685</v>
      </c>
      <c r="F663">
        <v>-170.37</v>
      </c>
      <c r="H663" t="s">
        <v>1616</v>
      </c>
      <c r="L663" t="s">
        <v>1433</v>
      </c>
      <c r="M663" t="s">
        <v>1949</v>
      </c>
      <c r="N663" t="s">
        <v>1950</v>
      </c>
      <c r="O663">
        <v>4</v>
      </c>
    </row>
    <row r="664" spans="2:15" x14ac:dyDescent="0.2">
      <c r="B664" t="s">
        <v>1433</v>
      </c>
      <c r="C664" t="s">
        <v>12890</v>
      </c>
      <c r="D664" t="s">
        <v>617</v>
      </c>
      <c r="E664" t="s">
        <v>5686</v>
      </c>
      <c r="F664">
        <v>212.96</v>
      </c>
      <c r="H664" t="s">
        <v>1616</v>
      </c>
      <c r="L664" t="s">
        <v>1433</v>
      </c>
      <c r="M664" t="s">
        <v>1501</v>
      </c>
      <c r="N664" t="s">
        <v>1950</v>
      </c>
      <c r="O664">
        <v>4</v>
      </c>
    </row>
    <row r="665" spans="2:15" x14ac:dyDescent="0.2">
      <c r="B665" t="s">
        <v>1433</v>
      </c>
      <c r="C665" t="s">
        <v>12890</v>
      </c>
      <c r="D665" t="s">
        <v>613</v>
      </c>
      <c r="E665" t="s">
        <v>5687</v>
      </c>
      <c r="F665">
        <v>115.2</v>
      </c>
      <c r="H665" t="s">
        <v>1689</v>
      </c>
      <c r="L665" t="s">
        <v>1433</v>
      </c>
      <c r="M665" t="s">
        <v>1707</v>
      </c>
      <c r="N665" t="s">
        <v>1951</v>
      </c>
      <c r="O665">
        <v>5</v>
      </c>
    </row>
    <row r="666" spans="2:15" x14ac:dyDescent="0.2">
      <c r="B666" t="s">
        <v>1433</v>
      </c>
      <c r="C666" t="s">
        <v>12890</v>
      </c>
      <c r="D666" t="s">
        <v>617</v>
      </c>
      <c r="E666" t="s">
        <v>5688</v>
      </c>
      <c r="F666">
        <v>205.08</v>
      </c>
      <c r="H666" t="s">
        <v>1651</v>
      </c>
      <c r="L666" t="s">
        <v>1433</v>
      </c>
      <c r="M666" t="s">
        <v>1952</v>
      </c>
      <c r="N666" t="s">
        <v>1953</v>
      </c>
      <c r="O666">
        <v>1</v>
      </c>
    </row>
    <row r="667" spans="2:15" x14ac:dyDescent="0.2">
      <c r="B667" t="s">
        <v>1433</v>
      </c>
      <c r="C667" t="s">
        <v>12890</v>
      </c>
      <c r="D667" t="s">
        <v>617</v>
      </c>
      <c r="E667" t="s">
        <v>5689</v>
      </c>
      <c r="F667">
        <v>468.72</v>
      </c>
      <c r="H667" t="s">
        <v>1645</v>
      </c>
      <c r="L667" t="s">
        <v>1433</v>
      </c>
      <c r="M667" t="s">
        <v>1245</v>
      </c>
      <c r="N667" t="s">
        <v>1954</v>
      </c>
      <c r="O667">
        <v>24</v>
      </c>
    </row>
    <row r="668" spans="2:15" x14ac:dyDescent="0.2">
      <c r="B668" t="s">
        <v>1433</v>
      </c>
      <c r="C668" t="s">
        <v>12890</v>
      </c>
      <c r="D668" t="s">
        <v>617</v>
      </c>
      <c r="E668" t="s">
        <v>5690</v>
      </c>
      <c r="F668">
        <v>21.5</v>
      </c>
      <c r="H668" t="s">
        <v>1449</v>
      </c>
      <c r="L668" t="s">
        <v>1433</v>
      </c>
      <c r="M668" t="s">
        <v>1513</v>
      </c>
      <c r="N668" t="s">
        <v>1954</v>
      </c>
      <c r="O668">
        <v>2</v>
      </c>
    </row>
    <row r="669" spans="2:15" x14ac:dyDescent="0.2">
      <c r="B669" t="s">
        <v>1433</v>
      </c>
      <c r="C669" t="s">
        <v>12890</v>
      </c>
      <c r="D669" t="s">
        <v>617</v>
      </c>
      <c r="E669" t="s">
        <v>5691</v>
      </c>
      <c r="F669">
        <v>15.91</v>
      </c>
      <c r="H669" t="s">
        <v>1639</v>
      </c>
      <c r="L669" t="s">
        <v>1433</v>
      </c>
      <c r="M669" t="s">
        <v>1955</v>
      </c>
      <c r="N669" t="s">
        <v>1954</v>
      </c>
      <c r="O669">
        <v>2</v>
      </c>
    </row>
    <row r="670" spans="2:15" x14ac:dyDescent="0.2">
      <c r="B670" t="s">
        <v>1433</v>
      </c>
      <c r="C670" t="s">
        <v>12890</v>
      </c>
      <c r="D670" t="s">
        <v>617</v>
      </c>
      <c r="E670" t="s">
        <v>5692</v>
      </c>
      <c r="F670">
        <v>163.63</v>
      </c>
      <c r="H670" t="s">
        <v>2078</v>
      </c>
      <c r="L670" t="s">
        <v>1433</v>
      </c>
      <c r="M670" t="s">
        <v>1956</v>
      </c>
      <c r="N670" t="s">
        <v>1954</v>
      </c>
      <c r="O670">
        <v>2</v>
      </c>
    </row>
    <row r="671" spans="2:15" x14ac:dyDescent="0.2">
      <c r="B671" t="s">
        <v>1433</v>
      </c>
      <c r="C671" t="s">
        <v>12890</v>
      </c>
      <c r="D671" t="s">
        <v>617</v>
      </c>
      <c r="E671" t="s">
        <v>5693</v>
      </c>
      <c r="F671">
        <v>21.94</v>
      </c>
      <c r="H671" t="s">
        <v>1641</v>
      </c>
      <c r="L671" t="s">
        <v>1433</v>
      </c>
      <c r="M671" t="s">
        <v>1957</v>
      </c>
      <c r="N671" t="s">
        <v>1958</v>
      </c>
      <c r="O671">
        <v>8</v>
      </c>
    </row>
    <row r="672" spans="2:15" x14ac:dyDescent="0.2">
      <c r="B672" t="s">
        <v>1433</v>
      </c>
      <c r="C672" t="s">
        <v>12890</v>
      </c>
      <c r="D672" t="s">
        <v>617</v>
      </c>
      <c r="E672" t="s">
        <v>5694</v>
      </c>
      <c r="F672">
        <v>25.74</v>
      </c>
      <c r="H672" t="s">
        <v>1652</v>
      </c>
      <c r="L672" t="s">
        <v>1433</v>
      </c>
      <c r="M672" t="s">
        <v>1959</v>
      </c>
      <c r="N672" t="s">
        <v>1958</v>
      </c>
      <c r="O672">
        <v>20</v>
      </c>
    </row>
    <row r="673" spans="2:15" x14ac:dyDescent="0.2">
      <c r="B673" t="s">
        <v>1433</v>
      </c>
      <c r="C673" t="s">
        <v>12890</v>
      </c>
      <c r="D673" t="s">
        <v>617</v>
      </c>
      <c r="E673" t="s">
        <v>5695</v>
      </c>
      <c r="F673">
        <v>170.1</v>
      </c>
      <c r="H673" t="s">
        <v>1653</v>
      </c>
      <c r="L673" t="s">
        <v>1433</v>
      </c>
      <c r="M673" t="s">
        <v>1960</v>
      </c>
      <c r="N673" t="s">
        <v>1958</v>
      </c>
      <c r="O673">
        <v>14</v>
      </c>
    </row>
    <row r="674" spans="2:15" x14ac:dyDescent="0.2">
      <c r="B674" t="s">
        <v>1433</v>
      </c>
      <c r="C674" t="s">
        <v>12890</v>
      </c>
      <c r="D674" t="s">
        <v>617</v>
      </c>
      <c r="E674" t="s">
        <v>5696</v>
      </c>
      <c r="F674">
        <v>170.1</v>
      </c>
      <c r="H674" t="s">
        <v>1654</v>
      </c>
      <c r="L674" t="s">
        <v>1433</v>
      </c>
      <c r="M674" t="s">
        <v>1219</v>
      </c>
      <c r="N674" t="s">
        <v>1961</v>
      </c>
      <c r="O674">
        <v>1</v>
      </c>
    </row>
    <row r="675" spans="2:15" x14ac:dyDescent="0.2">
      <c r="B675" t="s">
        <v>1433</v>
      </c>
      <c r="C675" t="s">
        <v>12890</v>
      </c>
      <c r="D675" t="s">
        <v>617</v>
      </c>
      <c r="E675" t="s">
        <v>5697</v>
      </c>
      <c r="F675">
        <v>153.9</v>
      </c>
      <c r="H675" t="s">
        <v>1655</v>
      </c>
      <c r="L675" t="s">
        <v>1433</v>
      </c>
      <c r="M675" t="s">
        <v>1218</v>
      </c>
      <c r="N675" t="s">
        <v>1962</v>
      </c>
      <c r="O675">
        <v>1</v>
      </c>
    </row>
    <row r="676" spans="2:15" x14ac:dyDescent="0.2">
      <c r="B676" t="s">
        <v>1433</v>
      </c>
      <c r="C676" t="s">
        <v>12890</v>
      </c>
      <c r="D676" t="s">
        <v>617</v>
      </c>
      <c r="E676" t="s">
        <v>5698</v>
      </c>
      <c r="F676">
        <v>297.89999999999998</v>
      </c>
      <c r="H676" t="s">
        <v>1656</v>
      </c>
      <c r="L676" t="s">
        <v>1433</v>
      </c>
      <c r="M676" t="s">
        <v>1963</v>
      </c>
      <c r="N676" t="s">
        <v>1964</v>
      </c>
      <c r="O676">
        <v>1</v>
      </c>
    </row>
    <row r="677" spans="2:15" x14ac:dyDescent="0.2">
      <c r="B677" t="s">
        <v>1433</v>
      </c>
      <c r="C677" t="s">
        <v>12890</v>
      </c>
      <c r="D677" t="s">
        <v>617</v>
      </c>
      <c r="E677" t="s">
        <v>5699</v>
      </c>
      <c r="F677">
        <v>82.8</v>
      </c>
      <c r="H677" t="s">
        <v>1657</v>
      </c>
      <c r="L677" t="s">
        <v>1433</v>
      </c>
      <c r="M677" t="s">
        <v>1277</v>
      </c>
      <c r="N677" t="s">
        <v>1965</v>
      </c>
      <c r="O677">
        <v>1</v>
      </c>
    </row>
    <row r="678" spans="2:15" x14ac:dyDescent="0.2">
      <c r="B678" t="s">
        <v>1433</v>
      </c>
      <c r="C678" t="s">
        <v>12890</v>
      </c>
      <c r="D678" t="s">
        <v>617</v>
      </c>
      <c r="E678" t="s">
        <v>5700</v>
      </c>
      <c r="F678">
        <v>4086</v>
      </c>
      <c r="H678" t="s">
        <v>1648</v>
      </c>
      <c r="L678" t="s">
        <v>1433</v>
      </c>
      <c r="M678" t="s">
        <v>1253</v>
      </c>
      <c r="N678" t="s">
        <v>1966</v>
      </c>
      <c r="O678">
        <v>1</v>
      </c>
    </row>
    <row r="679" spans="2:15" x14ac:dyDescent="0.2">
      <c r="B679" t="s">
        <v>1433</v>
      </c>
      <c r="C679" t="s">
        <v>12890</v>
      </c>
      <c r="D679" t="s">
        <v>617</v>
      </c>
      <c r="E679" t="s">
        <v>5701</v>
      </c>
      <c r="F679">
        <v>38.61</v>
      </c>
      <c r="H679" t="s">
        <v>1658</v>
      </c>
      <c r="L679" t="s">
        <v>1433</v>
      </c>
      <c r="M679" t="s">
        <v>1967</v>
      </c>
      <c r="N679" t="s">
        <v>1968</v>
      </c>
      <c r="O679">
        <v>2</v>
      </c>
    </row>
    <row r="680" spans="2:15" x14ac:dyDescent="0.2">
      <c r="B680" t="s">
        <v>1433</v>
      </c>
      <c r="C680" t="s">
        <v>12890</v>
      </c>
      <c r="D680" t="s">
        <v>617</v>
      </c>
      <c r="E680" t="s">
        <v>5702</v>
      </c>
      <c r="F680">
        <v>416.7</v>
      </c>
      <c r="H680" t="s">
        <v>1650</v>
      </c>
      <c r="L680" t="s">
        <v>1433</v>
      </c>
      <c r="M680" t="s">
        <v>1969</v>
      </c>
      <c r="N680" t="s">
        <v>1970</v>
      </c>
      <c r="O680">
        <v>6</v>
      </c>
    </row>
    <row r="681" spans="2:15" x14ac:dyDescent="0.2">
      <c r="B681" t="s">
        <v>1433</v>
      </c>
      <c r="C681" t="s">
        <v>12890</v>
      </c>
      <c r="D681" t="s">
        <v>617</v>
      </c>
      <c r="E681" t="s">
        <v>5703</v>
      </c>
      <c r="F681">
        <v>139.5</v>
      </c>
      <c r="H681" t="s">
        <v>1659</v>
      </c>
      <c r="L681" t="s">
        <v>1433</v>
      </c>
      <c r="M681" t="s">
        <v>1891</v>
      </c>
      <c r="N681" t="s">
        <v>1586</v>
      </c>
      <c r="O681">
        <v>500</v>
      </c>
    </row>
    <row r="682" spans="2:15" x14ac:dyDescent="0.2">
      <c r="B682" t="s">
        <v>1433</v>
      </c>
      <c r="C682" t="s">
        <v>12890</v>
      </c>
      <c r="D682" t="s">
        <v>617</v>
      </c>
      <c r="E682" t="s">
        <v>5704</v>
      </c>
      <c r="F682">
        <v>821.02</v>
      </c>
      <c r="H682" t="s">
        <v>1682</v>
      </c>
      <c r="L682" t="s">
        <v>1433</v>
      </c>
      <c r="M682" t="s">
        <v>1971</v>
      </c>
      <c r="N682" t="s">
        <v>1972</v>
      </c>
      <c r="O682">
        <v>8</v>
      </c>
    </row>
    <row r="683" spans="2:15" x14ac:dyDescent="0.2">
      <c r="B683" t="s">
        <v>1433</v>
      </c>
      <c r="C683" t="s">
        <v>12890</v>
      </c>
      <c r="D683" t="s">
        <v>617</v>
      </c>
      <c r="E683" t="s">
        <v>5705</v>
      </c>
      <c r="F683">
        <v>238.85</v>
      </c>
      <c r="H683" t="s">
        <v>1684</v>
      </c>
      <c r="L683" t="s">
        <v>1433</v>
      </c>
      <c r="M683" t="s">
        <v>1973</v>
      </c>
      <c r="N683" t="s">
        <v>1974</v>
      </c>
      <c r="O683">
        <v>16</v>
      </c>
    </row>
    <row r="684" spans="2:15" x14ac:dyDescent="0.2">
      <c r="B684" t="s">
        <v>1433</v>
      </c>
      <c r="C684" t="s">
        <v>12890</v>
      </c>
      <c r="D684" t="s">
        <v>617</v>
      </c>
      <c r="E684" t="s">
        <v>5725</v>
      </c>
      <c r="F684">
        <v>2279.36</v>
      </c>
      <c r="H684" t="s">
        <v>1374</v>
      </c>
      <c r="L684" t="s">
        <v>1433</v>
      </c>
      <c r="M684" t="s">
        <v>1818</v>
      </c>
      <c r="N684" t="s">
        <v>1584</v>
      </c>
      <c r="O684">
        <v>2</v>
      </c>
    </row>
    <row r="685" spans="2:15" x14ac:dyDescent="0.2">
      <c r="B685" t="s">
        <v>1433</v>
      </c>
      <c r="C685" t="s">
        <v>12890</v>
      </c>
      <c r="D685" t="s">
        <v>617</v>
      </c>
      <c r="E685" t="s">
        <v>5726</v>
      </c>
      <c r="F685">
        <v>59.94</v>
      </c>
      <c r="H685" t="s">
        <v>1700</v>
      </c>
      <c r="L685" t="s">
        <v>1433</v>
      </c>
      <c r="M685" t="s">
        <v>1908</v>
      </c>
      <c r="N685" t="s">
        <v>1584</v>
      </c>
      <c r="O685">
        <v>4</v>
      </c>
    </row>
    <row r="686" spans="2:15" x14ac:dyDescent="0.2">
      <c r="B686" t="s">
        <v>1433</v>
      </c>
      <c r="C686" t="s">
        <v>12890</v>
      </c>
      <c r="D686" t="s">
        <v>617</v>
      </c>
      <c r="E686" t="s">
        <v>5727</v>
      </c>
      <c r="F686">
        <v>40</v>
      </c>
      <c r="H686" t="s">
        <v>1700</v>
      </c>
      <c r="L686" t="s">
        <v>1433</v>
      </c>
      <c r="M686" t="s">
        <v>1536</v>
      </c>
      <c r="N686" t="s">
        <v>1975</v>
      </c>
      <c r="O686">
        <v>170</v>
      </c>
    </row>
    <row r="687" spans="2:15" x14ac:dyDescent="0.2">
      <c r="B687" t="s">
        <v>1433</v>
      </c>
      <c r="C687" t="s">
        <v>12890</v>
      </c>
      <c r="D687" t="s">
        <v>617</v>
      </c>
      <c r="E687" t="s">
        <v>5728</v>
      </c>
      <c r="F687">
        <v>76.78</v>
      </c>
      <c r="H687" t="s">
        <v>1698</v>
      </c>
      <c r="L687" t="s">
        <v>1433</v>
      </c>
      <c r="M687" t="s">
        <v>1976</v>
      </c>
      <c r="N687" t="s">
        <v>1977</v>
      </c>
      <c r="O687">
        <v>200</v>
      </c>
    </row>
    <row r="688" spans="2:15" x14ac:dyDescent="0.2">
      <c r="B688" t="s">
        <v>1433</v>
      </c>
      <c r="C688" t="s">
        <v>12890</v>
      </c>
      <c r="D688" t="s">
        <v>617</v>
      </c>
      <c r="E688" t="s">
        <v>5742</v>
      </c>
      <c r="F688">
        <v>267.33999999999997</v>
      </c>
      <c r="H688" t="s">
        <v>1809</v>
      </c>
      <c r="L688" t="s">
        <v>1433</v>
      </c>
      <c r="M688" t="s">
        <v>1978</v>
      </c>
      <c r="N688" t="s">
        <v>1977</v>
      </c>
      <c r="O688">
        <v>100</v>
      </c>
    </row>
    <row r="689" spans="2:15" x14ac:dyDescent="0.2">
      <c r="B689" t="s">
        <v>1433</v>
      </c>
      <c r="C689" t="s">
        <v>12890</v>
      </c>
      <c r="D689" t="s">
        <v>617</v>
      </c>
      <c r="E689" t="s">
        <v>5743</v>
      </c>
      <c r="F689">
        <v>198.29</v>
      </c>
      <c r="H689" t="s">
        <v>1811</v>
      </c>
      <c r="L689" t="s">
        <v>1433</v>
      </c>
      <c r="M689" t="s">
        <v>1449</v>
      </c>
      <c r="N689" t="s">
        <v>1977</v>
      </c>
      <c r="O689">
        <v>100</v>
      </c>
    </row>
    <row r="690" spans="2:15" x14ac:dyDescent="0.2">
      <c r="B690" t="s">
        <v>1433</v>
      </c>
      <c r="C690" t="s">
        <v>12890</v>
      </c>
      <c r="D690" t="s">
        <v>617</v>
      </c>
      <c r="E690" t="s">
        <v>5744</v>
      </c>
      <c r="F690">
        <v>-198.29</v>
      </c>
      <c r="H690" t="s">
        <v>1811</v>
      </c>
      <c r="L690" t="s">
        <v>1433</v>
      </c>
      <c r="M690" t="s">
        <v>1450</v>
      </c>
      <c r="N690" t="s">
        <v>1977</v>
      </c>
      <c r="O690">
        <v>90</v>
      </c>
    </row>
    <row r="691" spans="2:15" x14ac:dyDescent="0.2">
      <c r="B691" t="s">
        <v>1433</v>
      </c>
      <c r="C691" t="s">
        <v>12890</v>
      </c>
      <c r="D691" t="s">
        <v>617</v>
      </c>
      <c r="E691" t="s">
        <v>5745</v>
      </c>
      <c r="F691">
        <v>198.29</v>
      </c>
      <c r="H691" t="s">
        <v>1811</v>
      </c>
      <c r="L691" t="s">
        <v>1433</v>
      </c>
      <c r="M691" t="s">
        <v>1979</v>
      </c>
      <c r="N691" t="s">
        <v>1977</v>
      </c>
      <c r="O691">
        <v>24</v>
      </c>
    </row>
    <row r="692" spans="2:15" x14ac:dyDescent="0.2">
      <c r="B692" t="s">
        <v>1433</v>
      </c>
      <c r="C692" t="s">
        <v>12890</v>
      </c>
      <c r="D692" t="s">
        <v>617</v>
      </c>
      <c r="E692" t="s">
        <v>5746</v>
      </c>
      <c r="F692">
        <v>66.099999999999994</v>
      </c>
      <c r="H692" t="s">
        <v>1811</v>
      </c>
      <c r="L692" t="s">
        <v>1433</v>
      </c>
      <c r="M692" t="s">
        <v>1451</v>
      </c>
      <c r="N692" t="s">
        <v>1977</v>
      </c>
      <c r="O692">
        <v>39</v>
      </c>
    </row>
    <row r="693" spans="2:15" x14ac:dyDescent="0.2">
      <c r="B693" t="s">
        <v>1433</v>
      </c>
      <c r="C693" t="s">
        <v>12890</v>
      </c>
      <c r="D693" t="s">
        <v>617</v>
      </c>
      <c r="E693" t="s">
        <v>5747</v>
      </c>
      <c r="F693">
        <v>273.35000000000002</v>
      </c>
      <c r="H693" t="s">
        <v>1790</v>
      </c>
      <c r="L693" t="s">
        <v>1433</v>
      </c>
      <c r="M693" t="s">
        <v>1452</v>
      </c>
      <c r="N693" t="s">
        <v>1977</v>
      </c>
      <c r="O693">
        <v>51</v>
      </c>
    </row>
    <row r="694" spans="2:15" x14ac:dyDescent="0.2">
      <c r="B694" t="s">
        <v>1433</v>
      </c>
      <c r="C694" t="s">
        <v>12890</v>
      </c>
      <c r="D694" t="s">
        <v>617</v>
      </c>
      <c r="E694" t="s">
        <v>5748</v>
      </c>
      <c r="F694">
        <v>185.5</v>
      </c>
      <c r="H694" t="s">
        <v>1792</v>
      </c>
      <c r="L694" t="s">
        <v>1433</v>
      </c>
      <c r="M694" t="s">
        <v>1453</v>
      </c>
      <c r="N694" t="s">
        <v>1977</v>
      </c>
      <c r="O694">
        <v>39</v>
      </c>
    </row>
    <row r="695" spans="2:15" x14ac:dyDescent="0.2">
      <c r="B695" t="s">
        <v>1433</v>
      </c>
      <c r="C695" t="s">
        <v>12890</v>
      </c>
      <c r="D695" t="s">
        <v>617</v>
      </c>
      <c r="E695" t="s">
        <v>5749</v>
      </c>
      <c r="F695">
        <v>125.28</v>
      </c>
      <c r="H695" t="s">
        <v>1793</v>
      </c>
      <c r="L695" t="s">
        <v>1433</v>
      </c>
      <c r="M695" t="s">
        <v>1980</v>
      </c>
      <c r="N695" t="s">
        <v>1977</v>
      </c>
      <c r="O695">
        <v>43</v>
      </c>
    </row>
    <row r="696" spans="2:15" x14ac:dyDescent="0.2">
      <c r="B696" t="s">
        <v>1433</v>
      </c>
      <c r="C696" t="s">
        <v>12890</v>
      </c>
      <c r="D696" t="s">
        <v>617</v>
      </c>
      <c r="E696" t="s">
        <v>5750</v>
      </c>
      <c r="F696">
        <v>70.47</v>
      </c>
      <c r="H696" t="s">
        <v>1793</v>
      </c>
      <c r="L696" t="s">
        <v>1433</v>
      </c>
      <c r="M696" t="s">
        <v>1981</v>
      </c>
      <c r="N696" t="s">
        <v>1977</v>
      </c>
      <c r="O696">
        <v>43</v>
      </c>
    </row>
    <row r="697" spans="2:15" x14ac:dyDescent="0.2">
      <c r="B697" t="s">
        <v>1433</v>
      </c>
      <c r="C697" t="s">
        <v>12890</v>
      </c>
      <c r="D697" t="s">
        <v>617</v>
      </c>
      <c r="E697" t="s">
        <v>5751</v>
      </c>
      <c r="F697">
        <v>426</v>
      </c>
      <c r="H697" t="s">
        <v>1794</v>
      </c>
      <c r="L697" t="s">
        <v>1433</v>
      </c>
      <c r="M697" t="s">
        <v>1454</v>
      </c>
      <c r="N697" t="s">
        <v>1977</v>
      </c>
      <c r="O697">
        <v>12</v>
      </c>
    </row>
    <row r="698" spans="2:15" x14ac:dyDescent="0.2">
      <c r="B698" t="s">
        <v>1433</v>
      </c>
      <c r="C698" t="s">
        <v>12890</v>
      </c>
      <c r="D698" t="s">
        <v>617</v>
      </c>
      <c r="E698" t="s">
        <v>5752</v>
      </c>
      <c r="F698">
        <v>60.6</v>
      </c>
      <c r="H698" t="s">
        <v>1795</v>
      </c>
      <c r="L698" t="s">
        <v>1433</v>
      </c>
      <c r="M698" t="s">
        <v>1776</v>
      </c>
      <c r="N698" t="s">
        <v>1977</v>
      </c>
      <c r="O698">
        <v>8</v>
      </c>
    </row>
    <row r="699" spans="2:15" x14ac:dyDescent="0.2">
      <c r="B699" t="s">
        <v>1433</v>
      </c>
      <c r="C699" t="s">
        <v>12890</v>
      </c>
      <c r="D699" t="s">
        <v>617</v>
      </c>
      <c r="E699" t="s">
        <v>5753</v>
      </c>
      <c r="F699">
        <v>90.9</v>
      </c>
      <c r="H699" t="s">
        <v>1795</v>
      </c>
      <c r="L699" t="s">
        <v>1433</v>
      </c>
      <c r="M699" t="s">
        <v>1982</v>
      </c>
      <c r="N699" t="s">
        <v>1977</v>
      </c>
      <c r="O699">
        <v>11</v>
      </c>
    </row>
    <row r="700" spans="2:15" x14ac:dyDescent="0.2">
      <c r="B700" t="s">
        <v>1433</v>
      </c>
      <c r="C700" t="s">
        <v>12890</v>
      </c>
      <c r="D700" t="s">
        <v>617</v>
      </c>
      <c r="E700" t="s">
        <v>5754</v>
      </c>
      <c r="F700">
        <v>306</v>
      </c>
      <c r="H700" t="s">
        <v>1796</v>
      </c>
      <c r="L700" t="s">
        <v>1433</v>
      </c>
      <c r="M700" t="s">
        <v>1983</v>
      </c>
      <c r="N700" t="s">
        <v>1977</v>
      </c>
      <c r="O700">
        <v>204</v>
      </c>
    </row>
    <row r="701" spans="2:15" x14ac:dyDescent="0.2">
      <c r="B701" t="s">
        <v>1433</v>
      </c>
      <c r="C701" t="s">
        <v>12890</v>
      </c>
      <c r="D701" t="s">
        <v>617</v>
      </c>
      <c r="E701" t="s">
        <v>5755</v>
      </c>
      <c r="F701">
        <v>277</v>
      </c>
      <c r="H701" t="s">
        <v>1797</v>
      </c>
      <c r="L701" t="s">
        <v>1433</v>
      </c>
      <c r="M701" t="s">
        <v>1984</v>
      </c>
      <c r="N701" t="s">
        <v>1977</v>
      </c>
      <c r="O701">
        <v>120</v>
      </c>
    </row>
    <row r="702" spans="2:15" x14ac:dyDescent="0.2">
      <c r="B702" t="s">
        <v>1433</v>
      </c>
      <c r="C702" t="s">
        <v>12890</v>
      </c>
      <c r="D702" t="s">
        <v>617</v>
      </c>
      <c r="E702" t="s">
        <v>5756</v>
      </c>
      <c r="F702">
        <v>260.75</v>
      </c>
      <c r="H702" t="s">
        <v>1798</v>
      </c>
      <c r="L702" t="s">
        <v>1433</v>
      </c>
      <c r="M702" t="s">
        <v>1985</v>
      </c>
      <c r="N702" t="s">
        <v>1977</v>
      </c>
      <c r="O702">
        <v>10</v>
      </c>
    </row>
    <row r="703" spans="2:15" x14ac:dyDescent="0.2">
      <c r="B703" t="s">
        <v>1433</v>
      </c>
      <c r="C703" t="s">
        <v>12890</v>
      </c>
      <c r="D703" t="s">
        <v>617</v>
      </c>
      <c r="E703" t="s">
        <v>5757</v>
      </c>
      <c r="F703">
        <v>158.19999999999999</v>
      </c>
      <c r="H703" t="s">
        <v>1799</v>
      </c>
      <c r="L703" t="s">
        <v>1433</v>
      </c>
      <c r="M703" t="s">
        <v>1986</v>
      </c>
      <c r="N703" t="s">
        <v>1977</v>
      </c>
      <c r="O703">
        <v>10</v>
      </c>
    </row>
    <row r="704" spans="2:15" x14ac:dyDescent="0.2">
      <c r="B704" t="s">
        <v>1433</v>
      </c>
      <c r="C704" t="s">
        <v>12890</v>
      </c>
      <c r="D704" t="s">
        <v>617</v>
      </c>
      <c r="E704" t="s">
        <v>5758</v>
      </c>
      <c r="F704">
        <v>156.44999999999999</v>
      </c>
      <c r="H704" t="s">
        <v>1800</v>
      </c>
      <c r="L704" t="s">
        <v>1433</v>
      </c>
      <c r="M704" t="s">
        <v>1925</v>
      </c>
      <c r="N704" t="s">
        <v>1977</v>
      </c>
      <c r="O704">
        <v>78</v>
      </c>
    </row>
    <row r="705" spans="2:15" x14ac:dyDescent="0.2">
      <c r="B705" t="s">
        <v>1433</v>
      </c>
      <c r="C705" t="s">
        <v>12890</v>
      </c>
      <c r="D705" t="s">
        <v>617</v>
      </c>
      <c r="E705" t="s">
        <v>5759</v>
      </c>
      <c r="F705">
        <v>56487.77</v>
      </c>
      <c r="G705" t="s">
        <v>1214</v>
      </c>
      <c r="L705" t="s">
        <v>1433</v>
      </c>
      <c r="M705" t="s">
        <v>1987</v>
      </c>
      <c r="N705" t="s">
        <v>1977</v>
      </c>
      <c r="O705">
        <v>42</v>
      </c>
    </row>
    <row r="706" spans="2:15" x14ac:dyDescent="0.2">
      <c r="B706" t="s">
        <v>1433</v>
      </c>
      <c r="C706" t="s">
        <v>12890</v>
      </c>
      <c r="D706" t="s">
        <v>617</v>
      </c>
      <c r="E706" t="s">
        <v>5791</v>
      </c>
      <c r="F706">
        <v>21.5</v>
      </c>
      <c r="H706" t="s">
        <v>1449</v>
      </c>
      <c r="L706" t="s">
        <v>1433</v>
      </c>
      <c r="M706" t="s">
        <v>1455</v>
      </c>
      <c r="N706" t="s">
        <v>1977</v>
      </c>
      <c r="O706">
        <v>90</v>
      </c>
    </row>
    <row r="707" spans="2:15" x14ac:dyDescent="0.2">
      <c r="B707" t="s">
        <v>1433</v>
      </c>
      <c r="C707" t="s">
        <v>12890</v>
      </c>
      <c r="D707" t="s">
        <v>617</v>
      </c>
      <c r="E707" t="s">
        <v>5792</v>
      </c>
      <c r="F707">
        <v>32.25</v>
      </c>
      <c r="H707" t="s">
        <v>1449</v>
      </c>
      <c r="L707" t="s">
        <v>1433</v>
      </c>
      <c r="M707" t="s">
        <v>1988</v>
      </c>
      <c r="N707" t="s">
        <v>1977</v>
      </c>
      <c r="O707">
        <v>230</v>
      </c>
    </row>
    <row r="708" spans="2:15" x14ac:dyDescent="0.2">
      <c r="B708" t="s">
        <v>1433</v>
      </c>
      <c r="C708" t="s">
        <v>12890</v>
      </c>
      <c r="D708" t="s">
        <v>617</v>
      </c>
      <c r="E708" t="s">
        <v>5793</v>
      </c>
      <c r="F708">
        <v>19.95</v>
      </c>
      <c r="H708" t="s">
        <v>1450</v>
      </c>
      <c r="L708" t="s">
        <v>1433</v>
      </c>
      <c r="M708" t="s">
        <v>1989</v>
      </c>
      <c r="N708" t="s">
        <v>1977</v>
      </c>
      <c r="O708">
        <v>100</v>
      </c>
    </row>
    <row r="709" spans="2:15" x14ac:dyDescent="0.2">
      <c r="B709" t="s">
        <v>1433</v>
      </c>
      <c r="C709" t="s">
        <v>12890</v>
      </c>
      <c r="D709" t="s">
        <v>617</v>
      </c>
      <c r="E709" t="s">
        <v>5794</v>
      </c>
      <c r="F709">
        <v>23.4</v>
      </c>
      <c r="H709" t="s">
        <v>1450</v>
      </c>
      <c r="L709" t="s">
        <v>1433</v>
      </c>
      <c r="M709" t="s">
        <v>1456</v>
      </c>
      <c r="N709" t="s">
        <v>1977</v>
      </c>
      <c r="O709">
        <v>20</v>
      </c>
    </row>
    <row r="710" spans="2:15" x14ac:dyDescent="0.2">
      <c r="B710" t="s">
        <v>1433</v>
      </c>
      <c r="C710" t="s">
        <v>12890</v>
      </c>
      <c r="D710" t="s">
        <v>617</v>
      </c>
      <c r="E710" t="s">
        <v>5795</v>
      </c>
      <c r="F710">
        <v>27.5</v>
      </c>
      <c r="H710" t="s">
        <v>1455</v>
      </c>
      <c r="L710" t="s">
        <v>1433</v>
      </c>
      <c r="M710" t="s">
        <v>1990</v>
      </c>
      <c r="N710" t="s">
        <v>1977</v>
      </c>
      <c r="O710">
        <v>22</v>
      </c>
    </row>
    <row r="711" spans="2:15" x14ac:dyDescent="0.2">
      <c r="B711" t="s">
        <v>1433</v>
      </c>
      <c r="C711" t="s">
        <v>12890</v>
      </c>
      <c r="D711" t="s">
        <v>617</v>
      </c>
      <c r="E711" t="s">
        <v>5796</v>
      </c>
      <c r="F711">
        <v>33</v>
      </c>
      <c r="H711" t="s">
        <v>1455</v>
      </c>
      <c r="L711" t="s">
        <v>1433</v>
      </c>
      <c r="M711" t="s">
        <v>1991</v>
      </c>
      <c r="N711" t="s">
        <v>1977</v>
      </c>
      <c r="O711">
        <v>8</v>
      </c>
    </row>
    <row r="712" spans="2:15" x14ac:dyDescent="0.2">
      <c r="B712" t="s">
        <v>1433</v>
      </c>
      <c r="C712" t="s">
        <v>12890</v>
      </c>
      <c r="D712" t="s">
        <v>617</v>
      </c>
      <c r="E712" t="s">
        <v>5797</v>
      </c>
      <c r="F712">
        <v>165.02</v>
      </c>
      <c r="H712" t="s">
        <v>1445</v>
      </c>
      <c r="L712" t="s">
        <v>1433</v>
      </c>
      <c r="M712" t="s">
        <v>1457</v>
      </c>
      <c r="N712" t="s">
        <v>1977</v>
      </c>
      <c r="O712">
        <v>24</v>
      </c>
    </row>
    <row r="713" spans="2:15" x14ac:dyDescent="0.2">
      <c r="B713" t="s">
        <v>1433</v>
      </c>
      <c r="C713" t="s">
        <v>12890</v>
      </c>
      <c r="D713" t="s">
        <v>617</v>
      </c>
      <c r="E713" t="s">
        <v>5798</v>
      </c>
      <c r="F713">
        <v>1320.16</v>
      </c>
      <c r="H713" t="s">
        <v>1445</v>
      </c>
      <c r="L713" t="s">
        <v>1433</v>
      </c>
      <c r="M713" t="s">
        <v>1372</v>
      </c>
      <c r="N713" t="s">
        <v>1977</v>
      </c>
      <c r="O713">
        <v>75</v>
      </c>
    </row>
    <row r="714" spans="2:15" x14ac:dyDescent="0.2">
      <c r="B714" t="s">
        <v>1433</v>
      </c>
      <c r="C714" t="s">
        <v>12890</v>
      </c>
      <c r="D714" t="s">
        <v>617</v>
      </c>
      <c r="E714" t="s">
        <v>5799</v>
      </c>
      <c r="F714">
        <v>726.4</v>
      </c>
      <c r="H714" t="s">
        <v>1842</v>
      </c>
      <c r="L714" t="s">
        <v>1433</v>
      </c>
      <c r="M714" t="s">
        <v>1458</v>
      </c>
      <c r="N714" t="s">
        <v>1977</v>
      </c>
      <c r="O714">
        <v>160</v>
      </c>
    </row>
    <row r="715" spans="2:15" x14ac:dyDescent="0.2">
      <c r="B715" t="s">
        <v>1433</v>
      </c>
      <c r="C715" t="s">
        <v>12890</v>
      </c>
      <c r="D715" t="s">
        <v>617</v>
      </c>
      <c r="E715" t="s">
        <v>5800</v>
      </c>
      <c r="F715">
        <v>72.64</v>
      </c>
      <c r="H715" t="s">
        <v>1842</v>
      </c>
      <c r="L715" t="s">
        <v>1433</v>
      </c>
      <c r="M715" t="s">
        <v>1459</v>
      </c>
      <c r="N715" t="s">
        <v>1977</v>
      </c>
      <c r="O715">
        <v>90</v>
      </c>
    </row>
    <row r="716" spans="2:15" x14ac:dyDescent="0.2">
      <c r="B716" t="s">
        <v>1433</v>
      </c>
      <c r="C716" t="s">
        <v>12890</v>
      </c>
      <c r="D716" t="s">
        <v>617</v>
      </c>
      <c r="E716" t="s">
        <v>5801</v>
      </c>
      <c r="F716">
        <v>72.64</v>
      </c>
      <c r="H716" t="s">
        <v>1842</v>
      </c>
      <c r="L716" t="s">
        <v>1433</v>
      </c>
      <c r="M716" t="s">
        <v>1642</v>
      </c>
      <c r="N716" t="s">
        <v>1977</v>
      </c>
      <c r="O716">
        <v>10</v>
      </c>
    </row>
    <row r="717" spans="2:15" x14ac:dyDescent="0.2">
      <c r="B717" t="s">
        <v>1433</v>
      </c>
      <c r="C717" t="s">
        <v>12890</v>
      </c>
      <c r="D717" t="s">
        <v>617</v>
      </c>
      <c r="E717" t="s">
        <v>5802</v>
      </c>
      <c r="F717">
        <v>1089.5999999999999</v>
      </c>
      <c r="H717" t="s">
        <v>1842</v>
      </c>
      <c r="L717" t="s">
        <v>1433</v>
      </c>
      <c r="M717" t="s">
        <v>1460</v>
      </c>
      <c r="N717" t="s">
        <v>1977</v>
      </c>
      <c r="O717">
        <v>12</v>
      </c>
    </row>
    <row r="718" spans="2:15" x14ac:dyDescent="0.2">
      <c r="B718" t="s">
        <v>1433</v>
      </c>
      <c r="C718" t="s">
        <v>12890</v>
      </c>
      <c r="D718" t="s">
        <v>617</v>
      </c>
      <c r="E718" t="s">
        <v>5803</v>
      </c>
      <c r="F718">
        <v>686.66</v>
      </c>
      <c r="H718" t="s">
        <v>1842</v>
      </c>
      <c r="L718" t="s">
        <v>1433</v>
      </c>
      <c r="M718" t="s">
        <v>1643</v>
      </c>
      <c r="N718" t="s">
        <v>1977</v>
      </c>
      <c r="O718">
        <v>10</v>
      </c>
    </row>
    <row r="719" spans="2:15" x14ac:dyDescent="0.2">
      <c r="B719" t="s">
        <v>1433</v>
      </c>
      <c r="C719" t="s">
        <v>12890</v>
      </c>
      <c r="D719" t="s">
        <v>617</v>
      </c>
      <c r="E719" t="s">
        <v>5804</v>
      </c>
      <c r="F719">
        <v>1016.96</v>
      </c>
      <c r="H719" t="s">
        <v>1842</v>
      </c>
      <c r="L719" t="s">
        <v>1433</v>
      </c>
      <c r="M719" t="s">
        <v>1992</v>
      </c>
      <c r="N719" t="s">
        <v>1977</v>
      </c>
      <c r="O719">
        <v>15</v>
      </c>
    </row>
    <row r="720" spans="2:15" x14ac:dyDescent="0.2">
      <c r="B720" t="s">
        <v>1433</v>
      </c>
      <c r="C720" t="s">
        <v>12890</v>
      </c>
      <c r="D720" t="s">
        <v>617</v>
      </c>
      <c r="E720" t="s">
        <v>5805</v>
      </c>
      <c r="F720">
        <v>12.8</v>
      </c>
      <c r="H720" t="s">
        <v>1843</v>
      </c>
      <c r="L720" t="s">
        <v>1433</v>
      </c>
      <c r="M720" t="s">
        <v>1777</v>
      </c>
      <c r="N720" t="s">
        <v>1977</v>
      </c>
      <c r="O720">
        <v>10</v>
      </c>
    </row>
    <row r="721" spans="2:15" x14ac:dyDescent="0.2">
      <c r="B721" t="s">
        <v>1433</v>
      </c>
      <c r="C721" t="s">
        <v>12890</v>
      </c>
      <c r="D721" t="s">
        <v>617</v>
      </c>
      <c r="E721" t="s">
        <v>5806</v>
      </c>
      <c r="F721">
        <v>12.8</v>
      </c>
      <c r="H721" t="s">
        <v>1843</v>
      </c>
      <c r="L721" t="s">
        <v>1433</v>
      </c>
      <c r="M721" t="s">
        <v>1993</v>
      </c>
      <c r="N721" t="s">
        <v>1977</v>
      </c>
      <c r="O721">
        <v>4</v>
      </c>
    </row>
    <row r="722" spans="2:15" x14ac:dyDescent="0.2">
      <c r="B722" t="s">
        <v>1433</v>
      </c>
      <c r="C722" t="s">
        <v>12890</v>
      </c>
      <c r="D722" t="s">
        <v>617</v>
      </c>
      <c r="E722" t="s">
        <v>5807</v>
      </c>
      <c r="F722">
        <v>59.36</v>
      </c>
      <c r="H722" t="s">
        <v>1843</v>
      </c>
      <c r="L722" t="s">
        <v>1433</v>
      </c>
      <c r="M722" t="s">
        <v>1994</v>
      </c>
      <c r="N722" t="s">
        <v>1977</v>
      </c>
      <c r="O722">
        <v>20</v>
      </c>
    </row>
    <row r="723" spans="2:15" x14ac:dyDescent="0.2">
      <c r="B723" t="s">
        <v>1433</v>
      </c>
      <c r="C723" t="s">
        <v>12890</v>
      </c>
      <c r="D723" t="s">
        <v>617</v>
      </c>
      <c r="E723" t="s">
        <v>5808</v>
      </c>
      <c r="F723">
        <v>89.04</v>
      </c>
      <c r="H723" t="s">
        <v>1843</v>
      </c>
      <c r="L723" t="s">
        <v>1433</v>
      </c>
      <c r="M723" t="s">
        <v>1995</v>
      </c>
      <c r="N723" t="s">
        <v>1977</v>
      </c>
      <c r="O723">
        <v>20</v>
      </c>
    </row>
    <row r="724" spans="2:15" x14ac:dyDescent="0.2">
      <c r="B724" t="s">
        <v>1433</v>
      </c>
      <c r="C724" t="s">
        <v>12890</v>
      </c>
      <c r="D724" t="s">
        <v>617</v>
      </c>
      <c r="E724" t="s">
        <v>5809</v>
      </c>
      <c r="F724">
        <v>486.4</v>
      </c>
      <c r="H724" t="s">
        <v>1843</v>
      </c>
      <c r="L724" t="s">
        <v>1433</v>
      </c>
      <c r="M724" t="s">
        <v>1996</v>
      </c>
      <c r="N724" t="s">
        <v>1977</v>
      </c>
      <c r="O724">
        <v>15</v>
      </c>
    </row>
    <row r="725" spans="2:15" x14ac:dyDescent="0.2">
      <c r="B725" t="s">
        <v>1433</v>
      </c>
      <c r="C725" t="s">
        <v>12890</v>
      </c>
      <c r="D725" t="s">
        <v>617</v>
      </c>
      <c r="E725" t="s">
        <v>5810</v>
      </c>
      <c r="F725">
        <v>338.53</v>
      </c>
      <c r="H725" t="s">
        <v>1777</v>
      </c>
      <c r="L725" t="s">
        <v>1433</v>
      </c>
      <c r="M725" t="s">
        <v>1461</v>
      </c>
      <c r="N725" t="s">
        <v>1977</v>
      </c>
      <c r="O725">
        <v>49</v>
      </c>
    </row>
    <row r="726" spans="2:15" x14ac:dyDescent="0.2">
      <c r="B726" t="s">
        <v>1433</v>
      </c>
      <c r="C726" t="s">
        <v>12890</v>
      </c>
      <c r="D726" t="s">
        <v>617</v>
      </c>
      <c r="E726" t="s">
        <v>5811</v>
      </c>
      <c r="F726">
        <v>81.45</v>
      </c>
      <c r="H726" t="s">
        <v>1480</v>
      </c>
      <c r="L726" t="s">
        <v>1433</v>
      </c>
      <c r="M726" t="s">
        <v>1462</v>
      </c>
      <c r="N726" t="s">
        <v>1977</v>
      </c>
      <c r="O726">
        <v>12</v>
      </c>
    </row>
    <row r="727" spans="2:15" x14ac:dyDescent="0.2">
      <c r="B727" t="s">
        <v>1433</v>
      </c>
      <c r="C727" t="s">
        <v>12890</v>
      </c>
      <c r="D727" t="s">
        <v>617</v>
      </c>
      <c r="E727" t="s">
        <v>5812</v>
      </c>
      <c r="F727">
        <v>504.99</v>
      </c>
      <c r="H727" t="s">
        <v>1480</v>
      </c>
      <c r="L727" t="s">
        <v>1433</v>
      </c>
      <c r="M727" t="s">
        <v>1463</v>
      </c>
      <c r="N727" t="s">
        <v>1977</v>
      </c>
      <c r="O727">
        <v>40</v>
      </c>
    </row>
    <row r="728" spans="2:15" x14ac:dyDescent="0.2">
      <c r="B728" t="s">
        <v>1433</v>
      </c>
      <c r="C728" t="s">
        <v>12890</v>
      </c>
      <c r="D728" t="s">
        <v>617</v>
      </c>
      <c r="E728" t="s">
        <v>5813</v>
      </c>
      <c r="F728">
        <v>10.199999999999999</v>
      </c>
      <c r="H728" t="s">
        <v>1464</v>
      </c>
      <c r="L728" t="s">
        <v>1433</v>
      </c>
      <c r="M728" t="s">
        <v>1997</v>
      </c>
      <c r="N728" t="s">
        <v>1977</v>
      </c>
      <c r="O728">
        <v>15</v>
      </c>
    </row>
    <row r="729" spans="2:15" x14ac:dyDescent="0.2">
      <c r="B729" t="s">
        <v>1433</v>
      </c>
      <c r="C729" t="s">
        <v>12890</v>
      </c>
      <c r="D729" t="s">
        <v>617</v>
      </c>
      <c r="E729" t="s">
        <v>5814</v>
      </c>
      <c r="F729">
        <v>61.2</v>
      </c>
      <c r="H729" t="s">
        <v>1464</v>
      </c>
      <c r="L729" t="s">
        <v>1433</v>
      </c>
      <c r="M729" t="s">
        <v>1998</v>
      </c>
      <c r="N729" t="s">
        <v>1977</v>
      </c>
      <c r="O729">
        <v>50</v>
      </c>
    </row>
    <row r="730" spans="2:15" x14ac:dyDescent="0.2">
      <c r="B730" t="s">
        <v>1433</v>
      </c>
      <c r="C730" t="s">
        <v>12890</v>
      </c>
      <c r="D730" t="s">
        <v>617</v>
      </c>
      <c r="E730" t="s">
        <v>5815</v>
      </c>
      <c r="F730">
        <v>38.76</v>
      </c>
      <c r="H730" t="s">
        <v>1464</v>
      </c>
      <c r="L730" t="s">
        <v>1433</v>
      </c>
      <c r="M730" t="s">
        <v>1464</v>
      </c>
      <c r="N730" t="s">
        <v>1977</v>
      </c>
      <c r="O730">
        <v>400</v>
      </c>
    </row>
    <row r="731" spans="2:15" x14ac:dyDescent="0.2">
      <c r="B731" t="s">
        <v>1433</v>
      </c>
      <c r="C731" t="s">
        <v>12890</v>
      </c>
      <c r="D731" t="s">
        <v>617</v>
      </c>
      <c r="E731" t="s">
        <v>5831</v>
      </c>
      <c r="F731">
        <v>21.5</v>
      </c>
      <c r="H731" t="s">
        <v>1449</v>
      </c>
      <c r="L731" t="s">
        <v>1433</v>
      </c>
      <c r="M731" t="s">
        <v>1999</v>
      </c>
      <c r="N731" t="s">
        <v>1977</v>
      </c>
      <c r="O731">
        <v>50</v>
      </c>
    </row>
    <row r="732" spans="2:15" x14ac:dyDescent="0.2">
      <c r="B732" t="s">
        <v>1433</v>
      </c>
      <c r="C732" t="s">
        <v>12890</v>
      </c>
      <c r="D732" t="s">
        <v>617</v>
      </c>
      <c r="E732" t="s">
        <v>5832</v>
      </c>
      <c r="F732">
        <v>43</v>
      </c>
      <c r="H732" t="s">
        <v>1449</v>
      </c>
      <c r="L732" t="s">
        <v>1433</v>
      </c>
      <c r="M732" t="s">
        <v>2000</v>
      </c>
      <c r="N732" t="s">
        <v>1977</v>
      </c>
      <c r="O732">
        <v>25</v>
      </c>
    </row>
    <row r="733" spans="2:15" x14ac:dyDescent="0.2">
      <c r="B733" t="s">
        <v>1433</v>
      </c>
      <c r="C733" t="s">
        <v>12890</v>
      </c>
      <c r="D733" t="s">
        <v>617</v>
      </c>
      <c r="E733" t="s">
        <v>5833</v>
      </c>
      <c r="F733">
        <v>19.95</v>
      </c>
      <c r="H733" t="s">
        <v>1450</v>
      </c>
      <c r="L733" t="s">
        <v>1433</v>
      </c>
      <c r="M733" t="s">
        <v>2001</v>
      </c>
      <c r="N733" t="s">
        <v>1977</v>
      </c>
      <c r="O733">
        <v>22</v>
      </c>
    </row>
    <row r="734" spans="2:15" x14ac:dyDescent="0.2">
      <c r="B734" t="s">
        <v>1433</v>
      </c>
      <c r="C734" t="s">
        <v>12890</v>
      </c>
      <c r="D734" t="s">
        <v>617</v>
      </c>
      <c r="E734" t="s">
        <v>5834</v>
      </c>
      <c r="F734">
        <v>35.1</v>
      </c>
      <c r="H734" t="s">
        <v>1450</v>
      </c>
      <c r="L734" t="s">
        <v>1433</v>
      </c>
      <c r="M734" t="s">
        <v>1872</v>
      </c>
      <c r="N734" t="s">
        <v>1977</v>
      </c>
      <c r="O734">
        <v>37</v>
      </c>
    </row>
    <row r="735" spans="2:15" x14ac:dyDescent="0.2">
      <c r="B735" t="s">
        <v>1433</v>
      </c>
      <c r="C735" t="s">
        <v>12890</v>
      </c>
      <c r="D735" t="s">
        <v>617</v>
      </c>
      <c r="E735" t="s">
        <v>5835</v>
      </c>
      <c r="F735">
        <v>4.3</v>
      </c>
      <c r="H735" t="s">
        <v>1450</v>
      </c>
      <c r="L735" t="s">
        <v>1433</v>
      </c>
      <c r="M735" t="s">
        <v>1644</v>
      </c>
      <c r="N735" t="s">
        <v>1977</v>
      </c>
      <c r="O735">
        <v>5</v>
      </c>
    </row>
    <row r="736" spans="2:15" x14ac:dyDescent="0.2">
      <c r="B736" t="s">
        <v>1433</v>
      </c>
      <c r="C736" t="s">
        <v>12890</v>
      </c>
      <c r="D736" t="s">
        <v>617</v>
      </c>
      <c r="E736" t="s">
        <v>5836</v>
      </c>
      <c r="F736">
        <v>27.5</v>
      </c>
      <c r="H736" t="s">
        <v>1455</v>
      </c>
      <c r="L736" t="s">
        <v>1433</v>
      </c>
      <c r="M736" t="s">
        <v>2002</v>
      </c>
      <c r="N736" t="s">
        <v>1977</v>
      </c>
      <c r="O736">
        <v>20</v>
      </c>
    </row>
    <row r="737" spans="2:15" x14ac:dyDescent="0.2">
      <c r="B737" t="s">
        <v>1433</v>
      </c>
      <c r="C737" t="s">
        <v>12890</v>
      </c>
      <c r="D737" t="s">
        <v>617</v>
      </c>
      <c r="E737" t="s">
        <v>5837</v>
      </c>
      <c r="F737">
        <v>49.5</v>
      </c>
      <c r="H737" t="s">
        <v>1455</v>
      </c>
      <c r="L737" t="s">
        <v>1433</v>
      </c>
      <c r="M737" t="s">
        <v>2003</v>
      </c>
      <c r="N737" t="s">
        <v>1977</v>
      </c>
      <c r="O737">
        <v>20</v>
      </c>
    </row>
    <row r="738" spans="2:15" x14ac:dyDescent="0.2">
      <c r="B738" t="s">
        <v>1433</v>
      </c>
      <c r="C738" t="s">
        <v>12890</v>
      </c>
      <c r="D738" t="s">
        <v>617</v>
      </c>
      <c r="E738" t="s">
        <v>5838</v>
      </c>
      <c r="F738">
        <v>6.02</v>
      </c>
      <c r="H738" t="s">
        <v>1455</v>
      </c>
      <c r="L738" t="s">
        <v>1433</v>
      </c>
      <c r="M738" t="s">
        <v>2004</v>
      </c>
      <c r="N738" t="s">
        <v>1977</v>
      </c>
      <c r="O738">
        <v>4</v>
      </c>
    </row>
    <row r="739" spans="2:15" x14ac:dyDescent="0.2">
      <c r="B739" t="s">
        <v>1433</v>
      </c>
      <c r="C739" t="s">
        <v>12890</v>
      </c>
      <c r="D739" t="s">
        <v>617</v>
      </c>
      <c r="E739" t="s">
        <v>5839</v>
      </c>
      <c r="F739">
        <v>81.45</v>
      </c>
      <c r="H739" t="s">
        <v>1480</v>
      </c>
      <c r="L739" t="s">
        <v>1433</v>
      </c>
      <c r="M739" t="s">
        <v>2005</v>
      </c>
      <c r="N739" t="s">
        <v>1977</v>
      </c>
      <c r="O739">
        <v>5</v>
      </c>
    </row>
    <row r="740" spans="2:15" x14ac:dyDescent="0.2">
      <c r="B740" t="s">
        <v>1433</v>
      </c>
      <c r="C740" t="s">
        <v>12890</v>
      </c>
      <c r="D740" t="s">
        <v>617</v>
      </c>
      <c r="E740" t="s">
        <v>5840</v>
      </c>
      <c r="F740">
        <v>570.15</v>
      </c>
      <c r="H740" t="s">
        <v>1480</v>
      </c>
      <c r="L740" t="s">
        <v>1433</v>
      </c>
      <c r="M740" t="s">
        <v>2006</v>
      </c>
      <c r="N740" t="s">
        <v>1977</v>
      </c>
      <c r="O740">
        <v>37</v>
      </c>
    </row>
    <row r="741" spans="2:15" x14ac:dyDescent="0.2">
      <c r="B741" t="s">
        <v>1433</v>
      </c>
      <c r="C741" t="s">
        <v>12890</v>
      </c>
      <c r="D741" t="s">
        <v>617</v>
      </c>
      <c r="E741" t="s">
        <v>5841</v>
      </c>
      <c r="F741">
        <v>162.9</v>
      </c>
      <c r="H741" t="s">
        <v>1480</v>
      </c>
      <c r="L741" t="s">
        <v>1433</v>
      </c>
      <c r="M741" t="s">
        <v>2007</v>
      </c>
      <c r="N741" t="s">
        <v>1977</v>
      </c>
      <c r="O741">
        <v>10</v>
      </c>
    </row>
    <row r="742" spans="2:15" x14ac:dyDescent="0.2">
      <c r="B742" t="s">
        <v>1433</v>
      </c>
      <c r="C742" t="s">
        <v>12890</v>
      </c>
      <c r="D742" t="s">
        <v>617</v>
      </c>
      <c r="E742" t="s">
        <v>5842</v>
      </c>
      <c r="F742">
        <v>10.199999999999999</v>
      </c>
      <c r="H742" t="s">
        <v>1464</v>
      </c>
      <c r="L742" t="s">
        <v>1433</v>
      </c>
      <c r="M742" t="s">
        <v>2008</v>
      </c>
      <c r="N742" t="s">
        <v>1977</v>
      </c>
      <c r="O742">
        <v>10</v>
      </c>
    </row>
    <row r="743" spans="2:15" x14ac:dyDescent="0.2">
      <c r="B743" t="s">
        <v>1433</v>
      </c>
      <c r="C743" t="s">
        <v>12890</v>
      </c>
      <c r="D743" t="s">
        <v>617</v>
      </c>
      <c r="E743" t="s">
        <v>5843</v>
      </c>
      <c r="F743">
        <v>61.2</v>
      </c>
      <c r="H743" t="s">
        <v>1464</v>
      </c>
      <c r="L743" t="s">
        <v>1433</v>
      </c>
      <c r="M743" t="s">
        <v>2009</v>
      </c>
      <c r="N743" t="s">
        <v>1977</v>
      </c>
      <c r="O743">
        <v>2</v>
      </c>
    </row>
    <row r="744" spans="2:15" x14ac:dyDescent="0.2">
      <c r="B744" t="s">
        <v>1433</v>
      </c>
      <c r="C744" t="s">
        <v>12890</v>
      </c>
      <c r="D744" t="s">
        <v>617</v>
      </c>
      <c r="E744" t="s">
        <v>5844</v>
      </c>
      <c r="F744">
        <v>81.599999999999994</v>
      </c>
      <c r="H744" t="s">
        <v>1464</v>
      </c>
      <c r="L744" t="s">
        <v>1433</v>
      </c>
      <c r="M744" t="s">
        <v>2010</v>
      </c>
      <c r="N744" t="s">
        <v>1977</v>
      </c>
      <c r="O744">
        <v>4</v>
      </c>
    </row>
    <row r="745" spans="2:15" x14ac:dyDescent="0.2">
      <c r="B745" t="s">
        <v>1433</v>
      </c>
      <c r="C745" t="s">
        <v>12890</v>
      </c>
      <c r="D745" t="s">
        <v>617</v>
      </c>
      <c r="E745" t="s">
        <v>5868</v>
      </c>
      <c r="F745">
        <v>39.96</v>
      </c>
      <c r="H745" t="s">
        <v>1700</v>
      </c>
      <c r="L745" t="s">
        <v>1433</v>
      </c>
      <c r="M745" t="s">
        <v>2011</v>
      </c>
      <c r="N745" t="s">
        <v>1977</v>
      </c>
      <c r="O745">
        <v>4</v>
      </c>
    </row>
    <row r="746" spans="2:15" x14ac:dyDescent="0.2">
      <c r="B746" t="s">
        <v>1433</v>
      </c>
      <c r="C746" t="s">
        <v>12890</v>
      </c>
      <c r="D746" t="s">
        <v>617</v>
      </c>
      <c r="E746" t="s">
        <v>5869</v>
      </c>
      <c r="F746">
        <v>192.2</v>
      </c>
      <c r="H746" t="s">
        <v>1845</v>
      </c>
      <c r="L746" t="s">
        <v>1433</v>
      </c>
      <c r="M746" t="s">
        <v>1700</v>
      </c>
      <c r="N746" t="s">
        <v>1977</v>
      </c>
      <c r="O746">
        <v>6</v>
      </c>
    </row>
    <row r="747" spans="2:15" x14ac:dyDescent="0.2">
      <c r="B747" t="s">
        <v>1433</v>
      </c>
      <c r="C747" t="s">
        <v>12890</v>
      </c>
      <c r="D747" t="s">
        <v>617</v>
      </c>
      <c r="E747" t="s">
        <v>5884</v>
      </c>
      <c r="F747">
        <v>286.44</v>
      </c>
      <c r="H747" t="s">
        <v>1809</v>
      </c>
      <c r="L747" t="s">
        <v>1433</v>
      </c>
      <c r="M747" t="s">
        <v>1845</v>
      </c>
      <c r="N747" t="s">
        <v>1977</v>
      </c>
      <c r="O747">
        <v>6</v>
      </c>
    </row>
    <row r="748" spans="2:15" x14ac:dyDescent="0.2">
      <c r="B748" t="s">
        <v>1433</v>
      </c>
      <c r="C748" t="s">
        <v>12890</v>
      </c>
      <c r="D748" t="s">
        <v>617</v>
      </c>
      <c r="E748" t="s">
        <v>5885</v>
      </c>
      <c r="F748">
        <v>198.29</v>
      </c>
      <c r="H748" t="s">
        <v>1811</v>
      </c>
      <c r="L748" t="s">
        <v>1433</v>
      </c>
      <c r="M748" t="s">
        <v>2012</v>
      </c>
      <c r="N748" t="s">
        <v>1977</v>
      </c>
      <c r="O748">
        <v>4</v>
      </c>
    </row>
    <row r="749" spans="2:15" x14ac:dyDescent="0.2">
      <c r="B749" t="s">
        <v>1433</v>
      </c>
      <c r="C749" t="s">
        <v>12890</v>
      </c>
      <c r="D749" t="s">
        <v>617</v>
      </c>
      <c r="E749" t="s">
        <v>5886</v>
      </c>
      <c r="F749">
        <v>-198.29</v>
      </c>
      <c r="H749" t="s">
        <v>1811</v>
      </c>
      <c r="L749" t="s">
        <v>1433</v>
      </c>
      <c r="M749" t="s">
        <v>2013</v>
      </c>
      <c r="N749" t="s">
        <v>1977</v>
      </c>
      <c r="O749">
        <v>4</v>
      </c>
    </row>
    <row r="750" spans="2:15" x14ac:dyDescent="0.2">
      <c r="B750" t="s">
        <v>1433</v>
      </c>
      <c r="C750" t="s">
        <v>12890</v>
      </c>
      <c r="D750" t="s">
        <v>617</v>
      </c>
      <c r="E750" t="s">
        <v>5887</v>
      </c>
      <c r="F750">
        <v>198.29</v>
      </c>
      <c r="H750" t="s">
        <v>1811</v>
      </c>
      <c r="L750" t="s">
        <v>1433</v>
      </c>
      <c r="M750" t="s">
        <v>2014</v>
      </c>
      <c r="N750" t="s">
        <v>1977</v>
      </c>
      <c r="O750">
        <v>10</v>
      </c>
    </row>
    <row r="751" spans="2:15" x14ac:dyDescent="0.2">
      <c r="B751" t="s">
        <v>1433</v>
      </c>
      <c r="C751" t="s">
        <v>12890</v>
      </c>
      <c r="D751" t="s">
        <v>617</v>
      </c>
      <c r="E751" t="s">
        <v>5888</v>
      </c>
      <c r="F751">
        <v>84.98</v>
      </c>
      <c r="H751" t="s">
        <v>1811</v>
      </c>
      <c r="L751" t="s">
        <v>1433</v>
      </c>
      <c r="M751" t="s">
        <v>2015</v>
      </c>
      <c r="N751" t="s">
        <v>1977</v>
      </c>
      <c r="O751">
        <v>10</v>
      </c>
    </row>
    <row r="752" spans="2:15" x14ac:dyDescent="0.2">
      <c r="B752" t="s">
        <v>1433</v>
      </c>
      <c r="C752" t="s">
        <v>12890</v>
      </c>
      <c r="D752" t="s">
        <v>617</v>
      </c>
      <c r="E752" t="s">
        <v>5889</v>
      </c>
      <c r="F752">
        <v>125.28</v>
      </c>
      <c r="H752" t="s">
        <v>1793</v>
      </c>
      <c r="L752" t="s">
        <v>1433</v>
      </c>
      <c r="M752" t="s">
        <v>2016</v>
      </c>
      <c r="N752" t="s">
        <v>1977</v>
      </c>
      <c r="O752">
        <v>10</v>
      </c>
    </row>
    <row r="753" spans="2:15" x14ac:dyDescent="0.2">
      <c r="B753" t="s">
        <v>1433</v>
      </c>
      <c r="C753" t="s">
        <v>12890</v>
      </c>
      <c r="D753" t="s">
        <v>617</v>
      </c>
      <c r="E753" t="s">
        <v>5890</v>
      </c>
      <c r="F753">
        <v>70.47</v>
      </c>
      <c r="H753" t="s">
        <v>1793</v>
      </c>
      <c r="L753" t="s">
        <v>1433</v>
      </c>
      <c r="M753" t="s">
        <v>2017</v>
      </c>
      <c r="N753" t="s">
        <v>1977</v>
      </c>
      <c r="O753">
        <v>10</v>
      </c>
    </row>
    <row r="754" spans="2:15" x14ac:dyDescent="0.2">
      <c r="B754" t="s">
        <v>1433</v>
      </c>
      <c r="C754" t="s">
        <v>12890</v>
      </c>
      <c r="D754" t="s">
        <v>617</v>
      </c>
      <c r="E754" t="s">
        <v>5891</v>
      </c>
      <c r="F754">
        <v>195.75</v>
      </c>
      <c r="H754" t="s">
        <v>1793</v>
      </c>
      <c r="L754" t="s">
        <v>1433</v>
      </c>
      <c r="M754" t="s">
        <v>2018</v>
      </c>
      <c r="N754" t="s">
        <v>1977</v>
      </c>
      <c r="O754">
        <v>10</v>
      </c>
    </row>
    <row r="755" spans="2:15" x14ac:dyDescent="0.2">
      <c r="B755" t="s">
        <v>1433</v>
      </c>
      <c r="C755" t="s">
        <v>12890</v>
      </c>
      <c r="D755" t="s">
        <v>617</v>
      </c>
      <c r="E755" t="s">
        <v>5892</v>
      </c>
      <c r="F755">
        <v>170.4</v>
      </c>
      <c r="H755" t="s">
        <v>1794</v>
      </c>
      <c r="L755" t="s">
        <v>1433</v>
      </c>
      <c r="M755" t="s">
        <v>2019</v>
      </c>
      <c r="N755" t="s">
        <v>1977</v>
      </c>
      <c r="O755">
        <v>10</v>
      </c>
    </row>
    <row r="756" spans="2:15" x14ac:dyDescent="0.2">
      <c r="B756" t="s">
        <v>1433</v>
      </c>
      <c r="C756" t="s">
        <v>12890</v>
      </c>
      <c r="D756" t="s">
        <v>617</v>
      </c>
      <c r="E756" t="s">
        <v>5893</v>
      </c>
      <c r="F756">
        <v>60.6</v>
      </c>
      <c r="H756" t="s">
        <v>1795</v>
      </c>
      <c r="L756" t="s">
        <v>1433</v>
      </c>
      <c r="M756" t="s">
        <v>2020</v>
      </c>
      <c r="N756" t="s">
        <v>1977</v>
      </c>
      <c r="O756">
        <v>10</v>
      </c>
    </row>
    <row r="757" spans="2:15" x14ac:dyDescent="0.2">
      <c r="B757" t="s">
        <v>1433</v>
      </c>
      <c r="C757" t="s">
        <v>12890</v>
      </c>
      <c r="D757" t="s">
        <v>617</v>
      </c>
      <c r="E757" t="s">
        <v>5894</v>
      </c>
      <c r="F757">
        <v>90.9</v>
      </c>
      <c r="H757" t="s">
        <v>1795</v>
      </c>
      <c r="L757" t="s">
        <v>1433</v>
      </c>
      <c r="M757" t="s">
        <v>1544</v>
      </c>
      <c r="N757" t="s">
        <v>1977</v>
      </c>
      <c r="O757">
        <v>34</v>
      </c>
    </row>
    <row r="758" spans="2:15" x14ac:dyDescent="0.2">
      <c r="B758" t="s">
        <v>1433</v>
      </c>
      <c r="C758" t="s">
        <v>12890</v>
      </c>
      <c r="D758" t="s">
        <v>617</v>
      </c>
      <c r="E758" t="s">
        <v>5895</v>
      </c>
      <c r="F758">
        <v>151.5</v>
      </c>
      <c r="H758" t="s">
        <v>1795</v>
      </c>
      <c r="L758" t="s">
        <v>1433</v>
      </c>
      <c r="M758" t="s">
        <v>1699</v>
      </c>
      <c r="N758" t="s">
        <v>1977</v>
      </c>
      <c r="O758">
        <v>24</v>
      </c>
    </row>
    <row r="759" spans="2:15" x14ac:dyDescent="0.2">
      <c r="B759" t="s">
        <v>1433</v>
      </c>
      <c r="C759" t="s">
        <v>12890</v>
      </c>
      <c r="D759" t="s">
        <v>617</v>
      </c>
      <c r="E759" t="s">
        <v>5896</v>
      </c>
      <c r="F759">
        <v>122.4</v>
      </c>
      <c r="H759" t="s">
        <v>1796</v>
      </c>
      <c r="L759" t="s">
        <v>1433</v>
      </c>
      <c r="M759" t="s">
        <v>2021</v>
      </c>
      <c r="N759" t="s">
        <v>1977</v>
      </c>
      <c r="O759">
        <v>4</v>
      </c>
    </row>
    <row r="760" spans="2:15" x14ac:dyDescent="0.2">
      <c r="B760" t="s">
        <v>1433</v>
      </c>
      <c r="C760" t="s">
        <v>12890</v>
      </c>
      <c r="D760" t="s">
        <v>617</v>
      </c>
      <c r="E760" t="s">
        <v>5917</v>
      </c>
      <c r="F760">
        <v>21.5</v>
      </c>
      <c r="H760" t="s">
        <v>1449</v>
      </c>
      <c r="L760" t="s">
        <v>1433</v>
      </c>
      <c r="M760" t="s">
        <v>1963</v>
      </c>
      <c r="N760" t="s">
        <v>1977</v>
      </c>
      <c r="O760">
        <v>20</v>
      </c>
    </row>
    <row r="761" spans="2:15" x14ac:dyDescent="0.2">
      <c r="B761" t="s">
        <v>1433</v>
      </c>
      <c r="C761" t="s">
        <v>12890</v>
      </c>
      <c r="D761" t="s">
        <v>617</v>
      </c>
      <c r="E761" t="s">
        <v>5918</v>
      </c>
      <c r="F761">
        <v>4.3</v>
      </c>
      <c r="H761" t="s">
        <v>1449</v>
      </c>
      <c r="L761" t="s">
        <v>1433</v>
      </c>
      <c r="M761" t="s">
        <v>2022</v>
      </c>
      <c r="N761" t="s">
        <v>1977</v>
      </c>
      <c r="O761">
        <v>2</v>
      </c>
    </row>
    <row r="762" spans="2:15" x14ac:dyDescent="0.2">
      <c r="B762" t="s">
        <v>1433</v>
      </c>
      <c r="C762" t="s">
        <v>12890</v>
      </c>
      <c r="D762" t="s">
        <v>617</v>
      </c>
      <c r="E762" t="s">
        <v>5919</v>
      </c>
      <c r="F762">
        <v>19.95</v>
      </c>
      <c r="H762" t="s">
        <v>1450</v>
      </c>
      <c r="L762" t="s">
        <v>1433</v>
      </c>
      <c r="M762" t="s">
        <v>2005</v>
      </c>
      <c r="N762" t="s">
        <v>1444</v>
      </c>
      <c r="O762">
        <v>10</v>
      </c>
    </row>
    <row r="763" spans="2:15" x14ac:dyDescent="0.2">
      <c r="B763" t="s">
        <v>1433</v>
      </c>
      <c r="C763" t="s">
        <v>12890</v>
      </c>
      <c r="D763" t="s">
        <v>617</v>
      </c>
      <c r="E763" t="s">
        <v>5920</v>
      </c>
      <c r="F763">
        <v>3.9</v>
      </c>
      <c r="H763" t="s">
        <v>1450</v>
      </c>
      <c r="L763" t="s">
        <v>1433</v>
      </c>
      <c r="M763" t="s">
        <v>2001</v>
      </c>
      <c r="N763" t="s">
        <v>1466</v>
      </c>
      <c r="O763">
        <v>10</v>
      </c>
    </row>
    <row r="764" spans="2:15" x14ac:dyDescent="0.2">
      <c r="B764" t="s">
        <v>1433</v>
      </c>
      <c r="C764" t="s">
        <v>12890</v>
      </c>
      <c r="D764" t="s">
        <v>617</v>
      </c>
      <c r="E764" t="s">
        <v>5921</v>
      </c>
      <c r="F764">
        <v>44.36</v>
      </c>
      <c r="H764" t="s">
        <v>1987</v>
      </c>
      <c r="L764" t="s">
        <v>1433</v>
      </c>
      <c r="M764" t="s">
        <v>2020</v>
      </c>
      <c r="N764" t="s">
        <v>1638</v>
      </c>
      <c r="O764">
        <v>4</v>
      </c>
    </row>
    <row r="765" spans="2:15" x14ac:dyDescent="0.2">
      <c r="B765" t="s">
        <v>1433</v>
      </c>
      <c r="C765" t="s">
        <v>12890</v>
      </c>
      <c r="D765" t="s">
        <v>617</v>
      </c>
      <c r="E765" t="s">
        <v>5922</v>
      </c>
      <c r="F765">
        <v>27.5</v>
      </c>
      <c r="H765" t="s">
        <v>1455</v>
      </c>
      <c r="L765" t="s">
        <v>1433</v>
      </c>
      <c r="M765" t="s">
        <v>1843</v>
      </c>
      <c r="N765" t="s">
        <v>2023</v>
      </c>
      <c r="O765">
        <v>10</v>
      </c>
    </row>
    <row r="766" spans="2:15" x14ac:dyDescent="0.2">
      <c r="B766" t="s">
        <v>1433</v>
      </c>
      <c r="C766" t="s">
        <v>12890</v>
      </c>
      <c r="D766" t="s">
        <v>617</v>
      </c>
      <c r="E766" t="s">
        <v>5923</v>
      </c>
      <c r="F766">
        <v>5.5</v>
      </c>
      <c r="H766" t="s">
        <v>1455</v>
      </c>
      <c r="L766" t="s">
        <v>1433</v>
      </c>
      <c r="M766" t="s">
        <v>1842</v>
      </c>
      <c r="N766" t="s">
        <v>2023</v>
      </c>
      <c r="O766">
        <v>10</v>
      </c>
    </row>
    <row r="767" spans="2:15" x14ac:dyDescent="0.2">
      <c r="B767" t="s">
        <v>1433</v>
      </c>
      <c r="C767" t="s">
        <v>12890</v>
      </c>
      <c r="D767" t="s">
        <v>617</v>
      </c>
      <c r="E767" t="s">
        <v>5924</v>
      </c>
      <c r="F767">
        <v>81.45</v>
      </c>
      <c r="H767" t="s">
        <v>1480</v>
      </c>
      <c r="L767" t="s">
        <v>1433</v>
      </c>
      <c r="M767" t="s">
        <v>1651</v>
      </c>
      <c r="N767" t="s">
        <v>2024</v>
      </c>
      <c r="O767">
        <v>2</v>
      </c>
    </row>
    <row r="768" spans="2:15" x14ac:dyDescent="0.2">
      <c r="B768" t="s">
        <v>1433</v>
      </c>
      <c r="C768" t="s">
        <v>12890</v>
      </c>
      <c r="D768" t="s">
        <v>617</v>
      </c>
      <c r="E768" t="s">
        <v>5925</v>
      </c>
      <c r="F768">
        <v>244.35</v>
      </c>
      <c r="H768" t="s">
        <v>1480</v>
      </c>
      <c r="L768" t="s">
        <v>1433</v>
      </c>
      <c r="M768" t="s">
        <v>2025</v>
      </c>
      <c r="N768" t="s">
        <v>2024</v>
      </c>
      <c r="O768">
        <v>10</v>
      </c>
    </row>
    <row r="769" spans="2:15" x14ac:dyDescent="0.2">
      <c r="B769" t="s">
        <v>1433</v>
      </c>
      <c r="C769" t="s">
        <v>12890</v>
      </c>
      <c r="D769" t="s">
        <v>617</v>
      </c>
      <c r="E769" t="s">
        <v>5926</v>
      </c>
      <c r="F769">
        <v>185.83</v>
      </c>
      <c r="H769" t="s">
        <v>2250</v>
      </c>
      <c r="L769" t="s">
        <v>1433</v>
      </c>
      <c r="M769" t="s">
        <v>2026</v>
      </c>
      <c r="N769" t="s">
        <v>2024</v>
      </c>
      <c r="O769">
        <v>10</v>
      </c>
    </row>
    <row r="770" spans="2:15" x14ac:dyDescent="0.2">
      <c r="B770" t="s">
        <v>1433</v>
      </c>
      <c r="C770" t="s">
        <v>12890</v>
      </c>
      <c r="D770" t="s">
        <v>617</v>
      </c>
      <c r="E770" t="s">
        <v>5935</v>
      </c>
      <c r="F770">
        <v>59.26</v>
      </c>
      <c r="H770" t="s">
        <v>2762</v>
      </c>
      <c r="L770" t="s">
        <v>1433</v>
      </c>
      <c r="M770" t="s">
        <v>2027</v>
      </c>
      <c r="N770" t="s">
        <v>2024</v>
      </c>
      <c r="O770">
        <v>10</v>
      </c>
    </row>
    <row r="771" spans="2:15" x14ac:dyDescent="0.2">
      <c r="B771" t="s">
        <v>1433</v>
      </c>
      <c r="C771" t="s">
        <v>12890</v>
      </c>
      <c r="D771" t="s">
        <v>617</v>
      </c>
      <c r="E771" t="s">
        <v>5936</v>
      </c>
      <c r="F771">
        <v>59.26</v>
      </c>
      <c r="H771" t="s">
        <v>2762</v>
      </c>
      <c r="L771" t="s">
        <v>1433</v>
      </c>
      <c r="M771" t="s">
        <v>2028</v>
      </c>
      <c r="N771" t="s">
        <v>2024</v>
      </c>
      <c r="O771">
        <v>20</v>
      </c>
    </row>
    <row r="772" spans="2:15" x14ac:dyDescent="0.2">
      <c r="B772" t="s">
        <v>1433</v>
      </c>
      <c r="C772" t="s">
        <v>12890</v>
      </c>
      <c r="D772" t="s">
        <v>617</v>
      </c>
      <c r="E772" t="s">
        <v>5937</v>
      </c>
      <c r="F772">
        <v>3.6</v>
      </c>
      <c r="H772" t="s">
        <v>1807</v>
      </c>
      <c r="L772" t="s">
        <v>1433</v>
      </c>
      <c r="M772" t="s">
        <v>2029</v>
      </c>
      <c r="N772" t="s">
        <v>2024</v>
      </c>
      <c r="O772">
        <v>15</v>
      </c>
    </row>
    <row r="773" spans="2:15" x14ac:dyDescent="0.2">
      <c r="B773" t="s">
        <v>1433</v>
      </c>
      <c r="C773" t="s">
        <v>12890</v>
      </c>
      <c r="D773" t="s">
        <v>617</v>
      </c>
      <c r="E773" t="s">
        <v>5938</v>
      </c>
      <c r="F773">
        <v>5.68</v>
      </c>
      <c r="H773" t="s">
        <v>1807</v>
      </c>
      <c r="L773" t="s">
        <v>1433</v>
      </c>
      <c r="M773" t="s">
        <v>2030</v>
      </c>
      <c r="N773" t="s">
        <v>2024</v>
      </c>
      <c r="O773">
        <v>17</v>
      </c>
    </row>
    <row r="774" spans="2:15" x14ac:dyDescent="0.2">
      <c r="B774" t="s">
        <v>1433</v>
      </c>
      <c r="C774" t="s">
        <v>12890</v>
      </c>
      <c r="D774" t="s">
        <v>617</v>
      </c>
      <c r="E774" t="s">
        <v>5939</v>
      </c>
      <c r="F774">
        <v>109.34</v>
      </c>
      <c r="H774" t="s">
        <v>1790</v>
      </c>
      <c r="L774" t="s">
        <v>1433</v>
      </c>
      <c r="M774" t="s">
        <v>2031</v>
      </c>
      <c r="N774" t="s">
        <v>2024</v>
      </c>
      <c r="O774">
        <v>10</v>
      </c>
    </row>
    <row r="775" spans="2:15" x14ac:dyDescent="0.2">
      <c r="B775" t="s">
        <v>1433</v>
      </c>
      <c r="C775" t="s">
        <v>12890</v>
      </c>
      <c r="D775" t="s">
        <v>617</v>
      </c>
      <c r="E775" t="s">
        <v>5940</v>
      </c>
      <c r="F775">
        <v>74.2</v>
      </c>
      <c r="H775" t="s">
        <v>1792</v>
      </c>
      <c r="L775" t="s">
        <v>1433</v>
      </c>
      <c r="M775" t="s">
        <v>2032</v>
      </c>
      <c r="N775" t="s">
        <v>2024</v>
      </c>
      <c r="O775">
        <v>10</v>
      </c>
    </row>
    <row r="776" spans="2:15" x14ac:dyDescent="0.2">
      <c r="B776" t="s">
        <v>1433</v>
      </c>
      <c r="C776" t="s">
        <v>12890</v>
      </c>
      <c r="D776" t="s">
        <v>617</v>
      </c>
      <c r="E776" t="s">
        <v>5941</v>
      </c>
      <c r="F776">
        <v>125.28</v>
      </c>
      <c r="H776" t="s">
        <v>1793</v>
      </c>
      <c r="L776" t="s">
        <v>1433</v>
      </c>
      <c r="M776" t="s">
        <v>2033</v>
      </c>
      <c r="N776" t="s">
        <v>2024</v>
      </c>
      <c r="O776">
        <v>10</v>
      </c>
    </row>
    <row r="777" spans="2:15" x14ac:dyDescent="0.2">
      <c r="B777" t="s">
        <v>1433</v>
      </c>
      <c r="C777" t="s">
        <v>12890</v>
      </c>
      <c r="D777" t="s">
        <v>617</v>
      </c>
      <c r="E777" t="s">
        <v>5942</v>
      </c>
      <c r="F777">
        <v>70.47</v>
      </c>
      <c r="H777" t="s">
        <v>1793</v>
      </c>
      <c r="L777" t="s">
        <v>1433</v>
      </c>
      <c r="M777" t="s">
        <v>2034</v>
      </c>
      <c r="N777" t="s">
        <v>2024</v>
      </c>
      <c r="O777">
        <v>12</v>
      </c>
    </row>
    <row r="778" spans="2:15" x14ac:dyDescent="0.2">
      <c r="B778" t="s">
        <v>1433</v>
      </c>
      <c r="C778" t="s">
        <v>12890</v>
      </c>
      <c r="D778" t="s">
        <v>617</v>
      </c>
      <c r="E778" t="s">
        <v>5943</v>
      </c>
      <c r="F778">
        <v>86.13</v>
      </c>
      <c r="H778" t="s">
        <v>1793</v>
      </c>
      <c r="L778" t="s">
        <v>1433</v>
      </c>
      <c r="M778" t="s">
        <v>2035</v>
      </c>
      <c r="N778" t="s">
        <v>2024</v>
      </c>
      <c r="O778">
        <v>12</v>
      </c>
    </row>
    <row r="779" spans="2:15" x14ac:dyDescent="0.2">
      <c r="B779" t="s">
        <v>1433</v>
      </c>
      <c r="C779" t="s">
        <v>12890</v>
      </c>
      <c r="D779" t="s">
        <v>617</v>
      </c>
      <c r="E779" t="s">
        <v>5944</v>
      </c>
      <c r="F779">
        <v>60.6</v>
      </c>
      <c r="H779" t="s">
        <v>1795</v>
      </c>
      <c r="L779" t="s">
        <v>1433</v>
      </c>
      <c r="M779" t="s">
        <v>2036</v>
      </c>
      <c r="N779" t="s">
        <v>2024</v>
      </c>
      <c r="O779">
        <v>12</v>
      </c>
    </row>
    <row r="780" spans="2:15" x14ac:dyDescent="0.2">
      <c r="B780" t="s">
        <v>1433</v>
      </c>
      <c r="C780" t="s">
        <v>12890</v>
      </c>
      <c r="D780" t="s">
        <v>617</v>
      </c>
      <c r="E780" t="s">
        <v>5945</v>
      </c>
      <c r="F780">
        <v>90.9</v>
      </c>
      <c r="H780" t="s">
        <v>1795</v>
      </c>
      <c r="L780" t="s">
        <v>1433</v>
      </c>
      <c r="M780" t="s">
        <v>2037</v>
      </c>
      <c r="N780" t="s">
        <v>2024</v>
      </c>
      <c r="O780">
        <v>16</v>
      </c>
    </row>
    <row r="781" spans="2:15" x14ac:dyDescent="0.2">
      <c r="B781" t="s">
        <v>1433</v>
      </c>
      <c r="C781" t="s">
        <v>12890</v>
      </c>
      <c r="D781" t="s">
        <v>617</v>
      </c>
      <c r="E781" t="s">
        <v>5946</v>
      </c>
      <c r="F781">
        <v>66.66</v>
      </c>
      <c r="H781" t="s">
        <v>1795</v>
      </c>
      <c r="L781" t="s">
        <v>1433</v>
      </c>
      <c r="M781" t="s">
        <v>2038</v>
      </c>
      <c r="N781" t="s">
        <v>2024</v>
      </c>
      <c r="O781">
        <v>5</v>
      </c>
    </row>
    <row r="782" spans="2:15" x14ac:dyDescent="0.2">
      <c r="B782" t="s">
        <v>1433</v>
      </c>
      <c r="C782" t="s">
        <v>12890</v>
      </c>
      <c r="D782" t="s">
        <v>617</v>
      </c>
      <c r="E782" t="s">
        <v>5947</v>
      </c>
      <c r="F782">
        <v>63.28</v>
      </c>
      <c r="H782" t="s">
        <v>1799</v>
      </c>
      <c r="L782" t="s">
        <v>1433</v>
      </c>
      <c r="M782" t="s">
        <v>2039</v>
      </c>
      <c r="N782" t="s">
        <v>2024</v>
      </c>
      <c r="O782">
        <v>12</v>
      </c>
    </row>
    <row r="783" spans="2:15" x14ac:dyDescent="0.2">
      <c r="B783" t="s">
        <v>1433</v>
      </c>
      <c r="C783" t="s">
        <v>12890</v>
      </c>
      <c r="D783" t="s">
        <v>617</v>
      </c>
      <c r="E783" t="s">
        <v>5948</v>
      </c>
      <c r="F783">
        <v>62.58</v>
      </c>
      <c r="H783" t="s">
        <v>1800</v>
      </c>
      <c r="L783" t="s">
        <v>1433</v>
      </c>
      <c r="M783" t="s">
        <v>2040</v>
      </c>
      <c r="N783" t="s">
        <v>2024</v>
      </c>
      <c r="O783">
        <v>2</v>
      </c>
    </row>
    <row r="784" spans="2:15" x14ac:dyDescent="0.2">
      <c r="B784" t="s">
        <v>1433</v>
      </c>
      <c r="C784" t="s">
        <v>12890</v>
      </c>
      <c r="D784" t="s">
        <v>617</v>
      </c>
      <c r="E784" t="s">
        <v>5949</v>
      </c>
      <c r="F784">
        <v>164.5</v>
      </c>
      <c r="H784" t="s">
        <v>1923</v>
      </c>
      <c r="L784" t="s">
        <v>1433</v>
      </c>
      <c r="M784" t="s">
        <v>2041</v>
      </c>
      <c r="N784" t="s">
        <v>2024</v>
      </c>
      <c r="O784">
        <v>20</v>
      </c>
    </row>
    <row r="785" spans="2:15" x14ac:dyDescent="0.2">
      <c r="B785" t="s">
        <v>1433</v>
      </c>
      <c r="C785" t="s">
        <v>12890</v>
      </c>
      <c r="D785" t="s">
        <v>617</v>
      </c>
      <c r="E785" t="s">
        <v>5950</v>
      </c>
      <c r="F785">
        <v>714.19</v>
      </c>
      <c r="H785" t="s">
        <v>1924</v>
      </c>
      <c r="L785" t="s">
        <v>1433</v>
      </c>
      <c r="M785" t="s">
        <v>1479</v>
      </c>
      <c r="N785" t="s">
        <v>2024</v>
      </c>
      <c r="O785">
        <v>20</v>
      </c>
    </row>
    <row r="786" spans="2:15" x14ac:dyDescent="0.2">
      <c r="B786" t="s">
        <v>1433</v>
      </c>
      <c r="C786" t="s">
        <v>12890</v>
      </c>
      <c r="D786" t="s">
        <v>617</v>
      </c>
      <c r="E786" t="s">
        <v>5951</v>
      </c>
      <c r="F786">
        <v>25.42</v>
      </c>
      <c r="H786" t="s">
        <v>1913</v>
      </c>
      <c r="L786" t="s">
        <v>1433</v>
      </c>
      <c r="M786" t="s">
        <v>2042</v>
      </c>
      <c r="N786" t="s">
        <v>2024</v>
      </c>
      <c r="O786">
        <v>1</v>
      </c>
    </row>
    <row r="787" spans="2:15" x14ac:dyDescent="0.2">
      <c r="B787" t="s">
        <v>1433</v>
      </c>
      <c r="C787" t="s">
        <v>12890</v>
      </c>
      <c r="D787" t="s">
        <v>1162</v>
      </c>
      <c r="E787" t="s">
        <v>5952</v>
      </c>
      <c r="F787">
        <v>6000</v>
      </c>
      <c r="G787" t="s">
        <v>1239</v>
      </c>
      <c r="L787" t="s">
        <v>1433</v>
      </c>
      <c r="M787" t="s">
        <v>1480</v>
      </c>
      <c r="N787" t="s">
        <v>2024</v>
      </c>
      <c r="O787">
        <v>29</v>
      </c>
    </row>
    <row r="788" spans="2:15" x14ac:dyDescent="0.2">
      <c r="B788" t="s">
        <v>1433</v>
      </c>
      <c r="C788" t="s">
        <v>12890</v>
      </c>
      <c r="D788" t="s">
        <v>1162</v>
      </c>
      <c r="E788" t="s">
        <v>5965</v>
      </c>
      <c r="F788">
        <v>15000</v>
      </c>
      <c r="G788" t="s">
        <v>1239</v>
      </c>
      <c r="L788" t="s">
        <v>1433</v>
      </c>
      <c r="M788" t="s">
        <v>1652</v>
      </c>
      <c r="N788" t="s">
        <v>2024</v>
      </c>
      <c r="O788">
        <v>20</v>
      </c>
    </row>
    <row r="789" spans="2:15" x14ac:dyDescent="0.2">
      <c r="B789" t="s">
        <v>1433</v>
      </c>
      <c r="C789" t="s">
        <v>12890</v>
      </c>
      <c r="D789" t="s">
        <v>1162</v>
      </c>
      <c r="E789" t="s">
        <v>5989</v>
      </c>
      <c r="F789">
        <v>9000</v>
      </c>
      <c r="G789" t="s">
        <v>1239</v>
      </c>
      <c r="L789" t="s">
        <v>1433</v>
      </c>
      <c r="M789" t="s">
        <v>2043</v>
      </c>
      <c r="N789" t="s">
        <v>2024</v>
      </c>
      <c r="O789">
        <v>20</v>
      </c>
    </row>
    <row r="790" spans="2:15" x14ac:dyDescent="0.2">
      <c r="B790" t="s">
        <v>1433</v>
      </c>
      <c r="C790" t="s">
        <v>12890</v>
      </c>
      <c r="D790" t="s">
        <v>617</v>
      </c>
      <c r="E790" t="s">
        <v>6002</v>
      </c>
      <c r="F790">
        <v>1704</v>
      </c>
      <c r="G790" t="s">
        <v>1241</v>
      </c>
      <c r="L790" t="s">
        <v>1433</v>
      </c>
      <c r="M790" t="s">
        <v>2044</v>
      </c>
      <c r="N790" t="s">
        <v>2024</v>
      </c>
      <c r="O790">
        <v>10</v>
      </c>
    </row>
    <row r="791" spans="2:15" x14ac:dyDescent="0.2">
      <c r="B791" t="s">
        <v>1433</v>
      </c>
      <c r="C791" t="s">
        <v>12890</v>
      </c>
      <c r="D791" t="s">
        <v>617</v>
      </c>
      <c r="E791" t="s">
        <v>6016</v>
      </c>
      <c r="F791">
        <v>4260</v>
      </c>
      <c r="G791" t="s">
        <v>1241</v>
      </c>
      <c r="L791" t="s">
        <v>1433</v>
      </c>
      <c r="M791" t="s">
        <v>2045</v>
      </c>
      <c r="N791" t="s">
        <v>2024</v>
      </c>
      <c r="O791">
        <v>10</v>
      </c>
    </row>
    <row r="792" spans="2:15" x14ac:dyDescent="0.2">
      <c r="B792" t="s">
        <v>1433</v>
      </c>
      <c r="C792" t="s">
        <v>12890</v>
      </c>
      <c r="D792" t="s">
        <v>617</v>
      </c>
      <c r="E792" t="s">
        <v>6037</v>
      </c>
      <c r="F792">
        <v>2556</v>
      </c>
      <c r="G792" t="s">
        <v>1241</v>
      </c>
      <c r="L792" t="s">
        <v>1433</v>
      </c>
      <c r="M792" t="s">
        <v>1653</v>
      </c>
      <c r="N792" t="s">
        <v>2024</v>
      </c>
      <c r="O792">
        <v>10</v>
      </c>
    </row>
    <row r="793" spans="2:15" x14ac:dyDescent="0.2">
      <c r="B793" t="s">
        <v>1433</v>
      </c>
      <c r="C793" t="s">
        <v>12890</v>
      </c>
      <c r="D793" t="s">
        <v>617</v>
      </c>
      <c r="E793" t="s">
        <v>6050</v>
      </c>
      <c r="F793">
        <v>9.94</v>
      </c>
      <c r="H793" t="s">
        <v>1914</v>
      </c>
      <c r="L793" t="s">
        <v>1433</v>
      </c>
      <c r="M793" t="s">
        <v>1654</v>
      </c>
      <c r="N793" t="s">
        <v>2024</v>
      </c>
      <c r="O793">
        <v>10</v>
      </c>
    </row>
    <row r="794" spans="2:15" x14ac:dyDescent="0.2">
      <c r="B794" t="s">
        <v>1433</v>
      </c>
      <c r="C794" t="s">
        <v>12890</v>
      </c>
      <c r="D794" t="s">
        <v>617</v>
      </c>
      <c r="E794" t="s">
        <v>6051</v>
      </c>
      <c r="F794">
        <v>59.26</v>
      </c>
      <c r="H794" t="s">
        <v>2762</v>
      </c>
      <c r="L794" t="s">
        <v>1433</v>
      </c>
      <c r="M794" t="s">
        <v>1655</v>
      </c>
      <c r="N794" t="s">
        <v>2024</v>
      </c>
      <c r="O794">
        <v>10</v>
      </c>
    </row>
    <row r="795" spans="2:15" x14ac:dyDescent="0.2">
      <c r="B795" t="s">
        <v>1433</v>
      </c>
      <c r="C795" t="s">
        <v>12890</v>
      </c>
      <c r="D795" t="s">
        <v>617</v>
      </c>
      <c r="E795" t="s">
        <v>6052</v>
      </c>
      <c r="F795">
        <v>3.6</v>
      </c>
      <c r="H795" t="s">
        <v>1807</v>
      </c>
      <c r="L795" t="s">
        <v>1433</v>
      </c>
      <c r="M795" t="s">
        <v>1656</v>
      </c>
      <c r="N795" t="s">
        <v>2024</v>
      </c>
      <c r="O795">
        <v>20</v>
      </c>
    </row>
    <row r="796" spans="2:15" x14ac:dyDescent="0.2">
      <c r="B796" t="s">
        <v>1433</v>
      </c>
      <c r="C796" t="s">
        <v>12890</v>
      </c>
      <c r="D796" t="s">
        <v>617</v>
      </c>
      <c r="E796" t="s">
        <v>6053</v>
      </c>
      <c r="F796">
        <v>0.95</v>
      </c>
      <c r="H796" t="s">
        <v>1807</v>
      </c>
      <c r="L796" t="s">
        <v>1433</v>
      </c>
      <c r="M796" t="s">
        <v>1657</v>
      </c>
      <c r="N796" t="s">
        <v>2024</v>
      </c>
      <c r="O796">
        <v>15</v>
      </c>
    </row>
    <row r="797" spans="2:15" x14ac:dyDescent="0.2">
      <c r="B797" t="s">
        <v>1433</v>
      </c>
      <c r="C797" t="s">
        <v>12890</v>
      </c>
      <c r="D797" t="s">
        <v>617</v>
      </c>
      <c r="E797" t="s">
        <v>6054</v>
      </c>
      <c r="F797">
        <v>19.13</v>
      </c>
      <c r="H797" t="s">
        <v>1916</v>
      </c>
      <c r="L797" t="s">
        <v>1433</v>
      </c>
      <c r="M797" t="s">
        <v>1658</v>
      </c>
      <c r="N797" t="s">
        <v>2024</v>
      </c>
      <c r="O797">
        <v>10</v>
      </c>
    </row>
    <row r="798" spans="2:15" x14ac:dyDescent="0.2">
      <c r="B798" t="s">
        <v>1433</v>
      </c>
      <c r="C798" t="s">
        <v>12890</v>
      </c>
      <c r="D798" t="s">
        <v>617</v>
      </c>
      <c r="E798" t="s">
        <v>6055</v>
      </c>
      <c r="F798">
        <v>22</v>
      </c>
      <c r="H798" t="s">
        <v>1925</v>
      </c>
      <c r="L798" t="s">
        <v>1433</v>
      </c>
      <c r="M798" t="s">
        <v>2046</v>
      </c>
      <c r="N798" t="s">
        <v>2024</v>
      </c>
      <c r="O798">
        <v>20</v>
      </c>
    </row>
    <row r="799" spans="2:15" x14ac:dyDescent="0.2">
      <c r="B799" t="s">
        <v>1433</v>
      </c>
      <c r="C799" t="s">
        <v>12890</v>
      </c>
      <c r="D799" t="s">
        <v>617</v>
      </c>
      <c r="E799" t="s">
        <v>6056</v>
      </c>
      <c r="F799">
        <v>5940.66</v>
      </c>
      <c r="H799" t="s">
        <v>1911</v>
      </c>
      <c r="L799" t="s">
        <v>1433</v>
      </c>
      <c r="M799" t="s">
        <v>1847</v>
      </c>
      <c r="N799" t="s">
        <v>2024</v>
      </c>
      <c r="O799">
        <v>10</v>
      </c>
    </row>
    <row r="800" spans="2:15" x14ac:dyDescent="0.2">
      <c r="B800" t="s">
        <v>1433</v>
      </c>
      <c r="C800" t="s">
        <v>12890</v>
      </c>
      <c r="D800" t="s">
        <v>617</v>
      </c>
      <c r="E800" t="s">
        <v>6057</v>
      </c>
      <c r="F800">
        <v>1488</v>
      </c>
      <c r="H800" t="s">
        <v>1864</v>
      </c>
      <c r="L800" t="s">
        <v>1433</v>
      </c>
      <c r="M800" t="s">
        <v>2047</v>
      </c>
      <c r="N800" t="s">
        <v>2024</v>
      </c>
      <c r="O800">
        <v>15</v>
      </c>
    </row>
    <row r="801" spans="2:15" x14ac:dyDescent="0.2">
      <c r="B801" t="s">
        <v>1433</v>
      </c>
      <c r="C801" t="s">
        <v>12890</v>
      </c>
      <c r="D801" t="s">
        <v>617</v>
      </c>
      <c r="E801" t="s">
        <v>6058</v>
      </c>
      <c r="F801">
        <v>1272</v>
      </c>
      <c r="H801" t="s">
        <v>1866</v>
      </c>
      <c r="L801" t="s">
        <v>1433</v>
      </c>
      <c r="M801" t="s">
        <v>2048</v>
      </c>
      <c r="N801" t="s">
        <v>2024</v>
      </c>
      <c r="O801">
        <v>12</v>
      </c>
    </row>
    <row r="802" spans="2:15" x14ac:dyDescent="0.2">
      <c r="B802" t="s">
        <v>1433</v>
      </c>
      <c r="C802" t="s">
        <v>12890</v>
      </c>
      <c r="D802" t="s">
        <v>617</v>
      </c>
      <c r="E802" t="s">
        <v>6059</v>
      </c>
      <c r="F802">
        <v>720</v>
      </c>
      <c r="H802" t="s">
        <v>1867</v>
      </c>
      <c r="L802" t="s">
        <v>1433</v>
      </c>
      <c r="M802" t="s">
        <v>2049</v>
      </c>
      <c r="N802" t="s">
        <v>2024</v>
      </c>
      <c r="O802">
        <v>12</v>
      </c>
    </row>
    <row r="803" spans="2:15" x14ac:dyDescent="0.2">
      <c r="B803" t="s">
        <v>1433</v>
      </c>
      <c r="C803" t="s">
        <v>12890</v>
      </c>
      <c r="D803" t="s">
        <v>617</v>
      </c>
      <c r="E803" t="s">
        <v>6060</v>
      </c>
      <c r="F803">
        <v>202.69</v>
      </c>
      <c r="H803" t="s">
        <v>1909</v>
      </c>
      <c r="L803" t="s">
        <v>1433</v>
      </c>
      <c r="M803" t="s">
        <v>2050</v>
      </c>
      <c r="N803" t="s">
        <v>2024</v>
      </c>
      <c r="O803">
        <v>12</v>
      </c>
    </row>
    <row r="804" spans="2:15" x14ac:dyDescent="0.2">
      <c r="B804" t="s">
        <v>1433</v>
      </c>
      <c r="C804" t="s">
        <v>12890</v>
      </c>
      <c r="D804" t="s">
        <v>617</v>
      </c>
      <c r="E804" t="s">
        <v>6072</v>
      </c>
      <c r="F804">
        <v>232.2</v>
      </c>
      <c r="H804" t="s">
        <v>1917</v>
      </c>
      <c r="L804" t="s">
        <v>1433</v>
      </c>
      <c r="M804" t="s">
        <v>1792</v>
      </c>
      <c r="N804" t="s">
        <v>2051</v>
      </c>
      <c r="O804">
        <v>60</v>
      </c>
    </row>
    <row r="805" spans="2:15" x14ac:dyDescent="0.2">
      <c r="B805" t="s">
        <v>1433</v>
      </c>
      <c r="C805" t="s">
        <v>12890</v>
      </c>
      <c r="D805" t="s">
        <v>617</v>
      </c>
      <c r="E805" t="s">
        <v>6073</v>
      </c>
      <c r="F805">
        <v>10.199999999999999</v>
      </c>
      <c r="H805" t="s">
        <v>1806</v>
      </c>
      <c r="L805" t="s">
        <v>1433</v>
      </c>
      <c r="M805" t="s">
        <v>1799</v>
      </c>
      <c r="N805" t="s">
        <v>2051</v>
      </c>
      <c r="O805">
        <v>100</v>
      </c>
    </row>
    <row r="806" spans="2:15" x14ac:dyDescent="0.2">
      <c r="B806" t="s">
        <v>1433</v>
      </c>
      <c r="C806" t="s">
        <v>12890</v>
      </c>
      <c r="D806" t="s">
        <v>617</v>
      </c>
      <c r="E806" t="s">
        <v>6074</v>
      </c>
      <c r="F806">
        <v>37.18</v>
      </c>
      <c r="H806" t="s">
        <v>1918</v>
      </c>
      <c r="L806" t="s">
        <v>1433</v>
      </c>
      <c r="M806" t="s">
        <v>1800</v>
      </c>
      <c r="N806" t="s">
        <v>2051</v>
      </c>
      <c r="O806">
        <v>100</v>
      </c>
    </row>
    <row r="807" spans="2:15" x14ac:dyDescent="0.2">
      <c r="B807" t="s">
        <v>1433</v>
      </c>
      <c r="C807" t="s">
        <v>12890</v>
      </c>
      <c r="D807" t="s">
        <v>617</v>
      </c>
      <c r="E807" t="s">
        <v>6075</v>
      </c>
      <c r="F807">
        <v>14.87</v>
      </c>
      <c r="H807" t="s">
        <v>1918</v>
      </c>
      <c r="L807" t="s">
        <v>1433</v>
      </c>
      <c r="M807" t="s">
        <v>2052</v>
      </c>
      <c r="N807" t="s">
        <v>2051</v>
      </c>
      <c r="O807">
        <v>10</v>
      </c>
    </row>
    <row r="808" spans="2:15" x14ac:dyDescent="0.2">
      <c r="B808" t="s">
        <v>1433</v>
      </c>
      <c r="C808" t="s">
        <v>12890</v>
      </c>
      <c r="D808" t="s">
        <v>617</v>
      </c>
      <c r="E808" t="s">
        <v>6076</v>
      </c>
      <c r="F808">
        <v>223.08</v>
      </c>
      <c r="H808" t="s">
        <v>1918</v>
      </c>
      <c r="L808" t="s">
        <v>1433</v>
      </c>
      <c r="M808" t="s">
        <v>2053</v>
      </c>
      <c r="N808" t="s">
        <v>2051</v>
      </c>
      <c r="O808">
        <v>50</v>
      </c>
    </row>
    <row r="809" spans="2:15" x14ac:dyDescent="0.2">
      <c r="B809" t="s">
        <v>1433</v>
      </c>
      <c r="C809" t="s">
        <v>12890</v>
      </c>
      <c r="D809" t="s">
        <v>617</v>
      </c>
      <c r="E809" t="s">
        <v>6077</v>
      </c>
      <c r="F809">
        <v>50.07</v>
      </c>
      <c r="H809" t="s">
        <v>2067</v>
      </c>
      <c r="L809" t="s">
        <v>1433</v>
      </c>
      <c r="M809" t="s">
        <v>1790</v>
      </c>
      <c r="N809" t="s">
        <v>2054</v>
      </c>
      <c r="O809">
        <v>60</v>
      </c>
    </row>
    <row r="810" spans="2:15" x14ac:dyDescent="0.2">
      <c r="B810" t="s">
        <v>1433</v>
      </c>
      <c r="C810" t="s">
        <v>12890</v>
      </c>
      <c r="D810" t="s">
        <v>617</v>
      </c>
      <c r="E810" t="s">
        <v>6078</v>
      </c>
      <c r="F810">
        <v>10.01</v>
      </c>
      <c r="H810" t="s">
        <v>1919</v>
      </c>
      <c r="L810" t="s">
        <v>1433</v>
      </c>
      <c r="M810" t="s">
        <v>1794</v>
      </c>
      <c r="N810" t="s">
        <v>2054</v>
      </c>
      <c r="O810">
        <v>150</v>
      </c>
    </row>
    <row r="811" spans="2:15" x14ac:dyDescent="0.2">
      <c r="B811" t="s">
        <v>1433</v>
      </c>
      <c r="C811" t="s">
        <v>12890</v>
      </c>
      <c r="D811" t="s">
        <v>617</v>
      </c>
      <c r="E811" t="s">
        <v>6079</v>
      </c>
      <c r="F811">
        <v>45.75</v>
      </c>
      <c r="H811" t="s">
        <v>1963</v>
      </c>
      <c r="L811" t="s">
        <v>1433</v>
      </c>
      <c r="M811" t="s">
        <v>1796</v>
      </c>
      <c r="N811" t="s">
        <v>2054</v>
      </c>
      <c r="O811">
        <v>150</v>
      </c>
    </row>
    <row r="812" spans="2:15" x14ac:dyDescent="0.2">
      <c r="B812" t="s">
        <v>1433</v>
      </c>
      <c r="C812" t="s">
        <v>12890</v>
      </c>
      <c r="D812" t="s">
        <v>617</v>
      </c>
      <c r="E812" t="s">
        <v>6090</v>
      </c>
      <c r="F812">
        <v>125.28</v>
      </c>
      <c r="H812" t="s">
        <v>1793</v>
      </c>
      <c r="L812" t="s">
        <v>1433</v>
      </c>
      <c r="M812" t="s">
        <v>1797</v>
      </c>
      <c r="N812" t="s">
        <v>2054</v>
      </c>
      <c r="O812">
        <v>80</v>
      </c>
    </row>
    <row r="813" spans="2:15" x14ac:dyDescent="0.2">
      <c r="B813" t="s">
        <v>1433</v>
      </c>
      <c r="C813" t="s">
        <v>12890</v>
      </c>
      <c r="D813" t="s">
        <v>617</v>
      </c>
      <c r="E813" t="s">
        <v>6091</v>
      </c>
      <c r="F813">
        <v>70.47</v>
      </c>
      <c r="H813" t="s">
        <v>1793</v>
      </c>
      <c r="L813" t="s">
        <v>1433</v>
      </c>
      <c r="M813" t="s">
        <v>1798</v>
      </c>
      <c r="N813" t="s">
        <v>2054</v>
      </c>
      <c r="O813">
        <v>80</v>
      </c>
    </row>
    <row r="814" spans="2:15" x14ac:dyDescent="0.2">
      <c r="B814" t="s">
        <v>1433</v>
      </c>
      <c r="C814" t="s">
        <v>12890</v>
      </c>
      <c r="D814" t="s">
        <v>617</v>
      </c>
      <c r="E814" t="s">
        <v>6092</v>
      </c>
      <c r="F814">
        <v>391.5</v>
      </c>
      <c r="H814" t="s">
        <v>1793</v>
      </c>
      <c r="L814" t="s">
        <v>1433</v>
      </c>
      <c r="M814" t="s">
        <v>1793</v>
      </c>
      <c r="N814" t="s">
        <v>2055</v>
      </c>
      <c r="O814">
        <v>80</v>
      </c>
    </row>
    <row r="815" spans="2:15" x14ac:dyDescent="0.2">
      <c r="B815" t="s">
        <v>1433</v>
      </c>
      <c r="C815" t="s">
        <v>12890</v>
      </c>
      <c r="D815" t="s">
        <v>617</v>
      </c>
      <c r="E815" t="s">
        <v>6093</v>
      </c>
      <c r="F815">
        <v>39.15</v>
      </c>
      <c r="H815" t="s">
        <v>1793</v>
      </c>
      <c r="L815" t="s">
        <v>1433</v>
      </c>
      <c r="M815" t="s">
        <v>1795</v>
      </c>
      <c r="N815" t="s">
        <v>2055</v>
      </c>
      <c r="O815">
        <v>80</v>
      </c>
    </row>
    <row r="816" spans="2:15" x14ac:dyDescent="0.2">
      <c r="B816" t="s">
        <v>1433</v>
      </c>
      <c r="C816" t="s">
        <v>12890</v>
      </c>
      <c r="D816" t="s">
        <v>617</v>
      </c>
      <c r="E816" t="s">
        <v>6094</v>
      </c>
      <c r="F816">
        <v>60.6</v>
      </c>
      <c r="H816" t="s">
        <v>1795</v>
      </c>
      <c r="L816" t="s">
        <v>1433</v>
      </c>
      <c r="M816" t="s">
        <v>1797</v>
      </c>
      <c r="N816" t="s">
        <v>2055</v>
      </c>
      <c r="O816">
        <v>80</v>
      </c>
    </row>
    <row r="817" spans="2:15" x14ac:dyDescent="0.2">
      <c r="B817" t="s">
        <v>1433</v>
      </c>
      <c r="C817" t="s">
        <v>12890</v>
      </c>
      <c r="D817" t="s">
        <v>617</v>
      </c>
      <c r="E817" t="s">
        <v>6095</v>
      </c>
      <c r="F817">
        <v>90.9</v>
      </c>
      <c r="H817" t="s">
        <v>1795</v>
      </c>
      <c r="L817" t="s">
        <v>1433</v>
      </c>
      <c r="M817" t="s">
        <v>1798</v>
      </c>
      <c r="N817" t="s">
        <v>2055</v>
      </c>
      <c r="O817">
        <v>80</v>
      </c>
    </row>
    <row r="818" spans="2:15" x14ac:dyDescent="0.2">
      <c r="B818" t="s">
        <v>1433</v>
      </c>
      <c r="C818" t="s">
        <v>12890</v>
      </c>
      <c r="D818" t="s">
        <v>617</v>
      </c>
      <c r="E818" t="s">
        <v>6096</v>
      </c>
      <c r="F818">
        <v>303</v>
      </c>
      <c r="H818" t="s">
        <v>1795</v>
      </c>
      <c r="L818" t="s">
        <v>1433</v>
      </c>
      <c r="M818" t="s">
        <v>1330</v>
      </c>
      <c r="N818" t="s">
        <v>2056</v>
      </c>
      <c r="O818">
        <v>8</v>
      </c>
    </row>
    <row r="819" spans="2:15" x14ac:dyDescent="0.2">
      <c r="B819" t="s">
        <v>1433</v>
      </c>
      <c r="C819" t="s">
        <v>12890</v>
      </c>
      <c r="D819" t="s">
        <v>617</v>
      </c>
      <c r="E819" t="s">
        <v>6097</v>
      </c>
      <c r="F819">
        <v>30.3</v>
      </c>
      <c r="H819" t="s">
        <v>1795</v>
      </c>
      <c r="L819" t="s">
        <v>1433</v>
      </c>
      <c r="M819" t="s">
        <v>2057</v>
      </c>
      <c r="N819" t="s">
        <v>2058</v>
      </c>
      <c r="O819">
        <v>12</v>
      </c>
    </row>
    <row r="820" spans="2:15" x14ac:dyDescent="0.2">
      <c r="B820" t="s">
        <v>1433</v>
      </c>
      <c r="C820" t="s">
        <v>12890</v>
      </c>
      <c r="D820" t="s">
        <v>617</v>
      </c>
      <c r="E820" t="s">
        <v>6098</v>
      </c>
      <c r="F820">
        <v>277</v>
      </c>
      <c r="H820" t="s">
        <v>1797</v>
      </c>
      <c r="L820" t="s">
        <v>1433</v>
      </c>
      <c r="M820" t="s">
        <v>1483</v>
      </c>
      <c r="N820" t="s">
        <v>2058</v>
      </c>
      <c r="O820">
        <v>12</v>
      </c>
    </row>
    <row r="821" spans="2:15" x14ac:dyDescent="0.2">
      <c r="B821" t="s">
        <v>1433</v>
      </c>
      <c r="C821" t="s">
        <v>12890</v>
      </c>
      <c r="D821" t="s">
        <v>617</v>
      </c>
      <c r="E821" t="s">
        <v>6099</v>
      </c>
      <c r="F821">
        <v>454.28</v>
      </c>
      <c r="H821" t="s">
        <v>1797</v>
      </c>
      <c r="L821" t="s">
        <v>1433</v>
      </c>
      <c r="M821" t="s">
        <v>1484</v>
      </c>
      <c r="N821" t="s">
        <v>2058</v>
      </c>
      <c r="O821">
        <v>22</v>
      </c>
    </row>
    <row r="822" spans="2:15" x14ac:dyDescent="0.2">
      <c r="B822" t="s">
        <v>1433</v>
      </c>
      <c r="C822" t="s">
        <v>12890</v>
      </c>
      <c r="D822" t="s">
        <v>617</v>
      </c>
      <c r="E822" t="s">
        <v>6100</v>
      </c>
      <c r="F822">
        <v>260.75</v>
      </c>
      <c r="H822" t="s">
        <v>1798</v>
      </c>
      <c r="L822" t="s">
        <v>1433</v>
      </c>
      <c r="M822" t="s">
        <v>2059</v>
      </c>
      <c r="N822" t="s">
        <v>2058</v>
      </c>
      <c r="O822">
        <v>10</v>
      </c>
    </row>
    <row r="823" spans="2:15" x14ac:dyDescent="0.2">
      <c r="B823" t="s">
        <v>1433</v>
      </c>
      <c r="C823" t="s">
        <v>12890</v>
      </c>
      <c r="D823" t="s">
        <v>617</v>
      </c>
      <c r="E823" t="s">
        <v>6101</v>
      </c>
      <c r="F823">
        <v>573.65</v>
      </c>
      <c r="H823" t="s">
        <v>1798</v>
      </c>
      <c r="L823" t="s">
        <v>1433</v>
      </c>
      <c r="M823" t="s">
        <v>2060</v>
      </c>
      <c r="N823" t="s">
        <v>2058</v>
      </c>
      <c r="O823">
        <v>12</v>
      </c>
    </row>
    <row r="824" spans="2:15" x14ac:dyDescent="0.2">
      <c r="B824" t="s">
        <v>1433</v>
      </c>
      <c r="C824" t="s">
        <v>12890</v>
      </c>
      <c r="D824" t="s">
        <v>617</v>
      </c>
      <c r="E824" t="s">
        <v>6102</v>
      </c>
      <c r="F824">
        <v>18.04</v>
      </c>
      <c r="H824" t="s">
        <v>6103</v>
      </c>
      <c r="L824" t="s">
        <v>1433</v>
      </c>
      <c r="M824" t="s">
        <v>2061</v>
      </c>
      <c r="N824" t="s">
        <v>2058</v>
      </c>
      <c r="O824">
        <v>12</v>
      </c>
    </row>
    <row r="825" spans="2:15" x14ac:dyDescent="0.2">
      <c r="B825" t="s">
        <v>1433</v>
      </c>
      <c r="C825" t="s">
        <v>12890</v>
      </c>
      <c r="D825" t="s">
        <v>617</v>
      </c>
      <c r="E825" t="s">
        <v>6104</v>
      </c>
      <c r="F825">
        <v>22</v>
      </c>
      <c r="H825" t="s">
        <v>6105</v>
      </c>
      <c r="L825" t="s">
        <v>1433</v>
      </c>
      <c r="M825" t="s">
        <v>1938</v>
      </c>
      <c r="N825" t="s">
        <v>2062</v>
      </c>
      <c r="O825">
        <v>1</v>
      </c>
    </row>
    <row r="826" spans="2:15" x14ac:dyDescent="0.2">
      <c r="B826" t="s">
        <v>1433</v>
      </c>
      <c r="C826" t="s">
        <v>12890</v>
      </c>
      <c r="D826" t="s">
        <v>617</v>
      </c>
      <c r="E826" t="s">
        <v>6106</v>
      </c>
      <c r="F826">
        <v>8.1</v>
      </c>
      <c r="H826" t="s">
        <v>6107</v>
      </c>
      <c r="L826" t="s">
        <v>1433</v>
      </c>
      <c r="M826" t="s">
        <v>1939</v>
      </c>
      <c r="N826" t="s">
        <v>2062</v>
      </c>
      <c r="O826">
        <v>1</v>
      </c>
    </row>
    <row r="827" spans="2:15" x14ac:dyDescent="0.2">
      <c r="B827" t="s">
        <v>1433</v>
      </c>
      <c r="C827" t="s">
        <v>12890</v>
      </c>
      <c r="D827" t="s">
        <v>617</v>
      </c>
      <c r="E827" t="s">
        <v>6109</v>
      </c>
      <c r="F827">
        <v>286.44</v>
      </c>
      <c r="H827" t="s">
        <v>1809</v>
      </c>
      <c r="L827" t="s">
        <v>1433</v>
      </c>
      <c r="M827" t="s">
        <v>1517</v>
      </c>
      <c r="N827" t="s">
        <v>2063</v>
      </c>
      <c r="O827">
        <v>122</v>
      </c>
    </row>
    <row r="828" spans="2:15" x14ac:dyDescent="0.2">
      <c r="B828" t="s">
        <v>1433</v>
      </c>
      <c r="C828" t="s">
        <v>12890</v>
      </c>
      <c r="D828" t="s">
        <v>617</v>
      </c>
      <c r="E828" t="s">
        <v>6110</v>
      </c>
      <c r="F828">
        <v>198.29</v>
      </c>
      <c r="H828" t="s">
        <v>1811</v>
      </c>
      <c r="L828" t="s">
        <v>1433</v>
      </c>
      <c r="M828" t="s">
        <v>1701</v>
      </c>
      <c r="N828" t="s">
        <v>2063</v>
      </c>
      <c r="O828">
        <v>2</v>
      </c>
    </row>
    <row r="829" spans="2:15" x14ac:dyDescent="0.2">
      <c r="B829" t="s">
        <v>1433</v>
      </c>
      <c r="C829" t="s">
        <v>12890</v>
      </c>
      <c r="D829" t="s">
        <v>617</v>
      </c>
      <c r="E829" t="s">
        <v>6111</v>
      </c>
      <c r="F829">
        <v>-198.29</v>
      </c>
      <c r="H829" t="s">
        <v>1811</v>
      </c>
      <c r="L829" t="s">
        <v>1433</v>
      </c>
      <c r="M829" t="s">
        <v>1514</v>
      </c>
      <c r="N829" t="s">
        <v>2063</v>
      </c>
      <c r="O829">
        <v>37</v>
      </c>
    </row>
    <row r="830" spans="2:15" x14ac:dyDescent="0.2">
      <c r="B830" t="s">
        <v>1433</v>
      </c>
      <c r="C830" t="s">
        <v>12890</v>
      </c>
      <c r="D830" t="s">
        <v>617</v>
      </c>
      <c r="E830" t="s">
        <v>6112</v>
      </c>
      <c r="F830">
        <v>198.29</v>
      </c>
      <c r="H830" t="s">
        <v>1811</v>
      </c>
      <c r="L830" t="s">
        <v>1433</v>
      </c>
      <c r="M830" t="s">
        <v>1516</v>
      </c>
      <c r="N830" t="s">
        <v>2063</v>
      </c>
      <c r="O830">
        <v>43</v>
      </c>
    </row>
    <row r="831" spans="2:15" x14ac:dyDescent="0.2">
      <c r="B831" t="s">
        <v>1433</v>
      </c>
      <c r="C831" t="s">
        <v>12890</v>
      </c>
      <c r="D831" t="s">
        <v>617</v>
      </c>
      <c r="E831" t="s">
        <v>6113</v>
      </c>
      <c r="F831">
        <v>84.98</v>
      </c>
      <c r="H831" t="s">
        <v>1811</v>
      </c>
      <c r="L831" t="s">
        <v>1433</v>
      </c>
      <c r="M831" t="s">
        <v>1557</v>
      </c>
      <c r="N831" t="s">
        <v>2063</v>
      </c>
      <c r="O831">
        <v>20</v>
      </c>
    </row>
    <row r="832" spans="2:15" x14ac:dyDescent="0.2">
      <c r="B832" t="s">
        <v>1433</v>
      </c>
      <c r="C832" t="s">
        <v>12890</v>
      </c>
      <c r="D832" t="s">
        <v>617</v>
      </c>
      <c r="E832" t="s">
        <v>6114</v>
      </c>
      <c r="F832">
        <v>25.56</v>
      </c>
      <c r="H832" t="s">
        <v>1794</v>
      </c>
      <c r="L832" t="s">
        <v>1433</v>
      </c>
      <c r="M832" t="s">
        <v>1558</v>
      </c>
      <c r="N832" t="s">
        <v>2063</v>
      </c>
      <c r="O832">
        <v>20</v>
      </c>
    </row>
    <row r="833" spans="2:15" x14ac:dyDescent="0.2">
      <c r="B833" t="s">
        <v>1433</v>
      </c>
      <c r="C833" t="s">
        <v>12890</v>
      </c>
      <c r="D833" t="s">
        <v>617</v>
      </c>
      <c r="E833" t="s">
        <v>6115</v>
      </c>
      <c r="F833">
        <v>18.36</v>
      </c>
      <c r="H833" t="s">
        <v>1796</v>
      </c>
      <c r="L833" t="s">
        <v>1433</v>
      </c>
      <c r="M833" t="s">
        <v>1577</v>
      </c>
      <c r="N833" t="s">
        <v>2063</v>
      </c>
      <c r="O833">
        <v>80</v>
      </c>
    </row>
    <row r="834" spans="2:15" x14ac:dyDescent="0.2">
      <c r="B834" t="s">
        <v>1433</v>
      </c>
      <c r="C834" t="s">
        <v>12890</v>
      </c>
      <c r="D834" t="s">
        <v>617</v>
      </c>
      <c r="E834" t="s">
        <v>6116</v>
      </c>
      <c r="F834">
        <v>726.4</v>
      </c>
      <c r="H834" t="s">
        <v>1842</v>
      </c>
      <c r="L834" t="s">
        <v>1433</v>
      </c>
      <c r="M834" t="s">
        <v>1927</v>
      </c>
      <c r="N834" t="s">
        <v>2063</v>
      </c>
      <c r="O834">
        <v>7</v>
      </c>
    </row>
    <row r="835" spans="2:15" x14ac:dyDescent="0.2">
      <c r="B835" t="s">
        <v>1433</v>
      </c>
      <c r="C835" t="s">
        <v>12890</v>
      </c>
      <c r="D835" t="s">
        <v>617</v>
      </c>
      <c r="E835" t="s">
        <v>6117</v>
      </c>
      <c r="F835">
        <v>12.8</v>
      </c>
      <c r="H835" t="s">
        <v>1843</v>
      </c>
      <c r="L835" t="s">
        <v>1433</v>
      </c>
      <c r="M835" t="s">
        <v>1929</v>
      </c>
      <c r="N835" t="s">
        <v>2063</v>
      </c>
      <c r="O835">
        <v>7</v>
      </c>
    </row>
    <row r="836" spans="2:15" x14ac:dyDescent="0.2">
      <c r="B836" t="s">
        <v>1433</v>
      </c>
      <c r="C836" t="s">
        <v>12890</v>
      </c>
      <c r="D836" t="s">
        <v>617</v>
      </c>
      <c r="E836" t="s">
        <v>6118</v>
      </c>
      <c r="F836">
        <v>12.8</v>
      </c>
      <c r="H836" t="s">
        <v>1843</v>
      </c>
      <c r="L836" t="s">
        <v>1433</v>
      </c>
      <c r="M836" t="s">
        <v>1917</v>
      </c>
      <c r="N836" t="s">
        <v>2064</v>
      </c>
      <c r="O836">
        <v>390</v>
      </c>
    </row>
    <row r="837" spans="2:15" x14ac:dyDescent="0.2">
      <c r="B837" t="s">
        <v>1433</v>
      </c>
      <c r="C837" t="s">
        <v>12890</v>
      </c>
      <c r="D837" t="s">
        <v>617</v>
      </c>
      <c r="E837" t="s">
        <v>6119</v>
      </c>
      <c r="F837">
        <v>59.36</v>
      </c>
      <c r="H837" t="s">
        <v>1843</v>
      </c>
      <c r="L837" t="s">
        <v>1433</v>
      </c>
      <c r="M837" t="s">
        <v>2065</v>
      </c>
      <c r="N837" t="s">
        <v>2064</v>
      </c>
      <c r="O837">
        <v>24</v>
      </c>
    </row>
    <row r="838" spans="2:15" x14ac:dyDescent="0.2">
      <c r="B838" t="s">
        <v>1433</v>
      </c>
      <c r="C838" t="s">
        <v>12890</v>
      </c>
      <c r="D838" t="s">
        <v>617</v>
      </c>
      <c r="E838" t="s">
        <v>6120</v>
      </c>
      <c r="F838">
        <v>59.36</v>
      </c>
      <c r="H838" t="s">
        <v>1843</v>
      </c>
      <c r="L838" t="s">
        <v>1433</v>
      </c>
      <c r="M838" t="s">
        <v>1806</v>
      </c>
      <c r="N838" t="s">
        <v>2064</v>
      </c>
      <c r="O838">
        <v>225</v>
      </c>
    </row>
    <row r="839" spans="2:15" x14ac:dyDescent="0.2">
      <c r="B839" t="s">
        <v>1433</v>
      </c>
      <c r="C839" t="s">
        <v>12890</v>
      </c>
      <c r="D839" t="s">
        <v>617</v>
      </c>
      <c r="E839" t="s">
        <v>6121</v>
      </c>
      <c r="F839">
        <v>116.55</v>
      </c>
      <c r="G839" t="s">
        <v>2410</v>
      </c>
      <c r="L839" t="s">
        <v>1433</v>
      </c>
      <c r="M839" t="s">
        <v>1918</v>
      </c>
      <c r="N839" t="s">
        <v>2064</v>
      </c>
      <c r="O839">
        <v>4240</v>
      </c>
    </row>
    <row r="840" spans="2:15" x14ac:dyDescent="0.2">
      <c r="B840" t="s">
        <v>1433</v>
      </c>
      <c r="C840" t="s">
        <v>12890</v>
      </c>
      <c r="D840" t="s">
        <v>1162</v>
      </c>
      <c r="E840" t="s">
        <v>6122</v>
      </c>
      <c r="F840">
        <v>19722.5</v>
      </c>
      <c r="G840" t="s">
        <v>1270</v>
      </c>
      <c r="L840" t="s">
        <v>1433</v>
      </c>
      <c r="M840" t="s">
        <v>2066</v>
      </c>
      <c r="N840" t="s">
        <v>2064</v>
      </c>
      <c r="O840">
        <v>10</v>
      </c>
    </row>
    <row r="841" spans="2:15" x14ac:dyDescent="0.2">
      <c r="B841" t="s">
        <v>1433</v>
      </c>
      <c r="C841" t="s">
        <v>12890</v>
      </c>
      <c r="D841" t="s">
        <v>617</v>
      </c>
      <c r="E841" t="s">
        <v>6132</v>
      </c>
      <c r="F841">
        <v>726.4</v>
      </c>
      <c r="H841" t="s">
        <v>1842</v>
      </c>
      <c r="L841" t="s">
        <v>1433</v>
      </c>
      <c r="M841" t="s">
        <v>2067</v>
      </c>
      <c r="N841" t="s">
        <v>2064</v>
      </c>
      <c r="O841">
        <v>250</v>
      </c>
    </row>
    <row r="842" spans="2:15" x14ac:dyDescent="0.2">
      <c r="B842" t="s">
        <v>1433</v>
      </c>
      <c r="C842" t="s">
        <v>12890</v>
      </c>
      <c r="D842" t="s">
        <v>617</v>
      </c>
      <c r="E842" t="s">
        <v>6133</v>
      </c>
      <c r="F842">
        <v>12.8</v>
      </c>
      <c r="H842" t="s">
        <v>1843</v>
      </c>
      <c r="L842" t="s">
        <v>1433</v>
      </c>
      <c r="M842" t="s">
        <v>1919</v>
      </c>
      <c r="N842" t="s">
        <v>2064</v>
      </c>
      <c r="O842">
        <v>312</v>
      </c>
    </row>
    <row r="843" spans="2:15" x14ac:dyDescent="0.2">
      <c r="B843" t="s">
        <v>1433</v>
      </c>
      <c r="C843" t="s">
        <v>12890</v>
      </c>
      <c r="D843" t="s">
        <v>617</v>
      </c>
      <c r="E843" t="s">
        <v>6134</v>
      </c>
      <c r="F843">
        <v>12.8</v>
      </c>
      <c r="H843" t="s">
        <v>1843</v>
      </c>
      <c r="L843" t="s">
        <v>1433</v>
      </c>
      <c r="M843" t="s">
        <v>1807</v>
      </c>
      <c r="N843" t="s">
        <v>2064</v>
      </c>
      <c r="O843">
        <v>20</v>
      </c>
    </row>
    <row r="844" spans="2:15" x14ac:dyDescent="0.2">
      <c r="B844" t="s">
        <v>1433</v>
      </c>
      <c r="C844" t="s">
        <v>12890</v>
      </c>
      <c r="D844" t="s">
        <v>617</v>
      </c>
      <c r="E844" t="s">
        <v>6135</v>
      </c>
      <c r="F844">
        <v>59.36</v>
      </c>
      <c r="H844" t="s">
        <v>1843</v>
      </c>
      <c r="L844" t="s">
        <v>1433</v>
      </c>
      <c r="M844" t="s">
        <v>2068</v>
      </c>
      <c r="N844" t="s">
        <v>2064</v>
      </c>
      <c r="O844">
        <v>100</v>
      </c>
    </row>
    <row r="845" spans="2:15" x14ac:dyDescent="0.2">
      <c r="B845" t="s">
        <v>1433</v>
      </c>
      <c r="C845" t="s">
        <v>12890</v>
      </c>
      <c r="D845" t="s">
        <v>617</v>
      </c>
      <c r="E845" t="s">
        <v>6136</v>
      </c>
      <c r="F845">
        <v>89.04</v>
      </c>
      <c r="H845" t="s">
        <v>1843</v>
      </c>
      <c r="L845" t="s">
        <v>1433</v>
      </c>
      <c r="M845" t="s">
        <v>2069</v>
      </c>
      <c r="N845" t="s">
        <v>2064</v>
      </c>
      <c r="O845">
        <v>20</v>
      </c>
    </row>
    <row r="846" spans="2:15" x14ac:dyDescent="0.2">
      <c r="B846" t="s">
        <v>1433</v>
      </c>
      <c r="C846" t="s">
        <v>12890</v>
      </c>
      <c r="D846" t="s">
        <v>617</v>
      </c>
      <c r="E846" t="s">
        <v>6137</v>
      </c>
      <c r="F846">
        <v>25.6</v>
      </c>
      <c r="H846" t="s">
        <v>1843</v>
      </c>
      <c r="L846" t="s">
        <v>1433</v>
      </c>
      <c r="M846" t="s">
        <v>2070</v>
      </c>
      <c r="N846" t="s">
        <v>2064</v>
      </c>
      <c r="O846">
        <v>150</v>
      </c>
    </row>
    <row r="847" spans="2:15" x14ac:dyDescent="0.2">
      <c r="B847" t="s">
        <v>1433</v>
      </c>
      <c r="C847" t="s">
        <v>12890</v>
      </c>
      <c r="D847" t="s">
        <v>617</v>
      </c>
      <c r="E847" t="s">
        <v>6138</v>
      </c>
      <c r="F847">
        <v>902.25</v>
      </c>
      <c r="G847" t="s">
        <v>2038</v>
      </c>
      <c r="L847" t="s">
        <v>1433</v>
      </c>
      <c r="M847" t="s">
        <v>2071</v>
      </c>
      <c r="N847" t="s">
        <v>2064</v>
      </c>
      <c r="O847">
        <v>10</v>
      </c>
    </row>
    <row r="848" spans="2:15" x14ac:dyDescent="0.2">
      <c r="B848" t="s">
        <v>1433</v>
      </c>
      <c r="C848" t="s">
        <v>12890</v>
      </c>
      <c r="D848" t="s">
        <v>617</v>
      </c>
      <c r="E848" t="s">
        <v>6139</v>
      </c>
      <c r="F848">
        <v>2683.23</v>
      </c>
      <c r="G848" t="s">
        <v>2271</v>
      </c>
      <c r="L848" t="s">
        <v>1433</v>
      </c>
      <c r="M848" t="s">
        <v>2072</v>
      </c>
      <c r="N848" t="s">
        <v>2064</v>
      </c>
      <c r="O848">
        <v>10</v>
      </c>
    </row>
    <row r="849" spans="2:15" x14ac:dyDescent="0.2">
      <c r="B849" t="s">
        <v>1433</v>
      </c>
      <c r="C849" t="s">
        <v>12890</v>
      </c>
      <c r="D849" t="s">
        <v>617</v>
      </c>
      <c r="E849" t="s">
        <v>6141</v>
      </c>
      <c r="F849">
        <v>23.2</v>
      </c>
      <c r="H849" t="s">
        <v>2398</v>
      </c>
      <c r="L849" t="s">
        <v>1433</v>
      </c>
      <c r="M849" t="s">
        <v>1808</v>
      </c>
      <c r="N849" t="s">
        <v>2064</v>
      </c>
      <c r="O849">
        <v>160</v>
      </c>
    </row>
    <row r="850" spans="2:15" x14ac:dyDescent="0.2">
      <c r="B850" t="s">
        <v>1433</v>
      </c>
      <c r="C850" t="s">
        <v>12890</v>
      </c>
      <c r="D850" t="s">
        <v>617</v>
      </c>
      <c r="E850" t="s">
        <v>6142</v>
      </c>
      <c r="F850">
        <v>48.4</v>
      </c>
      <c r="H850" t="s">
        <v>2400</v>
      </c>
      <c r="L850" t="s">
        <v>1433</v>
      </c>
      <c r="M850" t="s">
        <v>1913</v>
      </c>
      <c r="N850" t="s">
        <v>2064</v>
      </c>
      <c r="O850">
        <v>40</v>
      </c>
    </row>
    <row r="851" spans="2:15" x14ac:dyDescent="0.2">
      <c r="B851" t="s">
        <v>1433</v>
      </c>
      <c r="C851" t="s">
        <v>12890</v>
      </c>
      <c r="D851" t="s">
        <v>617</v>
      </c>
      <c r="E851" t="s">
        <v>6143</v>
      </c>
      <c r="F851">
        <v>24.2</v>
      </c>
      <c r="H851" t="s">
        <v>2401</v>
      </c>
      <c r="L851" t="s">
        <v>1433</v>
      </c>
      <c r="M851" t="s">
        <v>2073</v>
      </c>
      <c r="N851" t="s">
        <v>2064</v>
      </c>
      <c r="O851">
        <v>20</v>
      </c>
    </row>
    <row r="852" spans="2:15" x14ac:dyDescent="0.2">
      <c r="B852" t="s">
        <v>1433</v>
      </c>
      <c r="C852" t="s">
        <v>12890</v>
      </c>
      <c r="D852" t="s">
        <v>617</v>
      </c>
      <c r="E852" t="s">
        <v>6144</v>
      </c>
      <c r="F852">
        <v>162.19999999999999</v>
      </c>
      <c r="H852" t="s">
        <v>2402</v>
      </c>
      <c r="L852" t="s">
        <v>1433</v>
      </c>
      <c r="M852" t="s">
        <v>2074</v>
      </c>
      <c r="N852" t="s">
        <v>2064</v>
      </c>
      <c r="O852">
        <v>40</v>
      </c>
    </row>
    <row r="853" spans="2:15" x14ac:dyDescent="0.2">
      <c r="B853" t="s">
        <v>1433</v>
      </c>
      <c r="C853" t="s">
        <v>12890</v>
      </c>
      <c r="D853" t="s">
        <v>617</v>
      </c>
      <c r="E853" t="s">
        <v>6156</v>
      </c>
      <c r="F853">
        <v>11.04</v>
      </c>
      <c r="H853" t="s">
        <v>2459</v>
      </c>
      <c r="L853" t="s">
        <v>1433</v>
      </c>
      <c r="M853" t="s">
        <v>2075</v>
      </c>
      <c r="N853" t="s">
        <v>2064</v>
      </c>
      <c r="O853">
        <v>15</v>
      </c>
    </row>
    <row r="854" spans="2:15" x14ac:dyDescent="0.2">
      <c r="B854" t="s">
        <v>1433</v>
      </c>
      <c r="C854" t="s">
        <v>12890</v>
      </c>
      <c r="D854" t="s">
        <v>617</v>
      </c>
      <c r="E854" t="s">
        <v>6157</v>
      </c>
      <c r="F854">
        <v>7.73</v>
      </c>
      <c r="H854" t="s">
        <v>2073</v>
      </c>
      <c r="L854" t="s">
        <v>1433</v>
      </c>
      <c r="M854" t="s">
        <v>2076</v>
      </c>
      <c r="N854" t="s">
        <v>2064</v>
      </c>
      <c r="O854">
        <v>40</v>
      </c>
    </row>
    <row r="855" spans="2:15" x14ac:dyDescent="0.2">
      <c r="B855" t="s">
        <v>1433</v>
      </c>
      <c r="C855" t="s">
        <v>12890</v>
      </c>
      <c r="D855" t="s">
        <v>617</v>
      </c>
      <c r="E855" t="s">
        <v>6158</v>
      </c>
      <c r="F855">
        <v>2</v>
      </c>
      <c r="H855" t="s">
        <v>2073</v>
      </c>
      <c r="L855" t="s">
        <v>1433</v>
      </c>
      <c r="M855" t="s">
        <v>1809</v>
      </c>
      <c r="N855" t="s">
        <v>2077</v>
      </c>
      <c r="O855">
        <v>135</v>
      </c>
    </row>
    <row r="856" spans="2:15" x14ac:dyDescent="0.2">
      <c r="B856" t="s">
        <v>1433</v>
      </c>
      <c r="C856" t="s">
        <v>12890</v>
      </c>
      <c r="D856" t="s">
        <v>617</v>
      </c>
      <c r="E856" t="s">
        <v>6164</v>
      </c>
      <c r="F856">
        <v>424</v>
      </c>
      <c r="H856" t="s">
        <v>1866</v>
      </c>
      <c r="L856" t="s">
        <v>1433</v>
      </c>
      <c r="M856" t="s">
        <v>1811</v>
      </c>
      <c r="N856" t="s">
        <v>2077</v>
      </c>
      <c r="O856">
        <v>150</v>
      </c>
    </row>
    <row r="857" spans="2:15" x14ac:dyDescent="0.2">
      <c r="B857" t="s">
        <v>1433</v>
      </c>
      <c r="C857" t="s">
        <v>12890</v>
      </c>
      <c r="D857" t="s">
        <v>617</v>
      </c>
      <c r="E857" t="s">
        <v>6165</v>
      </c>
      <c r="F857">
        <v>240</v>
      </c>
      <c r="H857" t="s">
        <v>1867</v>
      </c>
      <c r="L857" t="s">
        <v>1433</v>
      </c>
      <c r="M857" t="s">
        <v>2078</v>
      </c>
      <c r="N857" t="s">
        <v>2079</v>
      </c>
      <c r="O857">
        <v>120</v>
      </c>
    </row>
    <row r="858" spans="2:15" x14ac:dyDescent="0.2">
      <c r="B858" t="s">
        <v>1433</v>
      </c>
      <c r="C858" t="s">
        <v>12890</v>
      </c>
      <c r="D858" t="s">
        <v>617</v>
      </c>
      <c r="E858" t="s">
        <v>6167</v>
      </c>
      <c r="F858">
        <v>127.8</v>
      </c>
      <c r="H858" t="s">
        <v>1794</v>
      </c>
      <c r="L858" t="s">
        <v>1433</v>
      </c>
      <c r="M858" t="s">
        <v>2080</v>
      </c>
      <c r="N858" t="s">
        <v>2079</v>
      </c>
      <c r="O858">
        <v>100</v>
      </c>
    </row>
    <row r="859" spans="2:15" x14ac:dyDescent="0.2">
      <c r="B859" t="s">
        <v>1433</v>
      </c>
      <c r="C859" t="s">
        <v>12890</v>
      </c>
      <c r="D859" t="s">
        <v>617</v>
      </c>
      <c r="E859" t="s">
        <v>6168</v>
      </c>
      <c r="F859">
        <v>60.6</v>
      </c>
      <c r="H859" t="s">
        <v>1795</v>
      </c>
      <c r="L859" t="s">
        <v>1433</v>
      </c>
      <c r="M859" t="s">
        <v>2078</v>
      </c>
      <c r="N859" t="s">
        <v>2081</v>
      </c>
      <c r="O859">
        <v>56</v>
      </c>
    </row>
    <row r="860" spans="2:15" x14ac:dyDescent="0.2">
      <c r="B860" t="s">
        <v>1433</v>
      </c>
      <c r="C860" t="s">
        <v>12890</v>
      </c>
      <c r="D860" t="s">
        <v>617</v>
      </c>
      <c r="E860" t="s">
        <v>6169</v>
      </c>
      <c r="F860">
        <v>60.6</v>
      </c>
      <c r="H860" t="s">
        <v>1795</v>
      </c>
      <c r="L860" t="s">
        <v>1433</v>
      </c>
      <c r="M860" t="s">
        <v>2082</v>
      </c>
      <c r="N860" t="s">
        <v>2083</v>
      </c>
      <c r="O860">
        <v>1000</v>
      </c>
    </row>
    <row r="861" spans="2:15" x14ac:dyDescent="0.2">
      <c r="B861" t="s">
        <v>1433</v>
      </c>
      <c r="C861" t="s">
        <v>12890</v>
      </c>
      <c r="D861" t="s">
        <v>617</v>
      </c>
      <c r="E861" t="s">
        <v>6170</v>
      </c>
      <c r="F861">
        <v>79.56</v>
      </c>
      <c r="H861" t="s">
        <v>1796</v>
      </c>
      <c r="L861" t="s">
        <v>1433</v>
      </c>
      <c r="M861" t="s">
        <v>2084</v>
      </c>
      <c r="N861" t="s">
        <v>2085</v>
      </c>
      <c r="O861">
        <v>12</v>
      </c>
    </row>
    <row r="862" spans="2:15" x14ac:dyDescent="0.2">
      <c r="B862" t="s">
        <v>1433</v>
      </c>
      <c r="C862" t="s">
        <v>12890</v>
      </c>
      <c r="D862" t="s">
        <v>617</v>
      </c>
      <c r="E862" t="s">
        <v>6171</v>
      </c>
      <c r="F862">
        <v>221.6</v>
      </c>
      <c r="H862" t="s">
        <v>1797</v>
      </c>
      <c r="L862" t="s">
        <v>1433</v>
      </c>
      <c r="M862" t="s">
        <v>2086</v>
      </c>
      <c r="N862" t="s">
        <v>2085</v>
      </c>
      <c r="O862">
        <v>12</v>
      </c>
    </row>
    <row r="863" spans="2:15" x14ac:dyDescent="0.2">
      <c r="B863" t="s">
        <v>1433</v>
      </c>
      <c r="C863" t="s">
        <v>12890</v>
      </c>
      <c r="D863" t="s">
        <v>617</v>
      </c>
      <c r="E863" t="s">
        <v>6172</v>
      </c>
      <c r="F863">
        <v>166.88</v>
      </c>
      <c r="H863" t="s">
        <v>1798</v>
      </c>
      <c r="L863" t="s">
        <v>1433</v>
      </c>
      <c r="M863" t="s">
        <v>2087</v>
      </c>
      <c r="N863" t="s">
        <v>2088</v>
      </c>
      <c r="O863">
        <v>40</v>
      </c>
    </row>
    <row r="864" spans="2:15" x14ac:dyDescent="0.2">
      <c r="B864" t="s">
        <v>1433</v>
      </c>
      <c r="C864" t="s">
        <v>12890</v>
      </c>
      <c r="D864" t="s">
        <v>617</v>
      </c>
      <c r="E864" t="s">
        <v>6173</v>
      </c>
      <c r="F864">
        <v>4311.87</v>
      </c>
      <c r="G864" t="s">
        <v>1272</v>
      </c>
      <c r="L864" t="s">
        <v>1433</v>
      </c>
      <c r="M864" t="s">
        <v>2089</v>
      </c>
      <c r="N864" t="s">
        <v>2090</v>
      </c>
      <c r="O864">
        <v>180</v>
      </c>
    </row>
    <row r="865" spans="2:15" x14ac:dyDescent="0.2">
      <c r="B865" t="s">
        <v>1433</v>
      </c>
      <c r="C865" t="s">
        <v>12890</v>
      </c>
      <c r="D865" t="s">
        <v>617</v>
      </c>
      <c r="E865" t="s">
        <v>6175</v>
      </c>
      <c r="F865">
        <v>424</v>
      </c>
      <c r="H865" t="s">
        <v>1866</v>
      </c>
      <c r="L865" t="s">
        <v>1433</v>
      </c>
      <c r="M865" t="s">
        <v>2091</v>
      </c>
      <c r="N865" t="s">
        <v>2090</v>
      </c>
      <c r="O865">
        <v>60</v>
      </c>
    </row>
    <row r="866" spans="2:15" x14ac:dyDescent="0.2">
      <c r="B866" t="s">
        <v>1433</v>
      </c>
      <c r="C866" t="s">
        <v>12890</v>
      </c>
      <c r="D866" t="s">
        <v>617</v>
      </c>
      <c r="E866" t="s">
        <v>6176</v>
      </c>
      <c r="F866">
        <v>240</v>
      </c>
      <c r="H866" t="s">
        <v>1867</v>
      </c>
      <c r="L866" t="s">
        <v>1433</v>
      </c>
      <c r="M866" t="s">
        <v>2092</v>
      </c>
      <c r="N866" t="s">
        <v>2090</v>
      </c>
      <c r="O866">
        <v>180</v>
      </c>
    </row>
    <row r="867" spans="2:15" x14ac:dyDescent="0.2">
      <c r="B867" t="s">
        <v>1433</v>
      </c>
      <c r="C867" t="s">
        <v>12890</v>
      </c>
      <c r="D867" t="s">
        <v>617</v>
      </c>
      <c r="E867" t="s">
        <v>6178</v>
      </c>
      <c r="F867">
        <v>19.5</v>
      </c>
      <c r="H867" t="s">
        <v>1978</v>
      </c>
      <c r="L867" t="s">
        <v>1433</v>
      </c>
      <c r="M867" t="s">
        <v>2093</v>
      </c>
      <c r="N867" t="s">
        <v>2090</v>
      </c>
      <c r="O867">
        <v>60</v>
      </c>
    </row>
    <row r="868" spans="2:15" x14ac:dyDescent="0.2">
      <c r="B868" t="s">
        <v>1433</v>
      </c>
      <c r="C868" t="s">
        <v>12890</v>
      </c>
      <c r="D868" t="s">
        <v>617</v>
      </c>
      <c r="E868" t="s">
        <v>6179</v>
      </c>
      <c r="F868">
        <v>17.8</v>
      </c>
      <c r="H868" t="s">
        <v>1989</v>
      </c>
      <c r="L868" t="s">
        <v>1433</v>
      </c>
      <c r="M868" t="s">
        <v>1533</v>
      </c>
      <c r="N868" t="s">
        <v>2094</v>
      </c>
      <c r="O868">
        <v>12</v>
      </c>
    </row>
    <row r="869" spans="2:15" x14ac:dyDescent="0.2">
      <c r="B869" t="s">
        <v>1433</v>
      </c>
      <c r="C869" t="s">
        <v>12890</v>
      </c>
      <c r="D869" t="s">
        <v>617</v>
      </c>
      <c r="E869" t="s">
        <v>6180</v>
      </c>
      <c r="F869">
        <v>10.01</v>
      </c>
      <c r="G869" t="s">
        <v>1919</v>
      </c>
      <c r="L869" t="s">
        <v>1433</v>
      </c>
      <c r="M869" t="s">
        <v>1818</v>
      </c>
      <c r="N869" t="s">
        <v>2094</v>
      </c>
      <c r="O869">
        <v>12</v>
      </c>
    </row>
    <row r="870" spans="2:15" x14ac:dyDescent="0.2">
      <c r="B870" t="s">
        <v>1433</v>
      </c>
      <c r="C870" t="s">
        <v>12890</v>
      </c>
      <c r="D870" t="s">
        <v>617</v>
      </c>
      <c r="E870" t="s">
        <v>6181</v>
      </c>
      <c r="F870">
        <v>11.06</v>
      </c>
      <c r="G870" t="s">
        <v>1919</v>
      </c>
      <c r="L870" t="s">
        <v>1433</v>
      </c>
      <c r="M870" t="s">
        <v>1956</v>
      </c>
      <c r="N870" t="s">
        <v>2095</v>
      </c>
      <c r="O870">
        <v>6</v>
      </c>
    </row>
    <row r="871" spans="2:15" x14ac:dyDescent="0.2">
      <c r="B871" t="s">
        <v>1433</v>
      </c>
      <c r="C871" t="s">
        <v>12890</v>
      </c>
      <c r="D871" t="s">
        <v>617</v>
      </c>
      <c r="E871" t="s">
        <v>6184</v>
      </c>
      <c r="F871">
        <v>24.09</v>
      </c>
      <c r="H871" t="s">
        <v>6185</v>
      </c>
      <c r="L871" t="s">
        <v>1433</v>
      </c>
      <c r="M871" t="s">
        <v>2096</v>
      </c>
      <c r="N871" t="s">
        <v>1524</v>
      </c>
      <c r="O871">
        <v>12</v>
      </c>
    </row>
    <row r="872" spans="2:15" x14ac:dyDescent="0.2">
      <c r="B872" t="s">
        <v>1433</v>
      </c>
      <c r="C872" t="s">
        <v>12890</v>
      </c>
      <c r="D872" t="s">
        <v>617</v>
      </c>
      <c r="E872" t="s">
        <v>6186</v>
      </c>
      <c r="F872">
        <v>6.4</v>
      </c>
      <c r="H872" t="s">
        <v>6187</v>
      </c>
      <c r="L872" t="s">
        <v>1433</v>
      </c>
      <c r="M872" t="s">
        <v>2097</v>
      </c>
      <c r="N872" t="s">
        <v>1524</v>
      </c>
      <c r="O872">
        <v>24</v>
      </c>
    </row>
    <row r="873" spans="2:15" x14ac:dyDescent="0.2">
      <c r="B873" t="s">
        <v>1433</v>
      </c>
      <c r="C873" t="s">
        <v>12890</v>
      </c>
      <c r="D873" t="s">
        <v>617</v>
      </c>
      <c r="E873" t="s">
        <v>6188</v>
      </c>
      <c r="F873">
        <v>7.69</v>
      </c>
      <c r="H873" t="s">
        <v>1485</v>
      </c>
      <c r="L873" t="s">
        <v>1433</v>
      </c>
      <c r="M873" t="s">
        <v>2098</v>
      </c>
      <c r="N873" t="s">
        <v>1524</v>
      </c>
      <c r="O873">
        <v>300</v>
      </c>
    </row>
    <row r="874" spans="2:15" x14ac:dyDescent="0.2">
      <c r="B874" t="s">
        <v>1433</v>
      </c>
      <c r="C874" t="s">
        <v>12890</v>
      </c>
      <c r="D874" t="s">
        <v>617</v>
      </c>
      <c r="E874" t="s">
        <v>6189</v>
      </c>
      <c r="F874">
        <v>117.58</v>
      </c>
      <c r="G874" t="s">
        <v>2782</v>
      </c>
      <c r="L874" t="s">
        <v>1433</v>
      </c>
      <c r="M874" t="s">
        <v>2099</v>
      </c>
      <c r="N874" t="s">
        <v>2100</v>
      </c>
      <c r="O874">
        <v>40</v>
      </c>
    </row>
    <row r="875" spans="2:15" x14ac:dyDescent="0.2">
      <c r="B875" t="s">
        <v>1433</v>
      </c>
      <c r="C875" t="s">
        <v>12890</v>
      </c>
      <c r="D875" t="s">
        <v>617</v>
      </c>
      <c r="E875" t="s">
        <v>6193</v>
      </c>
      <c r="F875">
        <v>62.48</v>
      </c>
      <c r="H875" t="s">
        <v>2849</v>
      </c>
      <c r="L875" t="s">
        <v>1433</v>
      </c>
      <c r="M875" t="s">
        <v>1346</v>
      </c>
      <c r="N875" t="s">
        <v>2100</v>
      </c>
      <c r="O875">
        <v>18</v>
      </c>
    </row>
    <row r="876" spans="2:15" x14ac:dyDescent="0.2">
      <c r="B876" t="s">
        <v>1433</v>
      </c>
      <c r="C876" t="s">
        <v>12890</v>
      </c>
      <c r="D876" t="s">
        <v>617</v>
      </c>
      <c r="E876" t="s">
        <v>6194</v>
      </c>
      <c r="F876">
        <v>44.17</v>
      </c>
      <c r="G876" t="s">
        <v>2698</v>
      </c>
      <c r="L876" t="s">
        <v>1433</v>
      </c>
      <c r="M876" t="s">
        <v>2101</v>
      </c>
      <c r="N876" t="s">
        <v>2100</v>
      </c>
      <c r="O876">
        <v>100</v>
      </c>
    </row>
    <row r="877" spans="2:15" x14ac:dyDescent="0.2">
      <c r="B877" t="s">
        <v>1433</v>
      </c>
      <c r="C877" t="s">
        <v>12890</v>
      </c>
      <c r="D877" t="s">
        <v>617</v>
      </c>
      <c r="E877" t="s">
        <v>6196</v>
      </c>
      <c r="F877">
        <v>41.04</v>
      </c>
      <c r="H877" t="s">
        <v>1481</v>
      </c>
      <c r="L877" t="s">
        <v>1433</v>
      </c>
      <c r="M877" t="s">
        <v>2102</v>
      </c>
      <c r="N877" t="s">
        <v>2100</v>
      </c>
      <c r="O877">
        <v>12</v>
      </c>
    </row>
    <row r="878" spans="2:15" x14ac:dyDescent="0.2">
      <c r="B878" t="s">
        <v>1433</v>
      </c>
      <c r="C878" t="s">
        <v>12890</v>
      </c>
      <c r="D878" t="s">
        <v>617</v>
      </c>
      <c r="E878" t="s">
        <v>6197</v>
      </c>
      <c r="F878">
        <v>-41.04</v>
      </c>
      <c r="H878" t="s">
        <v>1481</v>
      </c>
      <c r="L878" t="s">
        <v>1433</v>
      </c>
      <c r="M878" t="s">
        <v>2103</v>
      </c>
      <c r="N878" t="s">
        <v>2100</v>
      </c>
      <c r="O878">
        <v>10</v>
      </c>
    </row>
    <row r="879" spans="2:15" x14ac:dyDescent="0.2">
      <c r="B879" t="s">
        <v>1433</v>
      </c>
      <c r="C879" t="s">
        <v>12890</v>
      </c>
      <c r="D879" t="s">
        <v>617</v>
      </c>
      <c r="E879" t="s">
        <v>6198</v>
      </c>
      <c r="F879">
        <v>41.04</v>
      </c>
      <c r="H879" t="s">
        <v>1481</v>
      </c>
      <c r="L879" t="s">
        <v>1433</v>
      </c>
      <c r="M879" t="s">
        <v>2104</v>
      </c>
      <c r="N879" t="s">
        <v>2100</v>
      </c>
      <c r="O879">
        <v>10</v>
      </c>
    </row>
    <row r="880" spans="2:15" x14ac:dyDescent="0.2">
      <c r="B880" t="s">
        <v>1433</v>
      </c>
      <c r="C880" t="s">
        <v>12890</v>
      </c>
      <c r="D880" t="s">
        <v>617</v>
      </c>
      <c r="E880" t="s">
        <v>6199</v>
      </c>
      <c r="F880">
        <v>10.26</v>
      </c>
      <c r="H880" t="s">
        <v>1481</v>
      </c>
      <c r="L880" t="s">
        <v>1433</v>
      </c>
      <c r="M880" t="s">
        <v>1885</v>
      </c>
      <c r="N880" t="s">
        <v>2100</v>
      </c>
      <c r="O880">
        <v>10</v>
      </c>
    </row>
    <row r="881" spans="2:15" x14ac:dyDescent="0.2">
      <c r="B881" t="s">
        <v>1433</v>
      </c>
      <c r="C881" t="s">
        <v>12890</v>
      </c>
      <c r="D881" t="s">
        <v>1162</v>
      </c>
      <c r="E881" t="s">
        <v>6200</v>
      </c>
      <c r="F881">
        <v>2232</v>
      </c>
      <c r="G881" t="s">
        <v>2702</v>
      </c>
      <c r="L881" t="s">
        <v>1433</v>
      </c>
      <c r="M881" t="s">
        <v>1684</v>
      </c>
      <c r="N881" t="s">
        <v>2105</v>
      </c>
      <c r="O881">
        <v>12</v>
      </c>
    </row>
    <row r="882" spans="2:15" x14ac:dyDescent="0.2">
      <c r="B882" t="s">
        <v>1433</v>
      </c>
      <c r="C882" t="s">
        <v>12890</v>
      </c>
      <c r="D882" t="s">
        <v>617</v>
      </c>
      <c r="E882" t="s">
        <v>6201</v>
      </c>
      <c r="F882">
        <v>700</v>
      </c>
      <c r="G882" t="s">
        <v>2704</v>
      </c>
      <c r="L882" t="s">
        <v>1433</v>
      </c>
      <c r="M882" t="s">
        <v>2106</v>
      </c>
      <c r="N882" t="s">
        <v>2105</v>
      </c>
      <c r="O882">
        <v>18</v>
      </c>
    </row>
    <row r="883" spans="2:15" x14ac:dyDescent="0.2">
      <c r="B883" t="s">
        <v>1433</v>
      </c>
      <c r="C883" t="s">
        <v>12890</v>
      </c>
      <c r="D883" t="s">
        <v>617</v>
      </c>
      <c r="E883" t="s">
        <v>6205</v>
      </c>
      <c r="F883">
        <v>23.2</v>
      </c>
      <c r="H883" t="s">
        <v>2398</v>
      </c>
      <c r="L883" t="s">
        <v>1433</v>
      </c>
      <c r="M883" t="s">
        <v>1883</v>
      </c>
      <c r="N883" t="s">
        <v>2107</v>
      </c>
      <c r="O883">
        <v>2</v>
      </c>
    </row>
    <row r="884" spans="2:15" x14ac:dyDescent="0.2">
      <c r="B884" t="s">
        <v>1433</v>
      </c>
      <c r="C884" t="s">
        <v>12890</v>
      </c>
      <c r="D884" t="s">
        <v>617</v>
      </c>
      <c r="E884" t="s">
        <v>6206</v>
      </c>
      <c r="F884">
        <v>48.4</v>
      </c>
      <c r="H884" t="s">
        <v>2400</v>
      </c>
      <c r="L884" t="s">
        <v>1433</v>
      </c>
      <c r="M884" t="s">
        <v>1712</v>
      </c>
      <c r="N884" t="s">
        <v>2108</v>
      </c>
      <c r="O884">
        <v>20</v>
      </c>
    </row>
    <row r="885" spans="2:15" x14ac:dyDescent="0.2">
      <c r="B885" t="s">
        <v>1433</v>
      </c>
      <c r="C885" t="s">
        <v>12890</v>
      </c>
      <c r="D885" t="s">
        <v>617</v>
      </c>
      <c r="E885" t="s">
        <v>6207</v>
      </c>
      <c r="F885">
        <v>24.2</v>
      </c>
      <c r="H885" t="s">
        <v>2401</v>
      </c>
      <c r="L885" t="s">
        <v>1433</v>
      </c>
      <c r="M885" t="s">
        <v>2109</v>
      </c>
      <c r="N885" t="s">
        <v>2110</v>
      </c>
      <c r="O885">
        <v>2</v>
      </c>
    </row>
    <row r="886" spans="2:15" x14ac:dyDescent="0.2">
      <c r="B886" t="s">
        <v>1433</v>
      </c>
      <c r="C886" t="s">
        <v>12890</v>
      </c>
      <c r="D886" t="s">
        <v>617</v>
      </c>
      <c r="E886" t="s">
        <v>6208</v>
      </c>
      <c r="F886">
        <v>162.19999999999999</v>
      </c>
      <c r="H886" t="s">
        <v>2402</v>
      </c>
      <c r="L886" t="s">
        <v>1433</v>
      </c>
      <c r="M886" t="s">
        <v>2111</v>
      </c>
      <c r="N886" t="s">
        <v>2110</v>
      </c>
      <c r="O886">
        <v>2</v>
      </c>
    </row>
    <row r="887" spans="2:15" x14ac:dyDescent="0.2">
      <c r="B887" t="s">
        <v>1433</v>
      </c>
      <c r="C887" t="s">
        <v>12890</v>
      </c>
      <c r="D887" t="s">
        <v>617</v>
      </c>
      <c r="E887" t="s">
        <v>6209</v>
      </c>
      <c r="F887">
        <v>162.19999999999999</v>
      </c>
      <c r="H887" t="s">
        <v>2402</v>
      </c>
      <c r="L887" t="s">
        <v>1433</v>
      </c>
      <c r="M887" t="s">
        <v>2112</v>
      </c>
      <c r="N887" t="s">
        <v>2110</v>
      </c>
      <c r="O887">
        <v>2</v>
      </c>
    </row>
    <row r="888" spans="2:15" x14ac:dyDescent="0.2">
      <c r="B888" t="s">
        <v>1433</v>
      </c>
      <c r="C888" t="s">
        <v>12890</v>
      </c>
      <c r="D888" t="s">
        <v>617</v>
      </c>
      <c r="E888" t="s">
        <v>6211</v>
      </c>
      <c r="F888">
        <v>26.1</v>
      </c>
      <c r="H888" t="s">
        <v>2906</v>
      </c>
      <c r="L888" t="s">
        <v>1433</v>
      </c>
      <c r="M888" t="s">
        <v>2113</v>
      </c>
      <c r="N888" t="s">
        <v>2110</v>
      </c>
      <c r="O888">
        <v>1</v>
      </c>
    </row>
    <row r="889" spans="2:15" x14ac:dyDescent="0.2">
      <c r="B889" t="s">
        <v>1433</v>
      </c>
      <c r="C889" t="s">
        <v>12890</v>
      </c>
      <c r="D889" t="s">
        <v>617</v>
      </c>
      <c r="E889" t="s">
        <v>6212</v>
      </c>
      <c r="F889">
        <v>50.31</v>
      </c>
      <c r="H889" t="s">
        <v>2908</v>
      </c>
      <c r="L889" t="s">
        <v>1433</v>
      </c>
      <c r="M889" t="s">
        <v>2114</v>
      </c>
      <c r="N889" t="s">
        <v>2110</v>
      </c>
      <c r="O889">
        <v>4</v>
      </c>
    </row>
    <row r="890" spans="2:15" x14ac:dyDescent="0.2">
      <c r="B890" t="s">
        <v>1433</v>
      </c>
      <c r="C890" t="s">
        <v>12890</v>
      </c>
      <c r="D890" t="s">
        <v>617</v>
      </c>
      <c r="E890" t="s">
        <v>6213</v>
      </c>
      <c r="F890">
        <v>37.799999999999997</v>
      </c>
      <c r="H890" t="s">
        <v>2909</v>
      </c>
      <c r="L890" t="s">
        <v>1433</v>
      </c>
      <c r="M890" t="s">
        <v>2115</v>
      </c>
      <c r="N890" t="s">
        <v>2110</v>
      </c>
      <c r="O890">
        <v>4</v>
      </c>
    </row>
    <row r="891" spans="2:15" x14ac:dyDescent="0.2">
      <c r="B891" t="s">
        <v>1433</v>
      </c>
      <c r="C891" t="s">
        <v>12890</v>
      </c>
      <c r="D891" t="s">
        <v>617</v>
      </c>
      <c r="E891" t="s">
        <v>6214</v>
      </c>
      <c r="F891">
        <v>49.23</v>
      </c>
      <c r="H891" t="s">
        <v>1469</v>
      </c>
      <c r="L891" t="s">
        <v>1433</v>
      </c>
      <c r="M891" t="s">
        <v>2116</v>
      </c>
      <c r="N891" t="s">
        <v>2110</v>
      </c>
      <c r="O891">
        <v>2</v>
      </c>
    </row>
    <row r="892" spans="2:15" x14ac:dyDescent="0.2">
      <c r="B892" t="s">
        <v>1433</v>
      </c>
      <c r="C892" t="s">
        <v>12890</v>
      </c>
      <c r="D892" t="s">
        <v>617</v>
      </c>
      <c r="E892" t="s">
        <v>6215</v>
      </c>
      <c r="F892">
        <v>416.52</v>
      </c>
      <c r="H892" t="s">
        <v>2911</v>
      </c>
      <c r="L892" t="s">
        <v>1433</v>
      </c>
      <c r="M892" t="s">
        <v>2117</v>
      </c>
      <c r="N892" t="s">
        <v>2110</v>
      </c>
      <c r="O892">
        <v>2</v>
      </c>
    </row>
    <row r="893" spans="2:15" x14ac:dyDescent="0.2">
      <c r="B893" t="s">
        <v>1433</v>
      </c>
      <c r="C893" t="s">
        <v>12890</v>
      </c>
      <c r="D893" t="s">
        <v>617</v>
      </c>
      <c r="E893" t="s">
        <v>6216</v>
      </c>
      <c r="F893">
        <v>60.94</v>
      </c>
      <c r="H893" t="s">
        <v>2912</v>
      </c>
      <c r="L893" t="s">
        <v>1433</v>
      </c>
      <c r="M893" t="s">
        <v>2118</v>
      </c>
      <c r="N893" t="s">
        <v>2110</v>
      </c>
      <c r="O893">
        <v>2</v>
      </c>
    </row>
    <row r="894" spans="2:15" x14ac:dyDescent="0.2">
      <c r="B894" t="s">
        <v>1433</v>
      </c>
      <c r="C894" t="s">
        <v>12890</v>
      </c>
      <c r="D894" t="s">
        <v>617</v>
      </c>
      <c r="E894" t="s">
        <v>6217</v>
      </c>
      <c r="F894">
        <v>20.88</v>
      </c>
      <c r="H894" t="s">
        <v>2003</v>
      </c>
      <c r="L894" t="s">
        <v>1433</v>
      </c>
      <c r="M894" t="s">
        <v>2119</v>
      </c>
      <c r="N894" t="s">
        <v>2110</v>
      </c>
      <c r="O894">
        <v>1</v>
      </c>
    </row>
    <row r="895" spans="2:15" x14ac:dyDescent="0.2">
      <c r="B895" t="s">
        <v>1433</v>
      </c>
      <c r="C895" t="s">
        <v>12890</v>
      </c>
      <c r="D895" t="s">
        <v>617</v>
      </c>
      <c r="E895" t="s">
        <v>6218</v>
      </c>
      <c r="F895">
        <v>94.68</v>
      </c>
      <c r="H895" t="s">
        <v>2913</v>
      </c>
      <c r="L895" t="s">
        <v>1433</v>
      </c>
      <c r="M895" t="s">
        <v>2120</v>
      </c>
      <c r="N895" t="s">
        <v>2110</v>
      </c>
      <c r="O895">
        <v>1</v>
      </c>
    </row>
    <row r="896" spans="2:15" x14ac:dyDescent="0.2">
      <c r="B896" t="s">
        <v>1433</v>
      </c>
      <c r="C896" t="s">
        <v>12890</v>
      </c>
      <c r="D896" t="s">
        <v>617</v>
      </c>
      <c r="E896" t="s">
        <v>6219</v>
      </c>
      <c r="F896">
        <v>66</v>
      </c>
      <c r="H896" t="s">
        <v>2914</v>
      </c>
      <c r="L896" t="s">
        <v>1433</v>
      </c>
      <c r="M896" t="s">
        <v>2121</v>
      </c>
      <c r="N896" t="s">
        <v>2110</v>
      </c>
      <c r="O896">
        <v>2</v>
      </c>
    </row>
    <row r="897" spans="2:15" x14ac:dyDescent="0.2">
      <c r="B897" t="s">
        <v>1433</v>
      </c>
      <c r="C897" t="s">
        <v>12890</v>
      </c>
      <c r="D897" t="s">
        <v>617</v>
      </c>
      <c r="E897" t="s">
        <v>6220</v>
      </c>
      <c r="F897">
        <v>42.44</v>
      </c>
      <c r="H897" t="s">
        <v>3305</v>
      </c>
      <c r="L897" t="s">
        <v>1433</v>
      </c>
      <c r="M897" t="s">
        <v>2122</v>
      </c>
      <c r="N897" t="s">
        <v>2110</v>
      </c>
      <c r="O897">
        <v>1</v>
      </c>
    </row>
    <row r="898" spans="2:15" x14ac:dyDescent="0.2">
      <c r="B898" t="s">
        <v>1433</v>
      </c>
      <c r="C898" t="s">
        <v>12890</v>
      </c>
      <c r="D898" t="s">
        <v>617</v>
      </c>
      <c r="E898" t="s">
        <v>6221</v>
      </c>
      <c r="F898">
        <v>219.58</v>
      </c>
      <c r="H898" t="s">
        <v>2843</v>
      </c>
      <c r="L898" t="s">
        <v>1433</v>
      </c>
      <c r="M898" t="s">
        <v>2123</v>
      </c>
      <c r="N898" t="s">
        <v>2110</v>
      </c>
      <c r="O898">
        <v>1</v>
      </c>
    </row>
    <row r="899" spans="2:15" x14ac:dyDescent="0.2">
      <c r="B899" t="s">
        <v>1433</v>
      </c>
      <c r="C899" t="s">
        <v>12890</v>
      </c>
      <c r="D899" t="s">
        <v>617</v>
      </c>
      <c r="E899" t="s">
        <v>6222</v>
      </c>
      <c r="F899">
        <v>7990</v>
      </c>
      <c r="H899" t="s">
        <v>2845</v>
      </c>
      <c r="L899" t="s">
        <v>1433</v>
      </c>
      <c r="M899" t="s">
        <v>2124</v>
      </c>
      <c r="N899" t="s">
        <v>2110</v>
      </c>
      <c r="O899">
        <v>2</v>
      </c>
    </row>
    <row r="900" spans="2:15" x14ac:dyDescent="0.2">
      <c r="B900" t="s">
        <v>1433</v>
      </c>
      <c r="C900" t="s">
        <v>12890</v>
      </c>
      <c r="D900" t="s">
        <v>617</v>
      </c>
      <c r="E900" t="s">
        <v>6224</v>
      </c>
      <c r="F900">
        <v>51.76</v>
      </c>
      <c r="H900" t="s">
        <v>3061</v>
      </c>
      <c r="L900" t="s">
        <v>1433</v>
      </c>
      <c r="M900" t="s">
        <v>2125</v>
      </c>
      <c r="N900" t="s">
        <v>2110</v>
      </c>
      <c r="O900">
        <v>16</v>
      </c>
    </row>
    <row r="901" spans="2:15" x14ac:dyDescent="0.2">
      <c r="B901" t="s">
        <v>1433</v>
      </c>
      <c r="C901" t="s">
        <v>12890</v>
      </c>
      <c r="D901" t="s">
        <v>617</v>
      </c>
      <c r="E901" t="s">
        <v>6225</v>
      </c>
      <c r="F901">
        <v>99.6</v>
      </c>
      <c r="H901" t="s">
        <v>3062</v>
      </c>
      <c r="L901" t="s">
        <v>1433</v>
      </c>
      <c r="M901" t="s">
        <v>2126</v>
      </c>
      <c r="N901" t="s">
        <v>2110</v>
      </c>
      <c r="O901">
        <v>8</v>
      </c>
    </row>
    <row r="902" spans="2:15" x14ac:dyDescent="0.2">
      <c r="B902" t="s">
        <v>1433</v>
      </c>
      <c r="C902" t="s">
        <v>12890</v>
      </c>
      <c r="D902" t="s">
        <v>617</v>
      </c>
      <c r="E902" t="s">
        <v>6226</v>
      </c>
      <c r="F902">
        <v>32.69</v>
      </c>
      <c r="H902" t="s">
        <v>3058</v>
      </c>
      <c r="L902" t="s">
        <v>1433</v>
      </c>
      <c r="M902" t="s">
        <v>2127</v>
      </c>
      <c r="N902" t="s">
        <v>2110</v>
      </c>
      <c r="O902">
        <v>8</v>
      </c>
    </row>
    <row r="903" spans="2:15" x14ac:dyDescent="0.2">
      <c r="B903" t="s">
        <v>1433</v>
      </c>
      <c r="C903" t="s">
        <v>12890</v>
      </c>
      <c r="D903" t="s">
        <v>617</v>
      </c>
      <c r="E903" t="s">
        <v>6227</v>
      </c>
      <c r="F903">
        <v>13.31</v>
      </c>
      <c r="H903" t="s">
        <v>2066</v>
      </c>
      <c r="L903" t="s">
        <v>1433</v>
      </c>
      <c r="M903" t="s">
        <v>2128</v>
      </c>
      <c r="N903" t="s">
        <v>2110</v>
      </c>
      <c r="O903">
        <v>4</v>
      </c>
    </row>
    <row r="904" spans="2:15" x14ac:dyDescent="0.2">
      <c r="B904" t="s">
        <v>1433</v>
      </c>
      <c r="C904" t="s">
        <v>12890</v>
      </c>
      <c r="D904" t="s">
        <v>617</v>
      </c>
      <c r="E904" t="s">
        <v>6228</v>
      </c>
      <c r="F904">
        <v>82.65</v>
      </c>
      <c r="H904" t="s">
        <v>2066</v>
      </c>
      <c r="L904" t="s">
        <v>1433</v>
      </c>
      <c r="M904" t="s">
        <v>2129</v>
      </c>
      <c r="N904" t="s">
        <v>2110</v>
      </c>
      <c r="O904">
        <v>2</v>
      </c>
    </row>
    <row r="905" spans="2:15" x14ac:dyDescent="0.2">
      <c r="B905" t="s">
        <v>1433</v>
      </c>
      <c r="C905" t="s">
        <v>12890</v>
      </c>
      <c r="D905" t="s">
        <v>617</v>
      </c>
      <c r="E905" t="s">
        <v>6229</v>
      </c>
      <c r="F905">
        <v>28.29</v>
      </c>
      <c r="H905" t="s">
        <v>3060</v>
      </c>
      <c r="L905" t="s">
        <v>1433</v>
      </c>
      <c r="M905" t="s">
        <v>2130</v>
      </c>
      <c r="N905" t="s">
        <v>2110</v>
      </c>
      <c r="O905">
        <v>4</v>
      </c>
    </row>
    <row r="906" spans="2:15" x14ac:dyDescent="0.2">
      <c r="B906" t="s">
        <v>1433</v>
      </c>
      <c r="C906" t="s">
        <v>12890</v>
      </c>
      <c r="D906" t="s">
        <v>1144</v>
      </c>
      <c r="E906" t="s">
        <v>6230</v>
      </c>
      <c r="F906">
        <v>189.75</v>
      </c>
      <c r="G906" t="s">
        <v>2201</v>
      </c>
      <c r="L906" t="s">
        <v>1433</v>
      </c>
      <c r="M906" t="s">
        <v>2131</v>
      </c>
      <c r="N906" t="s">
        <v>2110</v>
      </c>
      <c r="O906">
        <v>4</v>
      </c>
    </row>
    <row r="907" spans="2:15" x14ac:dyDescent="0.2">
      <c r="B907" t="s">
        <v>1433</v>
      </c>
      <c r="C907" t="s">
        <v>12890</v>
      </c>
      <c r="D907" t="s">
        <v>1144</v>
      </c>
      <c r="E907" t="s">
        <v>6231</v>
      </c>
      <c r="F907">
        <v>235.75</v>
      </c>
      <c r="G907" t="s">
        <v>2202</v>
      </c>
      <c r="L907" t="s">
        <v>1433</v>
      </c>
      <c r="M907" t="s">
        <v>2132</v>
      </c>
      <c r="N907" t="s">
        <v>2110</v>
      </c>
      <c r="O907">
        <v>8</v>
      </c>
    </row>
    <row r="908" spans="2:15" x14ac:dyDescent="0.2">
      <c r="B908" t="s">
        <v>1433</v>
      </c>
      <c r="C908" t="s">
        <v>12890</v>
      </c>
      <c r="D908" t="s">
        <v>617</v>
      </c>
      <c r="E908" t="s">
        <v>6236</v>
      </c>
      <c r="F908">
        <v>8.0500000000000007</v>
      </c>
      <c r="H908" t="s">
        <v>2257</v>
      </c>
      <c r="L908" t="s">
        <v>1433</v>
      </c>
      <c r="M908" t="s">
        <v>2133</v>
      </c>
      <c r="N908" t="s">
        <v>2110</v>
      </c>
      <c r="O908">
        <v>2</v>
      </c>
    </row>
    <row r="909" spans="2:15" x14ac:dyDescent="0.2">
      <c r="B909" t="s">
        <v>1433</v>
      </c>
      <c r="C909" t="s">
        <v>12890</v>
      </c>
      <c r="D909" t="s">
        <v>617</v>
      </c>
      <c r="E909" t="s">
        <v>6237</v>
      </c>
      <c r="F909">
        <v>52.85</v>
      </c>
      <c r="H909" t="s">
        <v>2021</v>
      </c>
      <c r="L909" t="s">
        <v>1433</v>
      </c>
      <c r="M909" t="s">
        <v>1822</v>
      </c>
      <c r="N909" t="s">
        <v>2134</v>
      </c>
      <c r="O909">
        <v>66</v>
      </c>
    </row>
    <row r="910" spans="2:15" x14ac:dyDescent="0.2">
      <c r="B910" t="s">
        <v>1433</v>
      </c>
      <c r="C910" t="s">
        <v>12890</v>
      </c>
      <c r="D910" t="s">
        <v>617</v>
      </c>
      <c r="E910" t="s">
        <v>6239</v>
      </c>
      <c r="F910">
        <v>303.83999999999997</v>
      </c>
      <c r="H910" t="s">
        <v>3068</v>
      </c>
      <c r="L910" t="s">
        <v>1433</v>
      </c>
      <c r="M910" t="s">
        <v>1824</v>
      </c>
      <c r="N910" t="s">
        <v>2134</v>
      </c>
      <c r="O910">
        <v>60</v>
      </c>
    </row>
    <row r="911" spans="2:15" x14ac:dyDescent="0.2">
      <c r="B911" t="s">
        <v>1433</v>
      </c>
      <c r="C911" t="s">
        <v>12890</v>
      </c>
      <c r="D911" t="s">
        <v>617</v>
      </c>
      <c r="E911" t="s">
        <v>6240</v>
      </c>
      <c r="F911">
        <v>126</v>
      </c>
      <c r="H911" t="s">
        <v>3069</v>
      </c>
      <c r="L911" t="s">
        <v>1433</v>
      </c>
      <c r="M911" t="s">
        <v>1826</v>
      </c>
      <c r="N911" t="s">
        <v>2134</v>
      </c>
      <c r="O911">
        <v>78</v>
      </c>
    </row>
    <row r="912" spans="2:15" x14ac:dyDescent="0.2">
      <c r="B912" t="s">
        <v>1433</v>
      </c>
      <c r="C912" t="s">
        <v>12890</v>
      </c>
      <c r="D912" t="s">
        <v>617</v>
      </c>
      <c r="E912" t="s">
        <v>6241</v>
      </c>
      <c r="F912">
        <v>106.74</v>
      </c>
      <c r="G912" t="s">
        <v>6242</v>
      </c>
      <c r="L912" t="s">
        <v>1433</v>
      </c>
      <c r="M912" t="s">
        <v>1831</v>
      </c>
      <c r="N912" t="s">
        <v>2134</v>
      </c>
      <c r="O912">
        <v>66</v>
      </c>
    </row>
    <row r="913" spans="2:15" x14ac:dyDescent="0.2">
      <c r="B913" t="s">
        <v>1433</v>
      </c>
      <c r="C913" t="s">
        <v>12890</v>
      </c>
      <c r="D913" t="s">
        <v>617</v>
      </c>
      <c r="E913" t="s">
        <v>6243</v>
      </c>
      <c r="F913">
        <v>12.82</v>
      </c>
      <c r="G913" t="s">
        <v>5077</v>
      </c>
      <c r="L913" t="s">
        <v>1433</v>
      </c>
      <c r="M913" t="s">
        <v>1832</v>
      </c>
      <c r="N913" t="s">
        <v>2134</v>
      </c>
      <c r="O913">
        <v>60</v>
      </c>
    </row>
    <row r="914" spans="2:15" x14ac:dyDescent="0.2">
      <c r="B914" t="s">
        <v>1433</v>
      </c>
      <c r="C914" t="s">
        <v>12890</v>
      </c>
      <c r="D914" t="s">
        <v>613</v>
      </c>
      <c r="E914" t="s">
        <v>6244</v>
      </c>
      <c r="F914">
        <v>1.1000000000000001</v>
      </c>
      <c r="G914" t="s">
        <v>2513</v>
      </c>
      <c r="L914" t="s">
        <v>1433</v>
      </c>
      <c r="M914" t="s">
        <v>1833</v>
      </c>
      <c r="N914" t="s">
        <v>2134</v>
      </c>
      <c r="O914">
        <v>78</v>
      </c>
    </row>
    <row r="915" spans="2:15" x14ac:dyDescent="0.2">
      <c r="B915" t="s">
        <v>1433</v>
      </c>
      <c r="C915" t="s">
        <v>12890</v>
      </c>
      <c r="D915" t="s">
        <v>617</v>
      </c>
      <c r="E915" t="s">
        <v>6246</v>
      </c>
      <c r="F915">
        <v>25.9</v>
      </c>
      <c r="H915" t="s">
        <v>2259</v>
      </c>
      <c r="L915" t="s">
        <v>1433</v>
      </c>
      <c r="M915" t="s">
        <v>1834</v>
      </c>
      <c r="N915" t="s">
        <v>2134</v>
      </c>
      <c r="O915">
        <v>50</v>
      </c>
    </row>
    <row r="916" spans="2:15" x14ac:dyDescent="0.2">
      <c r="B916" t="s">
        <v>1433</v>
      </c>
      <c r="C916" t="s">
        <v>12890</v>
      </c>
      <c r="D916" t="s">
        <v>617</v>
      </c>
      <c r="E916" t="s">
        <v>6247</v>
      </c>
      <c r="F916">
        <v>61.72</v>
      </c>
      <c r="H916" t="s">
        <v>1447</v>
      </c>
      <c r="L916" t="s">
        <v>1433</v>
      </c>
      <c r="M916" t="s">
        <v>1835</v>
      </c>
      <c r="N916" t="s">
        <v>2134</v>
      </c>
      <c r="O916">
        <v>50</v>
      </c>
    </row>
    <row r="917" spans="2:15" x14ac:dyDescent="0.2">
      <c r="B917" t="s">
        <v>1433</v>
      </c>
      <c r="C917" t="s">
        <v>12890</v>
      </c>
      <c r="D917" t="s">
        <v>617</v>
      </c>
      <c r="E917" t="s">
        <v>6248</v>
      </c>
      <c r="F917">
        <v>45.75</v>
      </c>
      <c r="H917" t="s">
        <v>1963</v>
      </c>
      <c r="L917" t="s">
        <v>1433</v>
      </c>
      <c r="M917" t="s">
        <v>1838</v>
      </c>
      <c r="N917" t="s">
        <v>2134</v>
      </c>
      <c r="O917">
        <v>60</v>
      </c>
    </row>
    <row r="918" spans="2:15" x14ac:dyDescent="0.2">
      <c r="B918" t="s">
        <v>1433</v>
      </c>
      <c r="C918" t="s">
        <v>12890</v>
      </c>
      <c r="D918" t="s">
        <v>617</v>
      </c>
      <c r="E918" t="s">
        <v>6249</v>
      </c>
      <c r="F918">
        <v>42.12</v>
      </c>
      <c r="H918" t="s">
        <v>1474</v>
      </c>
      <c r="L918" t="s">
        <v>1433</v>
      </c>
      <c r="M918" t="s">
        <v>2135</v>
      </c>
      <c r="N918" t="s">
        <v>2134</v>
      </c>
      <c r="O918">
        <v>14</v>
      </c>
    </row>
    <row r="919" spans="2:15" x14ac:dyDescent="0.2">
      <c r="B919" t="s">
        <v>1433</v>
      </c>
      <c r="C919" t="s">
        <v>12890</v>
      </c>
      <c r="D919" t="s">
        <v>617</v>
      </c>
      <c r="E919" t="s">
        <v>6250</v>
      </c>
      <c r="F919">
        <v>18.23</v>
      </c>
      <c r="H919" t="s">
        <v>1880</v>
      </c>
      <c r="L919" t="s">
        <v>1433</v>
      </c>
      <c r="M919" t="s">
        <v>2136</v>
      </c>
      <c r="N919" t="s">
        <v>2134</v>
      </c>
      <c r="O919">
        <v>100</v>
      </c>
    </row>
    <row r="920" spans="2:15" x14ac:dyDescent="0.2">
      <c r="B920" t="s">
        <v>1433</v>
      </c>
      <c r="C920" t="s">
        <v>12890</v>
      </c>
      <c r="D920" t="s">
        <v>617</v>
      </c>
      <c r="E920" t="s">
        <v>6264</v>
      </c>
      <c r="F920">
        <v>91.5</v>
      </c>
      <c r="H920" t="s">
        <v>1963</v>
      </c>
      <c r="L920" t="s">
        <v>1433</v>
      </c>
      <c r="M920" t="s">
        <v>2137</v>
      </c>
      <c r="N920" t="s">
        <v>2134</v>
      </c>
      <c r="O920">
        <v>120</v>
      </c>
    </row>
    <row r="921" spans="2:15" x14ac:dyDescent="0.2">
      <c r="B921" t="s">
        <v>1433</v>
      </c>
      <c r="C921" t="s">
        <v>12890</v>
      </c>
      <c r="D921" t="s">
        <v>617</v>
      </c>
      <c r="E921" t="s">
        <v>6265</v>
      </c>
      <c r="F921">
        <v>52.56</v>
      </c>
      <c r="H921" t="s">
        <v>1963</v>
      </c>
      <c r="L921" t="s">
        <v>1433</v>
      </c>
      <c r="M921" t="s">
        <v>2138</v>
      </c>
      <c r="N921" t="s">
        <v>2139</v>
      </c>
      <c r="O921">
        <v>118</v>
      </c>
    </row>
    <row r="922" spans="2:15" x14ac:dyDescent="0.2">
      <c r="B922" t="s">
        <v>1433</v>
      </c>
      <c r="C922" t="s">
        <v>12890</v>
      </c>
      <c r="D922" t="s">
        <v>617</v>
      </c>
      <c r="E922" t="s">
        <v>6266</v>
      </c>
      <c r="F922">
        <v>219.54</v>
      </c>
      <c r="G922" t="s">
        <v>3181</v>
      </c>
      <c r="L922" t="s">
        <v>1433</v>
      </c>
      <c r="M922" t="s">
        <v>2140</v>
      </c>
      <c r="N922" t="s">
        <v>2139</v>
      </c>
      <c r="O922">
        <v>275</v>
      </c>
    </row>
    <row r="923" spans="2:15" x14ac:dyDescent="0.2">
      <c r="B923" t="s">
        <v>1433</v>
      </c>
      <c r="C923" t="s">
        <v>12890</v>
      </c>
      <c r="D923" t="s">
        <v>617</v>
      </c>
      <c r="E923" t="s">
        <v>6267</v>
      </c>
      <c r="F923">
        <v>44.48</v>
      </c>
      <c r="G923" t="s">
        <v>6242</v>
      </c>
      <c r="L923" t="s">
        <v>1433</v>
      </c>
      <c r="M923" t="s">
        <v>2141</v>
      </c>
      <c r="N923" t="s">
        <v>2139</v>
      </c>
      <c r="O923">
        <v>500</v>
      </c>
    </row>
    <row r="924" spans="2:15" x14ac:dyDescent="0.2">
      <c r="B924" t="s">
        <v>1433</v>
      </c>
      <c r="C924" t="s">
        <v>12890</v>
      </c>
      <c r="D924" t="s">
        <v>617</v>
      </c>
      <c r="E924" t="s">
        <v>6268</v>
      </c>
      <c r="F924">
        <v>5.5</v>
      </c>
      <c r="G924" t="s">
        <v>5077</v>
      </c>
      <c r="L924" t="s">
        <v>1433</v>
      </c>
      <c r="M924" t="s">
        <v>2142</v>
      </c>
      <c r="N924" t="s">
        <v>2139</v>
      </c>
      <c r="O924">
        <v>600</v>
      </c>
    </row>
    <row r="925" spans="2:15" x14ac:dyDescent="0.2">
      <c r="B925" t="s">
        <v>1433</v>
      </c>
      <c r="C925" t="s">
        <v>12890</v>
      </c>
      <c r="D925" t="s">
        <v>617</v>
      </c>
      <c r="E925" t="s">
        <v>6270</v>
      </c>
      <c r="F925">
        <v>35.04</v>
      </c>
      <c r="G925" t="s">
        <v>3207</v>
      </c>
      <c r="L925" t="s">
        <v>1433</v>
      </c>
      <c r="M925" t="s">
        <v>2143</v>
      </c>
      <c r="N925" t="s">
        <v>2139</v>
      </c>
      <c r="O925">
        <v>140</v>
      </c>
    </row>
    <row r="926" spans="2:15" x14ac:dyDescent="0.2">
      <c r="B926" t="s">
        <v>1433</v>
      </c>
      <c r="C926" t="s">
        <v>12890</v>
      </c>
      <c r="D926" t="s">
        <v>613</v>
      </c>
      <c r="E926" t="s">
        <v>6271</v>
      </c>
      <c r="F926">
        <v>0.19</v>
      </c>
      <c r="G926" t="s">
        <v>6272</v>
      </c>
      <c r="L926" t="s">
        <v>1433</v>
      </c>
      <c r="M926" t="s">
        <v>2144</v>
      </c>
      <c r="N926" t="s">
        <v>2139</v>
      </c>
      <c r="O926">
        <v>414</v>
      </c>
    </row>
    <row r="927" spans="2:15" x14ac:dyDescent="0.2">
      <c r="B927" t="s">
        <v>1433</v>
      </c>
      <c r="C927" t="s">
        <v>12890</v>
      </c>
      <c r="D927" t="s">
        <v>617</v>
      </c>
      <c r="E927" t="s">
        <v>6274</v>
      </c>
      <c r="F927">
        <v>114.12</v>
      </c>
      <c r="H927" t="s">
        <v>3350</v>
      </c>
      <c r="L927" t="s">
        <v>1433</v>
      </c>
      <c r="M927" t="s">
        <v>2145</v>
      </c>
      <c r="N927" t="s">
        <v>2139</v>
      </c>
      <c r="O927">
        <v>18</v>
      </c>
    </row>
    <row r="928" spans="2:15" x14ac:dyDescent="0.2">
      <c r="B928" t="s">
        <v>1433</v>
      </c>
      <c r="C928" t="s">
        <v>12890</v>
      </c>
      <c r="D928" t="s">
        <v>617</v>
      </c>
      <c r="E928" t="s">
        <v>6275</v>
      </c>
      <c r="F928">
        <v>41.04</v>
      </c>
      <c r="H928" t="s">
        <v>3394</v>
      </c>
      <c r="L928" t="s">
        <v>1433</v>
      </c>
      <c r="M928" t="s">
        <v>2146</v>
      </c>
      <c r="N928" t="s">
        <v>2139</v>
      </c>
      <c r="O928">
        <v>144</v>
      </c>
    </row>
    <row r="929" spans="2:15" x14ac:dyDescent="0.2">
      <c r="B929" t="s">
        <v>1433</v>
      </c>
      <c r="C929" t="s">
        <v>12890</v>
      </c>
      <c r="D929" t="s">
        <v>617</v>
      </c>
      <c r="E929" t="s">
        <v>6276</v>
      </c>
      <c r="F929">
        <v>702</v>
      </c>
      <c r="H929" t="s">
        <v>3395</v>
      </c>
      <c r="L929" t="s">
        <v>1433</v>
      </c>
      <c r="M929" t="s">
        <v>2147</v>
      </c>
      <c r="N929" t="s">
        <v>2139</v>
      </c>
      <c r="O929">
        <v>105</v>
      </c>
    </row>
    <row r="930" spans="2:15" x14ac:dyDescent="0.2">
      <c r="B930" t="s">
        <v>1433</v>
      </c>
      <c r="C930" t="s">
        <v>12890</v>
      </c>
      <c r="D930" t="s">
        <v>617</v>
      </c>
      <c r="E930" t="s">
        <v>6277</v>
      </c>
      <c r="F930">
        <v>556.20000000000005</v>
      </c>
      <c r="H930" t="s">
        <v>3347</v>
      </c>
      <c r="L930" t="s">
        <v>1433</v>
      </c>
      <c r="M930" t="s">
        <v>2148</v>
      </c>
      <c r="N930" t="s">
        <v>2149</v>
      </c>
      <c r="O930">
        <v>50</v>
      </c>
    </row>
    <row r="931" spans="2:15" x14ac:dyDescent="0.2">
      <c r="B931" t="s">
        <v>1433</v>
      </c>
      <c r="C931" t="s">
        <v>12890</v>
      </c>
      <c r="D931" t="s">
        <v>617</v>
      </c>
      <c r="E931" t="s">
        <v>6278</v>
      </c>
      <c r="F931">
        <v>541.79999999999995</v>
      </c>
      <c r="H931" t="s">
        <v>3349</v>
      </c>
      <c r="L931" t="s">
        <v>1433</v>
      </c>
      <c r="M931" t="s">
        <v>1311</v>
      </c>
      <c r="N931" t="s">
        <v>2150</v>
      </c>
      <c r="O931">
        <v>1</v>
      </c>
    </row>
    <row r="932" spans="2:15" x14ac:dyDescent="0.2">
      <c r="B932" t="s">
        <v>1433</v>
      </c>
      <c r="C932" t="s">
        <v>12890</v>
      </c>
      <c r="D932" t="s">
        <v>617</v>
      </c>
      <c r="E932" t="s">
        <v>6279</v>
      </c>
      <c r="F932">
        <v>21.33</v>
      </c>
      <c r="H932" t="s">
        <v>3396</v>
      </c>
      <c r="L932" t="s">
        <v>1433</v>
      </c>
      <c r="M932" t="s">
        <v>1315</v>
      </c>
      <c r="N932" t="s">
        <v>2150</v>
      </c>
      <c r="O932">
        <v>1</v>
      </c>
    </row>
    <row r="933" spans="2:15" x14ac:dyDescent="0.2">
      <c r="B933" t="s">
        <v>1433</v>
      </c>
      <c r="C933" t="s">
        <v>12890</v>
      </c>
      <c r="D933" t="s">
        <v>617</v>
      </c>
      <c r="E933" t="s">
        <v>6280</v>
      </c>
      <c r="F933">
        <v>21.33</v>
      </c>
      <c r="H933" t="s">
        <v>3396</v>
      </c>
      <c r="L933" t="s">
        <v>1433</v>
      </c>
      <c r="M933" t="s">
        <v>1319</v>
      </c>
      <c r="N933" t="s">
        <v>2150</v>
      </c>
      <c r="O933">
        <v>1</v>
      </c>
    </row>
    <row r="934" spans="2:15" x14ac:dyDescent="0.2">
      <c r="B934" t="s">
        <v>1433</v>
      </c>
      <c r="C934" t="s">
        <v>12890</v>
      </c>
      <c r="D934" t="s">
        <v>617</v>
      </c>
      <c r="E934" t="s">
        <v>6281</v>
      </c>
      <c r="F934">
        <v>42.05</v>
      </c>
      <c r="H934" t="s">
        <v>3414</v>
      </c>
      <c r="L934" t="s">
        <v>1433</v>
      </c>
      <c r="M934" t="s">
        <v>1257</v>
      </c>
      <c r="N934" t="s">
        <v>2151</v>
      </c>
      <c r="O934">
        <v>1</v>
      </c>
    </row>
    <row r="935" spans="2:15" x14ac:dyDescent="0.2">
      <c r="B935" t="s">
        <v>1433</v>
      </c>
      <c r="C935" t="s">
        <v>12890</v>
      </c>
      <c r="D935" t="s">
        <v>617</v>
      </c>
      <c r="E935" t="s">
        <v>6282</v>
      </c>
      <c r="F935">
        <v>23.01</v>
      </c>
      <c r="G935" t="s">
        <v>3465</v>
      </c>
      <c r="L935" t="s">
        <v>1433</v>
      </c>
      <c r="M935" t="s">
        <v>1259</v>
      </c>
      <c r="N935" t="s">
        <v>2152</v>
      </c>
      <c r="O935">
        <v>1</v>
      </c>
    </row>
    <row r="936" spans="2:15" x14ac:dyDescent="0.2">
      <c r="B936" t="s">
        <v>1433</v>
      </c>
      <c r="C936" t="s">
        <v>12890</v>
      </c>
      <c r="D936" t="s">
        <v>617</v>
      </c>
      <c r="E936" t="s">
        <v>6283</v>
      </c>
      <c r="F936">
        <v>4.21</v>
      </c>
      <c r="G936" t="s">
        <v>1881</v>
      </c>
      <c r="L936" t="s">
        <v>1433</v>
      </c>
      <c r="M936" t="s">
        <v>2153</v>
      </c>
      <c r="N936" t="s">
        <v>1968</v>
      </c>
      <c r="O936">
        <v>2</v>
      </c>
    </row>
    <row r="937" spans="2:15" x14ac:dyDescent="0.2">
      <c r="B937" t="s">
        <v>1433</v>
      </c>
      <c r="C937" t="s">
        <v>12890</v>
      </c>
      <c r="D937" t="s">
        <v>617</v>
      </c>
      <c r="E937" t="s">
        <v>6284</v>
      </c>
      <c r="F937">
        <v>30.8</v>
      </c>
      <c r="G937" t="s">
        <v>3558</v>
      </c>
      <c r="L937" t="s">
        <v>1433</v>
      </c>
      <c r="M937" t="s">
        <v>1292</v>
      </c>
      <c r="N937" t="s">
        <v>2154</v>
      </c>
      <c r="O937">
        <v>26</v>
      </c>
    </row>
    <row r="938" spans="2:15" x14ac:dyDescent="0.2">
      <c r="B938" t="s">
        <v>1433</v>
      </c>
      <c r="C938" t="s">
        <v>12890</v>
      </c>
      <c r="D938" t="s">
        <v>617</v>
      </c>
      <c r="E938" t="s">
        <v>6285</v>
      </c>
      <c r="F938">
        <v>9.99</v>
      </c>
      <c r="G938" t="s">
        <v>1700</v>
      </c>
      <c r="L938" t="s">
        <v>1433</v>
      </c>
      <c r="M938" t="s">
        <v>1301</v>
      </c>
      <c r="N938" t="s">
        <v>2154</v>
      </c>
      <c r="O938">
        <v>6</v>
      </c>
    </row>
    <row r="939" spans="2:15" x14ac:dyDescent="0.2">
      <c r="B939" t="s">
        <v>1433</v>
      </c>
      <c r="C939" t="s">
        <v>12890</v>
      </c>
      <c r="D939" t="s">
        <v>617</v>
      </c>
      <c r="E939" t="s">
        <v>6287</v>
      </c>
      <c r="F939">
        <v>810.4</v>
      </c>
      <c r="H939" t="s">
        <v>2276</v>
      </c>
      <c r="L939" t="s">
        <v>1433</v>
      </c>
      <c r="M939" t="s">
        <v>2155</v>
      </c>
      <c r="N939" t="s">
        <v>2156</v>
      </c>
      <c r="O939">
        <v>75</v>
      </c>
    </row>
    <row r="940" spans="2:15" x14ac:dyDescent="0.2">
      <c r="B940" t="s">
        <v>1433</v>
      </c>
      <c r="C940" t="s">
        <v>12890</v>
      </c>
      <c r="D940" t="s">
        <v>617</v>
      </c>
      <c r="E940" t="s">
        <v>6288</v>
      </c>
      <c r="F940">
        <v>12.62</v>
      </c>
      <c r="H940" t="s">
        <v>1881</v>
      </c>
      <c r="L940" t="s">
        <v>1433</v>
      </c>
      <c r="M940" t="s">
        <v>2157</v>
      </c>
      <c r="N940" t="s">
        <v>2156</v>
      </c>
      <c r="O940">
        <v>275</v>
      </c>
    </row>
    <row r="941" spans="2:15" x14ac:dyDescent="0.2">
      <c r="B941" t="s">
        <v>1433</v>
      </c>
      <c r="C941" t="s">
        <v>12890</v>
      </c>
      <c r="D941" t="s">
        <v>617</v>
      </c>
      <c r="E941" t="s">
        <v>6291</v>
      </c>
      <c r="F941">
        <v>85.2</v>
      </c>
      <c r="H941" t="s">
        <v>1794</v>
      </c>
      <c r="L941" t="s">
        <v>1433</v>
      </c>
      <c r="M941" t="s">
        <v>2158</v>
      </c>
      <c r="N941" t="s">
        <v>2156</v>
      </c>
      <c r="O941">
        <v>100</v>
      </c>
    </row>
    <row r="942" spans="2:15" x14ac:dyDescent="0.2">
      <c r="B942" t="s">
        <v>1433</v>
      </c>
      <c r="C942" t="s">
        <v>12890</v>
      </c>
      <c r="D942" t="s">
        <v>617</v>
      </c>
      <c r="E942" t="s">
        <v>6292</v>
      </c>
      <c r="F942">
        <v>2449.86</v>
      </c>
      <c r="G942" t="s">
        <v>4061</v>
      </c>
      <c r="L942" t="s">
        <v>1433</v>
      </c>
      <c r="M942" t="s">
        <v>1517</v>
      </c>
      <c r="N942" t="s">
        <v>2159</v>
      </c>
      <c r="O942">
        <v>76</v>
      </c>
    </row>
    <row r="943" spans="2:15" x14ac:dyDescent="0.2">
      <c r="B943" t="s">
        <v>1433</v>
      </c>
      <c r="C943" t="s">
        <v>12890</v>
      </c>
      <c r="D943" t="s">
        <v>617</v>
      </c>
      <c r="E943" t="s">
        <v>6293</v>
      </c>
      <c r="F943">
        <v>997.22</v>
      </c>
      <c r="H943" t="s">
        <v>1374</v>
      </c>
      <c r="L943" t="s">
        <v>1433</v>
      </c>
      <c r="M943" t="s">
        <v>1701</v>
      </c>
      <c r="N943" t="s">
        <v>2159</v>
      </c>
      <c r="O943">
        <v>16</v>
      </c>
    </row>
    <row r="944" spans="2:15" x14ac:dyDescent="0.2">
      <c r="B944" t="s">
        <v>1433</v>
      </c>
      <c r="C944" t="s">
        <v>12890</v>
      </c>
      <c r="D944" t="s">
        <v>617</v>
      </c>
      <c r="E944" t="s">
        <v>6294</v>
      </c>
      <c r="F944">
        <v>49.35</v>
      </c>
      <c r="H944" t="s">
        <v>1923</v>
      </c>
      <c r="L944" t="s">
        <v>1433</v>
      </c>
      <c r="M944" t="s">
        <v>1514</v>
      </c>
      <c r="N944" t="s">
        <v>2159</v>
      </c>
      <c r="O944">
        <v>21</v>
      </c>
    </row>
    <row r="945" spans="2:15" x14ac:dyDescent="0.2">
      <c r="B945" t="s">
        <v>1433</v>
      </c>
      <c r="C945" t="s">
        <v>12890</v>
      </c>
      <c r="D945" t="s">
        <v>617</v>
      </c>
      <c r="E945" t="s">
        <v>6295</v>
      </c>
      <c r="F945">
        <v>37.26</v>
      </c>
      <c r="H945" t="s">
        <v>1446</v>
      </c>
      <c r="L945" t="s">
        <v>1433</v>
      </c>
      <c r="M945" t="s">
        <v>1516</v>
      </c>
      <c r="N945" t="s">
        <v>2159</v>
      </c>
      <c r="O945">
        <v>21</v>
      </c>
    </row>
    <row r="946" spans="2:15" x14ac:dyDescent="0.2">
      <c r="B946" t="s">
        <v>1433</v>
      </c>
      <c r="C946" t="s">
        <v>12890</v>
      </c>
      <c r="D946" t="s">
        <v>617</v>
      </c>
      <c r="E946" t="s">
        <v>6296</v>
      </c>
      <c r="F946">
        <v>125.65</v>
      </c>
      <c r="H946" t="s">
        <v>4098</v>
      </c>
      <c r="L946" t="s">
        <v>1433</v>
      </c>
      <c r="M946" t="s">
        <v>1556</v>
      </c>
      <c r="N946" t="s">
        <v>2159</v>
      </c>
      <c r="O946">
        <v>2</v>
      </c>
    </row>
    <row r="947" spans="2:15" x14ac:dyDescent="0.2">
      <c r="B947" t="s">
        <v>1433</v>
      </c>
      <c r="C947" t="s">
        <v>12890</v>
      </c>
      <c r="D947" t="s">
        <v>417</v>
      </c>
      <c r="E947" t="s">
        <v>6297</v>
      </c>
      <c r="F947">
        <v>11728.38</v>
      </c>
      <c r="G947" t="s">
        <v>6298</v>
      </c>
      <c r="L947" t="s">
        <v>1433</v>
      </c>
      <c r="M947" t="s">
        <v>1557</v>
      </c>
      <c r="N947" t="s">
        <v>2159</v>
      </c>
      <c r="O947">
        <v>13</v>
      </c>
    </row>
    <row r="948" spans="2:15" x14ac:dyDescent="0.2">
      <c r="B948" t="s">
        <v>1433</v>
      </c>
      <c r="C948" t="s">
        <v>12891</v>
      </c>
      <c r="D948" t="s">
        <v>554</v>
      </c>
      <c r="E948" t="s">
        <v>6302</v>
      </c>
      <c r="F948">
        <v>7662</v>
      </c>
      <c r="H948" t="s">
        <v>1839</v>
      </c>
      <c r="L948" t="s">
        <v>1433</v>
      </c>
      <c r="M948" t="s">
        <v>1558</v>
      </c>
      <c r="N948" t="s">
        <v>2159</v>
      </c>
      <c r="O948">
        <v>13</v>
      </c>
    </row>
    <row r="949" spans="2:15" x14ac:dyDescent="0.2">
      <c r="B949" t="s">
        <v>1433</v>
      </c>
      <c r="C949" t="s">
        <v>12891</v>
      </c>
      <c r="D949" t="s">
        <v>613</v>
      </c>
      <c r="E949" t="s">
        <v>6304</v>
      </c>
      <c r="F949">
        <v>208</v>
      </c>
      <c r="H949" t="s">
        <v>1437</v>
      </c>
      <c r="L949" t="s">
        <v>1433</v>
      </c>
      <c r="M949" t="s">
        <v>1559</v>
      </c>
      <c r="N949" t="s">
        <v>2159</v>
      </c>
      <c r="O949">
        <v>12</v>
      </c>
    </row>
    <row r="950" spans="2:15" x14ac:dyDescent="0.2">
      <c r="B950" t="s">
        <v>1433</v>
      </c>
      <c r="C950" t="s">
        <v>12891</v>
      </c>
      <c r="D950" t="s">
        <v>554</v>
      </c>
      <c r="E950" t="s">
        <v>6305</v>
      </c>
      <c r="F950">
        <v>47564</v>
      </c>
      <c r="H950" t="s">
        <v>1840</v>
      </c>
      <c r="L950" t="s">
        <v>1433</v>
      </c>
      <c r="M950" t="s">
        <v>1560</v>
      </c>
      <c r="N950" t="s">
        <v>2159</v>
      </c>
      <c r="O950">
        <v>10</v>
      </c>
    </row>
    <row r="951" spans="2:15" x14ac:dyDescent="0.2">
      <c r="B951" t="s">
        <v>1433</v>
      </c>
      <c r="C951" t="s">
        <v>12891</v>
      </c>
      <c r="D951" t="s">
        <v>554</v>
      </c>
      <c r="E951" t="s">
        <v>6306</v>
      </c>
      <c r="F951">
        <v>1328</v>
      </c>
      <c r="H951" t="s">
        <v>3618</v>
      </c>
      <c r="L951" t="s">
        <v>1433</v>
      </c>
      <c r="M951" t="s">
        <v>1563</v>
      </c>
      <c r="N951" t="s">
        <v>2159</v>
      </c>
      <c r="O951">
        <v>1</v>
      </c>
    </row>
    <row r="952" spans="2:15" x14ac:dyDescent="0.2">
      <c r="B952" t="s">
        <v>1433</v>
      </c>
      <c r="C952" t="s">
        <v>12891</v>
      </c>
      <c r="D952" t="s">
        <v>554</v>
      </c>
      <c r="E952" t="s">
        <v>6307</v>
      </c>
      <c r="F952">
        <v>3027.1</v>
      </c>
      <c r="H952" t="s">
        <v>3638</v>
      </c>
      <c r="L952" t="s">
        <v>1433</v>
      </c>
      <c r="M952" t="s">
        <v>1564</v>
      </c>
      <c r="N952" t="s">
        <v>2159</v>
      </c>
      <c r="O952">
        <v>1</v>
      </c>
    </row>
    <row r="953" spans="2:15" x14ac:dyDescent="0.2">
      <c r="B953" t="s">
        <v>1433</v>
      </c>
      <c r="C953" t="s">
        <v>12891</v>
      </c>
      <c r="D953" t="s">
        <v>617</v>
      </c>
      <c r="E953" t="s">
        <v>6308</v>
      </c>
      <c r="F953">
        <v>15200</v>
      </c>
      <c r="G953" t="s">
        <v>1439</v>
      </c>
      <c r="L953" t="s">
        <v>1433</v>
      </c>
      <c r="M953" t="s">
        <v>1569</v>
      </c>
      <c r="N953" t="s">
        <v>2159</v>
      </c>
      <c r="O953">
        <v>2</v>
      </c>
    </row>
    <row r="954" spans="2:15" x14ac:dyDescent="0.2">
      <c r="B954" t="s">
        <v>1433</v>
      </c>
      <c r="C954" t="s">
        <v>12891</v>
      </c>
      <c r="D954" t="s">
        <v>613</v>
      </c>
      <c r="E954" t="s">
        <v>6310</v>
      </c>
      <c r="F954">
        <v>23.01</v>
      </c>
      <c r="H954" t="s">
        <v>2392</v>
      </c>
      <c r="L954" t="s">
        <v>1433</v>
      </c>
      <c r="M954" t="s">
        <v>2160</v>
      </c>
      <c r="N954" t="s">
        <v>2159</v>
      </c>
      <c r="O954">
        <v>1</v>
      </c>
    </row>
    <row r="955" spans="2:15" x14ac:dyDescent="0.2">
      <c r="B955" t="s">
        <v>1433</v>
      </c>
      <c r="C955" t="s">
        <v>12891</v>
      </c>
      <c r="D955" t="s">
        <v>554</v>
      </c>
      <c r="E955" t="s">
        <v>6311</v>
      </c>
      <c r="F955">
        <v>26580</v>
      </c>
      <c r="H955" t="s">
        <v>2387</v>
      </c>
      <c r="L955" t="s">
        <v>1433</v>
      </c>
      <c r="M955" t="s">
        <v>2161</v>
      </c>
      <c r="N955" t="s">
        <v>2159</v>
      </c>
      <c r="O955">
        <v>1</v>
      </c>
    </row>
    <row r="956" spans="2:15" x14ac:dyDescent="0.2">
      <c r="B956" t="s">
        <v>1433</v>
      </c>
      <c r="C956" t="s">
        <v>12891</v>
      </c>
      <c r="D956" t="s">
        <v>613</v>
      </c>
      <c r="E956" t="s">
        <v>6313</v>
      </c>
      <c r="F956">
        <v>6.13</v>
      </c>
      <c r="H956" t="s">
        <v>2392</v>
      </c>
      <c r="L956" t="s">
        <v>1433</v>
      </c>
      <c r="M956" t="s">
        <v>1577</v>
      </c>
      <c r="N956" t="s">
        <v>2159</v>
      </c>
      <c r="O956">
        <v>20</v>
      </c>
    </row>
    <row r="957" spans="2:15" x14ac:dyDescent="0.2">
      <c r="B957" t="s">
        <v>1433</v>
      </c>
      <c r="C957" t="s">
        <v>12891</v>
      </c>
      <c r="D957" t="s">
        <v>554</v>
      </c>
      <c r="E957" t="s">
        <v>6314</v>
      </c>
      <c r="F957">
        <v>8744</v>
      </c>
      <c r="H957" t="s">
        <v>2389</v>
      </c>
      <c r="L957" t="s">
        <v>1433</v>
      </c>
      <c r="M957" t="s">
        <v>2162</v>
      </c>
      <c r="N957" t="s">
        <v>2159</v>
      </c>
      <c r="O957">
        <v>6</v>
      </c>
    </row>
    <row r="958" spans="2:15" x14ac:dyDescent="0.2">
      <c r="B958" t="s">
        <v>1433</v>
      </c>
      <c r="C958" t="s">
        <v>12891</v>
      </c>
      <c r="D958" t="s">
        <v>613</v>
      </c>
      <c r="E958" t="s">
        <v>6316</v>
      </c>
      <c r="F958">
        <v>15.34</v>
      </c>
      <c r="H958" t="s">
        <v>2392</v>
      </c>
      <c r="L958" t="s">
        <v>1433</v>
      </c>
      <c r="M958" t="s">
        <v>1608</v>
      </c>
      <c r="N958" t="s">
        <v>2163</v>
      </c>
      <c r="O958">
        <v>4</v>
      </c>
    </row>
    <row r="959" spans="2:15" x14ac:dyDescent="0.2">
      <c r="B959" t="s">
        <v>1433</v>
      </c>
      <c r="C959" t="s">
        <v>12891</v>
      </c>
      <c r="D959" t="s">
        <v>554</v>
      </c>
      <c r="E959" t="s">
        <v>6317</v>
      </c>
      <c r="F959">
        <v>24230</v>
      </c>
      <c r="H959" t="s">
        <v>2390</v>
      </c>
      <c r="L959" t="s">
        <v>1433</v>
      </c>
      <c r="M959" t="s">
        <v>1532</v>
      </c>
      <c r="N959" t="s">
        <v>2163</v>
      </c>
      <c r="O959">
        <v>12</v>
      </c>
    </row>
    <row r="960" spans="2:15" x14ac:dyDescent="0.2">
      <c r="B960" t="s">
        <v>1433</v>
      </c>
      <c r="C960" t="s">
        <v>12891</v>
      </c>
      <c r="D960" t="s">
        <v>613</v>
      </c>
      <c r="E960" t="s">
        <v>6331</v>
      </c>
      <c r="F960">
        <v>13.8</v>
      </c>
      <c r="H960" t="s">
        <v>2392</v>
      </c>
      <c r="L960" t="s">
        <v>1433</v>
      </c>
      <c r="M960" t="s">
        <v>2164</v>
      </c>
      <c r="N960" t="s">
        <v>2165</v>
      </c>
      <c r="O960">
        <v>2</v>
      </c>
    </row>
    <row r="961" spans="2:15" x14ac:dyDescent="0.2">
      <c r="B961" t="s">
        <v>1433</v>
      </c>
      <c r="C961" t="s">
        <v>12891</v>
      </c>
      <c r="D961" t="s">
        <v>554</v>
      </c>
      <c r="E961" t="s">
        <v>6332</v>
      </c>
      <c r="F961">
        <v>28044</v>
      </c>
      <c r="H961" t="s">
        <v>2391</v>
      </c>
      <c r="L961" t="s">
        <v>1433</v>
      </c>
      <c r="M961" t="s">
        <v>2166</v>
      </c>
      <c r="N961" t="s">
        <v>2167</v>
      </c>
      <c r="O961">
        <v>1</v>
      </c>
    </row>
    <row r="962" spans="2:15" x14ac:dyDescent="0.2">
      <c r="B962" t="s">
        <v>1433</v>
      </c>
      <c r="C962" t="s">
        <v>12891</v>
      </c>
      <c r="D962" t="s">
        <v>613</v>
      </c>
      <c r="E962" t="s">
        <v>6341</v>
      </c>
      <c r="F962">
        <v>16.850000000000001</v>
      </c>
      <c r="H962" t="s">
        <v>5286</v>
      </c>
      <c r="L962" t="s">
        <v>1433</v>
      </c>
      <c r="M962" t="s">
        <v>1659</v>
      </c>
      <c r="N962" t="s">
        <v>2168</v>
      </c>
      <c r="O962">
        <v>10</v>
      </c>
    </row>
    <row r="963" spans="2:15" x14ac:dyDescent="0.2">
      <c r="B963" t="s">
        <v>1433</v>
      </c>
      <c r="C963" t="s">
        <v>12891</v>
      </c>
      <c r="D963" t="s">
        <v>613</v>
      </c>
      <c r="E963" t="s">
        <v>6342</v>
      </c>
      <c r="F963">
        <v>1.26</v>
      </c>
      <c r="H963" t="s">
        <v>3485</v>
      </c>
      <c r="L963" t="s">
        <v>1433</v>
      </c>
      <c r="M963" t="s">
        <v>2169</v>
      </c>
      <c r="N963" t="s">
        <v>2168</v>
      </c>
      <c r="O963">
        <v>10</v>
      </c>
    </row>
    <row r="964" spans="2:15" x14ac:dyDescent="0.2">
      <c r="B964" t="s">
        <v>1433</v>
      </c>
      <c r="C964" t="s">
        <v>12891</v>
      </c>
      <c r="D964" t="s">
        <v>613</v>
      </c>
      <c r="E964" t="s">
        <v>6343</v>
      </c>
      <c r="F964">
        <v>17.2</v>
      </c>
      <c r="H964" t="s">
        <v>3484</v>
      </c>
      <c r="L964" t="s">
        <v>1433</v>
      </c>
      <c r="M964" t="s">
        <v>1275</v>
      </c>
      <c r="N964" t="s">
        <v>2170</v>
      </c>
      <c r="O964">
        <v>1</v>
      </c>
    </row>
    <row r="965" spans="2:15" x14ac:dyDescent="0.2">
      <c r="B965" t="s">
        <v>1433</v>
      </c>
      <c r="C965" t="s">
        <v>12891</v>
      </c>
      <c r="D965" t="s">
        <v>613</v>
      </c>
      <c r="E965" t="s">
        <v>6344</v>
      </c>
      <c r="F965">
        <v>90.4</v>
      </c>
      <c r="H965" t="s">
        <v>1243</v>
      </c>
      <c r="L965" t="s">
        <v>1433</v>
      </c>
      <c r="M965" t="s">
        <v>2171</v>
      </c>
      <c r="N965" t="s">
        <v>1662</v>
      </c>
      <c r="O965">
        <v>18</v>
      </c>
    </row>
    <row r="966" spans="2:15" x14ac:dyDescent="0.2">
      <c r="B966" t="s">
        <v>1433</v>
      </c>
      <c r="C966" t="s">
        <v>12891</v>
      </c>
      <c r="D966" t="s">
        <v>613</v>
      </c>
      <c r="E966" t="s">
        <v>6345</v>
      </c>
      <c r="F966">
        <v>120.4</v>
      </c>
      <c r="H966" t="s">
        <v>1245</v>
      </c>
      <c r="L966" t="s">
        <v>1433</v>
      </c>
      <c r="M966" t="s">
        <v>1380</v>
      </c>
      <c r="N966" t="s">
        <v>2172</v>
      </c>
      <c r="O966">
        <v>70</v>
      </c>
    </row>
    <row r="967" spans="2:15" x14ac:dyDescent="0.2">
      <c r="B967" t="s">
        <v>1433</v>
      </c>
      <c r="C967" t="s">
        <v>12891</v>
      </c>
      <c r="D967" t="s">
        <v>554</v>
      </c>
      <c r="E967" t="s">
        <v>6346</v>
      </c>
      <c r="F967">
        <v>78.42</v>
      </c>
      <c r="H967" t="s">
        <v>2444</v>
      </c>
      <c r="L967" t="s">
        <v>1433</v>
      </c>
      <c r="M967" t="s">
        <v>2173</v>
      </c>
      <c r="N967" t="s">
        <v>2172</v>
      </c>
      <c r="O967">
        <v>20</v>
      </c>
    </row>
    <row r="968" spans="2:15" x14ac:dyDescent="0.2">
      <c r="B968" t="s">
        <v>1433</v>
      </c>
      <c r="C968" t="s">
        <v>12891</v>
      </c>
      <c r="D968" t="s">
        <v>84</v>
      </c>
      <c r="E968" t="s">
        <v>6347</v>
      </c>
      <c r="F968">
        <v>21</v>
      </c>
      <c r="H968" t="s">
        <v>6257</v>
      </c>
      <c r="L968" t="s">
        <v>1433</v>
      </c>
      <c r="M968" t="s">
        <v>1382</v>
      </c>
      <c r="N968" t="s">
        <v>2172</v>
      </c>
      <c r="O968">
        <v>4</v>
      </c>
    </row>
    <row r="969" spans="2:15" x14ac:dyDescent="0.2">
      <c r="B969" t="s">
        <v>1433</v>
      </c>
      <c r="C969" t="s">
        <v>12891</v>
      </c>
      <c r="D969" t="s">
        <v>84</v>
      </c>
      <c r="E969" t="s">
        <v>6348</v>
      </c>
      <c r="F969">
        <v>26.71</v>
      </c>
      <c r="H969" t="s">
        <v>3553</v>
      </c>
      <c r="L969" t="s">
        <v>1433</v>
      </c>
      <c r="M969" t="s">
        <v>2174</v>
      </c>
      <c r="N969" t="s">
        <v>2172</v>
      </c>
      <c r="O969">
        <v>20</v>
      </c>
    </row>
    <row r="970" spans="2:15" x14ac:dyDescent="0.2">
      <c r="B970" t="s">
        <v>1433</v>
      </c>
      <c r="C970" t="s">
        <v>12891</v>
      </c>
      <c r="D970" t="s">
        <v>554</v>
      </c>
      <c r="E970" t="s">
        <v>6349</v>
      </c>
      <c r="F970">
        <v>11152</v>
      </c>
      <c r="H970" t="s">
        <v>2337</v>
      </c>
      <c r="L970" t="s">
        <v>1433</v>
      </c>
      <c r="M970" t="s">
        <v>2175</v>
      </c>
      <c r="N970" t="s">
        <v>2172</v>
      </c>
      <c r="O970">
        <v>4</v>
      </c>
    </row>
    <row r="971" spans="2:15" x14ac:dyDescent="0.2">
      <c r="B971" t="s">
        <v>1433</v>
      </c>
      <c r="C971" t="s">
        <v>12891</v>
      </c>
      <c r="D971" t="s">
        <v>613</v>
      </c>
      <c r="E971" t="s">
        <v>6350</v>
      </c>
      <c r="F971">
        <v>3.2</v>
      </c>
      <c r="H971" t="s">
        <v>3482</v>
      </c>
      <c r="L971" t="s">
        <v>1433</v>
      </c>
      <c r="M971" t="s">
        <v>2176</v>
      </c>
      <c r="N971" t="s">
        <v>2172</v>
      </c>
      <c r="O971">
        <v>2</v>
      </c>
    </row>
    <row r="972" spans="2:15" x14ac:dyDescent="0.2">
      <c r="B972" t="s">
        <v>1433</v>
      </c>
      <c r="C972" t="s">
        <v>12891</v>
      </c>
      <c r="D972" t="s">
        <v>613</v>
      </c>
      <c r="E972" t="s">
        <v>6358</v>
      </c>
      <c r="F972">
        <v>0.63</v>
      </c>
      <c r="H972" t="s">
        <v>3485</v>
      </c>
      <c r="L972" t="s">
        <v>1433</v>
      </c>
      <c r="M972" t="s">
        <v>2177</v>
      </c>
      <c r="N972" t="s">
        <v>2172</v>
      </c>
      <c r="O972">
        <v>15</v>
      </c>
    </row>
    <row r="973" spans="2:15" x14ac:dyDescent="0.2">
      <c r="B973" t="s">
        <v>1433</v>
      </c>
      <c r="C973" t="s">
        <v>12891</v>
      </c>
      <c r="D973" t="s">
        <v>613</v>
      </c>
      <c r="E973" t="s">
        <v>6359</v>
      </c>
      <c r="F973">
        <v>8.6</v>
      </c>
      <c r="H973" t="s">
        <v>3484</v>
      </c>
      <c r="L973" t="s">
        <v>1433</v>
      </c>
      <c r="M973" t="s">
        <v>1917</v>
      </c>
      <c r="N973" t="s">
        <v>2172</v>
      </c>
      <c r="O973">
        <v>4</v>
      </c>
    </row>
    <row r="974" spans="2:15" x14ac:dyDescent="0.2">
      <c r="B974" t="s">
        <v>1433</v>
      </c>
      <c r="C974" t="s">
        <v>12891</v>
      </c>
      <c r="D974" t="s">
        <v>613</v>
      </c>
      <c r="E974" t="s">
        <v>6360</v>
      </c>
      <c r="F974">
        <v>93.41</v>
      </c>
      <c r="H974" t="s">
        <v>2212</v>
      </c>
      <c r="L974" t="s">
        <v>1433</v>
      </c>
      <c r="M974" t="s">
        <v>1806</v>
      </c>
      <c r="N974" t="s">
        <v>2172</v>
      </c>
      <c r="O974">
        <v>12</v>
      </c>
    </row>
    <row r="975" spans="2:15" x14ac:dyDescent="0.2">
      <c r="B975" t="s">
        <v>1433</v>
      </c>
      <c r="C975" t="s">
        <v>12891</v>
      </c>
      <c r="D975" t="s">
        <v>613</v>
      </c>
      <c r="E975" t="s">
        <v>6361</v>
      </c>
      <c r="F975">
        <v>113</v>
      </c>
      <c r="H975" t="s">
        <v>1243</v>
      </c>
      <c r="L975" t="s">
        <v>1433</v>
      </c>
      <c r="M975" t="s">
        <v>1350</v>
      </c>
      <c r="N975" t="s">
        <v>2178</v>
      </c>
      <c r="O975">
        <v>1</v>
      </c>
    </row>
    <row r="976" spans="2:15" x14ac:dyDescent="0.2">
      <c r="B976" t="s">
        <v>1433</v>
      </c>
      <c r="C976" t="s">
        <v>12891</v>
      </c>
      <c r="D976" t="s">
        <v>613</v>
      </c>
      <c r="E976" t="s">
        <v>6362</v>
      </c>
      <c r="F976">
        <v>165.55</v>
      </c>
      <c r="H976" t="s">
        <v>1245</v>
      </c>
      <c r="L976" t="s">
        <v>1433</v>
      </c>
      <c r="M976" t="s">
        <v>2179</v>
      </c>
      <c r="N976" t="s">
        <v>2180</v>
      </c>
      <c r="O976">
        <v>1</v>
      </c>
    </row>
    <row r="977" spans="2:15" x14ac:dyDescent="0.2">
      <c r="B977" t="s">
        <v>1433</v>
      </c>
      <c r="C977" t="s">
        <v>12891</v>
      </c>
      <c r="D977" t="s">
        <v>554</v>
      </c>
      <c r="E977" t="s">
        <v>6363</v>
      </c>
      <c r="F977">
        <v>39.21</v>
      </c>
      <c r="H977" t="s">
        <v>2444</v>
      </c>
      <c r="L977" t="s">
        <v>1433</v>
      </c>
      <c r="M977" t="s">
        <v>1356</v>
      </c>
      <c r="N977" t="s">
        <v>2180</v>
      </c>
      <c r="O977">
        <v>1</v>
      </c>
    </row>
    <row r="978" spans="2:15" x14ac:dyDescent="0.2">
      <c r="B978" t="s">
        <v>1433</v>
      </c>
      <c r="C978" t="s">
        <v>12891</v>
      </c>
      <c r="D978" t="s">
        <v>84</v>
      </c>
      <c r="E978" t="s">
        <v>6364</v>
      </c>
      <c r="F978">
        <v>10.5</v>
      </c>
      <c r="H978" t="s">
        <v>6257</v>
      </c>
      <c r="L978" t="s">
        <v>1433</v>
      </c>
      <c r="M978" t="s">
        <v>1415</v>
      </c>
      <c r="N978" t="s">
        <v>2180</v>
      </c>
      <c r="O978">
        <v>1</v>
      </c>
    </row>
    <row r="979" spans="2:15" x14ac:dyDescent="0.2">
      <c r="B979" t="s">
        <v>1433</v>
      </c>
      <c r="C979" t="s">
        <v>12891</v>
      </c>
      <c r="D979" t="s">
        <v>84</v>
      </c>
      <c r="E979" t="s">
        <v>6365</v>
      </c>
      <c r="F979">
        <v>13.36</v>
      </c>
      <c r="H979" t="s">
        <v>3553</v>
      </c>
      <c r="L979" t="s">
        <v>1433</v>
      </c>
      <c r="M979" t="s">
        <v>1417</v>
      </c>
      <c r="N979" t="s">
        <v>2180</v>
      </c>
      <c r="O979">
        <v>1</v>
      </c>
    </row>
    <row r="980" spans="2:15" x14ac:dyDescent="0.2">
      <c r="B980" t="s">
        <v>1433</v>
      </c>
      <c r="C980" t="s">
        <v>12891</v>
      </c>
      <c r="D980" t="s">
        <v>613</v>
      </c>
      <c r="E980" t="s">
        <v>6366</v>
      </c>
      <c r="F980">
        <v>133.16999999999999</v>
      </c>
      <c r="H980" t="s">
        <v>1565</v>
      </c>
      <c r="L980" t="s">
        <v>1433</v>
      </c>
      <c r="M980" t="s">
        <v>2181</v>
      </c>
      <c r="N980" t="s">
        <v>2180</v>
      </c>
      <c r="O980">
        <v>1</v>
      </c>
    </row>
    <row r="981" spans="2:15" x14ac:dyDescent="0.2">
      <c r="B981" t="s">
        <v>1433</v>
      </c>
      <c r="C981" t="s">
        <v>12891</v>
      </c>
      <c r="D981" t="s">
        <v>613</v>
      </c>
      <c r="E981" t="s">
        <v>6367</v>
      </c>
      <c r="F981">
        <v>222.24</v>
      </c>
      <c r="H981" t="s">
        <v>1719</v>
      </c>
      <c r="L981" t="s">
        <v>1433</v>
      </c>
      <c r="M981" t="s">
        <v>2182</v>
      </c>
      <c r="N981" t="s">
        <v>2180</v>
      </c>
      <c r="O981">
        <v>1</v>
      </c>
    </row>
    <row r="982" spans="2:15" x14ac:dyDescent="0.2">
      <c r="B982" t="s">
        <v>1433</v>
      </c>
      <c r="C982" t="s">
        <v>12891</v>
      </c>
      <c r="D982" t="s">
        <v>613</v>
      </c>
      <c r="E982" t="s">
        <v>6368</v>
      </c>
      <c r="F982">
        <v>690.04</v>
      </c>
      <c r="H982" t="s">
        <v>1727</v>
      </c>
      <c r="L982" t="s">
        <v>1433</v>
      </c>
      <c r="M982" t="s">
        <v>1425</v>
      </c>
      <c r="N982" t="s">
        <v>2180</v>
      </c>
      <c r="O982">
        <v>1</v>
      </c>
    </row>
    <row r="983" spans="2:15" x14ac:dyDescent="0.2">
      <c r="B983" t="s">
        <v>1433</v>
      </c>
      <c r="C983" t="s">
        <v>12891</v>
      </c>
      <c r="D983" t="s">
        <v>613</v>
      </c>
      <c r="E983" t="s">
        <v>6369</v>
      </c>
      <c r="F983">
        <v>623.38</v>
      </c>
      <c r="H983" t="s">
        <v>1507</v>
      </c>
      <c r="L983" t="s">
        <v>1433</v>
      </c>
      <c r="M983" t="s">
        <v>1427</v>
      </c>
      <c r="N983" t="s">
        <v>2180</v>
      </c>
      <c r="O983">
        <v>1</v>
      </c>
    </row>
    <row r="984" spans="2:15" x14ac:dyDescent="0.2">
      <c r="B984" t="s">
        <v>1433</v>
      </c>
      <c r="C984" t="s">
        <v>12891</v>
      </c>
      <c r="D984" t="s">
        <v>613</v>
      </c>
      <c r="E984" t="s">
        <v>6370</v>
      </c>
      <c r="F984">
        <v>34.700000000000003</v>
      </c>
      <c r="H984" t="s">
        <v>1503</v>
      </c>
      <c r="L984" t="s">
        <v>1433</v>
      </c>
      <c r="M984" t="s">
        <v>1431</v>
      </c>
      <c r="N984" t="s">
        <v>2180</v>
      </c>
      <c r="O984">
        <v>1</v>
      </c>
    </row>
    <row r="985" spans="2:15" x14ac:dyDescent="0.2">
      <c r="B985" t="s">
        <v>1433</v>
      </c>
      <c r="C985" t="s">
        <v>12891</v>
      </c>
      <c r="D985" t="s">
        <v>613</v>
      </c>
      <c r="E985" t="s">
        <v>6371</v>
      </c>
      <c r="F985">
        <v>409.23</v>
      </c>
      <c r="H985" t="s">
        <v>2294</v>
      </c>
      <c r="L985" t="s">
        <v>1433</v>
      </c>
      <c r="M985" t="s">
        <v>2183</v>
      </c>
      <c r="N985" t="s">
        <v>2180</v>
      </c>
      <c r="O985">
        <v>1</v>
      </c>
    </row>
    <row r="986" spans="2:15" x14ac:dyDescent="0.2">
      <c r="B986" t="s">
        <v>1433</v>
      </c>
      <c r="C986" t="s">
        <v>12891</v>
      </c>
      <c r="D986" t="s">
        <v>613</v>
      </c>
      <c r="E986" t="s">
        <v>6372</v>
      </c>
      <c r="F986">
        <v>167.5</v>
      </c>
      <c r="H986" t="s">
        <v>1952</v>
      </c>
      <c r="L986" t="s">
        <v>1433</v>
      </c>
      <c r="M986" t="s">
        <v>2184</v>
      </c>
      <c r="N986" t="s">
        <v>2180</v>
      </c>
      <c r="O986">
        <v>1</v>
      </c>
    </row>
    <row r="987" spans="2:15" x14ac:dyDescent="0.2">
      <c r="B987" t="s">
        <v>1433</v>
      </c>
      <c r="C987" t="s">
        <v>12891</v>
      </c>
      <c r="D987" t="s">
        <v>554</v>
      </c>
      <c r="E987" t="s">
        <v>6373</v>
      </c>
      <c r="F987">
        <v>15491</v>
      </c>
      <c r="H987" t="s">
        <v>2465</v>
      </c>
      <c r="L987" t="s">
        <v>1433</v>
      </c>
      <c r="M987" t="s">
        <v>2185</v>
      </c>
      <c r="N987" t="s">
        <v>2180</v>
      </c>
      <c r="O987">
        <v>1</v>
      </c>
    </row>
    <row r="988" spans="2:15" x14ac:dyDescent="0.2">
      <c r="B988" t="s">
        <v>1433</v>
      </c>
      <c r="C988" t="s">
        <v>12891</v>
      </c>
      <c r="D988" t="s">
        <v>613</v>
      </c>
      <c r="E988" t="s">
        <v>6374</v>
      </c>
      <c r="F988">
        <v>1.6</v>
      </c>
      <c r="H988" t="s">
        <v>3482</v>
      </c>
      <c r="L988" t="s">
        <v>1433</v>
      </c>
      <c r="M988" t="s">
        <v>2186</v>
      </c>
      <c r="N988" t="s">
        <v>2180</v>
      </c>
      <c r="O988">
        <v>1</v>
      </c>
    </row>
    <row r="989" spans="2:15" x14ac:dyDescent="0.2">
      <c r="B989" t="s">
        <v>1433</v>
      </c>
      <c r="C989" t="s">
        <v>12891</v>
      </c>
      <c r="D989" t="s">
        <v>613</v>
      </c>
      <c r="E989" t="s">
        <v>6375</v>
      </c>
      <c r="F989">
        <v>145.93</v>
      </c>
      <c r="H989" t="s">
        <v>2806</v>
      </c>
      <c r="L989" t="s">
        <v>1433</v>
      </c>
      <c r="M989" t="s">
        <v>2187</v>
      </c>
      <c r="N989" t="s">
        <v>2180</v>
      </c>
      <c r="O989">
        <v>1</v>
      </c>
    </row>
    <row r="990" spans="2:15" x14ac:dyDescent="0.2">
      <c r="B990" t="s">
        <v>1433</v>
      </c>
      <c r="C990" t="s">
        <v>12891</v>
      </c>
      <c r="D990" t="s">
        <v>613</v>
      </c>
      <c r="E990" t="s">
        <v>6376</v>
      </c>
      <c r="F990">
        <v>89520</v>
      </c>
      <c r="G990" t="s">
        <v>1218</v>
      </c>
      <c r="L990" t="s">
        <v>1433</v>
      </c>
      <c r="M990" t="s">
        <v>2188</v>
      </c>
      <c r="N990" t="s">
        <v>2180</v>
      </c>
      <c r="O990">
        <v>1</v>
      </c>
    </row>
    <row r="991" spans="2:15" x14ac:dyDescent="0.2">
      <c r="B991" t="s">
        <v>1433</v>
      </c>
      <c r="C991" t="s">
        <v>12891</v>
      </c>
      <c r="D991" t="s">
        <v>613</v>
      </c>
      <c r="E991" t="s">
        <v>6386</v>
      </c>
      <c r="F991">
        <v>16.850000000000001</v>
      </c>
      <c r="H991" t="s">
        <v>5286</v>
      </c>
      <c r="L991" t="s">
        <v>1433</v>
      </c>
      <c r="M991" t="s">
        <v>2189</v>
      </c>
      <c r="N991" t="s">
        <v>2180</v>
      </c>
      <c r="O991">
        <v>1</v>
      </c>
    </row>
    <row r="992" spans="2:15" x14ac:dyDescent="0.2">
      <c r="B992" t="s">
        <v>1433</v>
      </c>
      <c r="C992" t="s">
        <v>12891</v>
      </c>
      <c r="D992" t="s">
        <v>613</v>
      </c>
      <c r="E992" t="s">
        <v>6389</v>
      </c>
      <c r="F992">
        <v>1.26</v>
      </c>
      <c r="H992" t="s">
        <v>3485</v>
      </c>
      <c r="L992" t="s">
        <v>1433</v>
      </c>
      <c r="M992" t="s">
        <v>2190</v>
      </c>
      <c r="N992" t="s">
        <v>2180</v>
      </c>
      <c r="O992">
        <v>1</v>
      </c>
    </row>
    <row r="993" spans="2:15" x14ac:dyDescent="0.2">
      <c r="B993" t="s">
        <v>1433</v>
      </c>
      <c r="C993" t="s">
        <v>12891</v>
      </c>
      <c r="D993" t="s">
        <v>613</v>
      </c>
      <c r="E993" t="s">
        <v>6390</v>
      </c>
      <c r="F993">
        <v>17.2</v>
      </c>
      <c r="H993" t="s">
        <v>3484</v>
      </c>
      <c r="L993" t="s">
        <v>1433</v>
      </c>
      <c r="M993" t="s">
        <v>2191</v>
      </c>
      <c r="N993" t="s">
        <v>2180</v>
      </c>
      <c r="O993">
        <v>1</v>
      </c>
    </row>
    <row r="994" spans="2:15" x14ac:dyDescent="0.2">
      <c r="B994" t="s">
        <v>1433</v>
      </c>
      <c r="C994" t="s">
        <v>12891</v>
      </c>
      <c r="D994" t="s">
        <v>613</v>
      </c>
      <c r="E994" t="s">
        <v>6391</v>
      </c>
      <c r="F994">
        <v>90.4</v>
      </c>
      <c r="H994" t="s">
        <v>1243</v>
      </c>
      <c r="L994" t="s">
        <v>1433</v>
      </c>
      <c r="M994" t="s">
        <v>2192</v>
      </c>
      <c r="N994" t="s">
        <v>2180</v>
      </c>
      <c r="O994">
        <v>1</v>
      </c>
    </row>
    <row r="995" spans="2:15" x14ac:dyDescent="0.2">
      <c r="B995" t="s">
        <v>1433</v>
      </c>
      <c r="C995" t="s">
        <v>12891</v>
      </c>
      <c r="D995" t="s">
        <v>613</v>
      </c>
      <c r="E995" t="s">
        <v>6392</v>
      </c>
      <c r="F995">
        <v>120.4</v>
      </c>
      <c r="H995" t="s">
        <v>1245</v>
      </c>
      <c r="L995" t="s">
        <v>1433</v>
      </c>
      <c r="M995" t="s">
        <v>2193</v>
      </c>
      <c r="N995" t="s">
        <v>2180</v>
      </c>
      <c r="O995">
        <v>1</v>
      </c>
    </row>
    <row r="996" spans="2:15" x14ac:dyDescent="0.2">
      <c r="B996" t="s">
        <v>1433</v>
      </c>
      <c r="C996" t="s">
        <v>12891</v>
      </c>
      <c r="D996" t="s">
        <v>554</v>
      </c>
      <c r="E996" t="s">
        <v>6393</v>
      </c>
      <c r="F996">
        <v>78.42</v>
      </c>
      <c r="H996" t="s">
        <v>2444</v>
      </c>
      <c r="L996" t="s">
        <v>1433</v>
      </c>
      <c r="M996" t="s">
        <v>2194</v>
      </c>
      <c r="N996" t="s">
        <v>2180</v>
      </c>
      <c r="O996">
        <v>1</v>
      </c>
    </row>
    <row r="997" spans="2:15" x14ac:dyDescent="0.2">
      <c r="B997" t="s">
        <v>1433</v>
      </c>
      <c r="C997" t="s">
        <v>12891</v>
      </c>
      <c r="D997" t="s">
        <v>84</v>
      </c>
      <c r="E997" t="s">
        <v>6394</v>
      </c>
      <c r="F997">
        <v>23.63</v>
      </c>
      <c r="H997" t="s">
        <v>6257</v>
      </c>
      <c r="L997" t="s">
        <v>1433</v>
      </c>
      <c r="M997" t="s">
        <v>2195</v>
      </c>
      <c r="N997" t="s">
        <v>2180</v>
      </c>
      <c r="O997">
        <v>1</v>
      </c>
    </row>
    <row r="998" spans="2:15" x14ac:dyDescent="0.2">
      <c r="B998" t="s">
        <v>1433</v>
      </c>
      <c r="C998" t="s">
        <v>12891</v>
      </c>
      <c r="D998" t="s">
        <v>84</v>
      </c>
      <c r="E998" t="s">
        <v>6395</v>
      </c>
      <c r="F998">
        <v>26.71</v>
      </c>
      <c r="H998" t="s">
        <v>3553</v>
      </c>
      <c r="L998" t="s">
        <v>1433</v>
      </c>
      <c r="M998" t="s">
        <v>2196</v>
      </c>
      <c r="N998" t="s">
        <v>2180</v>
      </c>
      <c r="O998">
        <v>1</v>
      </c>
    </row>
    <row r="999" spans="2:15" x14ac:dyDescent="0.2">
      <c r="B999" t="s">
        <v>1433</v>
      </c>
      <c r="C999" t="s">
        <v>12891</v>
      </c>
      <c r="D999" t="s">
        <v>554</v>
      </c>
      <c r="E999" t="s">
        <v>6396</v>
      </c>
      <c r="F999">
        <v>11956</v>
      </c>
      <c r="H999" t="s">
        <v>2468</v>
      </c>
      <c r="L999" t="s">
        <v>1433</v>
      </c>
      <c r="M999" t="s">
        <v>2197</v>
      </c>
      <c r="N999" t="s">
        <v>2180</v>
      </c>
      <c r="O999">
        <v>1</v>
      </c>
    </row>
    <row r="1000" spans="2:15" x14ac:dyDescent="0.2">
      <c r="B1000" t="s">
        <v>1433</v>
      </c>
      <c r="C1000" t="s">
        <v>12891</v>
      </c>
      <c r="D1000" t="s">
        <v>613</v>
      </c>
      <c r="E1000" t="s">
        <v>6397</v>
      </c>
      <c r="F1000">
        <v>3.2</v>
      </c>
      <c r="H1000" t="s">
        <v>3482</v>
      </c>
      <c r="L1000" t="s">
        <v>1433</v>
      </c>
      <c r="M1000" t="s">
        <v>2198</v>
      </c>
      <c r="N1000" t="s">
        <v>2180</v>
      </c>
      <c r="O1000">
        <v>1</v>
      </c>
    </row>
    <row r="1001" spans="2:15" x14ac:dyDescent="0.2">
      <c r="B1001" t="s">
        <v>1433</v>
      </c>
      <c r="C1001" t="s">
        <v>12891</v>
      </c>
      <c r="D1001" t="s">
        <v>613</v>
      </c>
      <c r="E1001" t="s">
        <v>6407</v>
      </c>
      <c r="F1001">
        <v>4332</v>
      </c>
      <c r="H1001" t="s">
        <v>1785</v>
      </c>
      <c r="L1001" t="s">
        <v>1433</v>
      </c>
      <c r="M1001" t="s">
        <v>2199</v>
      </c>
      <c r="N1001" t="s">
        <v>2180</v>
      </c>
      <c r="O1001">
        <v>1</v>
      </c>
    </row>
    <row r="1002" spans="2:15" x14ac:dyDescent="0.2">
      <c r="B1002" t="s">
        <v>1433</v>
      </c>
      <c r="C1002" t="s">
        <v>12891</v>
      </c>
      <c r="D1002" t="s">
        <v>554</v>
      </c>
      <c r="E1002" t="s">
        <v>6408</v>
      </c>
      <c r="F1002">
        <v>6360</v>
      </c>
      <c r="H1002" t="s">
        <v>2443</v>
      </c>
      <c r="L1002" t="s">
        <v>1433</v>
      </c>
      <c r="M1002" t="s">
        <v>2200</v>
      </c>
      <c r="N1002" t="s">
        <v>2180</v>
      </c>
      <c r="O1002">
        <v>1</v>
      </c>
    </row>
    <row r="1003" spans="2:15" x14ac:dyDescent="0.2">
      <c r="B1003" t="s">
        <v>1433</v>
      </c>
      <c r="C1003" t="s">
        <v>12891</v>
      </c>
      <c r="D1003" t="s">
        <v>613</v>
      </c>
      <c r="E1003" t="s">
        <v>6414</v>
      </c>
      <c r="F1003">
        <v>3192</v>
      </c>
      <c r="H1003" t="s">
        <v>1781</v>
      </c>
      <c r="L1003" t="s">
        <v>1433</v>
      </c>
      <c r="M1003" t="s">
        <v>2201</v>
      </c>
      <c r="N1003" t="s">
        <v>2180</v>
      </c>
      <c r="O1003">
        <v>1</v>
      </c>
    </row>
    <row r="1004" spans="2:15" x14ac:dyDescent="0.2">
      <c r="B1004" t="s">
        <v>1433</v>
      </c>
      <c r="C1004" t="s">
        <v>12891</v>
      </c>
      <c r="D1004" t="s">
        <v>554</v>
      </c>
      <c r="E1004" t="s">
        <v>6416</v>
      </c>
      <c r="F1004">
        <v>6108</v>
      </c>
      <c r="H1004" t="s">
        <v>2441</v>
      </c>
      <c r="L1004" t="s">
        <v>1433</v>
      </c>
      <c r="M1004" t="s">
        <v>2202</v>
      </c>
      <c r="N1004" t="s">
        <v>2180</v>
      </c>
      <c r="O1004">
        <v>1</v>
      </c>
    </row>
    <row r="1005" spans="2:15" x14ac:dyDescent="0.2">
      <c r="B1005" t="s">
        <v>1433</v>
      </c>
      <c r="C1005" t="s">
        <v>12891</v>
      </c>
      <c r="D1005" t="s">
        <v>613</v>
      </c>
      <c r="E1005" t="s">
        <v>6419</v>
      </c>
      <c r="F1005">
        <v>16.850000000000001</v>
      </c>
      <c r="H1005" t="s">
        <v>5286</v>
      </c>
      <c r="L1005" t="s">
        <v>1433</v>
      </c>
      <c r="M1005" t="s">
        <v>2203</v>
      </c>
      <c r="N1005" t="s">
        <v>2180</v>
      </c>
      <c r="O1005">
        <v>1</v>
      </c>
    </row>
    <row r="1006" spans="2:15" x14ac:dyDescent="0.2">
      <c r="B1006" t="s">
        <v>1433</v>
      </c>
      <c r="C1006" t="s">
        <v>12891</v>
      </c>
      <c r="D1006" t="s">
        <v>613</v>
      </c>
      <c r="E1006" t="s">
        <v>6422</v>
      </c>
      <c r="F1006">
        <v>1.26</v>
      </c>
      <c r="H1006" t="s">
        <v>3485</v>
      </c>
      <c r="L1006" t="s">
        <v>1433</v>
      </c>
      <c r="M1006" t="s">
        <v>1348</v>
      </c>
      <c r="N1006" t="s">
        <v>2204</v>
      </c>
      <c r="O1006">
        <v>1</v>
      </c>
    </row>
    <row r="1007" spans="2:15" x14ac:dyDescent="0.2">
      <c r="B1007" t="s">
        <v>1433</v>
      </c>
      <c r="C1007" t="s">
        <v>12891</v>
      </c>
      <c r="D1007" t="s">
        <v>613</v>
      </c>
      <c r="E1007" t="s">
        <v>6423</v>
      </c>
      <c r="F1007">
        <v>15.05</v>
      </c>
      <c r="H1007" t="s">
        <v>3484</v>
      </c>
      <c r="L1007" t="s">
        <v>1433</v>
      </c>
      <c r="M1007" t="s">
        <v>1336</v>
      </c>
      <c r="N1007" t="s">
        <v>2205</v>
      </c>
      <c r="O1007">
        <v>1</v>
      </c>
    </row>
    <row r="1008" spans="2:15" x14ac:dyDescent="0.2">
      <c r="B1008" t="s">
        <v>1433</v>
      </c>
      <c r="C1008" t="s">
        <v>12891</v>
      </c>
      <c r="D1008" t="s">
        <v>613</v>
      </c>
      <c r="E1008" t="s">
        <v>6424</v>
      </c>
      <c r="F1008">
        <v>90.4</v>
      </c>
      <c r="H1008" t="s">
        <v>1243</v>
      </c>
      <c r="L1008" t="s">
        <v>1433</v>
      </c>
      <c r="M1008" t="s">
        <v>1344</v>
      </c>
      <c r="N1008" t="s">
        <v>2205</v>
      </c>
      <c r="O1008">
        <v>1</v>
      </c>
    </row>
    <row r="1009" spans="2:15" x14ac:dyDescent="0.2">
      <c r="B1009" t="s">
        <v>1433</v>
      </c>
      <c r="C1009" t="s">
        <v>12891</v>
      </c>
      <c r="D1009" t="s">
        <v>613</v>
      </c>
      <c r="E1009" t="s">
        <v>6426</v>
      </c>
      <c r="F1009">
        <v>120.4</v>
      </c>
      <c r="H1009" t="s">
        <v>1245</v>
      </c>
      <c r="L1009" t="s">
        <v>1433</v>
      </c>
      <c r="M1009" t="s">
        <v>1536</v>
      </c>
      <c r="N1009" t="s">
        <v>2206</v>
      </c>
      <c r="O1009">
        <v>50</v>
      </c>
    </row>
    <row r="1010" spans="2:15" x14ac:dyDescent="0.2">
      <c r="B1010" t="s">
        <v>1433</v>
      </c>
      <c r="C1010" t="s">
        <v>12891</v>
      </c>
      <c r="D1010" t="s">
        <v>84</v>
      </c>
      <c r="E1010" t="s">
        <v>6428</v>
      </c>
      <c r="F1010">
        <v>21</v>
      </c>
      <c r="H1010" t="s">
        <v>6257</v>
      </c>
      <c r="L1010" t="s">
        <v>1433</v>
      </c>
      <c r="M1010" t="s">
        <v>1480</v>
      </c>
      <c r="N1010" t="s">
        <v>1873</v>
      </c>
      <c r="O1010">
        <v>10</v>
      </c>
    </row>
    <row r="1011" spans="2:15" x14ac:dyDescent="0.2">
      <c r="B1011" t="s">
        <v>1433</v>
      </c>
      <c r="C1011" t="s">
        <v>12891</v>
      </c>
      <c r="D1011" t="s">
        <v>84</v>
      </c>
      <c r="E1011" t="s">
        <v>6429</v>
      </c>
      <c r="F1011">
        <v>26.71</v>
      </c>
      <c r="H1011" t="s">
        <v>3553</v>
      </c>
      <c r="L1011" t="s">
        <v>1433</v>
      </c>
      <c r="M1011" t="s">
        <v>1793</v>
      </c>
      <c r="N1011" t="s">
        <v>2207</v>
      </c>
      <c r="O1011">
        <v>50</v>
      </c>
    </row>
    <row r="1012" spans="2:15" x14ac:dyDescent="0.2">
      <c r="B1012" t="s">
        <v>1433</v>
      </c>
      <c r="C1012" t="s">
        <v>12891</v>
      </c>
      <c r="D1012" t="s">
        <v>613</v>
      </c>
      <c r="E1012" t="s">
        <v>6430</v>
      </c>
      <c r="F1012">
        <v>482.5</v>
      </c>
      <c r="H1012" t="s">
        <v>1577</v>
      </c>
      <c r="L1012" t="s">
        <v>1433</v>
      </c>
      <c r="M1012" t="s">
        <v>1794</v>
      </c>
      <c r="N1012" t="s">
        <v>2207</v>
      </c>
      <c r="O1012">
        <v>20</v>
      </c>
    </row>
    <row r="1013" spans="2:15" x14ac:dyDescent="0.2">
      <c r="B1013" t="s">
        <v>1433</v>
      </c>
      <c r="C1013" t="s">
        <v>12891</v>
      </c>
      <c r="D1013" t="s">
        <v>554</v>
      </c>
      <c r="E1013" t="s">
        <v>6431</v>
      </c>
      <c r="F1013">
        <v>12810</v>
      </c>
      <c r="H1013" t="s">
        <v>2487</v>
      </c>
      <c r="L1013" t="s">
        <v>1433</v>
      </c>
      <c r="M1013" t="s">
        <v>1795</v>
      </c>
      <c r="N1013" t="s">
        <v>2207</v>
      </c>
      <c r="O1013">
        <v>50</v>
      </c>
    </row>
    <row r="1014" spans="2:15" x14ac:dyDescent="0.2">
      <c r="B1014" t="s">
        <v>1433</v>
      </c>
      <c r="C1014" t="s">
        <v>12891</v>
      </c>
      <c r="D1014" t="s">
        <v>613</v>
      </c>
      <c r="E1014" t="s">
        <v>6432</v>
      </c>
      <c r="F1014">
        <v>3.2</v>
      </c>
      <c r="H1014" t="s">
        <v>3482</v>
      </c>
      <c r="L1014" t="s">
        <v>1433</v>
      </c>
      <c r="M1014" t="s">
        <v>1796</v>
      </c>
      <c r="N1014" t="s">
        <v>2207</v>
      </c>
      <c r="O1014">
        <v>20</v>
      </c>
    </row>
    <row r="1015" spans="2:15" x14ac:dyDescent="0.2">
      <c r="B1015" t="s">
        <v>1433</v>
      </c>
      <c r="C1015" t="s">
        <v>12891</v>
      </c>
      <c r="D1015" t="s">
        <v>613</v>
      </c>
      <c r="E1015" t="s">
        <v>6437</v>
      </c>
      <c r="F1015">
        <v>0.63</v>
      </c>
      <c r="H1015" t="s">
        <v>3485</v>
      </c>
      <c r="L1015" t="s">
        <v>1433</v>
      </c>
      <c r="M1015" t="s">
        <v>1797</v>
      </c>
      <c r="N1015" t="s">
        <v>2207</v>
      </c>
      <c r="O1015">
        <v>50</v>
      </c>
    </row>
    <row r="1016" spans="2:15" x14ac:dyDescent="0.2">
      <c r="B1016" t="s">
        <v>1433</v>
      </c>
      <c r="C1016" t="s">
        <v>12891</v>
      </c>
      <c r="D1016" t="s">
        <v>613</v>
      </c>
      <c r="E1016" t="s">
        <v>6438</v>
      </c>
      <c r="F1016">
        <v>8.6</v>
      </c>
      <c r="H1016" t="s">
        <v>3484</v>
      </c>
      <c r="L1016" t="s">
        <v>1433</v>
      </c>
      <c r="M1016" t="s">
        <v>1798</v>
      </c>
      <c r="N1016" t="s">
        <v>2207</v>
      </c>
      <c r="O1016">
        <v>50</v>
      </c>
    </row>
    <row r="1017" spans="2:15" x14ac:dyDescent="0.2">
      <c r="B1017" t="s">
        <v>1433</v>
      </c>
      <c r="C1017" t="s">
        <v>12891</v>
      </c>
      <c r="D1017" t="s">
        <v>613</v>
      </c>
      <c r="E1017" t="s">
        <v>6439</v>
      </c>
      <c r="F1017">
        <v>93.41</v>
      </c>
      <c r="H1017" t="s">
        <v>2212</v>
      </c>
      <c r="L1017" t="s">
        <v>1433</v>
      </c>
      <c r="M1017" t="s">
        <v>1809</v>
      </c>
      <c r="N1017" t="s">
        <v>2207</v>
      </c>
      <c r="O1017">
        <v>30</v>
      </c>
    </row>
    <row r="1018" spans="2:15" x14ac:dyDescent="0.2">
      <c r="B1018" t="s">
        <v>1433</v>
      </c>
      <c r="C1018" t="s">
        <v>12891</v>
      </c>
      <c r="D1018" t="s">
        <v>613</v>
      </c>
      <c r="E1018" t="s">
        <v>6441</v>
      </c>
      <c r="F1018">
        <v>67.8</v>
      </c>
      <c r="H1018" t="s">
        <v>1243</v>
      </c>
      <c r="L1018" t="s">
        <v>1433</v>
      </c>
      <c r="M1018" t="s">
        <v>1811</v>
      </c>
      <c r="N1018" t="s">
        <v>2207</v>
      </c>
      <c r="O1018">
        <v>30</v>
      </c>
    </row>
    <row r="1019" spans="2:15" x14ac:dyDescent="0.2">
      <c r="B1019" t="s">
        <v>1433</v>
      </c>
      <c r="C1019" t="s">
        <v>12891</v>
      </c>
      <c r="D1019" t="s">
        <v>613</v>
      </c>
      <c r="E1019" t="s">
        <v>6443</v>
      </c>
      <c r="F1019">
        <v>90.3</v>
      </c>
      <c r="H1019" t="s">
        <v>1245</v>
      </c>
      <c r="L1019" t="s">
        <v>1433</v>
      </c>
      <c r="M1019" t="s">
        <v>2208</v>
      </c>
      <c r="N1019" t="s">
        <v>2209</v>
      </c>
      <c r="O1019">
        <v>8</v>
      </c>
    </row>
    <row r="1020" spans="2:15" x14ac:dyDescent="0.2">
      <c r="B1020" t="s">
        <v>1433</v>
      </c>
      <c r="C1020" t="s">
        <v>12891</v>
      </c>
      <c r="D1020" t="s">
        <v>554</v>
      </c>
      <c r="E1020" t="s">
        <v>6444</v>
      </c>
      <c r="F1020">
        <v>39.21</v>
      </c>
      <c r="H1020" t="s">
        <v>2444</v>
      </c>
      <c r="L1020" t="s">
        <v>1433</v>
      </c>
      <c r="M1020" t="s">
        <v>2210</v>
      </c>
      <c r="N1020" t="s">
        <v>2209</v>
      </c>
      <c r="O1020">
        <v>2</v>
      </c>
    </row>
    <row r="1021" spans="2:15" x14ac:dyDescent="0.2">
      <c r="B1021" t="s">
        <v>1433</v>
      </c>
      <c r="C1021" t="s">
        <v>12891</v>
      </c>
      <c r="D1021" t="s">
        <v>84</v>
      </c>
      <c r="E1021" t="s">
        <v>6445</v>
      </c>
      <c r="F1021">
        <v>10.5</v>
      </c>
      <c r="H1021" t="s">
        <v>6257</v>
      </c>
      <c r="L1021" t="s">
        <v>1433</v>
      </c>
      <c r="M1021" t="s">
        <v>2211</v>
      </c>
      <c r="N1021" t="s">
        <v>2209</v>
      </c>
      <c r="O1021">
        <v>8</v>
      </c>
    </row>
    <row r="1022" spans="2:15" x14ac:dyDescent="0.2">
      <c r="B1022" t="s">
        <v>1433</v>
      </c>
      <c r="C1022" t="s">
        <v>12891</v>
      </c>
      <c r="D1022" t="s">
        <v>84</v>
      </c>
      <c r="E1022" t="s">
        <v>6446</v>
      </c>
      <c r="F1022">
        <v>13.36</v>
      </c>
      <c r="H1022" t="s">
        <v>3553</v>
      </c>
      <c r="L1022" t="s">
        <v>1433</v>
      </c>
      <c r="M1022" t="s">
        <v>2212</v>
      </c>
      <c r="N1022" t="s">
        <v>2213</v>
      </c>
      <c r="O1022">
        <v>1</v>
      </c>
    </row>
    <row r="1023" spans="2:15" x14ac:dyDescent="0.2">
      <c r="B1023" t="s">
        <v>1433</v>
      </c>
      <c r="C1023" t="s">
        <v>12891</v>
      </c>
      <c r="D1023" t="s">
        <v>613</v>
      </c>
      <c r="E1023" t="s">
        <v>6447</v>
      </c>
      <c r="F1023">
        <v>133.16999999999999</v>
      </c>
      <c r="H1023" t="s">
        <v>1565</v>
      </c>
      <c r="L1023" t="s">
        <v>1433</v>
      </c>
      <c r="M1023" t="s">
        <v>2214</v>
      </c>
      <c r="N1023" t="s">
        <v>2215</v>
      </c>
      <c r="O1023">
        <v>280</v>
      </c>
    </row>
    <row r="1024" spans="2:15" x14ac:dyDescent="0.2">
      <c r="B1024" t="s">
        <v>1433</v>
      </c>
      <c r="C1024" t="s">
        <v>12891</v>
      </c>
      <c r="D1024" t="s">
        <v>613</v>
      </c>
      <c r="E1024" t="s">
        <v>6448</v>
      </c>
      <c r="F1024">
        <v>222.24</v>
      </c>
      <c r="H1024" t="s">
        <v>1719</v>
      </c>
      <c r="L1024" t="s">
        <v>1433</v>
      </c>
      <c r="M1024" t="s">
        <v>2216</v>
      </c>
      <c r="N1024" t="s">
        <v>2215</v>
      </c>
      <c r="O1024">
        <v>300</v>
      </c>
    </row>
    <row r="1025" spans="2:15" x14ac:dyDescent="0.2">
      <c r="B1025" t="s">
        <v>1433</v>
      </c>
      <c r="C1025" t="s">
        <v>12891</v>
      </c>
      <c r="D1025" t="s">
        <v>613</v>
      </c>
      <c r="E1025" t="s">
        <v>6449</v>
      </c>
      <c r="F1025">
        <v>690.04</v>
      </c>
      <c r="H1025" t="s">
        <v>1727</v>
      </c>
      <c r="L1025" t="s">
        <v>1433</v>
      </c>
      <c r="M1025" t="s">
        <v>1533</v>
      </c>
      <c r="N1025" t="s">
        <v>1920</v>
      </c>
      <c r="O1025">
        <v>6</v>
      </c>
    </row>
    <row r="1026" spans="2:15" x14ac:dyDescent="0.2">
      <c r="B1026" t="s">
        <v>1433</v>
      </c>
      <c r="C1026" t="s">
        <v>12891</v>
      </c>
      <c r="D1026" t="s">
        <v>613</v>
      </c>
      <c r="E1026" t="s">
        <v>6450</v>
      </c>
      <c r="F1026">
        <v>623.38</v>
      </c>
      <c r="H1026" t="s">
        <v>1507</v>
      </c>
      <c r="L1026" t="s">
        <v>1433</v>
      </c>
      <c r="M1026" t="s">
        <v>2217</v>
      </c>
      <c r="N1026" t="s">
        <v>2218</v>
      </c>
      <c r="O1026">
        <v>8</v>
      </c>
    </row>
    <row r="1027" spans="2:15" x14ac:dyDescent="0.2">
      <c r="B1027" t="s">
        <v>1433</v>
      </c>
      <c r="C1027" t="s">
        <v>12891</v>
      </c>
      <c r="D1027" t="s">
        <v>613</v>
      </c>
      <c r="E1027" t="s">
        <v>6451</v>
      </c>
      <c r="F1027">
        <v>409.23</v>
      </c>
      <c r="H1027" t="s">
        <v>2294</v>
      </c>
      <c r="L1027" t="s">
        <v>1433</v>
      </c>
      <c r="M1027" t="s">
        <v>1818</v>
      </c>
      <c r="N1027" t="s">
        <v>2218</v>
      </c>
      <c r="O1027">
        <v>2</v>
      </c>
    </row>
    <row r="1028" spans="2:15" x14ac:dyDescent="0.2">
      <c r="B1028" t="s">
        <v>1433</v>
      </c>
      <c r="C1028" t="s">
        <v>12891</v>
      </c>
      <c r="D1028" t="s">
        <v>613</v>
      </c>
      <c r="E1028" t="s">
        <v>6452</v>
      </c>
      <c r="F1028">
        <v>167.5</v>
      </c>
      <c r="H1028" t="s">
        <v>1952</v>
      </c>
      <c r="L1028" t="s">
        <v>1433</v>
      </c>
      <c r="M1028" t="s">
        <v>1533</v>
      </c>
      <c r="N1028" t="s">
        <v>2218</v>
      </c>
      <c r="O1028">
        <v>6</v>
      </c>
    </row>
    <row r="1029" spans="2:15" x14ac:dyDescent="0.2">
      <c r="B1029" t="s">
        <v>1433</v>
      </c>
      <c r="C1029" t="s">
        <v>12891</v>
      </c>
      <c r="D1029" t="s">
        <v>613</v>
      </c>
      <c r="E1029" t="s">
        <v>6453</v>
      </c>
      <c r="F1029">
        <v>63.8</v>
      </c>
      <c r="H1029" t="s">
        <v>2164</v>
      </c>
      <c r="L1029" t="s">
        <v>1433</v>
      </c>
      <c r="M1029" t="s">
        <v>2219</v>
      </c>
      <c r="N1029" t="s">
        <v>2220</v>
      </c>
      <c r="O1029">
        <v>7</v>
      </c>
    </row>
    <row r="1030" spans="2:15" x14ac:dyDescent="0.2">
      <c r="B1030" t="s">
        <v>1433</v>
      </c>
      <c r="C1030" t="s">
        <v>12891</v>
      </c>
      <c r="D1030" t="s">
        <v>554</v>
      </c>
      <c r="E1030" t="s">
        <v>6454</v>
      </c>
      <c r="F1030">
        <v>10463</v>
      </c>
      <c r="H1030" t="s">
        <v>2490</v>
      </c>
      <c r="L1030" t="s">
        <v>1433</v>
      </c>
      <c r="M1030" t="s">
        <v>2221</v>
      </c>
      <c r="N1030" t="s">
        <v>2220</v>
      </c>
      <c r="O1030">
        <v>1</v>
      </c>
    </row>
    <row r="1031" spans="2:15" x14ac:dyDescent="0.2">
      <c r="B1031" t="s">
        <v>1433</v>
      </c>
      <c r="C1031" t="s">
        <v>12891</v>
      </c>
      <c r="D1031" t="s">
        <v>613</v>
      </c>
      <c r="E1031" t="s">
        <v>6455</v>
      </c>
      <c r="F1031">
        <v>1.6</v>
      </c>
      <c r="H1031" t="s">
        <v>3482</v>
      </c>
      <c r="L1031" t="s">
        <v>1433</v>
      </c>
      <c r="M1031" t="s">
        <v>2222</v>
      </c>
      <c r="N1031" t="s">
        <v>2223</v>
      </c>
      <c r="O1031">
        <v>120</v>
      </c>
    </row>
    <row r="1032" spans="2:15" x14ac:dyDescent="0.2">
      <c r="B1032" t="s">
        <v>1433</v>
      </c>
      <c r="C1032" t="s">
        <v>12891</v>
      </c>
      <c r="D1032" t="s">
        <v>613</v>
      </c>
      <c r="E1032" t="s">
        <v>6459</v>
      </c>
      <c r="F1032">
        <v>0.63</v>
      </c>
      <c r="H1032" t="s">
        <v>3485</v>
      </c>
      <c r="L1032" t="s">
        <v>1433</v>
      </c>
      <c r="M1032" t="s">
        <v>2224</v>
      </c>
      <c r="N1032" t="s">
        <v>2223</v>
      </c>
      <c r="O1032">
        <v>416</v>
      </c>
    </row>
    <row r="1033" spans="2:15" x14ac:dyDescent="0.2">
      <c r="B1033" t="s">
        <v>1433</v>
      </c>
      <c r="C1033" t="s">
        <v>12891</v>
      </c>
      <c r="D1033" t="s">
        <v>613</v>
      </c>
      <c r="E1033" t="s">
        <v>6460</v>
      </c>
      <c r="F1033">
        <v>8.6</v>
      </c>
      <c r="H1033" t="s">
        <v>3484</v>
      </c>
      <c r="L1033" t="s">
        <v>1433</v>
      </c>
      <c r="M1033" t="s">
        <v>2225</v>
      </c>
      <c r="N1033" t="s">
        <v>2223</v>
      </c>
      <c r="O1033">
        <v>152</v>
      </c>
    </row>
    <row r="1034" spans="2:15" x14ac:dyDescent="0.2">
      <c r="B1034" t="s">
        <v>1433</v>
      </c>
      <c r="C1034" t="s">
        <v>12891</v>
      </c>
      <c r="D1034" t="s">
        <v>613</v>
      </c>
      <c r="E1034" t="s">
        <v>6461</v>
      </c>
      <c r="F1034">
        <v>93.41</v>
      </c>
      <c r="H1034" t="s">
        <v>2212</v>
      </c>
      <c r="L1034" t="s">
        <v>1433</v>
      </c>
      <c r="M1034" t="s">
        <v>2226</v>
      </c>
      <c r="N1034" t="s">
        <v>2223</v>
      </c>
      <c r="O1034">
        <v>25</v>
      </c>
    </row>
    <row r="1035" spans="2:15" x14ac:dyDescent="0.2">
      <c r="B1035" t="s">
        <v>1433</v>
      </c>
      <c r="C1035" t="s">
        <v>12891</v>
      </c>
      <c r="D1035" t="s">
        <v>613</v>
      </c>
      <c r="E1035" t="s">
        <v>6462</v>
      </c>
      <c r="F1035">
        <v>67.8</v>
      </c>
      <c r="H1035" t="s">
        <v>1243</v>
      </c>
      <c r="L1035" t="s">
        <v>1433</v>
      </c>
      <c r="M1035" t="s">
        <v>2227</v>
      </c>
      <c r="N1035" t="s">
        <v>2223</v>
      </c>
      <c r="O1035">
        <v>125</v>
      </c>
    </row>
    <row r="1036" spans="2:15" x14ac:dyDescent="0.2">
      <c r="B1036" t="s">
        <v>1433</v>
      </c>
      <c r="C1036" t="s">
        <v>12891</v>
      </c>
      <c r="D1036" t="s">
        <v>613</v>
      </c>
      <c r="E1036" t="s">
        <v>6463</v>
      </c>
      <c r="F1036">
        <v>90.3</v>
      </c>
      <c r="H1036" t="s">
        <v>1245</v>
      </c>
      <c r="L1036" t="s">
        <v>1433</v>
      </c>
      <c r="M1036" t="s">
        <v>2228</v>
      </c>
      <c r="N1036" t="s">
        <v>2223</v>
      </c>
      <c r="O1036">
        <v>46</v>
      </c>
    </row>
    <row r="1037" spans="2:15" x14ac:dyDescent="0.2">
      <c r="B1037" t="s">
        <v>1433</v>
      </c>
      <c r="C1037" t="s">
        <v>12891</v>
      </c>
      <c r="D1037" t="s">
        <v>554</v>
      </c>
      <c r="E1037" t="s">
        <v>6464</v>
      </c>
      <c r="F1037">
        <v>39.21</v>
      </c>
      <c r="H1037" t="s">
        <v>2444</v>
      </c>
      <c r="L1037" t="s">
        <v>1433</v>
      </c>
      <c r="M1037" t="s">
        <v>2229</v>
      </c>
      <c r="N1037" t="s">
        <v>2223</v>
      </c>
      <c r="O1037">
        <v>36</v>
      </c>
    </row>
    <row r="1038" spans="2:15" x14ac:dyDescent="0.2">
      <c r="B1038" t="s">
        <v>1433</v>
      </c>
      <c r="C1038" t="s">
        <v>12891</v>
      </c>
      <c r="D1038" t="s">
        <v>84</v>
      </c>
      <c r="E1038" t="s">
        <v>6465</v>
      </c>
      <c r="F1038">
        <v>10.5</v>
      </c>
      <c r="H1038" t="s">
        <v>6257</v>
      </c>
      <c r="L1038" t="s">
        <v>1433</v>
      </c>
      <c r="M1038" t="s">
        <v>2230</v>
      </c>
      <c r="N1038" t="s">
        <v>2223</v>
      </c>
      <c r="O1038">
        <v>20</v>
      </c>
    </row>
    <row r="1039" spans="2:15" x14ac:dyDescent="0.2">
      <c r="B1039" t="s">
        <v>1433</v>
      </c>
      <c r="C1039" t="s">
        <v>12891</v>
      </c>
      <c r="D1039" t="s">
        <v>84</v>
      </c>
      <c r="E1039" t="s">
        <v>6466</v>
      </c>
      <c r="F1039">
        <v>13.36</v>
      </c>
      <c r="H1039" t="s">
        <v>3553</v>
      </c>
      <c r="L1039" t="s">
        <v>1433</v>
      </c>
      <c r="M1039" t="s">
        <v>2231</v>
      </c>
      <c r="N1039" t="s">
        <v>2223</v>
      </c>
      <c r="O1039">
        <v>100</v>
      </c>
    </row>
    <row r="1040" spans="2:15" x14ac:dyDescent="0.2">
      <c r="B1040" t="s">
        <v>1433</v>
      </c>
      <c r="C1040" t="s">
        <v>12891</v>
      </c>
      <c r="D1040" t="s">
        <v>613</v>
      </c>
      <c r="E1040" t="s">
        <v>6467</v>
      </c>
      <c r="F1040">
        <v>133.16999999999999</v>
      </c>
      <c r="H1040" t="s">
        <v>1565</v>
      </c>
      <c r="L1040" t="s">
        <v>1433</v>
      </c>
      <c r="M1040" t="s">
        <v>2232</v>
      </c>
      <c r="N1040" t="s">
        <v>2223</v>
      </c>
      <c r="O1040">
        <v>14</v>
      </c>
    </row>
    <row r="1041" spans="2:15" x14ac:dyDescent="0.2">
      <c r="B1041" t="s">
        <v>1433</v>
      </c>
      <c r="C1041" t="s">
        <v>12891</v>
      </c>
      <c r="D1041" t="s">
        <v>613</v>
      </c>
      <c r="E1041" t="s">
        <v>6468</v>
      </c>
      <c r="F1041">
        <v>222.24</v>
      </c>
      <c r="H1041" t="s">
        <v>1719</v>
      </c>
      <c r="L1041" t="s">
        <v>1433</v>
      </c>
      <c r="M1041" t="s">
        <v>2233</v>
      </c>
      <c r="N1041" t="s">
        <v>2223</v>
      </c>
      <c r="O1041">
        <v>10</v>
      </c>
    </row>
    <row r="1042" spans="2:15" x14ac:dyDescent="0.2">
      <c r="B1042" t="s">
        <v>1433</v>
      </c>
      <c r="C1042" t="s">
        <v>12891</v>
      </c>
      <c r="D1042" t="s">
        <v>613</v>
      </c>
      <c r="E1042" t="s">
        <v>6469</v>
      </c>
      <c r="F1042">
        <v>690.04</v>
      </c>
      <c r="H1042" t="s">
        <v>1727</v>
      </c>
      <c r="L1042" t="s">
        <v>1433</v>
      </c>
      <c r="M1042" t="s">
        <v>2234</v>
      </c>
      <c r="N1042" t="s">
        <v>2223</v>
      </c>
      <c r="O1042">
        <v>80</v>
      </c>
    </row>
    <row r="1043" spans="2:15" x14ac:dyDescent="0.2">
      <c r="B1043" t="s">
        <v>1433</v>
      </c>
      <c r="C1043" t="s">
        <v>12891</v>
      </c>
      <c r="D1043" t="s">
        <v>613</v>
      </c>
      <c r="E1043" t="s">
        <v>6470</v>
      </c>
      <c r="F1043">
        <v>623.38</v>
      </c>
      <c r="H1043" t="s">
        <v>1507</v>
      </c>
      <c r="L1043" t="s">
        <v>1433</v>
      </c>
      <c r="M1043" t="s">
        <v>2235</v>
      </c>
      <c r="N1043" t="s">
        <v>2223</v>
      </c>
      <c r="O1043">
        <v>8</v>
      </c>
    </row>
    <row r="1044" spans="2:15" x14ac:dyDescent="0.2">
      <c r="B1044" t="s">
        <v>1433</v>
      </c>
      <c r="C1044" t="s">
        <v>12891</v>
      </c>
      <c r="D1044" t="s">
        <v>613</v>
      </c>
      <c r="E1044" t="s">
        <v>6471</v>
      </c>
      <c r="F1044">
        <v>409.23</v>
      </c>
      <c r="H1044" t="s">
        <v>2294</v>
      </c>
      <c r="L1044" t="s">
        <v>1433</v>
      </c>
      <c r="M1044" t="s">
        <v>2236</v>
      </c>
      <c r="N1044" t="s">
        <v>2223</v>
      </c>
      <c r="O1044">
        <v>4</v>
      </c>
    </row>
    <row r="1045" spans="2:15" x14ac:dyDescent="0.2">
      <c r="B1045" t="s">
        <v>1433</v>
      </c>
      <c r="C1045" t="s">
        <v>12891</v>
      </c>
      <c r="D1045" t="s">
        <v>613</v>
      </c>
      <c r="E1045" t="s">
        <v>6472</v>
      </c>
      <c r="F1045">
        <v>167.5</v>
      </c>
      <c r="H1045" t="s">
        <v>1952</v>
      </c>
      <c r="L1045" t="s">
        <v>1433</v>
      </c>
      <c r="M1045" t="s">
        <v>2237</v>
      </c>
      <c r="N1045" t="s">
        <v>2223</v>
      </c>
      <c r="O1045">
        <v>40</v>
      </c>
    </row>
    <row r="1046" spans="2:15" x14ac:dyDescent="0.2">
      <c r="B1046" t="s">
        <v>1433</v>
      </c>
      <c r="C1046" t="s">
        <v>12891</v>
      </c>
      <c r="D1046" t="s">
        <v>613</v>
      </c>
      <c r="E1046" t="s">
        <v>6473</v>
      </c>
      <c r="F1046">
        <v>63.8</v>
      </c>
      <c r="H1046" t="s">
        <v>2164</v>
      </c>
      <c r="L1046" t="s">
        <v>1433</v>
      </c>
      <c r="M1046" t="s">
        <v>2238</v>
      </c>
      <c r="N1046" t="s">
        <v>2223</v>
      </c>
      <c r="O1046">
        <v>14</v>
      </c>
    </row>
    <row r="1047" spans="2:15" x14ac:dyDescent="0.2">
      <c r="B1047" t="s">
        <v>1433</v>
      </c>
      <c r="C1047" t="s">
        <v>12891</v>
      </c>
      <c r="D1047" t="s">
        <v>554</v>
      </c>
      <c r="E1047" t="s">
        <v>6474</v>
      </c>
      <c r="F1047">
        <v>10463</v>
      </c>
      <c r="H1047" t="s">
        <v>2491</v>
      </c>
      <c r="L1047" t="s">
        <v>1433</v>
      </c>
      <c r="M1047" t="s">
        <v>2239</v>
      </c>
      <c r="N1047" t="s">
        <v>2223</v>
      </c>
      <c r="O1047">
        <v>8</v>
      </c>
    </row>
    <row r="1048" spans="2:15" x14ac:dyDescent="0.2">
      <c r="B1048" t="s">
        <v>1433</v>
      </c>
      <c r="C1048" t="s">
        <v>12891</v>
      </c>
      <c r="D1048" t="s">
        <v>613</v>
      </c>
      <c r="E1048" t="s">
        <v>6475</v>
      </c>
      <c r="F1048">
        <v>1.6</v>
      </c>
      <c r="H1048" t="s">
        <v>3482</v>
      </c>
      <c r="L1048" t="s">
        <v>1433</v>
      </c>
      <c r="M1048" t="s">
        <v>2240</v>
      </c>
      <c r="N1048" t="s">
        <v>2223</v>
      </c>
      <c r="O1048">
        <v>10</v>
      </c>
    </row>
    <row r="1049" spans="2:15" x14ac:dyDescent="0.2">
      <c r="B1049" t="s">
        <v>1433</v>
      </c>
      <c r="C1049" t="s">
        <v>12891</v>
      </c>
      <c r="D1049" t="s">
        <v>1137</v>
      </c>
      <c r="E1049" t="s">
        <v>6476</v>
      </c>
      <c r="F1049">
        <v>26178</v>
      </c>
      <c r="G1049" t="s">
        <v>1219</v>
      </c>
      <c r="L1049" t="s">
        <v>1433</v>
      </c>
      <c r="M1049" t="s">
        <v>2241</v>
      </c>
      <c r="N1049" t="s">
        <v>2223</v>
      </c>
      <c r="O1049">
        <v>8</v>
      </c>
    </row>
    <row r="1050" spans="2:15" x14ac:dyDescent="0.2">
      <c r="B1050" t="s">
        <v>1433</v>
      </c>
      <c r="C1050" t="s">
        <v>12891</v>
      </c>
      <c r="D1050" t="s">
        <v>613</v>
      </c>
      <c r="E1050" t="s">
        <v>6493</v>
      </c>
      <c r="F1050">
        <v>0.63</v>
      </c>
      <c r="H1050" t="s">
        <v>3485</v>
      </c>
      <c r="L1050" t="s">
        <v>1433</v>
      </c>
      <c r="M1050" t="s">
        <v>2242</v>
      </c>
      <c r="N1050" t="s">
        <v>2223</v>
      </c>
      <c r="O1050">
        <v>45</v>
      </c>
    </row>
    <row r="1051" spans="2:15" x14ac:dyDescent="0.2">
      <c r="B1051" t="s">
        <v>1433</v>
      </c>
      <c r="C1051" t="s">
        <v>12891</v>
      </c>
      <c r="D1051" t="s">
        <v>613</v>
      </c>
      <c r="E1051" t="s">
        <v>6494</v>
      </c>
      <c r="F1051">
        <v>8.6</v>
      </c>
      <c r="H1051" t="s">
        <v>3484</v>
      </c>
      <c r="L1051" t="s">
        <v>1433</v>
      </c>
      <c r="M1051" t="s">
        <v>2243</v>
      </c>
      <c r="N1051" t="s">
        <v>2223</v>
      </c>
      <c r="O1051">
        <v>14</v>
      </c>
    </row>
    <row r="1052" spans="2:15" x14ac:dyDescent="0.2">
      <c r="B1052" t="s">
        <v>1433</v>
      </c>
      <c r="C1052" t="s">
        <v>12891</v>
      </c>
      <c r="D1052" t="s">
        <v>613</v>
      </c>
      <c r="E1052" t="s">
        <v>6495</v>
      </c>
      <c r="F1052">
        <v>93.41</v>
      </c>
      <c r="H1052" t="s">
        <v>2212</v>
      </c>
      <c r="L1052" t="s">
        <v>1433</v>
      </c>
      <c r="M1052" t="s">
        <v>2244</v>
      </c>
      <c r="N1052" t="s">
        <v>2223</v>
      </c>
      <c r="O1052">
        <v>45</v>
      </c>
    </row>
    <row r="1053" spans="2:15" x14ac:dyDescent="0.2">
      <c r="B1053" t="s">
        <v>1433</v>
      </c>
      <c r="C1053" t="s">
        <v>12891</v>
      </c>
      <c r="D1053" t="s">
        <v>613</v>
      </c>
      <c r="E1053" t="s">
        <v>6496</v>
      </c>
      <c r="F1053">
        <v>56.5</v>
      </c>
      <c r="H1053" t="s">
        <v>1243</v>
      </c>
      <c r="L1053" t="s">
        <v>1433</v>
      </c>
      <c r="M1053" t="s">
        <v>2245</v>
      </c>
      <c r="N1053" t="s">
        <v>2223</v>
      </c>
      <c r="O1053">
        <v>45</v>
      </c>
    </row>
    <row r="1054" spans="2:15" x14ac:dyDescent="0.2">
      <c r="B1054" t="s">
        <v>1433</v>
      </c>
      <c r="C1054" t="s">
        <v>12891</v>
      </c>
      <c r="D1054" t="s">
        <v>613</v>
      </c>
      <c r="E1054" t="s">
        <v>6497</v>
      </c>
      <c r="F1054">
        <v>90.3</v>
      </c>
      <c r="H1054" t="s">
        <v>1245</v>
      </c>
      <c r="L1054" t="s">
        <v>1433</v>
      </c>
      <c r="M1054" t="s">
        <v>2246</v>
      </c>
      <c r="N1054" t="s">
        <v>2223</v>
      </c>
      <c r="O1054">
        <v>40</v>
      </c>
    </row>
    <row r="1055" spans="2:15" x14ac:dyDescent="0.2">
      <c r="B1055" t="s">
        <v>1433</v>
      </c>
      <c r="C1055" t="s">
        <v>12891</v>
      </c>
      <c r="D1055" t="s">
        <v>84</v>
      </c>
      <c r="E1055" t="s">
        <v>6498</v>
      </c>
      <c r="F1055">
        <v>10.5</v>
      </c>
      <c r="H1055" t="s">
        <v>6257</v>
      </c>
      <c r="L1055" t="s">
        <v>1433</v>
      </c>
      <c r="M1055" t="s">
        <v>2247</v>
      </c>
      <c r="N1055" t="s">
        <v>2223</v>
      </c>
      <c r="O1055">
        <v>45</v>
      </c>
    </row>
    <row r="1056" spans="2:15" x14ac:dyDescent="0.2">
      <c r="B1056" t="s">
        <v>1433</v>
      </c>
      <c r="C1056" t="s">
        <v>12891</v>
      </c>
      <c r="D1056" t="s">
        <v>84</v>
      </c>
      <c r="E1056" t="s">
        <v>6499</v>
      </c>
      <c r="F1056">
        <v>13.36</v>
      </c>
      <c r="H1056" t="s">
        <v>3553</v>
      </c>
      <c r="L1056" t="s">
        <v>1433</v>
      </c>
      <c r="M1056" t="s">
        <v>2248</v>
      </c>
      <c r="N1056" t="s">
        <v>2223</v>
      </c>
      <c r="O1056">
        <v>12</v>
      </c>
    </row>
    <row r="1057" spans="2:15" x14ac:dyDescent="0.2">
      <c r="B1057" t="s">
        <v>1433</v>
      </c>
      <c r="C1057" t="s">
        <v>12891</v>
      </c>
      <c r="D1057" t="s">
        <v>613</v>
      </c>
      <c r="E1057" t="s">
        <v>6500</v>
      </c>
      <c r="F1057">
        <v>133.16999999999999</v>
      </c>
      <c r="H1057" t="s">
        <v>1565</v>
      </c>
      <c r="L1057" t="s">
        <v>1433</v>
      </c>
      <c r="M1057" t="s">
        <v>1449</v>
      </c>
      <c r="N1057" t="s">
        <v>2249</v>
      </c>
      <c r="O1057">
        <v>60</v>
      </c>
    </row>
    <row r="1058" spans="2:15" x14ac:dyDescent="0.2">
      <c r="B1058" t="s">
        <v>1433</v>
      </c>
      <c r="C1058" t="s">
        <v>12891</v>
      </c>
      <c r="D1058" t="s">
        <v>613</v>
      </c>
      <c r="E1058" t="s">
        <v>6501</v>
      </c>
      <c r="F1058">
        <v>222.24</v>
      </c>
      <c r="H1058" t="s">
        <v>1719</v>
      </c>
      <c r="L1058" t="s">
        <v>1433</v>
      </c>
      <c r="M1058" t="s">
        <v>1450</v>
      </c>
      <c r="N1058" t="s">
        <v>2249</v>
      </c>
      <c r="O1058">
        <v>60</v>
      </c>
    </row>
    <row r="1059" spans="2:15" x14ac:dyDescent="0.2">
      <c r="B1059" t="s">
        <v>1433</v>
      </c>
      <c r="C1059" t="s">
        <v>12891</v>
      </c>
      <c r="D1059" t="s">
        <v>613</v>
      </c>
      <c r="E1059" t="s">
        <v>6502</v>
      </c>
      <c r="F1059">
        <v>690.04</v>
      </c>
      <c r="H1059" t="s">
        <v>1727</v>
      </c>
      <c r="L1059" t="s">
        <v>1433</v>
      </c>
      <c r="M1059" t="s">
        <v>1987</v>
      </c>
      <c r="N1059" t="s">
        <v>2249</v>
      </c>
      <c r="O1059">
        <v>4</v>
      </c>
    </row>
    <row r="1060" spans="2:15" x14ac:dyDescent="0.2">
      <c r="B1060" t="s">
        <v>1433</v>
      </c>
      <c r="C1060" t="s">
        <v>12891</v>
      </c>
      <c r="D1060" t="s">
        <v>613</v>
      </c>
      <c r="E1060" t="s">
        <v>6503</v>
      </c>
      <c r="F1060">
        <v>623.38</v>
      </c>
      <c r="H1060" t="s">
        <v>1507</v>
      </c>
      <c r="L1060" t="s">
        <v>1433</v>
      </c>
      <c r="M1060" t="s">
        <v>1455</v>
      </c>
      <c r="N1060" t="s">
        <v>2249</v>
      </c>
      <c r="O1060">
        <v>60</v>
      </c>
    </row>
    <row r="1061" spans="2:15" x14ac:dyDescent="0.2">
      <c r="B1061" t="s">
        <v>1433</v>
      </c>
      <c r="C1061" t="s">
        <v>12891</v>
      </c>
      <c r="D1061" t="s">
        <v>613</v>
      </c>
      <c r="E1061" t="s">
        <v>6504</v>
      </c>
      <c r="F1061">
        <v>50.54</v>
      </c>
      <c r="H1061" t="s">
        <v>1956</v>
      </c>
      <c r="L1061" t="s">
        <v>1433</v>
      </c>
      <c r="M1061" t="s">
        <v>2250</v>
      </c>
      <c r="N1061" t="s">
        <v>2249</v>
      </c>
      <c r="O1061">
        <v>4</v>
      </c>
    </row>
    <row r="1062" spans="2:15" x14ac:dyDescent="0.2">
      <c r="B1062" t="s">
        <v>1433</v>
      </c>
      <c r="C1062" t="s">
        <v>12891</v>
      </c>
      <c r="D1062" t="s">
        <v>613</v>
      </c>
      <c r="E1062" t="s">
        <v>6505</v>
      </c>
      <c r="F1062">
        <v>409.23</v>
      </c>
      <c r="H1062" t="s">
        <v>2294</v>
      </c>
      <c r="L1062" t="s">
        <v>1433</v>
      </c>
      <c r="M1062" t="s">
        <v>1480</v>
      </c>
      <c r="N1062" t="s">
        <v>2251</v>
      </c>
      <c r="O1062">
        <v>4</v>
      </c>
    </row>
    <row r="1063" spans="2:15" x14ac:dyDescent="0.2">
      <c r="B1063" t="s">
        <v>1433</v>
      </c>
      <c r="C1063" t="s">
        <v>12891</v>
      </c>
      <c r="D1063" t="s">
        <v>613</v>
      </c>
      <c r="E1063" t="s">
        <v>6506</v>
      </c>
      <c r="F1063">
        <v>167.5</v>
      </c>
      <c r="H1063" t="s">
        <v>1952</v>
      </c>
      <c r="L1063" t="s">
        <v>1433</v>
      </c>
      <c r="M1063" t="s">
        <v>1487</v>
      </c>
      <c r="N1063" t="s">
        <v>2252</v>
      </c>
      <c r="O1063">
        <v>6</v>
      </c>
    </row>
    <row r="1064" spans="2:15" x14ac:dyDescent="0.2">
      <c r="B1064" t="s">
        <v>1433</v>
      </c>
      <c r="C1064" t="s">
        <v>12891</v>
      </c>
      <c r="D1064" t="s">
        <v>613</v>
      </c>
      <c r="E1064" t="s">
        <v>6507</v>
      </c>
      <c r="F1064">
        <v>63.8</v>
      </c>
      <c r="H1064" t="s">
        <v>2164</v>
      </c>
      <c r="L1064" t="s">
        <v>1433</v>
      </c>
      <c r="M1064" t="s">
        <v>2253</v>
      </c>
      <c r="N1064" t="s">
        <v>2254</v>
      </c>
      <c r="O1064">
        <v>10</v>
      </c>
    </row>
    <row r="1065" spans="2:15" x14ac:dyDescent="0.2">
      <c r="B1065" t="s">
        <v>1433</v>
      </c>
      <c r="C1065" t="s">
        <v>12891</v>
      </c>
      <c r="D1065" t="s">
        <v>554</v>
      </c>
      <c r="E1065" t="s">
        <v>6508</v>
      </c>
      <c r="F1065">
        <v>13428</v>
      </c>
      <c r="H1065" t="s">
        <v>2497</v>
      </c>
      <c r="L1065" t="s">
        <v>1433</v>
      </c>
      <c r="M1065" t="s">
        <v>1374</v>
      </c>
      <c r="N1065" t="s">
        <v>2255</v>
      </c>
      <c r="O1065">
        <v>120</v>
      </c>
    </row>
    <row r="1066" spans="2:15" x14ac:dyDescent="0.2">
      <c r="B1066" t="s">
        <v>1433</v>
      </c>
      <c r="C1066" t="s">
        <v>12891</v>
      </c>
      <c r="D1066" t="s">
        <v>613</v>
      </c>
      <c r="E1066" t="s">
        <v>6509</v>
      </c>
      <c r="F1066">
        <v>1.6</v>
      </c>
      <c r="H1066" t="s">
        <v>3482</v>
      </c>
      <c r="L1066" t="s">
        <v>1433</v>
      </c>
      <c r="M1066" t="s">
        <v>2256</v>
      </c>
      <c r="N1066" t="s">
        <v>2255</v>
      </c>
      <c r="O1066">
        <v>20</v>
      </c>
    </row>
    <row r="1067" spans="2:15" x14ac:dyDescent="0.2">
      <c r="B1067" t="s">
        <v>1433</v>
      </c>
      <c r="C1067" t="s">
        <v>12891</v>
      </c>
      <c r="D1067" t="s">
        <v>613</v>
      </c>
      <c r="E1067" t="s">
        <v>6512</v>
      </c>
      <c r="F1067">
        <v>4.72</v>
      </c>
      <c r="H1067" t="s">
        <v>6252</v>
      </c>
      <c r="L1067" t="s">
        <v>1433</v>
      </c>
      <c r="M1067" t="s">
        <v>1842</v>
      </c>
      <c r="N1067" t="s">
        <v>2255</v>
      </c>
      <c r="O1067">
        <v>60</v>
      </c>
    </row>
    <row r="1068" spans="2:15" x14ac:dyDescent="0.2">
      <c r="B1068" t="s">
        <v>1433</v>
      </c>
      <c r="C1068" t="s">
        <v>12891</v>
      </c>
      <c r="D1068" t="s">
        <v>613</v>
      </c>
      <c r="E1068" t="s">
        <v>6513</v>
      </c>
      <c r="F1068">
        <v>0.63</v>
      </c>
      <c r="H1068" t="s">
        <v>3485</v>
      </c>
      <c r="L1068" t="s">
        <v>1433</v>
      </c>
      <c r="M1068" t="s">
        <v>1843</v>
      </c>
      <c r="N1068" t="s">
        <v>2255</v>
      </c>
      <c r="O1068">
        <v>60</v>
      </c>
    </row>
    <row r="1069" spans="2:15" x14ac:dyDescent="0.2">
      <c r="B1069" t="s">
        <v>1433</v>
      </c>
      <c r="C1069" t="s">
        <v>12891</v>
      </c>
      <c r="D1069" t="s">
        <v>613</v>
      </c>
      <c r="E1069" t="s">
        <v>6514</v>
      </c>
      <c r="F1069">
        <v>8.6</v>
      </c>
      <c r="H1069" t="s">
        <v>3484</v>
      </c>
      <c r="L1069" t="s">
        <v>1433</v>
      </c>
      <c r="M1069" t="s">
        <v>1446</v>
      </c>
      <c r="N1069" t="s">
        <v>2255</v>
      </c>
      <c r="O1069">
        <v>60</v>
      </c>
    </row>
    <row r="1070" spans="2:15" x14ac:dyDescent="0.2">
      <c r="B1070" t="s">
        <v>1433</v>
      </c>
      <c r="C1070" t="s">
        <v>12891</v>
      </c>
      <c r="D1070" t="s">
        <v>613</v>
      </c>
      <c r="E1070" t="s">
        <v>6515</v>
      </c>
      <c r="F1070">
        <v>93.41</v>
      </c>
      <c r="H1070" t="s">
        <v>2212</v>
      </c>
      <c r="L1070" t="s">
        <v>1433</v>
      </c>
      <c r="M1070" t="s">
        <v>1544</v>
      </c>
      <c r="N1070" t="s">
        <v>2255</v>
      </c>
      <c r="O1070">
        <v>6</v>
      </c>
    </row>
    <row r="1071" spans="2:15" x14ac:dyDescent="0.2">
      <c r="B1071" t="s">
        <v>1433</v>
      </c>
      <c r="C1071" t="s">
        <v>12891</v>
      </c>
      <c r="D1071" t="s">
        <v>613</v>
      </c>
      <c r="E1071" t="s">
        <v>6516</v>
      </c>
      <c r="F1071">
        <v>56.5</v>
      </c>
      <c r="H1071" t="s">
        <v>1243</v>
      </c>
      <c r="L1071" t="s">
        <v>1433</v>
      </c>
      <c r="M1071" t="s">
        <v>1699</v>
      </c>
      <c r="N1071" t="s">
        <v>2255</v>
      </c>
      <c r="O1071">
        <v>264</v>
      </c>
    </row>
    <row r="1072" spans="2:15" x14ac:dyDescent="0.2">
      <c r="B1072" t="s">
        <v>1433</v>
      </c>
      <c r="C1072" t="s">
        <v>12891</v>
      </c>
      <c r="D1072" t="s">
        <v>613</v>
      </c>
      <c r="E1072" t="s">
        <v>6517</v>
      </c>
      <c r="F1072">
        <v>90.3</v>
      </c>
      <c r="H1072" t="s">
        <v>1245</v>
      </c>
      <c r="L1072" t="s">
        <v>1433</v>
      </c>
      <c r="M1072" t="s">
        <v>2257</v>
      </c>
      <c r="N1072" t="s">
        <v>2255</v>
      </c>
      <c r="O1072">
        <v>2</v>
      </c>
    </row>
    <row r="1073" spans="2:15" x14ac:dyDescent="0.2">
      <c r="B1073" t="s">
        <v>1433</v>
      </c>
      <c r="C1073" t="s">
        <v>12891</v>
      </c>
      <c r="D1073" t="s">
        <v>554</v>
      </c>
      <c r="E1073" t="s">
        <v>6518</v>
      </c>
      <c r="F1073">
        <v>39.21</v>
      </c>
      <c r="H1073" t="s">
        <v>2444</v>
      </c>
      <c r="L1073" t="s">
        <v>1433</v>
      </c>
      <c r="M1073" t="s">
        <v>2258</v>
      </c>
      <c r="N1073" t="s">
        <v>2255</v>
      </c>
      <c r="O1073">
        <v>2</v>
      </c>
    </row>
    <row r="1074" spans="2:15" x14ac:dyDescent="0.2">
      <c r="B1074" t="s">
        <v>1433</v>
      </c>
      <c r="C1074" t="s">
        <v>12891</v>
      </c>
      <c r="D1074" t="s">
        <v>84</v>
      </c>
      <c r="E1074" t="s">
        <v>6519</v>
      </c>
      <c r="F1074">
        <v>10.5</v>
      </c>
      <c r="H1074" t="s">
        <v>6257</v>
      </c>
      <c r="L1074" t="s">
        <v>1433</v>
      </c>
      <c r="M1074" t="s">
        <v>2021</v>
      </c>
      <c r="N1074" t="s">
        <v>2255</v>
      </c>
      <c r="O1074">
        <v>10</v>
      </c>
    </row>
    <row r="1075" spans="2:15" x14ac:dyDescent="0.2">
      <c r="B1075" t="s">
        <v>1433</v>
      </c>
      <c r="C1075" t="s">
        <v>12891</v>
      </c>
      <c r="D1075" t="s">
        <v>84</v>
      </c>
      <c r="E1075" t="s">
        <v>6520</v>
      </c>
      <c r="F1075">
        <v>13.36</v>
      </c>
      <c r="H1075" t="s">
        <v>3553</v>
      </c>
      <c r="L1075" t="s">
        <v>1433</v>
      </c>
      <c r="M1075" t="s">
        <v>2259</v>
      </c>
      <c r="N1075" t="s">
        <v>2255</v>
      </c>
      <c r="O1075">
        <v>2</v>
      </c>
    </row>
    <row r="1076" spans="2:15" x14ac:dyDescent="0.2">
      <c r="B1076" t="s">
        <v>1433</v>
      </c>
      <c r="C1076" t="s">
        <v>12891</v>
      </c>
      <c r="D1076" t="s">
        <v>613</v>
      </c>
      <c r="E1076" t="s">
        <v>6521</v>
      </c>
      <c r="F1076">
        <v>133.16999999999999</v>
      </c>
      <c r="H1076" t="s">
        <v>1565</v>
      </c>
      <c r="L1076" t="s">
        <v>1433</v>
      </c>
      <c r="M1076" t="s">
        <v>2260</v>
      </c>
      <c r="N1076" t="s">
        <v>2255</v>
      </c>
      <c r="O1076">
        <v>2</v>
      </c>
    </row>
    <row r="1077" spans="2:15" x14ac:dyDescent="0.2">
      <c r="B1077" t="s">
        <v>1433</v>
      </c>
      <c r="C1077" t="s">
        <v>12891</v>
      </c>
      <c r="D1077" t="s">
        <v>613</v>
      </c>
      <c r="E1077" t="s">
        <v>6522</v>
      </c>
      <c r="F1077">
        <v>222.24</v>
      </c>
      <c r="H1077" t="s">
        <v>1719</v>
      </c>
      <c r="L1077" t="s">
        <v>1433</v>
      </c>
      <c r="M1077" t="s">
        <v>2261</v>
      </c>
      <c r="N1077" t="s">
        <v>2255</v>
      </c>
      <c r="O1077">
        <v>10</v>
      </c>
    </row>
    <row r="1078" spans="2:15" x14ac:dyDescent="0.2">
      <c r="B1078" t="s">
        <v>1433</v>
      </c>
      <c r="C1078" t="s">
        <v>12891</v>
      </c>
      <c r="D1078" t="s">
        <v>613</v>
      </c>
      <c r="E1078" t="s">
        <v>6523</v>
      </c>
      <c r="F1078">
        <v>690.04</v>
      </c>
      <c r="H1078" t="s">
        <v>1727</v>
      </c>
      <c r="L1078" t="s">
        <v>1433</v>
      </c>
      <c r="M1078" t="s">
        <v>2262</v>
      </c>
      <c r="N1078" t="s">
        <v>2255</v>
      </c>
      <c r="O1078">
        <v>80</v>
      </c>
    </row>
    <row r="1079" spans="2:15" x14ac:dyDescent="0.2">
      <c r="B1079" t="s">
        <v>1433</v>
      </c>
      <c r="C1079" t="s">
        <v>12891</v>
      </c>
      <c r="D1079" t="s">
        <v>613</v>
      </c>
      <c r="E1079" t="s">
        <v>6524</v>
      </c>
      <c r="F1079">
        <v>623.38</v>
      </c>
      <c r="H1079" t="s">
        <v>1507</v>
      </c>
      <c r="L1079" t="s">
        <v>1433</v>
      </c>
      <c r="M1079" t="s">
        <v>1445</v>
      </c>
      <c r="N1079" t="s">
        <v>2255</v>
      </c>
      <c r="O1079">
        <v>100</v>
      </c>
    </row>
    <row r="1080" spans="2:15" x14ac:dyDescent="0.2">
      <c r="B1080" t="s">
        <v>1433</v>
      </c>
      <c r="C1080" t="s">
        <v>12891</v>
      </c>
      <c r="D1080" t="s">
        <v>613</v>
      </c>
      <c r="E1080" t="s">
        <v>6525</v>
      </c>
      <c r="F1080">
        <v>50.54</v>
      </c>
      <c r="H1080" t="s">
        <v>1956</v>
      </c>
      <c r="L1080" t="s">
        <v>1433</v>
      </c>
      <c r="M1080" t="s">
        <v>2263</v>
      </c>
      <c r="N1080" t="s">
        <v>2255</v>
      </c>
      <c r="O1080">
        <v>20</v>
      </c>
    </row>
    <row r="1081" spans="2:15" x14ac:dyDescent="0.2">
      <c r="B1081" t="s">
        <v>1433</v>
      </c>
      <c r="C1081" t="s">
        <v>12891</v>
      </c>
      <c r="D1081" t="s">
        <v>613</v>
      </c>
      <c r="E1081" t="s">
        <v>6526</v>
      </c>
      <c r="F1081">
        <v>409.23</v>
      </c>
      <c r="H1081" t="s">
        <v>2294</v>
      </c>
      <c r="L1081" t="s">
        <v>1433</v>
      </c>
      <c r="M1081" t="s">
        <v>1923</v>
      </c>
      <c r="N1081" t="s">
        <v>2255</v>
      </c>
      <c r="O1081">
        <v>120</v>
      </c>
    </row>
    <row r="1082" spans="2:15" x14ac:dyDescent="0.2">
      <c r="B1082" t="s">
        <v>1433</v>
      </c>
      <c r="C1082" t="s">
        <v>12891</v>
      </c>
      <c r="D1082" t="s">
        <v>613</v>
      </c>
      <c r="E1082" t="s">
        <v>6527</v>
      </c>
      <c r="F1082">
        <v>167.5</v>
      </c>
      <c r="H1082" t="s">
        <v>1952</v>
      </c>
      <c r="L1082" t="s">
        <v>1433</v>
      </c>
      <c r="M1082" t="s">
        <v>2264</v>
      </c>
      <c r="N1082" t="s">
        <v>2255</v>
      </c>
      <c r="O1082">
        <v>3</v>
      </c>
    </row>
    <row r="1083" spans="2:15" x14ac:dyDescent="0.2">
      <c r="B1083" t="s">
        <v>1433</v>
      </c>
      <c r="C1083" t="s">
        <v>12891</v>
      </c>
      <c r="D1083" t="s">
        <v>613</v>
      </c>
      <c r="E1083" t="s">
        <v>6528</v>
      </c>
      <c r="F1083">
        <v>63.8</v>
      </c>
      <c r="H1083" t="s">
        <v>2164</v>
      </c>
      <c r="L1083" t="s">
        <v>1433</v>
      </c>
      <c r="M1083" t="s">
        <v>1963</v>
      </c>
      <c r="N1083" t="s">
        <v>2255</v>
      </c>
      <c r="O1083">
        <v>2</v>
      </c>
    </row>
    <row r="1084" spans="2:15" x14ac:dyDescent="0.2">
      <c r="B1084" t="s">
        <v>1433</v>
      </c>
      <c r="C1084" t="s">
        <v>12891</v>
      </c>
      <c r="D1084" t="s">
        <v>554</v>
      </c>
      <c r="E1084" t="s">
        <v>6529</v>
      </c>
      <c r="F1084">
        <v>13428</v>
      </c>
      <c r="H1084" t="s">
        <v>2546</v>
      </c>
      <c r="L1084" t="s">
        <v>1433</v>
      </c>
      <c r="M1084" t="s">
        <v>1924</v>
      </c>
      <c r="N1084" t="s">
        <v>2255</v>
      </c>
      <c r="O1084">
        <v>60</v>
      </c>
    </row>
    <row r="1085" spans="2:15" x14ac:dyDescent="0.2">
      <c r="B1085" t="s">
        <v>1433</v>
      </c>
      <c r="C1085" t="s">
        <v>12891</v>
      </c>
      <c r="D1085" t="s">
        <v>613</v>
      </c>
      <c r="E1085" t="s">
        <v>6530</v>
      </c>
      <c r="F1085">
        <v>1.6</v>
      </c>
      <c r="H1085" t="s">
        <v>3482</v>
      </c>
      <c r="L1085" t="s">
        <v>1433</v>
      </c>
      <c r="M1085" t="s">
        <v>2265</v>
      </c>
      <c r="N1085" t="s">
        <v>2255</v>
      </c>
      <c r="O1085">
        <v>2</v>
      </c>
    </row>
    <row r="1086" spans="2:15" x14ac:dyDescent="0.2">
      <c r="B1086" t="s">
        <v>1433</v>
      </c>
      <c r="C1086" t="s">
        <v>12891</v>
      </c>
      <c r="D1086" t="s">
        <v>613</v>
      </c>
      <c r="E1086" t="s">
        <v>6532</v>
      </c>
      <c r="F1086">
        <v>13.31</v>
      </c>
      <c r="H1086" t="s">
        <v>5286</v>
      </c>
      <c r="L1086" t="s">
        <v>1433</v>
      </c>
      <c r="M1086" t="s">
        <v>2266</v>
      </c>
      <c r="N1086" t="s">
        <v>2255</v>
      </c>
      <c r="O1086">
        <v>2</v>
      </c>
    </row>
    <row r="1087" spans="2:15" x14ac:dyDescent="0.2">
      <c r="B1087" t="s">
        <v>1433</v>
      </c>
      <c r="C1087" t="s">
        <v>12891</v>
      </c>
      <c r="D1087" t="s">
        <v>613</v>
      </c>
      <c r="E1087" t="s">
        <v>6533</v>
      </c>
      <c r="F1087">
        <v>1.26</v>
      </c>
      <c r="H1087" t="s">
        <v>3485</v>
      </c>
      <c r="L1087" t="s">
        <v>1433</v>
      </c>
      <c r="M1087" t="s">
        <v>2267</v>
      </c>
      <c r="N1087" t="s">
        <v>2255</v>
      </c>
      <c r="O1087">
        <v>10</v>
      </c>
    </row>
    <row r="1088" spans="2:15" x14ac:dyDescent="0.2">
      <c r="B1088" t="s">
        <v>1433</v>
      </c>
      <c r="C1088" t="s">
        <v>12891</v>
      </c>
      <c r="D1088" t="s">
        <v>613</v>
      </c>
      <c r="E1088" t="s">
        <v>6534</v>
      </c>
      <c r="F1088">
        <v>90.4</v>
      </c>
      <c r="H1088" t="s">
        <v>1243</v>
      </c>
      <c r="L1088" t="s">
        <v>1433</v>
      </c>
      <c r="M1088" t="s">
        <v>2268</v>
      </c>
      <c r="N1088" t="s">
        <v>2255</v>
      </c>
      <c r="O1088">
        <v>10</v>
      </c>
    </row>
    <row r="1089" spans="2:15" x14ac:dyDescent="0.2">
      <c r="B1089" t="s">
        <v>1433</v>
      </c>
      <c r="C1089" t="s">
        <v>12891</v>
      </c>
      <c r="D1089" t="s">
        <v>613</v>
      </c>
      <c r="E1089" t="s">
        <v>6535</v>
      </c>
      <c r="F1089">
        <v>120.4</v>
      </c>
      <c r="H1089" t="s">
        <v>1245</v>
      </c>
      <c r="L1089" t="s">
        <v>1433</v>
      </c>
      <c r="M1089" t="s">
        <v>2269</v>
      </c>
      <c r="N1089" t="s">
        <v>2255</v>
      </c>
      <c r="O1089">
        <v>30</v>
      </c>
    </row>
    <row r="1090" spans="2:15" x14ac:dyDescent="0.2">
      <c r="B1090" t="s">
        <v>1433</v>
      </c>
      <c r="C1090" t="s">
        <v>12891</v>
      </c>
      <c r="D1090" t="s">
        <v>84</v>
      </c>
      <c r="E1090" t="s">
        <v>6536</v>
      </c>
      <c r="F1090">
        <v>21</v>
      </c>
      <c r="H1090" t="s">
        <v>6257</v>
      </c>
      <c r="L1090" t="s">
        <v>1433</v>
      </c>
      <c r="M1090" t="s">
        <v>2270</v>
      </c>
      <c r="N1090" t="s">
        <v>2255</v>
      </c>
      <c r="O1090">
        <v>10</v>
      </c>
    </row>
    <row r="1091" spans="2:15" x14ac:dyDescent="0.2">
      <c r="B1091" t="s">
        <v>1433</v>
      </c>
      <c r="C1091" t="s">
        <v>12891</v>
      </c>
      <c r="D1091" t="s">
        <v>84</v>
      </c>
      <c r="E1091" t="s">
        <v>6537</v>
      </c>
      <c r="F1091">
        <v>26.71</v>
      </c>
      <c r="H1091" t="s">
        <v>3553</v>
      </c>
      <c r="L1091" t="s">
        <v>1433</v>
      </c>
      <c r="M1091" t="s">
        <v>2271</v>
      </c>
      <c r="N1091" t="s">
        <v>2255</v>
      </c>
      <c r="O1091">
        <v>10</v>
      </c>
    </row>
    <row r="1092" spans="2:15" x14ac:dyDescent="0.2">
      <c r="B1092" t="s">
        <v>1433</v>
      </c>
      <c r="C1092" t="s">
        <v>12891</v>
      </c>
      <c r="D1092" t="s">
        <v>554</v>
      </c>
      <c r="E1092" t="s">
        <v>6538</v>
      </c>
      <c r="F1092">
        <v>11182</v>
      </c>
      <c r="H1092" t="s">
        <v>2498</v>
      </c>
      <c r="L1092" t="s">
        <v>1433</v>
      </c>
      <c r="M1092" t="s">
        <v>2272</v>
      </c>
      <c r="N1092" t="s">
        <v>2255</v>
      </c>
      <c r="O1092">
        <v>2</v>
      </c>
    </row>
    <row r="1093" spans="2:15" x14ac:dyDescent="0.2">
      <c r="B1093" t="s">
        <v>1433</v>
      </c>
      <c r="C1093" t="s">
        <v>12891</v>
      </c>
      <c r="D1093" t="s">
        <v>613</v>
      </c>
      <c r="E1093" t="s">
        <v>6539</v>
      </c>
      <c r="F1093">
        <v>3.2</v>
      </c>
      <c r="H1093" t="s">
        <v>3482</v>
      </c>
      <c r="L1093" t="s">
        <v>1433</v>
      </c>
      <c r="M1093" t="s">
        <v>2022</v>
      </c>
      <c r="N1093" t="s">
        <v>2255</v>
      </c>
      <c r="O1093">
        <v>10</v>
      </c>
    </row>
    <row r="1094" spans="2:15" x14ac:dyDescent="0.2">
      <c r="B1094" t="s">
        <v>1433</v>
      </c>
      <c r="C1094" t="s">
        <v>12891</v>
      </c>
      <c r="D1094" t="s">
        <v>613</v>
      </c>
      <c r="E1094" t="s">
        <v>6542</v>
      </c>
      <c r="F1094">
        <v>13.31</v>
      </c>
      <c r="H1094" t="s">
        <v>5286</v>
      </c>
      <c r="L1094" t="s">
        <v>1433</v>
      </c>
      <c r="M1094" t="s">
        <v>2273</v>
      </c>
      <c r="N1094" t="s">
        <v>2255</v>
      </c>
      <c r="O1094">
        <v>7</v>
      </c>
    </row>
    <row r="1095" spans="2:15" x14ac:dyDescent="0.2">
      <c r="B1095" t="s">
        <v>1433</v>
      </c>
      <c r="C1095" t="s">
        <v>12891</v>
      </c>
      <c r="D1095" t="s">
        <v>613</v>
      </c>
      <c r="E1095" t="s">
        <v>6543</v>
      </c>
      <c r="F1095">
        <v>1.26</v>
      </c>
      <c r="H1095" t="s">
        <v>3485</v>
      </c>
      <c r="L1095" t="s">
        <v>1433</v>
      </c>
      <c r="M1095" t="s">
        <v>2274</v>
      </c>
      <c r="N1095" t="s">
        <v>2255</v>
      </c>
      <c r="O1095">
        <v>10</v>
      </c>
    </row>
    <row r="1096" spans="2:15" x14ac:dyDescent="0.2">
      <c r="B1096" t="s">
        <v>1433</v>
      </c>
      <c r="C1096" t="s">
        <v>12891</v>
      </c>
      <c r="D1096" t="s">
        <v>613</v>
      </c>
      <c r="E1096" t="s">
        <v>6544</v>
      </c>
      <c r="F1096">
        <v>90.4</v>
      </c>
      <c r="H1096" t="s">
        <v>1243</v>
      </c>
      <c r="L1096" t="s">
        <v>1433</v>
      </c>
      <c r="M1096" t="s">
        <v>1377</v>
      </c>
      <c r="N1096" t="s">
        <v>2255</v>
      </c>
      <c r="O1096">
        <v>10</v>
      </c>
    </row>
    <row r="1097" spans="2:15" x14ac:dyDescent="0.2">
      <c r="B1097" t="s">
        <v>1433</v>
      </c>
      <c r="C1097" t="s">
        <v>12891</v>
      </c>
      <c r="D1097" t="s">
        <v>613</v>
      </c>
      <c r="E1097" t="s">
        <v>6545</v>
      </c>
      <c r="F1097">
        <v>120.4</v>
      </c>
      <c r="H1097" t="s">
        <v>1245</v>
      </c>
      <c r="L1097" t="s">
        <v>1433</v>
      </c>
      <c r="M1097" t="s">
        <v>2275</v>
      </c>
      <c r="N1097" t="s">
        <v>2255</v>
      </c>
      <c r="O1097">
        <v>4</v>
      </c>
    </row>
    <row r="1098" spans="2:15" x14ac:dyDescent="0.2">
      <c r="B1098" t="s">
        <v>1433</v>
      </c>
      <c r="C1098" t="s">
        <v>12891</v>
      </c>
      <c r="D1098" t="s">
        <v>84</v>
      </c>
      <c r="E1098" t="s">
        <v>6546</v>
      </c>
      <c r="F1098">
        <v>21</v>
      </c>
      <c r="H1098" t="s">
        <v>6257</v>
      </c>
      <c r="L1098" t="s">
        <v>1433</v>
      </c>
      <c r="M1098" t="s">
        <v>2276</v>
      </c>
      <c r="N1098" t="s">
        <v>2255</v>
      </c>
      <c r="O1098">
        <v>4</v>
      </c>
    </row>
    <row r="1099" spans="2:15" x14ac:dyDescent="0.2">
      <c r="B1099" t="s">
        <v>1433</v>
      </c>
      <c r="C1099" t="s">
        <v>12891</v>
      </c>
      <c r="D1099" t="s">
        <v>84</v>
      </c>
      <c r="E1099" t="s">
        <v>6547</v>
      </c>
      <c r="F1099">
        <v>26.71</v>
      </c>
      <c r="H1099" t="s">
        <v>3553</v>
      </c>
      <c r="L1099" t="s">
        <v>1433</v>
      </c>
      <c r="M1099" t="s">
        <v>1358</v>
      </c>
      <c r="N1099" t="s">
        <v>2277</v>
      </c>
      <c r="O1099">
        <v>2</v>
      </c>
    </row>
    <row r="1100" spans="2:15" x14ac:dyDescent="0.2">
      <c r="B1100" t="s">
        <v>1433</v>
      </c>
      <c r="C1100" t="s">
        <v>12891</v>
      </c>
      <c r="D1100" t="s">
        <v>613</v>
      </c>
      <c r="E1100" t="s">
        <v>6548</v>
      </c>
      <c r="F1100">
        <v>482.5</v>
      </c>
      <c r="H1100" t="s">
        <v>1577</v>
      </c>
      <c r="L1100" t="s">
        <v>1433</v>
      </c>
      <c r="M1100" t="s">
        <v>1580</v>
      </c>
      <c r="N1100" t="s">
        <v>2278</v>
      </c>
      <c r="O1100">
        <v>300</v>
      </c>
    </row>
    <row r="1101" spans="2:15" x14ac:dyDescent="0.2">
      <c r="B1101" t="s">
        <v>1433</v>
      </c>
      <c r="C1101" t="s">
        <v>12891</v>
      </c>
      <c r="D1101" t="s">
        <v>554</v>
      </c>
      <c r="E1101" t="s">
        <v>6549</v>
      </c>
      <c r="F1101">
        <v>12435</v>
      </c>
      <c r="H1101" t="s">
        <v>2547</v>
      </c>
      <c r="L1101" t="s">
        <v>1433</v>
      </c>
      <c r="M1101" t="s">
        <v>1386</v>
      </c>
      <c r="N1101" t="s">
        <v>2279</v>
      </c>
      <c r="O1101">
        <v>12</v>
      </c>
    </row>
    <row r="1102" spans="2:15" x14ac:dyDescent="0.2">
      <c r="B1102" t="s">
        <v>1433</v>
      </c>
      <c r="C1102" t="s">
        <v>12891</v>
      </c>
      <c r="D1102" t="s">
        <v>613</v>
      </c>
      <c r="E1102" t="s">
        <v>6550</v>
      </c>
      <c r="F1102">
        <v>3.2</v>
      </c>
      <c r="H1102" t="s">
        <v>3482</v>
      </c>
      <c r="L1102" t="s">
        <v>1433</v>
      </c>
      <c r="M1102" t="s">
        <v>1613</v>
      </c>
      <c r="N1102" t="s">
        <v>2280</v>
      </c>
      <c r="O1102">
        <v>100</v>
      </c>
    </row>
    <row r="1103" spans="2:15" x14ac:dyDescent="0.2">
      <c r="B1103" t="s">
        <v>1433</v>
      </c>
      <c r="C1103" t="s">
        <v>12891</v>
      </c>
      <c r="D1103" t="s">
        <v>1137</v>
      </c>
      <c r="E1103" t="s">
        <v>6553</v>
      </c>
      <c r="F1103">
        <v>3204</v>
      </c>
      <c r="G1103" t="s">
        <v>1253</v>
      </c>
      <c r="L1103" t="s">
        <v>1433</v>
      </c>
      <c r="M1103" t="s">
        <v>2281</v>
      </c>
      <c r="N1103" t="s">
        <v>2280</v>
      </c>
      <c r="O1103">
        <v>100</v>
      </c>
    </row>
    <row r="1104" spans="2:15" x14ac:dyDescent="0.2">
      <c r="B1104" t="s">
        <v>1433</v>
      </c>
      <c r="C1104" t="s">
        <v>12891</v>
      </c>
      <c r="D1104" t="s">
        <v>554</v>
      </c>
      <c r="E1104" t="s">
        <v>6559</v>
      </c>
      <c r="F1104">
        <v>9164</v>
      </c>
      <c r="G1104" t="s">
        <v>2472</v>
      </c>
      <c r="L1104" t="s">
        <v>1433</v>
      </c>
      <c r="M1104" t="s">
        <v>1621</v>
      </c>
      <c r="N1104" t="s">
        <v>2280</v>
      </c>
      <c r="O1104">
        <v>150</v>
      </c>
    </row>
    <row r="1105" spans="2:15" x14ac:dyDescent="0.2">
      <c r="B1105" t="s">
        <v>1433</v>
      </c>
      <c r="C1105" t="s">
        <v>12891</v>
      </c>
      <c r="D1105" t="s">
        <v>554</v>
      </c>
      <c r="E1105" t="s">
        <v>6560</v>
      </c>
      <c r="F1105">
        <v>15752</v>
      </c>
      <c r="G1105" t="s">
        <v>2474</v>
      </c>
      <c r="L1105" t="s">
        <v>1433</v>
      </c>
      <c r="M1105" t="s">
        <v>1622</v>
      </c>
      <c r="N1105" t="s">
        <v>2280</v>
      </c>
      <c r="O1105">
        <v>500</v>
      </c>
    </row>
    <row r="1106" spans="2:15" x14ac:dyDescent="0.2">
      <c r="B1106" t="s">
        <v>1433</v>
      </c>
      <c r="C1106" t="s">
        <v>12891</v>
      </c>
      <c r="D1106" t="s">
        <v>1137</v>
      </c>
      <c r="E1106" t="s">
        <v>6562</v>
      </c>
      <c r="F1106">
        <v>2232</v>
      </c>
      <c r="G1106" t="s">
        <v>1277</v>
      </c>
      <c r="L1106" t="s">
        <v>1433</v>
      </c>
      <c r="M1106" t="s">
        <v>1623</v>
      </c>
      <c r="N1106" t="s">
        <v>2280</v>
      </c>
      <c r="O1106">
        <v>500</v>
      </c>
    </row>
    <row r="1107" spans="2:15" x14ac:dyDescent="0.2">
      <c r="B1107" t="s">
        <v>1433</v>
      </c>
      <c r="C1107" t="s">
        <v>12891</v>
      </c>
      <c r="D1107" t="s">
        <v>613</v>
      </c>
      <c r="E1107" t="s">
        <v>6565</v>
      </c>
      <c r="F1107">
        <v>67.56</v>
      </c>
      <c r="H1107" t="s">
        <v>2361</v>
      </c>
      <c r="L1107" t="s">
        <v>1433</v>
      </c>
      <c r="M1107" t="s">
        <v>1629</v>
      </c>
      <c r="N1107" t="s">
        <v>2282</v>
      </c>
      <c r="O1107">
        <v>100</v>
      </c>
    </row>
    <row r="1108" spans="2:15" x14ac:dyDescent="0.2">
      <c r="B1108" t="s">
        <v>1433</v>
      </c>
      <c r="C1108" t="s">
        <v>12891</v>
      </c>
      <c r="D1108" t="s">
        <v>554</v>
      </c>
      <c r="E1108" t="s">
        <v>6566</v>
      </c>
      <c r="F1108">
        <v>4570</v>
      </c>
      <c r="H1108" t="s">
        <v>2520</v>
      </c>
      <c r="L1108" t="s">
        <v>1433</v>
      </c>
      <c r="M1108" t="s">
        <v>1627</v>
      </c>
      <c r="N1108" t="s">
        <v>2282</v>
      </c>
      <c r="O1108">
        <v>50</v>
      </c>
    </row>
    <row r="1109" spans="2:15" x14ac:dyDescent="0.2">
      <c r="B1109" t="s">
        <v>1433</v>
      </c>
      <c r="C1109" t="s">
        <v>12891</v>
      </c>
      <c r="D1109" t="s">
        <v>613</v>
      </c>
      <c r="E1109" t="s">
        <v>6568</v>
      </c>
      <c r="F1109">
        <v>216.19</v>
      </c>
      <c r="H1109" t="s">
        <v>2361</v>
      </c>
      <c r="L1109" t="s">
        <v>1433</v>
      </c>
      <c r="M1109" t="s">
        <v>2283</v>
      </c>
      <c r="N1109" t="s">
        <v>2284</v>
      </c>
      <c r="O1109">
        <v>50</v>
      </c>
    </row>
    <row r="1110" spans="2:15" x14ac:dyDescent="0.2">
      <c r="B1110" t="s">
        <v>1433</v>
      </c>
      <c r="C1110" t="s">
        <v>12891</v>
      </c>
      <c r="D1110" t="s">
        <v>554</v>
      </c>
      <c r="E1110" t="s">
        <v>6569</v>
      </c>
      <c r="F1110">
        <v>11312</v>
      </c>
      <c r="H1110" t="s">
        <v>2522</v>
      </c>
      <c r="L1110" t="s">
        <v>1433</v>
      </c>
      <c r="M1110" t="s">
        <v>1593</v>
      </c>
      <c r="N1110" t="s">
        <v>2284</v>
      </c>
      <c r="O1110">
        <v>100</v>
      </c>
    </row>
    <row r="1111" spans="2:15" x14ac:dyDescent="0.2">
      <c r="B1111" t="s">
        <v>1433</v>
      </c>
      <c r="C1111" t="s">
        <v>12891</v>
      </c>
      <c r="D1111" t="s">
        <v>613</v>
      </c>
      <c r="E1111" t="s">
        <v>6571</v>
      </c>
      <c r="F1111">
        <v>94.58</v>
      </c>
      <c r="H1111" t="s">
        <v>2361</v>
      </c>
      <c r="L1111" t="s">
        <v>1433</v>
      </c>
      <c r="M1111" t="s">
        <v>2285</v>
      </c>
      <c r="N1111" t="s">
        <v>2286</v>
      </c>
      <c r="O1111">
        <v>4</v>
      </c>
    </row>
    <row r="1112" spans="2:15" x14ac:dyDescent="0.2">
      <c r="B1112" t="s">
        <v>1433</v>
      </c>
      <c r="C1112" t="s">
        <v>12891</v>
      </c>
      <c r="D1112" t="s">
        <v>554</v>
      </c>
      <c r="E1112" t="s">
        <v>6572</v>
      </c>
      <c r="F1112">
        <v>6872</v>
      </c>
      <c r="H1112" t="s">
        <v>2523</v>
      </c>
      <c r="L1112" t="s">
        <v>1433</v>
      </c>
      <c r="M1112" t="s">
        <v>1307</v>
      </c>
      <c r="N1112" t="s">
        <v>2287</v>
      </c>
      <c r="O1112">
        <v>1</v>
      </c>
    </row>
    <row r="1113" spans="2:15" x14ac:dyDescent="0.2">
      <c r="B1113" t="s">
        <v>1433</v>
      </c>
      <c r="C1113" t="s">
        <v>12891</v>
      </c>
      <c r="D1113" t="s">
        <v>613</v>
      </c>
      <c r="E1113" t="s">
        <v>6574</v>
      </c>
      <c r="F1113">
        <v>67.56</v>
      </c>
      <c r="H1113" t="s">
        <v>2361</v>
      </c>
      <c r="L1113" t="s">
        <v>1433</v>
      </c>
      <c r="M1113" t="s">
        <v>1321</v>
      </c>
      <c r="N1113" t="s">
        <v>2287</v>
      </c>
      <c r="O1113">
        <v>1</v>
      </c>
    </row>
    <row r="1114" spans="2:15" x14ac:dyDescent="0.2">
      <c r="B1114" t="s">
        <v>1433</v>
      </c>
      <c r="C1114" t="s">
        <v>12891</v>
      </c>
      <c r="D1114" t="s">
        <v>554</v>
      </c>
      <c r="E1114" t="s">
        <v>6575</v>
      </c>
      <c r="F1114">
        <v>4764</v>
      </c>
      <c r="H1114" t="s">
        <v>2524</v>
      </c>
      <c r="L1114" t="s">
        <v>1433</v>
      </c>
      <c r="M1114" t="s">
        <v>1517</v>
      </c>
      <c r="N1114" t="s">
        <v>2288</v>
      </c>
      <c r="O1114">
        <v>7</v>
      </c>
    </row>
    <row r="1115" spans="2:15" x14ac:dyDescent="0.2">
      <c r="B1115" t="s">
        <v>1433</v>
      </c>
      <c r="C1115" t="s">
        <v>12891</v>
      </c>
      <c r="D1115" t="s">
        <v>613</v>
      </c>
      <c r="E1115" t="s">
        <v>6578</v>
      </c>
      <c r="F1115">
        <v>0.24</v>
      </c>
      <c r="H1115" t="s">
        <v>2253</v>
      </c>
      <c r="L1115" t="s">
        <v>1433</v>
      </c>
      <c r="M1115" t="s">
        <v>1514</v>
      </c>
      <c r="N1115" t="s">
        <v>2288</v>
      </c>
      <c r="O1115">
        <v>3</v>
      </c>
    </row>
    <row r="1116" spans="2:15" x14ac:dyDescent="0.2">
      <c r="B1116" t="s">
        <v>1433</v>
      </c>
      <c r="C1116" t="s">
        <v>12891</v>
      </c>
      <c r="D1116" t="s">
        <v>613</v>
      </c>
      <c r="E1116" t="s">
        <v>6579</v>
      </c>
      <c r="F1116">
        <v>22.6</v>
      </c>
      <c r="H1116" t="s">
        <v>1243</v>
      </c>
      <c r="L1116" t="s">
        <v>1433</v>
      </c>
      <c r="M1116" t="s">
        <v>1516</v>
      </c>
      <c r="N1116" t="s">
        <v>2288</v>
      </c>
      <c r="O1116">
        <v>3</v>
      </c>
    </row>
    <row r="1117" spans="2:15" x14ac:dyDescent="0.2">
      <c r="B1117" t="s">
        <v>1433</v>
      </c>
      <c r="C1117" t="s">
        <v>12891</v>
      </c>
      <c r="D1117" t="s">
        <v>613</v>
      </c>
      <c r="E1117" t="s">
        <v>6580</v>
      </c>
      <c r="F1117">
        <v>30.1</v>
      </c>
      <c r="H1117" t="s">
        <v>1245</v>
      </c>
      <c r="L1117" t="s">
        <v>1433</v>
      </c>
      <c r="M1117" t="s">
        <v>1556</v>
      </c>
      <c r="N1117" t="s">
        <v>2288</v>
      </c>
      <c r="O1117">
        <v>1</v>
      </c>
    </row>
    <row r="1118" spans="2:15" x14ac:dyDescent="0.2">
      <c r="B1118" t="s">
        <v>1433</v>
      </c>
      <c r="C1118" t="s">
        <v>12891</v>
      </c>
      <c r="D1118" t="s">
        <v>554</v>
      </c>
      <c r="E1118" t="s">
        <v>6581</v>
      </c>
      <c r="F1118">
        <v>3432</v>
      </c>
      <c r="H1118" t="s">
        <v>2548</v>
      </c>
      <c r="L1118" t="s">
        <v>1433</v>
      </c>
      <c r="M1118" t="s">
        <v>2289</v>
      </c>
      <c r="N1118" t="s">
        <v>2290</v>
      </c>
      <c r="O1118">
        <v>2</v>
      </c>
    </row>
    <row r="1119" spans="2:15" x14ac:dyDescent="0.2">
      <c r="B1119" t="s">
        <v>1433</v>
      </c>
      <c r="C1119" t="s">
        <v>12891</v>
      </c>
      <c r="D1119" t="s">
        <v>613</v>
      </c>
      <c r="E1119" t="s">
        <v>6582</v>
      </c>
      <c r="F1119">
        <v>291.86</v>
      </c>
      <c r="H1119" t="s">
        <v>2806</v>
      </c>
      <c r="L1119" t="s">
        <v>1433</v>
      </c>
      <c r="M1119" t="s">
        <v>1243</v>
      </c>
      <c r="N1119" t="s">
        <v>2291</v>
      </c>
      <c r="O1119">
        <v>28</v>
      </c>
    </row>
    <row r="1120" spans="2:15" x14ac:dyDescent="0.2">
      <c r="B1120" t="s">
        <v>1433</v>
      </c>
      <c r="C1120" t="s">
        <v>12891</v>
      </c>
      <c r="D1120" t="s">
        <v>613</v>
      </c>
      <c r="E1120" t="s">
        <v>6583</v>
      </c>
      <c r="F1120">
        <v>11.3</v>
      </c>
      <c r="H1120" t="s">
        <v>1243</v>
      </c>
      <c r="L1120" t="s">
        <v>1433</v>
      </c>
      <c r="M1120" t="s">
        <v>1245</v>
      </c>
      <c r="N1120" t="s">
        <v>2291</v>
      </c>
      <c r="O1120">
        <v>28</v>
      </c>
    </row>
    <row r="1121" spans="2:15" x14ac:dyDescent="0.2">
      <c r="B1121" t="s">
        <v>1433</v>
      </c>
      <c r="C1121" t="s">
        <v>12891</v>
      </c>
      <c r="D1121" t="s">
        <v>613</v>
      </c>
      <c r="E1121" t="s">
        <v>6584</v>
      </c>
      <c r="F1121">
        <v>15.05</v>
      </c>
      <c r="H1121" t="s">
        <v>1245</v>
      </c>
      <c r="L1121" t="s">
        <v>1433</v>
      </c>
      <c r="M1121" t="s">
        <v>1956</v>
      </c>
      <c r="N1121" t="s">
        <v>2291</v>
      </c>
      <c r="O1121">
        <v>8</v>
      </c>
    </row>
    <row r="1122" spans="2:15" x14ac:dyDescent="0.2">
      <c r="B1122" t="s">
        <v>1433</v>
      </c>
      <c r="C1122" t="s">
        <v>12891</v>
      </c>
      <c r="D1122" t="s">
        <v>554</v>
      </c>
      <c r="E1122" t="s">
        <v>6585</v>
      </c>
      <c r="F1122">
        <v>1955</v>
      </c>
      <c r="H1122" t="s">
        <v>2550</v>
      </c>
      <c r="L1122" t="s">
        <v>1433</v>
      </c>
      <c r="M1122" t="s">
        <v>1309</v>
      </c>
      <c r="N1122" t="s">
        <v>2292</v>
      </c>
      <c r="O1122">
        <v>1</v>
      </c>
    </row>
    <row r="1123" spans="2:15" x14ac:dyDescent="0.2">
      <c r="B1123" t="s">
        <v>1433</v>
      </c>
      <c r="C1123" t="s">
        <v>12891</v>
      </c>
      <c r="D1123" t="s">
        <v>613</v>
      </c>
      <c r="E1123" t="s">
        <v>6586</v>
      </c>
      <c r="F1123">
        <v>291.86</v>
      </c>
      <c r="H1123" t="s">
        <v>2806</v>
      </c>
      <c r="L1123" t="s">
        <v>1433</v>
      </c>
      <c r="M1123" t="s">
        <v>2293</v>
      </c>
      <c r="N1123" t="s">
        <v>1755</v>
      </c>
      <c r="O1123">
        <v>2</v>
      </c>
    </row>
    <row r="1124" spans="2:15" x14ac:dyDescent="0.2">
      <c r="B1124" t="s">
        <v>1433</v>
      </c>
      <c r="C1124" t="s">
        <v>12891</v>
      </c>
      <c r="D1124" t="s">
        <v>613</v>
      </c>
      <c r="E1124" t="s">
        <v>6587</v>
      </c>
      <c r="F1124">
        <v>11.3</v>
      </c>
      <c r="H1124" t="s">
        <v>1243</v>
      </c>
      <c r="L1124" t="s">
        <v>1433</v>
      </c>
      <c r="M1124" t="s">
        <v>2294</v>
      </c>
      <c r="N1124" t="s">
        <v>2295</v>
      </c>
      <c r="O1124">
        <v>1</v>
      </c>
    </row>
    <row r="1125" spans="2:15" x14ac:dyDescent="0.2">
      <c r="B1125" t="s">
        <v>1433</v>
      </c>
      <c r="C1125" t="s">
        <v>12891</v>
      </c>
      <c r="D1125" t="s">
        <v>613</v>
      </c>
      <c r="E1125" t="s">
        <v>6588</v>
      </c>
      <c r="F1125">
        <v>15.05</v>
      </c>
      <c r="H1125" t="s">
        <v>1245</v>
      </c>
      <c r="L1125" t="s">
        <v>1433</v>
      </c>
      <c r="M1125" t="s">
        <v>2296</v>
      </c>
      <c r="N1125" t="s">
        <v>2297</v>
      </c>
      <c r="O1125">
        <v>250</v>
      </c>
    </row>
    <row r="1126" spans="2:15" x14ac:dyDescent="0.2">
      <c r="B1126" t="s">
        <v>1433</v>
      </c>
      <c r="C1126" t="s">
        <v>12891</v>
      </c>
      <c r="D1126" t="s">
        <v>554</v>
      </c>
      <c r="E1126" t="s">
        <v>6589</v>
      </c>
      <c r="F1126">
        <v>1955</v>
      </c>
      <c r="H1126" t="s">
        <v>2551</v>
      </c>
      <c r="L1126" t="s">
        <v>1433</v>
      </c>
      <c r="M1126" t="s">
        <v>1952</v>
      </c>
      <c r="N1126" t="s">
        <v>2298</v>
      </c>
      <c r="O1126">
        <v>2</v>
      </c>
    </row>
    <row r="1127" spans="2:15" x14ac:dyDescent="0.2">
      <c r="B1127" t="s">
        <v>1433</v>
      </c>
      <c r="C1127" t="s">
        <v>12891</v>
      </c>
      <c r="D1127" t="s">
        <v>1137</v>
      </c>
      <c r="E1127" t="s">
        <v>6590</v>
      </c>
      <c r="F1127">
        <v>25440</v>
      </c>
      <c r="G1127" t="s">
        <v>1275</v>
      </c>
      <c r="L1127" t="s">
        <v>1433</v>
      </c>
      <c r="M1127" t="s">
        <v>1956</v>
      </c>
      <c r="N1127" t="s">
        <v>2299</v>
      </c>
      <c r="O1127">
        <v>2</v>
      </c>
    </row>
    <row r="1128" spans="2:15" x14ac:dyDescent="0.2">
      <c r="B1128" t="s">
        <v>1433</v>
      </c>
      <c r="C1128" t="s">
        <v>12891</v>
      </c>
      <c r="D1128" t="s">
        <v>1137</v>
      </c>
      <c r="E1128" t="s">
        <v>6591</v>
      </c>
      <c r="F1128">
        <v>3432</v>
      </c>
      <c r="G1128" t="s">
        <v>1292</v>
      </c>
      <c r="L1128" t="s">
        <v>1433</v>
      </c>
      <c r="M1128" t="s">
        <v>2300</v>
      </c>
      <c r="N1128" t="s">
        <v>2301</v>
      </c>
      <c r="O1128">
        <v>400</v>
      </c>
    </row>
    <row r="1129" spans="2:15" x14ac:dyDescent="0.2">
      <c r="B1129" t="s">
        <v>1433</v>
      </c>
      <c r="C1129" t="s">
        <v>12891</v>
      </c>
      <c r="D1129" t="s">
        <v>1137</v>
      </c>
      <c r="E1129" t="s">
        <v>6592</v>
      </c>
      <c r="F1129">
        <v>3492</v>
      </c>
      <c r="G1129" t="s">
        <v>1301</v>
      </c>
      <c r="L1129" t="s">
        <v>1433</v>
      </c>
      <c r="M1129" t="s">
        <v>1835</v>
      </c>
      <c r="N1129" t="s">
        <v>2301</v>
      </c>
      <c r="O1129">
        <v>140</v>
      </c>
    </row>
    <row r="1130" spans="2:15" x14ac:dyDescent="0.2">
      <c r="B1130" t="s">
        <v>1433</v>
      </c>
      <c r="C1130" t="s">
        <v>12891</v>
      </c>
      <c r="D1130" t="s">
        <v>613</v>
      </c>
      <c r="E1130" t="s">
        <v>6594</v>
      </c>
      <c r="F1130">
        <v>725</v>
      </c>
      <c r="G1130" t="s">
        <v>1350</v>
      </c>
      <c r="L1130" t="s">
        <v>1433</v>
      </c>
      <c r="M1130" t="s">
        <v>1836</v>
      </c>
      <c r="N1130" t="s">
        <v>2301</v>
      </c>
      <c r="O1130">
        <v>30</v>
      </c>
    </row>
    <row r="1131" spans="2:15" x14ac:dyDescent="0.2">
      <c r="B1131" t="s">
        <v>1433</v>
      </c>
      <c r="C1131" t="s">
        <v>12891</v>
      </c>
      <c r="D1131" t="s">
        <v>1137</v>
      </c>
      <c r="E1131" t="s">
        <v>6595</v>
      </c>
      <c r="F1131">
        <v>509.5</v>
      </c>
      <c r="G1131" t="s">
        <v>1309</v>
      </c>
      <c r="L1131" t="s">
        <v>1433</v>
      </c>
      <c r="M1131" t="s">
        <v>2302</v>
      </c>
      <c r="N1131" t="s">
        <v>1488</v>
      </c>
      <c r="O1131">
        <v>12</v>
      </c>
    </row>
    <row r="1132" spans="2:15" x14ac:dyDescent="0.2">
      <c r="B1132" t="s">
        <v>1433</v>
      </c>
      <c r="C1132" t="s">
        <v>12891</v>
      </c>
      <c r="D1132" t="s">
        <v>1137</v>
      </c>
      <c r="E1132" t="s">
        <v>6596</v>
      </c>
      <c r="F1132">
        <v>380</v>
      </c>
      <c r="G1132" t="s">
        <v>1307</v>
      </c>
      <c r="L1132" t="s">
        <v>1433</v>
      </c>
      <c r="M1132" t="s">
        <v>1699</v>
      </c>
      <c r="N1132" t="s">
        <v>2303</v>
      </c>
      <c r="O1132">
        <v>14</v>
      </c>
    </row>
    <row r="1133" spans="2:15" x14ac:dyDescent="0.2">
      <c r="B1133" t="s">
        <v>1433</v>
      </c>
      <c r="C1133" t="s">
        <v>12891</v>
      </c>
      <c r="D1133" t="s">
        <v>1137</v>
      </c>
      <c r="E1133" t="s">
        <v>6598</v>
      </c>
      <c r="F1133">
        <v>522</v>
      </c>
      <c r="G1133" t="s">
        <v>1321</v>
      </c>
      <c r="L1133" t="s">
        <v>1433</v>
      </c>
      <c r="M1133" t="s">
        <v>1983</v>
      </c>
      <c r="N1133" t="s">
        <v>2303</v>
      </c>
      <c r="O1133">
        <v>4550</v>
      </c>
    </row>
    <row r="1134" spans="2:15" x14ac:dyDescent="0.2">
      <c r="B1134" t="s">
        <v>1433</v>
      </c>
      <c r="C1134" t="s">
        <v>12891</v>
      </c>
      <c r="D1134" t="s">
        <v>613</v>
      </c>
      <c r="E1134" t="s">
        <v>6600</v>
      </c>
      <c r="F1134">
        <v>610</v>
      </c>
      <c r="G1134" t="s">
        <v>1394</v>
      </c>
      <c r="L1134" t="s">
        <v>1433</v>
      </c>
      <c r="M1134" t="s">
        <v>1984</v>
      </c>
      <c r="N1134" t="s">
        <v>2303</v>
      </c>
      <c r="O1134">
        <v>248</v>
      </c>
    </row>
    <row r="1135" spans="2:15" x14ac:dyDescent="0.2">
      <c r="B1135" t="s">
        <v>1433</v>
      </c>
      <c r="C1135" t="s">
        <v>12891</v>
      </c>
      <c r="D1135" t="s">
        <v>1137</v>
      </c>
      <c r="E1135" t="s">
        <v>6602</v>
      </c>
      <c r="F1135">
        <v>1824</v>
      </c>
      <c r="G1135" t="s">
        <v>1342</v>
      </c>
      <c r="L1135" t="s">
        <v>1433</v>
      </c>
      <c r="M1135" t="s">
        <v>2304</v>
      </c>
      <c r="N1135" t="s">
        <v>2305</v>
      </c>
      <c r="O1135">
        <v>250</v>
      </c>
    </row>
    <row r="1136" spans="2:15" x14ac:dyDescent="0.2">
      <c r="B1136" t="s">
        <v>1433</v>
      </c>
      <c r="C1136" t="s">
        <v>12891</v>
      </c>
      <c r="D1136" t="s">
        <v>1137</v>
      </c>
      <c r="E1136" t="s">
        <v>6603</v>
      </c>
      <c r="F1136">
        <v>2640</v>
      </c>
      <c r="G1136" t="s">
        <v>1366</v>
      </c>
      <c r="L1136" t="s">
        <v>1433</v>
      </c>
      <c r="M1136" t="s">
        <v>1388</v>
      </c>
      <c r="N1136" t="s">
        <v>2305</v>
      </c>
      <c r="O1136">
        <v>3430</v>
      </c>
    </row>
    <row r="1137" spans="2:15" x14ac:dyDescent="0.2">
      <c r="B1137" t="s">
        <v>1433</v>
      </c>
      <c r="C1137" t="s">
        <v>12891</v>
      </c>
      <c r="D1137" t="s">
        <v>1137</v>
      </c>
      <c r="E1137" t="s">
        <v>6604</v>
      </c>
      <c r="F1137">
        <v>40</v>
      </c>
      <c r="G1137" t="s">
        <v>1421</v>
      </c>
      <c r="L1137" t="s">
        <v>1433</v>
      </c>
      <c r="M1137" t="s">
        <v>2306</v>
      </c>
      <c r="N1137" t="s">
        <v>2305</v>
      </c>
      <c r="O1137">
        <v>750</v>
      </c>
    </row>
    <row r="1138" spans="2:15" x14ac:dyDescent="0.2">
      <c r="B1138" t="s">
        <v>1433</v>
      </c>
      <c r="C1138" t="s">
        <v>12891</v>
      </c>
      <c r="D1138" t="s">
        <v>1137</v>
      </c>
      <c r="E1138" t="s">
        <v>6605</v>
      </c>
      <c r="F1138">
        <v>370.4</v>
      </c>
      <c r="G1138" t="s">
        <v>2447</v>
      </c>
      <c r="L1138" t="s">
        <v>1433</v>
      </c>
      <c r="M1138" t="s">
        <v>2307</v>
      </c>
      <c r="N1138" t="s">
        <v>2305</v>
      </c>
      <c r="O1138">
        <v>450</v>
      </c>
    </row>
    <row r="1139" spans="2:15" x14ac:dyDescent="0.2">
      <c r="B1139" t="s">
        <v>1433</v>
      </c>
      <c r="C1139" t="s">
        <v>12891</v>
      </c>
      <c r="D1139" t="s">
        <v>1137</v>
      </c>
      <c r="E1139" t="s">
        <v>6606</v>
      </c>
      <c r="F1139">
        <v>880</v>
      </c>
      <c r="G1139" t="s">
        <v>2477</v>
      </c>
      <c r="L1139" t="s">
        <v>1433</v>
      </c>
      <c r="M1139" t="s">
        <v>2308</v>
      </c>
      <c r="N1139" t="s">
        <v>2305</v>
      </c>
      <c r="O1139">
        <v>2245</v>
      </c>
    </row>
    <row r="1140" spans="2:15" x14ac:dyDescent="0.2">
      <c r="B1140" t="s">
        <v>1433</v>
      </c>
      <c r="C1140" t="s">
        <v>12891</v>
      </c>
      <c r="D1140" t="s">
        <v>1137</v>
      </c>
      <c r="E1140" t="s">
        <v>6607</v>
      </c>
      <c r="F1140">
        <v>197</v>
      </c>
      <c r="G1140" t="s">
        <v>2534</v>
      </c>
      <c r="L1140" t="s">
        <v>1433</v>
      </c>
      <c r="M1140" t="s">
        <v>2309</v>
      </c>
      <c r="N1140" t="s">
        <v>2305</v>
      </c>
      <c r="O1140">
        <v>500</v>
      </c>
    </row>
    <row r="1141" spans="2:15" x14ac:dyDescent="0.2">
      <c r="B1141" t="s">
        <v>1433</v>
      </c>
      <c r="C1141" t="s">
        <v>12891</v>
      </c>
      <c r="D1141" t="s">
        <v>1137</v>
      </c>
      <c r="E1141" t="s">
        <v>6608</v>
      </c>
      <c r="F1141">
        <v>418</v>
      </c>
      <c r="G1141" t="s">
        <v>2537</v>
      </c>
      <c r="L1141" t="s">
        <v>1433</v>
      </c>
      <c r="M1141" t="s">
        <v>2310</v>
      </c>
      <c r="N1141" t="s">
        <v>2305</v>
      </c>
      <c r="O1141">
        <v>1000</v>
      </c>
    </row>
    <row r="1142" spans="2:15" x14ac:dyDescent="0.2">
      <c r="B1142" t="s">
        <v>1433</v>
      </c>
      <c r="C1142" t="s">
        <v>12891</v>
      </c>
      <c r="D1142" t="s">
        <v>1137</v>
      </c>
      <c r="E1142" t="s">
        <v>6610</v>
      </c>
      <c r="F1142">
        <v>640</v>
      </c>
      <c r="G1142" t="s">
        <v>2539</v>
      </c>
      <c r="L1142" t="s">
        <v>1433</v>
      </c>
      <c r="M1142" t="s">
        <v>2311</v>
      </c>
      <c r="N1142" t="s">
        <v>2305</v>
      </c>
      <c r="O1142">
        <v>2090</v>
      </c>
    </row>
    <row r="1143" spans="2:15" x14ac:dyDescent="0.2">
      <c r="B1143" t="s">
        <v>1433</v>
      </c>
      <c r="C1143" t="s">
        <v>12891</v>
      </c>
      <c r="D1143" t="s">
        <v>1137</v>
      </c>
      <c r="E1143" t="s">
        <v>6616</v>
      </c>
      <c r="F1143">
        <v>160</v>
      </c>
      <c r="G1143" t="s">
        <v>2625</v>
      </c>
      <c r="L1143" t="s">
        <v>1433</v>
      </c>
      <c r="M1143" t="s">
        <v>2312</v>
      </c>
      <c r="N1143" t="s">
        <v>2305</v>
      </c>
      <c r="O1143">
        <v>380</v>
      </c>
    </row>
    <row r="1144" spans="2:15" x14ac:dyDescent="0.2">
      <c r="B1144" t="s">
        <v>1433</v>
      </c>
      <c r="C1144" t="s">
        <v>12891</v>
      </c>
      <c r="D1144" t="s">
        <v>1144</v>
      </c>
      <c r="E1144" t="s">
        <v>6618</v>
      </c>
      <c r="F1144">
        <v>120</v>
      </c>
      <c r="G1144" t="s">
        <v>2648</v>
      </c>
      <c r="L1144" t="s">
        <v>1433</v>
      </c>
      <c r="M1144" t="s">
        <v>2313</v>
      </c>
      <c r="N1144" t="s">
        <v>2305</v>
      </c>
      <c r="O1144">
        <v>383</v>
      </c>
    </row>
    <row r="1145" spans="2:15" x14ac:dyDescent="0.2">
      <c r="B1145" t="s">
        <v>1433</v>
      </c>
      <c r="C1145" t="s">
        <v>12891</v>
      </c>
      <c r="D1145" t="s">
        <v>1137</v>
      </c>
      <c r="E1145" t="s">
        <v>6620</v>
      </c>
      <c r="F1145">
        <v>864</v>
      </c>
      <c r="G1145" t="s">
        <v>2635</v>
      </c>
      <c r="L1145" t="s">
        <v>1433</v>
      </c>
      <c r="M1145" t="s">
        <v>2314</v>
      </c>
      <c r="N1145" t="s">
        <v>2305</v>
      </c>
      <c r="O1145">
        <v>200</v>
      </c>
    </row>
    <row r="1146" spans="2:15" x14ac:dyDescent="0.2">
      <c r="B1146" t="s">
        <v>1433</v>
      </c>
      <c r="C1146" t="s">
        <v>12891</v>
      </c>
      <c r="D1146" t="s">
        <v>613</v>
      </c>
      <c r="E1146" t="s">
        <v>6621</v>
      </c>
      <c r="F1146">
        <v>183.92</v>
      </c>
      <c r="H1146" t="s">
        <v>2700</v>
      </c>
      <c r="L1146" t="s">
        <v>1433</v>
      </c>
      <c r="M1146" t="s">
        <v>2315</v>
      </c>
      <c r="N1146" t="s">
        <v>2305</v>
      </c>
      <c r="O1146">
        <v>2250</v>
      </c>
    </row>
    <row r="1147" spans="2:15" x14ac:dyDescent="0.2">
      <c r="B1147" t="s">
        <v>1433</v>
      </c>
      <c r="C1147" t="s">
        <v>12891</v>
      </c>
      <c r="D1147" t="s">
        <v>613</v>
      </c>
      <c r="E1147" t="s">
        <v>6622</v>
      </c>
      <c r="F1147">
        <v>3042.82</v>
      </c>
      <c r="H1147" t="s">
        <v>2825</v>
      </c>
      <c r="L1147" t="s">
        <v>1433</v>
      </c>
      <c r="M1147" t="s">
        <v>2216</v>
      </c>
      <c r="N1147" t="s">
        <v>2305</v>
      </c>
      <c r="O1147">
        <v>500</v>
      </c>
    </row>
    <row r="1148" spans="2:15" x14ac:dyDescent="0.2">
      <c r="B1148" t="s">
        <v>1433</v>
      </c>
      <c r="C1148" t="s">
        <v>12891</v>
      </c>
      <c r="D1148" t="s">
        <v>1137</v>
      </c>
      <c r="E1148" t="s">
        <v>6623</v>
      </c>
      <c r="F1148">
        <v>1236</v>
      </c>
      <c r="G1148" t="s">
        <v>2680</v>
      </c>
      <c r="L1148" t="s">
        <v>1433</v>
      </c>
      <c r="M1148" t="s">
        <v>2316</v>
      </c>
      <c r="N1148" t="s">
        <v>2305</v>
      </c>
      <c r="O1148">
        <v>360</v>
      </c>
    </row>
    <row r="1149" spans="2:15" x14ac:dyDescent="0.2">
      <c r="B1149" t="s">
        <v>1433</v>
      </c>
      <c r="C1149" t="s">
        <v>12891</v>
      </c>
      <c r="D1149" t="s">
        <v>613</v>
      </c>
      <c r="E1149" t="s">
        <v>6624</v>
      </c>
      <c r="F1149">
        <v>344.74</v>
      </c>
      <c r="G1149" t="s">
        <v>2653</v>
      </c>
      <c r="L1149" t="s">
        <v>1433</v>
      </c>
      <c r="M1149" t="s">
        <v>2317</v>
      </c>
      <c r="N1149" t="s">
        <v>2305</v>
      </c>
      <c r="O1149">
        <v>20</v>
      </c>
    </row>
    <row r="1150" spans="2:15" x14ac:dyDescent="0.2">
      <c r="B1150" t="s">
        <v>1433</v>
      </c>
      <c r="C1150" t="s">
        <v>12891</v>
      </c>
      <c r="D1150" t="s">
        <v>1137</v>
      </c>
      <c r="E1150" t="s">
        <v>6625</v>
      </c>
      <c r="F1150">
        <v>45</v>
      </c>
      <c r="G1150" t="s">
        <v>2713</v>
      </c>
      <c r="L1150" t="s">
        <v>1433</v>
      </c>
      <c r="M1150" t="s">
        <v>2318</v>
      </c>
      <c r="N1150" t="s">
        <v>2305</v>
      </c>
      <c r="O1150">
        <v>180</v>
      </c>
    </row>
    <row r="1151" spans="2:15" x14ac:dyDescent="0.2">
      <c r="B1151" t="s">
        <v>1433</v>
      </c>
      <c r="C1151" t="s">
        <v>12891</v>
      </c>
      <c r="D1151" t="s">
        <v>1137</v>
      </c>
      <c r="E1151" t="s">
        <v>6626</v>
      </c>
      <c r="F1151">
        <v>80</v>
      </c>
      <c r="G1151" t="s">
        <v>2772</v>
      </c>
      <c r="L1151" t="s">
        <v>1433</v>
      </c>
      <c r="M1151" t="s">
        <v>2319</v>
      </c>
      <c r="N1151" t="s">
        <v>2305</v>
      </c>
      <c r="O1151">
        <v>60</v>
      </c>
    </row>
    <row r="1152" spans="2:15" x14ac:dyDescent="0.2">
      <c r="B1152" t="s">
        <v>1433</v>
      </c>
      <c r="C1152" t="s">
        <v>12891</v>
      </c>
      <c r="D1152" t="s">
        <v>1137</v>
      </c>
      <c r="E1152" t="s">
        <v>6628</v>
      </c>
      <c r="F1152">
        <v>2483.8000000000002</v>
      </c>
      <c r="G1152" t="s">
        <v>2775</v>
      </c>
      <c r="L1152" t="s">
        <v>1433</v>
      </c>
      <c r="M1152" t="s">
        <v>2320</v>
      </c>
      <c r="N1152" t="s">
        <v>2305</v>
      </c>
      <c r="O1152">
        <v>240</v>
      </c>
    </row>
    <row r="1153" spans="2:15" x14ac:dyDescent="0.2">
      <c r="B1153" t="s">
        <v>1433</v>
      </c>
      <c r="C1153" t="s">
        <v>12891</v>
      </c>
      <c r="D1153" t="s">
        <v>1137</v>
      </c>
      <c r="E1153" t="s">
        <v>6629</v>
      </c>
      <c r="F1153">
        <v>4004</v>
      </c>
      <c r="G1153" t="s">
        <v>2792</v>
      </c>
      <c r="L1153" t="s">
        <v>1433</v>
      </c>
      <c r="M1153" t="s">
        <v>2321</v>
      </c>
      <c r="N1153" t="s">
        <v>2305</v>
      </c>
      <c r="O1153">
        <v>150</v>
      </c>
    </row>
    <row r="1154" spans="2:15" x14ac:dyDescent="0.2">
      <c r="B1154" t="s">
        <v>1433</v>
      </c>
      <c r="C1154" t="s">
        <v>12891</v>
      </c>
      <c r="D1154" t="s">
        <v>1137</v>
      </c>
      <c r="E1154" t="s">
        <v>6630</v>
      </c>
      <c r="F1154">
        <v>9922</v>
      </c>
      <c r="G1154" t="s">
        <v>2819</v>
      </c>
      <c r="L1154" t="s">
        <v>1433</v>
      </c>
      <c r="M1154" t="s">
        <v>2322</v>
      </c>
      <c r="N1154" t="s">
        <v>2305</v>
      </c>
      <c r="O1154">
        <v>200</v>
      </c>
    </row>
    <row r="1155" spans="2:15" x14ac:dyDescent="0.2">
      <c r="B1155" t="s">
        <v>1433</v>
      </c>
      <c r="C1155" t="s">
        <v>12891</v>
      </c>
      <c r="D1155" t="s">
        <v>1137</v>
      </c>
      <c r="E1155" t="s">
        <v>6631</v>
      </c>
      <c r="F1155">
        <v>84</v>
      </c>
      <c r="G1155" t="s">
        <v>2821</v>
      </c>
      <c r="L1155" t="s">
        <v>1433</v>
      </c>
      <c r="M1155" t="s">
        <v>2323</v>
      </c>
      <c r="N1155" t="s">
        <v>2305</v>
      </c>
      <c r="O1155">
        <v>250</v>
      </c>
    </row>
    <row r="1156" spans="2:15" x14ac:dyDescent="0.2">
      <c r="B1156" t="s">
        <v>1433</v>
      </c>
      <c r="C1156" t="s">
        <v>12891</v>
      </c>
      <c r="D1156" t="s">
        <v>1137</v>
      </c>
      <c r="E1156" t="s">
        <v>6632</v>
      </c>
      <c r="F1156">
        <v>152</v>
      </c>
      <c r="G1156" t="s">
        <v>2823</v>
      </c>
      <c r="L1156" t="s">
        <v>1433</v>
      </c>
      <c r="M1156" t="s">
        <v>2324</v>
      </c>
      <c r="N1156" t="s">
        <v>2305</v>
      </c>
      <c r="O1156">
        <v>250</v>
      </c>
    </row>
    <row r="1157" spans="2:15" x14ac:dyDescent="0.2">
      <c r="B1157" t="s">
        <v>1433</v>
      </c>
      <c r="C1157" t="s">
        <v>12891</v>
      </c>
      <c r="D1157" t="s">
        <v>1137</v>
      </c>
      <c r="E1157" t="s">
        <v>6633</v>
      </c>
      <c r="F1157">
        <v>294</v>
      </c>
      <c r="G1157" t="s">
        <v>2824</v>
      </c>
      <c r="L1157" t="s">
        <v>1433</v>
      </c>
      <c r="M1157" t="s">
        <v>2325</v>
      </c>
      <c r="N1157" t="s">
        <v>2305</v>
      </c>
      <c r="O1157">
        <v>1750</v>
      </c>
    </row>
    <row r="1158" spans="2:15" x14ac:dyDescent="0.2">
      <c r="B1158" t="s">
        <v>1433</v>
      </c>
      <c r="C1158" t="s">
        <v>12891</v>
      </c>
      <c r="D1158" t="s">
        <v>613</v>
      </c>
      <c r="E1158" t="s">
        <v>6634</v>
      </c>
      <c r="F1158">
        <v>696</v>
      </c>
      <c r="G1158" t="s">
        <v>2855</v>
      </c>
      <c r="L1158" t="s">
        <v>1433</v>
      </c>
      <c r="M1158" t="s">
        <v>2326</v>
      </c>
      <c r="N1158" t="s">
        <v>2305</v>
      </c>
      <c r="O1158">
        <v>200</v>
      </c>
    </row>
    <row r="1159" spans="2:15" x14ac:dyDescent="0.2">
      <c r="B1159" t="s">
        <v>1433</v>
      </c>
      <c r="C1159" t="s">
        <v>12891</v>
      </c>
      <c r="D1159" t="s">
        <v>1137</v>
      </c>
      <c r="E1159" t="s">
        <v>6636</v>
      </c>
      <c r="F1159">
        <v>1680</v>
      </c>
      <c r="G1159" t="s">
        <v>2832</v>
      </c>
      <c r="L1159" t="s">
        <v>1433</v>
      </c>
      <c r="M1159" t="s">
        <v>2327</v>
      </c>
      <c r="N1159" t="s">
        <v>2305</v>
      </c>
      <c r="O1159">
        <v>120</v>
      </c>
    </row>
    <row r="1160" spans="2:15" x14ac:dyDescent="0.2">
      <c r="B1160" t="s">
        <v>1433</v>
      </c>
      <c r="C1160" t="s">
        <v>12891</v>
      </c>
      <c r="D1160" t="s">
        <v>1144</v>
      </c>
      <c r="E1160" t="s">
        <v>6637</v>
      </c>
      <c r="F1160">
        <v>60</v>
      </c>
      <c r="G1160" t="s">
        <v>2842</v>
      </c>
      <c r="L1160" t="s">
        <v>1433</v>
      </c>
      <c r="M1160" t="s">
        <v>2089</v>
      </c>
      <c r="N1160" t="s">
        <v>2305</v>
      </c>
      <c r="O1160">
        <v>1460</v>
      </c>
    </row>
    <row r="1161" spans="2:15" x14ac:dyDescent="0.2">
      <c r="B1161" t="s">
        <v>1433</v>
      </c>
      <c r="C1161" t="s">
        <v>12891</v>
      </c>
      <c r="D1161" t="s">
        <v>613</v>
      </c>
      <c r="E1161" t="s">
        <v>6638</v>
      </c>
      <c r="F1161">
        <v>123.17</v>
      </c>
      <c r="G1161" t="s">
        <v>2880</v>
      </c>
      <c r="L1161" t="s">
        <v>1433</v>
      </c>
      <c r="M1161" t="s">
        <v>1406</v>
      </c>
      <c r="N1161" t="s">
        <v>2305</v>
      </c>
      <c r="O1161">
        <v>400</v>
      </c>
    </row>
    <row r="1162" spans="2:15" x14ac:dyDescent="0.2">
      <c r="B1162" t="s">
        <v>1433</v>
      </c>
      <c r="C1162" t="s">
        <v>12891</v>
      </c>
      <c r="D1162" t="s">
        <v>1137</v>
      </c>
      <c r="E1162" t="s">
        <v>6640</v>
      </c>
      <c r="F1162">
        <v>4270</v>
      </c>
      <c r="G1162" t="s">
        <v>2923</v>
      </c>
      <c r="L1162" t="s">
        <v>1433</v>
      </c>
      <c r="M1162" t="s">
        <v>2092</v>
      </c>
      <c r="N1162" t="s">
        <v>2305</v>
      </c>
      <c r="O1162">
        <v>2015</v>
      </c>
    </row>
    <row r="1163" spans="2:15" x14ac:dyDescent="0.2">
      <c r="B1163" t="s">
        <v>1433</v>
      </c>
      <c r="C1163" t="s">
        <v>12891</v>
      </c>
      <c r="D1163" t="s">
        <v>1144</v>
      </c>
      <c r="E1163" t="s">
        <v>6641</v>
      </c>
      <c r="F1163">
        <v>192</v>
      </c>
      <c r="G1163" t="s">
        <v>2931</v>
      </c>
      <c r="L1163" t="s">
        <v>1433</v>
      </c>
      <c r="M1163" t="s">
        <v>2328</v>
      </c>
      <c r="N1163" t="s">
        <v>2329</v>
      </c>
      <c r="O1163">
        <v>210</v>
      </c>
    </row>
    <row r="1164" spans="2:15" x14ac:dyDescent="0.2">
      <c r="B1164" t="s">
        <v>1433</v>
      </c>
      <c r="C1164" t="s">
        <v>12891</v>
      </c>
      <c r="D1164" t="s">
        <v>1137</v>
      </c>
      <c r="E1164" t="s">
        <v>6643</v>
      </c>
      <c r="F1164">
        <v>7350</v>
      </c>
      <c r="G1164" t="s">
        <v>2997</v>
      </c>
      <c r="L1164" t="s">
        <v>1433</v>
      </c>
      <c r="M1164" t="s">
        <v>2330</v>
      </c>
      <c r="N1164" t="s">
        <v>2329</v>
      </c>
      <c r="O1164">
        <v>1</v>
      </c>
    </row>
    <row r="1165" spans="2:15" x14ac:dyDescent="0.2">
      <c r="B1165" t="s">
        <v>1433</v>
      </c>
      <c r="C1165" t="s">
        <v>12891</v>
      </c>
      <c r="D1165" t="s">
        <v>1137</v>
      </c>
      <c r="E1165" t="s">
        <v>6644</v>
      </c>
      <c r="F1165">
        <v>800</v>
      </c>
      <c r="G1165" t="s">
        <v>3001</v>
      </c>
      <c r="L1165" t="s">
        <v>1433</v>
      </c>
      <c r="M1165" t="s">
        <v>2331</v>
      </c>
      <c r="N1165" t="s">
        <v>2332</v>
      </c>
      <c r="O1165">
        <v>2</v>
      </c>
    </row>
    <row r="1166" spans="2:15" x14ac:dyDescent="0.2">
      <c r="B1166" t="s">
        <v>1433</v>
      </c>
      <c r="C1166" t="s">
        <v>12891</v>
      </c>
      <c r="D1166" t="s">
        <v>1137</v>
      </c>
      <c r="E1166" t="s">
        <v>6646</v>
      </c>
      <c r="F1166">
        <v>1140</v>
      </c>
      <c r="G1166" t="s">
        <v>3004</v>
      </c>
      <c r="L1166" t="s">
        <v>1433</v>
      </c>
      <c r="M1166" t="s">
        <v>2333</v>
      </c>
      <c r="N1166" t="s">
        <v>2332</v>
      </c>
      <c r="O1166">
        <v>2</v>
      </c>
    </row>
    <row r="1167" spans="2:15" x14ac:dyDescent="0.2">
      <c r="B1167" t="s">
        <v>1433</v>
      </c>
      <c r="C1167" t="s">
        <v>12891</v>
      </c>
      <c r="D1167" t="s">
        <v>554</v>
      </c>
      <c r="E1167" t="s">
        <v>6648</v>
      </c>
      <c r="F1167">
        <v>5904</v>
      </c>
      <c r="H1167" t="s">
        <v>3157</v>
      </c>
      <c r="L1167" t="s">
        <v>1433</v>
      </c>
      <c r="M1167" t="s">
        <v>2334</v>
      </c>
      <c r="N1167" t="s">
        <v>2332</v>
      </c>
      <c r="O1167">
        <v>2</v>
      </c>
    </row>
    <row r="1168" spans="2:15" x14ac:dyDescent="0.2">
      <c r="B1168" t="s">
        <v>1433</v>
      </c>
      <c r="C1168" t="s">
        <v>12891</v>
      </c>
      <c r="D1168" t="s">
        <v>554</v>
      </c>
      <c r="E1168" t="s">
        <v>6649</v>
      </c>
      <c r="F1168">
        <v>5060</v>
      </c>
      <c r="H1168" t="s">
        <v>3153</v>
      </c>
      <c r="L1168" t="s">
        <v>1433</v>
      </c>
      <c r="M1168" t="s">
        <v>2335</v>
      </c>
      <c r="N1168" t="s">
        <v>2332</v>
      </c>
      <c r="O1168">
        <v>2</v>
      </c>
    </row>
    <row r="1169" spans="2:15" x14ac:dyDescent="0.2">
      <c r="B1169" t="s">
        <v>1433</v>
      </c>
      <c r="C1169" t="s">
        <v>12891</v>
      </c>
      <c r="D1169" t="s">
        <v>613</v>
      </c>
      <c r="E1169" t="s">
        <v>6651</v>
      </c>
      <c r="F1169">
        <v>120.84</v>
      </c>
      <c r="H1169" t="s">
        <v>1535</v>
      </c>
      <c r="L1169" t="s">
        <v>1433</v>
      </c>
      <c r="M1169" t="s">
        <v>2336</v>
      </c>
      <c r="N1169" t="s">
        <v>2332</v>
      </c>
      <c r="O1169">
        <v>2</v>
      </c>
    </row>
    <row r="1170" spans="2:15" x14ac:dyDescent="0.2">
      <c r="B1170" t="s">
        <v>1433</v>
      </c>
      <c r="C1170" t="s">
        <v>12891</v>
      </c>
      <c r="D1170" t="s">
        <v>613</v>
      </c>
      <c r="E1170" t="s">
        <v>6652</v>
      </c>
      <c r="F1170">
        <v>84.2</v>
      </c>
      <c r="H1170" t="s">
        <v>1535</v>
      </c>
      <c r="L1170" t="s">
        <v>1433</v>
      </c>
      <c r="M1170" t="s">
        <v>2337</v>
      </c>
      <c r="N1170" t="s">
        <v>2332</v>
      </c>
      <c r="O1170">
        <v>2</v>
      </c>
    </row>
    <row r="1171" spans="2:15" x14ac:dyDescent="0.2">
      <c r="B1171" t="s">
        <v>1433</v>
      </c>
      <c r="C1171" t="s">
        <v>12891</v>
      </c>
      <c r="D1171" t="s">
        <v>613</v>
      </c>
      <c r="E1171" t="s">
        <v>6653</v>
      </c>
      <c r="F1171">
        <v>274.8</v>
      </c>
      <c r="H1171" t="s">
        <v>1532</v>
      </c>
      <c r="L1171" t="s">
        <v>1433</v>
      </c>
      <c r="M1171" t="s">
        <v>2338</v>
      </c>
      <c r="N1171" t="s">
        <v>2332</v>
      </c>
      <c r="O1171">
        <v>2</v>
      </c>
    </row>
    <row r="1172" spans="2:15" x14ac:dyDescent="0.2">
      <c r="B1172" t="s">
        <v>1433</v>
      </c>
      <c r="C1172" t="s">
        <v>12891</v>
      </c>
      <c r="D1172" t="s">
        <v>613</v>
      </c>
      <c r="E1172" t="s">
        <v>6654</v>
      </c>
      <c r="F1172">
        <v>113</v>
      </c>
      <c r="H1172" t="s">
        <v>1243</v>
      </c>
      <c r="L1172" t="s">
        <v>1433</v>
      </c>
      <c r="M1172" t="s">
        <v>2339</v>
      </c>
      <c r="N1172" t="s">
        <v>2332</v>
      </c>
      <c r="O1172">
        <v>2</v>
      </c>
    </row>
    <row r="1173" spans="2:15" x14ac:dyDescent="0.2">
      <c r="B1173" t="s">
        <v>1433</v>
      </c>
      <c r="C1173" t="s">
        <v>12891</v>
      </c>
      <c r="D1173" t="s">
        <v>613</v>
      </c>
      <c r="E1173" t="s">
        <v>6655</v>
      </c>
      <c r="F1173">
        <v>150.5</v>
      </c>
      <c r="H1173" t="s">
        <v>1245</v>
      </c>
      <c r="L1173" t="s">
        <v>1433</v>
      </c>
      <c r="M1173" t="s">
        <v>2340</v>
      </c>
      <c r="N1173" t="s">
        <v>1893</v>
      </c>
      <c r="O1173">
        <v>14</v>
      </c>
    </row>
    <row r="1174" spans="2:15" x14ac:dyDescent="0.2">
      <c r="B1174" t="s">
        <v>1433</v>
      </c>
      <c r="C1174" t="s">
        <v>12891</v>
      </c>
      <c r="D1174" t="s">
        <v>613</v>
      </c>
      <c r="E1174" t="s">
        <v>6656</v>
      </c>
      <c r="F1174">
        <v>450</v>
      </c>
      <c r="H1174" t="s">
        <v>1330</v>
      </c>
      <c r="L1174" t="s">
        <v>1433</v>
      </c>
      <c r="M1174" t="s">
        <v>2341</v>
      </c>
      <c r="N1174" t="s">
        <v>1893</v>
      </c>
      <c r="O1174">
        <v>14</v>
      </c>
    </row>
    <row r="1175" spans="2:15" x14ac:dyDescent="0.2">
      <c r="B1175" t="s">
        <v>1433</v>
      </c>
      <c r="C1175" t="s">
        <v>12891</v>
      </c>
      <c r="D1175" t="s">
        <v>613</v>
      </c>
      <c r="E1175" t="s">
        <v>6657</v>
      </c>
      <c r="F1175">
        <v>187.7</v>
      </c>
      <c r="H1175" t="s">
        <v>1511</v>
      </c>
      <c r="L1175" t="s">
        <v>1433</v>
      </c>
      <c r="M1175" t="s">
        <v>2294</v>
      </c>
      <c r="N1175" t="s">
        <v>2342</v>
      </c>
      <c r="O1175">
        <v>2</v>
      </c>
    </row>
    <row r="1176" spans="2:15" x14ac:dyDescent="0.2">
      <c r="B1176" t="s">
        <v>1433</v>
      </c>
      <c r="C1176" t="s">
        <v>12891</v>
      </c>
      <c r="D1176" t="s">
        <v>613</v>
      </c>
      <c r="E1176" t="s">
        <v>6658</v>
      </c>
      <c r="F1176">
        <v>260.3</v>
      </c>
      <c r="H1176" t="s">
        <v>1512</v>
      </c>
      <c r="L1176" t="s">
        <v>1433</v>
      </c>
      <c r="M1176" t="s">
        <v>2343</v>
      </c>
      <c r="N1176" t="s">
        <v>2344</v>
      </c>
      <c r="O1176">
        <v>14</v>
      </c>
    </row>
    <row r="1177" spans="2:15" x14ac:dyDescent="0.2">
      <c r="B1177" t="s">
        <v>1433</v>
      </c>
      <c r="C1177" t="s">
        <v>12891</v>
      </c>
      <c r="D1177" t="s">
        <v>613</v>
      </c>
      <c r="E1177" t="s">
        <v>6659</v>
      </c>
      <c r="F1177">
        <v>161.4</v>
      </c>
      <c r="H1177" t="s">
        <v>1513</v>
      </c>
      <c r="L1177" t="s">
        <v>1433</v>
      </c>
      <c r="M1177" t="s">
        <v>2345</v>
      </c>
      <c r="N1177" t="s">
        <v>2344</v>
      </c>
      <c r="O1177">
        <v>14</v>
      </c>
    </row>
    <row r="1178" spans="2:15" x14ac:dyDescent="0.2">
      <c r="B1178" t="s">
        <v>1433</v>
      </c>
      <c r="C1178" t="s">
        <v>12891</v>
      </c>
      <c r="D1178" t="s">
        <v>613</v>
      </c>
      <c r="E1178" t="s">
        <v>6660</v>
      </c>
      <c r="F1178">
        <v>53.82</v>
      </c>
      <c r="H1178" t="s">
        <v>1513</v>
      </c>
      <c r="L1178" t="s">
        <v>1433</v>
      </c>
      <c r="M1178" t="s">
        <v>2346</v>
      </c>
      <c r="N1178" t="s">
        <v>2344</v>
      </c>
      <c r="O1178">
        <v>14</v>
      </c>
    </row>
    <row r="1179" spans="2:15" x14ac:dyDescent="0.2">
      <c r="B1179" t="s">
        <v>1433</v>
      </c>
      <c r="C1179" t="s">
        <v>12891</v>
      </c>
      <c r="D1179" t="s">
        <v>613</v>
      </c>
      <c r="E1179" t="s">
        <v>6661</v>
      </c>
      <c r="F1179">
        <v>56.24</v>
      </c>
      <c r="H1179" t="s">
        <v>1513</v>
      </c>
      <c r="L1179" t="s">
        <v>1433</v>
      </c>
      <c r="M1179" t="s">
        <v>2347</v>
      </c>
      <c r="N1179" t="s">
        <v>2344</v>
      </c>
      <c r="O1179">
        <v>14</v>
      </c>
    </row>
    <row r="1180" spans="2:15" x14ac:dyDescent="0.2">
      <c r="B1180" t="s">
        <v>1433</v>
      </c>
      <c r="C1180" t="s">
        <v>12891</v>
      </c>
      <c r="D1180" t="s">
        <v>613</v>
      </c>
      <c r="E1180" t="s">
        <v>6662</v>
      </c>
      <c r="F1180">
        <v>450</v>
      </c>
      <c r="H1180" t="s">
        <v>1499</v>
      </c>
      <c r="L1180" t="s">
        <v>1433</v>
      </c>
      <c r="M1180" t="s">
        <v>2348</v>
      </c>
      <c r="N1180" t="s">
        <v>2344</v>
      </c>
      <c r="O1180">
        <v>1</v>
      </c>
    </row>
    <row r="1181" spans="2:15" x14ac:dyDescent="0.2">
      <c r="B1181" t="s">
        <v>1433</v>
      </c>
      <c r="C1181" t="s">
        <v>12891</v>
      </c>
      <c r="D1181" t="s">
        <v>613</v>
      </c>
      <c r="E1181" t="s">
        <v>6663</v>
      </c>
      <c r="F1181">
        <v>202.16</v>
      </c>
      <c r="H1181" t="s">
        <v>1956</v>
      </c>
      <c r="L1181" t="s">
        <v>1433</v>
      </c>
      <c r="M1181" t="s">
        <v>2349</v>
      </c>
      <c r="N1181" t="s">
        <v>2344</v>
      </c>
      <c r="O1181">
        <v>1</v>
      </c>
    </row>
    <row r="1182" spans="2:15" x14ac:dyDescent="0.2">
      <c r="B1182" t="s">
        <v>1433</v>
      </c>
      <c r="C1182" t="s">
        <v>12891</v>
      </c>
      <c r="D1182" t="s">
        <v>613</v>
      </c>
      <c r="E1182" t="s">
        <v>6664</v>
      </c>
      <c r="F1182">
        <v>88.64</v>
      </c>
      <c r="H1182" t="s">
        <v>2737</v>
      </c>
      <c r="L1182" t="s">
        <v>1433</v>
      </c>
      <c r="M1182" t="s">
        <v>2350</v>
      </c>
      <c r="N1182" t="s">
        <v>2351</v>
      </c>
      <c r="O1182">
        <v>100</v>
      </c>
    </row>
    <row r="1183" spans="2:15" x14ac:dyDescent="0.2">
      <c r="B1183" t="s">
        <v>1433</v>
      </c>
      <c r="C1183" t="s">
        <v>12891</v>
      </c>
      <c r="D1183" t="s">
        <v>613</v>
      </c>
      <c r="E1183" t="s">
        <v>6665</v>
      </c>
      <c r="F1183">
        <v>345</v>
      </c>
      <c r="H1183" t="s">
        <v>3078</v>
      </c>
      <c r="L1183" t="s">
        <v>1433</v>
      </c>
      <c r="M1183" t="s">
        <v>1360</v>
      </c>
      <c r="N1183" t="s">
        <v>2352</v>
      </c>
      <c r="O1183">
        <v>200</v>
      </c>
    </row>
    <row r="1184" spans="2:15" x14ac:dyDescent="0.2">
      <c r="B1184" t="s">
        <v>1433</v>
      </c>
      <c r="C1184" t="s">
        <v>12891</v>
      </c>
      <c r="D1184" t="s">
        <v>613</v>
      </c>
      <c r="E1184" t="s">
        <v>6666</v>
      </c>
      <c r="F1184">
        <v>138</v>
      </c>
      <c r="H1184" t="s">
        <v>3080</v>
      </c>
      <c r="L1184" t="s">
        <v>1433</v>
      </c>
      <c r="M1184" t="s">
        <v>1384</v>
      </c>
      <c r="N1184" t="s">
        <v>2352</v>
      </c>
      <c r="O1184">
        <v>16</v>
      </c>
    </row>
    <row r="1185" spans="2:15" x14ac:dyDescent="0.2">
      <c r="B1185" t="s">
        <v>1433</v>
      </c>
      <c r="C1185" t="s">
        <v>12891</v>
      </c>
      <c r="D1185" t="s">
        <v>613</v>
      </c>
      <c r="E1185" t="s">
        <v>6667</v>
      </c>
      <c r="F1185">
        <v>345</v>
      </c>
      <c r="H1185" t="s">
        <v>3081</v>
      </c>
      <c r="L1185" t="s">
        <v>1433</v>
      </c>
      <c r="M1185" t="s">
        <v>1927</v>
      </c>
      <c r="N1185" t="s">
        <v>2353</v>
      </c>
      <c r="O1185">
        <v>6</v>
      </c>
    </row>
    <row r="1186" spans="2:15" x14ac:dyDescent="0.2">
      <c r="B1186" t="s">
        <v>1433</v>
      </c>
      <c r="C1186" t="s">
        <v>12891</v>
      </c>
      <c r="D1186" t="s">
        <v>613</v>
      </c>
      <c r="E1186" t="s">
        <v>6668</v>
      </c>
      <c r="F1186">
        <v>345</v>
      </c>
      <c r="H1186" t="s">
        <v>3082</v>
      </c>
      <c r="L1186" t="s">
        <v>1433</v>
      </c>
      <c r="M1186" t="s">
        <v>1929</v>
      </c>
      <c r="N1186" t="s">
        <v>2353</v>
      </c>
      <c r="O1186">
        <v>6</v>
      </c>
    </row>
    <row r="1187" spans="2:15" x14ac:dyDescent="0.2">
      <c r="B1187" t="s">
        <v>1433</v>
      </c>
      <c r="C1187" t="s">
        <v>12891</v>
      </c>
      <c r="D1187" t="s">
        <v>613</v>
      </c>
      <c r="E1187" t="s">
        <v>6669</v>
      </c>
      <c r="F1187">
        <v>80</v>
      </c>
      <c r="H1187" t="s">
        <v>3083</v>
      </c>
      <c r="L1187" t="s">
        <v>1433</v>
      </c>
      <c r="M1187" t="s">
        <v>2354</v>
      </c>
      <c r="N1187" t="s">
        <v>2355</v>
      </c>
      <c r="O1187">
        <v>36</v>
      </c>
    </row>
    <row r="1188" spans="2:15" x14ac:dyDescent="0.2">
      <c r="B1188" t="s">
        <v>1433</v>
      </c>
      <c r="C1188" t="s">
        <v>12891</v>
      </c>
      <c r="D1188" t="s">
        <v>613</v>
      </c>
      <c r="E1188" t="s">
        <v>6670</v>
      </c>
      <c r="F1188">
        <v>1021.51</v>
      </c>
      <c r="H1188" t="s">
        <v>2806</v>
      </c>
      <c r="L1188" t="s">
        <v>1433</v>
      </c>
      <c r="M1188" t="s">
        <v>2356</v>
      </c>
      <c r="N1188" t="s">
        <v>2355</v>
      </c>
      <c r="O1188">
        <v>110</v>
      </c>
    </row>
    <row r="1189" spans="2:15" x14ac:dyDescent="0.2">
      <c r="B1189" t="s">
        <v>1433</v>
      </c>
      <c r="C1189" t="s">
        <v>12891</v>
      </c>
      <c r="D1189" t="s">
        <v>613</v>
      </c>
      <c r="E1189" t="s">
        <v>6671</v>
      </c>
      <c r="F1189">
        <v>1142</v>
      </c>
      <c r="G1189" t="s">
        <v>3029</v>
      </c>
      <c r="L1189" t="s">
        <v>1433</v>
      </c>
      <c r="M1189" t="s">
        <v>2357</v>
      </c>
      <c r="N1189" t="s">
        <v>2355</v>
      </c>
      <c r="O1189">
        <v>40</v>
      </c>
    </row>
    <row r="1190" spans="2:15" x14ac:dyDescent="0.2">
      <c r="B1190" t="s">
        <v>1433</v>
      </c>
      <c r="C1190" t="s">
        <v>12891</v>
      </c>
      <c r="D1190" t="s">
        <v>1137</v>
      </c>
      <c r="E1190" t="s">
        <v>6672</v>
      </c>
      <c r="F1190">
        <v>408</v>
      </c>
      <c r="G1190" t="s">
        <v>3050</v>
      </c>
      <c r="L1190" t="s">
        <v>1433</v>
      </c>
      <c r="M1190" t="s">
        <v>2358</v>
      </c>
      <c r="N1190" t="s">
        <v>2332</v>
      </c>
      <c r="O1190">
        <v>2</v>
      </c>
    </row>
    <row r="1191" spans="2:15" x14ac:dyDescent="0.2">
      <c r="B1191" t="s">
        <v>1433</v>
      </c>
      <c r="C1191" t="s">
        <v>12891</v>
      </c>
      <c r="D1191" t="s">
        <v>554</v>
      </c>
      <c r="E1191" t="s">
        <v>6674</v>
      </c>
      <c r="F1191">
        <v>5060</v>
      </c>
      <c r="H1191" t="s">
        <v>3155</v>
      </c>
      <c r="L1191" t="s">
        <v>1433</v>
      </c>
      <c r="M1191" t="s">
        <v>2359</v>
      </c>
      <c r="N1191" t="s">
        <v>2332</v>
      </c>
      <c r="O1191">
        <v>2</v>
      </c>
    </row>
    <row r="1192" spans="2:15" x14ac:dyDescent="0.2">
      <c r="B1192" t="s">
        <v>1433</v>
      </c>
      <c r="C1192" t="s">
        <v>12891</v>
      </c>
      <c r="D1192" t="s">
        <v>554</v>
      </c>
      <c r="E1192" t="s">
        <v>6675</v>
      </c>
      <c r="F1192">
        <v>6208</v>
      </c>
      <c r="G1192" t="s">
        <v>3180</v>
      </c>
      <c r="L1192" t="s">
        <v>1433</v>
      </c>
      <c r="M1192" t="s">
        <v>1706</v>
      </c>
      <c r="N1192" t="s">
        <v>1951</v>
      </c>
      <c r="O1192">
        <v>5</v>
      </c>
    </row>
    <row r="1193" spans="2:15" x14ac:dyDescent="0.2">
      <c r="B1193" t="s">
        <v>1433</v>
      </c>
      <c r="C1193" t="s">
        <v>12891</v>
      </c>
      <c r="D1193" t="s">
        <v>1137</v>
      </c>
      <c r="E1193" t="s">
        <v>6676</v>
      </c>
      <c r="F1193">
        <v>936</v>
      </c>
      <c r="G1193" t="s">
        <v>3077</v>
      </c>
      <c r="L1193" t="s">
        <v>1433</v>
      </c>
      <c r="M1193" t="s">
        <v>1725</v>
      </c>
      <c r="N1193" t="s">
        <v>2360</v>
      </c>
      <c r="O1193">
        <v>10</v>
      </c>
    </row>
    <row r="1194" spans="2:15" x14ac:dyDescent="0.2">
      <c r="B1194" t="s">
        <v>1433</v>
      </c>
      <c r="C1194" t="s">
        <v>12891</v>
      </c>
      <c r="D1194" t="s">
        <v>613</v>
      </c>
      <c r="E1194" t="s">
        <v>6677</v>
      </c>
      <c r="F1194">
        <v>119.7</v>
      </c>
      <c r="G1194" t="s">
        <v>3119</v>
      </c>
      <c r="L1194" t="s">
        <v>1433</v>
      </c>
      <c r="M1194" t="s">
        <v>1585</v>
      </c>
      <c r="N1194" t="s">
        <v>2360</v>
      </c>
      <c r="O1194">
        <v>50</v>
      </c>
    </row>
    <row r="1195" spans="2:15" x14ac:dyDescent="0.2">
      <c r="B1195" t="s">
        <v>1433</v>
      </c>
      <c r="C1195" t="s">
        <v>12891</v>
      </c>
      <c r="D1195" t="s">
        <v>1137</v>
      </c>
      <c r="E1195" t="s">
        <v>6678</v>
      </c>
      <c r="F1195">
        <v>305.92</v>
      </c>
      <c r="G1195" t="s">
        <v>3086</v>
      </c>
      <c r="L1195" t="s">
        <v>1433</v>
      </c>
      <c r="M1195" t="s">
        <v>2361</v>
      </c>
      <c r="N1195" t="s">
        <v>2362</v>
      </c>
      <c r="O1195">
        <v>140</v>
      </c>
    </row>
    <row r="1196" spans="2:15" x14ac:dyDescent="0.2">
      <c r="B1196" t="s">
        <v>1433</v>
      </c>
      <c r="C1196" t="s">
        <v>12891</v>
      </c>
      <c r="D1196" t="s">
        <v>1137</v>
      </c>
      <c r="E1196" t="s">
        <v>6679</v>
      </c>
      <c r="F1196">
        <v>72</v>
      </c>
      <c r="G1196" t="s">
        <v>3115</v>
      </c>
      <c r="L1196" t="s">
        <v>1433</v>
      </c>
      <c r="M1196" t="s">
        <v>1842</v>
      </c>
      <c r="N1196" t="s">
        <v>2363</v>
      </c>
      <c r="O1196">
        <v>14</v>
      </c>
    </row>
    <row r="1197" spans="2:15" x14ac:dyDescent="0.2">
      <c r="B1197" t="s">
        <v>1433</v>
      </c>
      <c r="C1197" t="s">
        <v>12891</v>
      </c>
      <c r="D1197" t="s">
        <v>613</v>
      </c>
      <c r="E1197" t="s">
        <v>6680</v>
      </c>
      <c r="F1197">
        <v>170</v>
      </c>
      <c r="G1197" t="s">
        <v>3101</v>
      </c>
      <c r="L1197" t="s">
        <v>1433</v>
      </c>
      <c r="M1197" t="s">
        <v>1843</v>
      </c>
      <c r="N1197" t="s">
        <v>2363</v>
      </c>
      <c r="O1197">
        <v>14</v>
      </c>
    </row>
    <row r="1198" spans="2:15" x14ac:dyDescent="0.2">
      <c r="B1198" t="s">
        <v>1433</v>
      </c>
      <c r="C1198" t="s">
        <v>12891</v>
      </c>
      <c r="D1198" t="s">
        <v>1137</v>
      </c>
      <c r="E1198" t="s">
        <v>6681</v>
      </c>
      <c r="F1198">
        <v>580</v>
      </c>
      <c r="G1198" t="s">
        <v>3134</v>
      </c>
      <c r="L1198" t="s">
        <v>1433</v>
      </c>
      <c r="M1198" t="s">
        <v>1458</v>
      </c>
      <c r="N1198" t="s">
        <v>2363</v>
      </c>
      <c r="O1198">
        <v>14</v>
      </c>
    </row>
    <row r="1199" spans="2:15" x14ac:dyDescent="0.2">
      <c r="B1199" t="s">
        <v>1433</v>
      </c>
      <c r="C1199" t="s">
        <v>12891</v>
      </c>
      <c r="D1199" t="s">
        <v>1137</v>
      </c>
      <c r="E1199" t="s">
        <v>6682</v>
      </c>
      <c r="F1199">
        <v>1272</v>
      </c>
      <c r="G1199" t="s">
        <v>3148</v>
      </c>
      <c r="L1199" t="s">
        <v>1433</v>
      </c>
      <c r="M1199" t="s">
        <v>1459</v>
      </c>
      <c r="N1199" t="s">
        <v>2363</v>
      </c>
      <c r="O1199">
        <v>7</v>
      </c>
    </row>
    <row r="1200" spans="2:15" x14ac:dyDescent="0.2">
      <c r="B1200" t="s">
        <v>1433</v>
      </c>
      <c r="C1200" t="s">
        <v>12891</v>
      </c>
      <c r="D1200" t="s">
        <v>1137</v>
      </c>
      <c r="E1200" t="s">
        <v>6683</v>
      </c>
      <c r="F1200">
        <v>384</v>
      </c>
      <c r="G1200" t="s">
        <v>3149</v>
      </c>
      <c r="L1200" t="s">
        <v>1433</v>
      </c>
      <c r="M1200" t="s">
        <v>1642</v>
      </c>
      <c r="N1200" t="s">
        <v>2363</v>
      </c>
      <c r="O1200">
        <v>14</v>
      </c>
    </row>
    <row r="1201" spans="2:15" x14ac:dyDescent="0.2">
      <c r="B1201" t="s">
        <v>1433</v>
      </c>
      <c r="C1201" t="s">
        <v>12891</v>
      </c>
      <c r="D1201" t="s">
        <v>1137</v>
      </c>
      <c r="E1201" t="s">
        <v>6684</v>
      </c>
      <c r="F1201">
        <v>680</v>
      </c>
      <c r="G1201" t="s">
        <v>3150</v>
      </c>
      <c r="L1201" t="s">
        <v>1433</v>
      </c>
      <c r="M1201" t="s">
        <v>1643</v>
      </c>
      <c r="N1201" t="s">
        <v>2363</v>
      </c>
      <c r="O1201">
        <v>14</v>
      </c>
    </row>
    <row r="1202" spans="2:15" x14ac:dyDescent="0.2">
      <c r="B1202" t="s">
        <v>1433</v>
      </c>
      <c r="C1202" t="s">
        <v>12891</v>
      </c>
      <c r="D1202" t="s">
        <v>613</v>
      </c>
      <c r="E1202" t="s">
        <v>6685</v>
      </c>
      <c r="F1202">
        <v>118</v>
      </c>
      <c r="G1202" t="s">
        <v>3151</v>
      </c>
      <c r="L1202" t="s">
        <v>1433</v>
      </c>
      <c r="M1202" t="s">
        <v>1994</v>
      </c>
      <c r="N1202" t="s">
        <v>2363</v>
      </c>
      <c r="O1202">
        <v>15</v>
      </c>
    </row>
    <row r="1203" spans="2:15" x14ac:dyDescent="0.2">
      <c r="B1203" t="s">
        <v>1433</v>
      </c>
      <c r="C1203" t="s">
        <v>12891</v>
      </c>
      <c r="D1203" t="s">
        <v>613</v>
      </c>
      <c r="E1203" t="s">
        <v>6686</v>
      </c>
      <c r="F1203">
        <v>50.54</v>
      </c>
      <c r="G1203" t="s">
        <v>1956</v>
      </c>
      <c r="L1203" t="s">
        <v>1433</v>
      </c>
      <c r="M1203" t="s">
        <v>1995</v>
      </c>
      <c r="N1203" t="s">
        <v>2363</v>
      </c>
      <c r="O1203">
        <v>7</v>
      </c>
    </row>
    <row r="1204" spans="2:15" x14ac:dyDescent="0.2">
      <c r="B1204" t="s">
        <v>1433</v>
      </c>
      <c r="C1204" t="s">
        <v>12891</v>
      </c>
      <c r="D1204" t="s">
        <v>613</v>
      </c>
      <c r="E1204" t="s">
        <v>6687</v>
      </c>
      <c r="F1204">
        <v>15.05</v>
      </c>
      <c r="G1204" t="s">
        <v>1245</v>
      </c>
      <c r="L1204" t="s">
        <v>1433</v>
      </c>
      <c r="M1204" t="s">
        <v>2364</v>
      </c>
      <c r="N1204" t="s">
        <v>2365</v>
      </c>
      <c r="O1204">
        <v>10</v>
      </c>
    </row>
    <row r="1205" spans="2:15" x14ac:dyDescent="0.2">
      <c r="B1205" t="s">
        <v>1433</v>
      </c>
      <c r="C1205" t="s">
        <v>12891</v>
      </c>
      <c r="D1205" t="s">
        <v>1137</v>
      </c>
      <c r="E1205" t="s">
        <v>6688</v>
      </c>
      <c r="F1205">
        <v>475</v>
      </c>
      <c r="G1205" t="s">
        <v>3205</v>
      </c>
      <c r="L1205" t="s">
        <v>1433</v>
      </c>
      <c r="M1205" t="s">
        <v>2366</v>
      </c>
      <c r="N1205" t="s">
        <v>2367</v>
      </c>
      <c r="O1205">
        <v>80</v>
      </c>
    </row>
    <row r="1206" spans="2:15" x14ac:dyDescent="0.2">
      <c r="B1206" t="s">
        <v>1433</v>
      </c>
      <c r="C1206" t="s">
        <v>12891</v>
      </c>
      <c r="D1206" t="s">
        <v>1137</v>
      </c>
      <c r="E1206" t="s">
        <v>6689</v>
      </c>
      <c r="F1206">
        <v>1550</v>
      </c>
      <c r="G1206" t="s">
        <v>3161</v>
      </c>
      <c r="L1206" t="s">
        <v>1433</v>
      </c>
      <c r="M1206" t="s">
        <v>2368</v>
      </c>
      <c r="N1206" t="s">
        <v>2367</v>
      </c>
      <c r="O1206">
        <v>20</v>
      </c>
    </row>
    <row r="1207" spans="2:15" x14ac:dyDescent="0.2">
      <c r="B1207" t="s">
        <v>1433</v>
      </c>
      <c r="C1207" t="s">
        <v>12891</v>
      </c>
      <c r="D1207" t="s">
        <v>1137</v>
      </c>
      <c r="E1207" t="s">
        <v>6690</v>
      </c>
      <c r="F1207">
        <v>587.5</v>
      </c>
      <c r="G1207" t="s">
        <v>3184</v>
      </c>
      <c r="L1207" t="s">
        <v>1433</v>
      </c>
      <c r="M1207" t="s">
        <v>1751</v>
      </c>
      <c r="N1207" t="s">
        <v>2367</v>
      </c>
      <c r="O1207">
        <v>400</v>
      </c>
    </row>
    <row r="1208" spans="2:15" x14ac:dyDescent="0.2">
      <c r="B1208" t="s">
        <v>1433</v>
      </c>
      <c r="C1208" t="s">
        <v>12891</v>
      </c>
      <c r="D1208" t="s">
        <v>613</v>
      </c>
      <c r="E1208" t="s">
        <v>6691</v>
      </c>
      <c r="F1208">
        <v>0.63</v>
      </c>
      <c r="G1208" t="s">
        <v>6692</v>
      </c>
      <c r="L1208" t="s">
        <v>1433</v>
      </c>
      <c r="M1208" t="s">
        <v>1763</v>
      </c>
      <c r="N1208" t="s">
        <v>2369</v>
      </c>
      <c r="O1208">
        <v>12</v>
      </c>
    </row>
    <row r="1209" spans="2:15" x14ac:dyDescent="0.2">
      <c r="B1209" t="s">
        <v>1433</v>
      </c>
      <c r="C1209" t="s">
        <v>12891</v>
      </c>
      <c r="D1209" t="s">
        <v>613</v>
      </c>
      <c r="E1209" t="s">
        <v>6693</v>
      </c>
      <c r="F1209">
        <v>0.02</v>
      </c>
      <c r="G1209" t="s">
        <v>6694</v>
      </c>
      <c r="L1209" t="s">
        <v>1433</v>
      </c>
      <c r="M1209" t="s">
        <v>1675</v>
      </c>
      <c r="N1209" t="s">
        <v>2370</v>
      </c>
      <c r="O1209">
        <v>20</v>
      </c>
    </row>
    <row r="1210" spans="2:15" x14ac:dyDescent="0.2">
      <c r="B1210" t="s">
        <v>1433</v>
      </c>
      <c r="C1210" t="s">
        <v>12891</v>
      </c>
      <c r="D1210" t="s">
        <v>613</v>
      </c>
      <c r="E1210" t="s">
        <v>6695</v>
      </c>
      <c r="F1210">
        <v>0.44</v>
      </c>
      <c r="G1210" t="s">
        <v>6696</v>
      </c>
      <c r="L1210" t="s">
        <v>1433</v>
      </c>
      <c r="M1210" t="s">
        <v>1671</v>
      </c>
      <c r="N1210" t="s">
        <v>2370</v>
      </c>
      <c r="O1210">
        <v>25</v>
      </c>
    </row>
    <row r="1211" spans="2:15" x14ac:dyDescent="0.2">
      <c r="B1211" t="s">
        <v>1433</v>
      </c>
      <c r="C1211" t="s">
        <v>12891</v>
      </c>
      <c r="D1211" t="s">
        <v>613</v>
      </c>
      <c r="E1211" t="s">
        <v>6697</v>
      </c>
      <c r="F1211">
        <v>0.23</v>
      </c>
      <c r="G1211" t="s">
        <v>5259</v>
      </c>
      <c r="L1211" t="s">
        <v>1433</v>
      </c>
      <c r="M1211" t="s">
        <v>1668</v>
      </c>
      <c r="N1211" t="s">
        <v>2370</v>
      </c>
      <c r="O1211">
        <v>900</v>
      </c>
    </row>
    <row r="1212" spans="2:15" x14ac:dyDescent="0.2">
      <c r="B1212" t="s">
        <v>1433</v>
      </c>
      <c r="C1212" t="s">
        <v>12891</v>
      </c>
      <c r="D1212" t="s">
        <v>1137</v>
      </c>
      <c r="E1212" t="s">
        <v>6698</v>
      </c>
      <c r="F1212">
        <v>3240</v>
      </c>
      <c r="G1212" t="s">
        <v>3203</v>
      </c>
      <c r="L1212" t="s">
        <v>1433</v>
      </c>
      <c r="M1212" t="s">
        <v>1769</v>
      </c>
      <c r="N1212" t="s">
        <v>2370</v>
      </c>
      <c r="O1212">
        <v>500</v>
      </c>
    </row>
    <row r="1213" spans="2:15" x14ac:dyDescent="0.2">
      <c r="B1213" t="s">
        <v>1433</v>
      </c>
      <c r="C1213" t="s">
        <v>12891</v>
      </c>
      <c r="D1213" t="s">
        <v>1137</v>
      </c>
      <c r="E1213" t="s">
        <v>6699</v>
      </c>
      <c r="F1213">
        <v>920</v>
      </c>
      <c r="G1213" t="s">
        <v>3206</v>
      </c>
      <c r="L1213" t="s">
        <v>1433</v>
      </c>
      <c r="M1213" t="s">
        <v>1771</v>
      </c>
      <c r="N1213" t="s">
        <v>2370</v>
      </c>
      <c r="O1213">
        <v>80</v>
      </c>
    </row>
    <row r="1214" spans="2:15" x14ac:dyDescent="0.2">
      <c r="B1214" t="s">
        <v>1433</v>
      </c>
      <c r="C1214" t="s">
        <v>12891</v>
      </c>
      <c r="D1214" t="s">
        <v>1144</v>
      </c>
      <c r="E1214" t="s">
        <v>6700</v>
      </c>
      <c r="F1214">
        <v>144</v>
      </c>
      <c r="G1214" t="s">
        <v>3912</v>
      </c>
      <c r="L1214" t="s">
        <v>1433</v>
      </c>
      <c r="M1214" t="s">
        <v>1370</v>
      </c>
      <c r="N1214" t="s">
        <v>2371</v>
      </c>
      <c r="O1214">
        <v>1</v>
      </c>
    </row>
    <row r="1215" spans="2:15" x14ac:dyDescent="0.2">
      <c r="B1215" t="s">
        <v>1433</v>
      </c>
      <c r="C1215" t="s">
        <v>12891</v>
      </c>
      <c r="D1215" t="s">
        <v>1137</v>
      </c>
      <c r="E1215" t="s">
        <v>6701</v>
      </c>
      <c r="F1215">
        <v>375</v>
      </c>
      <c r="G1215" t="s">
        <v>3229</v>
      </c>
      <c r="L1215" t="s">
        <v>1433</v>
      </c>
      <c r="M1215" t="s">
        <v>1725</v>
      </c>
      <c r="N1215" t="s">
        <v>2372</v>
      </c>
      <c r="O1215">
        <v>25</v>
      </c>
    </row>
    <row r="1216" spans="2:15" x14ac:dyDescent="0.2">
      <c r="B1216" t="s">
        <v>1433</v>
      </c>
      <c r="C1216" t="s">
        <v>12891</v>
      </c>
      <c r="D1216" t="s">
        <v>1144</v>
      </c>
      <c r="E1216" t="s">
        <v>6702</v>
      </c>
      <c r="F1216">
        <v>677.75</v>
      </c>
      <c r="G1216" t="s">
        <v>3913</v>
      </c>
      <c r="L1216" t="s">
        <v>1433</v>
      </c>
      <c r="M1216" t="s">
        <v>1820</v>
      </c>
      <c r="N1216" t="s">
        <v>2372</v>
      </c>
      <c r="O1216">
        <v>10</v>
      </c>
    </row>
    <row r="1217" spans="2:15" x14ac:dyDescent="0.2">
      <c r="B1217" t="s">
        <v>1433</v>
      </c>
      <c r="C1217" t="s">
        <v>12891</v>
      </c>
      <c r="D1217" t="s">
        <v>1137</v>
      </c>
      <c r="E1217" t="s">
        <v>6703</v>
      </c>
      <c r="F1217">
        <v>1920</v>
      </c>
      <c r="G1217" t="s">
        <v>3249</v>
      </c>
      <c r="L1217" t="s">
        <v>1433</v>
      </c>
      <c r="M1217" t="s">
        <v>1585</v>
      </c>
      <c r="N1217" t="s">
        <v>2372</v>
      </c>
      <c r="O1217">
        <v>100</v>
      </c>
    </row>
    <row r="1218" spans="2:15" x14ac:dyDescent="0.2">
      <c r="B1218" t="s">
        <v>1433</v>
      </c>
      <c r="C1218" t="s">
        <v>12891</v>
      </c>
      <c r="D1218" t="s">
        <v>1137</v>
      </c>
      <c r="E1218" t="s">
        <v>6704</v>
      </c>
      <c r="F1218">
        <v>672</v>
      </c>
      <c r="G1218" t="s">
        <v>3251</v>
      </c>
      <c r="L1218" t="s">
        <v>1433</v>
      </c>
      <c r="M1218" t="s">
        <v>1723</v>
      </c>
      <c r="N1218" t="s">
        <v>2372</v>
      </c>
      <c r="O1218">
        <v>100</v>
      </c>
    </row>
    <row r="1219" spans="2:15" x14ac:dyDescent="0.2">
      <c r="B1219" t="s">
        <v>1433</v>
      </c>
      <c r="C1219" t="s">
        <v>12891</v>
      </c>
      <c r="D1219" t="s">
        <v>1137</v>
      </c>
      <c r="E1219" t="s">
        <v>6705</v>
      </c>
      <c r="F1219">
        <v>760</v>
      </c>
      <c r="G1219" t="s">
        <v>3252</v>
      </c>
      <c r="L1219" t="s">
        <v>1433</v>
      </c>
      <c r="M1219" t="s">
        <v>1724</v>
      </c>
      <c r="N1219" t="s">
        <v>2372</v>
      </c>
      <c r="O1219">
        <v>100</v>
      </c>
    </row>
    <row r="1220" spans="2:15" x14ac:dyDescent="0.2">
      <c r="B1220" t="s">
        <v>1433</v>
      </c>
      <c r="C1220" t="s">
        <v>12891</v>
      </c>
      <c r="D1220" t="s">
        <v>1144</v>
      </c>
      <c r="E1220" t="s">
        <v>6706</v>
      </c>
      <c r="F1220">
        <v>248.25</v>
      </c>
      <c r="G1220" t="s">
        <v>3914</v>
      </c>
      <c r="L1220" t="s">
        <v>1433</v>
      </c>
      <c r="M1220" t="s">
        <v>1891</v>
      </c>
      <c r="N1220" t="s">
        <v>2372</v>
      </c>
      <c r="O1220">
        <v>50</v>
      </c>
    </row>
    <row r="1221" spans="2:15" x14ac:dyDescent="0.2">
      <c r="B1221" t="s">
        <v>1433</v>
      </c>
      <c r="C1221" t="s">
        <v>12891</v>
      </c>
      <c r="D1221" t="s">
        <v>613</v>
      </c>
      <c r="E1221" t="s">
        <v>6707</v>
      </c>
      <c r="F1221">
        <v>38.1</v>
      </c>
      <c r="G1221" t="s">
        <v>3301</v>
      </c>
      <c r="L1221" t="s">
        <v>1433</v>
      </c>
      <c r="M1221" t="s">
        <v>1952</v>
      </c>
      <c r="N1221" t="s">
        <v>2373</v>
      </c>
      <c r="O1221">
        <v>2</v>
      </c>
    </row>
    <row r="1222" spans="2:15" x14ac:dyDescent="0.2">
      <c r="B1222" t="s">
        <v>1433</v>
      </c>
      <c r="C1222" t="s">
        <v>12891</v>
      </c>
      <c r="D1222" t="s">
        <v>613</v>
      </c>
      <c r="E1222" t="s">
        <v>6708</v>
      </c>
      <c r="F1222">
        <v>73.2</v>
      </c>
      <c r="G1222" t="s">
        <v>3303</v>
      </c>
      <c r="L1222" t="s">
        <v>1433</v>
      </c>
      <c r="M1222" t="s">
        <v>2164</v>
      </c>
      <c r="N1222" t="s">
        <v>2373</v>
      </c>
      <c r="O1222">
        <v>2</v>
      </c>
    </row>
    <row r="1223" spans="2:15" x14ac:dyDescent="0.2">
      <c r="B1223" t="s">
        <v>1433</v>
      </c>
      <c r="C1223" t="s">
        <v>12891</v>
      </c>
      <c r="D1223" t="s">
        <v>1137</v>
      </c>
      <c r="E1223" t="s">
        <v>6709</v>
      </c>
      <c r="F1223">
        <v>320</v>
      </c>
      <c r="G1223" t="s">
        <v>3308</v>
      </c>
      <c r="L1223" t="s">
        <v>1433</v>
      </c>
      <c r="M1223" t="s">
        <v>2164</v>
      </c>
      <c r="N1223" t="s">
        <v>2374</v>
      </c>
      <c r="O1223">
        <v>2</v>
      </c>
    </row>
    <row r="1224" spans="2:15" x14ac:dyDescent="0.2">
      <c r="B1224" t="s">
        <v>1433</v>
      </c>
      <c r="C1224" t="s">
        <v>12891</v>
      </c>
      <c r="D1224" t="s">
        <v>1137</v>
      </c>
      <c r="E1224" t="s">
        <v>6710</v>
      </c>
      <c r="F1224">
        <v>440</v>
      </c>
      <c r="G1224" t="s">
        <v>3371</v>
      </c>
      <c r="L1224" t="s">
        <v>1433</v>
      </c>
      <c r="M1224" t="s">
        <v>2294</v>
      </c>
      <c r="N1224" t="s">
        <v>2375</v>
      </c>
      <c r="O1224">
        <v>2</v>
      </c>
    </row>
    <row r="1225" spans="2:15" x14ac:dyDescent="0.2">
      <c r="B1225" t="s">
        <v>1433</v>
      </c>
      <c r="C1225" t="s">
        <v>12891</v>
      </c>
      <c r="D1225" t="s">
        <v>1137</v>
      </c>
      <c r="E1225" t="s">
        <v>6711</v>
      </c>
      <c r="F1225">
        <v>974</v>
      </c>
      <c r="G1225" t="s">
        <v>3373</v>
      </c>
      <c r="L1225" t="s">
        <v>1433</v>
      </c>
      <c r="M1225" t="s">
        <v>2294</v>
      </c>
      <c r="N1225" t="s">
        <v>2376</v>
      </c>
      <c r="O1225">
        <v>2</v>
      </c>
    </row>
    <row r="1226" spans="2:15" x14ac:dyDescent="0.2">
      <c r="B1226" t="s">
        <v>1433</v>
      </c>
      <c r="C1226" t="s">
        <v>12891</v>
      </c>
      <c r="D1226" t="s">
        <v>613</v>
      </c>
      <c r="E1226" t="s">
        <v>6712</v>
      </c>
      <c r="F1226">
        <v>105.1</v>
      </c>
      <c r="H1226" t="s">
        <v>6713</v>
      </c>
      <c r="L1226" t="s">
        <v>1433</v>
      </c>
      <c r="M1226" t="s">
        <v>1952</v>
      </c>
      <c r="N1226" t="s">
        <v>2377</v>
      </c>
      <c r="O1226">
        <v>2</v>
      </c>
    </row>
    <row r="1227" spans="2:15" x14ac:dyDescent="0.2">
      <c r="B1227" t="s">
        <v>1433</v>
      </c>
      <c r="C1227" t="s">
        <v>12891</v>
      </c>
      <c r="D1227" t="s">
        <v>613</v>
      </c>
      <c r="E1227" t="s">
        <v>6714</v>
      </c>
      <c r="F1227">
        <v>187.11</v>
      </c>
      <c r="H1227" t="s">
        <v>2557</v>
      </c>
      <c r="L1227" t="s">
        <v>1433</v>
      </c>
      <c r="M1227" t="s">
        <v>1507</v>
      </c>
      <c r="N1227" t="s">
        <v>2378</v>
      </c>
      <c r="O1227">
        <v>3</v>
      </c>
    </row>
    <row r="1228" spans="2:15" x14ac:dyDescent="0.2">
      <c r="B1228" t="s">
        <v>1433</v>
      </c>
      <c r="C1228" t="s">
        <v>12891</v>
      </c>
      <c r="D1228" t="s">
        <v>613</v>
      </c>
      <c r="E1228" t="s">
        <v>6715</v>
      </c>
      <c r="F1228">
        <v>109.68</v>
      </c>
      <c r="H1228" t="s">
        <v>2553</v>
      </c>
      <c r="L1228" t="s">
        <v>1433</v>
      </c>
      <c r="M1228" t="s">
        <v>1507</v>
      </c>
      <c r="N1228" t="s">
        <v>2379</v>
      </c>
      <c r="O1228">
        <v>4</v>
      </c>
    </row>
    <row r="1229" spans="2:15" x14ac:dyDescent="0.2">
      <c r="B1229" t="s">
        <v>1433</v>
      </c>
      <c r="C1229" t="s">
        <v>12891</v>
      </c>
      <c r="D1229" t="s">
        <v>613</v>
      </c>
      <c r="E1229" t="s">
        <v>6716</v>
      </c>
      <c r="F1229">
        <v>2141.37</v>
      </c>
      <c r="H1229" t="s">
        <v>2555</v>
      </c>
      <c r="L1229" t="s">
        <v>1433</v>
      </c>
      <c r="M1229" t="s">
        <v>1617</v>
      </c>
      <c r="N1229" t="s">
        <v>2380</v>
      </c>
      <c r="O1229">
        <v>12</v>
      </c>
    </row>
    <row r="1230" spans="2:15" x14ac:dyDescent="0.2">
      <c r="B1230" t="s">
        <v>1433</v>
      </c>
      <c r="C1230" t="s">
        <v>12891</v>
      </c>
      <c r="D1230" t="s">
        <v>613</v>
      </c>
      <c r="E1230" t="s">
        <v>6717</v>
      </c>
      <c r="F1230">
        <v>47.7</v>
      </c>
      <c r="H1230" t="s">
        <v>2556</v>
      </c>
      <c r="L1230" t="s">
        <v>1433</v>
      </c>
      <c r="M1230" t="s">
        <v>1710</v>
      </c>
      <c r="N1230" t="s">
        <v>2381</v>
      </c>
      <c r="O1230">
        <v>100</v>
      </c>
    </row>
    <row r="1231" spans="2:15" x14ac:dyDescent="0.2">
      <c r="B1231" t="s">
        <v>1433</v>
      </c>
      <c r="C1231" t="s">
        <v>12891</v>
      </c>
      <c r="D1231" t="s">
        <v>554</v>
      </c>
      <c r="E1231" t="s">
        <v>6718</v>
      </c>
      <c r="F1231">
        <v>12240</v>
      </c>
      <c r="H1231" t="s">
        <v>3429</v>
      </c>
      <c r="L1231" t="s">
        <v>1433</v>
      </c>
      <c r="M1231" t="s">
        <v>2382</v>
      </c>
      <c r="N1231" t="s">
        <v>2085</v>
      </c>
      <c r="O1231">
        <v>12</v>
      </c>
    </row>
    <row r="1232" spans="2:15" x14ac:dyDescent="0.2">
      <c r="B1232" t="s">
        <v>1433</v>
      </c>
      <c r="C1232" t="s">
        <v>12891</v>
      </c>
      <c r="D1232" t="s">
        <v>554</v>
      </c>
      <c r="E1232" t="s">
        <v>6719</v>
      </c>
      <c r="F1232">
        <v>5670</v>
      </c>
      <c r="H1232" t="s">
        <v>3431</v>
      </c>
      <c r="L1232" t="s">
        <v>1433</v>
      </c>
      <c r="M1232" t="s">
        <v>1313</v>
      </c>
      <c r="N1232" t="s">
        <v>2383</v>
      </c>
      <c r="O1232">
        <v>1</v>
      </c>
    </row>
    <row r="1233" spans="2:15" x14ac:dyDescent="0.2">
      <c r="B1233" t="s">
        <v>1433</v>
      </c>
      <c r="C1233" t="s">
        <v>12891</v>
      </c>
      <c r="D1233" t="s">
        <v>554</v>
      </c>
      <c r="E1233" t="s">
        <v>6720</v>
      </c>
      <c r="F1233">
        <v>9634</v>
      </c>
      <c r="H1233" t="s">
        <v>3422</v>
      </c>
      <c r="L1233" t="s">
        <v>1433</v>
      </c>
      <c r="M1233" t="s">
        <v>1243</v>
      </c>
      <c r="N1233" t="s">
        <v>2384</v>
      </c>
      <c r="O1233">
        <v>7</v>
      </c>
    </row>
    <row r="1234" spans="2:15" x14ac:dyDescent="0.2">
      <c r="B1234" t="s">
        <v>1433</v>
      </c>
      <c r="C1234" t="s">
        <v>12891</v>
      </c>
      <c r="D1234" t="s">
        <v>554</v>
      </c>
      <c r="E1234" t="s">
        <v>6721</v>
      </c>
      <c r="F1234">
        <v>4817</v>
      </c>
      <c r="H1234" t="s">
        <v>3422</v>
      </c>
      <c r="L1234" t="s">
        <v>1433</v>
      </c>
      <c r="M1234" t="s">
        <v>1245</v>
      </c>
      <c r="N1234" t="s">
        <v>2384</v>
      </c>
      <c r="O1234">
        <v>7</v>
      </c>
    </row>
    <row r="1235" spans="2:15" x14ac:dyDescent="0.2">
      <c r="B1235" t="s">
        <v>1433</v>
      </c>
      <c r="C1235" t="s">
        <v>12891</v>
      </c>
      <c r="D1235" t="s">
        <v>613</v>
      </c>
      <c r="E1235" t="s">
        <v>6722</v>
      </c>
      <c r="F1235">
        <v>67.44</v>
      </c>
      <c r="H1235" t="s">
        <v>2892</v>
      </c>
      <c r="L1235" t="s">
        <v>1433</v>
      </c>
      <c r="M1235" t="s">
        <v>2385</v>
      </c>
      <c r="N1235" t="s">
        <v>2386</v>
      </c>
      <c r="O1235">
        <v>37</v>
      </c>
    </row>
    <row r="1236" spans="2:15" x14ac:dyDescent="0.2">
      <c r="B1236" t="s">
        <v>1433</v>
      </c>
      <c r="C1236" t="s">
        <v>12891</v>
      </c>
      <c r="D1236" t="s">
        <v>1137</v>
      </c>
      <c r="E1236" t="s">
        <v>6723</v>
      </c>
      <c r="F1236">
        <v>600</v>
      </c>
      <c r="G1236" t="s">
        <v>3351</v>
      </c>
      <c r="L1236" t="s">
        <v>1433</v>
      </c>
      <c r="M1236" t="s">
        <v>1193</v>
      </c>
      <c r="N1236" t="s">
        <v>2386</v>
      </c>
      <c r="O1236">
        <v>51</v>
      </c>
    </row>
    <row r="1237" spans="2:15" x14ac:dyDescent="0.2">
      <c r="B1237" t="s">
        <v>1433</v>
      </c>
      <c r="C1237" t="s">
        <v>12891</v>
      </c>
      <c r="D1237" t="s">
        <v>554</v>
      </c>
      <c r="E1237" t="s">
        <v>6724</v>
      </c>
      <c r="F1237">
        <v>6384</v>
      </c>
      <c r="H1237" t="s">
        <v>3445</v>
      </c>
      <c r="L1237" t="s">
        <v>1433</v>
      </c>
      <c r="M1237" t="s">
        <v>1195</v>
      </c>
      <c r="N1237" t="s">
        <v>2386</v>
      </c>
      <c r="O1237">
        <v>2</v>
      </c>
    </row>
    <row r="1238" spans="2:15" x14ac:dyDescent="0.2">
      <c r="B1238" t="s">
        <v>1433</v>
      </c>
      <c r="C1238" t="s">
        <v>12891</v>
      </c>
      <c r="D1238" t="s">
        <v>613</v>
      </c>
      <c r="E1238" t="s">
        <v>6725</v>
      </c>
      <c r="F1238">
        <v>9007</v>
      </c>
      <c r="G1238" t="s">
        <v>3434</v>
      </c>
      <c r="L1238" t="s">
        <v>1433</v>
      </c>
      <c r="M1238" t="s">
        <v>1196</v>
      </c>
      <c r="N1238" t="s">
        <v>2386</v>
      </c>
      <c r="O1238">
        <v>6</v>
      </c>
    </row>
    <row r="1239" spans="2:15" x14ac:dyDescent="0.2">
      <c r="B1239" t="s">
        <v>1433</v>
      </c>
      <c r="C1239" t="s">
        <v>12891</v>
      </c>
      <c r="D1239" t="s">
        <v>554</v>
      </c>
      <c r="E1239" t="s">
        <v>6726</v>
      </c>
      <c r="F1239">
        <v>2706.86</v>
      </c>
      <c r="G1239" t="s">
        <v>3471</v>
      </c>
      <c r="L1239" t="s">
        <v>1433</v>
      </c>
      <c r="M1239" t="s">
        <v>1197</v>
      </c>
      <c r="N1239" t="s">
        <v>2386</v>
      </c>
      <c r="O1239">
        <v>11</v>
      </c>
    </row>
    <row r="1240" spans="2:15" x14ac:dyDescent="0.2">
      <c r="B1240" t="s">
        <v>1433</v>
      </c>
      <c r="C1240" t="s">
        <v>12891</v>
      </c>
      <c r="D1240" t="s">
        <v>554</v>
      </c>
      <c r="E1240" t="s">
        <v>6727</v>
      </c>
      <c r="F1240">
        <v>2540</v>
      </c>
      <c r="G1240" t="s">
        <v>3432</v>
      </c>
      <c r="L1240" t="s">
        <v>1433</v>
      </c>
      <c r="M1240" t="s">
        <v>1223</v>
      </c>
      <c r="N1240" t="s">
        <v>2386</v>
      </c>
      <c r="O1240">
        <v>6</v>
      </c>
    </row>
    <row r="1241" spans="2:15" x14ac:dyDescent="0.2">
      <c r="B1241" t="s">
        <v>1433</v>
      </c>
      <c r="C1241" t="s">
        <v>12891</v>
      </c>
      <c r="D1241" t="s">
        <v>1137</v>
      </c>
      <c r="E1241" t="s">
        <v>6728</v>
      </c>
      <c r="F1241">
        <v>440</v>
      </c>
      <c r="G1241" t="s">
        <v>3453</v>
      </c>
      <c r="L1241" t="s">
        <v>1433</v>
      </c>
      <c r="M1241" t="s">
        <v>1225</v>
      </c>
      <c r="N1241" t="s">
        <v>2386</v>
      </c>
      <c r="O1241">
        <v>8</v>
      </c>
    </row>
    <row r="1242" spans="2:15" x14ac:dyDescent="0.2">
      <c r="B1242" t="s">
        <v>1433</v>
      </c>
      <c r="C1242" t="s">
        <v>12891</v>
      </c>
      <c r="D1242" t="s">
        <v>613</v>
      </c>
      <c r="E1242" t="s">
        <v>6729</v>
      </c>
      <c r="F1242">
        <v>45.46</v>
      </c>
      <c r="G1242" t="s">
        <v>3551</v>
      </c>
      <c r="L1242" t="s">
        <v>1433</v>
      </c>
      <c r="M1242" t="s">
        <v>1237</v>
      </c>
      <c r="N1242" t="s">
        <v>2386</v>
      </c>
      <c r="O1242">
        <v>2</v>
      </c>
    </row>
    <row r="1243" spans="2:15" x14ac:dyDescent="0.2">
      <c r="B1243" t="s">
        <v>1433</v>
      </c>
      <c r="C1243" t="s">
        <v>12891</v>
      </c>
      <c r="D1243" t="s">
        <v>1137</v>
      </c>
      <c r="E1243" t="s">
        <v>6730</v>
      </c>
      <c r="F1243">
        <v>1645</v>
      </c>
      <c r="G1243" t="s">
        <v>3457</v>
      </c>
      <c r="L1243" t="s">
        <v>1433</v>
      </c>
      <c r="M1243" t="s">
        <v>1226</v>
      </c>
      <c r="N1243" t="s">
        <v>2386</v>
      </c>
      <c r="O1243">
        <v>1</v>
      </c>
    </row>
    <row r="1244" spans="2:15" x14ac:dyDescent="0.2">
      <c r="B1244" t="s">
        <v>1433</v>
      </c>
      <c r="C1244" t="s">
        <v>12891</v>
      </c>
      <c r="D1244" t="s">
        <v>1137</v>
      </c>
      <c r="E1244" t="s">
        <v>6731</v>
      </c>
      <c r="F1244">
        <v>282</v>
      </c>
      <c r="G1244" t="s">
        <v>3455</v>
      </c>
      <c r="L1244" t="s">
        <v>1433</v>
      </c>
      <c r="M1244" t="s">
        <v>1228</v>
      </c>
      <c r="N1244" t="s">
        <v>2386</v>
      </c>
      <c r="O1244">
        <v>2</v>
      </c>
    </row>
    <row r="1245" spans="2:15" x14ac:dyDescent="0.2">
      <c r="B1245" t="s">
        <v>1433</v>
      </c>
      <c r="C1245" t="s">
        <v>12891</v>
      </c>
      <c r="D1245" t="s">
        <v>84</v>
      </c>
      <c r="E1245" t="s">
        <v>6732</v>
      </c>
      <c r="F1245">
        <v>93.75</v>
      </c>
      <c r="G1245" t="s">
        <v>3553</v>
      </c>
      <c r="L1245" t="s">
        <v>1433</v>
      </c>
      <c r="M1245" t="s">
        <v>1232</v>
      </c>
      <c r="N1245" t="s">
        <v>2386</v>
      </c>
      <c r="O1245">
        <v>1</v>
      </c>
    </row>
    <row r="1246" spans="2:15" x14ac:dyDescent="0.2">
      <c r="B1246" t="s">
        <v>1433</v>
      </c>
      <c r="C1246" t="s">
        <v>12891</v>
      </c>
      <c r="D1246" t="s">
        <v>613</v>
      </c>
      <c r="E1246" t="s">
        <v>6733</v>
      </c>
      <c r="F1246">
        <v>10</v>
      </c>
      <c r="G1246" t="s">
        <v>3482</v>
      </c>
      <c r="L1246" t="s">
        <v>1433</v>
      </c>
      <c r="M1246" t="s">
        <v>1234</v>
      </c>
      <c r="N1246" t="s">
        <v>2386</v>
      </c>
      <c r="O1246">
        <v>2</v>
      </c>
    </row>
    <row r="1247" spans="2:15" x14ac:dyDescent="0.2">
      <c r="B1247" t="s">
        <v>1433</v>
      </c>
      <c r="C1247" t="s">
        <v>12891</v>
      </c>
      <c r="D1247" t="s">
        <v>613</v>
      </c>
      <c r="E1247" t="s">
        <v>6734</v>
      </c>
      <c r="F1247">
        <v>53.75</v>
      </c>
      <c r="G1247" t="s">
        <v>3484</v>
      </c>
      <c r="L1247" t="s">
        <v>1433</v>
      </c>
      <c r="M1247" t="s">
        <v>1229</v>
      </c>
      <c r="N1247" t="s">
        <v>2386</v>
      </c>
      <c r="O1247">
        <v>1</v>
      </c>
    </row>
    <row r="1248" spans="2:15" x14ac:dyDescent="0.2">
      <c r="B1248" t="s">
        <v>1433</v>
      </c>
      <c r="C1248" t="s">
        <v>12891</v>
      </c>
      <c r="D1248" t="s">
        <v>613</v>
      </c>
      <c r="E1248" t="s">
        <v>6735</v>
      </c>
      <c r="F1248">
        <v>3.15</v>
      </c>
      <c r="G1248" t="s">
        <v>3485</v>
      </c>
      <c r="L1248" t="s">
        <v>1433</v>
      </c>
      <c r="M1248" t="s">
        <v>1231</v>
      </c>
      <c r="N1248" t="s">
        <v>2386</v>
      </c>
      <c r="O1248">
        <v>11</v>
      </c>
    </row>
    <row r="1249" spans="2:15" x14ac:dyDescent="0.2">
      <c r="B1249" t="s">
        <v>1433</v>
      </c>
      <c r="C1249" t="s">
        <v>12891</v>
      </c>
      <c r="D1249" t="s">
        <v>84</v>
      </c>
      <c r="E1249" t="s">
        <v>6736</v>
      </c>
      <c r="F1249">
        <v>465</v>
      </c>
      <c r="G1249" t="s">
        <v>3553</v>
      </c>
      <c r="L1249" t="s">
        <v>1433</v>
      </c>
      <c r="M1249" t="s">
        <v>2387</v>
      </c>
      <c r="N1249" t="s">
        <v>2388</v>
      </c>
      <c r="O1249">
        <v>15</v>
      </c>
    </row>
    <row r="1250" spans="2:15" x14ac:dyDescent="0.2">
      <c r="B1250" t="s">
        <v>1433</v>
      </c>
      <c r="C1250" t="s">
        <v>12891</v>
      </c>
      <c r="D1250" t="s">
        <v>613</v>
      </c>
      <c r="E1250" t="s">
        <v>6737</v>
      </c>
      <c r="F1250">
        <v>50</v>
      </c>
      <c r="G1250" t="s">
        <v>3482</v>
      </c>
      <c r="L1250" t="s">
        <v>1433</v>
      </c>
      <c r="M1250" t="s">
        <v>2389</v>
      </c>
      <c r="N1250" t="s">
        <v>2388</v>
      </c>
      <c r="O1250">
        <v>4</v>
      </c>
    </row>
    <row r="1251" spans="2:15" x14ac:dyDescent="0.2">
      <c r="B1251" t="s">
        <v>1433</v>
      </c>
      <c r="C1251" t="s">
        <v>12891</v>
      </c>
      <c r="D1251" t="s">
        <v>613</v>
      </c>
      <c r="E1251" t="s">
        <v>6738</v>
      </c>
      <c r="F1251">
        <v>268.75</v>
      </c>
      <c r="G1251" t="s">
        <v>3484</v>
      </c>
      <c r="L1251" t="s">
        <v>1433</v>
      </c>
      <c r="M1251" t="s">
        <v>2390</v>
      </c>
      <c r="N1251" t="s">
        <v>2388</v>
      </c>
      <c r="O1251">
        <v>10</v>
      </c>
    </row>
    <row r="1252" spans="2:15" x14ac:dyDescent="0.2">
      <c r="B1252" t="s">
        <v>1433</v>
      </c>
      <c r="C1252" t="s">
        <v>12891</v>
      </c>
      <c r="D1252" t="s">
        <v>613</v>
      </c>
      <c r="E1252" t="s">
        <v>6739</v>
      </c>
      <c r="F1252">
        <v>26.25</v>
      </c>
      <c r="G1252" t="s">
        <v>3485</v>
      </c>
      <c r="L1252" t="s">
        <v>1433</v>
      </c>
      <c r="M1252" t="s">
        <v>2391</v>
      </c>
      <c r="N1252" t="s">
        <v>2388</v>
      </c>
      <c r="O1252">
        <v>9</v>
      </c>
    </row>
    <row r="1253" spans="2:15" x14ac:dyDescent="0.2">
      <c r="B1253" t="s">
        <v>1433</v>
      </c>
      <c r="C1253" t="s">
        <v>12891</v>
      </c>
      <c r="D1253" t="s">
        <v>613</v>
      </c>
      <c r="E1253" t="s">
        <v>6740</v>
      </c>
      <c r="F1253">
        <v>700</v>
      </c>
      <c r="G1253" t="s">
        <v>3535</v>
      </c>
      <c r="L1253" t="s">
        <v>1433</v>
      </c>
      <c r="M1253" t="s">
        <v>2392</v>
      </c>
      <c r="N1253" t="s">
        <v>2393</v>
      </c>
      <c r="O1253">
        <v>114</v>
      </c>
    </row>
    <row r="1254" spans="2:15" x14ac:dyDescent="0.2">
      <c r="B1254" t="s">
        <v>1433</v>
      </c>
      <c r="C1254" t="s">
        <v>12891</v>
      </c>
      <c r="D1254" t="s">
        <v>613</v>
      </c>
      <c r="E1254" t="s">
        <v>6741</v>
      </c>
      <c r="F1254">
        <v>13.56</v>
      </c>
      <c r="H1254" t="s">
        <v>6252</v>
      </c>
      <c r="L1254" t="s">
        <v>1433</v>
      </c>
      <c r="M1254" t="s">
        <v>1717</v>
      </c>
      <c r="N1254" t="s">
        <v>2394</v>
      </c>
      <c r="O1254">
        <v>72</v>
      </c>
    </row>
    <row r="1255" spans="2:15" x14ac:dyDescent="0.2">
      <c r="B1255" t="s">
        <v>1433</v>
      </c>
      <c r="C1255" t="s">
        <v>12891</v>
      </c>
      <c r="D1255" t="s">
        <v>1137</v>
      </c>
      <c r="E1255" t="s">
        <v>6742</v>
      </c>
      <c r="F1255">
        <v>691</v>
      </c>
      <c r="G1255" t="s">
        <v>3555</v>
      </c>
      <c r="L1255" t="s">
        <v>1433</v>
      </c>
      <c r="M1255" t="s">
        <v>1718</v>
      </c>
      <c r="N1255" t="s">
        <v>2394</v>
      </c>
      <c r="O1255">
        <v>72</v>
      </c>
    </row>
    <row r="1256" spans="2:15" x14ac:dyDescent="0.2">
      <c r="B1256" t="s">
        <v>1433</v>
      </c>
      <c r="C1256" t="s">
        <v>12891</v>
      </c>
      <c r="D1256" t="s">
        <v>1137</v>
      </c>
      <c r="E1256" t="s">
        <v>6743</v>
      </c>
      <c r="F1256">
        <v>870</v>
      </c>
      <c r="G1256" t="s">
        <v>3557</v>
      </c>
      <c r="L1256" t="s">
        <v>1433</v>
      </c>
      <c r="M1256" t="s">
        <v>1824</v>
      </c>
      <c r="N1256" t="s">
        <v>2395</v>
      </c>
      <c r="O1256">
        <v>24</v>
      </c>
    </row>
    <row r="1257" spans="2:15" x14ac:dyDescent="0.2">
      <c r="B1257" t="s">
        <v>1433</v>
      </c>
      <c r="C1257" t="s">
        <v>12891</v>
      </c>
      <c r="D1257" t="s">
        <v>613</v>
      </c>
      <c r="E1257" t="s">
        <v>6744</v>
      </c>
      <c r="F1257">
        <v>356.54</v>
      </c>
      <c r="H1257" t="s">
        <v>3580</v>
      </c>
      <c r="L1257" t="s">
        <v>1433</v>
      </c>
      <c r="M1257" t="s">
        <v>1830</v>
      </c>
      <c r="N1257" t="s">
        <v>2395</v>
      </c>
      <c r="O1257">
        <v>1000</v>
      </c>
    </row>
    <row r="1258" spans="2:15" x14ac:dyDescent="0.2">
      <c r="B1258" t="s">
        <v>1433</v>
      </c>
      <c r="C1258" t="s">
        <v>12891</v>
      </c>
      <c r="D1258" t="s">
        <v>554</v>
      </c>
      <c r="E1258" t="s">
        <v>6745</v>
      </c>
      <c r="F1258">
        <v>4488</v>
      </c>
      <c r="H1258" t="s">
        <v>3598</v>
      </c>
      <c r="L1258" t="s">
        <v>1433</v>
      </c>
      <c r="M1258" t="s">
        <v>1832</v>
      </c>
      <c r="N1258" t="s">
        <v>2395</v>
      </c>
      <c r="O1258">
        <v>24</v>
      </c>
    </row>
    <row r="1259" spans="2:15" x14ac:dyDescent="0.2">
      <c r="B1259" t="s">
        <v>1433</v>
      </c>
      <c r="C1259" t="s">
        <v>12891</v>
      </c>
      <c r="D1259" t="s">
        <v>613</v>
      </c>
      <c r="E1259" t="s">
        <v>6746</v>
      </c>
      <c r="F1259">
        <v>4.9000000000000004</v>
      </c>
      <c r="H1259" t="s">
        <v>6747</v>
      </c>
      <c r="L1259" t="s">
        <v>1433</v>
      </c>
      <c r="M1259" t="s">
        <v>1835</v>
      </c>
      <c r="N1259" t="s">
        <v>2395</v>
      </c>
      <c r="O1259">
        <v>25</v>
      </c>
    </row>
    <row r="1260" spans="2:15" x14ac:dyDescent="0.2">
      <c r="B1260" t="s">
        <v>1433</v>
      </c>
      <c r="C1260" t="s">
        <v>12891</v>
      </c>
      <c r="D1260" t="s">
        <v>613</v>
      </c>
      <c r="E1260" t="s">
        <v>6748</v>
      </c>
      <c r="F1260">
        <v>1.26</v>
      </c>
      <c r="H1260" t="s">
        <v>6749</v>
      </c>
      <c r="L1260" t="s">
        <v>1433</v>
      </c>
      <c r="M1260" t="s">
        <v>1838</v>
      </c>
      <c r="N1260" t="s">
        <v>2395</v>
      </c>
      <c r="O1260">
        <v>25</v>
      </c>
    </row>
    <row r="1261" spans="2:15" x14ac:dyDescent="0.2">
      <c r="B1261" t="s">
        <v>1433</v>
      </c>
      <c r="C1261" t="s">
        <v>12891</v>
      </c>
      <c r="D1261" t="s">
        <v>613</v>
      </c>
      <c r="E1261" t="s">
        <v>6750</v>
      </c>
      <c r="F1261">
        <v>0.22</v>
      </c>
      <c r="H1261" t="s">
        <v>6635</v>
      </c>
      <c r="L1261" t="s">
        <v>1433</v>
      </c>
      <c r="M1261" t="s">
        <v>2099</v>
      </c>
      <c r="N1261" t="s">
        <v>2396</v>
      </c>
      <c r="O1261">
        <v>100</v>
      </c>
    </row>
    <row r="1262" spans="2:15" x14ac:dyDescent="0.2">
      <c r="B1262" t="s">
        <v>1433</v>
      </c>
      <c r="C1262" t="s">
        <v>12891</v>
      </c>
      <c r="D1262" t="s">
        <v>613</v>
      </c>
      <c r="E1262" t="s">
        <v>6751</v>
      </c>
      <c r="F1262">
        <v>0.23</v>
      </c>
      <c r="H1262" t="s">
        <v>6752</v>
      </c>
      <c r="L1262" t="s">
        <v>1433</v>
      </c>
      <c r="M1262" t="s">
        <v>2397</v>
      </c>
      <c r="N1262" t="s">
        <v>2396</v>
      </c>
      <c r="O1262">
        <v>20</v>
      </c>
    </row>
    <row r="1263" spans="2:15" x14ac:dyDescent="0.2">
      <c r="B1263" t="s">
        <v>1433</v>
      </c>
      <c r="C1263" t="s">
        <v>12891</v>
      </c>
      <c r="D1263" t="s">
        <v>1137</v>
      </c>
      <c r="E1263" t="s">
        <v>6753</v>
      </c>
      <c r="F1263">
        <v>336</v>
      </c>
      <c r="G1263" t="s">
        <v>3613</v>
      </c>
      <c r="L1263" t="s">
        <v>1433</v>
      </c>
      <c r="M1263" t="s">
        <v>2398</v>
      </c>
      <c r="N1263" t="s">
        <v>2399</v>
      </c>
      <c r="O1263">
        <v>2000</v>
      </c>
    </row>
    <row r="1264" spans="2:15" x14ac:dyDescent="0.2">
      <c r="B1264" t="s">
        <v>1433</v>
      </c>
      <c r="C1264" t="s">
        <v>12891</v>
      </c>
      <c r="D1264" t="s">
        <v>554</v>
      </c>
      <c r="E1264" t="s">
        <v>6754</v>
      </c>
      <c r="F1264">
        <v>1164</v>
      </c>
      <c r="G1264" t="s">
        <v>3631</v>
      </c>
      <c r="L1264" t="s">
        <v>1433</v>
      </c>
      <c r="M1264" t="s">
        <v>2400</v>
      </c>
      <c r="N1264" t="s">
        <v>2399</v>
      </c>
      <c r="O1264">
        <v>4000</v>
      </c>
    </row>
    <row r="1265" spans="2:15" x14ac:dyDescent="0.2">
      <c r="B1265" t="s">
        <v>1433</v>
      </c>
      <c r="C1265" t="s">
        <v>12891</v>
      </c>
      <c r="D1265" t="s">
        <v>554</v>
      </c>
      <c r="E1265" t="s">
        <v>6755</v>
      </c>
      <c r="F1265">
        <v>3903</v>
      </c>
      <c r="G1265" t="s">
        <v>2567</v>
      </c>
      <c r="L1265" t="s">
        <v>1433</v>
      </c>
      <c r="M1265" t="s">
        <v>2401</v>
      </c>
      <c r="N1265" t="s">
        <v>2399</v>
      </c>
      <c r="O1265">
        <v>2000</v>
      </c>
    </row>
    <row r="1266" spans="2:15" x14ac:dyDescent="0.2">
      <c r="B1266" t="s">
        <v>1433</v>
      </c>
      <c r="C1266" t="s">
        <v>12891</v>
      </c>
      <c r="D1266" t="s">
        <v>554</v>
      </c>
      <c r="E1266" t="s">
        <v>6756</v>
      </c>
      <c r="F1266">
        <v>3415.13</v>
      </c>
      <c r="G1266" t="s">
        <v>2567</v>
      </c>
      <c r="L1266" t="s">
        <v>1433</v>
      </c>
      <c r="M1266" t="s">
        <v>2402</v>
      </c>
      <c r="N1266" t="s">
        <v>2399</v>
      </c>
      <c r="O1266">
        <v>4096</v>
      </c>
    </row>
    <row r="1267" spans="2:15" x14ac:dyDescent="0.2">
      <c r="B1267" t="s">
        <v>1433</v>
      </c>
      <c r="C1267" t="s">
        <v>12891</v>
      </c>
      <c r="D1267" t="s">
        <v>554</v>
      </c>
      <c r="E1267" t="s">
        <v>6757</v>
      </c>
      <c r="F1267">
        <v>4915.2</v>
      </c>
      <c r="G1267" t="s">
        <v>2568</v>
      </c>
      <c r="L1267" t="s">
        <v>1433</v>
      </c>
      <c r="M1267" t="s">
        <v>2403</v>
      </c>
      <c r="N1267" t="s">
        <v>2404</v>
      </c>
      <c r="O1267">
        <v>1</v>
      </c>
    </row>
    <row r="1268" spans="2:15" x14ac:dyDescent="0.2">
      <c r="B1268" t="s">
        <v>1433</v>
      </c>
      <c r="C1268" t="s">
        <v>12891</v>
      </c>
      <c r="D1268" t="s">
        <v>554</v>
      </c>
      <c r="E1268" t="s">
        <v>6758</v>
      </c>
      <c r="F1268">
        <v>4300.8</v>
      </c>
      <c r="G1268" t="s">
        <v>2568</v>
      </c>
      <c r="L1268" t="s">
        <v>1433</v>
      </c>
      <c r="M1268" t="s">
        <v>2405</v>
      </c>
      <c r="N1268" t="s">
        <v>2404</v>
      </c>
      <c r="O1268">
        <v>1</v>
      </c>
    </row>
    <row r="1269" spans="2:15" x14ac:dyDescent="0.2">
      <c r="B1269" t="s">
        <v>1433</v>
      </c>
      <c r="C1269" t="s">
        <v>12891</v>
      </c>
      <c r="D1269" t="s">
        <v>1137</v>
      </c>
      <c r="E1269" t="s">
        <v>6759</v>
      </c>
      <c r="F1269">
        <v>880</v>
      </c>
      <c r="G1269" t="s">
        <v>3653</v>
      </c>
      <c r="L1269" t="s">
        <v>1433</v>
      </c>
      <c r="M1269" t="s">
        <v>2406</v>
      </c>
      <c r="N1269" t="s">
        <v>2404</v>
      </c>
      <c r="O1269">
        <v>1</v>
      </c>
    </row>
    <row r="1270" spans="2:15" x14ac:dyDescent="0.2">
      <c r="B1270" t="s">
        <v>1433</v>
      </c>
      <c r="C1270" t="s">
        <v>12891</v>
      </c>
      <c r="D1270" t="s">
        <v>1137</v>
      </c>
      <c r="E1270" t="s">
        <v>6760</v>
      </c>
      <c r="F1270">
        <v>380</v>
      </c>
      <c r="G1270" t="s">
        <v>3655</v>
      </c>
      <c r="L1270" t="s">
        <v>1433</v>
      </c>
      <c r="M1270" t="s">
        <v>2407</v>
      </c>
      <c r="N1270" t="s">
        <v>2404</v>
      </c>
      <c r="O1270">
        <v>1</v>
      </c>
    </row>
    <row r="1271" spans="2:15" x14ac:dyDescent="0.2">
      <c r="B1271" t="s">
        <v>1433</v>
      </c>
      <c r="C1271" t="s">
        <v>12891</v>
      </c>
      <c r="D1271" t="s">
        <v>1137</v>
      </c>
      <c r="E1271" t="s">
        <v>6761</v>
      </c>
      <c r="F1271">
        <v>1032</v>
      </c>
      <c r="G1271" t="s">
        <v>3656</v>
      </c>
      <c r="L1271" t="s">
        <v>1433</v>
      </c>
      <c r="M1271" t="s">
        <v>2408</v>
      </c>
      <c r="N1271" t="s">
        <v>2404</v>
      </c>
      <c r="O1271">
        <v>2</v>
      </c>
    </row>
    <row r="1272" spans="2:15" x14ac:dyDescent="0.2">
      <c r="B1272" t="s">
        <v>1433</v>
      </c>
      <c r="C1272" t="s">
        <v>12891</v>
      </c>
      <c r="D1272" t="s">
        <v>1137</v>
      </c>
      <c r="E1272" t="s">
        <v>6762</v>
      </c>
      <c r="F1272">
        <v>1320</v>
      </c>
      <c r="G1272" t="s">
        <v>3680</v>
      </c>
      <c r="L1272" t="s">
        <v>1433</v>
      </c>
      <c r="M1272" t="s">
        <v>1396</v>
      </c>
      <c r="N1272" t="s">
        <v>2409</v>
      </c>
      <c r="O1272">
        <v>48</v>
      </c>
    </row>
    <row r="1273" spans="2:15" x14ac:dyDescent="0.2">
      <c r="B1273" t="s">
        <v>1433</v>
      </c>
      <c r="C1273" t="s">
        <v>12891</v>
      </c>
      <c r="D1273" t="s">
        <v>554</v>
      </c>
      <c r="E1273" t="s">
        <v>6763</v>
      </c>
      <c r="F1273">
        <v>1164</v>
      </c>
      <c r="G1273" t="s">
        <v>3692</v>
      </c>
      <c r="L1273" t="s">
        <v>1433</v>
      </c>
      <c r="M1273" t="s">
        <v>2410</v>
      </c>
      <c r="N1273" t="s">
        <v>2411</v>
      </c>
      <c r="O1273">
        <v>15</v>
      </c>
    </row>
    <row r="1274" spans="2:15" x14ac:dyDescent="0.2">
      <c r="B1274" t="s">
        <v>1433</v>
      </c>
      <c r="C1274" t="s">
        <v>12891</v>
      </c>
      <c r="D1274" t="s">
        <v>1137</v>
      </c>
      <c r="E1274" t="s">
        <v>6764</v>
      </c>
      <c r="F1274">
        <v>2972</v>
      </c>
      <c r="G1274" t="s">
        <v>3725</v>
      </c>
      <c r="L1274" t="s">
        <v>1433</v>
      </c>
      <c r="M1274" t="s">
        <v>2412</v>
      </c>
      <c r="N1274" t="s">
        <v>2413</v>
      </c>
      <c r="O1274">
        <v>0</v>
      </c>
    </row>
    <row r="1275" spans="2:15" x14ac:dyDescent="0.2">
      <c r="B1275" t="s">
        <v>1433</v>
      </c>
      <c r="C1275" t="s">
        <v>12891</v>
      </c>
      <c r="D1275" t="s">
        <v>1137</v>
      </c>
      <c r="E1275" t="s">
        <v>6765</v>
      </c>
      <c r="F1275">
        <v>2320</v>
      </c>
      <c r="G1275" t="s">
        <v>3765</v>
      </c>
      <c r="L1275" t="s">
        <v>1433</v>
      </c>
      <c r="M1275" t="s">
        <v>2242</v>
      </c>
      <c r="N1275" t="s">
        <v>2414</v>
      </c>
      <c r="O1275">
        <v>8</v>
      </c>
    </row>
    <row r="1276" spans="2:15" x14ac:dyDescent="0.2">
      <c r="B1276" t="s">
        <v>1433</v>
      </c>
      <c r="C1276" t="s">
        <v>12891</v>
      </c>
      <c r="D1276" t="s">
        <v>613</v>
      </c>
      <c r="E1276" t="s">
        <v>6766</v>
      </c>
      <c r="F1276">
        <v>461.2</v>
      </c>
      <c r="G1276" t="s">
        <v>6767</v>
      </c>
      <c r="L1276" t="s">
        <v>1433</v>
      </c>
      <c r="M1276" t="s">
        <v>1577</v>
      </c>
      <c r="N1276" t="s">
        <v>2415</v>
      </c>
      <c r="O1276">
        <v>2</v>
      </c>
    </row>
    <row r="1277" spans="2:15" x14ac:dyDescent="0.2">
      <c r="B1277" t="s">
        <v>1433</v>
      </c>
      <c r="C1277" t="s">
        <v>12891</v>
      </c>
      <c r="D1277" t="s">
        <v>1137</v>
      </c>
      <c r="E1277" t="s">
        <v>6768</v>
      </c>
      <c r="F1277">
        <v>167</v>
      </c>
      <c r="G1277" t="s">
        <v>3792</v>
      </c>
      <c r="L1277" t="s">
        <v>1433</v>
      </c>
      <c r="M1277" t="s">
        <v>1927</v>
      </c>
      <c r="N1277" t="s">
        <v>2415</v>
      </c>
      <c r="O1277">
        <v>18</v>
      </c>
    </row>
    <row r="1278" spans="2:15" x14ac:dyDescent="0.2">
      <c r="B1278" t="s">
        <v>1433</v>
      </c>
      <c r="C1278" t="s">
        <v>12891</v>
      </c>
      <c r="D1278" t="s">
        <v>1137</v>
      </c>
      <c r="E1278" t="s">
        <v>6769</v>
      </c>
      <c r="F1278">
        <v>248</v>
      </c>
      <c r="G1278" t="s">
        <v>3795</v>
      </c>
      <c r="L1278" t="s">
        <v>1433</v>
      </c>
      <c r="M1278" t="s">
        <v>1929</v>
      </c>
      <c r="N1278" t="s">
        <v>2415</v>
      </c>
      <c r="O1278">
        <v>18</v>
      </c>
    </row>
    <row r="1279" spans="2:15" x14ac:dyDescent="0.2">
      <c r="B1279" t="s">
        <v>1433</v>
      </c>
      <c r="C1279" t="s">
        <v>12891</v>
      </c>
      <c r="D1279" t="s">
        <v>1137</v>
      </c>
      <c r="E1279" t="s">
        <v>6770</v>
      </c>
      <c r="F1279">
        <v>304</v>
      </c>
      <c r="G1279" t="s">
        <v>3800</v>
      </c>
      <c r="L1279" t="s">
        <v>1433</v>
      </c>
      <c r="M1279" t="s">
        <v>1577</v>
      </c>
      <c r="N1279" t="s">
        <v>2416</v>
      </c>
      <c r="O1279">
        <v>6</v>
      </c>
    </row>
    <row r="1280" spans="2:15" x14ac:dyDescent="0.2">
      <c r="B1280" t="s">
        <v>1433</v>
      </c>
      <c r="C1280" t="s">
        <v>12891</v>
      </c>
      <c r="D1280" t="s">
        <v>1137</v>
      </c>
      <c r="E1280" t="s">
        <v>6771</v>
      </c>
      <c r="F1280">
        <v>886</v>
      </c>
      <c r="G1280" t="s">
        <v>3805</v>
      </c>
      <c r="L1280" t="s">
        <v>1433</v>
      </c>
      <c r="M1280" t="s">
        <v>1578</v>
      </c>
      <c r="N1280" t="s">
        <v>2416</v>
      </c>
      <c r="O1280">
        <v>1</v>
      </c>
    </row>
    <row r="1281" spans="2:15" x14ac:dyDescent="0.2">
      <c r="B1281" t="s">
        <v>1433</v>
      </c>
      <c r="C1281" t="s">
        <v>12891</v>
      </c>
      <c r="D1281" t="s">
        <v>1137</v>
      </c>
      <c r="E1281" t="s">
        <v>6772</v>
      </c>
      <c r="F1281">
        <v>642</v>
      </c>
      <c r="G1281" t="s">
        <v>3836</v>
      </c>
      <c r="L1281" t="s">
        <v>1433</v>
      </c>
      <c r="M1281" t="s">
        <v>1394</v>
      </c>
      <c r="N1281" t="s">
        <v>2417</v>
      </c>
      <c r="O1281">
        <v>1</v>
      </c>
    </row>
    <row r="1282" spans="2:15" x14ac:dyDescent="0.2">
      <c r="B1282" t="s">
        <v>1433</v>
      </c>
      <c r="C1282" t="s">
        <v>12891</v>
      </c>
      <c r="D1282" t="s">
        <v>1137</v>
      </c>
      <c r="E1282" t="s">
        <v>6773</v>
      </c>
      <c r="F1282">
        <v>642</v>
      </c>
      <c r="G1282" t="s">
        <v>3838</v>
      </c>
      <c r="L1282" t="s">
        <v>1433</v>
      </c>
      <c r="M1282" t="s">
        <v>2307</v>
      </c>
      <c r="N1282" t="s">
        <v>2418</v>
      </c>
      <c r="O1282">
        <v>200</v>
      </c>
    </row>
    <row r="1283" spans="2:15" x14ac:dyDescent="0.2">
      <c r="B1283" t="s">
        <v>1433</v>
      </c>
      <c r="C1283" t="s">
        <v>12891</v>
      </c>
      <c r="D1283" t="s">
        <v>1137</v>
      </c>
      <c r="E1283" t="s">
        <v>6774</v>
      </c>
      <c r="F1283">
        <v>576</v>
      </c>
      <c r="G1283" t="s">
        <v>3889</v>
      </c>
      <c r="L1283" t="s">
        <v>1433</v>
      </c>
      <c r="M1283" t="s">
        <v>2089</v>
      </c>
      <c r="N1283" t="s">
        <v>2418</v>
      </c>
      <c r="O1283">
        <v>500</v>
      </c>
    </row>
    <row r="1284" spans="2:15" x14ac:dyDescent="0.2">
      <c r="B1284" t="s">
        <v>1433</v>
      </c>
      <c r="C1284" t="s">
        <v>12891</v>
      </c>
      <c r="D1284" t="s">
        <v>1137</v>
      </c>
      <c r="E1284" t="s">
        <v>6775</v>
      </c>
      <c r="F1284">
        <v>880</v>
      </c>
      <c r="G1284" t="s">
        <v>3891</v>
      </c>
      <c r="L1284" t="s">
        <v>1433</v>
      </c>
      <c r="M1284" t="s">
        <v>2311</v>
      </c>
      <c r="N1284" t="s">
        <v>2418</v>
      </c>
      <c r="O1284">
        <v>500</v>
      </c>
    </row>
    <row r="1285" spans="2:15" x14ac:dyDescent="0.2">
      <c r="B1285" t="s">
        <v>1433</v>
      </c>
      <c r="C1285" t="s">
        <v>12891</v>
      </c>
      <c r="D1285" t="s">
        <v>1137</v>
      </c>
      <c r="E1285" t="s">
        <v>6776</v>
      </c>
      <c r="F1285">
        <v>3708.72</v>
      </c>
      <c r="G1285" t="s">
        <v>3930</v>
      </c>
      <c r="L1285" t="s">
        <v>1433</v>
      </c>
      <c r="M1285" t="s">
        <v>2313</v>
      </c>
      <c r="N1285" t="s">
        <v>2418</v>
      </c>
      <c r="O1285">
        <v>150</v>
      </c>
    </row>
    <row r="1286" spans="2:15" x14ac:dyDescent="0.2">
      <c r="B1286" t="s">
        <v>1433</v>
      </c>
      <c r="C1286" t="s">
        <v>12891</v>
      </c>
      <c r="D1286" t="s">
        <v>1137</v>
      </c>
      <c r="E1286" t="s">
        <v>6777</v>
      </c>
      <c r="F1286">
        <v>736</v>
      </c>
      <c r="G1286" t="s">
        <v>3943</v>
      </c>
      <c r="L1286" t="s">
        <v>1433</v>
      </c>
      <c r="M1286" t="s">
        <v>2315</v>
      </c>
      <c r="N1286" t="s">
        <v>2418</v>
      </c>
      <c r="O1286">
        <v>600</v>
      </c>
    </row>
    <row r="1287" spans="2:15" x14ac:dyDescent="0.2">
      <c r="B1287" t="s">
        <v>1433</v>
      </c>
      <c r="C1287" t="s">
        <v>12891</v>
      </c>
      <c r="D1287" t="s">
        <v>1137</v>
      </c>
      <c r="E1287" t="s">
        <v>6778</v>
      </c>
      <c r="F1287">
        <v>587</v>
      </c>
      <c r="G1287" t="s">
        <v>3668</v>
      </c>
      <c r="L1287" t="s">
        <v>1433</v>
      </c>
      <c r="M1287" t="s">
        <v>2092</v>
      </c>
      <c r="N1287" t="s">
        <v>2419</v>
      </c>
      <c r="O1287">
        <v>500</v>
      </c>
    </row>
    <row r="1288" spans="2:15" x14ac:dyDescent="0.2">
      <c r="B1288" t="s">
        <v>1433</v>
      </c>
      <c r="C1288" t="s">
        <v>12891</v>
      </c>
      <c r="D1288" t="s">
        <v>617</v>
      </c>
      <c r="E1288" t="s">
        <v>6779</v>
      </c>
      <c r="F1288">
        <v>760</v>
      </c>
      <c r="G1288" t="s">
        <v>1439</v>
      </c>
      <c r="L1288" t="s">
        <v>1433</v>
      </c>
      <c r="M1288" t="s">
        <v>1362</v>
      </c>
      <c r="N1288" t="s">
        <v>2420</v>
      </c>
      <c r="O1288">
        <v>1</v>
      </c>
    </row>
    <row r="1289" spans="2:15" x14ac:dyDescent="0.2">
      <c r="B1289" t="s">
        <v>1433</v>
      </c>
      <c r="C1289" t="s">
        <v>12891</v>
      </c>
      <c r="D1289" t="s">
        <v>613</v>
      </c>
      <c r="E1289" t="s">
        <v>6780</v>
      </c>
      <c r="F1289">
        <v>2992</v>
      </c>
      <c r="G1289" t="s">
        <v>3972</v>
      </c>
      <c r="L1289" t="s">
        <v>1433</v>
      </c>
      <c r="M1289" t="s">
        <v>2421</v>
      </c>
      <c r="N1289" t="s">
        <v>2422</v>
      </c>
      <c r="O1289">
        <v>1</v>
      </c>
    </row>
    <row r="1290" spans="2:15" x14ac:dyDescent="0.2">
      <c r="B1290" t="s">
        <v>1433</v>
      </c>
      <c r="C1290" t="s">
        <v>12891</v>
      </c>
      <c r="D1290" t="s">
        <v>613</v>
      </c>
      <c r="E1290" t="s">
        <v>6781</v>
      </c>
      <c r="F1290">
        <v>7.32</v>
      </c>
      <c r="H1290" t="s">
        <v>3688</v>
      </c>
      <c r="L1290" t="s">
        <v>1433</v>
      </c>
      <c r="M1290" t="s">
        <v>2423</v>
      </c>
      <c r="N1290" t="s">
        <v>2424</v>
      </c>
      <c r="O1290">
        <v>60</v>
      </c>
    </row>
    <row r="1291" spans="2:15" x14ac:dyDescent="0.2">
      <c r="B1291" t="s">
        <v>1433</v>
      </c>
      <c r="C1291" t="s">
        <v>12891</v>
      </c>
      <c r="D1291" t="s">
        <v>613</v>
      </c>
      <c r="E1291" t="s">
        <v>6782</v>
      </c>
      <c r="F1291">
        <v>3.66</v>
      </c>
      <c r="H1291" t="s">
        <v>3688</v>
      </c>
      <c r="L1291" t="s">
        <v>1433</v>
      </c>
      <c r="M1291" t="s">
        <v>1397</v>
      </c>
      <c r="N1291" t="s">
        <v>2425</v>
      </c>
      <c r="O1291">
        <v>1</v>
      </c>
    </row>
    <row r="1292" spans="2:15" x14ac:dyDescent="0.2">
      <c r="B1292" t="s">
        <v>1433</v>
      </c>
      <c r="C1292" t="s">
        <v>12891</v>
      </c>
      <c r="D1292" t="s">
        <v>613</v>
      </c>
      <c r="E1292" t="s">
        <v>6783</v>
      </c>
      <c r="F1292">
        <v>44.32</v>
      </c>
      <c r="H1292" t="s">
        <v>1300</v>
      </c>
      <c r="L1292" t="s">
        <v>1433</v>
      </c>
      <c r="M1292" t="s">
        <v>1398</v>
      </c>
      <c r="N1292" t="s">
        <v>2425</v>
      </c>
      <c r="O1292">
        <v>1</v>
      </c>
    </row>
    <row r="1293" spans="2:15" x14ac:dyDescent="0.2">
      <c r="B1293" t="s">
        <v>1433</v>
      </c>
      <c r="C1293" t="s">
        <v>12891</v>
      </c>
      <c r="D1293" t="s">
        <v>613</v>
      </c>
      <c r="E1293" t="s">
        <v>6784</v>
      </c>
      <c r="F1293">
        <v>30.1</v>
      </c>
      <c r="H1293" t="s">
        <v>1245</v>
      </c>
      <c r="L1293" t="s">
        <v>1433</v>
      </c>
      <c r="M1293" t="s">
        <v>2426</v>
      </c>
      <c r="N1293" t="s">
        <v>2332</v>
      </c>
      <c r="O1293">
        <v>2</v>
      </c>
    </row>
    <row r="1294" spans="2:15" x14ac:dyDescent="0.2">
      <c r="B1294" t="s">
        <v>1433</v>
      </c>
      <c r="C1294" t="s">
        <v>12891</v>
      </c>
      <c r="D1294" t="s">
        <v>613</v>
      </c>
      <c r="E1294" t="s">
        <v>6785</v>
      </c>
      <c r="F1294">
        <v>490</v>
      </c>
      <c r="H1294" t="s">
        <v>4014</v>
      </c>
      <c r="L1294" t="s">
        <v>1433</v>
      </c>
      <c r="M1294" t="s">
        <v>2427</v>
      </c>
      <c r="N1294" t="s">
        <v>2428</v>
      </c>
      <c r="O1294">
        <v>2</v>
      </c>
    </row>
    <row r="1295" spans="2:15" x14ac:dyDescent="0.2">
      <c r="B1295" t="s">
        <v>1433</v>
      </c>
      <c r="C1295" t="s">
        <v>12891</v>
      </c>
      <c r="D1295" t="s">
        <v>613</v>
      </c>
      <c r="E1295" t="s">
        <v>6786</v>
      </c>
      <c r="F1295">
        <v>436</v>
      </c>
      <c r="H1295" t="s">
        <v>4027</v>
      </c>
      <c r="L1295" t="s">
        <v>1433</v>
      </c>
      <c r="M1295" t="s">
        <v>2030</v>
      </c>
      <c r="N1295" t="s">
        <v>2429</v>
      </c>
      <c r="O1295">
        <v>3</v>
      </c>
    </row>
    <row r="1296" spans="2:15" x14ac:dyDescent="0.2">
      <c r="B1296" t="s">
        <v>1433</v>
      </c>
      <c r="C1296" t="s">
        <v>12891</v>
      </c>
      <c r="D1296" t="s">
        <v>613</v>
      </c>
      <c r="E1296" t="s">
        <v>6787</v>
      </c>
      <c r="F1296">
        <v>1.04</v>
      </c>
      <c r="H1296" t="s">
        <v>4006</v>
      </c>
      <c r="L1296" t="s">
        <v>1433</v>
      </c>
      <c r="M1296" t="s">
        <v>2430</v>
      </c>
      <c r="N1296" t="s">
        <v>2431</v>
      </c>
      <c r="O1296">
        <v>7</v>
      </c>
    </row>
    <row r="1297" spans="2:15" x14ac:dyDescent="0.2">
      <c r="B1297" t="s">
        <v>1433</v>
      </c>
      <c r="C1297" t="s">
        <v>12891</v>
      </c>
      <c r="D1297" t="s">
        <v>613</v>
      </c>
      <c r="E1297" t="s">
        <v>6788</v>
      </c>
      <c r="F1297">
        <v>5.26</v>
      </c>
      <c r="H1297" t="s">
        <v>1617</v>
      </c>
      <c r="L1297" t="s">
        <v>1433</v>
      </c>
      <c r="M1297" t="s">
        <v>1707</v>
      </c>
      <c r="N1297" t="s">
        <v>2432</v>
      </c>
      <c r="O1297">
        <v>21</v>
      </c>
    </row>
    <row r="1298" spans="2:15" x14ac:dyDescent="0.2">
      <c r="B1298" t="s">
        <v>1433</v>
      </c>
      <c r="C1298" t="s">
        <v>12891</v>
      </c>
      <c r="D1298" t="s">
        <v>613</v>
      </c>
      <c r="E1298" t="s">
        <v>6789</v>
      </c>
      <c r="F1298">
        <v>0.9</v>
      </c>
      <c r="H1298" t="s">
        <v>1536</v>
      </c>
      <c r="L1298" t="s">
        <v>1433</v>
      </c>
      <c r="M1298" t="s">
        <v>1706</v>
      </c>
      <c r="N1298" t="s">
        <v>2432</v>
      </c>
      <c r="O1298">
        <v>21</v>
      </c>
    </row>
    <row r="1299" spans="2:15" x14ac:dyDescent="0.2">
      <c r="B1299" t="s">
        <v>1433</v>
      </c>
      <c r="C1299" t="s">
        <v>12891</v>
      </c>
      <c r="D1299" t="s">
        <v>613</v>
      </c>
      <c r="E1299" t="s">
        <v>6790</v>
      </c>
      <c r="F1299">
        <v>45.46</v>
      </c>
      <c r="H1299" t="s">
        <v>3551</v>
      </c>
      <c r="L1299" t="s">
        <v>1433</v>
      </c>
      <c r="M1299" t="s">
        <v>1593</v>
      </c>
      <c r="N1299" t="s">
        <v>2433</v>
      </c>
      <c r="O1299">
        <v>100</v>
      </c>
    </row>
    <row r="1300" spans="2:15" x14ac:dyDescent="0.2">
      <c r="B1300" t="s">
        <v>1433</v>
      </c>
      <c r="C1300" t="s">
        <v>12891</v>
      </c>
      <c r="D1300" t="s">
        <v>613</v>
      </c>
      <c r="E1300" t="s">
        <v>6791</v>
      </c>
      <c r="F1300">
        <v>490</v>
      </c>
      <c r="H1300" t="s">
        <v>4014</v>
      </c>
      <c r="L1300" t="s">
        <v>1433</v>
      </c>
      <c r="M1300" t="s">
        <v>1594</v>
      </c>
      <c r="N1300" t="s">
        <v>2433</v>
      </c>
      <c r="O1300">
        <v>100</v>
      </c>
    </row>
    <row r="1301" spans="2:15" x14ac:dyDescent="0.2">
      <c r="B1301" t="s">
        <v>1433</v>
      </c>
      <c r="C1301" t="s">
        <v>12891</v>
      </c>
      <c r="D1301" t="s">
        <v>613</v>
      </c>
      <c r="E1301" t="s">
        <v>6792</v>
      </c>
      <c r="F1301">
        <v>436</v>
      </c>
      <c r="H1301" t="s">
        <v>4027</v>
      </c>
      <c r="L1301" t="s">
        <v>1433</v>
      </c>
      <c r="M1301" t="s">
        <v>2283</v>
      </c>
      <c r="N1301" t="s">
        <v>2433</v>
      </c>
      <c r="O1301">
        <v>100</v>
      </c>
    </row>
    <row r="1302" spans="2:15" x14ac:dyDescent="0.2">
      <c r="B1302" t="s">
        <v>1433</v>
      </c>
      <c r="C1302" t="s">
        <v>12891</v>
      </c>
      <c r="D1302" t="s">
        <v>613</v>
      </c>
      <c r="E1302" t="s">
        <v>6793</v>
      </c>
      <c r="F1302">
        <v>5.26</v>
      </c>
      <c r="H1302" t="s">
        <v>1617</v>
      </c>
      <c r="L1302" t="s">
        <v>1433</v>
      </c>
      <c r="M1302" t="s">
        <v>2434</v>
      </c>
      <c r="N1302" t="s">
        <v>2435</v>
      </c>
      <c r="O1302">
        <v>4</v>
      </c>
    </row>
    <row r="1303" spans="2:15" x14ac:dyDescent="0.2">
      <c r="B1303" t="s">
        <v>1433</v>
      </c>
      <c r="C1303" t="s">
        <v>12891</v>
      </c>
      <c r="D1303" t="s">
        <v>1137</v>
      </c>
      <c r="E1303" t="s">
        <v>6794</v>
      </c>
      <c r="F1303">
        <v>474</v>
      </c>
      <c r="G1303" t="s">
        <v>4034</v>
      </c>
      <c r="L1303" t="s">
        <v>1433</v>
      </c>
      <c r="M1303" t="s">
        <v>1850</v>
      </c>
      <c r="N1303" t="s">
        <v>2435</v>
      </c>
      <c r="O1303">
        <v>14</v>
      </c>
    </row>
    <row r="1304" spans="2:15" x14ac:dyDescent="0.2">
      <c r="B1304" t="s">
        <v>1433</v>
      </c>
      <c r="C1304" t="s">
        <v>12891</v>
      </c>
      <c r="D1304" t="s">
        <v>554</v>
      </c>
      <c r="E1304" t="s">
        <v>6795</v>
      </c>
      <c r="F1304">
        <v>432</v>
      </c>
      <c r="G1304" t="s">
        <v>4036</v>
      </c>
      <c r="L1304" t="s">
        <v>1433</v>
      </c>
      <c r="M1304" t="s">
        <v>2436</v>
      </c>
      <c r="N1304" t="s">
        <v>2396</v>
      </c>
      <c r="O1304">
        <v>6</v>
      </c>
    </row>
    <row r="1305" spans="2:15" x14ac:dyDescent="0.2">
      <c r="B1305" t="s">
        <v>1433</v>
      </c>
      <c r="C1305" t="s">
        <v>12891</v>
      </c>
      <c r="D1305" t="s">
        <v>554</v>
      </c>
      <c r="E1305" t="s">
        <v>6796</v>
      </c>
      <c r="F1305">
        <v>1331.4</v>
      </c>
      <c r="H1305" t="s">
        <v>4040</v>
      </c>
      <c r="L1305" t="s">
        <v>1433</v>
      </c>
      <c r="M1305" t="s">
        <v>2437</v>
      </c>
      <c r="N1305" t="s">
        <v>2396</v>
      </c>
      <c r="O1305">
        <v>6</v>
      </c>
    </row>
    <row r="1306" spans="2:15" x14ac:dyDescent="0.2">
      <c r="B1306" t="s">
        <v>1433</v>
      </c>
      <c r="C1306" t="s">
        <v>12891</v>
      </c>
      <c r="D1306" t="s">
        <v>554</v>
      </c>
      <c r="E1306" t="s">
        <v>6797</v>
      </c>
      <c r="F1306">
        <v>462</v>
      </c>
      <c r="H1306" t="s">
        <v>4042</v>
      </c>
      <c r="L1306" t="s">
        <v>1433</v>
      </c>
      <c r="M1306" t="s">
        <v>2438</v>
      </c>
      <c r="N1306" t="s">
        <v>2396</v>
      </c>
      <c r="O1306">
        <v>6</v>
      </c>
    </row>
    <row r="1307" spans="2:15" x14ac:dyDescent="0.2">
      <c r="B1307" t="s">
        <v>1433</v>
      </c>
      <c r="C1307" t="s">
        <v>12891</v>
      </c>
      <c r="D1307" t="s">
        <v>613</v>
      </c>
      <c r="E1307" t="s">
        <v>6798</v>
      </c>
      <c r="F1307">
        <v>1167.44</v>
      </c>
      <c r="H1307" t="s">
        <v>2806</v>
      </c>
      <c r="L1307" t="s">
        <v>1433</v>
      </c>
      <c r="M1307" t="s">
        <v>2439</v>
      </c>
      <c r="N1307" t="s">
        <v>2440</v>
      </c>
      <c r="O1307">
        <v>30</v>
      </c>
    </row>
    <row r="1308" spans="2:15" x14ac:dyDescent="0.2">
      <c r="B1308" t="s">
        <v>1433</v>
      </c>
      <c r="C1308" t="s">
        <v>12891</v>
      </c>
      <c r="D1308" t="s">
        <v>613</v>
      </c>
      <c r="E1308" t="s">
        <v>6799</v>
      </c>
      <c r="F1308">
        <v>747.9</v>
      </c>
      <c r="H1308" t="s">
        <v>2806</v>
      </c>
      <c r="L1308" t="s">
        <v>1433</v>
      </c>
      <c r="M1308" t="s">
        <v>2441</v>
      </c>
      <c r="N1308" t="s">
        <v>2442</v>
      </c>
      <c r="O1308">
        <v>4</v>
      </c>
    </row>
    <row r="1309" spans="2:15" x14ac:dyDescent="0.2">
      <c r="B1309" t="s">
        <v>1433</v>
      </c>
      <c r="C1309" t="s">
        <v>12891</v>
      </c>
      <c r="D1309" t="s">
        <v>613</v>
      </c>
      <c r="E1309" t="s">
        <v>6800</v>
      </c>
      <c r="F1309">
        <v>950</v>
      </c>
      <c r="G1309" t="s">
        <v>4073</v>
      </c>
      <c r="L1309" t="s">
        <v>1433</v>
      </c>
      <c r="M1309" t="s">
        <v>2443</v>
      </c>
      <c r="N1309" t="s">
        <v>2442</v>
      </c>
      <c r="O1309">
        <v>4</v>
      </c>
    </row>
    <row r="1310" spans="2:15" x14ac:dyDescent="0.2">
      <c r="B1310" t="s">
        <v>1433</v>
      </c>
      <c r="C1310" t="s">
        <v>12891</v>
      </c>
      <c r="D1310" t="s">
        <v>613</v>
      </c>
      <c r="E1310" t="s">
        <v>6801</v>
      </c>
      <c r="F1310">
        <v>70.2</v>
      </c>
      <c r="H1310" t="s">
        <v>4070</v>
      </c>
      <c r="L1310" t="s">
        <v>1433</v>
      </c>
      <c r="M1310" t="s">
        <v>2444</v>
      </c>
      <c r="N1310" t="s">
        <v>2445</v>
      </c>
      <c r="O1310">
        <v>150</v>
      </c>
    </row>
    <row r="1311" spans="2:15" x14ac:dyDescent="0.2">
      <c r="B1311" t="s">
        <v>1433</v>
      </c>
      <c r="C1311" t="s">
        <v>12891</v>
      </c>
      <c r="D1311" t="s">
        <v>613</v>
      </c>
      <c r="E1311" t="s">
        <v>6802</v>
      </c>
      <c r="F1311">
        <v>73.12</v>
      </c>
      <c r="H1311" t="s">
        <v>2553</v>
      </c>
      <c r="L1311" t="s">
        <v>1433</v>
      </c>
      <c r="M1311" t="s">
        <v>1342</v>
      </c>
      <c r="N1311" t="s">
        <v>2446</v>
      </c>
      <c r="O1311">
        <v>1</v>
      </c>
    </row>
    <row r="1312" spans="2:15" x14ac:dyDescent="0.2">
      <c r="B1312" t="s">
        <v>1433</v>
      </c>
      <c r="C1312" t="s">
        <v>12891</v>
      </c>
      <c r="D1312" t="s">
        <v>613</v>
      </c>
      <c r="E1312" t="s">
        <v>6803</v>
      </c>
      <c r="F1312">
        <v>475.86</v>
      </c>
      <c r="H1312" t="s">
        <v>2555</v>
      </c>
      <c r="L1312" t="s">
        <v>1433</v>
      </c>
      <c r="M1312" t="s">
        <v>1366</v>
      </c>
      <c r="N1312" t="s">
        <v>2446</v>
      </c>
      <c r="O1312">
        <v>1</v>
      </c>
    </row>
    <row r="1313" spans="2:15" x14ac:dyDescent="0.2">
      <c r="B1313" t="s">
        <v>1433</v>
      </c>
      <c r="C1313" t="s">
        <v>12891</v>
      </c>
      <c r="D1313" t="s">
        <v>613</v>
      </c>
      <c r="E1313" t="s">
        <v>6804</v>
      </c>
      <c r="F1313">
        <v>10.6</v>
      </c>
      <c r="H1313" t="s">
        <v>2556</v>
      </c>
      <c r="L1313" t="s">
        <v>1433</v>
      </c>
      <c r="M1313" t="s">
        <v>1413</v>
      </c>
      <c r="N1313" t="s">
        <v>2446</v>
      </c>
      <c r="O1313">
        <v>1</v>
      </c>
    </row>
    <row r="1314" spans="2:15" x14ac:dyDescent="0.2">
      <c r="B1314" t="s">
        <v>1433</v>
      </c>
      <c r="C1314" t="s">
        <v>12891</v>
      </c>
      <c r="D1314" t="s">
        <v>613</v>
      </c>
      <c r="E1314" t="s">
        <v>6805</v>
      </c>
      <c r="F1314">
        <v>1146.44</v>
      </c>
      <c r="H1314" t="s">
        <v>4067</v>
      </c>
      <c r="L1314" t="s">
        <v>1433</v>
      </c>
      <c r="M1314" t="s">
        <v>1421</v>
      </c>
      <c r="N1314" t="s">
        <v>2446</v>
      </c>
      <c r="O1314">
        <v>1</v>
      </c>
    </row>
    <row r="1315" spans="2:15" x14ac:dyDescent="0.2">
      <c r="B1315" t="s">
        <v>1433</v>
      </c>
      <c r="C1315" t="s">
        <v>12891</v>
      </c>
      <c r="D1315" t="s">
        <v>613</v>
      </c>
      <c r="E1315" t="s">
        <v>6806</v>
      </c>
      <c r="F1315">
        <v>1026.42</v>
      </c>
      <c r="H1315" t="s">
        <v>4069</v>
      </c>
      <c r="L1315" t="s">
        <v>1433</v>
      </c>
      <c r="M1315" t="s">
        <v>2447</v>
      </c>
      <c r="N1315" t="s">
        <v>2446</v>
      </c>
      <c r="O1315">
        <v>1</v>
      </c>
    </row>
    <row r="1316" spans="2:15" x14ac:dyDescent="0.2">
      <c r="B1316" t="s">
        <v>1433</v>
      </c>
      <c r="C1316" t="s">
        <v>12891</v>
      </c>
      <c r="D1316" t="s">
        <v>613</v>
      </c>
      <c r="E1316" t="s">
        <v>6807</v>
      </c>
      <c r="F1316">
        <v>43.68</v>
      </c>
      <c r="H1316" t="s">
        <v>4066</v>
      </c>
      <c r="L1316" t="s">
        <v>1433</v>
      </c>
      <c r="M1316" t="s">
        <v>2448</v>
      </c>
      <c r="N1316" t="s">
        <v>1970</v>
      </c>
      <c r="O1316">
        <v>6</v>
      </c>
    </row>
    <row r="1317" spans="2:15" x14ac:dyDescent="0.2">
      <c r="B1317" t="s">
        <v>1433</v>
      </c>
      <c r="C1317" t="s">
        <v>12891</v>
      </c>
      <c r="D1317" t="s">
        <v>554</v>
      </c>
      <c r="E1317" t="s">
        <v>6808</v>
      </c>
      <c r="F1317">
        <v>13288</v>
      </c>
      <c r="H1317" t="s">
        <v>4106</v>
      </c>
      <c r="L1317" t="s">
        <v>1433</v>
      </c>
      <c r="M1317" t="s">
        <v>2449</v>
      </c>
      <c r="N1317" t="s">
        <v>2450</v>
      </c>
      <c r="O1317">
        <v>1</v>
      </c>
    </row>
    <row r="1318" spans="2:15" x14ac:dyDescent="0.2">
      <c r="B1318" t="s">
        <v>1433</v>
      </c>
      <c r="C1318" t="s">
        <v>12891</v>
      </c>
      <c r="D1318" t="s">
        <v>554</v>
      </c>
      <c r="E1318" t="s">
        <v>6809</v>
      </c>
      <c r="F1318">
        <v>11304</v>
      </c>
      <c r="H1318" t="s">
        <v>4101</v>
      </c>
      <c r="L1318" t="s">
        <v>1433</v>
      </c>
      <c r="M1318" t="s">
        <v>1628</v>
      </c>
      <c r="N1318" t="s">
        <v>2451</v>
      </c>
      <c r="O1318">
        <v>100</v>
      </c>
    </row>
    <row r="1319" spans="2:15" x14ac:dyDescent="0.2">
      <c r="B1319" t="s">
        <v>1433</v>
      </c>
      <c r="C1319" t="s">
        <v>12891</v>
      </c>
      <c r="D1319" t="s">
        <v>554</v>
      </c>
      <c r="E1319" t="s">
        <v>6810</v>
      </c>
      <c r="F1319">
        <v>3660</v>
      </c>
      <c r="H1319" t="s">
        <v>4103</v>
      </c>
      <c r="L1319" t="s">
        <v>1433</v>
      </c>
      <c r="M1319" t="s">
        <v>1624</v>
      </c>
      <c r="N1319" t="s">
        <v>2451</v>
      </c>
      <c r="O1319">
        <v>72</v>
      </c>
    </row>
    <row r="1320" spans="2:15" x14ac:dyDescent="0.2">
      <c r="B1320" t="s">
        <v>1433</v>
      </c>
      <c r="C1320" t="s">
        <v>12891</v>
      </c>
      <c r="D1320" t="s">
        <v>613</v>
      </c>
      <c r="E1320" t="s">
        <v>6811</v>
      </c>
      <c r="F1320">
        <v>105.73</v>
      </c>
      <c r="H1320" t="s">
        <v>4075</v>
      </c>
      <c r="L1320" t="s">
        <v>1433</v>
      </c>
      <c r="M1320" t="s">
        <v>1824</v>
      </c>
      <c r="N1320" t="s">
        <v>2451</v>
      </c>
      <c r="O1320">
        <v>18</v>
      </c>
    </row>
    <row r="1321" spans="2:15" x14ac:dyDescent="0.2">
      <c r="B1321" t="s">
        <v>1433</v>
      </c>
      <c r="C1321" t="s">
        <v>12891</v>
      </c>
      <c r="D1321" t="s">
        <v>613</v>
      </c>
      <c r="E1321" t="s">
        <v>6812</v>
      </c>
      <c r="F1321">
        <v>28.87</v>
      </c>
      <c r="H1321" t="s">
        <v>6713</v>
      </c>
      <c r="L1321" t="s">
        <v>1433</v>
      </c>
      <c r="M1321" t="s">
        <v>1828</v>
      </c>
      <c r="N1321" t="s">
        <v>2451</v>
      </c>
      <c r="O1321">
        <v>100</v>
      </c>
    </row>
    <row r="1322" spans="2:15" x14ac:dyDescent="0.2">
      <c r="B1322" t="s">
        <v>1433</v>
      </c>
      <c r="C1322" t="s">
        <v>12891</v>
      </c>
      <c r="D1322" t="s">
        <v>613</v>
      </c>
      <c r="E1322" t="s">
        <v>6813</v>
      </c>
      <c r="F1322">
        <v>70.2</v>
      </c>
      <c r="H1322" t="s">
        <v>4070</v>
      </c>
      <c r="L1322" t="s">
        <v>1433</v>
      </c>
      <c r="M1322" t="s">
        <v>1830</v>
      </c>
      <c r="N1322" t="s">
        <v>2451</v>
      </c>
      <c r="O1322">
        <v>3000</v>
      </c>
    </row>
    <row r="1323" spans="2:15" x14ac:dyDescent="0.2">
      <c r="B1323" t="s">
        <v>1433</v>
      </c>
      <c r="C1323" t="s">
        <v>12891</v>
      </c>
      <c r="D1323" t="s">
        <v>613</v>
      </c>
      <c r="E1323" t="s">
        <v>6814</v>
      </c>
      <c r="F1323">
        <v>73.12</v>
      </c>
      <c r="H1323" t="s">
        <v>2553</v>
      </c>
      <c r="L1323" t="s">
        <v>1433</v>
      </c>
      <c r="M1323" t="s">
        <v>1832</v>
      </c>
      <c r="N1323" t="s">
        <v>2451</v>
      </c>
      <c r="O1323">
        <v>18</v>
      </c>
    </row>
    <row r="1324" spans="2:15" x14ac:dyDescent="0.2">
      <c r="B1324" t="s">
        <v>1433</v>
      </c>
      <c r="C1324" t="s">
        <v>12891</v>
      </c>
      <c r="D1324" t="s">
        <v>613</v>
      </c>
      <c r="E1324" t="s">
        <v>6815</v>
      </c>
      <c r="F1324">
        <v>475.86</v>
      </c>
      <c r="H1324" t="s">
        <v>2555</v>
      </c>
      <c r="L1324" t="s">
        <v>1433</v>
      </c>
      <c r="M1324" t="s">
        <v>2452</v>
      </c>
      <c r="N1324" t="s">
        <v>2453</v>
      </c>
      <c r="O1324">
        <v>2</v>
      </c>
    </row>
    <row r="1325" spans="2:15" x14ac:dyDescent="0.2">
      <c r="B1325" t="s">
        <v>1433</v>
      </c>
      <c r="C1325" t="s">
        <v>12891</v>
      </c>
      <c r="D1325" t="s">
        <v>613</v>
      </c>
      <c r="E1325" t="s">
        <v>6816</v>
      </c>
      <c r="F1325">
        <v>10.6</v>
      </c>
      <c r="H1325" t="s">
        <v>2556</v>
      </c>
      <c r="L1325" t="s">
        <v>1433</v>
      </c>
      <c r="M1325" t="s">
        <v>2454</v>
      </c>
      <c r="N1325" t="s">
        <v>2453</v>
      </c>
      <c r="O1325">
        <v>2</v>
      </c>
    </row>
    <row r="1326" spans="2:15" x14ac:dyDescent="0.2">
      <c r="B1326" t="s">
        <v>1433</v>
      </c>
      <c r="C1326" t="s">
        <v>12891</v>
      </c>
      <c r="D1326" t="s">
        <v>613</v>
      </c>
      <c r="E1326" t="s">
        <v>6817</v>
      </c>
      <c r="F1326">
        <v>1146.44</v>
      </c>
      <c r="H1326" t="s">
        <v>4067</v>
      </c>
      <c r="L1326" t="s">
        <v>1433</v>
      </c>
      <c r="M1326" t="s">
        <v>2455</v>
      </c>
      <c r="N1326" t="s">
        <v>2453</v>
      </c>
      <c r="O1326">
        <v>2</v>
      </c>
    </row>
    <row r="1327" spans="2:15" x14ac:dyDescent="0.2">
      <c r="B1327" t="s">
        <v>1433</v>
      </c>
      <c r="C1327" t="s">
        <v>12891</v>
      </c>
      <c r="D1327" t="s">
        <v>613</v>
      </c>
      <c r="E1327" t="s">
        <v>6818</v>
      </c>
      <c r="F1327">
        <v>1026.42</v>
      </c>
      <c r="H1327" t="s">
        <v>4069</v>
      </c>
      <c r="L1327" t="s">
        <v>1433</v>
      </c>
      <c r="M1327" t="s">
        <v>2456</v>
      </c>
      <c r="N1327" t="s">
        <v>2453</v>
      </c>
      <c r="O1327">
        <v>4</v>
      </c>
    </row>
    <row r="1328" spans="2:15" x14ac:dyDescent="0.2">
      <c r="B1328" t="s">
        <v>1433</v>
      </c>
      <c r="C1328" t="s">
        <v>12891</v>
      </c>
      <c r="D1328" t="s">
        <v>613</v>
      </c>
      <c r="E1328" t="s">
        <v>6819</v>
      </c>
      <c r="F1328">
        <v>43.68</v>
      </c>
      <c r="H1328" t="s">
        <v>4066</v>
      </c>
      <c r="L1328" t="s">
        <v>1433</v>
      </c>
      <c r="M1328" t="s">
        <v>2457</v>
      </c>
      <c r="N1328" t="s">
        <v>2453</v>
      </c>
      <c r="O1328">
        <v>15</v>
      </c>
    </row>
    <row r="1329" spans="2:15" x14ac:dyDescent="0.2">
      <c r="B1329" t="s">
        <v>1433</v>
      </c>
      <c r="C1329" t="s">
        <v>12891</v>
      </c>
      <c r="D1329" t="s">
        <v>554</v>
      </c>
      <c r="E1329" t="s">
        <v>6820</v>
      </c>
      <c r="F1329">
        <v>13288</v>
      </c>
      <c r="H1329" t="s">
        <v>4108</v>
      </c>
      <c r="L1329" t="s">
        <v>1433</v>
      </c>
      <c r="M1329" t="s">
        <v>2128</v>
      </c>
      <c r="N1329" t="s">
        <v>2453</v>
      </c>
      <c r="O1329">
        <v>16</v>
      </c>
    </row>
    <row r="1330" spans="2:15" x14ac:dyDescent="0.2">
      <c r="B1330" t="s">
        <v>1433</v>
      </c>
      <c r="C1330" t="s">
        <v>12891</v>
      </c>
      <c r="D1330" t="s">
        <v>554</v>
      </c>
      <c r="E1330" t="s">
        <v>6821</v>
      </c>
      <c r="F1330">
        <v>11304</v>
      </c>
      <c r="H1330" t="s">
        <v>4101</v>
      </c>
      <c r="L1330" t="s">
        <v>1433</v>
      </c>
      <c r="M1330" t="s">
        <v>2129</v>
      </c>
      <c r="N1330" t="s">
        <v>2453</v>
      </c>
      <c r="O1330">
        <v>4</v>
      </c>
    </row>
    <row r="1331" spans="2:15" x14ac:dyDescent="0.2">
      <c r="B1331" t="s">
        <v>1433</v>
      </c>
      <c r="C1331" t="s">
        <v>12891</v>
      </c>
      <c r="D1331" t="s">
        <v>554</v>
      </c>
      <c r="E1331" t="s">
        <v>6822</v>
      </c>
      <c r="F1331">
        <v>3660</v>
      </c>
      <c r="H1331" t="s">
        <v>4103</v>
      </c>
      <c r="L1331" t="s">
        <v>1433</v>
      </c>
      <c r="M1331" t="s">
        <v>2130</v>
      </c>
      <c r="N1331" t="s">
        <v>2453</v>
      </c>
      <c r="O1331">
        <v>8</v>
      </c>
    </row>
    <row r="1332" spans="2:15" x14ac:dyDescent="0.2">
      <c r="B1332" t="s">
        <v>1433</v>
      </c>
      <c r="C1332" t="s">
        <v>12891</v>
      </c>
      <c r="D1332" t="s">
        <v>613</v>
      </c>
      <c r="E1332" t="s">
        <v>6823</v>
      </c>
      <c r="F1332">
        <v>105.73</v>
      </c>
      <c r="H1332" t="s">
        <v>4075</v>
      </c>
      <c r="L1332" t="s">
        <v>1433</v>
      </c>
      <c r="M1332" t="s">
        <v>2131</v>
      </c>
      <c r="N1332" t="s">
        <v>2453</v>
      </c>
      <c r="O1332">
        <v>12</v>
      </c>
    </row>
    <row r="1333" spans="2:15" x14ac:dyDescent="0.2">
      <c r="B1333" t="s">
        <v>1433</v>
      </c>
      <c r="C1333" t="s">
        <v>12891</v>
      </c>
      <c r="D1333" t="s">
        <v>1137</v>
      </c>
      <c r="E1333" t="s">
        <v>6824</v>
      </c>
      <c r="F1333">
        <v>624</v>
      </c>
      <c r="G1333" t="s">
        <v>4071</v>
      </c>
      <c r="L1333" t="s">
        <v>1433</v>
      </c>
      <c r="M1333" t="s">
        <v>2458</v>
      </c>
      <c r="N1333" t="s">
        <v>2453</v>
      </c>
      <c r="O1333">
        <v>30</v>
      </c>
    </row>
    <row r="1334" spans="2:15" x14ac:dyDescent="0.2">
      <c r="B1334" t="s">
        <v>1433</v>
      </c>
      <c r="C1334" t="s">
        <v>12891</v>
      </c>
      <c r="D1334" t="s">
        <v>613</v>
      </c>
      <c r="E1334" t="s">
        <v>6825</v>
      </c>
      <c r="F1334">
        <v>5655</v>
      </c>
      <c r="G1334" t="s">
        <v>4088</v>
      </c>
      <c r="L1334" t="s">
        <v>1433</v>
      </c>
      <c r="M1334" t="s">
        <v>2459</v>
      </c>
      <c r="N1334" t="s">
        <v>2460</v>
      </c>
      <c r="O1334">
        <v>40</v>
      </c>
    </row>
    <row r="1335" spans="2:15" x14ac:dyDescent="0.2">
      <c r="B1335" t="s">
        <v>1433</v>
      </c>
      <c r="C1335" t="s">
        <v>12891</v>
      </c>
      <c r="D1335" t="s">
        <v>1137</v>
      </c>
      <c r="E1335" t="s">
        <v>6826</v>
      </c>
      <c r="F1335">
        <v>65</v>
      </c>
      <c r="G1335" t="s">
        <v>4096</v>
      </c>
      <c r="L1335" t="s">
        <v>1433</v>
      </c>
      <c r="M1335" t="s">
        <v>2073</v>
      </c>
      <c r="N1335" t="s">
        <v>2460</v>
      </c>
      <c r="O1335">
        <v>25</v>
      </c>
    </row>
    <row r="1336" spans="2:15" x14ac:dyDescent="0.2">
      <c r="B1336" t="s">
        <v>1433</v>
      </c>
      <c r="C1336" t="s">
        <v>12891</v>
      </c>
      <c r="D1336" t="s">
        <v>613</v>
      </c>
      <c r="E1336" t="s">
        <v>6827</v>
      </c>
      <c r="F1336">
        <v>47.42</v>
      </c>
      <c r="G1336" t="s">
        <v>6828</v>
      </c>
      <c r="L1336" t="s">
        <v>1433</v>
      </c>
      <c r="M1336" t="s">
        <v>2461</v>
      </c>
      <c r="N1336" t="s">
        <v>2462</v>
      </c>
      <c r="O1336">
        <v>10</v>
      </c>
    </row>
    <row r="1337" spans="2:15" x14ac:dyDescent="0.2">
      <c r="B1337" t="s">
        <v>1433</v>
      </c>
      <c r="C1337" t="s">
        <v>12891</v>
      </c>
      <c r="D1337" t="s">
        <v>613</v>
      </c>
      <c r="E1337" t="s">
        <v>6829</v>
      </c>
      <c r="F1337">
        <v>70</v>
      </c>
      <c r="G1337" t="s">
        <v>6830</v>
      </c>
      <c r="L1337" t="s">
        <v>1433</v>
      </c>
      <c r="M1337" t="s">
        <v>2463</v>
      </c>
      <c r="N1337" t="s">
        <v>2464</v>
      </c>
      <c r="O1337">
        <v>12</v>
      </c>
    </row>
    <row r="1338" spans="2:15" x14ac:dyDescent="0.2">
      <c r="B1338" t="s">
        <v>1433</v>
      </c>
      <c r="C1338" t="s">
        <v>12891</v>
      </c>
      <c r="D1338" t="s">
        <v>613</v>
      </c>
      <c r="E1338" t="s">
        <v>6831</v>
      </c>
      <c r="F1338">
        <v>9.66</v>
      </c>
      <c r="G1338" t="s">
        <v>6832</v>
      </c>
      <c r="L1338" t="s">
        <v>1433</v>
      </c>
      <c r="M1338" t="s">
        <v>1682</v>
      </c>
      <c r="N1338" t="s">
        <v>2100</v>
      </c>
      <c r="O1338">
        <v>24</v>
      </c>
    </row>
    <row r="1339" spans="2:15" x14ac:dyDescent="0.2">
      <c r="B1339" t="s">
        <v>1433</v>
      </c>
      <c r="C1339" t="s">
        <v>12891</v>
      </c>
      <c r="D1339" t="s">
        <v>613</v>
      </c>
      <c r="E1339" t="s">
        <v>6833</v>
      </c>
      <c r="F1339">
        <v>14.44</v>
      </c>
      <c r="G1339" t="s">
        <v>6713</v>
      </c>
      <c r="L1339" t="s">
        <v>1433</v>
      </c>
      <c r="M1339" t="s">
        <v>2465</v>
      </c>
      <c r="N1339" t="s">
        <v>2332</v>
      </c>
      <c r="O1339">
        <v>1</v>
      </c>
    </row>
    <row r="1340" spans="2:15" x14ac:dyDescent="0.2">
      <c r="B1340" t="s">
        <v>1433</v>
      </c>
      <c r="C1340" t="s">
        <v>12891</v>
      </c>
      <c r="D1340" t="s">
        <v>1137</v>
      </c>
      <c r="E1340" t="s">
        <v>6834</v>
      </c>
      <c r="F1340">
        <v>216</v>
      </c>
      <c r="G1340" t="s">
        <v>4113</v>
      </c>
      <c r="L1340" t="s">
        <v>1433</v>
      </c>
      <c r="M1340" t="s">
        <v>2466</v>
      </c>
      <c r="N1340" t="s">
        <v>2428</v>
      </c>
      <c r="O1340">
        <v>4</v>
      </c>
    </row>
    <row r="1341" spans="2:15" x14ac:dyDescent="0.2">
      <c r="B1341" t="s">
        <v>1433</v>
      </c>
      <c r="C1341" t="s">
        <v>12891</v>
      </c>
      <c r="D1341" t="s">
        <v>1137</v>
      </c>
      <c r="E1341" t="s">
        <v>6835</v>
      </c>
      <c r="F1341">
        <v>456</v>
      </c>
      <c r="G1341" t="s">
        <v>4120</v>
      </c>
      <c r="L1341" t="s">
        <v>1433</v>
      </c>
      <c r="M1341" t="s">
        <v>2467</v>
      </c>
      <c r="N1341" t="s">
        <v>2428</v>
      </c>
      <c r="O1341">
        <v>2</v>
      </c>
    </row>
    <row r="1342" spans="2:15" x14ac:dyDescent="0.2">
      <c r="B1342" t="s">
        <v>1433</v>
      </c>
      <c r="C1342" t="s">
        <v>12892</v>
      </c>
      <c r="D1342" t="s">
        <v>1144</v>
      </c>
      <c r="E1342" t="s">
        <v>6836</v>
      </c>
      <c r="F1342">
        <v>132</v>
      </c>
      <c r="G1342" t="s">
        <v>1336</v>
      </c>
      <c r="L1342" t="s">
        <v>1433</v>
      </c>
      <c r="M1342" t="s">
        <v>2468</v>
      </c>
      <c r="N1342" t="s">
        <v>2428</v>
      </c>
      <c r="O1342">
        <v>2</v>
      </c>
    </row>
    <row r="1343" spans="2:15" x14ac:dyDescent="0.2">
      <c r="B1343" t="s">
        <v>1433</v>
      </c>
      <c r="C1343" t="s">
        <v>12892</v>
      </c>
      <c r="D1343" t="s">
        <v>1144</v>
      </c>
      <c r="E1343" t="s">
        <v>6841</v>
      </c>
      <c r="F1343">
        <v>88</v>
      </c>
      <c r="G1343" t="s">
        <v>1344</v>
      </c>
      <c r="L1343" t="s">
        <v>1433</v>
      </c>
      <c r="M1343" t="s">
        <v>2469</v>
      </c>
      <c r="N1343" t="s">
        <v>2024</v>
      </c>
      <c r="O1343">
        <v>10</v>
      </c>
    </row>
    <row r="1344" spans="2:15" x14ac:dyDescent="0.2">
      <c r="B1344" t="s">
        <v>1433</v>
      </c>
      <c r="C1344" t="s">
        <v>12892</v>
      </c>
      <c r="D1344" t="s">
        <v>1144</v>
      </c>
      <c r="E1344" t="s">
        <v>6843</v>
      </c>
      <c r="F1344">
        <v>66</v>
      </c>
      <c r="G1344" t="s">
        <v>1362</v>
      </c>
      <c r="L1344" t="s">
        <v>1433</v>
      </c>
      <c r="M1344" t="s">
        <v>1621</v>
      </c>
      <c r="N1344" t="s">
        <v>2470</v>
      </c>
      <c r="O1344">
        <v>150</v>
      </c>
    </row>
    <row r="1345" spans="2:15" x14ac:dyDescent="0.2">
      <c r="B1345" t="s">
        <v>1433</v>
      </c>
      <c r="C1345" t="s">
        <v>12892</v>
      </c>
      <c r="D1345" t="s">
        <v>613</v>
      </c>
      <c r="E1345" t="s">
        <v>6844</v>
      </c>
      <c r="F1345">
        <v>12.88</v>
      </c>
      <c r="G1345" t="s">
        <v>5354</v>
      </c>
      <c r="L1345" t="s">
        <v>1433</v>
      </c>
      <c r="M1345" t="s">
        <v>2133</v>
      </c>
      <c r="N1345" t="s">
        <v>1755</v>
      </c>
      <c r="O1345">
        <v>2</v>
      </c>
    </row>
    <row r="1346" spans="2:15" x14ac:dyDescent="0.2">
      <c r="B1346" t="s">
        <v>1433</v>
      </c>
      <c r="C1346" t="s">
        <v>12892</v>
      </c>
      <c r="D1346" t="s">
        <v>617</v>
      </c>
      <c r="E1346" t="s">
        <v>6846</v>
      </c>
      <c r="F1346">
        <v>112.2</v>
      </c>
      <c r="G1346" t="s">
        <v>6489</v>
      </c>
      <c r="L1346" t="s">
        <v>1433</v>
      </c>
      <c r="M1346" t="s">
        <v>1399</v>
      </c>
      <c r="N1346" t="s">
        <v>2471</v>
      </c>
      <c r="O1346">
        <v>1</v>
      </c>
    </row>
    <row r="1347" spans="2:15" x14ac:dyDescent="0.2">
      <c r="B1347" t="s">
        <v>1433</v>
      </c>
      <c r="C1347" t="s">
        <v>12892</v>
      </c>
      <c r="D1347" t="s">
        <v>617</v>
      </c>
      <c r="E1347" t="s">
        <v>6848</v>
      </c>
      <c r="F1347">
        <v>18.04</v>
      </c>
      <c r="G1347" t="s">
        <v>6103</v>
      </c>
      <c r="L1347" t="s">
        <v>1433</v>
      </c>
      <c r="M1347" t="s">
        <v>2472</v>
      </c>
      <c r="N1347" t="s">
        <v>2473</v>
      </c>
      <c r="O1347">
        <v>2</v>
      </c>
    </row>
    <row r="1348" spans="2:15" x14ac:dyDescent="0.2">
      <c r="B1348" t="s">
        <v>1433</v>
      </c>
      <c r="C1348" t="s">
        <v>12892</v>
      </c>
      <c r="D1348" t="s">
        <v>617</v>
      </c>
      <c r="E1348" t="s">
        <v>6849</v>
      </c>
      <c r="F1348">
        <v>46.36</v>
      </c>
      <c r="G1348" t="s">
        <v>6577</v>
      </c>
      <c r="L1348" t="s">
        <v>1433</v>
      </c>
      <c r="M1348" t="s">
        <v>2474</v>
      </c>
      <c r="N1348" t="s">
        <v>2473</v>
      </c>
      <c r="O1348">
        <v>11</v>
      </c>
    </row>
    <row r="1349" spans="2:15" x14ac:dyDescent="0.2">
      <c r="B1349" t="s">
        <v>1433</v>
      </c>
      <c r="C1349" t="s">
        <v>12892</v>
      </c>
      <c r="D1349" t="s">
        <v>617</v>
      </c>
      <c r="E1349" t="s">
        <v>6850</v>
      </c>
      <c r="F1349">
        <v>11</v>
      </c>
      <c r="G1349" t="s">
        <v>6105</v>
      </c>
      <c r="L1349" t="s">
        <v>1433</v>
      </c>
      <c r="M1349" t="s">
        <v>2038</v>
      </c>
      <c r="N1349" t="s">
        <v>2475</v>
      </c>
      <c r="O1349">
        <v>5</v>
      </c>
    </row>
    <row r="1350" spans="2:15" x14ac:dyDescent="0.2">
      <c r="B1350" t="s">
        <v>1433</v>
      </c>
      <c r="C1350" t="s">
        <v>12892</v>
      </c>
      <c r="D1350" t="s">
        <v>617</v>
      </c>
      <c r="E1350" t="s">
        <v>6851</v>
      </c>
      <c r="F1350">
        <v>0.42</v>
      </c>
      <c r="G1350" t="s">
        <v>6434</v>
      </c>
      <c r="L1350" t="s">
        <v>1433</v>
      </c>
      <c r="M1350" t="s">
        <v>1769</v>
      </c>
      <c r="N1350" t="s">
        <v>2476</v>
      </c>
      <c r="O1350">
        <v>600</v>
      </c>
    </row>
    <row r="1351" spans="2:15" x14ac:dyDescent="0.2">
      <c r="B1351" t="s">
        <v>1433</v>
      </c>
      <c r="C1351" t="s">
        <v>12892</v>
      </c>
      <c r="D1351" t="s">
        <v>617</v>
      </c>
      <c r="E1351" t="s">
        <v>6852</v>
      </c>
      <c r="F1351">
        <v>324.72000000000003</v>
      </c>
      <c r="G1351" t="s">
        <v>6853</v>
      </c>
      <c r="L1351" t="s">
        <v>1433</v>
      </c>
      <c r="M1351" t="s">
        <v>2477</v>
      </c>
      <c r="N1351" t="s">
        <v>2478</v>
      </c>
      <c r="O1351">
        <v>1</v>
      </c>
    </row>
    <row r="1352" spans="2:15" x14ac:dyDescent="0.2">
      <c r="B1352" t="s">
        <v>1433</v>
      </c>
      <c r="C1352" t="s">
        <v>12892</v>
      </c>
      <c r="D1352" t="s">
        <v>617</v>
      </c>
      <c r="E1352" t="s">
        <v>6854</v>
      </c>
      <c r="F1352">
        <v>296</v>
      </c>
      <c r="G1352" t="s">
        <v>1633</v>
      </c>
      <c r="L1352" t="s">
        <v>1433</v>
      </c>
      <c r="M1352" t="s">
        <v>2479</v>
      </c>
      <c r="N1352" t="s">
        <v>2480</v>
      </c>
      <c r="O1352">
        <v>1</v>
      </c>
    </row>
    <row r="1353" spans="2:15" x14ac:dyDescent="0.2">
      <c r="B1353" t="s">
        <v>1433</v>
      </c>
      <c r="C1353" t="s">
        <v>12892</v>
      </c>
      <c r="D1353" t="s">
        <v>621</v>
      </c>
      <c r="E1353" t="s">
        <v>6856</v>
      </c>
      <c r="F1353">
        <v>6.9</v>
      </c>
      <c r="G1353" t="s">
        <v>6857</v>
      </c>
      <c r="L1353" t="s">
        <v>1433</v>
      </c>
      <c r="M1353" t="s">
        <v>2481</v>
      </c>
      <c r="N1353" t="s">
        <v>2480</v>
      </c>
      <c r="O1353">
        <v>1</v>
      </c>
    </row>
    <row r="1354" spans="2:15" x14ac:dyDescent="0.2">
      <c r="B1354" t="s">
        <v>1433</v>
      </c>
      <c r="C1354" t="s">
        <v>12892</v>
      </c>
      <c r="D1354" t="s">
        <v>621</v>
      </c>
      <c r="E1354" t="s">
        <v>6858</v>
      </c>
      <c r="F1354">
        <v>12.55</v>
      </c>
      <c r="G1354" t="s">
        <v>6859</v>
      </c>
      <c r="L1354" t="s">
        <v>1433</v>
      </c>
      <c r="M1354" t="s">
        <v>1809</v>
      </c>
      <c r="N1354" t="s">
        <v>2482</v>
      </c>
      <c r="O1354">
        <v>30</v>
      </c>
    </row>
    <row r="1355" spans="2:15" x14ac:dyDescent="0.2">
      <c r="B1355" t="s">
        <v>1433</v>
      </c>
      <c r="C1355" t="s">
        <v>12892</v>
      </c>
      <c r="D1355" t="s">
        <v>621</v>
      </c>
      <c r="E1355" t="s">
        <v>6861</v>
      </c>
      <c r="F1355">
        <v>3.84</v>
      </c>
      <c r="G1355" t="s">
        <v>6863</v>
      </c>
      <c r="L1355" t="s">
        <v>1433</v>
      </c>
      <c r="M1355" t="s">
        <v>1811</v>
      </c>
      <c r="N1355" t="s">
        <v>2482</v>
      </c>
      <c r="O1355">
        <v>30</v>
      </c>
    </row>
    <row r="1356" spans="2:15" x14ac:dyDescent="0.2">
      <c r="B1356" t="s">
        <v>1433</v>
      </c>
      <c r="C1356" t="s">
        <v>12892</v>
      </c>
      <c r="D1356" t="s">
        <v>613</v>
      </c>
      <c r="E1356" t="s">
        <v>6864</v>
      </c>
      <c r="F1356">
        <v>40</v>
      </c>
      <c r="G1356" t="s">
        <v>5131</v>
      </c>
      <c r="L1356" t="s">
        <v>1433</v>
      </c>
      <c r="M1356" t="s">
        <v>1793</v>
      </c>
      <c r="N1356" t="s">
        <v>2482</v>
      </c>
      <c r="O1356">
        <v>20</v>
      </c>
    </row>
    <row r="1357" spans="2:15" x14ac:dyDescent="0.2">
      <c r="B1357" t="s">
        <v>1433</v>
      </c>
      <c r="C1357" t="s">
        <v>12892</v>
      </c>
      <c r="D1357" t="s">
        <v>617</v>
      </c>
      <c r="E1357" t="s">
        <v>6866</v>
      </c>
      <c r="F1357">
        <v>14.13</v>
      </c>
      <c r="G1357" t="s">
        <v>6492</v>
      </c>
      <c r="L1357" t="s">
        <v>1433</v>
      </c>
      <c r="M1357" t="s">
        <v>1794</v>
      </c>
      <c r="N1357" t="s">
        <v>2482</v>
      </c>
      <c r="O1357">
        <v>15</v>
      </c>
    </row>
    <row r="1358" spans="2:15" x14ac:dyDescent="0.2">
      <c r="B1358" t="s">
        <v>1433</v>
      </c>
      <c r="C1358" t="s">
        <v>12892</v>
      </c>
      <c r="D1358" t="s">
        <v>617</v>
      </c>
      <c r="E1358" t="s">
        <v>6867</v>
      </c>
      <c r="F1358">
        <v>10.6</v>
      </c>
      <c r="G1358" t="s">
        <v>6434</v>
      </c>
      <c r="L1358" t="s">
        <v>1433</v>
      </c>
      <c r="M1358" t="s">
        <v>1795</v>
      </c>
      <c r="N1358" t="s">
        <v>2482</v>
      </c>
      <c r="O1358">
        <v>20</v>
      </c>
    </row>
    <row r="1359" spans="2:15" x14ac:dyDescent="0.2">
      <c r="B1359" t="s">
        <v>1433</v>
      </c>
      <c r="C1359" t="s">
        <v>12892</v>
      </c>
      <c r="D1359" t="s">
        <v>617</v>
      </c>
      <c r="E1359" t="s">
        <v>6868</v>
      </c>
      <c r="F1359">
        <v>18.54</v>
      </c>
      <c r="G1359" t="s">
        <v>6577</v>
      </c>
      <c r="L1359" t="s">
        <v>1433</v>
      </c>
      <c r="M1359" t="s">
        <v>1796</v>
      </c>
      <c r="N1359" t="s">
        <v>2482</v>
      </c>
      <c r="O1359">
        <v>15</v>
      </c>
    </row>
    <row r="1360" spans="2:15" x14ac:dyDescent="0.2">
      <c r="B1360" t="s">
        <v>1433</v>
      </c>
      <c r="C1360" t="s">
        <v>12892</v>
      </c>
      <c r="D1360" t="s">
        <v>617</v>
      </c>
      <c r="E1360" t="s">
        <v>6869</v>
      </c>
      <c r="F1360">
        <v>2.79</v>
      </c>
      <c r="G1360" t="s">
        <v>5075</v>
      </c>
      <c r="L1360" t="s">
        <v>1433</v>
      </c>
      <c r="M1360" t="s">
        <v>1797</v>
      </c>
      <c r="N1360" t="s">
        <v>2482</v>
      </c>
      <c r="O1360">
        <v>20</v>
      </c>
    </row>
    <row r="1361" spans="2:15" x14ac:dyDescent="0.2">
      <c r="B1361" t="s">
        <v>1433</v>
      </c>
      <c r="C1361" t="s">
        <v>12892</v>
      </c>
      <c r="D1361" t="s">
        <v>617</v>
      </c>
      <c r="E1361" t="s">
        <v>6870</v>
      </c>
      <c r="F1361">
        <v>18.04</v>
      </c>
      <c r="G1361" t="s">
        <v>6103</v>
      </c>
      <c r="L1361" t="s">
        <v>1433</v>
      </c>
      <c r="M1361" t="s">
        <v>1798</v>
      </c>
      <c r="N1361" t="s">
        <v>2482</v>
      </c>
      <c r="O1361">
        <v>20</v>
      </c>
    </row>
    <row r="1362" spans="2:15" x14ac:dyDescent="0.2">
      <c r="B1362" t="s">
        <v>1433</v>
      </c>
      <c r="C1362" t="s">
        <v>12892</v>
      </c>
      <c r="D1362" t="s">
        <v>613</v>
      </c>
      <c r="E1362" t="s">
        <v>6871</v>
      </c>
      <c r="F1362">
        <v>657.57</v>
      </c>
      <c r="G1362" t="s">
        <v>2449</v>
      </c>
      <c r="L1362" t="s">
        <v>1433</v>
      </c>
      <c r="M1362" t="s">
        <v>2289</v>
      </c>
      <c r="N1362" t="s">
        <v>2483</v>
      </c>
      <c r="O1362">
        <v>2</v>
      </c>
    </row>
    <row r="1363" spans="2:15" x14ac:dyDescent="0.2">
      <c r="B1363" t="s">
        <v>1433</v>
      </c>
      <c r="C1363" t="s">
        <v>12892</v>
      </c>
      <c r="D1363" t="s">
        <v>621</v>
      </c>
      <c r="E1363" t="s">
        <v>6872</v>
      </c>
      <c r="F1363">
        <v>3.69</v>
      </c>
      <c r="G1363" t="s">
        <v>6873</v>
      </c>
      <c r="L1363" t="s">
        <v>1433</v>
      </c>
      <c r="M1363" t="s">
        <v>2484</v>
      </c>
      <c r="N1363" t="s">
        <v>2485</v>
      </c>
      <c r="O1363">
        <v>1</v>
      </c>
    </row>
    <row r="1364" spans="2:15" x14ac:dyDescent="0.2">
      <c r="B1364" t="s">
        <v>1433</v>
      </c>
      <c r="C1364" t="s">
        <v>12892</v>
      </c>
      <c r="D1364" t="s">
        <v>613</v>
      </c>
      <c r="E1364" t="s">
        <v>6875</v>
      </c>
      <c r="F1364">
        <v>228</v>
      </c>
      <c r="G1364" t="s">
        <v>2541</v>
      </c>
      <c r="L1364" t="s">
        <v>1433</v>
      </c>
      <c r="M1364" t="s">
        <v>2486</v>
      </c>
      <c r="N1364" t="s">
        <v>2428</v>
      </c>
      <c r="O1364">
        <v>2</v>
      </c>
    </row>
    <row r="1365" spans="2:15" x14ac:dyDescent="0.2">
      <c r="B1365" t="s">
        <v>1433</v>
      </c>
      <c r="C1365" t="s">
        <v>12892</v>
      </c>
      <c r="D1365" t="s">
        <v>613</v>
      </c>
      <c r="E1365" t="s">
        <v>6876</v>
      </c>
      <c r="F1365">
        <v>259.68</v>
      </c>
      <c r="G1365" t="s">
        <v>1401</v>
      </c>
      <c r="L1365" t="s">
        <v>1433</v>
      </c>
      <c r="M1365" t="s">
        <v>2487</v>
      </c>
      <c r="N1365" t="s">
        <v>2428</v>
      </c>
      <c r="O1365">
        <v>2</v>
      </c>
    </row>
    <row r="1366" spans="2:15" x14ac:dyDescent="0.2">
      <c r="B1366" t="s">
        <v>1433</v>
      </c>
      <c r="C1366" t="s">
        <v>12892</v>
      </c>
      <c r="D1366" t="s">
        <v>1144</v>
      </c>
      <c r="E1366" t="s">
        <v>6877</v>
      </c>
      <c r="F1366">
        <v>368</v>
      </c>
      <c r="G1366" t="s">
        <v>2182</v>
      </c>
      <c r="L1366" t="s">
        <v>1433</v>
      </c>
      <c r="M1366" t="s">
        <v>2488</v>
      </c>
      <c r="N1366" t="s">
        <v>2489</v>
      </c>
      <c r="O1366">
        <v>4</v>
      </c>
    </row>
    <row r="1367" spans="2:15" x14ac:dyDescent="0.2">
      <c r="B1367" t="s">
        <v>1433</v>
      </c>
      <c r="C1367" t="s">
        <v>12892</v>
      </c>
      <c r="D1367" t="s">
        <v>613</v>
      </c>
      <c r="E1367" t="s">
        <v>6878</v>
      </c>
      <c r="F1367">
        <v>0.69</v>
      </c>
      <c r="G1367" t="s">
        <v>6879</v>
      </c>
      <c r="L1367" t="s">
        <v>1433</v>
      </c>
      <c r="M1367" t="s">
        <v>2490</v>
      </c>
      <c r="N1367" t="s">
        <v>2489</v>
      </c>
      <c r="O1367">
        <v>1</v>
      </c>
    </row>
    <row r="1368" spans="2:15" x14ac:dyDescent="0.2">
      <c r="B1368" t="s">
        <v>1433</v>
      </c>
      <c r="C1368" t="s">
        <v>12892</v>
      </c>
      <c r="D1368" t="s">
        <v>613</v>
      </c>
      <c r="E1368" t="s">
        <v>6881</v>
      </c>
      <c r="F1368">
        <v>0.97</v>
      </c>
      <c r="G1368" t="s">
        <v>6272</v>
      </c>
      <c r="L1368" t="s">
        <v>1433</v>
      </c>
      <c r="M1368" t="s">
        <v>2491</v>
      </c>
      <c r="N1368" t="s">
        <v>2489</v>
      </c>
      <c r="O1368">
        <v>1</v>
      </c>
    </row>
    <row r="1369" spans="2:15" x14ac:dyDescent="0.2">
      <c r="B1369" t="s">
        <v>1433</v>
      </c>
      <c r="C1369" t="s">
        <v>12892</v>
      </c>
      <c r="D1369" t="s">
        <v>613</v>
      </c>
      <c r="E1369" t="s">
        <v>6883</v>
      </c>
      <c r="F1369">
        <v>63.5</v>
      </c>
      <c r="G1369" t="s">
        <v>2581</v>
      </c>
      <c r="L1369" t="s">
        <v>1433</v>
      </c>
      <c r="M1369" t="s">
        <v>2492</v>
      </c>
      <c r="N1369" t="s">
        <v>2489</v>
      </c>
      <c r="O1369">
        <v>1</v>
      </c>
    </row>
    <row r="1370" spans="2:15" x14ac:dyDescent="0.2">
      <c r="B1370" t="s">
        <v>1433</v>
      </c>
      <c r="C1370" t="s">
        <v>12892</v>
      </c>
      <c r="D1370" t="s">
        <v>1144</v>
      </c>
      <c r="E1370" t="s">
        <v>6885</v>
      </c>
      <c r="F1370">
        <v>264</v>
      </c>
      <c r="G1370" t="s">
        <v>2610</v>
      </c>
      <c r="L1370" t="s">
        <v>1433</v>
      </c>
      <c r="M1370" t="s">
        <v>2493</v>
      </c>
      <c r="N1370" t="s">
        <v>2489</v>
      </c>
      <c r="O1370">
        <v>1</v>
      </c>
    </row>
    <row r="1371" spans="2:15" x14ac:dyDescent="0.2">
      <c r="B1371" t="s">
        <v>1433</v>
      </c>
      <c r="C1371" t="s">
        <v>12892</v>
      </c>
      <c r="D1371" t="s">
        <v>1144</v>
      </c>
      <c r="E1371" t="s">
        <v>6887</v>
      </c>
      <c r="F1371">
        <v>432</v>
      </c>
      <c r="G1371" t="s">
        <v>2612</v>
      </c>
      <c r="L1371" t="s">
        <v>1433</v>
      </c>
      <c r="M1371" t="s">
        <v>2494</v>
      </c>
      <c r="N1371" t="s">
        <v>2489</v>
      </c>
      <c r="O1371">
        <v>2</v>
      </c>
    </row>
    <row r="1372" spans="2:15" x14ac:dyDescent="0.2">
      <c r="B1372" t="s">
        <v>1433</v>
      </c>
      <c r="C1372" t="s">
        <v>12892</v>
      </c>
      <c r="D1372" t="s">
        <v>1144</v>
      </c>
      <c r="E1372" t="s">
        <v>6889</v>
      </c>
      <c r="F1372">
        <v>408</v>
      </c>
      <c r="G1372" t="s">
        <v>2646</v>
      </c>
      <c r="L1372" t="s">
        <v>1433</v>
      </c>
      <c r="M1372" t="s">
        <v>2495</v>
      </c>
      <c r="N1372" t="s">
        <v>2489</v>
      </c>
      <c r="O1372">
        <v>1</v>
      </c>
    </row>
    <row r="1373" spans="2:15" x14ac:dyDescent="0.2">
      <c r="B1373" t="s">
        <v>1433</v>
      </c>
      <c r="C1373" t="s">
        <v>12892</v>
      </c>
      <c r="D1373" t="s">
        <v>1144</v>
      </c>
      <c r="E1373" t="s">
        <v>6890</v>
      </c>
      <c r="F1373">
        <v>189.75</v>
      </c>
      <c r="G1373" t="s">
        <v>2185</v>
      </c>
      <c r="L1373" t="s">
        <v>1433</v>
      </c>
      <c r="M1373" t="s">
        <v>2496</v>
      </c>
      <c r="N1373" t="s">
        <v>2489</v>
      </c>
      <c r="O1373">
        <v>2</v>
      </c>
    </row>
    <row r="1374" spans="2:15" x14ac:dyDescent="0.2">
      <c r="B1374" t="s">
        <v>1433</v>
      </c>
      <c r="C1374" t="s">
        <v>12892</v>
      </c>
      <c r="D1374" t="s">
        <v>1144</v>
      </c>
      <c r="E1374" t="s">
        <v>6891</v>
      </c>
      <c r="F1374">
        <v>862.5</v>
      </c>
      <c r="G1374" t="s">
        <v>2187</v>
      </c>
      <c r="L1374" t="s">
        <v>1433</v>
      </c>
      <c r="M1374" t="s">
        <v>2497</v>
      </c>
      <c r="N1374" t="s">
        <v>2489</v>
      </c>
      <c r="O1374">
        <v>1</v>
      </c>
    </row>
    <row r="1375" spans="2:15" x14ac:dyDescent="0.2">
      <c r="B1375" t="s">
        <v>1433</v>
      </c>
      <c r="C1375" t="s">
        <v>12892</v>
      </c>
      <c r="D1375" t="s">
        <v>621</v>
      </c>
      <c r="E1375" t="s">
        <v>6892</v>
      </c>
      <c r="F1375">
        <v>31.32</v>
      </c>
      <c r="G1375" t="s">
        <v>6442</v>
      </c>
      <c r="L1375" t="s">
        <v>1433</v>
      </c>
      <c r="M1375" t="s">
        <v>2498</v>
      </c>
      <c r="N1375" t="s">
        <v>2489</v>
      </c>
      <c r="O1375">
        <v>2</v>
      </c>
    </row>
    <row r="1376" spans="2:15" x14ac:dyDescent="0.2">
      <c r="B1376" t="s">
        <v>1433</v>
      </c>
      <c r="C1376" t="s">
        <v>12892</v>
      </c>
      <c r="D1376" t="s">
        <v>613</v>
      </c>
      <c r="E1376" t="s">
        <v>6893</v>
      </c>
      <c r="F1376">
        <v>527.6</v>
      </c>
      <c r="G1376" t="s">
        <v>2692</v>
      </c>
      <c r="L1376" t="s">
        <v>1433</v>
      </c>
      <c r="M1376" t="s">
        <v>2499</v>
      </c>
      <c r="N1376" t="s">
        <v>2500</v>
      </c>
      <c r="O1376">
        <v>1</v>
      </c>
    </row>
    <row r="1377" spans="2:15" x14ac:dyDescent="0.2">
      <c r="B1377" t="s">
        <v>1433</v>
      </c>
      <c r="C1377" t="s">
        <v>12892</v>
      </c>
      <c r="D1377" t="s">
        <v>613</v>
      </c>
      <c r="E1377" t="s">
        <v>6894</v>
      </c>
      <c r="F1377">
        <v>5.6</v>
      </c>
      <c r="G1377" t="s">
        <v>2694</v>
      </c>
      <c r="L1377" t="s">
        <v>1433</v>
      </c>
      <c r="M1377" t="s">
        <v>2501</v>
      </c>
      <c r="N1377" t="s">
        <v>2502</v>
      </c>
      <c r="O1377">
        <v>1</v>
      </c>
    </row>
    <row r="1378" spans="2:15" x14ac:dyDescent="0.2">
      <c r="B1378" t="s">
        <v>1433</v>
      </c>
      <c r="C1378" t="s">
        <v>12892</v>
      </c>
      <c r="D1378" t="s">
        <v>1144</v>
      </c>
      <c r="E1378" t="s">
        <v>6895</v>
      </c>
      <c r="F1378">
        <v>792.35</v>
      </c>
      <c r="G1378" t="s">
        <v>2188</v>
      </c>
      <c r="L1378" t="s">
        <v>1433</v>
      </c>
      <c r="M1378" t="s">
        <v>2503</v>
      </c>
      <c r="N1378" t="s">
        <v>2502</v>
      </c>
      <c r="O1378">
        <v>1</v>
      </c>
    </row>
    <row r="1379" spans="2:15" x14ac:dyDescent="0.2">
      <c r="B1379" t="s">
        <v>1433</v>
      </c>
      <c r="C1379" t="s">
        <v>12892</v>
      </c>
      <c r="D1379" t="s">
        <v>1144</v>
      </c>
      <c r="E1379" t="s">
        <v>6896</v>
      </c>
      <c r="F1379">
        <v>724.5</v>
      </c>
      <c r="G1379" t="s">
        <v>2189</v>
      </c>
      <c r="L1379" t="s">
        <v>1433</v>
      </c>
      <c r="M1379" t="s">
        <v>2504</v>
      </c>
      <c r="N1379" t="s">
        <v>2502</v>
      </c>
      <c r="O1379">
        <v>1</v>
      </c>
    </row>
    <row r="1380" spans="2:15" x14ac:dyDescent="0.2">
      <c r="B1380" t="s">
        <v>1433</v>
      </c>
      <c r="C1380" t="s">
        <v>12892</v>
      </c>
      <c r="D1380" t="s">
        <v>613</v>
      </c>
      <c r="E1380" t="s">
        <v>6897</v>
      </c>
      <c r="F1380">
        <v>76.8</v>
      </c>
      <c r="G1380" t="s">
        <v>2738</v>
      </c>
      <c r="L1380" t="s">
        <v>1433</v>
      </c>
      <c r="M1380" t="s">
        <v>2505</v>
      </c>
      <c r="N1380" t="s">
        <v>2502</v>
      </c>
      <c r="O1380">
        <v>1</v>
      </c>
    </row>
    <row r="1381" spans="2:15" x14ac:dyDescent="0.2">
      <c r="B1381" t="s">
        <v>1433</v>
      </c>
      <c r="C1381" t="s">
        <v>12892</v>
      </c>
      <c r="D1381" t="s">
        <v>1144</v>
      </c>
      <c r="E1381" t="s">
        <v>6898</v>
      </c>
      <c r="F1381">
        <v>792</v>
      </c>
      <c r="G1381" t="s">
        <v>2740</v>
      </c>
      <c r="L1381" t="s">
        <v>1433</v>
      </c>
      <c r="M1381" t="s">
        <v>2506</v>
      </c>
      <c r="N1381" t="s">
        <v>2502</v>
      </c>
      <c r="O1381">
        <v>1</v>
      </c>
    </row>
    <row r="1382" spans="2:15" x14ac:dyDescent="0.2">
      <c r="B1382" t="s">
        <v>1433</v>
      </c>
      <c r="C1382" t="s">
        <v>12892</v>
      </c>
      <c r="D1382" t="s">
        <v>613</v>
      </c>
      <c r="E1382" t="s">
        <v>6899</v>
      </c>
      <c r="F1382">
        <v>41.85</v>
      </c>
      <c r="G1382" t="s">
        <v>2802</v>
      </c>
      <c r="L1382" t="s">
        <v>1433</v>
      </c>
      <c r="M1382" t="s">
        <v>2507</v>
      </c>
      <c r="N1382" t="s">
        <v>2502</v>
      </c>
      <c r="O1382">
        <v>1</v>
      </c>
    </row>
    <row r="1383" spans="2:15" x14ac:dyDescent="0.2">
      <c r="B1383" t="s">
        <v>1433</v>
      </c>
      <c r="C1383" t="s">
        <v>12892</v>
      </c>
      <c r="D1383" t="s">
        <v>613</v>
      </c>
      <c r="E1383" t="s">
        <v>6900</v>
      </c>
      <c r="F1383">
        <v>409.8</v>
      </c>
      <c r="G1383" t="s">
        <v>2804</v>
      </c>
      <c r="L1383" t="s">
        <v>1433</v>
      </c>
      <c r="M1383" t="s">
        <v>2508</v>
      </c>
      <c r="N1383" t="s">
        <v>2502</v>
      </c>
      <c r="O1383">
        <v>1</v>
      </c>
    </row>
    <row r="1384" spans="2:15" x14ac:dyDescent="0.2">
      <c r="B1384" t="s">
        <v>1433</v>
      </c>
      <c r="C1384" t="s">
        <v>12892</v>
      </c>
      <c r="D1384" t="s">
        <v>613</v>
      </c>
      <c r="E1384" t="s">
        <v>6901</v>
      </c>
      <c r="F1384">
        <v>128.13</v>
      </c>
      <c r="G1384" t="s">
        <v>2805</v>
      </c>
      <c r="L1384" t="s">
        <v>1433</v>
      </c>
      <c r="M1384" t="s">
        <v>2509</v>
      </c>
      <c r="N1384" t="s">
        <v>2502</v>
      </c>
      <c r="O1384">
        <v>1</v>
      </c>
    </row>
    <row r="1385" spans="2:15" x14ac:dyDescent="0.2">
      <c r="B1385" t="s">
        <v>1433</v>
      </c>
      <c r="C1385" t="s">
        <v>12892</v>
      </c>
      <c r="D1385" t="s">
        <v>1144</v>
      </c>
      <c r="E1385" t="s">
        <v>6902</v>
      </c>
      <c r="F1385">
        <v>2052.75</v>
      </c>
      <c r="G1385" t="s">
        <v>2190</v>
      </c>
      <c r="L1385" t="s">
        <v>1433</v>
      </c>
      <c r="M1385" t="s">
        <v>2510</v>
      </c>
      <c r="N1385" t="s">
        <v>2511</v>
      </c>
      <c r="O1385">
        <v>500</v>
      </c>
    </row>
    <row r="1386" spans="2:15" x14ac:dyDescent="0.2">
      <c r="B1386" t="s">
        <v>1433</v>
      </c>
      <c r="C1386" t="s">
        <v>12892</v>
      </c>
      <c r="D1386" t="s">
        <v>613</v>
      </c>
      <c r="E1386" t="s">
        <v>6903</v>
      </c>
      <c r="F1386">
        <v>6.41</v>
      </c>
      <c r="G1386" t="s">
        <v>2836</v>
      </c>
      <c r="L1386" t="s">
        <v>1433</v>
      </c>
      <c r="M1386" t="s">
        <v>2512</v>
      </c>
      <c r="N1386" t="s">
        <v>2511</v>
      </c>
      <c r="O1386">
        <v>500</v>
      </c>
    </row>
    <row r="1387" spans="2:15" x14ac:dyDescent="0.2">
      <c r="B1387" t="s">
        <v>1433</v>
      </c>
      <c r="C1387" t="s">
        <v>12892</v>
      </c>
      <c r="D1387" t="s">
        <v>613</v>
      </c>
      <c r="E1387" t="s">
        <v>6904</v>
      </c>
      <c r="F1387">
        <v>70.66</v>
      </c>
      <c r="G1387" t="s">
        <v>2863</v>
      </c>
      <c r="L1387" t="s">
        <v>1433</v>
      </c>
      <c r="M1387" t="s">
        <v>2513</v>
      </c>
      <c r="N1387" t="s">
        <v>2511</v>
      </c>
      <c r="O1387">
        <v>300</v>
      </c>
    </row>
    <row r="1388" spans="2:15" x14ac:dyDescent="0.2">
      <c r="B1388" t="s">
        <v>1433</v>
      </c>
      <c r="C1388" t="s">
        <v>12892</v>
      </c>
      <c r="D1388" t="s">
        <v>613</v>
      </c>
      <c r="E1388" t="s">
        <v>6905</v>
      </c>
      <c r="F1388">
        <v>71.08</v>
      </c>
      <c r="G1388" t="s">
        <v>2865</v>
      </c>
      <c r="L1388" t="s">
        <v>1433</v>
      </c>
      <c r="M1388" t="s">
        <v>2514</v>
      </c>
      <c r="N1388" t="s">
        <v>2511</v>
      </c>
      <c r="O1388">
        <v>500</v>
      </c>
    </row>
    <row r="1389" spans="2:15" x14ac:dyDescent="0.2">
      <c r="B1389" t="s">
        <v>1433</v>
      </c>
      <c r="C1389" t="s">
        <v>12892</v>
      </c>
      <c r="D1389" t="s">
        <v>613</v>
      </c>
      <c r="E1389" t="s">
        <v>6906</v>
      </c>
      <c r="F1389">
        <v>46.46</v>
      </c>
      <c r="G1389" t="s">
        <v>2866</v>
      </c>
      <c r="L1389" t="s">
        <v>1433</v>
      </c>
      <c r="M1389" t="s">
        <v>1400</v>
      </c>
      <c r="N1389" t="s">
        <v>2515</v>
      </c>
      <c r="O1389">
        <v>1</v>
      </c>
    </row>
    <row r="1390" spans="2:15" x14ac:dyDescent="0.2">
      <c r="B1390" t="s">
        <v>1433</v>
      </c>
      <c r="C1390" t="s">
        <v>12892</v>
      </c>
      <c r="D1390" t="s">
        <v>613</v>
      </c>
      <c r="E1390" t="s">
        <v>6907</v>
      </c>
      <c r="F1390">
        <v>298</v>
      </c>
      <c r="G1390" t="s">
        <v>2867</v>
      </c>
      <c r="L1390" t="s">
        <v>1433</v>
      </c>
      <c r="M1390" t="s">
        <v>2516</v>
      </c>
      <c r="N1390" t="s">
        <v>2517</v>
      </c>
      <c r="O1390">
        <v>7</v>
      </c>
    </row>
    <row r="1391" spans="2:15" x14ac:dyDescent="0.2">
      <c r="B1391" t="s">
        <v>1433</v>
      </c>
      <c r="C1391" t="s">
        <v>12892</v>
      </c>
      <c r="D1391" t="s">
        <v>613</v>
      </c>
      <c r="E1391" t="s">
        <v>6908</v>
      </c>
      <c r="F1391">
        <v>235.62</v>
      </c>
      <c r="G1391" t="s">
        <v>2868</v>
      </c>
      <c r="L1391" t="s">
        <v>1433</v>
      </c>
      <c r="M1391" t="s">
        <v>2518</v>
      </c>
      <c r="N1391" t="s">
        <v>2519</v>
      </c>
      <c r="O1391">
        <v>10</v>
      </c>
    </row>
    <row r="1392" spans="2:15" x14ac:dyDescent="0.2">
      <c r="B1392" t="s">
        <v>1433</v>
      </c>
      <c r="C1392" t="s">
        <v>12892</v>
      </c>
      <c r="D1392" t="s">
        <v>613</v>
      </c>
      <c r="E1392" t="s">
        <v>6909</v>
      </c>
      <c r="F1392">
        <v>254.1</v>
      </c>
      <c r="G1392" t="s">
        <v>2869</v>
      </c>
      <c r="L1392" t="s">
        <v>1433</v>
      </c>
      <c r="M1392" t="s">
        <v>1642</v>
      </c>
      <c r="N1392" t="s">
        <v>2519</v>
      </c>
      <c r="O1392">
        <v>10</v>
      </c>
    </row>
    <row r="1393" spans="2:15" x14ac:dyDescent="0.2">
      <c r="B1393" t="s">
        <v>1433</v>
      </c>
      <c r="C1393" t="s">
        <v>12892</v>
      </c>
      <c r="D1393" t="s">
        <v>1144</v>
      </c>
      <c r="E1393" t="s">
        <v>6910</v>
      </c>
      <c r="F1393">
        <v>504</v>
      </c>
      <c r="G1393" t="s">
        <v>2839</v>
      </c>
      <c r="L1393" t="s">
        <v>1433</v>
      </c>
      <c r="M1393" t="s">
        <v>1643</v>
      </c>
      <c r="N1393" t="s">
        <v>2519</v>
      </c>
      <c r="O1393">
        <v>10</v>
      </c>
    </row>
    <row r="1394" spans="2:15" x14ac:dyDescent="0.2">
      <c r="B1394" t="s">
        <v>1433</v>
      </c>
      <c r="C1394" t="s">
        <v>12892</v>
      </c>
      <c r="D1394" t="s">
        <v>1144</v>
      </c>
      <c r="E1394" t="s">
        <v>6911</v>
      </c>
      <c r="F1394">
        <v>120</v>
      </c>
      <c r="G1394" t="s">
        <v>2841</v>
      </c>
      <c r="L1394" t="s">
        <v>1433</v>
      </c>
      <c r="M1394" t="s">
        <v>2520</v>
      </c>
      <c r="N1394" t="s">
        <v>2521</v>
      </c>
      <c r="O1394">
        <v>2</v>
      </c>
    </row>
    <row r="1395" spans="2:15" x14ac:dyDescent="0.2">
      <c r="B1395" t="s">
        <v>1433</v>
      </c>
      <c r="C1395" t="s">
        <v>12892</v>
      </c>
      <c r="D1395" t="s">
        <v>613</v>
      </c>
      <c r="E1395" t="s">
        <v>6912</v>
      </c>
      <c r="F1395">
        <v>1749.88</v>
      </c>
      <c r="G1395" t="s">
        <v>2834</v>
      </c>
      <c r="L1395" t="s">
        <v>1433</v>
      </c>
      <c r="M1395" t="s">
        <v>2522</v>
      </c>
      <c r="N1395" t="s">
        <v>2521</v>
      </c>
      <c r="O1395">
        <v>4</v>
      </c>
    </row>
    <row r="1396" spans="2:15" x14ac:dyDescent="0.2">
      <c r="B1396" t="s">
        <v>1433</v>
      </c>
      <c r="C1396" t="s">
        <v>12892</v>
      </c>
      <c r="D1396" t="s">
        <v>1144</v>
      </c>
      <c r="E1396" t="s">
        <v>6913</v>
      </c>
      <c r="F1396">
        <v>1236.25</v>
      </c>
      <c r="G1396" t="s">
        <v>2193</v>
      </c>
      <c r="L1396" t="s">
        <v>1433</v>
      </c>
      <c r="M1396" t="s">
        <v>2523</v>
      </c>
      <c r="N1396" t="s">
        <v>2521</v>
      </c>
      <c r="O1396">
        <v>2</v>
      </c>
    </row>
    <row r="1397" spans="2:15" x14ac:dyDescent="0.2">
      <c r="B1397" t="s">
        <v>1433</v>
      </c>
      <c r="C1397" t="s">
        <v>12892</v>
      </c>
      <c r="D1397" t="s">
        <v>1144</v>
      </c>
      <c r="E1397" t="s">
        <v>6914</v>
      </c>
      <c r="F1397">
        <v>925.75</v>
      </c>
      <c r="G1397" t="s">
        <v>2195</v>
      </c>
      <c r="L1397" t="s">
        <v>1433</v>
      </c>
      <c r="M1397" t="s">
        <v>2524</v>
      </c>
      <c r="N1397" t="s">
        <v>2521</v>
      </c>
      <c r="O1397">
        <v>2</v>
      </c>
    </row>
    <row r="1398" spans="2:15" x14ac:dyDescent="0.2">
      <c r="B1398" t="s">
        <v>1433</v>
      </c>
      <c r="C1398" t="s">
        <v>12892</v>
      </c>
      <c r="D1398" t="s">
        <v>613</v>
      </c>
      <c r="E1398" t="s">
        <v>6915</v>
      </c>
      <c r="F1398">
        <v>103.99</v>
      </c>
      <c r="G1398" t="s">
        <v>2941</v>
      </c>
      <c r="L1398" t="s">
        <v>1433</v>
      </c>
      <c r="M1398" t="s">
        <v>1866</v>
      </c>
      <c r="N1398" t="s">
        <v>2525</v>
      </c>
      <c r="O1398">
        <v>400</v>
      </c>
    </row>
    <row r="1399" spans="2:15" x14ac:dyDescent="0.2">
      <c r="B1399" t="s">
        <v>1433</v>
      </c>
      <c r="C1399" t="s">
        <v>12892</v>
      </c>
      <c r="D1399" t="s">
        <v>613</v>
      </c>
      <c r="E1399" t="s">
        <v>6916</v>
      </c>
      <c r="F1399">
        <v>707</v>
      </c>
      <c r="G1399" t="s">
        <v>2943</v>
      </c>
      <c r="L1399" t="s">
        <v>1433</v>
      </c>
      <c r="M1399" t="s">
        <v>1867</v>
      </c>
      <c r="N1399" t="s">
        <v>2525</v>
      </c>
      <c r="O1399">
        <v>400</v>
      </c>
    </row>
    <row r="1400" spans="2:15" x14ac:dyDescent="0.2">
      <c r="B1400" t="s">
        <v>1433</v>
      </c>
      <c r="C1400" t="s">
        <v>12892</v>
      </c>
      <c r="D1400" t="s">
        <v>613</v>
      </c>
      <c r="E1400" t="s">
        <v>6917</v>
      </c>
      <c r="F1400">
        <v>9.7799999999999994</v>
      </c>
      <c r="G1400" t="s">
        <v>2944</v>
      </c>
      <c r="L1400" t="s">
        <v>1433</v>
      </c>
      <c r="M1400" t="s">
        <v>1809</v>
      </c>
      <c r="N1400" t="s">
        <v>2526</v>
      </c>
      <c r="O1400">
        <v>30</v>
      </c>
    </row>
    <row r="1401" spans="2:15" x14ac:dyDescent="0.2">
      <c r="B1401" t="s">
        <v>1433</v>
      </c>
      <c r="C1401" t="s">
        <v>12892</v>
      </c>
      <c r="D1401" t="s">
        <v>613</v>
      </c>
      <c r="E1401" t="s">
        <v>6918</v>
      </c>
      <c r="F1401">
        <v>115.42</v>
      </c>
      <c r="G1401" t="s">
        <v>2945</v>
      </c>
      <c r="L1401" t="s">
        <v>1433</v>
      </c>
      <c r="M1401" t="s">
        <v>1811</v>
      </c>
      <c r="N1401" t="s">
        <v>2526</v>
      </c>
      <c r="O1401">
        <v>30</v>
      </c>
    </row>
    <row r="1402" spans="2:15" x14ac:dyDescent="0.2">
      <c r="B1402" t="s">
        <v>1433</v>
      </c>
      <c r="C1402" t="s">
        <v>12892</v>
      </c>
      <c r="D1402" t="s">
        <v>1144</v>
      </c>
      <c r="E1402" t="s">
        <v>6919</v>
      </c>
      <c r="F1402">
        <v>2012.5</v>
      </c>
      <c r="G1402" t="s">
        <v>2197</v>
      </c>
      <c r="L1402" t="s">
        <v>1433</v>
      </c>
      <c r="M1402" t="s">
        <v>1794</v>
      </c>
      <c r="N1402" t="s">
        <v>2526</v>
      </c>
      <c r="O1402">
        <v>25</v>
      </c>
    </row>
    <row r="1403" spans="2:15" x14ac:dyDescent="0.2">
      <c r="B1403" t="s">
        <v>1433</v>
      </c>
      <c r="C1403" t="s">
        <v>12892</v>
      </c>
      <c r="D1403" t="s">
        <v>1144</v>
      </c>
      <c r="E1403" t="s">
        <v>6920</v>
      </c>
      <c r="F1403">
        <v>552</v>
      </c>
      <c r="G1403" t="s">
        <v>2928</v>
      </c>
      <c r="L1403" t="s">
        <v>1433</v>
      </c>
      <c r="M1403" t="s">
        <v>1796</v>
      </c>
      <c r="N1403" t="s">
        <v>2526</v>
      </c>
      <c r="O1403">
        <v>25</v>
      </c>
    </row>
    <row r="1404" spans="2:15" x14ac:dyDescent="0.2">
      <c r="B1404" t="s">
        <v>1433</v>
      </c>
      <c r="C1404" t="s">
        <v>12892</v>
      </c>
      <c r="D1404" t="s">
        <v>1144</v>
      </c>
      <c r="E1404" t="s">
        <v>6921</v>
      </c>
      <c r="F1404">
        <v>456</v>
      </c>
      <c r="G1404" t="s">
        <v>2930</v>
      </c>
      <c r="L1404" t="s">
        <v>1433</v>
      </c>
      <c r="M1404" t="s">
        <v>2128</v>
      </c>
      <c r="N1404" t="s">
        <v>2527</v>
      </c>
      <c r="O1404">
        <v>35</v>
      </c>
    </row>
    <row r="1405" spans="2:15" x14ac:dyDescent="0.2">
      <c r="B1405" t="s">
        <v>1433</v>
      </c>
      <c r="C1405" t="s">
        <v>12892</v>
      </c>
      <c r="D1405" t="s">
        <v>613</v>
      </c>
      <c r="E1405" t="s">
        <v>6922</v>
      </c>
      <c r="F1405">
        <v>169.6</v>
      </c>
      <c r="G1405" t="s">
        <v>2971</v>
      </c>
      <c r="L1405" t="s">
        <v>1433</v>
      </c>
      <c r="M1405" t="s">
        <v>2129</v>
      </c>
      <c r="N1405" t="s">
        <v>2527</v>
      </c>
      <c r="O1405">
        <v>4</v>
      </c>
    </row>
    <row r="1406" spans="2:15" x14ac:dyDescent="0.2">
      <c r="B1406" t="s">
        <v>1433</v>
      </c>
      <c r="C1406" t="s">
        <v>12892</v>
      </c>
      <c r="D1406" t="s">
        <v>613</v>
      </c>
      <c r="E1406" t="s">
        <v>6923</v>
      </c>
      <c r="F1406">
        <v>26.8</v>
      </c>
      <c r="G1406" t="s">
        <v>2973</v>
      </c>
      <c r="L1406" t="s">
        <v>1433</v>
      </c>
      <c r="M1406" t="s">
        <v>2457</v>
      </c>
      <c r="N1406" t="s">
        <v>2527</v>
      </c>
      <c r="O1406">
        <v>35</v>
      </c>
    </row>
    <row r="1407" spans="2:15" x14ac:dyDescent="0.2">
      <c r="B1407" t="s">
        <v>1433</v>
      </c>
      <c r="C1407" t="s">
        <v>12892</v>
      </c>
      <c r="D1407" t="s">
        <v>613</v>
      </c>
      <c r="E1407" t="s">
        <v>6924</v>
      </c>
      <c r="F1407">
        <v>190.5</v>
      </c>
      <c r="G1407" t="s">
        <v>2974</v>
      </c>
      <c r="L1407" t="s">
        <v>1433</v>
      </c>
      <c r="M1407" t="s">
        <v>2528</v>
      </c>
      <c r="N1407" t="s">
        <v>2529</v>
      </c>
      <c r="O1407">
        <v>400</v>
      </c>
    </row>
    <row r="1408" spans="2:15" x14ac:dyDescent="0.2">
      <c r="B1408" t="s">
        <v>1433</v>
      </c>
      <c r="C1408" t="s">
        <v>12892</v>
      </c>
      <c r="D1408" t="s">
        <v>1144</v>
      </c>
      <c r="E1408" t="s">
        <v>6925</v>
      </c>
      <c r="F1408">
        <v>833.75</v>
      </c>
      <c r="G1408" t="s">
        <v>2199</v>
      </c>
      <c r="L1408" t="s">
        <v>1433</v>
      </c>
      <c r="M1408" t="s">
        <v>2530</v>
      </c>
      <c r="N1408" t="s">
        <v>2531</v>
      </c>
      <c r="O1408">
        <v>1</v>
      </c>
    </row>
    <row r="1409" spans="2:15" x14ac:dyDescent="0.2">
      <c r="B1409" t="s">
        <v>1433</v>
      </c>
      <c r="C1409" t="s">
        <v>12892</v>
      </c>
      <c r="D1409" t="s">
        <v>1144</v>
      </c>
      <c r="E1409" t="s">
        <v>6926</v>
      </c>
      <c r="F1409">
        <v>678.5</v>
      </c>
      <c r="G1409" t="s">
        <v>2203</v>
      </c>
      <c r="L1409" t="s">
        <v>1433</v>
      </c>
      <c r="M1409" t="s">
        <v>2532</v>
      </c>
      <c r="N1409" t="s">
        <v>2531</v>
      </c>
      <c r="O1409">
        <v>1</v>
      </c>
    </row>
    <row r="1410" spans="2:15" x14ac:dyDescent="0.2">
      <c r="B1410" t="s">
        <v>1433</v>
      </c>
      <c r="C1410" t="s">
        <v>12892</v>
      </c>
      <c r="D1410" t="s">
        <v>1144</v>
      </c>
      <c r="E1410" t="s">
        <v>6927</v>
      </c>
      <c r="F1410">
        <v>504</v>
      </c>
      <c r="G1410" t="s">
        <v>3009</v>
      </c>
      <c r="L1410" t="s">
        <v>1433</v>
      </c>
      <c r="M1410" t="s">
        <v>1419</v>
      </c>
      <c r="N1410" t="s">
        <v>2533</v>
      </c>
      <c r="O1410">
        <v>1</v>
      </c>
    </row>
    <row r="1411" spans="2:15" x14ac:dyDescent="0.2">
      <c r="B1411" t="s">
        <v>1433</v>
      </c>
      <c r="C1411" t="s">
        <v>12892</v>
      </c>
      <c r="D1411" t="s">
        <v>1144</v>
      </c>
      <c r="E1411" t="s">
        <v>6928</v>
      </c>
      <c r="F1411">
        <v>48</v>
      </c>
      <c r="G1411" t="s">
        <v>3011</v>
      </c>
      <c r="L1411" t="s">
        <v>1433</v>
      </c>
      <c r="M1411" t="s">
        <v>2534</v>
      </c>
      <c r="N1411" t="s">
        <v>2535</v>
      </c>
      <c r="O1411">
        <v>1</v>
      </c>
    </row>
    <row r="1412" spans="2:15" x14ac:dyDescent="0.2">
      <c r="B1412" t="s">
        <v>1433</v>
      </c>
      <c r="C1412" t="s">
        <v>12892</v>
      </c>
      <c r="D1412" t="s">
        <v>613</v>
      </c>
      <c r="E1412" t="s">
        <v>6929</v>
      </c>
      <c r="F1412">
        <v>1.56</v>
      </c>
      <c r="G1412" t="s">
        <v>6930</v>
      </c>
      <c r="L1412" t="s">
        <v>1433</v>
      </c>
      <c r="M1412" t="s">
        <v>1323</v>
      </c>
      <c r="N1412" t="s">
        <v>2167</v>
      </c>
      <c r="O1412">
        <v>1</v>
      </c>
    </row>
    <row r="1413" spans="2:15" x14ac:dyDescent="0.2">
      <c r="B1413" t="s">
        <v>1433</v>
      </c>
      <c r="C1413" t="s">
        <v>12892</v>
      </c>
      <c r="D1413" t="s">
        <v>613</v>
      </c>
      <c r="E1413" t="s">
        <v>6931</v>
      </c>
      <c r="F1413">
        <v>1.78</v>
      </c>
      <c r="G1413" t="s">
        <v>6932</v>
      </c>
      <c r="L1413" t="s">
        <v>1433</v>
      </c>
      <c r="M1413" t="s">
        <v>1372</v>
      </c>
      <c r="N1413" t="s">
        <v>2536</v>
      </c>
      <c r="O1413">
        <v>20</v>
      </c>
    </row>
    <row r="1414" spans="2:15" x14ac:dyDescent="0.2">
      <c r="B1414" t="s">
        <v>1433</v>
      </c>
      <c r="C1414" t="s">
        <v>12892</v>
      </c>
      <c r="D1414" t="s">
        <v>613</v>
      </c>
      <c r="E1414" t="s">
        <v>6933</v>
      </c>
      <c r="F1414">
        <v>2.0099999999999998</v>
      </c>
      <c r="G1414" t="s">
        <v>6934</v>
      </c>
      <c r="L1414" t="s">
        <v>1433</v>
      </c>
      <c r="M1414" t="s">
        <v>1458</v>
      </c>
      <c r="N1414" t="s">
        <v>2536</v>
      </c>
      <c r="O1414">
        <v>36</v>
      </c>
    </row>
    <row r="1415" spans="2:15" x14ac:dyDescent="0.2">
      <c r="B1415" t="s">
        <v>1433</v>
      </c>
      <c r="C1415" t="s">
        <v>12892</v>
      </c>
      <c r="D1415" t="s">
        <v>613</v>
      </c>
      <c r="E1415" t="s">
        <v>6935</v>
      </c>
      <c r="F1415">
        <v>0.72</v>
      </c>
      <c r="G1415" t="s">
        <v>6936</v>
      </c>
      <c r="L1415" t="s">
        <v>1433</v>
      </c>
      <c r="M1415" t="s">
        <v>1459</v>
      </c>
      <c r="N1415" t="s">
        <v>2536</v>
      </c>
      <c r="O1415">
        <v>10</v>
      </c>
    </row>
    <row r="1416" spans="2:15" x14ac:dyDescent="0.2">
      <c r="B1416" t="s">
        <v>1433</v>
      </c>
      <c r="C1416" t="s">
        <v>12892</v>
      </c>
      <c r="D1416" t="s">
        <v>613</v>
      </c>
      <c r="E1416" t="s">
        <v>6937</v>
      </c>
      <c r="F1416">
        <v>17.760000000000002</v>
      </c>
      <c r="G1416" t="s">
        <v>3054</v>
      </c>
      <c r="L1416" t="s">
        <v>1433</v>
      </c>
      <c r="M1416" t="s">
        <v>1642</v>
      </c>
      <c r="N1416" t="s">
        <v>2536</v>
      </c>
      <c r="O1416">
        <v>8</v>
      </c>
    </row>
    <row r="1417" spans="2:15" x14ac:dyDescent="0.2">
      <c r="B1417" t="s">
        <v>1433</v>
      </c>
      <c r="C1417" t="s">
        <v>12892</v>
      </c>
      <c r="D1417" t="s">
        <v>613</v>
      </c>
      <c r="E1417" t="s">
        <v>6938</v>
      </c>
      <c r="F1417">
        <v>18.93</v>
      </c>
      <c r="G1417" t="s">
        <v>6939</v>
      </c>
      <c r="L1417" t="s">
        <v>1433</v>
      </c>
      <c r="M1417" t="s">
        <v>1643</v>
      </c>
      <c r="N1417" t="s">
        <v>2536</v>
      </c>
      <c r="O1417">
        <v>8</v>
      </c>
    </row>
    <row r="1418" spans="2:15" x14ac:dyDescent="0.2">
      <c r="B1418" t="s">
        <v>1433</v>
      </c>
      <c r="C1418" t="s">
        <v>12892</v>
      </c>
      <c r="D1418" t="s">
        <v>1144</v>
      </c>
      <c r="E1418" t="s">
        <v>6940</v>
      </c>
      <c r="F1418">
        <v>360</v>
      </c>
      <c r="G1418" t="s">
        <v>3104</v>
      </c>
      <c r="L1418" t="s">
        <v>1433</v>
      </c>
      <c r="M1418" t="s">
        <v>1995</v>
      </c>
      <c r="N1418" t="s">
        <v>2536</v>
      </c>
      <c r="O1418">
        <v>8</v>
      </c>
    </row>
    <row r="1419" spans="2:15" x14ac:dyDescent="0.2">
      <c r="B1419" t="s">
        <v>1433</v>
      </c>
      <c r="C1419" t="s">
        <v>12892</v>
      </c>
      <c r="D1419" t="s">
        <v>1144</v>
      </c>
      <c r="E1419" t="s">
        <v>6941</v>
      </c>
      <c r="F1419">
        <v>569.25</v>
      </c>
      <c r="G1419" t="s">
        <v>3902</v>
      </c>
      <c r="L1419" t="s">
        <v>1433</v>
      </c>
      <c r="M1419" t="s">
        <v>1461</v>
      </c>
      <c r="N1419" t="s">
        <v>2536</v>
      </c>
      <c r="O1419">
        <v>10</v>
      </c>
    </row>
    <row r="1420" spans="2:15" x14ac:dyDescent="0.2">
      <c r="B1420" t="s">
        <v>1433</v>
      </c>
      <c r="C1420" t="s">
        <v>12892</v>
      </c>
      <c r="D1420" t="s">
        <v>1144</v>
      </c>
      <c r="E1420" t="s">
        <v>6942</v>
      </c>
      <c r="F1420">
        <v>1086.74</v>
      </c>
      <c r="G1420" t="s">
        <v>3904</v>
      </c>
      <c r="L1420" t="s">
        <v>1433</v>
      </c>
      <c r="M1420" t="s">
        <v>1541</v>
      </c>
      <c r="N1420" t="s">
        <v>2536</v>
      </c>
      <c r="O1420">
        <v>8</v>
      </c>
    </row>
    <row r="1421" spans="2:15" x14ac:dyDescent="0.2">
      <c r="B1421" t="s">
        <v>1433</v>
      </c>
      <c r="C1421" t="s">
        <v>12892</v>
      </c>
      <c r="D1421" t="s">
        <v>1144</v>
      </c>
      <c r="E1421" t="s">
        <v>6943</v>
      </c>
      <c r="F1421">
        <v>288</v>
      </c>
      <c r="G1421" t="s">
        <v>3106</v>
      </c>
      <c r="L1421" t="s">
        <v>1433</v>
      </c>
      <c r="M1421" t="s">
        <v>2000</v>
      </c>
      <c r="N1421" t="s">
        <v>2536</v>
      </c>
      <c r="O1421">
        <v>10</v>
      </c>
    </row>
    <row r="1422" spans="2:15" x14ac:dyDescent="0.2">
      <c r="B1422" t="s">
        <v>1433</v>
      </c>
      <c r="C1422" t="s">
        <v>12892</v>
      </c>
      <c r="D1422" t="s">
        <v>1144</v>
      </c>
      <c r="E1422" t="s">
        <v>6944</v>
      </c>
      <c r="F1422">
        <v>96</v>
      </c>
      <c r="G1422" t="s">
        <v>3108</v>
      </c>
      <c r="L1422" t="s">
        <v>1433</v>
      </c>
      <c r="M1422" t="s">
        <v>1872</v>
      </c>
      <c r="N1422" t="s">
        <v>2536</v>
      </c>
      <c r="O1422">
        <v>10</v>
      </c>
    </row>
    <row r="1423" spans="2:15" x14ac:dyDescent="0.2">
      <c r="B1423" t="s">
        <v>1433</v>
      </c>
      <c r="C1423" t="s">
        <v>12892</v>
      </c>
      <c r="D1423" t="s">
        <v>1144</v>
      </c>
      <c r="E1423" t="s">
        <v>6945</v>
      </c>
      <c r="F1423">
        <v>432</v>
      </c>
      <c r="G1423" t="s">
        <v>3122</v>
      </c>
      <c r="L1423" t="s">
        <v>1433</v>
      </c>
      <c r="M1423" t="s">
        <v>1542</v>
      </c>
      <c r="N1423" t="s">
        <v>2536</v>
      </c>
      <c r="O1423">
        <v>8</v>
      </c>
    </row>
    <row r="1424" spans="2:15" x14ac:dyDescent="0.2">
      <c r="B1424" t="s">
        <v>1433</v>
      </c>
      <c r="C1424" t="s">
        <v>12892</v>
      </c>
      <c r="D1424" t="s">
        <v>1144</v>
      </c>
      <c r="E1424" t="s">
        <v>6946</v>
      </c>
      <c r="F1424">
        <v>92</v>
      </c>
      <c r="G1424" t="s">
        <v>3906</v>
      </c>
      <c r="L1424" t="s">
        <v>1433</v>
      </c>
      <c r="M1424" t="s">
        <v>1372</v>
      </c>
      <c r="N1424" t="s">
        <v>2519</v>
      </c>
      <c r="O1424">
        <v>20</v>
      </c>
    </row>
    <row r="1425" spans="2:15" x14ac:dyDescent="0.2">
      <c r="B1425" t="s">
        <v>1433</v>
      </c>
      <c r="C1425" t="s">
        <v>12892</v>
      </c>
      <c r="D1425" t="s">
        <v>613</v>
      </c>
      <c r="E1425" t="s">
        <v>6947</v>
      </c>
      <c r="F1425">
        <v>414.72</v>
      </c>
      <c r="G1425" t="s">
        <v>3209</v>
      </c>
      <c r="L1425" t="s">
        <v>1433</v>
      </c>
      <c r="M1425" t="s">
        <v>1458</v>
      </c>
      <c r="N1425" t="s">
        <v>2519</v>
      </c>
      <c r="O1425">
        <v>10</v>
      </c>
    </row>
    <row r="1426" spans="2:15" x14ac:dyDescent="0.2">
      <c r="B1426" t="s">
        <v>1433</v>
      </c>
      <c r="C1426" t="s">
        <v>12892</v>
      </c>
      <c r="D1426" t="s">
        <v>1144</v>
      </c>
      <c r="E1426" t="s">
        <v>6948</v>
      </c>
      <c r="F1426">
        <v>192</v>
      </c>
      <c r="G1426" t="s">
        <v>3211</v>
      </c>
      <c r="L1426" t="s">
        <v>1433</v>
      </c>
      <c r="M1426" t="s">
        <v>1461</v>
      </c>
      <c r="N1426" t="s">
        <v>2519</v>
      </c>
      <c r="O1426">
        <v>7</v>
      </c>
    </row>
    <row r="1427" spans="2:15" x14ac:dyDescent="0.2">
      <c r="B1427" t="s">
        <v>1433</v>
      </c>
      <c r="C1427" t="s">
        <v>12892</v>
      </c>
      <c r="D1427" t="s">
        <v>1144</v>
      </c>
      <c r="E1427" t="s">
        <v>6949</v>
      </c>
      <c r="F1427">
        <v>144</v>
      </c>
      <c r="G1427" t="s">
        <v>3213</v>
      </c>
      <c r="L1427" t="s">
        <v>1433</v>
      </c>
      <c r="M1427" t="s">
        <v>1872</v>
      </c>
      <c r="N1427" t="s">
        <v>2519</v>
      </c>
      <c r="O1427">
        <v>7</v>
      </c>
    </row>
    <row r="1428" spans="2:15" x14ac:dyDescent="0.2">
      <c r="B1428" t="s">
        <v>1433</v>
      </c>
      <c r="C1428" t="s">
        <v>12892</v>
      </c>
      <c r="D1428" t="s">
        <v>1144</v>
      </c>
      <c r="E1428" t="s">
        <v>6950</v>
      </c>
      <c r="F1428">
        <v>144</v>
      </c>
      <c r="G1428" t="s">
        <v>3214</v>
      </c>
      <c r="L1428" t="s">
        <v>1433</v>
      </c>
      <c r="M1428" t="s">
        <v>2537</v>
      </c>
      <c r="N1428" t="s">
        <v>2538</v>
      </c>
      <c r="O1428">
        <v>1</v>
      </c>
    </row>
    <row r="1429" spans="2:15" x14ac:dyDescent="0.2">
      <c r="B1429" t="s">
        <v>1433</v>
      </c>
      <c r="C1429" t="s">
        <v>12892</v>
      </c>
      <c r="D1429" t="s">
        <v>1144</v>
      </c>
      <c r="E1429" t="s">
        <v>6951</v>
      </c>
      <c r="F1429">
        <v>216</v>
      </c>
      <c r="G1429" t="s">
        <v>3909</v>
      </c>
      <c r="L1429" t="s">
        <v>1433</v>
      </c>
      <c r="M1429" t="s">
        <v>2539</v>
      </c>
      <c r="N1429" t="s">
        <v>2538</v>
      </c>
      <c r="O1429">
        <v>1</v>
      </c>
    </row>
    <row r="1430" spans="2:15" x14ac:dyDescent="0.2">
      <c r="B1430" t="s">
        <v>1433</v>
      </c>
      <c r="C1430" t="s">
        <v>12892</v>
      </c>
      <c r="D1430" t="s">
        <v>1144</v>
      </c>
      <c r="E1430" t="s">
        <v>6952</v>
      </c>
      <c r="F1430">
        <v>146</v>
      </c>
      <c r="G1430" t="s">
        <v>3910</v>
      </c>
      <c r="L1430" t="s">
        <v>1433</v>
      </c>
      <c r="M1430" t="s">
        <v>2540</v>
      </c>
      <c r="N1430" t="s">
        <v>2538</v>
      </c>
      <c r="O1430">
        <v>1</v>
      </c>
    </row>
    <row r="1431" spans="2:15" x14ac:dyDescent="0.2">
      <c r="B1431" t="s">
        <v>1433</v>
      </c>
      <c r="C1431" t="s">
        <v>12892</v>
      </c>
      <c r="D1431" t="s">
        <v>1144</v>
      </c>
      <c r="E1431" t="s">
        <v>6953</v>
      </c>
      <c r="F1431">
        <v>688.5</v>
      </c>
      <c r="G1431" t="s">
        <v>3911</v>
      </c>
      <c r="L1431" t="s">
        <v>1433</v>
      </c>
      <c r="M1431" t="s">
        <v>2067</v>
      </c>
      <c r="N1431" t="s">
        <v>1915</v>
      </c>
      <c r="O1431">
        <v>50</v>
      </c>
    </row>
    <row r="1432" spans="2:15" x14ac:dyDescent="0.2">
      <c r="B1432" t="s">
        <v>1433</v>
      </c>
      <c r="C1432" t="s">
        <v>12892</v>
      </c>
      <c r="D1432" t="s">
        <v>1144</v>
      </c>
      <c r="E1432" t="s">
        <v>6954</v>
      </c>
      <c r="F1432">
        <v>144</v>
      </c>
      <c r="G1432" t="s">
        <v>3233</v>
      </c>
      <c r="L1432" t="s">
        <v>1433</v>
      </c>
      <c r="M1432" t="s">
        <v>2541</v>
      </c>
      <c r="N1432" t="s">
        <v>2542</v>
      </c>
      <c r="O1432">
        <v>1</v>
      </c>
    </row>
    <row r="1433" spans="2:15" x14ac:dyDescent="0.2">
      <c r="B1433" t="s">
        <v>1433</v>
      </c>
      <c r="C1433" t="s">
        <v>12892</v>
      </c>
      <c r="D1433" t="s">
        <v>613</v>
      </c>
      <c r="E1433" t="s">
        <v>6955</v>
      </c>
      <c r="F1433">
        <v>187.44</v>
      </c>
      <c r="G1433" t="s">
        <v>3253</v>
      </c>
      <c r="L1433" t="s">
        <v>1433</v>
      </c>
      <c r="M1433" t="s">
        <v>1401</v>
      </c>
      <c r="N1433" t="s">
        <v>2542</v>
      </c>
      <c r="O1433">
        <v>1</v>
      </c>
    </row>
    <row r="1434" spans="2:15" x14ac:dyDescent="0.2">
      <c r="B1434" t="s">
        <v>1433</v>
      </c>
      <c r="C1434" t="s">
        <v>12892</v>
      </c>
      <c r="D1434" t="s">
        <v>613</v>
      </c>
      <c r="E1434" t="s">
        <v>6956</v>
      </c>
      <c r="F1434">
        <v>2.5499999999999998</v>
      </c>
      <c r="G1434" t="s">
        <v>3255</v>
      </c>
      <c r="L1434" t="s">
        <v>1433</v>
      </c>
      <c r="M1434" t="s">
        <v>1824</v>
      </c>
      <c r="N1434" t="s">
        <v>2543</v>
      </c>
      <c r="O1434">
        <v>21</v>
      </c>
    </row>
    <row r="1435" spans="2:15" x14ac:dyDescent="0.2">
      <c r="B1435" t="s">
        <v>1433</v>
      </c>
      <c r="C1435" t="s">
        <v>12892</v>
      </c>
      <c r="D1435" t="s">
        <v>613</v>
      </c>
      <c r="E1435" t="s">
        <v>6957</v>
      </c>
      <c r="F1435">
        <v>522.72</v>
      </c>
      <c r="G1435" t="s">
        <v>3340</v>
      </c>
      <c r="L1435" t="s">
        <v>1433</v>
      </c>
      <c r="M1435" t="s">
        <v>1832</v>
      </c>
      <c r="N1435" t="s">
        <v>2543</v>
      </c>
      <c r="O1435">
        <v>21</v>
      </c>
    </row>
    <row r="1436" spans="2:15" x14ac:dyDescent="0.2">
      <c r="B1436" t="s">
        <v>1433</v>
      </c>
      <c r="C1436" t="s">
        <v>12892</v>
      </c>
      <c r="D1436" t="s">
        <v>1144</v>
      </c>
      <c r="E1436" t="s">
        <v>6958</v>
      </c>
      <c r="F1436">
        <v>48</v>
      </c>
      <c r="G1436" t="s">
        <v>3353</v>
      </c>
      <c r="L1436" t="s">
        <v>1433</v>
      </c>
      <c r="M1436" t="s">
        <v>2544</v>
      </c>
      <c r="N1436" t="s">
        <v>2489</v>
      </c>
      <c r="O1436">
        <v>2</v>
      </c>
    </row>
    <row r="1437" spans="2:15" x14ac:dyDescent="0.2">
      <c r="B1437" t="s">
        <v>1433</v>
      </c>
      <c r="C1437" t="s">
        <v>12892</v>
      </c>
      <c r="D1437" t="s">
        <v>613</v>
      </c>
      <c r="E1437" t="s">
        <v>6959</v>
      </c>
      <c r="F1437">
        <v>160</v>
      </c>
      <c r="G1437" t="s">
        <v>3389</v>
      </c>
      <c r="L1437" t="s">
        <v>1433</v>
      </c>
      <c r="M1437" t="s">
        <v>2545</v>
      </c>
      <c r="N1437" t="s">
        <v>2489</v>
      </c>
      <c r="O1437">
        <v>1</v>
      </c>
    </row>
    <row r="1438" spans="2:15" x14ac:dyDescent="0.2">
      <c r="B1438" t="s">
        <v>1433</v>
      </c>
      <c r="C1438" t="s">
        <v>12892</v>
      </c>
      <c r="D1438" t="s">
        <v>613</v>
      </c>
      <c r="E1438" t="s">
        <v>6960</v>
      </c>
      <c r="F1438">
        <v>84</v>
      </c>
      <c r="G1438" t="s">
        <v>3391</v>
      </c>
      <c r="L1438" t="s">
        <v>1433</v>
      </c>
      <c r="M1438" t="s">
        <v>2546</v>
      </c>
      <c r="N1438" t="s">
        <v>2489</v>
      </c>
      <c r="O1438">
        <v>1</v>
      </c>
    </row>
    <row r="1439" spans="2:15" x14ac:dyDescent="0.2">
      <c r="B1439" t="s">
        <v>1433</v>
      </c>
      <c r="C1439" t="s">
        <v>12892</v>
      </c>
      <c r="D1439" t="s">
        <v>613</v>
      </c>
      <c r="E1439" t="s">
        <v>6961</v>
      </c>
      <c r="F1439">
        <v>34.97</v>
      </c>
      <c r="G1439" t="s">
        <v>3416</v>
      </c>
      <c r="L1439" t="s">
        <v>1433</v>
      </c>
      <c r="M1439" t="s">
        <v>2547</v>
      </c>
      <c r="N1439" t="s">
        <v>2489</v>
      </c>
      <c r="O1439">
        <v>2</v>
      </c>
    </row>
    <row r="1440" spans="2:15" x14ac:dyDescent="0.2">
      <c r="B1440" t="s">
        <v>1433</v>
      </c>
      <c r="C1440" t="s">
        <v>12892</v>
      </c>
      <c r="D1440" t="s">
        <v>621</v>
      </c>
      <c r="E1440" t="s">
        <v>6962</v>
      </c>
      <c r="F1440">
        <v>4.96</v>
      </c>
      <c r="G1440" t="s">
        <v>6963</v>
      </c>
      <c r="L1440" t="s">
        <v>1433</v>
      </c>
      <c r="M1440" t="s">
        <v>2548</v>
      </c>
      <c r="N1440" t="s">
        <v>2549</v>
      </c>
      <c r="O1440">
        <v>2</v>
      </c>
    </row>
    <row r="1441" spans="2:15" x14ac:dyDescent="0.2">
      <c r="B1441" t="s">
        <v>1433</v>
      </c>
      <c r="C1441" t="s">
        <v>12892</v>
      </c>
      <c r="D1441" t="s">
        <v>613</v>
      </c>
      <c r="E1441" t="s">
        <v>6964</v>
      </c>
      <c r="F1441">
        <v>8.75</v>
      </c>
      <c r="G1441" t="s">
        <v>6830</v>
      </c>
      <c r="L1441" t="s">
        <v>1433</v>
      </c>
      <c r="M1441" t="s">
        <v>2550</v>
      </c>
      <c r="N1441" t="s">
        <v>2549</v>
      </c>
      <c r="O1441">
        <v>1</v>
      </c>
    </row>
    <row r="1442" spans="2:15" x14ac:dyDescent="0.2">
      <c r="B1442" t="s">
        <v>1433</v>
      </c>
      <c r="C1442" t="s">
        <v>12892</v>
      </c>
      <c r="D1442" t="s">
        <v>613</v>
      </c>
      <c r="E1442" t="s">
        <v>6965</v>
      </c>
      <c r="F1442">
        <v>276</v>
      </c>
      <c r="G1442" t="s">
        <v>3486</v>
      </c>
      <c r="L1442" t="s">
        <v>1433</v>
      </c>
      <c r="M1442" t="s">
        <v>2551</v>
      </c>
      <c r="N1442" t="s">
        <v>2549</v>
      </c>
      <c r="O1442">
        <v>1</v>
      </c>
    </row>
    <row r="1443" spans="2:15" x14ac:dyDescent="0.2">
      <c r="B1443" t="s">
        <v>1433</v>
      </c>
      <c r="C1443" t="s">
        <v>12892</v>
      </c>
      <c r="D1443" t="s">
        <v>613</v>
      </c>
      <c r="E1443" t="s">
        <v>6966</v>
      </c>
      <c r="F1443">
        <v>62.4</v>
      </c>
      <c r="G1443" t="s">
        <v>3488</v>
      </c>
      <c r="L1443" t="s">
        <v>1433</v>
      </c>
      <c r="M1443" t="s">
        <v>1691</v>
      </c>
      <c r="N1443" t="s">
        <v>2552</v>
      </c>
      <c r="O1443">
        <v>10</v>
      </c>
    </row>
    <row r="1444" spans="2:15" x14ac:dyDescent="0.2">
      <c r="B1444" t="s">
        <v>1433</v>
      </c>
      <c r="C1444" t="s">
        <v>12892</v>
      </c>
      <c r="D1444" t="s">
        <v>613</v>
      </c>
      <c r="E1444" t="s">
        <v>6967</v>
      </c>
      <c r="F1444">
        <v>42</v>
      </c>
      <c r="G1444" t="s">
        <v>3489</v>
      </c>
      <c r="L1444" t="s">
        <v>1433</v>
      </c>
      <c r="M1444" t="s">
        <v>1692</v>
      </c>
      <c r="N1444" t="s">
        <v>2552</v>
      </c>
      <c r="O1444">
        <v>14</v>
      </c>
    </row>
    <row r="1445" spans="2:15" x14ac:dyDescent="0.2">
      <c r="B1445" t="s">
        <v>1433</v>
      </c>
      <c r="C1445" t="s">
        <v>12892</v>
      </c>
      <c r="D1445" t="s">
        <v>1144</v>
      </c>
      <c r="E1445" t="s">
        <v>6968</v>
      </c>
      <c r="F1445">
        <v>144</v>
      </c>
      <c r="G1445" t="s">
        <v>3490</v>
      </c>
      <c r="L1445" t="s">
        <v>1433</v>
      </c>
      <c r="M1445" t="s">
        <v>2553</v>
      </c>
      <c r="N1445" t="s">
        <v>2554</v>
      </c>
      <c r="O1445">
        <v>32</v>
      </c>
    </row>
    <row r="1446" spans="2:15" x14ac:dyDescent="0.2">
      <c r="B1446" t="s">
        <v>1433</v>
      </c>
      <c r="C1446" t="s">
        <v>12892</v>
      </c>
      <c r="D1446" t="s">
        <v>1144</v>
      </c>
      <c r="E1446" t="s">
        <v>6969</v>
      </c>
      <c r="F1446">
        <v>72</v>
      </c>
      <c r="G1446" t="s">
        <v>3542</v>
      </c>
      <c r="L1446" t="s">
        <v>1433</v>
      </c>
      <c r="M1446" t="s">
        <v>2555</v>
      </c>
      <c r="N1446" t="s">
        <v>2554</v>
      </c>
      <c r="O1446">
        <v>64</v>
      </c>
    </row>
    <row r="1447" spans="2:15" x14ac:dyDescent="0.2">
      <c r="B1447" t="s">
        <v>1433</v>
      </c>
      <c r="C1447" t="s">
        <v>12892</v>
      </c>
      <c r="D1447" t="s">
        <v>1048</v>
      </c>
      <c r="E1447" t="s">
        <v>6970</v>
      </c>
      <c r="F1447">
        <v>48</v>
      </c>
      <c r="G1447" t="s">
        <v>3916</v>
      </c>
      <c r="L1447" t="s">
        <v>1433</v>
      </c>
      <c r="M1447" t="s">
        <v>2556</v>
      </c>
      <c r="N1447" t="s">
        <v>2554</v>
      </c>
      <c r="O1447">
        <v>64</v>
      </c>
    </row>
    <row r="1448" spans="2:15" x14ac:dyDescent="0.2">
      <c r="B1448" t="s">
        <v>1433</v>
      </c>
      <c r="C1448" t="s">
        <v>12892</v>
      </c>
      <c r="D1448" t="s">
        <v>613</v>
      </c>
      <c r="E1448" t="s">
        <v>6971</v>
      </c>
      <c r="F1448">
        <v>116.1</v>
      </c>
      <c r="G1448" t="s">
        <v>3690</v>
      </c>
      <c r="L1448" t="s">
        <v>1433</v>
      </c>
      <c r="M1448" t="s">
        <v>2557</v>
      </c>
      <c r="N1448" t="s">
        <v>2554</v>
      </c>
      <c r="O1448">
        <v>64</v>
      </c>
    </row>
    <row r="1449" spans="2:15" x14ac:dyDescent="0.2">
      <c r="B1449" t="s">
        <v>1433</v>
      </c>
      <c r="C1449" t="s">
        <v>12892</v>
      </c>
      <c r="D1449" t="s">
        <v>1144</v>
      </c>
      <c r="E1449" t="s">
        <v>6972</v>
      </c>
      <c r="F1449">
        <v>48</v>
      </c>
      <c r="G1449" t="s">
        <v>3732</v>
      </c>
      <c r="L1449" t="s">
        <v>1433</v>
      </c>
      <c r="M1449" t="s">
        <v>2558</v>
      </c>
      <c r="N1449" t="s">
        <v>2559</v>
      </c>
      <c r="O1449">
        <v>300</v>
      </c>
    </row>
    <row r="1450" spans="2:15" x14ac:dyDescent="0.2">
      <c r="B1450" t="s">
        <v>1433</v>
      </c>
      <c r="C1450" t="s">
        <v>12892</v>
      </c>
      <c r="D1450" t="s">
        <v>1144</v>
      </c>
      <c r="E1450" t="s">
        <v>6973</v>
      </c>
      <c r="F1450">
        <v>96</v>
      </c>
      <c r="G1450" t="s">
        <v>3734</v>
      </c>
      <c r="L1450" t="s">
        <v>1433</v>
      </c>
      <c r="M1450" t="s">
        <v>2560</v>
      </c>
      <c r="N1450" t="s">
        <v>2561</v>
      </c>
      <c r="O1450">
        <v>22</v>
      </c>
    </row>
    <row r="1451" spans="2:15" x14ac:dyDescent="0.2">
      <c r="B1451" t="s">
        <v>1433</v>
      </c>
      <c r="C1451" t="s">
        <v>12892</v>
      </c>
      <c r="D1451" t="s">
        <v>1144</v>
      </c>
      <c r="E1451" t="s">
        <v>6974</v>
      </c>
      <c r="F1451">
        <v>96</v>
      </c>
      <c r="G1451" t="s">
        <v>3755</v>
      </c>
      <c r="L1451" t="s">
        <v>1433</v>
      </c>
      <c r="M1451" t="s">
        <v>2132</v>
      </c>
      <c r="N1451" t="s">
        <v>2561</v>
      </c>
      <c r="O1451">
        <v>22</v>
      </c>
    </row>
    <row r="1452" spans="2:15" x14ac:dyDescent="0.2">
      <c r="B1452" t="s">
        <v>1433</v>
      </c>
      <c r="C1452" t="s">
        <v>12892</v>
      </c>
      <c r="D1452" t="s">
        <v>1144</v>
      </c>
      <c r="E1452" t="s">
        <v>6975</v>
      </c>
      <c r="F1452">
        <v>72</v>
      </c>
      <c r="G1452" t="s">
        <v>3757</v>
      </c>
      <c r="L1452" t="s">
        <v>1433</v>
      </c>
      <c r="M1452" t="s">
        <v>2562</v>
      </c>
      <c r="N1452" t="s">
        <v>2563</v>
      </c>
      <c r="O1452">
        <v>4</v>
      </c>
    </row>
    <row r="1453" spans="2:15" x14ac:dyDescent="0.2">
      <c r="B1453" t="s">
        <v>1433</v>
      </c>
      <c r="C1453" t="s">
        <v>12892</v>
      </c>
      <c r="D1453" t="s">
        <v>1144</v>
      </c>
      <c r="E1453" t="s">
        <v>6976</v>
      </c>
      <c r="F1453">
        <v>72</v>
      </c>
      <c r="G1453" t="s">
        <v>3758</v>
      </c>
      <c r="L1453" t="s">
        <v>1433</v>
      </c>
      <c r="M1453" t="s">
        <v>2564</v>
      </c>
      <c r="N1453" t="s">
        <v>2565</v>
      </c>
      <c r="O1453">
        <v>8</v>
      </c>
    </row>
    <row r="1454" spans="2:15" x14ac:dyDescent="0.2">
      <c r="B1454" t="s">
        <v>1433</v>
      </c>
      <c r="C1454" t="s">
        <v>12892</v>
      </c>
      <c r="D1454" t="s">
        <v>1144</v>
      </c>
      <c r="E1454" t="s">
        <v>6977</v>
      </c>
      <c r="F1454">
        <v>72</v>
      </c>
      <c r="G1454" t="s">
        <v>3832</v>
      </c>
      <c r="L1454" t="s">
        <v>1433</v>
      </c>
      <c r="M1454" t="s">
        <v>2566</v>
      </c>
      <c r="N1454" t="s">
        <v>2565</v>
      </c>
      <c r="O1454">
        <v>8</v>
      </c>
    </row>
    <row r="1455" spans="2:15" x14ac:dyDescent="0.2">
      <c r="B1455" t="s">
        <v>1433</v>
      </c>
      <c r="C1455" t="s">
        <v>12892</v>
      </c>
      <c r="D1455" t="s">
        <v>1144</v>
      </c>
      <c r="E1455" t="s">
        <v>6978</v>
      </c>
      <c r="F1455">
        <v>96</v>
      </c>
      <c r="G1455" t="s">
        <v>3858</v>
      </c>
      <c r="L1455" t="s">
        <v>1433</v>
      </c>
      <c r="M1455" t="s">
        <v>2567</v>
      </c>
      <c r="N1455" t="s">
        <v>2565</v>
      </c>
      <c r="O1455">
        <v>8</v>
      </c>
    </row>
    <row r="1456" spans="2:15" x14ac:dyDescent="0.2">
      <c r="B1456" t="s">
        <v>1433</v>
      </c>
      <c r="C1456" t="s">
        <v>12892</v>
      </c>
      <c r="D1456" t="s">
        <v>613</v>
      </c>
      <c r="E1456" t="s">
        <v>6979</v>
      </c>
      <c r="F1456">
        <v>648</v>
      </c>
      <c r="G1456" t="s">
        <v>3926</v>
      </c>
      <c r="L1456" t="s">
        <v>1433</v>
      </c>
      <c r="M1456" t="s">
        <v>2568</v>
      </c>
      <c r="N1456" t="s">
        <v>2565</v>
      </c>
      <c r="O1456">
        <v>16</v>
      </c>
    </row>
    <row r="1457" spans="2:15" x14ac:dyDescent="0.2">
      <c r="B1457" t="s">
        <v>1433</v>
      </c>
      <c r="C1457" t="s">
        <v>12892</v>
      </c>
      <c r="D1457" t="s">
        <v>613</v>
      </c>
      <c r="E1457" t="s">
        <v>6980</v>
      </c>
      <c r="F1457">
        <v>4.22</v>
      </c>
      <c r="G1457" t="s">
        <v>3947</v>
      </c>
      <c r="L1457" t="s">
        <v>1433</v>
      </c>
      <c r="M1457" t="s">
        <v>2569</v>
      </c>
      <c r="N1457" t="s">
        <v>2565</v>
      </c>
      <c r="O1457">
        <v>8</v>
      </c>
    </row>
    <row r="1458" spans="2:15" x14ac:dyDescent="0.2">
      <c r="B1458" t="s">
        <v>1433</v>
      </c>
      <c r="C1458" t="s">
        <v>12892</v>
      </c>
      <c r="D1458" t="s">
        <v>613</v>
      </c>
      <c r="E1458" t="s">
        <v>6981</v>
      </c>
      <c r="F1458">
        <v>57.74</v>
      </c>
      <c r="G1458" t="s">
        <v>6713</v>
      </c>
      <c r="L1458" t="s">
        <v>1433</v>
      </c>
      <c r="M1458" t="s">
        <v>2570</v>
      </c>
      <c r="N1458" t="s">
        <v>2565</v>
      </c>
      <c r="O1458">
        <v>8</v>
      </c>
    </row>
    <row r="1459" spans="2:15" x14ac:dyDescent="0.2">
      <c r="B1459" t="s">
        <v>1433</v>
      </c>
      <c r="C1459" t="s">
        <v>12892</v>
      </c>
      <c r="D1459" t="s">
        <v>466</v>
      </c>
      <c r="E1459" t="s">
        <v>6982</v>
      </c>
      <c r="F1459">
        <v>43756.17</v>
      </c>
      <c r="G1459" t="s">
        <v>6839</v>
      </c>
      <c r="L1459" t="s">
        <v>1433</v>
      </c>
      <c r="M1459" t="s">
        <v>2571</v>
      </c>
      <c r="N1459" t="s">
        <v>2565</v>
      </c>
      <c r="O1459">
        <v>8</v>
      </c>
    </row>
    <row r="1460" spans="2:15" x14ac:dyDescent="0.2">
      <c r="B1460" t="s">
        <v>1433</v>
      </c>
      <c r="C1460" t="s">
        <v>12893</v>
      </c>
      <c r="D1460" t="s">
        <v>613</v>
      </c>
      <c r="E1460" t="s">
        <v>6983</v>
      </c>
      <c r="F1460">
        <v>22250</v>
      </c>
      <c r="G1460" t="s">
        <v>2562</v>
      </c>
      <c r="L1460" t="s">
        <v>1433</v>
      </c>
      <c r="M1460" t="s">
        <v>2572</v>
      </c>
      <c r="N1460" t="s">
        <v>2565</v>
      </c>
      <c r="O1460">
        <v>16</v>
      </c>
    </row>
    <row r="1461" spans="2:15" x14ac:dyDescent="0.2">
      <c r="B1461" t="s">
        <v>1433</v>
      </c>
      <c r="C1461" t="s">
        <v>12893</v>
      </c>
      <c r="D1461" t="s">
        <v>613</v>
      </c>
      <c r="E1461" t="s">
        <v>6988</v>
      </c>
      <c r="F1461">
        <v>22250</v>
      </c>
      <c r="G1461" t="s">
        <v>2562</v>
      </c>
      <c r="L1461" t="s">
        <v>1433</v>
      </c>
      <c r="M1461" t="s">
        <v>2573</v>
      </c>
      <c r="N1461" t="s">
        <v>2574</v>
      </c>
      <c r="O1461">
        <v>8</v>
      </c>
    </row>
    <row r="1462" spans="2:15" x14ac:dyDescent="0.2">
      <c r="B1462" t="s">
        <v>1433</v>
      </c>
      <c r="C1462" t="s">
        <v>12893</v>
      </c>
      <c r="D1462" t="s">
        <v>621</v>
      </c>
      <c r="E1462" t="s">
        <v>6989</v>
      </c>
      <c r="F1462">
        <v>67900</v>
      </c>
      <c r="G1462" t="s">
        <v>2516</v>
      </c>
      <c r="L1462" t="s">
        <v>1433</v>
      </c>
      <c r="M1462" t="s">
        <v>2575</v>
      </c>
      <c r="N1462" t="s">
        <v>2574</v>
      </c>
      <c r="O1462">
        <v>8</v>
      </c>
    </row>
    <row r="1463" spans="2:15" x14ac:dyDescent="0.2">
      <c r="B1463" t="s">
        <v>1433</v>
      </c>
      <c r="C1463" t="s">
        <v>12893</v>
      </c>
      <c r="D1463" t="s">
        <v>613</v>
      </c>
      <c r="E1463" t="s">
        <v>6990</v>
      </c>
      <c r="F1463">
        <v>16338</v>
      </c>
      <c r="G1463" t="s">
        <v>2385</v>
      </c>
      <c r="L1463" t="s">
        <v>1433</v>
      </c>
      <c r="M1463" t="s">
        <v>1927</v>
      </c>
      <c r="N1463" t="s">
        <v>2576</v>
      </c>
      <c r="O1463">
        <v>1</v>
      </c>
    </row>
    <row r="1464" spans="2:15" x14ac:dyDescent="0.2">
      <c r="B1464" t="s">
        <v>1433</v>
      </c>
      <c r="C1464" t="s">
        <v>12893</v>
      </c>
      <c r="D1464" t="s">
        <v>613</v>
      </c>
      <c r="E1464" t="s">
        <v>6993</v>
      </c>
      <c r="F1464">
        <v>778</v>
      </c>
      <c r="G1464" t="s">
        <v>2385</v>
      </c>
      <c r="L1464" t="s">
        <v>1433</v>
      </c>
      <c r="M1464" t="s">
        <v>1929</v>
      </c>
      <c r="N1464" t="s">
        <v>2576</v>
      </c>
      <c r="O1464">
        <v>1</v>
      </c>
    </row>
    <row r="1465" spans="2:15" x14ac:dyDescent="0.2">
      <c r="B1465" t="s">
        <v>1433</v>
      </c>
      <c r="C1465" t="s">
        <v>12893</v>
      </c>
      <c r="D1465" t="s">
        <v>613</v>
      </c>
      <c r="E1465" t="s">
        <v>6994</v>
      </c>
      <c r="F1465">
        <v>778</v>
      </c>
      <c r="G1465" t="s">
        <v>2385</v>
      </c>
      <c r="L1465" t="s">
        <v>1433</v>
      </c>
      <c r="M1465" t="s">
        <v>1713</v>
      </c>
      <c r="N1465" t="s">
        <v>2577</v>
      </c>
      <c r="O1465">
        <v>500</v>
      </c>
    </row>
    <row r="1466" spans="2:15" x14ac:dyDescent="0.2">
      <c r="B1466" t="s">
        <v>1433</v>
      </c>
      <c r="C1466" t="s">
        <v>12893</v>
      </c>
      <c r="D1466" t="s">
        <v>613</v>
      </c>
      <c r="E1466" t="s">
        <v>6996</v>
      </c>
      <c r="F1466">
        <v>10892</v>
      </c>
      <c r="G1466" t="s">
        <v>2385</v>
      </c>
      <c r="L1466" t="s">
        <v>1433</v>
      </c>
      <c r="M1466" t="s">
        <v>2578</v>
      </c>
      <c r="N1466" t="s">
        <v>2577</v>
      </c>
      <c r="O1466">
        <v>72</v>
      </c>
    </row>
    <row r="1467" spans="2:15" x14ac:dyDescent="0.2">
      <c r="B1467" t="s">
        <v>1433</v>
      </c>
      <c r="C1467" t="s">
        <v>12893</v>
      </c>
      <c r="D1467" t="s">
        <v>613</v>
      </c>
      <c r="E1467" t="s">
        <v>6997</v>
      </c>
      <c r="F1467">
        <v>3360</v>
      </c>
      <c r="G1467" t="s">
        <v>1193</v>
      </c>
      <c r="L1467" t="s">
        <v>1433</v>
      </c>
      <c r="M1467" t="s">
        <v>2579</v>
      </c>
      <c r="N1467" t="s">
        <v>2577</v>
      </c>
      <c r="O1467">
        <v>36</v>
      </c>
    </row>
    <row r="1468" spans="2:15" x14ac:dyDescent="0.2">
      <c r="B1468" t="s">
        <v>1433</v>
      </c>
      <c r="C1468" t="s">
        <v>12893</v>
      </c>
      <c r="D1468" t="s">
        <v>613</v>
      </c>
      <c r="E1468" t="s">
        <v>6998</v>
      </c>
      <c r="F1468">
        <v>4800</v>
      </c>
      <c r="G1468" t="s">
        <v>1193</v>
      </c>
      <c r="L1468" t="s">
        <v>1433</v>
      </c>
      <c r="M1468" t="s">
        <v>2580</v>
      </c>
      <c r="N1468" t="s">
        <v>2489</v>
      </c>
      <c r="O1468">
        <v>2</v>
      </c>
    </row>
    <row r="1469" spans="2:15" x14ac:dyDescent="0.2">
      <c r="B1469" t="s">
        <v>1433</v>
      </c>
      <c r="C1469" t="s">
        <v>12893</v>
      </c>
      <c r="D1469" t="s">
        <v>613</v>
      </c>
      <c r="E1469" t="s">
        <v>7000</v>
      </c>
      <c r="F1469">
        <v>689.22</v>
      </c>
      <c r="G1469" t="s">
        <v>1195</v>
      </c>
      <c r="L1469" t="s">
        <v>1433</v>
      </c>
      <c r="M1469" t="s">
        <v>2581</v>
      </c>
      <c r="N1469" t="s">
        <v>2582</v>
      </c>
      <c r="O1469">
        <v>1</v>
      </c>
    </row>
    <row r="1470" spans="2:15" x14ac:dyDescent="0.2">
      <c r="B1470" t="s">
        <v>1433</v>
      </c>
      <c r="C1470" t="s">
        <v>12893</v>
      </c>
      <c r="D1470" t="s">
        <v>613</v>
      </c>
      <c r="E1470" t="s">
        <v>7002</v>
      </c>
      <c r="F1470">
        <v>2382.42</v>
      </c>
      <c r="G1470" t="s">
        <v>1196</v>
      </c>
      <c r="L1470" t="s">
        <v>1433</v>
      </c>
      <c r="M1470" t="s">
        <v>2583</v>
      </c>
      <c r="N1470" t="s">
        <v>2584</v>
      </c>
      <c r="O1470">
        <v>6</v>
      </c>
    </row>
    <row r="1471" spans="2:15" x14ac:dyDescent="0.2">
      <c r="B1471" t="s">
        <v>1433</v>
      </c>
      <c r="C1471" t="s">
        <v>12893</v>
      </c>
      <c r="D1471" t="s">
        <v>613</v>
      </c>
      <c r="E1471" t="s">
        <v>7003</v>
      </c>
      <c r="F1471">
        <v>1760</v>
      </c>
      <c r="G1471" t="s">
        <v>1197</v>
      </c>
      <c r="L1471" t="s">
        <v>1433</v>
      </c>
      <c r="M1471" t="s">
        <v>2585</v>
      </c>
      <c r="N1471" t="s">
        <v>2586</v>
      </c>
      <c r="O1471">
        <v>1</v>
      </c>
    </row>
    <row r="1472" spans="2:15" x14ac:dyDescent="0.2">
      <c r="B1472" t="s">
        <v>1433</v>
      </c>
      <c r="C1472" t="s">
        <v>12893</v>
      </c>
      <c r="D1472" t="s">
        <v>613</v>
      </c>
      <c r="E1472" t="s">
        <v>7004</v>
      </c>
      <c r="F1472">
        <v>45706.239999999998</v>
      </c>
      <c r="G1472" t="s">
        <v>1595</v>
      </c>
      <c r="L1472" t="s">
        <v>1433</v>
      </c>
      <c r="M1472" t="s">
        <v>2587</v>
      </c>
      <c r="N1472" t="s">
        <v>2588</v>
      </c>
      <c r="O1472">
        <v>1</v>
      </c>
    </row>
    <row r="1473" spans="2:15" x14ac:dyDescent="0.2">
      <c r="B1473" t="s">
        <v>1433</v>
      </c>
      <c r="C1473" t="s">
        <v>12893</v>
      </c>
      <c r="D1473" t="s">
        <v>613</v>
      </c>
      <c r="E1473" t="s">
        <v>7005</v>
      </c>
      <c r="F1473">
        <v>34930.559999999998</v>
      </c>
      <c r="G1473" t="s">
        <v>1597</v>
      </c>
      <c r="L1473" t="s">
        <v>1433</v>
      </c>
      <c r="M1473" t="s">
        <v>1423</v>
      </c>
      <c r="N1473" t="s">
        <v>2589</v>
      </c>
      <c r="O1473">
        <v>1</v>
      </c>
    </row>
    <row r="1474" spans="2:15" x14ac:dyDescent="0.2">
      <c r="B1474" t="s">
        <v>1433</v>
      </c>
      <c r="C1474" t="s">
        <v>12893</v>
      </c>
      <c r="D1474" t="s">
        <v>613</v>
      </c>
      <c r="E1474" t="s">
        <v>7006</v>
      </c>
      <c r="F1474">
        <v>19255.2</v>
      </c>
      <c r="G1474" t="s">
        <v>1598</v>
      </c>
      <c r="L1474" t="s">
        <v>1433</v>
      </c>
      <c r="M1474" t="s">
        <v>1458</v>
      </c>
      <c r="N1474" t="s">
        <v>2590</v>
      </c>
      <c r="O1474">
        <v>16</v>
      </c>
    </row>
    <row r="1475" spans="2:15" x14ac:dyDescent="0.2">
      <c r="B1475" t="s">
        <v>1433</v>
      </c>
      <c r="C1475" t="s">
        <v>12893</v>
      </c>
      <c r="D1475" t="s">
        <v>613</v>
      </c>
      <c r="E1475" t="s">
        <v>7008</v>
      </c>
      <c r="F1475">
        <v>1898.4</v>
      </c>
      <c r="G1475" t="s">
        <v>1599</v>
      </c>
      <c r="L1475" t="s">
        <v>1433</v>
      </c>
      <c r="M1475" t="s">
        <v>1642</v>
      </c>
      <c r="N1475" t="s">
        <v>2590</v>
      </c>
      <c r="O1475">
        <v>8</v>
      </c>
    </row>
    <row r="1476" spans="2:15" x14ac:dyDescent="0.2">
      <c r="B1476" t="s">
        <v>1433</v>
      </c>
      <c r="C1476" t="s">
        <v>12893</v>
      </c>
      <c r="D1476" t="s">
        <v>613</v>
      </c>
      <c r="E1476" t="s">
        <v>7010</v>
      </c>
      <c r="F1476">
        <v>3037.44</v>
      </c>
      <c r="G1476" t="s">
        <v>1600</v>
      </c>
      <c r="L1476" t="s">
        <v>1433</v>
      </c>
      <c r="M1476" t="s">
        <v>1643</v>
      </c>
      <c r="N1476" t="s">
        <v>2590</v>
      </c>
      <c r="O1476">
        <v>8</v>
      </c>
    </row>
    <row r="1477" spans="2:15" x14ac:dyDescent="0.2">
      <c r="B1477" t="s">
        <v>1433</v>
      </c>
      <c r="C1477" t="s">
        <v>12893</v>
      </c>
      <c r="D1477" t="s">
        <v>613</v>
      </c>
      <c r="E1477" t="s">
        <v>7011</v>
      </c>
      <c r="F1477">
        <v>140281.4</v>
      </c>
      <c r="G1477" t="s">
        <v>2343</v>
      </c>
      <c r="L1477" t="s">
        <v>1433</v>
      </c>
      <c r="M1477" t="s">
        <v>1995</v>
      </c>
      <c r="N1477" t="s">
        <v>2590</v>
      </c>
      <c r="O1477">
        <v>8</v>
      </c>
    </row>
    <row r="1478" spans="2:15" x14ac:dyDescent="0.2">
      <c r="B1478" t="s">
        <v>1433</v>
      </c>
      <c r="C1478" t="s">
        <v>12893</v>
      </c>
      <c r="D1478" t="s">
        <v>613</v>
      </c>
      <c r="E1478" t="s">
        <v>7012</v>
      </c>
      <c r="F1478">
        <v>9166.5</v>
      </c>
      <c r="G1478" t="s">
        <v>2345</v>
      </c>
      <c r="L1478" t="s">
        <v>1433</v>
      </c>
      <c r="M1478" t="s">
        <v>1541</v>
      </c>
      <c r="N1478" t="s">
        <v>2590</v>
      </c>
      <c r="O1478">
        <v>8</v>
      </c>
    </row>
    <row r="1479" spans="2:15" x14ac:dyDescent="0.2">
      <c r="B1479" t="s">
        <v>1433</v>
      </c>
      <c r="C1479" t="s">
        <v>12893</v>
      </c>
      <c r="D1479" t="s">
        <v>613</v>
      </c>
      <c r="E1479" t="s">
        <v>7014</v>
      </c>
      <c r="F1479">
        <v>27839</v>
      </c>
      <c r="G1479" t="s">
        <v>2346</v>
      </c>
      <c r="L1479" t="s">
        <v>1433</v>
      </c>
      <c r="M1479" t="s">
        <v>1542</v>
      </c>
      <c r="N1479" t="s">
        <v>2590</v>
      </c>
      <c r="O1479">
        <v>8</v>
      </c>
    </row>
    <row r="1480" spans="2:15" x14ac:dyDescent="0.2">
      <c r="B1480" t="s">
        <v>1433</v>
      </c>
      <c r="C1480" t="s">
        <v>12893</v>
      </c>
      <c r="D1480" t="s">
        <v>613</v>
      </c>
      <c r="E1480" t="s">
        <v>7015</v>
      </c>
      <c r="F1480">
        <v>7876.4</v>
      </c>
      <c r="G1480" t="s">
        <v>2347</v>
      </c>
      <c r="L1480" t="s">
        <v>1433</v>
      </c>
      <c r="M1480" t="s">
        <v>1372</v>
      </c>
      <c r="N1480" t="s">
        <v>2591</v>
      </c>
      <c r="O1480">
        <v>24</v>
      </c>
    </row>
    <row r="1481" spans="2:15" x14ac:dyDescent="0.2">
      <c r="B1481" t="s">
        <v>1433</v>
      </c>
      <c r="C1481" t="s">
        <v>12893</v>
      </c>
      <c r="D1481" t="s">
        <v>613</v>
      </c>
      <c r="E1481" t="s">
        <v>7017</v>
      </c>
      <c r="F1481">
        <v>9265</v>
      </c>
      <c r="G1481" t="s">
        <v>2348</v>
      </c>
      <c r="L1481" t="s">
        <v>1433</v>
      </c>
      <c r="M1481" t="s">
        <v>1458</v>
      </c>
      <c r="N1481" t="s">
        <v>2591</v>
      </c>
      <c r="O1481">
        <v>12</v>
      </c>
    </row>
    <row r="1482" spans="2:15" x14ac:dyDescent="0.2">
      <c r="B1482" t="s">
        <v>1433</v>
      </c>
      <c r="C1482" t="s">
        <v>12893</v>
      </c>
      <c r="D1482" t="s">
        <v>613</v>
      </c>
      <c r="E1482" t="s">
        <v>7018</v>
      </c>
      <c r="F1482">
        <v>4900</v>
      </c>
      <c r="G1482" t="s">
        <v>2349</v>
      </c>
      <c r="L1482" t="s">
        <v>1433</v>
      </c>
      <c r="M1482" t="s">
        <v>1461</v>
      </c>
      <c r="N1482" t="s">
        <v>2591</v>
      </c>
      <c r="O1482">
        <v>12</v>
      </c>
    </row>
    <row r="1483" spans="2:15" x14ac:dyDescent="0.2">
      <c r="B1483" t="s">
        <v>1433</v>
      </c>
      <c r="C1483" t="s">
        <v>12893</v>
      </c>
      <c r="D1483" t="s">
        <v>613</v>
      </c>
      <c r="E1483" t="s">
        <v>7019</v>
      </c>
      <c r="F1483">
        <v>55707.82</v>
      </c>
      <c r="G1483" t="s">
        <v>2219</v>
      </c>
      <c r="L1483" t="s">
        <v>1433</v>
      </c>
      <c r="M1483" t="s">
        <v>1872</v>
      </c>
      <c r="N1483" t="s">
        <v>2591</v>
      </c>
      <c r="O1483">
        <v>12</v>
      </c>
    </row>
    <row r="1484" spans="2:15" x14ac:dyDescent="0.2">
      <c r="B1484" t="s">
        <v>1433</v>
      </c>
      <c r="C1484" t="s">
        <v>12893</v>
      </c>
      <c r="D1484" t="s">
        <v>613</v>
      </c>
      <c r="E1484" t="s">
        <v>7021</v>
      </c>
      <c r="F1484">
        <v>7958.26</v>
      </c>
      <c r="G1484" t="s">
        <v>2221</v>
      </c>
      <c r="L1484" t="s">
        <v>1433</v>
      </c>
      <c r="M1484" t="s">
        <v>1978</v>
      </c>
      <c r="N1484" t="s">
        <v>2592</v>
      </c>
      <c r="O1484">
        <v>50</v>
      </c>
    </row>
    <row r="1485" spans="2:15" x14ac:dyDescent="0.2">
      <c r="B1485" t="s">
        <v>1433</v>
      </c>
      <c r="C1485" t="s">
        <v>12893</v>
      </c>
      <c r="D1485" t="s">
        <v>613</v>
      </c>
      <c r="E1485" t="s">
        <v>7023</v>
      </c>
      <c r="F1485">
        <v>139609.15</v>
      </c>
      <c r="G1485" t="s">
        <v>2501</v>
      </c>
      <c r="L1485" t="s">
        <v>1433</v>
      </c>
      <c r="M1485" t="s">
        <v>1989</v>
      </c>
      <c r="N1485" t="s">
        <v>2592</v>
      </c>
      <c r="O1485">
        <v>20</v>
      </c>
    </row>
    <row r="1486" spans="2:15" x14ac:dyDescent="0.2">
      <c r="B1486" t="s">
        <v>1433</v>
      </c>
      <c r="C1486" t="s">
        <v>12893</v>
      </c>
      <c r="D1486" t="s">
        <v>613</v>
      </c>
      <c r="E1486" t="s">
        <v>7025</v>
      </c>
      <c r="F1486">
        <v>64434.35</v>
      </c>
      <c r="G1486" t="s">
        <v>2503</v>
      </c>
      <c r="L1486" t="s">
        <v>1433</v>
      </c>
      <c r="M1486" t="s">
        <v>1866</v>
      </c>
      <c r="N1486" t="s">
        <v>2593</v>
      </c>
      <c r="O1486">
        <v>400</v>
      </c>
    </row>
    <row r="1487" spans="2:15" x14ac:dyDescent="0.2">
      <c r="B1487" t="s">
        <v>1433</v>
      </c>
      <c r="C1487" t="s">
        <v>12893</v>
      </c>
      <c r="D1487" t="s">
        <v>613</v>
      </c>
      <c r="E1487" t="s">
        <v>7027</v>
      </c>
      <c r="F1487">
        <v>64434.35</v>
      </c>
      <c r="G1487" t="s">
        <v>2504</v>
      </c>
      <c r="L1487" t="s">
        <v>1433</v>
      </c>
      <c r="M1487" t="s">
        <v>1867</v>
      </c>
      <c r="N1487" t="s">
        <v>2593</v>
      </c>
      <c r="O1487">
        <v>400</v>
      </c>
    </row>
    <row r="1488" spans="2:15" x14ac:dyDescent="0.2">
      <c r="B1488" t="s">
        <v>1433</v>
      </c>
      <c r="C1488" t="s">
        <v>12893</v>
      </c>
      <c r="D1488" t="s">
        <v>613</v>
      </c>
      <c r="E1488" t="s">
        <v>7029</v>
      </c>
      <c r="F1488">
        <v>64434.35</v>
      </c>
      <c r="G1488" t="s">
        <v>2505</v>
      </c>
      <c r="L1488" t="s">
        <v>1433</v>
      </c>
      <c r="M1488" t="s">
        <v>1517</v>
      </c>
      <c r="N1488" t="s">
        <v>2594</v>
      </c>
      <c r="O1488">
        <v>6</v>
      </c>
    </row>
    <row r="1489" spans="2:15" x14ac:dyDescent="0.2">
      <c r="B1489" t="s">
        <v>1433</v>
      </c>
      <c r="C1489" t="s">
        <v>12893</v>
      </c>
      <c r="D1489" t="s">
        <v>613</v>
      </c>
      <c r="E1489" t="s">
        <v>7030</v>
      </c>
      <c r="F1489">
        <v>41795</v>
      </c>
      <c r="G1489" t="s">
        <v>2506</v>
      </c>
      <c r="L1489" t="s">
        <v>1433</v>
      </c>
      <c r="M1489" t="s">
        <v>1701</v>
      </c>
      <c r="N1489" t="s">
        <v>2594</v>
      </c>
      <c r="O1489">
        <v>6</v>
      </c>
    </row>
    <row r="1490" spans="2:15" x14ac:dyDescent="0.2">
      <c r="B1490" t="s">
        <v>1433</v>
      </c>
      <c r="C1490" t="s">
        <v>12893</v>
      </c>
      <c r="D1490" t="s">
        <v>613</v>
      </c>
      <c r="E1490" t="s">
        <v>7031</v>
      </c>
      <c r="F1490">
        <v>41795</v>
      </c>
      <c r="G1490" t="s">
        <v>2507</v>
      </c>
      <c r="L1490" t="s">
        <v>1433</v>
      </c>
      <c r="M1490" t="s">
        <v>1577</v>
      </c>
      <c r="N1490" t="s">
        <v>2594</v>
      </c>
      <c r="O1490">
        <v>6</v>
      </c>
    </row>
    <row r="1491" spans="2:15" x14ac:dyDescent="0.2">
      <c r="B1491" t="s">
        <v>1433</v>
      </c>
      <c r="C1491" t="s">
        <v>12893</v>
      </c>
      <c r="D1491" t="s">
        <v>613</v>
      </c>
      <c r="E1491" t="s">
        <v>7032</v>
      </c>
      <c r="F1491">
        <v>41795</v>
      </c>
      <c r="G1491" t="s">
        <v>2508</v>
      </c>
      <c r="L1491" t="s">
        <v>1433</v>
      </c>
      <c r="M1491" t="s">
        <v>1578</v>
      </c>
      <c r="N1491" t="s">
        <v>2594</v>
      </c>
      <c r="O1491">
        <v>1</v>
      </c>
    </row>
    <row r="1492" spans="2:15" x14ac:dyDescent="0.2">
      <c r="B1492" t="s">
        <v>1433</v>
      </c>
      <c r="C1492" t="s">
        <v>12893</v>
      </c>
      <c r="D1492" t="s">
        <v>613</v>
      </c>
      <c r="E1492" t="s">
        <v>7033</v>
      </c>
      <c r="F1492">
        <v>41795</v>
      </c>
      <c r="G1492" t="s">
        <v>2509</v>
      </c>
      <c r="L1492" t="s">
        <v>1433</v>
      </c>
      <c r="M1492" t="s">
        <v>2162</v>
      </c>
      <c r="N1492" t="s">
        <v>2594</v>
      </c>
      <c r="O1492">
        <v>1</v>
      </c>
    </row>
    <row r="1493" spans="2:15" x14ac:dyDescent="0.2">
      <c r="B1493" t="s">
        <v>1433</v>
      </c>
      <c r="C1493" t="s">
        <v>12893</v>
      </c>
      <c r="D1493" t="s">
        <v>613</v>
      </c>
      <c r="E1493" t="s">
        <v>7034</v>
      </c>
      <c r="F1493">
        <v>46304.51</v>
      </c>
      <c r="G1493" t="s">
        <v>1969</v>
      </c>
      <c r="L1493" t="s">
        <v>1433</v>
      </c>
      <c r="M1493" t="s">
        <v>2595</v>
      </c>
      <c r="N1493" t="s">
        <v>2594</v>
      </c>
      <c r="O1493">
        <v>2</v>
      </c>
    </row>
    <row r="1494" spans="2:15" x14ac:dyDescent="0.2">
      <c r="B1494" t="s">
        <v>1433</v>
      </c>
      <c r="C1494" t="s">
        <v>12893</v>
      </c>
      <c r="D1494" t="s">
        <v>613</v>
      </c>
      <c r="E1494" t="s">
        <v>7035</v>
      </c>
      <c r="F1494">
        <v>108043.86</v>
      </c>
      <c r="G1494" t="s">
        <v>1969</v>
      </c>
      <c r="L1494" t="s">
        <v>1433</v>
      </c>
      <c r="M1494" t="s">
        <v>2596</v>
      </c>
      <c r="N1494" t="s">
        <v>2594</v>
      </c>
      <c r="O1494">
        <v>4</v>
      </c>
    </row>
    <row r="1495" spans="2:15" x14ac:dyDescent="0.2">
      <c r="B1495" t="s">
        <v>1433</v>
      </c>
      <c r="C1495" t="s">
        <v>12893</v>
      </c>
      <c r="D1495" t="s">
        <v>613</v>
      </c>
      <c r="E1495" t="s">
        <v>7036</v>
      </c>
      <c r="F1495">
        <v>-154348.38</v>
      </c>
      <c r="G1495" t="s">
        <v>1969</v>
      </c>
      <c r="L1495" t="s">
        <v>1433</v>
      </c>
      <c r="M1495" t="s">
        <v>2211</v>
      </c>
      <c r="N1495" t="s">
        <v>2594</v>
      </c>
      <c r="O1495">
        <v>4</v>
      </c>
    </row>
    <row r="1496" spans="2:15" x14ac:dyDescent="0.2">
      <c r="B1496" t="s">
        <v>1433</v>
      </c>
      <c r="C1496" t="s">
        <v>12893</v>
      </c>
      <c r="D1496" t="s">
        <v>613</v>
      </c>
      <c r="E1496" t="s">
        <v>7037</v>
      </c>
      <c r="F1496">
        <v>40922.51</v>
      </c>
      <c r="G1496" t="s">
        <v>1969</v>
      </c>
      <c r="L1496" t="s">
        <v>1433</v>
      </c>
      <c r="M1496" t="s">
        <v>1568</v>
      </c>
      <c r="N1496" t="s">
        <v>2594</v>
      </c>
      <c r="O1496">
        <v>4</v>
      </c>
    </row>
    <row r="1497" spans="2:15" x14ac:dyDescent="0.2">
      <c r="B1497" t="s">
        <v>1433</v>
      </c>
      <c r="C1497" t="s">
        <v>12893</v>
      </c>
      <c r="D1497" t="s">
        <v>613</v>
      </c>
      <c r="E1497" t="s">
        <v>7038</v>
      </c>
      <c r="F1497">
        <v>95485.86</v>
      </c>
      <c r="G1497" t="s">
        <v>1969</v>
      </c>
      <c r="L1497" t="s">
        <v>1433</v>
      </c>
      <c r="M1497" t="s">
        <v>1532</v>
      </c>
      <c r="N1497" t="s">
        <v>2597</v>
      </c>
      <c r="O1497">
        <v>16</v>
      </c>
    </row>
    <row r="1498" spans="2:15" x14ac:dyDescent="0.2">
      <c r="B1498" t="s">
        <v>1433</v>
      </c>
      <c r="C1498" t="s">
        <v>12893</v>
      </c>
      <c r="D1498" t="s">
        <v>613</v>
      </c>
      <c r="E1498" t="s">
        <v>7039</v>
      </c>
      <c r="F1498">
        <v>13640.84</v>
      </c>
      <c r="G1498" t="s">
        <v>1969</v>
      </c>
      <c r="L1498" t="s">
        <v>1433</v>
      </c>
      <c r="M1498" t="s">
        <v>2598</v>
      </c>
      <c r="N1498" t="s">
        <v>2597</v>
      </c>
      <c r="O1498">
        <v>4</v>
      </c>
    </row>
    <row r="1499" spans="2:15" x14ac:dyDescent="0.2">
      <c r="B1499" t="s">
        <v>1433</v>
      </c>
      <c r="C1499" t="s">
        <v>12893</v>
      </c>
      <c r="D1499" t="s">
        <v>613</v>
      </c>
      <c r="E1499" t="s">
        <v>7040</v>
      </c>
      <c r="F1499">
        <v>31828.63</v>
      </c>
      <c r="G1499" t="s">
        <v>1969</v>
      </c>
      <c r="L1499" t="s">
        <v>1433</v>
      </c>
      <c r="M1499" t="s">
        <v>2599</v>
      </c>
      <c r="N1499" t="s">
        <v>2597</v>
      </c>
      <c r="O1499">
        <v>4</v>
      </c>
    </row>
    <row r="1500" spans="2:15" x14ac:dyDescent="0.2">
      <c r="B1500" t="s">
        <v>1433</v>
      </c>
      <c r="C1500" t="s">
        <v>12893</v>
      </c>
      <c r="D1500" t="s">
        <v>613</v>
      </c>
      <c r="E1500" t="s">
        <v>7041</v>
      </c>
      <c r="F1500">
        <v>3890</v>
      </c>
      <c r="G1500" t="s">
        <v>1223</v>
      </c>
      <c r="L1500" t="s">
        <v>1433</v>
      </c>
      <c r="M1500" t="s">
        <v>2600</v>
      </c>
      <c r="N1500" t="s">
        <v>2597</v>
      </c>
      <c r="O1500">
        <v>4</v>
      </c>
    </row>
    <row r="1501" spans="2:15" x14ac:dyDescent="0.2">
      <c r="B1501" t="s">
        <v>1433</v>
      </c>
      <c r="C1501" t="s">
        <v>12893</v>
      </c>
      <c r="D1501" t="s">
        <v>613</v>
      </c>
      <c r="E1501" t="s">
        <v>7042</v>
      </c>
      <c r="F1501">
        <v>778</v>
      </c>
      <c r="G1501" t="s">
        <v>1223</v>
      </c>
      <c r="L1501" t="s">
        <v>1433</v>
      </c>
      <c r="M1501" t="s">
        <v>2601</v>
      </c>
      <c r="N1501" t="s">
        <v>2597</v>
      </c>
      <c r="O1501">
        <v>4</v>
      </c>
    </row>
    <row r="1502" spans="2:15" x14ac:dyDescent="0.2">
      <c r="B1502" t="s">
        <v>1433</v>
      </c>
      <c r="C1502" t="s">
        <v>12893</v>
      </c>
      <c r="D1502" t="s">
        <v>613</v>
      </c>
      <c r="E1502" t="s">
        <v>7043</v>
      </c>
      <c r="F1502">
        <v>12024</v>
      </c>
      <c r="G1502" t="s">
        <v>1225</v>
      </c>
      <c r="L1502" t="s">
        <v>1433</v>
      </c>
      <c r="M1502" t="s">
        <v>2602</v>
      </c>
      <c r="N1502" t="s">
        <v>2597</v>
      </c>
      <c r="O1502">
        <v>2</v>
      </c>
    </row>
    <row r="1503" spans="2:15" x14ac:dyDescent="0.2">
      <c r="B1503" t="s">
        <v>1433</v>
      </c>
      <c r="C1503" t="s">
        <v>12893</v>
      </c>
      <c r="D1503" t="s">
        <v>613</v>
      </c>
      <c r="E1503" t="s">
        <v>7044</v>
      </c>
      <c r="F1503">
        <v>774.76</v>
      </c>
      <c r="G1503" t="s">
        <v>1237</v>
      </c>
      <c r="L1503" t="s">
        <v>1433</v>
      </c>
      <c r="M1503" t="s">
        <v>2603</v>
      </c>
      <c r="N1503" t="s">
        <v>2597</v>
      </c>
      <c r="O1503">
        <v>2</v>
      </c>
    </row>
    <row r="1504" spans="2:15" x14ac:dyDescent="0.2">
      <c r="B1504" t="s">
        <v>1433</v>
      </c>
      <c r="C1504" t="s">
        <v>12893</v>
      </c>
      <c r="D1504" t="s">
        <v>613</v>
      </c>
      <c r="E1504" t="s">
        <v>7045</v>
      </c>
      <c r="F1504">
        <v>376.69</v>
      </c>
      <c r="G1504" t="s">
        <v>1226</v>
      </c>
      <c r="L1504" t="s">
        <v>1433</v>
      </c>
      <c r="M1504" t="s">
        <v>2604</v>
      </c>
      <c r="N1504" t="s">
        <v>2597</v>
      </c>
      <c r="O1504">
        <v>2</v>
      </c>
    </row>
    <row r="1505" spans="2:15" x14ac:dyDescent="0.2">
      <c r="B1505" t="s">
        <v>1433</v>
      </c>
      <c r="C1505" t="s">
        <v>12893</v>
      </c>
      <c r="D1505" t="s">
        <v>613</v>
      </c>
      <c r="E1505" t="s">
        <v>7046</v>
      </c>
      <c r="F1505">
        <v>710.62</v>
      </c>
      <c r="G1505" t="s">
        <v>1228</v>
      </c>
      <c r="L1505" t="s">
        <v>1433</v>
      </c>
      <c r="M1505" t="s">
        <v>2605</v>
      </c>
      <c r="N1505" t="s">
        <v>2606</v>
      </c>
      <c r="O1505">
        <v>2</v>
      </c>
    </row>
    <row r="1506" spans="2:15" x14ac:dyDescent="0.2">
      <c r="B1506" t="s">
        <v>1433</v>
      </c>
      <c r="C1506" t="s">
        <v>12893</v>
      </c>
      <c r="D1506" t="s">
        <v>613</v>
      </c>
      <c r="E1506" t="s">
        <v>7047</v>
      </c>
      <c r="F1506">
        <v>366</v>
      </c>
      <c r="G1506" t="s">
        <v>1232</v>
      </c>
      <c r="L1506" t="s">
        <v>1433</v>
      </c>
      <c r="M1506" t="s">
        <v>2607</v>
      </c>
      <c r="N1506" t="s">
        <v>2606</v>
      </c>
      <c r="O1506">
        <v>2</v>
      </c>
    </row>
    <row r="1507" spans="2:15" x14ac:dyDescent="0.2">
      <c r="B1507" t="s">
        <v>1433</v>
      </c>
      <c r="C1507" t="s">
        <v>12893</v>
      </c>
      <c r="D1507" t="s">
        <v>613</v>
      </c>
      <c r="E1507" t="s">
        <v>7048</v>
      </c>
      <c r="F1507">
        <v>753.37</v>
      </c>
      <c r="G1507" t="s">
        <v>1234</v>
      </c>
      <c r="L1507" t="s">
        <v>1433</v>
      </c>
      <c r="M1507" t="s">
        <v>1388</v>
      </c>
      <c r="N1507" t="s">
        <v>2608</v>
      </c>
      <c r="O1507">
        <v>100</v>
      </c>
    </row>
    <row r="1508" spans="2:15" x14ac:dyDescent="0.2">
      <c r="B1508" t="s">
        <v>1433</v>
      </c>
      <c r="C1508" t="s">
        <v>12893</v>
      </c>
      <c r="D1508" t="s">
        <v>613</v>
      </c>
      <c r="E1508" t="s">
        <v>7049</v>
      </c>
      <c r="F1508">
        <v>387.38</v>
      </c>
      <c r="G1508" t="s">
        <v>1229</v>
      </c>
      <c r="L1508" t="s">
        <v>1433</v>
      </c>
      <c r="M1508" t="s">
        <v>1619</v>
      </c>
      <c r="N1508" t="s">
        <v>2609</v>
      </c>
      <c r="O1508">
        <v>8</v>
      </c>
    </row>
    <row r="1509" spans="2:15" x14ac:dyDescent="0.2">
      <c r="B1509" t="s">
        <v>1433</v>
      </c>
      <c r="C1509" t="s">
        <v>12893</v>
      </c>
      <c r="D1509" t="s">
        <v>613</v>
      </c>
      <c r="E1509" t="s">
        <v>7050</v>
      </c>
      <c r="F1509">
        <v>2049.9899999999998</v>
      </c>
      <c r="G1509" t="s">
        <v>1231</v>
      </c>
      <c r="L1509" t="s">
        <v>1433</v>
      </c>
      <c r="M1509" t="s">
        <v>2610</v>
      </c>
      <c r="N1509" t="s">
        <v>2611</v>
      </c>
      <c r="O1509">
        <v>1</v>
      </c>
    </row>
    <row r="1510" spans="2:15" x14ac:dyDescent="0.2">
      <c r="B1510" t="s">
        <v>1433</v>
      </c>
      <c r="C1510" t="s">
        <v>12893</v>
      </c>
      <c r="D1510" t="s">
        <v>613</v>
      </c>
      <c r="E1510" t="s">
        <v>7051</v>
      </c>
      <c r="F1510">
        <v>5382</v>
      </c>
      <c r="G1510" t="s">
        <v>2448</v>
      </c>
      <c r="L1510" t="s">
        <v>1433</v>
      </c>
      <c r="M1510" t="s">
        <v>2612</v>
      </c>
      <c r="N1510" t="s">
        <v>2611</v>
      </c>
      <c r="O1510">
        <v>1</v>
      </c>
    </row>
    <row r="1511" spans="2:15" x14ac:dyDescent="0.2">
      <c r="B1511" t="s">
        <v>1433</v>
      </c>
      <c r="C1511" t="s">
        <v>12893</v>
      </c>
      <c r="D1511" t="s">
        <v>613</v>
      </c>
      <c r="E1511" t="s">
        <v>7052</v>
      </c>
      <c r="F1511">
        <v>12558</v>
      </c>
      <c r="G1511" t="s">
        <v>2448</v>
      </c>
      <c r="L1511" t="s">
        <v>1433</v>
      </c>
      <c r="M1511" t="s">
        <v>2613</v>
      </c>
      <c r="N1511" t="s">
        <v>2614</v>
      </c>
      <c r="O1511">
        <v>16</v>
      </c>
    </row>
    <row r="1512" spans="2:15" x14ac:dyDescent="0.2">
      <c r="B1512" t="s">
        <v>1433</v>
      </c>
      <c r="C1512" t="s">
        <v>12893</v>
      </c>
      <c r="D1512" t="s">
        <v>613</v>
      </c>
      <c r="E1512" t="s">
        <v>7053</v>
      </c>
      <c r="F1512">
        <v>6815</v>
      </c>
      <c r="G1512" t="s">
        <v>2673</v>
      </c>
      <c r="L1512" t="s">
        <v>1433</v>
      </c>
      <c r="M1512" t="s">
        <v>2615</v>
      </c>
      <c r="N1512" t="s">
        <v>2616</v>
      </c>
      <c r="O1512">
        <v>16</v>
      </c>
    </row>
    <row r="1513" spans="2:15" x14ac:dyDescent="0.2">
      <c r="B1513" t="s">
        <v>1433</v>
      </c>
      <c r="C1513" t="s">
        <v>12893</v>
      </c>
      <c r="D1513" t="s">
        <v>613</v>
      </c>
      <c r="E1513" t="s">
        <v>7054</v>
      </c>
      <c r="F1513">
        <v>41148.089999999997</v>
      </c>
      <c r="G1513" t="s">
        <v>2673</v>
      </c>
      <c r="L1513" t="s">
        <v>1433</v>
      </c>
      <c r="M1513" t="s">
        <v>1917</v>
      </c>
      <c r="N1513" t="s">
        <v>2616</v>
      </c>
      <c r="O1513">
        <v>8</v>
      </c>
    </row>
    <row r="1514" spans="2:15" x14ac:dyDescent="0.2">
      <c r="B1514" t="s">
        <v>1433</v>
      </c>
      <c r="C1514" t="s">
        <v>12893</v>
      </c>
      <c r="D1514" t="s">
        <v>613</v>
      </c>
      <c r="E1514" t="s">
        <v>7055</v>
      </c>
      <c r="F1514">
        <v>7700</v>
      </c>
      <c r="G1514" t="s">
        <v>2675</v>
      </c>
      <c r="L1514" t="s">
        <v>1433</v>
      </c>
      <c r="M1514" t="s">
        <v>1806</v>
      </c>
      <c r="N1514" t="s">
        <v>2616</v>
      </c>
      <c r="O1514">
        <v>24</v>
      </c>
    </row>
    <row r="1515" spans="2:15" x14ac:dyDescent="0.2">
      <c r="B1515" t="s">
        <v>1433</v>
      </c>
      <c r="C1515" t="s">
        <v>12893</v>
      </c>
      <c r="D1515" t="s">
        <v>613</v>
      </c>
      <c r="E1515" t="s">
        <v>7056</v>
      </c>
      <c r="F1515">
        <v>35889</v>
      </c>
      <c r="G1515" t="s">
        <v>2675</v>
      </c>
      <c r="L1515" t="s">
        <v>1433</v>
      </c>
      <c r="M1515" t="s">
        <v>1918</v>
      </c>
      <c r="N1515" t="s">
        <v>2616</v>
      </c>
      <c r="O1515">
        <v>200</v>
      </c>
    </row>
    <row r="1516" spans="2:15" x14ac:dyDescent="0.2">
      <c r="B1516" t="s">
        <v>1433</v>
      </c>
      <c r="C1516" t="s">
        <v>12893</v>
      </c>
      <c r="D1516" t="s">
        <v>613</v>
      </c>
      <c r="E1516" t="s">
        <v>7057</v>
      </c>
      <c r="F1516">
        <v>5382</v>
      </c>
      <c r="G1516" t="s">
        <v>2448</v>
      </c>
      <c r="L1516" t="s">
        <v>1433</v>
      </c>
      <c r="M1516" t="s">
        <v>2067</v>
      </c>
      <c r="N1516" t="s">
        <v>2616</v>
      </c>
      <c r="O1516">
        <v>16</v>
      </c>
    </row>
    <row r="1517" spans="2:15" x14ac:dyDescent="0.2">
      <c r="B1517" t="s">
        <v>1433</v>
      </c>
      <c r="C1517" t="s">
        <v>12893</v>
      </c>
      <c r="D1517" t="s">
        <v>613</v>
      </c>
      <c r="E1517" t="s">
        <v>7058</v>
      </c>
      <c r="F1517">
        <v>598</v>
      </c>
      <c r="G1517" t="s">
        <v>2448</v>
      </c>
      <c r="L1517" t="s">
        <v>1433</v>
      </c>
      <c r="M1517" t="s">
        <v>1919</v>
      </c>
      <c r="N1517" t="s">
        <v>2616</v>
      </c>
      <c r="O1517">
        <v>24</v>
      </c>
    </row>
    <row r="1518" spans="2:15" x14ac:dyDescent="0.2">
      <c r="B1518" t="s">
        <v>1433</v>
      </c>
      <c r="C1518" t="s">
        <v>12893</v>
      </c>
      <c r="D1518" t="s">
        <v>613</v>
      </c>
      <c r="E1518" t="s">
        <v>7059</v>
      </c>
      <c r="F1518">
        <v>7642.5</v>
      </c>
      <c r="G1518" t="s">
        <v>2716</v>
      </c>
      <c r="L1518" t="s">
        <v>1433</v>
      </c>
      <c r="M1518" t="s">
        <v>2617</v>
      </c>
      <c r="N1518" t="s">
        <v>2618</v>
      </c>
      <c r="O1518">
        <v>200</v>
      </c>
    </row>
    <row r="1519" spans="2:15" x14ac:dyDescent="0.2">
      <c r="B1519" t="s">
        <v>1433</v>
      </c>
      <c r="C1519" t="s">
        <v>12893</v>
      </c>
      <c r="D1519" t="s">
        <v>621</v>
      </c>
      <c r="E1519" t="s">
        <v>7060</v>
      </c>
      <c r="F1519">
        <v>27925.58</v>
      </c>
      <c r="G1519" t="s">
        <v>3230</v>
      </c>
      <c r="L1519" t="s">
        <v>1433</v>
      </c>
      <c r="M1519" t="s">
        <v>2619</v>
      </c>
      <c r="N1519" t="s">
        <v>2620</v>
      </c>
      <c r="O1519">
        <v>1</v>
      </c>
    </row>
    <row r="1520" spans="2:15" x14ac:dyDescent="0.2">
      <c r="B1520" t="s">
        <v>1433</v>
      </c>
      <c r="C1520" t="s">
        <v>12893</v>
      </c>
      <c r="D1520" t="s">
        <v>621</v>
      </c>
      <c r="E1520" t="s">
        <v>7061</v>
      </c>
      <c r="F1520">
        <v>51861.79</v>
      </c>
      <c r="G1520" t="s">
        <v>3230</v>
      </c>
      <c r="L1520" t="s">
        <v>1433</v>
      </c>
      <c r="M1520" t="s">
        <v>2621</v>
      </c>
      <c r="N1520" t="s">
        <v>2622</v>
      </c>
      <c r="O1520">
        <v>12</v>
      </c>
    </row>
    <row r="1521" spans="2:15" x14ac:dyDescent="0.2">
      <c r="B1521" t="s">
        <v>1433</v>
      </c>
      <c r="C1521" t="s">
        <v>12893</v>
      </c>
      <c r="D1521" t="s">
        <v>613</v>
      </c>
      <c r="E1521" t="s">
        <v>7062</v>
      </c>
      <c r="F1521">
        <v>11581.96</v>
      </c>
      <c r="G1521" t="s">
        <v>2688</v>
      </c>
      <c r="L1521" t="s">
        <v>1433</v>
      </c>
      <c r="M1521" t="s">
        <v>2623</v>
      </c>
      <c r="N1521" t="s">
        <v>2624</v>
      </c>
      <c r="O1521">
        <v>1</v>
      </c>
    </row>
    <row r="1522" spans="2:15" x14ac:dyDescent="0.2">
      <c r="B1522" t="s">
        <v>1433</v>
      </c>
      <c r="C1522" t="s">
        <v>12893</v>
      </c>
      <c r="D1522" t="s">
        <v>613</v>
      </c>
      <c r="E1522" t="s">
        <v>7063</v>
      </c>
      <c r="F1522">
        <v>8373.5400000000009</v>
      </c>
      <c r="G1522" t="s">
        <v>2763</v>
      </c>
      <c r="L1522" t="s">
        <v>1433</v>
      </c>
      <c r="M1522" t="s">
        <v>2625</v>
      </c>
      <c r="N1522" t="s">
        <v>2624</v>
      </c>
      <c r="O1522">
        <v>1</v>
      </c>
    </row>
    <row r="1523" spans="2:15" x14ac:dyDescent="0.2">
      <c r="B1523" t="s">
        <v>1433</v>
      </c>
      <c r="C1523" t="s">
        <v>12893</v>
      </c>
      <c r="D1523" t="s">
        <v>613</v>
      </c>
      <c r="E1523" t="s">
        <v>7064</v>
      </c>
      <c r="F1523">
        <v>164.72</v>
      </c>
      <c r="G1523" t="s">
        <v>2902</v>
      </c>
      <c r="L1523" t="s">
        <v>1433</v>
      </c>
      <c r="M1523" t="s">
        <v>1919</v>
      </c>
      <c r="N1523" t="s">
        <v>2626</v>
      </c>
      <c r="O1523">
        <v>150</v>
      </c>
    </row>
    <row r="1524" spans="2:15" x14ac:dyDescent="0.2">
      <c r="B1524" t="s">
        <v>1433</v>
      </c>
      <c r="C1524" t="s">
        <v>12893</v>
      </c>
      <c r="D1524" t="s">
        <v>613</v>
      </c>
      <c r="E1524" t="s">
        <v>7065</v>
      </c>
      <c r="F1524">
        <v>59436.13</v>
      </c>
      <c r="G1524" t="s">
        <v>2876</v>
      </c>
      <c r="L1524" t="s">
        <v>1433</v>
      </c>
      <c r="M1524" t="s">
        <v>2330</v>
      </c>
      <c r="N1524" t="s">
        <v>2627</v>
      </c>
      <c r="O1524">
        <v>1</v>
      </c>
    </row>
    <row r="1525" spans="2:15" x14ac:dyDescent="0.2">
      <c r="B1525" t="s">
        <v>1433</v>
      </c>
      <c r="C1525" t="s">
        <v>12893</v>
      </c>
      <c r="D1525" t="s">
        <v>613</v>
      </c>
      <c r="E1525" t="s">
        <v>7066</v>
      </c>
      <c r="F1525">
        <v>41016</v>
      </c>
      <c r="G1525" t="s">
        <v>2877</v>
      </c>
      <c r="L1525" t="s">
        <v>1433</v>
      </c>
      <c r="M1525" t="s">
        <v>2628</v>
      </c>
      <c r="N1525" t="s">
        <v>2489</v>
      </c>
      <c r="O1525">
        <v>1</v>
      </c>
    </row>
    <row r="1526" spans="2:15" x14ac:dyDescent="0.2">
      <c r="B1526" t="s">
        <v>1433</v>
      </c>
      <c r="C1526" t="s">
        <v>12893</v>
      </c>
      <c r="D1526" t="s">
        <v>613</v>
      </c>
      <c r="E1526" t="s">
        <v>7067</v>
      </c>
      <c r="F1526">
        <v>12998.66</v>
      </c>
      <c r="G1526" t="s">
        <v>3023</v>
      </c>
      <c r="L1526" t="s">
        <v>1433</v>
      </c>
      <c r="M1526" t="s">
        <v>2629</v>
      </c>
      <c r="N1526" t="s">
        <v>2630</v>
      </c>
      <c r="O1526">
        <v>1</v>
      </c>
    </row>
    <row r="1527" spans="2:15" x14ac:dyDescent="0.2">
      <c r="B1527" t="s">
        <v>1433</v>
      </c>
      <c r="C1527" t="s">
        <v>12893</v>
      </c>
      <c r="D1527" t="s">
        <v>613</v>
      </c>
      <c r="E1527" t="s">
        <v>7068</v>
      </c>
      <c r="F1527">
        <v>15381</v>
      </c>
      <c r="G1527" t="s">
        <v>2877</v>
      </c>
      <c r="L1527" t="s">
        <v>1433</v>
      </c>
      <c r="M1527" t="s">
        <v>2631</v>
      </c>
      <c r="N1527" t="s">
        <v>2630</v>
      </c>
      <c r="O1527">
        <v>1</v>
      </c>
    </row>
    <row r="1528" spans="2:15" x14ac:dyDescent="0.2">
      <c r="B1528" t="s">
        <v>1433</v>
      </c>
      <c r="C1528" t="s">
        <v>12893</v>
      </c>
      <c r="D1528" t="s">
        <v>613</v>
      </c>
      <c r="E1528" t="s">
        <v>7069</v>
      </c>
      <c r="F1528">
        <v>6749.08</v>
      </c>
      <c r="G1528" t="s">
        <v>3025</v>
      </c>
      <c r="L1528" t="s">
        <v>1433</v>
      </c>
      <c r="M1528" t="s">
        <v>2632</v>
      </c>
      <c r="N1528" t="s">
        <v>2630</v>
      </c>
      <c r="O1528">
        <v>1</v>
      </c>
    </row>
    <row r="1529" spans="2:15" x14ac:dyDescent="0.2">
      <c r="B1529" t="s">
        <v>1433</v>
      </c>
      <c r="C1529" t="s">
        <v>12893</v>
      </c>
      <c r="D1529" t="s">
        <v>613</v>
      </c>
      <c r="E1529" t="s">
        <v>7070</v>
      </c>
      <c r="F1529">
        <v>585</v>
      </c>
      <c r="G1529" t="s">
        <v>3399</v>
      </c>
      <c r="L1529" t="s">
        <v>1433</v>
      </c>
      <c r="M1529" t="s">
        <v>2633</v>
      </c>
      <c r="N1529" t="s">
        <v>2630</v>
      </c>
      <c r="O1529">
        <v>1</v>
      </c>
    </row>
    <row r="1530" spans="2:15" x14ac:dyDescent="0.2">
      <c r="B1530" t="s">
        <v>1433</v>
      </c>
      <c r="C1530" t="s">
        <v>12893</v>
      </c>
      <c r="D1530" t="s">
        <v>613</v>
      </c>
      <c r="E1530" t="s">
        <v>7071</v>
      </c>
      <c r="F1530">
        <v>1896</v>
      </c>
      <c r="G1530" t="s">
        <v>3392</v>
      </c>
      <c r="L1530" t="s">
        <v>1433</v>
      </c>
      <c r="M1530" t="s">
        <v>2634</v>
      </c>
      <c r="N1530" t="s">
        <v>2630</v>
      </c>
      <c r="O1530">
        <v>1</v>
      </c>
    </row>
    <row r="1531" spans="2:15" x14ac:dyDescent="0.2">
      <c r="B1531" t="s">
        <v>1433</v>
      </c>
      <c r="C1531" t="s">
        <v>12893</v>
      </c>
      <c r="D1531" t="s">
        <v>613</v>
      </c>
      <c r="E1531" t="s">
        <v>7072</v>
      </c>
      <c r="F1531">
        <v>5595</v>
      </c>
      <c r="G1531" t="s">
        <v>3609</v>
      </c>
      <c r="L1531" t="s">
        <v>1433</v>
      </c>
      <c r="M1531" t="s">
        <v>2635</v>
      </c>
      <c r="N1531" t="s">
        <v>2630</v>
      </c>
      <c r="O1531">
        <v>1</v>
      </c>
    </row>
    <row r="1532" spans="2:15" x14ac:dyDescent="0.2">
      <c r="B1532" t="s">
        <v>1433</v>
      </c>
      <c r="C1532" t="s">
        <v>12893</v>
      </c>
      <c r="D1532" t="s">
        <v>613</v>
      </c>
      <c r="E1532" t="s">
        <v>7073</v>
      </c>
      <c r="F1532">
        <v>2286.88</v>
      </c>
      <c r="G1532" t="s">
        <v>3461</v>
      </c>
      <c r="L1532" t="s">
        <v>1433</v>
      </c>
      <c r="M1532" t="s">
        <v>2636</v>
      </c>
      <c r="N1532" t="s">
        <v>2630</v>
      </c>
      <c r="O1532">
        <v>1</v>
      </c>
    </row>
    <row r="1533" spans="2:15" x14ac:dyDescent="0.2">
      <c r="B1533" t="s">
        <v>1433</v>
      </c>
      <c r="C1533" t="s">
        <v>12893</v>
      </c>
      <c r="D1533" t="s">
        <v>613</v>
      </c>
      <c r="E1533" t="s">
        <v>7074</v>
      </c>
      <c r="F1533">
        <v>117.08</v>
      </c>
      <c r="G1533" t="s">
        <v>3513</v>
      </c>
      <c r="L1533" t="s">
        <v>1433</v>
      </c>
      <c r="M1533" t="s">
        <v>2637</v>
      </c>
      <c r="N1533" t="s">
        <v>2638</v>
      </c>
      <c r="O1533">
        <v>1</v>
      </c>
    </row>
    <row r="1534" spans="2:15" x14ac:dyDescent="0.2">
      <c r="B1534" t="s">
        <v>1433</v>
      </c>
      <c r="C1534" t="s">
        <v>12893</v>
      </c>
      <c r="D1534" t="s">
        <v>613</v>
      </c>
      <c r="E1534" t="s">
        <v>7075</v>
      </c>
      <c r="F1534">
        <v>6900</v>
      </c>
      <c r="G1534" t="s">
        <v>3948</v>
      </c>
      <c r="L1534" t="s">
        <v>1433</v>
      </c>
      <c r="M1534" t="s">
        <v>2639</v>
      </c>
      <c r="N1534" t="s">
        <v>2638</v>
      </c>
      <c r="O1534">
        <v>1</v>
      </c>
    </row>
    <row r="1535" spans="2:15" x14ac:dyDescent="0.2">
      <c r="B1535" t="s">
        <v>1433</v>
      </c>
      <c r="C1535" t="s">
        <v>12894</v>
      </c>
      <c r="D1535" t="s">
        <v>760</v>
      </c>
      <c r="E1535" t="s">
        <v>7079</v>
      </c>
      <c r="F1535">
        <v>6895</v>
      </c>
      <c r="G1535" t="s">
        <v>1221</v>
      </c>
      <c r="L1535" t="s">
        <v>1433</v>
      </c>
      <c r="M1535" t="s">
        <v>2640</v>
      </c>
      <c r="N1535" t="s">
        <v>2638</v>
      </c>
      <c r="O1535">
        <v>1</v>
      </c>
    </row>
    <row r="1536" spans="2:15" x14ac:dyDescent="0.2">
      <c r="B1536" t="s">
        <v>1433</v>
      </c>
      <c r="C1536" t="s">
        <v>12894</v>
      </c>
      <c r="D1536" t="s">
        <v>730</v>
      </c>
      <c r="E1536" t="s">
        <v>7096</v>
      </c>
      <c r="F1536">
        <v>25391.599999999999</v>
      </c>
      <c r="G1536" t="s">
        <v>1249</v>
      </c>
      <c r="L1536" t="s">
        <v>1433</v>
      </c>
      <c r="M1536" t="s">
        <v>2641</v>
      </c>
      <c r="N1536" t="s">
        <v>2638</v>
      </c>
      <c r="O1536">
        <v>1</v>
      </c>
    </row>
    <row r="1537" spans="2:15" x14ac:dyDescent="0.2">
      <c r="B1537" t="s">
        <v>1433</v>
      </c>
      <c r="C1537" t="s">
        <v>12894</v>
      </c>
      <c r="D1537" t="s">
        <v>730</v>
      </c>
      <c r="E1537" t="s">
        <v>7170</v>
      </c>
      <c r="F1537">
        <v>12695.8</v>
      </c>
      <c r="G1537" t="s">
        <v>1249</v>
      </c>
      <c r="L1537" t="s">
        <v>1433</v>
      </c>
      <c r="M1537" t="s">
        <v>2642</v>
      </c>
      <c r="N1537" t="s">
        <v>2638</v>
      </c>
      <c r="O1537">
        <v>1</v>
      </c>
    </row>
    <row r="1538" spans="2:15" x14ac:dyDescent="0.2">
      <c r="B1538" t="s">
        <v>1433</v>
      </c>
      <c r="C1538" t="s">
        <v>12894</v>
      </c>
      <c r="D1538" t="s">
        <v>730</v>
      </c>
      <c r="E1538" t="s">
        <v>7176</v>
      </c>
      <c r="F1538">
        <v>5078.32</v>
      </c>
      <c r="G1538" t="s">
        <v>1249</v>
      </c>
      <c r="L1538" t="s">
        <v>1433</v>
      </c>
      <c r="M1538" t="s">
        <v>2643</v>
      </c>
      <c r="N1538" t="s">
        <v>2638</v>
      </c>
      <c r="O1538">
        <v>1</v>
      </c>
    </row>
    <row r="1539" spans="2:15" x14ac:dyDescent="0.2">
      <c r="B1539" t="s">
        <v>1433</v>
      </c>
      <c r="C1539" t="s">
        <v>12894</v>
      </c>
      <c r="D1539" t="s">
        <v>730</v>
      </c>
      <c r="E1539" t="s">
        <v>7182</v>
      </c>
      <c r="F1539">
        <v>2539.16</v>
      </c>
      <c r="G1539" t="s">
        <v>1249</v>
      </c>
      <c r="L1539" t="s">
        <v>1433</v>
      </c>
      <c r="M1539" t="s">
        <v>2644</v>
      </c>
      <c r="N1539" t="s">
        <v>2645</v>
      </c>
      <c r="O1539">
        <v>500</v>
      </c>
    </row>
    <row r="1540" spans="2:15" x14ac:dyDescent="0.2">
      <c r="B1540" t="s">
        <v>1433</v>
      </c>
      <c r="C1540" t="s">
        <v>12894</v>
      </c>
      <c r="D1540" t="s">
        <v>730</v>
      </c>
      <c r="E1540" t="s">
        <v>7183</v>
      </c>
      <c r="F1540">
        <v>5078.32</v>
      </c>
      <c r="G1540" t="s">
        <v>1249</v>
      </c>
      <c r="L1540" t="s">
        <v>1433</v>
      </c>
      <c r="M1540" t="s">
        <v>2646</v>
      </c>
      <c r="N1540" t="s">
        <v>2647</v>
      </c>
      <c r="O1540">
        <v>1</v>
      </c>
    </row>
    <row r="1541" spans="2:15" x14ac:dyDescent="0.2">
      <c r="B1541" t="s">
        <v>1433</v>
      </c>
      <c r="C1541" t="s">
        <v>12894</v>
      </c>
      <c r="D1541" t="s">
        <v>760</v>
      </c>
      <c r="E1541" t="s">
        <v>7184</v>
      </c>
      <c r="F1541">
        <v>5985</v>
      </c>
      <c r="G1541" t="s">
        <v>1398</v>
      </c>
      <c r="L1541" t="s">
        <v>1433</v>
      </c>
      <c r="M1541" t="s">
        <v>2648</v>
      </c>
      <c r="N1541" t="s">
        <v>2647</v>
      </c>
      <c r="O1541">
        <v>1</v>
      </c>
    </row>
    <row r="1542" spans="2:15" x14ac:dyDescent="0.2">
      <c r="B1542" t="s">
        <v>1433</v>
      </c>
      <c r="C1542" t="s">
        <v>12894</v>
      </c>
      <c r="D1542" t="s">
        <v>760</v>
      </c>
      <c r="E1542" t="s">
        <v>7219</v>
      </c>
      <c r="F1542">
        <v>5740</v>
      </c>
      <c r="G1542" t="s">
        <v>2758</v>
      </c>
      <c r="L1542" t="s">
        <v>1433</v>
      </c>
      <c r="M1542" t="s">
        <v>1624</v>
      </c>
      <c r="N1542" t="s">
        <v>2649</v>
      </c>
      <c r="O1542">
        <v>72</v>
      </c>
    </row>
    <row r="1543" spans="2:15" x14ac:dyDescent="0.2">
      <c r="B1543" t="s">
        <v>1433</v>
      </c>
      <c r="C1543" t="s">
        <v>12894</v>
      </c>
      <c r="D1543" t="s">
        <v>730</v>
      </c>
      <c r="E1543" t="s">
        <v>7220</v>
      </c>
      <c r="F1543">
        <v>3412.5</v>
      </c>
      <c r="G1543" t="s">
        <v>3013</v>
      </c>
      <c r="L1543" t="s">
        <v>1433</v>
      </c>
      <c r="M1543" t="s">
        <v>1627</v>
      </c>
      <c r="N1543" t="s">
        <v>2649</v>
      </c>
      <c r="O1543">
        <v>36</v>
      </c>
    </row>
    <row r="1544" spans="2:15" x14ac:dyDescent="0.2">
      <c r="B1544" t="s">
        <v>1433</v>
      </c>
      <c r="C1544" t="s">
        <v>12894</v>
      </c>
      <c r="D1544" t="s">
        <v>345</v>
      </c>
      <c r="E1544" t="s">
        <v>7221</v>
      </c>
      <c r="F1544">
        <v>1270.7</v>
      </c>
      <c r="G1544" t="s">
        <v>7081</v>
      </c>
      <c r="L1544" t="s">
        <v>1433</v>
      </c>
      <c r="M1544" t="s">
        <v>1628</v>
      </c>
      <c r="N1544" t="s">
        <v>2649</v>
      </c>
      <c r="O1544">
        <v>100</v>
      </c>
    </row>
    <row r="1545" spans="2:15" x14ac:dyDescent="0.2">
      <c r="B1545" t="s">
        <v>1433</v>
      </c>
      <c r="C1545" t="s">
        <v>12894</v>
      </c>
      <c r="D1545" t="s">
        <v>488</v>
      </c>
      <c r="E1545" t="s">
        <v>7222</v>
      </c>
      <c r="F1545">
        <v>6349.86</v>
      </c>
      <c r="G1545" t="s">
        <v>7097</v>
      </c>
      <c r="L1545" t="s">
        <v>1433</v>
      </c>
      <c r="M1545" t="s">
        <v>1629</v>
      </c>
      <c r="N1545" t="s">
        <v>2649</v>
      </c>
      <c r="O1545">
        <v>100</v>
      </c>
    </row>
    <row r="1546" spans="2:15" x14ac:dyDescent="0.2">
      <c r="B1546" t="s">
        <v>1433</v>
      </c>
      <c r="C1546" t="s">
        <v>12895</v>
      </c>
      <c r="D1546" t="s">
        <v>730</v>
      </c>
      <c r="E1546" t="s">
        <v>7274</v>
      </c>
      <c r="F1546">
        <v>26500</v>
      </c>
      <c r="G1546" t="s">
        <v>1274</v>
      </c>
      <c r="L1546" t="s">
        <v>1433</v>
      </c>
      <c r="M1546" t="s">
        <v>1834</v>
      </c>
      <c r="N1546" t="s">
        <v>2649</v>
      </c>
      <c r="O1546">
        <v>20</v>
      </c>
    </row>
    <row r="1547" spans="2:15" x14ac:dyDescent="0.2">
      <c r="B1547" t="s">
        <v>1433</v>
      </c>
      <c r="C1547" t="s">
        <v>12895</v>
      </c>
      <c r="D1547" t="s">
        <v>760</v>
      </c>
      <c r="E1547" t="s">
        <v>7279</v>
      </c>
      <c r="F1547">
        <v>6895</v>
      </c>
      <c r="G1547" t="s">
        <v>1397</v>
      </c>
      <c r="L1547" t="s">
        <v>1433</v>
      </c>
      <c r="M1547" t="s">
        <v>1633</v>
      </c>
      <c r="N1547" t="s">
        <v>2650</v>
      </c>
      <c r="O1547">
        <v>500</v>
      </c>
    </row>
    <row r="1548" spans="2:15" x14ac:dyDescent="0.2">
      <c r="B1548" t="s">
        <v>1433</v>
      </c>
      <c r="C1548" t="s">
        <v>12895</v>
      </c>
      <c r="D1548" t="s">
        <v>760</v>
      </c>
      <c r="E1548" t="s">
        <v>7286</v>
      </c>
      <c r="F1548">
        <v>1540</v>
      </c>
      <c r="G1548" t="s">
        <v>2760</v>
      </c>
      <c r="L1548" t="s">
        <v>1433</v>
      </c>
      <c r="M1548" t="s">
        <v>1636</v>
      </c>
      <c r="N1548" t="s">
        <v>2650</v>
      </c>
      <c r="O1548">
        <v>700</v>
      </c>
    </row>
    <row r="1549" spans="2:15" x14ac:dyDescent="0.2">
      <c r="B1549" t="s">
        <v>1433</v>
      </c>
      <c r="C1549" t="s">
        <v>12895</v>
      </c>
      <c r="D1549" t="s">
        <v>730</v>
      </c>
      <c r="E1549" t="s">
        <v>7297</v>
      </c>
      <c r="F1549">
        <v>3412.5</v>
      </c>
      <c r="G1549" t="s">
        <v>3013</v>
      </c>
      <c r="L1549" t="s">
        <v>1433</v>
      </c>
      <c r="M1549" t="s">
        <v>2651</v>
      </c>
      <c r="N1549" t="s">
        <v>2652</v>
      </c>
      <c r="O1549">
        <v>6</v>
      </c>
    </row>
    <row r="1550" spans="2:15" x14ac:dyDescent="0.2">
      <c r="B1550" t="s">
        <v>1433</v>
      </c>
      <c r="C1550" t="s">
        <v>12895</v>
      </c>
      <c r="D1550" t="s">
        <v>345</v>
      </c>
      <c r="E1550" t="s">
        <v>7300</v>
      </c>
      <c r="F1550">
        <v>720.64</v>
      </c>
      <c r="G1550" t="s">
        <v>7275</v>
      </c>
      <c r="L1550" t="s">
        <v>1433</v>
      </c>
      <c r="M1550" t="s">
        <v>1853</v>
      </c>
      <c r="N1550" t="s">
        <v>2652</v>
      </c>
      <c r="O1550">
        <v>6</v>
      </c>
    </row>
    <row r="1551" spans="2:15" x14ac:dyDescent="0.2">
      <c r="B1551" t="s">
        <v>1433</v>
      </c>
      <c r="C1551" t="s">
        <v>12895</v>
      </c>
      <c r="D1551" t="s">
        <v>488</v>
      </c>
      <c r="E1551" t="s">
        <v>7303</v>
      </c>
      <c r="F1551">
        <v>20183</v>
      </c>
      <c r="G1551" t="s">
        <v>7280</v>
      </c>
      <c r="L1551" t="s">
        <v>1433</v>
      </c>
      <c r="M1551" t="s">
        <v>2653</v>
      </c>
      <c r="N1551" t="s">
        <v>2654</v>
      </c>
      <c r="O1551">
        <v>1</v>
      </c>
    </row>
    <row r="1552" spans="2:15" x14ac:dyDescent="0.2">
      <c r="B1552" t="s">
        <v>1433</v>
      </c>
      <c r="C1552" t="s">
        <v>12896</v>
      </c>
      <c r="D1552" t="s">
        <v>818</v>
      </c>
      <c r="E1552" t="s">
        <v>7491</v>
      </c>
      <c r="F1552">
        <v>20699</v>
      </c>
      <c r="G1552" t="s">
        <v>1201</v>
      </c>
      <c r="L1552" t="s">
        <v>1433</v>
      </c>
      <c r="M1552" t="s">
        <v>2655</v>
      </c>
      <c r="N1552" t="s">
        <v>2085</v>
      </c>
      <c r="O1552">
        <v>40</v>
      </c>
    </row>
    <row r="1553" spans="2:15" x14ac:dyDescent="0.2">
      <c r="B1553" t="s">
        <v>1433</v>
      </c>
      <c r="C1553" t="s">
        <v>12896</v>
      </c>
      <c r="D1553" t="s">
        <v>818</v>
      </c>
      <c r="E1553" t="s">
        <v>7495</v>
      </c>
      <c r="F1553">
        <v>5914</v>
      </c>
      <c r="G1553" t="s">
        <v>1201</v>
      </c>
      <c r="L1553" t="s">
        <v>1433</v>
      </c>
      <c r="M1553" t="s">
        <v>2656</v>
      </c>
      <c r="N1553" t="s">
        <v>2657</v>
      </c>
      <c r="O1553">
        <v>500</v>
      </c>
    </row>
    <row r="1554" spans="2:15" x14ac:dyDescent="0.2">
      <c r="B1554" t="s">
        <v>1433</v>
      </c>
      <c r="C1554" t="s">
        <v>12896</v>
      </c>
      <c r="D1554" t="s">
        <v>818</v>
      </c>
      <c r="E1554" t="s">
        <v>7496</v>
      </c>
      <c r="F1554">
        <v>2957</v>
      </c>
      <c r="G1554" t="s">
        <v>1201</v>
      </c>
      <c r="L1554" t="s">
        <v>1433</v>
      </c>
      <c r="M1554" t="s">
        <v>2658</v>
      </c>
      <c r="N1554" t="s">
        <v>2657</v>
      </c>
      <c r="O1554">
        <v>20</v>
      </c>
    </row>
    <row r="1555" spans="2:15" x14ac:dyDescent="0.2">
      <c r="B1555" t="s">
        <v>1433</v>
      </c>
      <c r="C1555" t="s">
        <v>12896</v>
      </c>
      <c r="D1555" t="s">
        <v>314</v>
      </c>
      <c r="E1555" t="s">
        <v>7497</v>
      </c>
      <c r="F1555">
        <v>1229.44</v>
      </c>
      <c r="G1555" t="s">
        <v>7492</v>
      </c>
      <c r="L1555" t="s">
        <v>1433</v>
      </c>
      <c r="M1555" t="s">
        <v>2659</v>
      </c>
      <c r="N1555" t="s">
        <v>2660</v>
      </c>
      <c r="O1555">
        <v>16</v>
      </c>
    </row>
    <row r="1556" spans="2:15" x14ac:dyDescent="0.2">
      <c r="B1556" t="s">
        <v>1433</v>
      </c>
      <c r="C1556" t="s">
        <v>12897</v>
      </c>
      <c r="D1556" t="s">
        <v>818</v>
      </c>
      <c r="E1556" t="s">
        <v>7865</v>
      </c>
      <c r="F1556">
        <v>12301.8</v>
      </c>
      <c r="G1556" t="s">
        <v>1207</v>
      </c>
      <c r="L1556" t="s">
        <v>1433</v>
      </c>
      <c r="M1556" t="s">
        <v>2661</v>
      </c>
      <c r="N1556" t="s">
        <v>2660</v>
      </c>
      <c r="O1556">
        <v>4</v>
      </c>
    </row>
    <row r="1557" spans="2:15" x14ac:dyDescent="0.2">
      <c r="B1557" t="s">
        <v>1433</v>
      </c>
      <c r="C1557" t="s">
        <v>12897</v>
      </c>
      <c r="D1557" t="s">
        <v>818</v>
      </c>
      <c r="E1557" t="s">
        <v>7867</v>
      </c>
      <c r="F1557">
        <v>3514.8</v>
      </c>
      <c r="G1557" t="s">
        <v>1207</v>
      </c>
      <c r="L1557" t="s">
        <v>1433</v>
      </c>
      <c r="M1557" t="s">
        <v>2662</v>
      </c>
      <c r="N1557" t="s">
        <v>2660</v>
      </c>
      <c r="O1557">
        <v>4</v>
      </c>
    </row>
    <row r="1558" spans="2:15" x14ac:dyDescent="0.2">
      <c r="B1558" t="s">
        <v>1433</v>
      </c>
      <c r="C1558" t="s">
        <v>12897</v>
      </c>
      <c r="D1558" t="s">
        <v>818</v>
      </c>
      <c r="E1558" t="s">
        <v>7868</v>
      </c>
      <c r="F1558">
        <v>1757.4</v>
      </c>
      <c r="G1558" t="s">
        <v>1207</v>
      </c>
      <c r="L1558" t="s">
        <v>1433</v>
      </c>
      <c r="M1558" t="s">
        <v>1725</v>
      </c>
      <c r="N1558" t="s">
        <v>2663</v>
      </c>
      <c r="O1558">
        <v>120</v>
      </c>
    </row>
    <row r="1559" spans="2:15" x14ac:dyDescent="0.2">
      <c r="B1559" t="s">
        <v>1433</v>
      </c>
      <c r="C1559" t="s">
        <v>12897</v>
      </c>
      <c r="D1559" t="s">
        <v>314</v>
      </c>
      <c r="E1559" t="s">
        <v>7871</v>
      </c>
      <c r="F1559">
        <v>463.97</v>
      </c>
      <c r="G1559" t="s">
        <v>7866</v>
      </c>
      <c r="L1559" t="s">
        <v>1433</v>
      </c>
      <c r="M1559" t="s">
        <v>1585</v>
      </c>
      <c r="N1559" t="s">
        <v>2663</v>
      </c>
      <c r="O1559">
        <v>150</v>
      </c>
    </row>
    <row r="1560" spans="2:15" x14ac:dyDescent="0.2">
      <c r="B1560" t="s">
        <v>1433</v>
      </c>
      <c r="C1560" t="s">
        <v>12898</v>
      </c>
      <c r="D1560" t="s">
        <v>617</v>
      </c>
      <c r="E1560" t="s">
        <v>7880</v>
      </c>
      <c r="F1560">
        <v>46.98</v>
      </c>
      <c r="H1560" t="s">
        <v>1544</v>
      </c>
      <c r="L1560" t="s">
        <v>1433</v>
      </c>
      <c r="M1560" t="s">
        <v>1723</v>
      </c>
      <c r="N1560" t="s">
        <v>2663</v>
      </c>
      <c r="O1560">
        <v>150</v>
      </c>
    </row>
    <row r="1561" spans="2:15" x14ac:dyDescent="0.2">
      <c r="B1561" t="s">
        <v>1433</v>
      </c>
      <c r="C1561" t="s">
        <v>12898</v>
      </c>
      <c r="D1561" t="s">
        <v>617</v>
      </c>
      <c r="E1561" t="s">
        <v>7881</v>
      </c>
      <c r="F1561">
        <v>8.0500000000000007</v>
      </c>
      <c r="H1561" t="s">
        <v>2257</v>
      </c>
      <c r="L1561" t="s">
        <v>1433</v>
      </c>
      <c r="M1561" t="s">
        <v>1588</v>
      </c>
      <c r="N1561" t="s">
        <v>2663</v>
      </c>
      <c r="O1561">
        <v>25</v>
      </c>
    </row>
    <row r="1562" spans="2:15" x14ac:dyDescent="0.2">
      <c r="B1562" t="s">
        <v>1433</v>
      </c>
      <c r="C1562" t="s">
        <v>12898</v>
      </c>
      <c r="D1562" t="s">
        <v>617</v>
      </c>
      <c r="E1562" t="s">
        <v>7882</v>
      </c>
      <c r="F1562">
        <v>56.01</v>
      </c>
      <c r="H1562" t="s">
        <v>2258</v>
      </c>
      <c r="L1562" t="s">
        <v>1433</v>
      </c>
      <c r="M1562" t="s">
        <v>2664</v>
      </c>
      <c r="N1562" t="s">
        <v>2665</v>
      </c>
      <c r="O1562">
        <v>1</v>
      </c>
    </row>
    <row r="1563" spans="2:15" x14ac:dyDescent="0.2">
      <c r="B1563" t="s">
        <v>1433</v>
      </c>
      <c r="C1563" t="s">
        <v>12898</v>
      </c>
      <c r="D1563" t="s">
        <v>617</v>
      </c>
      <c r="E1563" t="s">
        <v>7883</v>
      </c>
      <c r="F1563">
        <v>51.79</v>
      </c>
      <c r="H1563" t="s">
        <v>2259</v>
      </c>
      <c r="L1563" t="s">
        <v>1433</v>
      </c>
      <c r="M1563" t="s">
        <v>2666</v>
      </c>
      <c r="N1563" t="s">
        <v>2667</v>
      </c>
      <c r="O1563">
        <v>1</v>
      </c>
    </row>
    <row r="1564" spans="2:15" x14ac:dyDescent="0.2">
      <c r="B1564" t="s">
        <v>1433</v>
      </c>
      <c r="C1564" t="s">
        <v>12898</v>
      </c>
      <c r="D1564" t="s">
        <v>617</v>
      </c>
      <c r="E1564" t="s">
        <v>7884</v>
      </c>
      <c r="F1564">
        <v>137.38999999999999</v>
      </c>
      <c r="H1564" t="s">
        <v>2260</v>
      </c>
      <c r="L1564" t="s">
        <v>1433</v>
      </c>
      <c r="M1564" t="s">
        <v>1937</v>
      </c>
      <c r="N1564" t="s">
        <v>2668</v>
      </c>
      <c r="O1564">
        <v>1</v>
      </c>
    </row>
    <row r="1565" spans="2:15" x14ac:dyDescent="0.2">
      <c r="B1565" t="s">
        <v>1433</v>
      </c>
      <c r="C1565" t="s">
        <v>12898</v>
      </c>
      <c r="D1565" t="s">
        <v>617</v>
      </c>
      <c r="E1565" t="s">
        <v>7885</v>
      </c>
      <c r="F1565">
        <v>91.5</v>
      </c>
      <c r="H1565" t="s">
        <v>1963</v>
      </c>
      <c r="L1565" t="s">
        <v>1433</v>
      </c>
      <c r="M1565" t="s">
        <v>2669</v>
      </c>
      <c r="N1565" t="s">
        <v>2670</v>
      </c>
      <c r="O1565">
        <v>1</v>
      </c>
    </row>
    <row r="1566" spans="2:15" x14ac:dyDescent="0.2">
      <c r="B1566" t="s">
        <v>1433</v>
      </c>
      <c r="C1566" t="s">
        <v>12898</v>
      </c>
      <c r="D1566" t="s">
        <v>617</v>
      </c>
      <c r="E1566" t="s">
        <v>7886</v>
      </c>
      <c r="F1566">
        <v>51.76</v>
      </c>
      <c r="H1566" t="s">
        <v>2265</v>
      </c>
      <c r="L1566" t="s">
        <v>1433</v>
      </c>
      <c r="M1566" t="s">
        <v>2671</v>
      </c>
      <c r="N1566" t="s">
        <v>2672</v>
      </c>
      <c r="O1566">
        <v>500</v>
      </c>
    </row>
    <row r="1567" spans="2:15" x14ac:dyDescent="0.2">
      <c r="B1567" t="s">
        <v>1433</v>
      </c>
      <c r="C1567" t="s">
        <v>12898</v>
      </c>
      <c r="D1567" t="s">
        <v>617</v>
      </c>
      <c r="E1567" t="s">
        <v>7887</v>
      </c>
      <c r="F1567">
        <v>58.66</v>
      </c>
      <c r="H1567" t="s">
        <v>2266</v>
      </c>
      <c r="L1567" t="s">
        <v>1433</v>
      </c>
      <c r="M1567" t="s">
        <v>1627</v>
      </c>
      <c r="N1567" t="s">
        <v>2672</v>
      </c>
      <c r="O1567">
        <v>24</v>
      </c>
    </row>
    <row r="1568" spans="2:15" x14ac:dyDescent="0.2">
      <c r="B1568" t="s">
        <v>1433</v>
      </c>
      <c r="C1568" t="s">
        <v>12898</v>
      </c>
      <c r="D1568" t="s">
        <v>617</v>
      </c>
      <c r="E1568" t="s">
        <v>7888</v>
      </c>
      <c r="F1568">
        <v>490.38</v>
      </c>
      <c r="H1568" t="s">
        <v>2272</v>
      </c>
      <c r="L1568" t="s">
        <v>1433</v>
      </c>
      <c r="M1568" t="s">
        <v>1629</v>
      </c>
      <c r="N1568" t="s">
        <v>2672</v>
      </c>
      <c r="O1568">
        <v>100</v>
      </c>
    </row>
    <row r="1569" spans="2:15" x14ac:dyDescent="0.2">
      <c r="B1569" t="s">
        <v>1433</v>
      </c>
      <c r="C1569" t="s">
        <v>12898</v>
      </c>
      <c r="D1569" t="s">
        <v>617</v>
      </c>
      <c r="E1569" t="s">
        <v>7889</v>
      </c>
      <c r="F1569">
        <v>1465.69</v>
      </c>
      <c r="H1569" t="s">
        <v>2275</v>
      </c>
      <c r="L1569" t="s">
        <v>1433</v>
      </c>
      <c r="M1569" t="s">
        <v>2673</v>
      </c>
      <c r="N1569" t="s">
        <v>2674</v>
      </c>
      <c r="O1569">
        <v>1</v>
      </c>
    </row>
    <row r="1570" spans="2:15" x14ac:dyDescent="0.2">
      <c r="B1570" t="s">
        <v>1433</v>
      </c>
      <c r="C1570" t="s">
        <v>12898</v>
      </c>
      <c r="D1570" t="s">
        <v>617</v>
      </c>
      <c r="E1570" t="s">
        <v>7890</v>
      </c>
      <c r="F1570">
        <v>4397.07</v>
      </c>
      <c r="H1570" t="s">
        <v>2275</v>
      </c>
      <c r="L1570" t="s">
        <v>1433</v>
      </c>
      <c r="M1570" t="s">
        <v>2675</v>
      </c>
      <c r="N1570" t="s">
        <v>2674</v>
      </c>
      <c r="O1570">
        <v>1</v>
      </c>
    </row>
    <row r="1571" spans="2:15" x14ac:dyDescent="0.2">
      <c r="B1571" t="s">
        <v>1433</v>
      </c>
      <c r="C1571" t="s">
        <v>12898</v>
      </c>
      <c r="D1571" t="s">
        <v>617</v>
      </c>
      <c r="E1571" t="s">
        <v>7891</v>
      </c>
      <c r="F1571">
        <v>2431.21</v>
      </c>
      <c r="H1571" t="s">
        <v>2276</v>
      </c>
      <c r="L1571" t="s">
        <v>1433</v>
      </c>
      <c r="M1571" t="s">
        <v>2676</v>
      </c>
      <c r="N1571" t="s">
        <v>2677</v>
      </c>
      <c r="O1571">
        <v>20</v>
      </c>
    </row>
    <row r="1572" spans="2:15" x14ac:dyDescent="0.2">
      <c r="B1572" t="s">
        <v>1433</v>
      </c>
      <c r="C1572" t="s">
        <v>12898</v>
      </c>
      <c r="D1572" t="s">
        <v>613</v>
      </c>
      <c r="E1572" t="s">
        <v>7892</v>
      </c>
      <c r="F1572">
        <v>7471.74</v>
      </c>
      <c r="H1572" t="s">
        <v>1261</v>
      </c>
      <c r="L1572" t="s">
        <v>1433</v>
      </c>
      <c r="M1572" t="s">
        <v>2678</v>
      </c>
      <c r="N1572" t="s">
        <v>2677</v>
      </c>
      <c r="O1572">
        <v>40</v>
      </c>
    </row>
    <row r="1573" spans="2:15" x14ac:dyDescent="0.2">
      <c r="B1573" t="s">
        <v>1433</v>
      </c>
      <c r="C1573" t="s">
        <v>12898</v>
      </c>
      <c r="D1573" t="s">
        <v>613</v>
      </c>
      <c r="E1573" t="s">
        <v>7893</v>
      </c>
      <c r="F1573">
        <v>1737.6</v>
      </c>
      <c r="H1573" t="s">
        <v>1266</v>
      </c>
      <c r="L1573" t="s">
        <v>1433</v>
      </c>
      <c r="M1573" t="s">
        <v>2644</v>
      </c>
      <c r="N1573" t="s">
        <v>2679</v>
      </c>
      <c r="O1573">
        <v>500</v>
      </c>
    </row>
    <row r="1574" spans="2:15" x14ac:dyDescent="0.2">
      <c r="B1574" t="s">
        <v>1433</v>
      </c>
      <c r="C1574" t="s">
        <v>12898</v>
      </c>
      <c r="D1574" t="s">
        <v>613</v>
      </c>
      <c r="E1574" t="s">
        <v>7894</v>
      </c>
      <c r="F1574">
        <v>493.6</v>
      </c>
      <c r="H1574" t="s">
        <v>1269</v>
      </c>
      <c r="L1574" t="s">
        <v>1433</v>
      </c>
      <c r="M1574" t="s">
        <v>2680</v>
      </c>
      <c r="N1574" t="s">
        <v>2681</v>
      </c>
      <c r="O1574">
        <v>1</v>
      </c>
    </row>
    <row r="1575" spans="2:15" x14ac:dyDescent="0.2">
      <c r="B1575" t="s">
        <v>1433</v>
      </c>
      <c r="C1575" t="s">
        <v>12898</v>
      </c>
      <c r="D1575" t="s">
        <v>617</v>
      </c>
      <c r="E1575" t="s">
        <v>7895</v>
      </c>
      <c r="F1575">
        <v>5418.88</v>
      </c>
      <c r="H1575" t="s">
        <v>1327</v>
      </c>
      <c r="L1575" t="s">
        <v>1433</v>
      </c>
      <c r="M1575" t="s">
        <v>2682</v>
      </c>
      <c r="N1575" t="s">
        <v>2681</v>
      </c>
      <c r="O1575">
        <v>1</v>
      </c>
    </row>
    <row r="1576" spans="2:15" x14ac:dyDescent="0.2">
      <c r="B1576" t="s">
        <v>1433</v>
      </c>
      <c r="C1576" t="s">
        <v>12898</v>
      </c>
      <c r="D1576" t="s">
        <v>617</v>
      </c>
      <c r="E1576" t="s">
        <v>7896</v>
      </c>
      <c r="F1576">
        <v>4404</v>
      </c>
      <c r="H1576" t="s">
        <v>1358</v>
      </c>
      <c r="L1576" t="s">
        <v>1433</v>
      </c>
      <c r="M1576" t="s">
        <v>2683</v>
      </c>
      <c r="N1576" t="s">
        <v>2681</v>
      </c>
      <c r="O1576">
        <v>12</v>
      </c>
    </row>
    <row r="1577" spans="2:15" x14ac:dyDescent="0.2">
      <c r="B1577" t="s">
        <v>1433</v>
      </c>
      <c r="C1577" t="s">
        <v>12898</v>
      </c>
      <c r="D1577" t="s">
        <v>617</v>
      </c>
      <c r="E1577" t="s">
        <v>7899</v>
      </c>
      <c r="F1577">
        <v>3828</v>
      </c>
      <c r="H1577" t="s">
        <v>1360</v>
      </c>
      <c r="L1577" t="s">
        <v>1433</v>
      </c>
      <c r="M1577" t="s">
        <v>2684</v>
      </c>
      <c r="N1577" t="s">
        <v>2685</v>
      </c>
      <c r="O1577">
        <v>4</v>
      </c>
    </row>
    <row r="1578" spans="2:15" x14ac:dyDescent="0.2">
      <c r="B1578" t="s">
        <v>1433</v>
      </c>
      <c r="C1578" t="s">
        <v>12898</v>
      </c>
      <c r="D1578" t="s">
        <v>617</v>
      </c>
      <c r="E1578" t="s">
        <v>7900</v>
      </c>
      <c r="F1578">
        <v>5985.6</v>
      </c>
      <c r="H1578" t="s">
        <v>1384</v>
      </c>
      <c r="L1578" t="s">
        <v>1433</v>
      </c>
      <c r="M1578" t="s">
        <v>2686</v>
      </c>
      <c r="N1578" t="s">
        <v>2685</v>
      </c>
      <c r="O1578">
        <v>4</v>
      </c>
    </row>
    <row r="1579" spans="2:15" x14ac:dyDescent="0.2">
      <c r="B1579" t="s">
        <v>1433</v>
      </c>
      <c r="C1579" t="s">
        <v>12898</v>
      </c>
      <c r="D1579" t="s">
        <v>617</v>
      </c>
      <c r="E1579" t="s">
        <v>7901</v>
      </c>
      <c r="F1579">
        <v>13.2</v>
      </c>
      <c r="H1579" t="s">
        <v>4878</v>
      </c>
      <c r="L1579" t="s">
        <v>1433</v>
      </c>
      <c r="M1579" t="s">
        <v>2687</v>
      </c>
      <c r="N1579" t="s">
        <v>2685</v>
      </c>
      <c r="O1579">
        <v>4</v>
      </c>
    </row>
    <row r="1580" spans="2:15" x14ac:dyDescent="0.2">
      <c r="B1580" t="s">
        <v>1433</v>
      </c>
      <c r="C1580" t="s">
        <v>12898</v>
      </c>
      <c r="D1580" t="s">
        <v>613</v>
      </c>
      <c r="E1580" t="s">
        <v>7902</v>
      </c>
      <c r="F1580">
        <v>1.5</v>
      </c>
      <c r="H1580" t="s">
        <v>7606</v>
      </c>
      <c r="L1580" t="s">
        <v>1433</v>
      </c>
      <c r="M1580" t="s">
        <v>2688</v>
      </c>
      <c r="N1580" t="s">
        <v>2689</v>
      </c>
      <c r="O1580">
        <v>1</v>
      </c>
    </row>
    <row r="1581" spans="2:15" x14ac:dyDescent="0.2">
      <c r="B1581" t="s">
        <v>1433</v>
      </c>
      <c r="C1581" t="s">
        <v>12898</v>
      </c>
      <c r="D1581" t="s">
        <v>617</v>
      </c>
      <c r="E1581" t="s">
        <v>7903</v>
      </c>
      <c r="F1581">
        <v>55.44</v>
      </c>
      <c r="H1581" t="s">
        <v>1624</v>
      </c>
      <c r="L1581" t="s">
        <v>1433</v>
      </c>
      <c r="M1581" t="s">
        <v>2690</v>
      </c>
      <c r="N1581" t="s">
        <v>2691</v>
      </c>
      <c r="O1581">
        <v>4</v>
      </c>
    </row>
    <row r="1582" spans="2:15" x14ac:dyDescent="0.2">
      <c r="B1582" t="s">
        <v>1433</v>
      </c>
      <c r="C1582" t="s">
        <v>12898</v>
      </c>
      <c r="D1582" t="s">
        <v>84</v>
      </c>
      <c r="E1582" t="s">
        <v>7904</v>
      </c>
      <c r="F1582">
        <v>15.75</v>
      </c>
      <c r="H1582" t="s">
        <v>6484</v>
      </c>
      <c r="L1582" t="s">
        <v>1433</v>
      </c>
      <c r="M1582" t="s">
        <v>2692</v>
      </c>
      <c r="N1582" t="s">
        <v>2693</v>
      </c>
      <c r="O1582">
        <v>1</v>
      </c>
    </row>
    <row r="1583" spans="2:15" x14ac:dyDescent="0.2">
      <c r="B1583" t="s">
        <v>1433</v>
      </c>
      <c r="C1583" t="s">
        <v>12898</v>
      </c>
      <c r="D1583" t="s">
        <v>617</v>
      </c>
      <c r="E1583" t="s">
        <v>7905</v>
      </c>
      <c r="F1583">
        <v>14.13</v>
      </c>
      <c r="H1583" t="s">
        <v>1605</v>
      </c>
      <c r="L1583" t="s">
        <v>1433</v>
      </c>
      <c r="M1583" t="s">
        <v>2694</v>
      </c>
      <c r="N1583" t="s">
        <v>2693</v>
      </c>
      <c r="O1583">
        <v>1</v>
      </c>
    </row>
    <row r="1584" spans="2:15" x14ac:dyDescent="0.2">
      <c r="B1584" t="s">
        <v>1433</v>
      </c>
      <c r="C1584" t="s">
        <v>12898</v>
      </c>
      <c r="D1584" t="s">
        <v>617</v>
      </c>
      <c r="E1584" t="s">
        <v>7906</v>
      </c>
      <c r="F1584">
        <v>45.75</v>
      </c>
      <c r="H1584" t="s">
        <v>1613</v>
      </c>
      <c r="L1584" t="s">
        <v>1433</v>
      </c>
      <c r="M1584" t="s">
        <v>2695</v>
      </c>
      <c r="N1584" t="s">
        <v>2696</v>
      </c>
      <c r="O1584">
        <v>1</v>
      </c>
    </row>
    <row r="1585" spans="2:15" x14ac:dyDescent="0.2">
      <c r="B1585" t="s">
        <v>1433</v>
      </c>
      <c r="C1585" t="s">
        <v>12898</v>
      </c>
      <c r="D1585" t="s">
        <v>617</v>
      </c>
      <c r="E1585" t="s">
        <v>7907</v>
      </c>
      <c r="F1585">
        <v>22.68</v>
      </c>
      <c r="H1585" t="s">
        <v>1627</v>
      </c>
      <c r="L1585" t="s">
        <v>1433</v>
      </c>
      <c r="M1585" t="s">
        <v>2697</v>
      </c>
      <c r="N1585" t="s">
        <v>2696</v>
      </c>
      <c r="O1585">
        <v>1</v>
      </c>
    </row>
    <row r="1586" spans="2:15" x14ac:dyDescent="0.2">
      <c r="B1586" t="s">
        <v>1433</v>
      </c>
      <c r="C1586" t="s">
        <v>12898</v>
      </c>
      <c r="D1586" t="s">
        <v>613</v>
      </c>
      <c r="E1586" t="s">
        <v>7908</v>
      </c>
      <c r="F1586">
        <v>0.63</v>
      </c>
      <c r="H1586" t="s">
        <v>7909</v>
      </c>
      <c r="L1586" t="s">
        <v>1433</v>
      </c>
      <c r="M1586" t="s">
        <v>2698</v>
      </c>
      <c r="N1586" t="s">
        <v>2699</v>
      </c>
      <c r="O1586">
        <v>1</v>
      </c>
    </row>
    <row r="1587" spans="2:15" x14ac:dyDescent="0.2">
      <c r="B1587" t="s">
        <v>1433</v>
      </c>
      <c r="C1587" t="s">
        <v>12898</v>
      </c>
      <c r="D1587" t="s">
        <v>613</v>
      </c>
      <c r="E1587" t="s">
        <v>7910</v>
      </c>
      <c r="F1587">
        <v>7</v>
      </c>
      <c r="H1587" t="s">
        <v>7911</v>
      </c>
      <c r="L1587" t="s">
        <v>1433</v>
      </c>
      <c r="M1587" t="s">
        <v>2700</v>
      </c>
      <c r="N1587" t="s">
        <v>2701</v>
      </c>
      <c r="O1587">
        <v>44</v>
      </c>
    </row>
    <row r="1588" spans="2:15" x14ac:dyDescent="0.2">
      <c r="B1588" t="s">
        <v>1433</v>
      </c>
      <c r="C1588" t="s">
        <v>12898</v>
      </c>
      <c r="D1588" t="s">
        <v>617</v>
      </c>
      <c r="E1588" t="s">
        <v>7912</v>
      </c>
      <c r="F1588">
        <v>2.16</v>
      </c>
      <c r="H1588" t="s">
        <v>7913</v>
      </c>
      <c r="L1588" t="s">
        <v>1433</v>
      </c>
      <c r="M1588" t="s">
        <v>2702</v>
      </c>
      <c r="N1588" t="s">
        <v>2703</v>
      </c>
      <c r="O1588">
        <v>1</v>
      </c>
    </row>
    <row r="1589" spans="2:15" x14ac:dyDescent="0.2">
      <c r="B1589" t="s">
        <v>1433</v>
      </c>
      <c r="C1589" t="s">
        <v>12898</v>
      </c>
      <c r="D1589" t="s">
        <v>617</v>
      </c>
      <c r="E1589" t="s">
        <v>7914</v>
      </c>
      <c r="F1589">
        <v>1.1000000000000001</v>
      </c>
      <c r="H1589" t="s">
        <v>7915</v>
      </c>
      <c r="L1589" t="s">
        <v>1433</v>
      </c>
      <c r="M1589" t="s">
        <v>2704</v>
      </c>
      <c r="N1589" t="s">
        <v>2703</v>
      </c>
      <c r="O1589">
        <v>1</v>
      </c>
    </row>
    <row r="1590" spans="2:15" x14ac:dyDescent="0.2">
      <c r="B1590" t="s">
        <v>1433</v>
      </c>
      <c r="C1590" t="s">
        <v>12898</v>
      </c>
      <c r="D1590" t="s">
        <v>617</v>
      </c>
      <c r="E1590" t="s">
        <v>7916</v>
      </c>
      <c r="F1590">
        <v>2.79</v>
      </c>
      <c r="H1590" t="s">
        <v>5075</v>
      </c>
      <c r="L1590" t="s">
        <v>1433</v>
      </c>
      <c r="M1590" t="s">
        <v>2705</v>
      </c>
      <c r="N1590" t="s">
        <v>2706</v>
      </c>
      <c r="O1590">
        <v>1</v>
      </c>
    </row>
    <row r="1591" spans="2:15" x14ac:dyDescent="0.2">
      <c r="B1591" t="s">
        <v>1433</v>
      </c>
      <c r="C1591" t="s">
        <v>12898</v>
      </c>
      <c r="D1591" t="s">
        <v>617</v>
      </c>
      <c r="E1591" t="s">
        <v>7917</v>
      </c>
      <c r="F1591">
        <v>26.9</v>
      </c>
      <c r="H1591" t="s">
        <v>1710</v>
      </c>
      <c r="L1591" t="s">
        <v>1433</v>
      </c>
      <c r="M1591" t="s">
        <v>2707</v>
      </c>
      <c r="N1591" t="s">
        <v>2708</v>
      </c>
      <c r="O1591">
        <v>1</v>
      </c>
    </row>
    <row r="1592" spans="2:15" x14ac:dyDescent="0.2">
      <c r="B1592" t="s">
        <v>1433</v>
      </c>
      <c r="C1592" t="s">
        <v>12898</v>
      </c>
      <c r="D1592" t="s">
        <v>617</v>
      </c>
      <c r="E1592" t="s">
        <v>7918</v>
      </c>
      <c r="F1592">
        <v>3.02</v>
      </c>
      <c r="H1592" t="s">
        <v>7919</v>
      </c>
      <c r="L1592" t="s">
        <v>1433</v>
      </c>
      <c r="M1592" t="s">
        <v>2709</v>
      </c>
      <c r="N1592" t="s">
        <v>2710</v>
      </c>
      <c r="O1592">
        <v>1</v>
      </c>
    </row>
    <row r="1593" spans="2:15" x14ac:dyDescent="0.2">
      <c r="B1593" t="s">
        <v>1433</v>
      </c>
      <c r="C1593" t="s">
        <v>12898</v>
      </c>
      <c r="D1593" t="s">
        <v>617</v>
      </c>
      <c r="E1593" t="s">
        <v>7920</v>
      </c>
      <c r="F1593">
        <v>3.59</v>
      </c>
      <c r="H1593" t="s">
        <v>7921</v>
      </c>
      <c r="L1593" t="s">
        <v>1433</v>
      </c>
      <c r="M1593" t="s">
        <v>2711</v>
      </c>
      <c r="N1593" t="s">
        <v>2710</v>
      </c>
      <c r="O1593">
        <v>1</v>
      </c>
    </row>
    <row r="1594" spans="2:15" x14ac:dyDescent="0.2">
      <c r="B1594" t="s">
        <v>1433</v>
      </c>
      <c r="C1594" t="s">
        <v>12898</v>
      </c>
      <c r="D1594" t="s">
        <v>617</v>
      </c>
      <c r="E1594" t="s">
        <v>7922</v>
      </c>
      <c r="F1594">
        <v>81.84</v>
      </c>
      <c r="H1594" t="s">
        <v>2304</v>
      </c>
      <c r="L1594" t="s">
        <v>1433</v>
      </c>
      <c r="M1594" t="s">
        <v>2712</v>
      </c>
      <c r="N1594" t="s">
        <v>2710</v>
      </c>
      <c r="O1594">
        <v>1</v>
      </c>
    </row>
    <row r="1595" spans="2:15" x14ac:dyDescent="0.2">
      <c r="B1595" t="s">
        <v>1433</v>
      </c>
      <c r="C1595" t="s">
        <v>12898</v>
      </c>
      <c r="D1595" t="s">
        <v>617</v>
      </c>
      <c r="E1595" t="s">
        <v>7923</v>
      </c>
      <c r="F1595">
        <v>1.44</v>
      </c>
      <c r="H1595" t="s">
        <v>5255</v>
      </c>
      <c r="L1595" t="s">
        <v>1433</v>
      </c>
      <c r="M1595" t="s">
        <v>2713</v>
      </c>
      <c r="N1595" t="s">
        <v>2714</v>
      </c>
      <c r="O1595">
        <v>1</v>
      </c>
    </row>
    <row r="1596" spans="2:15" x14ac:dyDescent="0.2">
      <c r="B1596" t="s">
        <v>1433</v>
      </c>
      <c r="C1596" t="s">
        <v>12898</v>
      </c>
      <c r="D1596" t="s">
        <v>617</v>
      </c>
      <c r="E1596" t="s">
        <v>7924</v>
      </c>
      <c r="F1596">
        <v>0.88</v>
      </c>
      <c r="H1596" t="s">
        <v>4878</v>
      </c>
      <c r="L1596" t="s">
        <v>1433</v>
      </c>
      <c r="M1596" t="s">
        <v>2715</v>
      </c>
      <c r="N1596" t="s">
        <v>2714</v>
      </c>
      <c r="O1596">
        <v>1</v>
      </c>
    </row>
    <row r="1597" spans="2:15" x14ac:dyDescent="0.2">
      <c r="B1597" t="s">
        <v>1433</v>
      </c>
      <c r="C1597" t="s">
        <v>12898</v>
      </c>
      <c r="D1597" t="s">
        <v>617</v>
      </c>
      <c r="E1597" t="s">
        <v>7925</v>
      </c>
      <c r="F1597">
        <v>14.65</v>
      </c>
      <c r="H1597" t="s">
        <v>7926</v>
      </c>
      <c r="L1597" t="s">
        <v>1433</v>
      </c>
      <c r="M1597" t="s">
        <v>2716</v>
      </c>
      <c r="N1597" t="s">
        <v>2717</v>
      </c>
      <c r="O1597">
        <v>1</v>
      </c>
    </row>
    <row r="1598" spans="2:15" x14ac:dyDescent="0.2">
      <c r="B1598" t="s">
        <v>1433</v>
      </c>
      <c r="C1598" t="s">
        <v>12898</v>
      </c>
      <c r="D1598" t="s">
        <v>617</v>
      </c>
      <c r="E1598" t="s">
        <v>7927</v>
      </c>
      <c r="F1598">
        <v>7.87</v>
      </c>
      <c r="H1598" t="s">
        <v>7928</v>
      </c>
      <c r="L1598" t="s">
        <v>1433</v>
      </c>
      <c r="M1598" t="s">
        <v>1983</v>
      </c>
      <c r="N1598" t="s">
        <v>2718</v>
      </c>
      <c r="O1598">
        <v>280</v>
      </c>
    </row>
    <row r="1599" spans="2:15" x14ac:dyDescent="0.2">
      <c r="B1599" t="s">
        <v>1433</v>
      </c>
      <c r="C1599" t="s">
        <v>12898</v>
      </c>
      <c r="D1599" t="s">
        <v>617</v>
      </c>
      <c r="E1599" t="s">
        <v>7929</v>
      </c>
      <c r="F1599">
        <v>10</v>
      </c>
      <c r="H1599" t="s">
        <v>1628</v>
      </c>
      <c r="L1599" t="s">
        <v>1433</v>
      </c>
      <c r="M1599" t="s">
        <v>1699</v>
      </c>
      <c r="N1599" t="s">
        <v>2719</v>
      </c>
      <c r="O1599">
        <v>300</v>
      </c>
    </row>
    <row r="1600" spans="2:15" x14ac:dyDescent="0.2">
      <c r="B1600" t="s">
        <v>1433</v>
      </c>
      <c r="C1600" t="s">
        <v>12898</v>
      </c>
      <c r="D1600" t="s">
        <v>617</v>
      </c>
      <c r="E1600" t="s">
        <v>7930</v>
      </c>
      <c r="F1600">
        <v>31.4</v>
      </c>
      <c r="H1600" t="s">
        <v>7931</v>
      </c>
      <c r="L1600" t="s">
        <v>1433</v>
      </c>
      <c r="M1600" t="s">
        <v>2022</v>
      </c>
      <c r="N1600" t="s">
        <v>2719</v>
      </c>
      <c r="O1600">
        <v>1</v>
      </c>
    </row>
    <row r="1601" spans="2:15" x14ac:dyDescent="0.2">
      <c r="B1601" t="s">
        <v>1433</v>
      </c>
      <c r="C1601" t="s">
        <v>12898</v>
      </c>
      <c r="D1601" t="s">
        <v>613</v>
      </c>
      <c r="E1601" t="s">
        <v>7932</v>
      </c>
      <c r="F1601">
        <v>1.1000000000000001</v>
      </c>
      <c r="H1601" t="s">
        <v>2513</v>
      </c>
      <c r="L1601" t="s">
        <v>1433</v>
      </c>
      <c r="M1601" t="s">
        <v>1545</v>
      </c>
      <c r="N1601" t="s">
        <v>2720</v>
      </c>
      <c r="O1601">
        <v>1</v>
      </c>
    </row>
    <row r="1602" spans="2:15" x14ac:dyDescent="0.2">
      <c r="B1602" t="s">
        <v>1433</v>
      </c>
      <c r="C1602" t="s">
        <v>12898</v>
      </c>
      <c r="D1602" t="s">
        <v>613</v>
      </c>
      <c r="E1602" t="s">
        <v>7933</v>
      </c>
      <c r="F1602">
        <v>7</v>
      </c>
      <c r="H1602" t="s">
        <v>7911</v>
      </c>
      <c r="L1602" t="s">
        <v>1433</v>
      </c>
      <c r="M1602" t="s">
        <v>1547</v>
      </c>
      <c r="N1602" t="s">
        <v>2720</v>
      </c>
      <c r="O1602">
        <v>1</v>
      </c>
    </row>
    <row r="1603" spans="2:15" x14ac:dyDescent="0.2">
      <c r="B1603" t="s">
        <v>1433</v>
      </c>
      <c r="C1603" t="s">
        <v>12898</v>
      </c>
      <c r="D1603" t="s">
        <v>617</v>
      </c>
      <c r="E1603" t="s">
        <v>7934</v>
      </c>
      <c r="F1603">
        <v>30.5</v>
      </c>
      <c r="H1603" t="s">
        <v>1613</v>
      </c>
      <c r="L1603" t="s">
        <v>1433</v>
      </c>
      <c r="M1603" t="s">
        <v>1549</v>
      </c>
      <c r="N1603" t="s">
        <v>2720</v>
      </c>
      <c r="O1603">
        <v>1</v>
      </c>
    </row>
    <row r="1604" spans="2:15" x14ac:dyDescent="0.2">
      <c r="B1604" t="s">
        <v>1433</v>
      </c>
      <c r="C1604" t="s">
        <v>12898</v>
      </c>
      <c r="D1604" t="s">
        <v>613</v>
      </c>
      <c r="E1604" t="s">
        <v>7935</v>
      </c>
      <c r="F1604">
        <v>3.5</v>
      </c>
      <c r="H1604" t="s">
        <v>6830</v>
      </c>
      <c r="L1604" t="s">
        <v>1433</v>
      </c>
      <c r="M1604" t="s">
        <v>1552</v>
      </c>
      <c r="N1604" t="s">
        <v>2721</v>
      </c>
      <c r="O1604">
        <v>20</v>
      </c>
    </row>
    <row r="1605" spans="2:15" x14ac:dyDescent="0.2">
      <c r="B1605" t="s">
        <v>1433</v>
      </c>
      <c r="C1605" t="s">
        <v>12898</v>
      </c>
      <c r="D1605" t="s">
        <v>617</v>
      </c>
      <c r="E1605" t="s">
        <v>7936</v>
      </c>
      <c r="F1605">
        <v>7</v>
      </c>
      <c r="H1605" t="s">
        <v>1629</v>
      </c>
      <c r="L1605" t="s">
        <v>1433</v>
      </c>
      <c r="M1605" t="s">
        <v>1552</v>
      </c>
      <c r="N1605" t="s">
        <v>2722</v>
      </c>
      <c r="O1605">
        <v>60</v>
      </c>
    </row>
    <row r="1606" spans="2:15" x14ac:dyDescent="0.2">
      <c r="B1606" t="s">
        <v>1433</v>
      </c>
      <c r="C1606" t="s">
        <v>12898</v>
      </c>
      <c r="D1606" t="s">
        <v>621</v>
      </c>
      <c r="E1606" t="s">
        <v>7937</v>
      </c>
      <c r="F1606">
        <v>54</v>
      </c>
      <c r="H1606" t="s">
        <v>4184</v>
      </c>
      <c r="L1606" t="s">
        <v>1433</v>
      </c>
      <c r="M1606" t="s">
        <v>1812</v>
      </c>
      <c r="N1606" t="s">
        <v>2723</v>
      </c>
      <c r="O1606">
        <v>1</v>
      </c>
    </row>
    <row r="1607" spans="2:15" x14ac:dyDescent="0.2">
      <c r="B1607" t="s">
        <v>1433</v>
      </c>
      <c r="C1607" t="s">
        <v>12898</v>
      </c>
      <c r="D1607" t="s">
        <v>617</v>
      </c>
      <c r="E1607" t="s">
        <v>7938</v>
      </c>
      <c r="F1607">
        <v>21</v>
      </c>
      <c r="H1607" t="s">
        <v>1629</v>
      </c>
      <c r="L1607" t="s">
        <v>1433</v>
      </c>
      <c r="M1607" t="s">
        <v>2087</v>
      </c>
      <c r="N1607" t="s">
        <v>2724</v>
      </c>
      <c r="O1607">
        <v>138</v>
      </c>
    </row>
    <row r="1608" spans="2:15" x14ac:dyDescent="0.2">
      <c r="B1608" t="s">
        <v>1433</v>
      </c>
      <c r="C1608" t="s">
        <v>12898</v>
      </c>
      <c r="D1608" t="s">
        <v>617</v>
      </c>
      <c r="E1608" t="s">
        <v>7939</v>
      </c>
      <c r="F1608">
        <v>21</v>
      </c>
      <c r="H1608" t="s">
        <v>1629</v>
      </c>
      <c r="L1608" t="s">
        <v>1433</v>
      </c>
      <c r="M1608" t="s">
        <v>2304</v>
      </c>
      <c r="N1608" t="s">
        <v>2725</v>
      </c>
      <c r="O1608">
        <v>250</v>
      </c>
    </row>
    <row r="1609" spans="2:15" x14ac:dyDescent="0.2">
      <c r="B1609" t="s">
        <v>1433</v>
      </c>
      <c r="C1609" t="s">
        <v>12898</v>
      </c>
      <c r="D1609" t="s">
        <v>617</v>
      </c>
      <c r="E1609" t="s">
        <v>7940</v>
      </c>
      <c r="F1609">
        <v>21</v>
      </c>
      <c r="H1609" t="s">
        <v>1629</v>
      </c>
      <c r="L1609" t="s">
        <v>1433</v>
      </c>
      <c r="M1609" t="s">
        <v>1388</v>
      </c>
      <c r="N1609" t="s">
        <v>2725</v>
      </c>
      <c r="O1609">
        <v>335</v>
      </c>
    </row>
    <row r="1610" spans="2:15" x14ac:dyDescent="0.2">
      <c r="B1610" t="s">
        <v>1433</v>
      </c>
      <c r="C1610" t="s">
        <v>12898</v>
      </c>
      <c r="D1610" t="s">
        <v>613</v>
      </c>
      <c r="E1610" t="s">
        <v>7941</v>
      </c>
      <c r="F1610">
        <v>5.7</v>
      </c>
      <c r="H1610" t="s">
        <v>7942</v>
      </c>
      <c r="L1610" t="s">
        <v>1433</v>
      </c>
      <c r="M1610" t="s">
        <v>2306</v>
      </c>
      <c r="N1610" t="s">
        <v>2725</v>
      </c>
      <c r="O1610">
        <v>240</v>
      </c>
    </row>
    <row r="1611" spans="2:15" x14ac:dyDescent="0.2">
      <c r="B1611" t="s">
        <v>1433</v>
      </c>
      <c r="C1611" t="s">
        <v>12898</v>
      </c>
      <c r="D1611" t="s">
        <v>84</v>
      </c>
      <c r="E1611" t="s">
        <v>7943</v>
      </c>
      <c r="F1611">
        <v>90.26</v>
      </c>
      <c r="H1611" t="s">
        <v>7944</v>
      </c>
      <c r="L1611" t="s">
        <v>1433</v>
      </c>
      <c r="M1611" t="s">
        <v>2308</v>
      </c>
      <c r="N1611" t="s">
        <v>2725</v>
      </c>
      <c r="O1611">
        <v>225</v>
      </c>
    </row>
    <row r="1612" spans="2:15" x14ac:dyDescent="0.2">
      <c r="B1612" t="s">
        <v>1433</v>
      </c>
      <c r="C1612" t="s">
        <v>12898</v>
      </c>
      <c r="D1612" t="s">
        <v>617</v>
      </c>
      <c r="E1612" t="s">
        <v>7945</v>
      </c>
      <c r="F1612">
        <v>53.8</v>
      </c>
      <c r="H1612" t="s">
        <v>1710</v>
      </c>
      <c r="L1612" t="s">
        <v>1433</v>
      </c>
      <c r="M1612" t="s">
        <v>2307</v>
      </c>
      <c r="N1612" t="s">
        <v>2725</v>
      </c>
      <c r="O1612">
        <v>150</v>
      </c>
    </row>
    <row r="1613" spans="2:15" x14ac:dyDescent="0.2">
      <c r="B1613" t="s">
        <v>1433</v>
      </c>
      <c r="C1613" t="s">
        <v>12898</v>
      </c>
      <c r="D1613" t="s">
        <v>617</v>
      </c>
      <c r="E1613" t="s">
        <v>7946</v>
      </c>
      <c r="F1613">
        <v>3.3</v>
      </c>
      <c r="H1613" t="s">
        <v>5897</v>
      </c>
      <c r="L1613" t="s">
        <v>1433</v>
      </c>
      <c r="M1613" t="s">
        <v>2089</v>
      </c>
      <c r="N1613" t="s">
        <v>2725</v>
      </c>
      <c r="O1613">
        <v>255</v>
      </c>
    </row>
    <row r="1614" spans="2:15" x14ac:dyDescent="0.2">
      <c r="B1614" t="s">
        <v>1433</v>
      </c>
      <c r="C1614" t="s">
        <v>12898</v>
      </c>
      <c r="D1614" t="s">
        <v>617</v>
      </c>
      <c r="E1614" t="s">
        <v>7947</v>
      </c>
      <c r="F1614">
        <v>0.48</v>
      </c>
      <c r="H1614" t="s">
        <v>7948</v>
      </c>
      <c r="L1614" t="s">
        <v>1433</v>
      </c>
      <c r="M1614" t="s">
        <v>2309</v>
      </c>
      <c r="N1614" t="s">
        <v>2725</v>
      </c>
      <c r="O1614">
        <v>350</v>
      </c>
    </row>
    <row r="1615" spans="2:15" x14ac:dyDescent="0.2">
      <c r="B1615" t="s">
        <v>1433</v>
      </c>
      <c r="C1615" t="s">
        <v>12898</v>
      </c>
      <c r="D1615" t="s">
        <v>617</v>
      </c>
      <c r="E1615" t="s">
        <v>7949</v>
      </c>
      <c r="F1615">
        <v>0.48</v>
      </c>
      <c r="H1615" t="s">
        <v>7948</v>
      </c>
      <c r="L1615" t="s">
        <v>1433</v>
      </c>
      <c r="M1615" t="s">
        <v>2310</v>
      </c>
      <c r="N1615" t="s">
        <v>2725</v>
      </c>
      <c r="O1615">
        <v>200</v>
      </c>
    </row>
    <row r="1616" spans="2:15" x14ac:dyDescent="0.2">
      <c r="B1616" t="s">
        <v>1433</v>
      </c>
      <c r="C1616" t="s">
        <v>12898</v>
      </c>
      <c r="D1616" t="s">
        <v>617</v>
      </c>
      <c r="E1616" t="s">
        <v>7950</v>
      </c>
      <c r="F1616">
        <v>0.33</v>
      </c>
      <c r="H1616" t="s">
        <v>5897</v>
      </c>
      <c r="L1616" t="s">
        <v>1433</v>
      </c>
      <c r="M1616" t="s">
        <v>2311</v>
      </c>
      <c r="N1616" t="s">
        <v>2725</v>
      </c>
      <c r="O1616">
        <v>230</v>
      </c>
    </row>
    <row r="1617" spans="2:15" x14ac:dyDescent="0.2">
      <c r="B1617" t="s">
        <v>1433</v>
      </c>
      <c r="C1617" t="s">
        <v>12898</v>
      </c>
      <c r="D1617" t="s">
        <v>617</v>
      </c>
      <c r="E1617" t="s">
        <v>7951</v>
      </c>
      <c r="F1617">
        <v>0.72</v>
      </c>
      <c r="H1617" t="s">
        <v>7913</v>
      </c>
      <c r="L1617" t="s">
        <v>1433</v>
      </c>
      <c r="M1617" t="s">
        <v>2312</v>
      </c>
      <c r="N1617" t="s">
        <v>2725</v>
      </c>
      <c r="O1617">
        <v>380</v>
      </c>
    </row>
    <row r="1618" spans="2:15" x14ac:dyDescent="0.2">
      <c r="B1618" t="s">
        <v>1433</v>
      </c>
      <c r="C1618" t="s">
        <v>12898</v>
      </c>
      <c r="D1618" t="s">
        <v>617</v>
      </c>
      <c r="E1618" t="s">
        <v>7952</v>
      </c>
      <c r="F1618">
        <v>45.32</v>
      </c>
      <c r="H1618" t="s">
        <v>5251</v>
      </c>
      <c r="L1618" t="s">
        <v>1433</v>
      </c>
      <c r="M1618" t="s">
        <v>2313</v>
      </c>
      <c r="N1618" t="s">
        <v>2725</v>
      </c>
      <c r="O1618">
        <v>103</v>
      </c>
    </row>
    <row r="1619" spans="2:15" x14ac:dyDescent="0.2">
      <c r="B1619" t="s">
        <v>1433</v>
      </c>
      <c r="C1619" t="s">
        <v>12898</v>
      </c>
      <c r="D1619" t="s">
        <v>621</v>
      </c>
      <c r="E1619" t="s">
        <v>7953</v>
      </c>
      <c r="F1619">
        <v>4.83</v>
      </c>
      <c r="H1619" t="s">
        <v>7954</v>
      </c>
      <c r="L1619" t="s">
        <v>1433</v>
      </c>
      <c r="M1619" t="s">
        <v>2314</v>
      </c>
      <c r="N1619" t="s">
        <v>2725</v>
      </c>
      <c r="O1619">
        <v>25</v>
      </c>
    </row>
    <row r="1620" spans="2:15" x14ac:dyDescent="0.2">
      <c r="B1620" t="s">
        <v>1433</v>
      </c>
      <c r="C1620" t="s">
        <v>12898</v>
      </c>
      <c r="D1620" t="s">
        <v>621</v>
      </c>
      <c r="E1620" t="s">
        <v>7955</v>
      </c>
      <c r="F1620">
        <v>6.86</v>
      </c>
      <c r="H1620" t="s">
        <v>7610</v>
      </c>
      <c r="L1620" t="s">
        <v>1433</v>
      </c>
      <c r="M1620" t="s">
        <v>2315</v>
      </c>
      <c r="N1620" t="s">
        <v>2725</v>
      </c>
      <c r="O1620">
        <v>350</v>
      </c>
    </row>
    <row r="1621" spans="2:15" x14ac:dyDescent="0.2">
      <c r="B1621" t="s">
        <v>1433</v>
      </c>
      <c r="C1621" t="s">
        <v>12898</v>
      </c>
      <c r="D1621" t="s">
        <v>621</v>
      </c>
      <c r="E1621" t="s">
        <v>7956</v>
      </c>
      <c r="F1621">
        <v>4.9400000000000004</v>
      </c>
      <c r="H1621" t="s">
        <v>1676</v>
      </c>
      <c r="L1621" t="s">
        <v>1433</v>
      </c>
      <c r="M1621" t="s">
        <v>2216</v>
      </c>
      <c r="N1621" t="s">
        <v>2725</v>
      </c>
      <c r="O1621">
        <v>250</v>
      </c>
    </row>
    <row r="1622" spans="2:15" x14ac:dyDescent="0.2">
      <c r="B1622" t="s">
        <v>1433</v>
      </c>
      <c r="C1622" t="s">
        <v>12898</v>
      </c>
      <c r="D1622" t="s">
        <v>84</v>
      </c>
      <c r="E1622" t="s">
        <v>7957</v>
      </c>
      <c r="F1622">
        <v>12.64</v>
      </c>
      <c r="H1622" t="s">
        <v>7944</v>
      </c>
      <c r="L1622" t="s">
        <v>1433</v>
      </c>
      <c r="M1622" t="s">
        <v>1406</v>
      </c>
      <c r="N1622" t="s">
        <v>2725</v>
      </c>
      <c r="O1622">
        <v>200</v>
      </c>
    </row>
    <row r="1623" spans="2:15" x14ac:dyDescent="0.2">
      <c r="B1623" t="s">
        <v>1433</v>
      </c>
      <c r="C1623" t="s">
        <v>12898</v>
      </c>
      <c r="D1623" t="s">
        <v>621</v>
      </c>
      <c r="E1623" t="s">
        <v>7959</v>
      </c>
      <c r="F1623">
        <v>3.95</v>
      </c>
      <c r="H1623" t="s">
        <v>6563</v>
      </c>
      <c r="L1623" t="s">
        <v>1433</v>
      </c>
      <c r="M1623" t="s">
        <v>2316</v>
      </c>
      <c r="N1623" t="s">
        <v>2725</v>
      </c>
      <c r="O1623">
        <v>90</v>
      </c>
    </row>
    <row r="1624" spans="2:15" x14ac:dyDescent="0.2">
      <c r="B1624" t="s">
        <v>1433</v>
      </c>
      <c r="C1624" t="s">
        <v>12898</v>
      </c>
      <c r="D1624" t="s">
        <v>617</v>
      </c>
      <c r="E1624" t="s">
        <v>7960</v>
      </c>
      <c r="F1624">
        <v>63.75</v>
      </c>
      <c r="H1624" t="s">
        <v>1615</v>
      </c>
      <c r="L1624" t="s">
        <v>1433</v>
      </c>
      <c r="M1624" t="s">
        <v>2092</v>
      </c>
      <c r="N1624" t="s">
        <v>2725</v>
      </c>
      <c r="O1624">
        <v>230</v>
      </c>
    </row>
    <row r="1625" spans="2:15" x14ac:dyDescent="0.2">
      <c r="B1625" t="s">
        <v>1433</v>
      </c>
      <c r="C1625" t="s">
        <v>12898</v>
      </c>
      <c r="D1625" t="s">
        <v>621</v>
      </c>
      <c r="E1625" t="s">
        <v>7961</v>
      </c>
      <c r="F1625">
        <v>46.7</v>
      </c>
      <c r="H1625" t="s">
        <v>7962</v>
      </c>
      <c r="L1625" t="s">
        <v>1433</v>
      </c>
      <c r="M1625" t="s">
        <v>2320</v>
      </c>
      <c r="N1625" t="s">
        <v>2725</v>
      </c>
      <c r="O1625">
        <v>240</v>
      </c>
    </row>
    <row r="1626" spans="2:15" x14ac:dyDescent="0.2">
      <c r="B1626" t="s">
        <v>1433</v>
      </c>
      <c r="C1626" t="s">
        <v>12898</v>
      </c>
      <c r="D1626" t="s">
        <v>617</v>
      </c>
      <c r="E1626" t="s">
        <v>7964</v>
      </c>
      <c r="F1626">
        <v>7.81</v>
      </c>
      <c r="H1626" t="s">
        <v>7619</v>
      </c>
      <c r="L1626" t="s">
        <v>1433</v>
      </c>
      <c r="M1626" t="s">
        <v>2321</v>
      </c>
      <c r="N1626" t="s">
        <v>2725</v>
      </c>
      <c r="O1626">
        <v>45</v>
      </c>
    </row>
    <row r="1627" spans="2:15" x14ac:dyDescent="0.2">
      <c r="B1627" t="s">
        <v>1433</v>
      </c>
      <c r="C1627" t="s">
        <v>12898</v>
      </c>
      <c r="D1627" t="s">
        <v>617</v>
      </c>
      <c r="E1627" t="s">
        <v>7965</v>
      </c>
      <c r="F1627">
        <v>136.08000000000001</v>
      </c>
      <c r="H1627" t="s">
        <v>1627</v>
      </c>
      <c r="L1627" t="s">
        <v>1433</v>
      </c>
      <c r="M1627" t="s">
        <v>2726</v>
      </c>
      <c r="N1627" t="s">
        <v>2727</v>
      </c>
      <c r="O1627">
        <v>46</v>
      </c>
    </row>
    <row r="1628" spans="2:15" x14ac:dyDescent="0.2">
      <c r="B1628" t="s">
        <v>1433</v>
      </c>
      <c r="C1628" t="s">
        <v>12898</v>
      </c>
      <c r="D1628" t="s">
        <v>52</v>
      </c>
      <c r="E1628" t="s">
        <v>7966</v>
      </c>
      <c r="F1628">
        <v>50</v>
      </c>
      <c r="H1628" t="s">
        <v>6427</v>
      </c>
      <c r="L1628" t="s">
        <v>1433</v>
      </c>
      <c r="M1628" t="s">
        <v>2728</v>
      </c>
      <c r="N1628" t="s">
        <v>2727</v>
      </c>
      <c r="O1628">
        <v>115</v>
      </c>
    </row>
    <row r="1629" spans="2:15" x14ac:dyDescent="0.2">
      <c r="B1629" t="s">
        <v>1433</v>
      </c>
      <c r="C1629" t="s">
        <v>12898</v>
      </c>
      <c r="D1629" t="s">
        <v>613</v>
      </c>
      <c r="E1629" t="s">
        <v>7967</v>
      </c>
      <c r="F1629">
        <v>3.14</v>
      </c>
      <c r="H1629" t="s">
        <v>7653</v>
      </c>
      <c r="L1629" t="s">
        <v>1433</v>
      </c>
      <c r="M1629" t="s">
        <v>1725</v>
      </c>
      <c r="N1629" t="s">
        <v>2727</v>
      </c>
      <c r="O1629">
        <v>23</v>
      </c>
    </row>
    <row r="1630" spans="2:15" x14ac:dyDescent="0.2">
      <c r="B1630" t="s">
        <v>1433</v>
      </c>
      <c r="C1630" t="s">
        <v>12898</v>
      </c>
      <c r="D1630" t="s">
        <v>613</v>
      </c>
      <c r="E1630" t="s">
        <v>7968</v>
      </c>
      <c r="F1630">
        <v>1.1000000000000001</v>
      </c>
      <c r="H1630" t="s">
        <v>2513</v>
      </c>
      <c r="L1630" t="s">
        <v>1433</v>
      </c>
      <c r="M1630" t="s">
        <v>1724</v>
      </c>
      <c r="N1630" t="s">
        <v>2727</v>
      </c>
      <c r="O1630">
        <v>23</v>
      </c>
    </row>
    <row r="1631" spans="2:15" x14ac:dyDescent="0.2">
      <c r="B1631" t="s">
        <v>1433</v>
      </c>
      <c r="C1631" t="s">
        <v>12898</v>
      </c>
      <c r="D1631" t="s">
        <v>617</v>
      </c>
      <c r="E1631" t="s">
        <v>7969</v>
      </c>
      <c r="F1631">
        <v>10.38</v>
      </c>
      <c r="H1631" t="s">
        <v>1603</v>
      </c>
      <c r="L1631" t="s">
        <v>1433</v>
      </c>
      <c r="M1631" t="s">
        <v>2729</v>
      </c>
      <c r="N1631" t="s">
        <v>2730</v>
      </c>
      <c r="O1631">
        <v>6</v>
      </c>
    </row>
    <row r="1632" spans="2:15" x14ac:dyDescent="0.2">
      <c r="B1632" t="s">
        <v>1433</v>
      </c>
      <c r="C1632" t="s">
        <v>12898</v>
      </c>
      <c r="D1632" t="s">
        <v>617</v>
      </c>
      <c r="E1632" t="s">
        <v>7970</v>
      </c>
      <c r="F1632">
        <v>29.44</v>
      </c>
      <c r="H1632" t="s">
        <v>1605</v>
      </c>
      <c r="L1632" t="s">
        <v>1433</v>
      </c>
      <c r="M1632" t="s">
        <v>1834</v>
      </c>
      <c r="N1632" t="s">
        <v>2731</v>
      </c>
      <c r="O1632">
        <v>10</v>
      </c>
    </row>
    <row r="1633" spans="2:15" x14ac:dyDescent="0.2">
      <c r="B1633" t="s">
        <v>1433</v>
      </c>
      <c r="C1633" t="s">
        <v>12898</v>
      </c>
      <c r="D1633" t="s">
        <v>617</v>
      </c>
      <c r="E1633" t="s">
        <v>7971</v>
      </c>
      <c r="F1633">
        <v>35.299999999999997</v>
      </c>
      <c r="H1633" t="s">
        <v>1606</v>
      </c>
      <c r="L1633" t="s">
        <v>1433</v>
      </c>
      <c r="M1633" t="s">
        <v>2732</v>
      </c>
      <c r="N1633" t="s">
        <v>2733</v>
      </c>
      <c r="O1633">
        <v>1</v>
      </c>
    </row>
    <row r="1634" spans="2:15" x14ac:dyDescent="0.2">
      <c r="B1634" t="s">
        <v>1433</v>
      </c>
      <c r="C1634" t="s">
        <v>12898</v>
      </c>
      <c r="D1634" t="s">
        <v>613</v>
      </c>
      <c r="E1634" t="s">
        <v>7972</v>
      </c>
      <c r="F1634">
        <v>2.4</v>
      </c>
      <c r="H1634" t="s">
        <v>6232</v>
      </c>
      <c r="L1634" t="s">
        <v>1433</v>
      </c>
      <c r="M1634" t="s">
        <v>2087</v>
      </c>
      <c r="N1634" t="s">
        <v>2734</v>
      </c>
      <c r="O1634">
        <v>138</v>
      </c>
    </row>
    <row r="1635" spans="2:15" x14ac:dyDescent="0.2">
      <c r="B1635" t="s">
        <v>1433</v>
      </c>
      <c r="C1635" t="s">
        <v>12898</v>
      </c>
      <c r="D1635" t="s">
        <v>554</v>
      </c>
      <c r="E1635" t="s">
        <v>7973</v>
      </c>
      <c r="F1635">
        <v>15.8</v>
      </c>
      <c r="H1635" t="s">
        <v>7958</v>
      </c>
      <c r="L1635" t="s">
        <v>1433</v>
      </c>
      <c r="M1635" t="s">
        <v>2132</v>
      </c>
      <c r="N1635" t="s">
        <v>2735</v>
      </c>
      <c r="O1635">
        <v>8</v>
      </c>
    </row>
    <row r="1636" spans="2:15" x14ac:dyDescent="0.2">
      <c r="B1636" t="s">
        <v>1433</v>
      </c>
      <c r="C1636" t="s">
        <v>12898</v>
      </c>
      <c r="D1636" t="s">
        <v>84</v>
      </c>
      <c r="E1636" t="s">
        <v>7974</v>
      </c>
      <c r="F1636">
        <v>13.13</v>
      </c>
      <c r="H1636" t="s">
        <v>6484</v>
      </c>
      <c r="L1636" t="s">
        <v>1433</v>
      </c>
      <c r="M1636" t="s">
        <v>1243</v>
      </c>
      <c r="N1636" t="s">
        <v>2736</v>
      </c>
      <c r="O1636">
        <v>100</v>
      </c>
    </row>
    <row r="1637" spans="2:15" x14ac:dyDescent="0.2">
      <c r="B1637" t="s">
        <v>1433</v>
      </c>
      <c r="C1637" t="s">
        <v>12898</v>
      </c>
      <c r="D1637" t="s">
        <v>617</v>
      </c>
      <c r="E1637" t="s">
        <v>7975</v>
      </c>
      <c r="F1637">
        <v>42.5</v>
      </c>
      <c r="H1637" t="s">
        <v>1615</v>
      </c>
      <c r="L1637" t="s">
        <v>1433</v>
      </c>
      <c r="M1637" t="s">
        <v>1245</v>
      </c>
      <c r="N1637" t="s">
        <v>2736</v>
      </c>
      <c r="O1637">
        <v>104</v>
      </c>
    </row>
    <row r="1638" spans="2:15" x14ac:dyDescent="0.2">
      <c r="B1638" t="s">
        <v>1433</v>
      </c>
      <c r="C1638" t="s">
        <v>12898</v>
      </c>
      <c r="D1638" t="s">
        <v>621</v>
      </c>
      <c r="E1638" t="s">
        <v>7976</v>
      </c>
      <c r="F1638">
        <v>20.84</v>
      </c>
      <c r="H1638" t="s">
        <v>1767</v>
      </c>
      <c r="L1638" t="s">
        <v>1433</v>
      </c>
      <c r="M1638" t="s">
        <v>1956</v>
      </c>
      <c r="N1638" t="s">
        <v>2736</v>
      </c>
      <c r="O1638">
        <v>4</v>
      </c>
    </row>
    <row r="1639" spans="2:15" x14ac:dyDescent="0.2">
      <c r="B1639" t="s">
        <v>1433</v>
      </c>
      <c r="C1639" t="s">
        <v>12898</v>
      </c>
      <c r="D1639" t="s">
        <v>621</v>
      </c>
      <c r="E1639" t="s">
        <v>7977</v>
      </c>
      <c r="F1639">
        <v>2.41</v>
      </c>
      <c r="H1639" t="s">
        <v>7978</v>
      </c>
      <c r="L1639" t="s">
        <v>1433</v>
      </c>
      <c r="M1639" t="s">
        <v>2737</v>
      </c>
      <c r="N1639" t="s">
        <v>2736</v>
      </c>
      <c r="O1639">
        <v>4</v>
      </c>
    </row>
    <row r="1640" spans="2:15" x14ac:dyDescent="0.2">
      <c r="B1640" t="s">
        <v>1433</v>
      </c>
      <c r="C1640" t="s">
        <v>12898</v>
      </c>
      <c r="D1640" t="s">
        <v>621</v>
      </c>
      <c r="E1640" t="s">
        <v>7979</v>
      </c>
      <c r="F1640">
        <v>19.739999999999998</v>
      </c>
      <c r="H1640" t="s">
        <v>6563</v>
      </c>
      <c r="L1640" t="s">
        <v>1433</v>
      </c>
      <c r="M1640" t="s">
        <v>2738</v>
      </c>
      <c r="N1640" t="s">
        <v>2739</v>
      </c>
      <c r="O1640">
        <v>1</v>
      </c>
    </row>
    <row r="1641" spans="2:15" x14ac:dyDescent="0.2">
      <c r="B1641" t="s">
        <v>1433</v>
      </c>
      <c r="C1641" t="s">
        <v>12898</v>
      </c>
      <c r="D1641" t="s">
        <v>621</v>
      </c>
      <c r="E1641" t="s">
        <v>7980</v>
      </c>
      <c r="F1641">
        <v>41.47</v>
      </c>
      <c r="H1641" t="s">
        <v>7784</v>
      </c>
      <c r="L1641" t="s">
        <v>1433</v>
      </c>
      <c r="M1641" t="s">
        <v>2740</v>
      </c>
      <c r="N1641" t="s">
        <v>2741</v>
      </c>
      <c r="O1641">
        <v>1</v>
      </c>
    </row>
    <row r="1642" spans="2:15" x14ac:dyDescent="0.2">
      <c r="B1642" t="s">
        <v>1433</v>
      </c>
      <c r="C1642" t="s">
        <v>12898</v>
      </c>
      <c r="D1642" t="s">
        <v>621</v>
      </c>
      <c r="E1642" t="s">
        <v>7982</v>
      </c>
      <c r="F1642">
        <v>30.66</v>
      </c>
      <c r="H1642" t="s">
        <v>7774</v>
      </c>
      <c r="L1642" t="s">
        <v>1433</v>
      </c>
      <c r="M1642" t="s">
        <v>2742</v>
      </c>
      <c r="N1642" t="s">
        <v>2743</v>
      </c>
      <c r="O1642">
        <v>1</v>
      </c>
    </row>
    <row r="1643" spans="2:15" x14ac:dyDescent="0.2">
      <c r="B1643" t="s">
        <v>1433</v>
      </c>
      <c r="C1643" t="s">
        <v>12898</v>
      </c>
      <c r="D1643" t="s">
        <v>621</v>
      </c>
      <c r="E1643" t="s">
        <v>7983</v>
      </c>
      <c r="F1643">
        <v>3.3</v>
      </c>
      <c r="H1643" t="s">
        <v>7776</v>
      </c>
      <c r="L1643" t="s">
        <v>1433</v>
      </c>
      <c r="M1643" t="s">
        <v>2744</v>
      </c>
      <c r="N1643" t="s">
        <v>2743</v>
      </c>
      <c r="O1643">
        <v>1</v>
      </c>
    </row>
    <row r="1644" spans="2:15" x14ac:dyDescent="0.2">
      <c r="B1644" t="s">
        <v>1433</v>
      </c>
      <c r="C1644" t="s">
        <v>12898</v>
      </c>
      <c r="D1644" t="s">
        <v>621</v>
      </c>
      <c r="E1644" t="s">
        <v>7984</v>
      </c>
      <c r="F1644">
        <v>10.15</v>
      </c>
      <c r="H1644" t="s">
        <v>7985</v>
      </c>
      <c r="L1644" t="s">
        <v>1433</v>
      </c>
      <c r="M1644" t="s">
        <v>2745</v>
      </c>
      <c r="N1644" t="s">
        <v>2746</v>
      </c>
      <c r="O1644">
        <v>0.99995000000000001</v>
      </c>
    </row>
    <row r="1645" spans="2:15" x14ac:dyDescent="0.2">
      <c r="B1645" t="s">
        <v>1433</v>
      </c>
      <c r="C1645" t="s">
        <v>12898</v>
      </c>
      <c r="D1645" t="s">
        <v>621</v>
      </c>
      <c r="E1645" t="s">
        <v>7986</v>
      </c>
      <c r="F1645">
        <v>44.92</v>
      </c>
      <c r="H1645" t="s">
        <v>6642</v>
      </c>
      <c r="L1645" t="s">
        <v>1433</v>
      </c>
      <c r="M1645" t="s">
        <v>2747</v>
      </c>
      <c r="N1645" t="s">
        <v>2746</v>
      </c>
      <c r="O1645">
        <v>1</v>
      </c>
    </row>
    <row r="1646" spans="2:15" x14ac:dyDescent="0.2">
      <c r="B1646" t="s">
        <v>1433</v>
      </c>
      <c r="C1646" t="s">
        <v>12898</v>
      </c>
      <c r="D1646" t="s">
        <v>621</v>
      </c>
      <c r="E1646" t="s">
        <v>7987</v>
      </c>
      <c r="F1646">
        <v>53.91</v>
      </c>
      <c r="H1646" t="s">
        <v>6645</v>
      </c>
      <c r="L1646" t="s">
        <v>1433</v>
      </c>
      <c r="M1646" t="s">
        <v>2748</v>
      </c>
      <c r="N1646" t="s">
        <v>2749</v>
      </c>
      <c r="O1646">
        <v>200</v>
      </c>
    </row>
    <row r="1647" spans="2:15" x14ac:dyDescent="0.2">
      <c r="B1647" t="s">
        <v>1433</v>
      </c>
      <c r="C1647" t="s">
        <v>12898</v>
      </c>
      <c r="D1647" t="s">
        <v>617</v>
      </c>
      <c r="E1647" t="s">
        <v>7988</v>
      </c>
      <c r="F1647">
        <v>10.38</v>
      </c>
      <c r="H1647" t="s">
        <v>1603</v>
      </c>
      <c r="L1647" t="s">
        <v>1433</v>
      </c>
      <c r="M1647" t="s">
        <v>2750</v>
      </c>
      <c r="N1647" t="s">
        <v>2751</v>
      </c>
      <c r="O1647">
        <v>1</v>
      </c>
    </row>
    <row r="1648" spans="2:15" x14ac:dyDescent="0.2">
      <c r="B1648" t="s">
        <v>1433</v>
      </c>
      <c r="C1648" t="s">
        <v>12898</v>
      </c>
      <c r="D1648" t="s">
        <v>554</v>
      </c>
      <c r="E1648" t="s">
        <v>7989</v>
      </c>
      <c r="F1648">
        <v>31.6</v>
      </c>
      <c r="H1648" t="s">
        <v>7958</v>
      </c>
      <c r="L1648" t="s">
        <v>1433</v>
      </c>
      <c r="M1648" t="s">
        <v>2752</v>
      </c>
      <c r="N1648" t="s">
        <v>2751</v>
      </c>
      <c r="O1648">
        <v>1</v>
      </c>
    </row>
    <row r="1649" spans="2:15" x14ac:dyDescent="0.2">
      <c r="B1649" t="s">
        <v>1433</v>
      </c>
      <c r="C1649" t="s">
        <v>12898</v>
      </c>
      <c r="D1649" t="s">
        <v>613</v>
      </c>
      <c r="E1649" t="s">
        <v>7990</v>
      </c>
      <c r="F1649">
        <v>3.2</v>
      </c>
      <c r="H1649" t="s">
        <v>7991</v>
      </c>
      <c r="L1649" t="s">
        <v>1433</v>
      </c>
      <c r="M1649" t="s">
        <v>1481</v>
      </c>
      <c r="N1649" t="s">
        <v>2753</v>
      </c>
      <c r="O1649">
        <v>5</v>
      </c>
    </row>
    <row r="1650" spans="2:15" x14ac:dyDescent="0.2">
      <c r="B1650" t="s">
        <v>1433</v>
      </c>
      <c r="C1650" t="s">
        <v>12898</v>
      </c>
      <c r="D1650" t="s">
        <v>617</v>
      </c>
      <c r="E1650" t="s">
        <v>7992</v>
      </c>
      <c r="F1650">
        <v>9.76</v>
      </c>
      <c r="H1650" t="s">
        <v>7619</v>
      </c>
      <c r="L1650" t="s">
        <v>1433</v>
      </c>
      <c r="M1650" t="s">
        <v>2754</v>
      </c>
      <c r="N1650" t="s">
        <v>2755</v>
      </c>
      <c r="O1650">
        <v>14</v>
      </c>
    </row>
    <row r="1651" spans="2:15" x14ac:dyDescent="0.2">
      <c r="B1651" t="s">
        <v>1433</v>
      </c>
      <c r="C1651" t="s">
        <v>12898</v>
      </c>
      <c r="D1651" t="s">
        <v>621</v>
      </c>
      <c r="E1651" t="s">
        <v>7993</v>
      </c>
      <c r="F1651">
        <v>49.26</v>
      </c>
      <c r="H1651" t="s">
        <v>1672</v>
      </c>
      <c r="L1651" t="s">
        <v>1433</v>
      </c>
      <c r="M1651" t="s">
        <v>2756</v>
      </c>
      <c r="N1651" t="s">
        <v>2755</v>
      </c>
      <c r="O1651">
        <v>14</v>
      </c>
    </row>
    <row r="1652" spans="2:15" x14ac:dyDescent="0.2">
      <c r="B1652" t="s">
        <v>1433</v>
      </c>
      <c r="C1652" t="s">
        <v>12898</v>
      </c>
      <c r="D1652" t="s">
        <v>621</v>
      </c>
      <c r="E1652" t="s">
        <v>7994</v>
      </c>
      <c r="F1652">
        <v>10.039999999999999</v>
      </c>
      <c r="H1652" t="s">
        <v>7995</v>
      </c>
      <c r="L1652" t="s">
        <v>1433</v>
      </c>
      <c r="M1652" t="s">
        <v>2307</v>
      </c>
      <c r="N1652" t="s">
        <v>2757</v>
      </c>
      <c r="O1652">
        <v>50</v>
      </c>
    </row>
    <row r="1653" spans="2:15" x14ac:dyDescent="0.2">
      <c r="B1653" t="s">
        <v>1433</v>
      </c>
      <c r="C1653" t="s">
        <v>12898</v>
      </c>
      <c r="D1653" t="s">
        <v>621</v>
      </c>
      <c r="E1653" t="s">
        <v>7996</v>
      </c>
      <c r="F1653">
        <v>13.9</v>
      </c>
      <c r="H1653" t="s">
        <v>1767</v>
      </c>
      <c r="L1653" t="s">
        <v>1433</v>
      </c>
      <c r="M1653" t="s">
        <v>2758</v>
      </c>
      <c r="N1653" t="s">
        <v>2759</v>
      </c>
      <c r="O1653">
        <v>1</v>
      </c>
    </row>
    <row r="1654" spans="2:15" x14ac:dyDescent="0.2">
      <c r="B1654" t="s">
        <v>1433</v>
      </c>
      <c r="C1654" t="s">
        <v>12898</v>
      </c>
      <c r="D1654" t="s">
        <v>621</v>
      </c>
      <c r="E1654" t="s">
        <v>7997</v>
      </c>
      <c r="F1654">
        <v>1.61</v>
      </c>
      <c r="H1654" t="s">
        <v>7978</v>
      </c>
      <c r="L1654" t="s">
        <v>1433</v>
      </c>
      <c r="M1654" t="s">
        <v>2760</v>
      </c>
      <c r="N1654" t="s">
        <v>2759</v>
      </c>
      <c r="O1654">
        <v>1</v>
      </c>
    </row>
    <row r="1655" spans="2:15" x14ac:dyDescent="0.2">
      <c r="B1655" t="s">
        <v>1433</v>
      </c>
      <c r="C1655" t="s">
        <v>12898</v>
      </c>
      <c r="D1655" t="s">
        <v>621</v>
      </c>
      <c r="E1655" t="s">
        <v>7998</v>
      </c>
      <c r="F1655">
        <v>5.28</v>
      </c>
      <c r="H1655" t="s">
        <v>7999</v>
      </c>
      <c r="L1655" t="s">
        <v>1433</v>
      </c>
      <c r="M1655" t="s">
        <v>2761</v>
      </c>
      <c r="N1655" t="s">
        <v>1944</v>
      </c>
      <c r="O1655">
        <v>13</v>
      </c>
    </row>
    <row r="1656" spans="2:15" x14ac:dyDescent="0.2">
      <c r="B1656" t="s">
        <v>1433</v>
      </c>
      <c r="C1656" t="s">
        <v>12898</v>
      </c>
      <c r="D1656" t="s">
        <v>621</v>
      </c>
      <c r="E1656" t="s">
        <v>8000</v>
      </c>
      <c r="F1656">
        <v>34.74</v>
      </c>
      <c r="H1656" t="s">
        <v>1767</v>
      </c>
      <c r="L1656" t="s">
        <v>1433</v>
      </c>
      <c r="M1656" t="s">
        <v>2762</v>
      </c>
      <c r="N1656" t="s">
        <v>1912</v>
      </c>
      <c r="O1656">
        <v>100</v>
      </c>
    </row>
    <row r="1657" spans="2:15" x14ac:dyDescent="0.2">
      <c r="B1657" t="s">
        <v>1433</v>
      </c>
      <c r="C1657" t="s">
        <v>12898</v>
      </c>
      <c r="D1657" t="s">
        <v>84</v>
      </c>
      <c r="E1657" t="s">
        <v>8001</v>
      </c>
      <c r="F1657">
        <v>78.930000000000007</v>
      </c>
      <c r="H1657" t="s">
        <v>8002</v>
      </c>
      <c r="L1657" t="s">
        <v>1433</v>
      </c>
      <c r="M1657" t="s">
        <v>2762</v>
      </c>
      <c r="N1657" t="s">
        <v>1915</v>
      </c>
      <c r="O1657">
        <v>50</v>
      </c>
    </row>
    <row r="1658" spans="2:15" x14ac:dyDescent="0.2">
      <c r="B1658" t="s">
        <v>1433</v>
      </c>
      <c r="C1658" t="s">
        <v>12898</v>
      </c>
      <c r="D1658" t="s">
        <v>84</v>
      </c>
      <c r="E1658" t="s">
        <v>8003</v>
      </c>
      <c r="F1658">
        <v>2.63</v>
      </c>
      <c r="H1658" t="s">
        <v>6484</v>
      </c>
      <c r="L1658" t="s">
        <v>1433</v>
      </c>
      <c r="M1658" t="s">
        <v>1722</v>
      </c>
      <c r="N1658" t="s">
        <v>2663</v>
      </c>
      <c r="O1658">
        <v>200</v>
      </c>
    </row>
    <row r="1659" spans="2:15" x14ac:dyDescent="0.2">
      <c r="B1659" t="s">
        <v>1433</v>
      </c>
      <c r="C1659" t="s">
        <v>12898</v>
      </c>
      <c r="D1659" t="s">
        <v>84</v>
      </c>
      <c r="E1659" t="s">
        <v>8004</v>
      </c>
      <c r="F1659">
        <v>1.92</v>
      </c>
      <c r="H1659" t="s">
        <v>7180</v>
      </c>
      <c r="L1659" t="s">
        <v>1433</v>
      </c>
      <c r="M1659" t="s">
        <v>2763</v>
      </c>
      <c r="N1659" t="s">
        <v>2764</v>
      </c>
      <c r="O1659">
        <v>1</v>
      </c>
    </row>
    <row r="1660" spans="2:15" x14ac:dyDescent="0.2">
      <c r="B1660" t="s">
        <v>1433</v>
      </c>
      <c r="C1660" t="s">
        <v>12898</v>
      </c>
      <c r="D1660" t="s">
        <v>613</v>
      </c>
      <c r="E1660" t="s">
        <v>8005</v>
      </c>
      <c r="F1660">
        <v>1.1000000000000001</v>
      </c>
      <c r="H1660" t="s">
        <v>2513</v>
      </c>
      <c r="L1660" t="s">
        <v>1433</v>
      </c>
      <c r="M1660" t="s">
        <v>2765</v>
      </c>
      <c r="N1660" t="s">
        <v>2766</v>
      </c>
      <c r="O1660">
        <v>80</v>
      </c>
    </row>
    <row r="1661" spans="2:15" x14ac:dyDescent="0.2">
      <c r="B1661" t="s">
        <v>1433</v>
      </c>
      <c r="C1661" t="s">
        <v>12898</v>
      </c>
      <c r="D1661" t="s">
        <v>617</v>
      </c>
      <c r="E1661" t="s">
        <v>8006</v>
      </c>
      <c r="F1661">
        <v>31.68</v>
      </c>
      <c r="H1661" t="s">
        <v>1624</v>
      </c>
      <c r="L1661" t="s">
        <v>1433</v>
      </c>
      <c r="M1661" t="s">
        <v>2767</v>
      </c>
      <c r="N1661" t="s">
        <v>2766</v>
      </c>
      <c r="O1661">
        <v>26</v>
      </c>
    </row>
    <row r="1662" spans="2:15" x14ac:dyDescent="0.2">
      <c r="B1662" t="s">
        <v>1433</v>
      </c>
      <c r="C1662" t="s">
        <v>12898</v>
      </c>
      <c r="D1662" t="s">
        <v>617</v>
      </c>
      <c r="E1662" t="s">
        <v>8007</v>
      </c>
      <c r="F1662">
        <v>45.32</v>
      </c>
      <c r="H1662" t="s">
        <v>5251</v>
      </c>
      <c r="L1662" t="s">
        <v>1433</v>
      </c>
      <c r="M1662" t="s">
        <v>2768</v>
      </c>
      <c r="N1662" t="s">
        <v>2766</v>
      </c>
      <c r="O1662">
        <v>59</v>
      </c>
    </row>
    <row r="1663" spans="2:15" x14ac:dyDescent="0.2">
      <c r="B1663" t="s">
        <v>1433</v>
      </c>
      <c r="C1663" t="s">
        <v>12898</v>
      </c>
      <c r="D1663" t="s">
        <v>617</v>
      </c>
      <c r="E1663" t="s">
        <v>8008</v>
      </c>
      <c r="F1663">
        <v>21.25</v>
      </c>
      <c r="H1663" t="s">
        <v>1615</v>
      </c>
      <c r="L1663" t="s">
        <v>1433</v>
      </c>
      <c r="M1663" t="s">
        <v>2769</v>
      </c>
      <c r="N1663" t="s">
        <v>1855</v>
      </c>
      <c r="O1663">
        <v>6</v>
      </c>
    </row>
    <row r="1664" spans="2:15" x14ac:dyDescent="0.2">
      <c r="B1664" t="s">
        <v>1433</v>
      </c>
      <c r="C1664" t="s">
        <v>12898</v>
      </c>
      <c r="D1664" t="s">
        <v>613</v>
      </c>
      <c r="E1664" t="s">
        <v>8009</v>
      </c>
      <c r="F1664">
        <v>20.43</v>
      </c>
      <c r="H1664" t="s">
        <v>7588</v>
      </c>
      <c r="L1664" t="s">
        <v>1433</v>
      </c>
      <c r="M1664" t="s">
        <v>2770</v>
      </c>
      <c r="N1664" t="s">
        <v>2771</v>
      </c>
      <c r="O1664">
        <v>1</v>
      </c>
    </row>
    <row r="1665" spans="2:15" x14ac:dyDescent="0.2">
      <c r="B1665" t="s">
        <v>1433</v>
      </c>
      <c r="C1665" t="s">
        <v>12898</v>
      </c>
      <c r="D1665" t="s">
        <v>617</v>
      </c>
      <c r="E1665" t="s">
        <v>8010</v>
      </c>
      <c r="F1665">
        <v>3.6</v>
      </c>
      <c r="H1665" t="s">
        <v>7913</v>
      </c>
      <c r="L1665" t="s">
        <v>1433</v>
      </c>
      <c r="M1665" t="s">
        <v>2772</v>
      </c>
      <c r="N1665" t="s">
        <v>2771</v>
      </c>
      <c r="O1665">
        <v>1</v>
      </c>
    </row>
    <row r="1666" spans="2:15" x14ac:dyDescent="0.2">
      <c r="B1666" t="s">
        <v>1433</v>
      </c>
      <c r="C1666" t="s">
        <v>12898</v>
      </c>
      <c r="D1666" t="s">
        <v>554</v>
      </c>
      <c r="E1666" t="s">
        <v>8011</v>
      </c>
      <c r="F1666">
        <v>15.8</v>
      </c>
      <c r="H1666" t="s">
        <v>7958</v>
      </c>
      <c r="L1666" t="s">
        <v>1433</v>
      </c>
      <c r="M1666" t="s">
        <v>2773</v>
      </c>
      <c r="N1666" t="s">
        <v>2774</v>
      </c>
      <c r="O1666">
        <v>1</v>
      </c>
    </row>
    <row r="1667" spans="2:15" x14ac:dyDescent="0.2">
      <c r="B1667" t="s">
        <v>1433</v>
      </c>
      <c r="C1667" t="s">
        <v>12898</v>
      </c>
      <c r="D1667" t="s">
        <v>621</v>
      </c>
      <c r="E1667" t="s">
        <v>8012</v>
      </c>
      <c r="F1667">
        <v>17.62</v>
      </c>
      <c r="H1667" t="s">
        <v>6963</v>
      </c>
      <c r="L1667" t="s">
        <v>1433</v>
      </c>
      <c r="M1667" t="s">
        <v>2775</v>
      </c>
      <c r="N1667" t="s">
        <v>2776</v>
      </c>
      <c r="O1667">
        <v>1</v>
      </c>
    </row>
    <row r="1668" spans="2:15" x14ac:dyDescent="0.2">
      <c r="B1668" t="s">
        <v>1433</v>
      </c>
      <c r="C1668" t="s">
        <v>12898</v>
      </c>
      <c r="D1668" t="s">
        <v>617</v>
      </c>
      <c r="E1668" t="s">
        <v>8013</v>
      </c>
      <c r="F1668">
        <v>5.86</v>
      </c>
      <c r="H1668" t="s">
        <v>7619</v>
      </c>
      <c r="L1668" t="s">
        <v>1433</v>
      </c>
      <c r="M1668" t="s">
        <v>2777</v>
      </c>
      <c r="N1668" t="s">
        <v>2776</v>
      </c>
      <c r="O1668">
        <v>1</v>
      </c>
    </row>
    <row r="1669" spans="2:15" x14ac:dyDescent="0.2">
      <c r="B1669" t="s">
        <v>1433</v>
      </c>
      <c r="C1669" t="s">
        <v>12898</v>
      </c>
      <c r="D1669" t="s">
        <v>617</v>
      </c>
      <c r="E1669" t="s">
        <v>8014</v>
      </c>
      <c r="F1669">
        <v>11.16</v>
      </c>
      <c r="H1669" t="s">
        <v>8015</v>
      </c>
      <c r="L1669" t="s">
        <v>1433</v>
      </c>
      <c r="M1669" t="s">
        <v>2778</v>
      </c>
      <c r="N1669" t="s">
        <v>2776</v>
      </c>
      <c r="O1669">
        <v>1</v>
      </c>
    </row>
    <row r="1670" spans="2:15" x14ac:dyDescent="0.2">
      <c r="B1670" t="s">
        <v>1433</v>
      </c>
      <c r="C1670" t="s">
        <v>12898</v>
      </c>
      <c r="D1670" t="s">
        <v>613</v>
      </c>
      <c r="E1670" t="s">
        <v>8016</v>
      </c>
      <c r="F1670">
        <v>6.5</v>
      </c>
      <c r="H1670" t="s">
        <v>8017</v>
      </c>
      <c r="L1670" t="s">
        <v>1433</v>
      </c>
      <c r="M1670" t="s">
        <v>2779</v>
      </c>
      <c r="N1670" t="s">
        <v>2776</v>
      </c>
      <c r="O1670">
        <v>1</v>
      </c>
    </row>
    <row r="1671" spans="2:15" x14ac:dyDescent="0.2">
      <c r="B1671" t="s">
        <v>1433</v>
      </c>
      <c r="C1671" t="s">
        <v>12898</v>
      </c>
      <c r="D1671" t="s">
        <v>613</v>
      </c>
      <c r="E1671" t="s">
        <v>8018</v>
      </c>
      <c r="F1671">
        <v>39.5</v>
      </c>
      <c r="H1671" t="s">
        <v>8019</v>
      </c>
      <c r="L1671" t="s">
        <v>1433</v>
      </c>
      <c r="M1671" t="s">
        <v>2780</v>
      </c>
      <c r="N1671" t="s">
        <v>2781</v>
      </c>
      <c r="O1671">
        <v>1</v>
      </c>
    </row>
    <row r="1672" spans="2:15" x14ac:dyDescent="0.2">
      <c r="B1672" t="s">
        <v>1433</v>
      </c>
      <c r="C1672" t="s">
        <v>12898</v>
      </c>
      <c r="D1672" t="s">
        <v>621</v>
      </c>
      <c r="E1672" t="s">
        <v>8020</v>
      </c>
      <c r="F1672">
        <v>129.49</v>
      </c>
      <c r="H1672" t="s">
        <v>8021</v>
      </c>
      <c r="L1672" t="s">
        <v>1433</v>
      </c>
      <c r="M1672" t="s">
        <v>2782</v>
      </c>
      <c r="N1672" t="s">
        <v>2783</v>
      </c>
      <c r="O1672">
        <v>15</v>
      </c>
    </row>
    <row r="1673" spans="2:15" x14ac:dyDescent="0.2">
      <c r="B1673" t="s">
        <v>1433</v>
      </c>
      <c r="C1673" t="s">
        <v>12898</v>
      </c>
      <c r="D1673" t="s">
        <v>613</v>
      </c>
      <c r="E1673" t="s">
        <v>8022</v>
      </c>
      <c r="F1673">
        <v>0.41</v>
      </c>
      <c r="H1673" t="s">
        <v>5271</v>
      </c>
      <c r="L1673" t="s">
        <v>1433</v>
      </c>
      <c r="M1673" t="s">
        <v>1330</v>
      </c>
      <c r="N1673" t="s">
        <v>2784</v>
      </c>
      <c r="O1673">
        <v>2</v>
      </c>
    </row>
    <row r="1674" spans="2:15" x14ac:dyDescent="0.2">
      <c r="B1674" t="s">
        <v>1433</v>
      </c>
      <c r="C1674" t="s">
        <v>12898</v>
      </c>
      <c r="D1674" t="s">
        <v>613</v>
      </c>
      <c r="E1674" t="s">
        <v>8023</v>
      </c>
      <c r="F1674">
        <v>0.43</v>
      </c>
      <c r="H1674" t="s">
        <v>8024</v>
      </c>
      <c r="L1674" t="s">
        <v>1433</v>
      </c>
      <c r="M1674" t="s">
        <v>2785</v>
      </c>
      <c r="N1674" t="s">
        <v>2786</v>
      </c>
      <c r="O1674">
        <v>1</v>
      </c>
    </row>
    <row r="1675" spans="2:15" x14ac:dyDescent="0.2">
      <c r="B1675" t="s">
        <v>1433</v>
      </c>
      <c r="C1675" t="s">
        <v>12898</v>
      </c>
      <c r="D1675" t="s">
        <v>613</v>
      </c>
      <c r="E1675" t="s">
        <v>8025</v>
      </c>
      <c r="F1675">
        <v>0.54</v>
      </c>
      <c r="H1675" t="s">
        <v>8026</v>
      </c>
      <c r="L1675" t="s">
        <v>1433</v>
      </c>
      <c r="M1675" t="s">
        <v>1498</v>
      </c>
      <c r="N1675" t="s">
        <v>2787</v>
      </c>
      <c r="O1675">
        <v>2</v>
      </c>
    </row>
    <row r="1676" spans="2:15" x14ac:dyDescent="0.2">
      <c r="B1676" t="s">
        <v>1433</v>
      </c>
      <c r="C1676" t="s">
        <v>12898</v>
      </c>
      <c r="D1676" t="s">
        <v>617</v>
      </c>
      <c r="E1676" t="s">
        <v>8027</v>
      </c>
      <c r="F1676">
        <v>26.9</v>
      </c>
      <c r="H1676" t="s">
        <v>1710</v>
      </c>
      <c r="L1676" t="s">
        <v>1433</v>
      </c>
      <c r="M1676" t="s">
        <v>2398</v>
      </c>
      <c r="N1676" t="s">
        <v>2788</v>
      </c>
      <c r="O1676">
        <v>2000</v>
      </c>
    </row>
    <row r="1677" spans="2:15" x14ac:dyDescent="0.2">
      <c r="B1677" t="s">
        <v>1433</v>
      </c>
      <c r="C1677" t="s">
        <v>12898</v>
      </c>
      <c r="D1677" t="s">
        <v>617</v>
      </c>
      <c r="E1677" t="s">
        <v>8028</v>
      </c>
      <c r="F1677">
        <v>10.33</v>
      </c>
      <c r="H1677" t="s">
        <v>8029</v>
      </c>
      <c r="L1677" t="s">
        <v>1433</v>
      </c>
      <c r="M1677" t="s">
        <v>2400</v>
      </c>
      <c r="N1677" t="s">
        <v>2788</v>
      </c>
      <c r="O1677">
        <v>4000</v>
      </c>
    </row>
    <row r="1678" spans="2:15" x14ac:dyDescent="0.2">
      <c r="B1678" t="s">
        <v>1433</v>
      </c>
      <c r="C1678" t="s">
        <v>12898</v>
      </c>
      <c r="D1678" t="s">
        <v>617</v>
      </c>
      <c r="E1678" t="s">
        <v>8030</v>
      </c>
      <c r="F1678">
        <v>42.24</v>
      </c>
      <c r="H1678" t="s">
        <v>5395</v>
      </c>
      <c r="L1678" t="s">
        <v>1433</v>
      </c>
      <c r="M1678" t="s">
        <v>2401</v>
      </c>
      <c r="N1678" t="s">
        <v>2788</v>
      </c>
      <c r="O1678">
        <v>2000</v>
      </c>
    </row>
    <row r="1679" spans="2:15" x14ac:dyDescent="0.2">
      <c r="B1679" t="s">
        <v>1433</v>
      </c>
      <c r="C1679" t="s">
        <v>12898</v>
      </c>
      <c r="D1679" t="s">
        <v>613</v>
      </c>
      <c r="E1679" t="s">
        <v>8031</v>
      </c>
      <c r="F1679">
        <v>0.08</v>
      </c>
      <c r="H1679" t="s">
        <v>8032</v>
      </c>
      <c r="L1679" t="s">
        <v>1433</v>
      </c>
      <c r="M1679" t="s">
        <v>2402</v>
      </c>
      <c r="N1679" t="s">
        <v>2788</v>
      </c>
      <c r="O1679">
        <v>8192</v>
      </c>
    </row>
    <row r="1680" spans="2:15" x14ac:dyDescent="0.2">
      <c r="B1680" t="s">
        <v>1433</v>
      </c>
      <c r="C1680" t="s">
        <v>12898</v>
      </c>
      <c r="D1680" t="s">
        <v>621</v>
      </c>
      <c r="E1680" t="s">
        <v>8033</v>
      </c>
      <c r="F1680">
        <v>20.67</v>
      </c>
      <c r="H1680" t="s">
        <v>8034</v>
      </c>
      <c r="L1680" t="s">
        <v>1433</v>
      </c>
      <c r="M1680" t="s">
        <v>2789</v>
      </c>
      <c r="N1680" t="s">
        <v>2790</v>
      </c>
      <c r="O1680">
        <v>20</v>
      </c>
    </row>
    <row r="1681" spans="2:15" x14ac:dyDescent="0.2">
      <c r="B1681" t="s">
        <v>1433</v>
      </c>
      <c r="C1681" t="s">
        <v>12898</v>
      </c>
      <c r="D1681" t="s">
        <v>617</v>
      </c>
      <c r="E1681" t="s">
        <v>8035</v>
      </c>
      <c r="F1681">
        <v>7.04</v>
      </c>
      <c r="H1681" t="s">
        <v>5395</v>
      </c>
      <c r="L1681" t="s">
        <v>1433</v>
      </c>
      <c r="M1681" t="s">
        <v>1956</v>
      </c>
      <c r="N1681" t="s">
        <v>2791</v>
      </c>
      <c r="O1681">
        <v>1</v>
      </c>
    </row>
    <row r="1682" spans="2:15" x14ac:dyDescent="0.2">
      <c r="B1682" t="s">
        <v>1433</v>
      </c>
      <c r="C1682" t="s">
        <v>12898</v>
      </c>
      <c r="D1682" t="s">
        <v>613</v>
      </c>
      <c r="E1682" t="s">
        <v>8036</v>
      </c>
      <c r="F1682">
        <v>3.52</v>
      </c>
      <c r="H1682" t="s">
        <v>6847</v>
      </c>
      <c r="L1682" t="s">
        <v>1433</v>
      </c>
      <c r="M1682" t="s">
        <v>1513</v>
      </c>
      <c r="N1682" t="s">
        <v>2791</v>
      </c>
      <c r="O1682">
        <v>2</v>
      </c>
    </row>
    <row r="1683" spans="2:15" x14ac:dyDescent="0.2">
      <c r="B1683" t="s">
        <v>1433</v>
      </c>
      <c r="C1683" t="s">
        <v>12898</v>
      </c>
      <c r="D1683" t="s">
        <v>613</v>
      </c>
      <c r="E1683" t="s">
        <v>8037</v>
      </c>
      <c r="F1683">
        <v>8</v>
      </c>
      <c r="H1683" t="s">
        <v>7991</v>
      </c>
      <c r="L1683" t="s">
        <v>1433</v>
      </c>
      <c r="M1683" t="s">
        <v>1243</v>
      </c>
      <c r="N1683" t="s">
        <v>2791</v>
      </c>
      <c r="O1683">
        <v>1</v>
      </c>
    </row>
    <row r="1684" spans="2:15" x14ac:dyDescent="0.2">
      <c r="B1684" t="s">
        <v>1433</v>
      </c>
      <c r="C1684" t="s">
        <v>12898</v>
      </c>
      <c r="D1684" t="s">
        <v>613</v>
      </c>
      <c r="E1684" t="s">
        <v>8038</v>
      </c>
      <c r="F1684">
        <v>3.4</v>
      </c>
      <c r="H1684" t="s">
        <v>5273</v>
      </c>
      <c r="L1684" t="s">
        <v>1433</v>
      </c>
      <c r="M1684" t="s">
        <v>1245</v>
      </c>
      <c r="N1684" t="s">
        <v>2791</v>
      </c>
      <c r="O1684">
        <v>1</v>
      </c>
    </row>
    <row r="1685" spans="2:15" x14ac:dyDescent="0.2">
      <c r="B1685" t="s">
        <v>1433</v>
      </c>
      <c r="C1685" t="s">
        <v>12898</v>
      </c>
      <c r="D1685" t="s">
        <v>554</v>
      </c>
      <c r="E1685" t="s">
        <v>8039</v>
      </c>
      <c r="F1685">
        <v>124.5</v>
      </c>
      <c r="H1685" t="s">
        <v>6377</v>
      </c>
      <c r="L1685" t="s">
        <v>1433</v>
      </c>
      <c r="M1685" t="s">
        <v>2792</v>
      </c>
      <c r="N1685" t="s">
        <v>2793</v>
      </c>
      <c r="O1685">
        <v>1</v>
      </c>
    </row>
    <row r="1686" spans="2:15" x14ac:dyDescent="0.2">
      <c r="B1686" t="s">
        <v>1433</v>
      </c>
      <c r="C1686" t="s">
        <v>12898</v>
      </c>
      <c r="D1686" t="s">
        <v>617</v>
      </c>
      <c r="E1686" t="s">
        <v>8040</v>
      </c>
      <c r="F1686">
        <v>1.45</v>
      </c>
      <c r="H1686" t="s">
        <v>8041</v>
      </c>
      <c r="L1686" t="s">
        <v>1433</v>
      </c>
      <c r="M1686" t="s">
        <v>2794</v>
      </c>
      <c r="N1686" t="s">
        <v>2795</v>
      </c>
      <c r="O1686">
        <v>1</v>
      </c>
    </row>
    <row r="1687" spans="2:15" x14ac:dyDescent="0.2">
      <c r="B1687" t="s">
        <v>1433</v>
      </c>
      <c r="C1687" t="s">
        <v>12898</v>
      </c>
      <c r="D1687" t="s">
        <v>621</v>
      </c>
      <c r="E1687" t="s">
        <v>8042</v>
      </c>
      <c r="F1687">
        <v>2.44</v>
      </c>
      <c r="H1687" t="s">
        <v>8043</v>
      </c>
      <c r="L1687" t="s">
        <v>1433</v>
      </c>
      <c r="M1687" t="s">
        <v>1691</v>
      </c>
      <c r="N1687" t="s">
        <v>2796</v>
      </c>
      <c r="O1687">
        <v>4</v>
      </c>
    </row>
    <row r="1688" spans="2:15" x14ac:dyDescent="0.2">
      <c r="B1688" t="s">
        <v>1433</v>
      </c>
      <c r="C1688" t="s">
        <v>12898</v>
      </c>
      <c r="D1688" t="s">
        <v>613</v>
      </c>
      <c r="E1688" t="s">
        <v>8044</v>
      </c>
      <c r="F1688">
        <v>15</v>
      </c>
      <c r="H1688" t="s">
        <v>8045</v>
      </c>
      <c r="L1688" t="s">
        <v>1433</v>
      </c>
      <c r="M1688" t="s">
        <v>1692</v>
      </c>
      <c r="N1688" t="s">
        <v>2796</v>
      </c>
      <c r="O1688">
        <v>4</v>
      </c>
    </row>
    <row r="1689" spans="2:15" x14ac:dyDescent="0.2">
      <c r="B1689" t="s">
        <v>1433</v>
      </c>
      <c r="C1689" t="s">
        <v>12898</v>
      </c>
      <c r="D1689" t="s">
        <v>613</v>
      </c>
      <c r="E1689" t="s">
        <v>8046</v>
      </c>
      <c r="F1689">
        <v>65</v>
      </c>
      <c r="H1689" t="s">
        <v>8017</v>
      </c>
      <c r="L1689" t="s">
        <v>1433</v>
      </c>
      <c r="M1689" t="s">
        <v>2797</v>
      </c>
      <c r="N1689" t="s">
        <v>2798</v>
      </c>
      <c r="O1689">
        <v>43</v>
      </c>
    </row>
    <row r="1690" spans="2:15" x14ac:dyDescent="0.2">
      <c r="B1690" t="s">
        <v>1433</v>
      </c>
      <c r="C1690" t="s">
        <v>12898</v>
      </c>
      <c r="D1690" t="s">
        <v>554</v>
      </c>
      <c r="E1690" t="s">
        <v>8047</v>
      </c>
      <c r="F1690">
        <v>99.6</v>
      </c>
      <c r="H1690" t="s">
        <v>6377</v>
      </c>
      <c r="L1690" t="s">
        <v>1433</v>
      </c>
      <c r="M1690" t="s">
        <v>2799</v>
      </c>
      <c r="N1690" t="s">
        <v>2800</v>
      </c>
      <c r="O1690">
        <v>14</v>
      </c>
    </row>
    <row r="1691" spans="2:15" x14ac:dyDescent="0.2">
      <c r="B1691" t="s">
        <v>1433</v>
      </c>
      <c r="C1691" t="s">
        <v>12898</v>
      </c>
      <c r="D1691" t="s">
        <v>617</v>
      </c>
      <c r="E1691" t="s">
        <v>8048</v>
      </c>
      <c r="F1691">
        <v>6678.76</v>
      </c>
      <c r="H1691" t="s">
        <v>1386</v>
      </c>
      <c r="L1691" t="s">
        <v>1433</v>
      </c>
      <c r="M1691" t="s">
        <v>2801</v>
      </c>
      <c r="N1691" t="s">
        <v>2800</v>
      </c>
      <c r="O1691">
        <v>43</v>
      </c>
    </row>
    <row r="1692" spans="2:15" x14ac:dyDescent="0.2">
      <c r="B1692" t="s">
        <v>1433</v>
      </c>
      <c r="C1692" t="s">
        <v>12898</v>
      </c>
      <c r="D1692" t="s">
        <v>617</v>
      </c>
      <c r="E1692" t="s">
        <v>8049</v>
      </c>
      <c r="F1692">
        <v>6678.76</v>
      </c>
      <c r="H1692" t="s">
        <v>1386</v>
      </c>
      <c r="L1692" t="s">
        <v>1433</v>
      </c>
      <c r="M1692" t="s">
        <v>2754</v>
      </c>
      <c r="N1692" t="s">
        <v>2800</v>
      </c>
      <c r="O1692">
        <v>14</v>
      </c>
    </row>
    <row r="1693" spans="2:15" x14ac:dyDescent="0.2">
      <c r="B1693" t="s">
        <v>1433</v>
      </c>
      <c r="C1693" t="s">
        <v>12898</v>
      </c>
      <c r="D1693" t="s">
        <v>617</v>
      </c>
      <c r="E1693" t="s">
        <v>8050</v>
      </c>
      <c r="F1693">
        <v>6678.76</v>
      </c>
      <c r="H1693" t="s">
        <v>1386</v>
      </c>
      <c r="L1693" t="s">
        <v>1433</v>
      </c>
      <c r="M1693" t="s">
        <v>2802</v>
      </c>
      <c r="N1693" t="s">
        <v>2803</v>
      </c>
      <c r="O1693">
        <v>1</v>
      </c>
    </row>
    <row r="1694" spans="2:15" x14ac:dyDescent="0.2">
      <c r="B1694" t="s">
        <v>1433</v>
      </c>
      <c r="C1694" t="s">
        <v>12898</v>
      </c>
      <c r="D1694" t="s">
        <v>617</v>
      </c>
      <c r="E1694" t="s">
        <v>8051</v>
      </c>
      <c r="F1694">
        <v>6678.76</v>
      </c>
      <c r="H1694" t="s">
        <v>1386</v>
      </c>
      <c r="L1694" t="s">
        <v>1433</v>
      </c>
      <c r="M1694" t="s">
        <v>2804</v>
      </c>
      <c r="N1694" t="s">
        <v>2803</v>
      </c>
      <c r="O1694">
        <v>1</v>
      </c>
    </row>
    <row r="1695" spans="2:15" x14ac:dyDescent="0.2">
      <c r="B1695" t="s">
        <v>1433</v>
      </c>
      <c r="C1695" t="s">
        <v>12898</v>
      </c>
      <c r="D1695" t="s">
        <v>617</v>
      </c>
      <c r="E1695" t="s">
        <v>8052</v>
      </c>
      <c r="F1695">
        <v>6678.76</v>
      </c>
      <c r="H1695" t="s">
        <v>1386</v>
      </c>
      <c r="L1695" t="s">
        <v>1433</v>
      </c>
      <c r="M1695" t="s">
        <v>2805</v>
      </c>
      <c r="N1695" t="s">
        <v>2803</v>
      </c>
      <c r="O1695">
        <v>1</v>
      </c>
    </row>
    <row r="1696" spans="2:15" x14ac:dyDescent="0.2">
      <c r="B1696" t="s">
        <v>1433</v>
      </c>
      <c r="C1696" t="s">
        <v>12898</v>
      </c>
      <c r="D1696" t="s">
        <v>617</v>
      </c>
      <c r="E1696" t="s">
        <v>8053</v>
      </c>
      <c r="F1696">
        <v>3005.44</v>
      </c>
      <c r="H1696" t="s">
        <v>1386</v>
      </c>
      <c r="L1696" t="s">
        <v>1433</v>
      </c>
      <c r="M1696" t="s">
        <v>2806</v>
      </c>
      <c r="N1696" t="s">
        <v>2807</v>
      </c>
      <c r="O1696">
        <v>8</v>
      </c>
    </row>
    <row r="1697" spans="2:15" x14ac:dyDescent="0.2">
      <c r="B1697" t="s">
        <v>1433</v>
      </c>
      <c r="C1697" t="s">
        <v>12898</v>
      </c>
      <c r="D1697" t="s">
        <v>617</v>
      </c>
      <c r="E1697" t="s">
        <v>8054</v>
      </c>
      <c r="F1697">
        <v>-3005.44</v>
      </c>
      <c r="H1697" t="s">
        <v>1386</v>
      </c>
      <c r="L1697" t="s">
        <v>1433</v>
      </c>
      <c r="M1697" t="s">
        <v>2808</v>
      </c>
      <c r="N1697" t="s">
        <v>2809</v>
      </c>
      <c r="O1697">
        <v>1</v>
      </c>
    </row>
    <row r="1698" spans="2:15" x14ac:dyDescent="0.2">
      <c r="B1698" t="s">
        <v>1433</v>
      </c>
      <c r="C1698" t="s">
        <v>12898</v>
      </c>
      <c r="D1698" t="s">
        <v>617</v>
      </c>
      <c r="E1698" t="s">
        <v>8055</v>
      </c>
      <c r="F1698">
        <v>6678.76</v>
      </c>
      <c r="H1698" t="s">
        <v>1386</v>
      </c>
      <c r="L1698" t="s">
        <v>1433</v>
      </c>
      <c r="M1698" t="s">
        <v>2810</v>
      </c>
      <c r="N1698" t="s">
        <v>2811</v>
      </c>
      <c r="O1698">
        <v>10</v>
      </c>
    </row>
    <row r="1699" spans="2:15" x14ac:dyDescent="0.2">
      <c r="B1699" t="s">
        <v>1433</v>
      </c>
      <c r="C1699" t="s">
        <v>12898</v>
      </c>
      <c r="D1699" t="s">
        <v>617</v>
      </c>
      <c r="E1699" t="s">
        <v>8056</v>
      </c>
      <c r="F1699">
        <v>42.41</v>
      </c>
      <c r="H1699" t="s">
        <v>5562</v>
      </c>
      <c r="L1699" t="s">
        <v>1433</v>
      </c>
      <c r="M1699" t="s">
        <v>2812</v>
      </c>
      <c r="N1699" t="s">
        <v>2813</v>
      </c>
      <c r="O1699">
        <v>24</v>
      </c>
    </row>
    <row r="1700" spans="2:15" x14ac:dyDescent="0.2">
      <c r="B1700" t="s">
        <v>1433</v>
      </c>
      <c r="C1700" t="s">
        <v>12898</v>
      </c>
      <c r="D1700" t="s">
        <v>617</v>
      </c>
      <c r="E1700" t="s">
        <v>8057</v>
      </c>
      <c r="F1700">
        <v>5</v>
      </c>
      <c r="H1700" t="s">
        <v>2065</v>
      </c>
      <c r="L1700" t="s">
        <v>1433</v>
      </c>
      <c r="M1700" t="s">
        <v>2814</v>
      </c>
      <c r="N1700" t="s">
        <v>2813</v>
      </c>
      <c r="O1700">
        <v>24</v>
      </c>
    </row>
    <row r="1701" spans="2:15" x14ac:dyDescent="0.2">
      <c r="B1701" t="s">
        <v>1433</v>
      </c>
      <c r="C1701" t="s">
        <v>12898</v>
      </c>
      <c r="D1701" t="s">
        <v>617</v>
      </c>
      <c r="E1701" t="s">
        <v>8058</v>
      </c>
      <c r="F1701">
        <v>4.9000000000000004</v>
      </c>
      <c r="H1701" t="s">
        <v>1806</v>
      </c>
      <c r="L1701" t="s">
        <v>1433</v>
      </c>
      <c r="M1701" t="s">
        <v>2815</v>
      </c>
      <c r="N1701" t="s">
        <v>2813</v>
      </c>
      <c r="O1701">
        <v>12</v>
      </c>
    </row>
    <row r="1702" spans="2:15" x14ac:dyDescent="0.2">
      <c r="B1702" t="s">
        <v>1433</v>
      </c>
      <c r="C1702" t="s">
        <v>12898</v>
      </c>
      <c r="D1702" t="s">
        <v>617</v>
      </c>
      <c r="E1702" t="s">
        <v>8059</v>
      </c>
      <c r="F1702">
        <v>37.18</v>
      </c>
      <c r="H1702" t="s">
        <v>1918</v>
      </c>
      <c r="L1702" t="s">
        <v>1433</v>
      </c>
      <c r="M1702" t="s">
        <v>2816</v>
      </c>
      <c r="N1702" t="s">
        <v>2813</v>
      </c>
      <c r="O1702">
        <v>9</v>
      </c>
    </row>
    <row r="1703" spans="2:15" x14ac:dyDescent="0.2">
      <c r="B1703" t="s">
        <v>1433</v>
      </c>
      <c r="C1703" t="s">
        <v>12898</v>
      </c>
      <c r="D1703" t="s">
        <v>617</v>
      </c>
      <c r="E1703" t="s">
        <v>8060</v>
      </c>
      <c r="F1703">
        <v>14.87</v>
      </c>
      <c r="H1703" t="s">
        <v>1918</v>
      </c>
      <c r="L1703" t="s">
        <v>1433</v>
      </c>
      <c r="M1703" t="s">
        <v>2817</v>
      </c>
      <c r="N1703" t="s">
        <v>2813</v>
      </c>
      <c r="O1703">
        <v>3</v>
      </c>
    </row>
    <row r="1704" spans="2:15" x14ac:dyDescent="0.2">
      <c r="B1704" t="s">
        <v>1433</v>
      </c>
      <c r="C1704" t="s">
        <v>12898</v>
      </c>
      <c r="D1704" t="s">
        <v>617</v>
      </c>
      <c r="E1704" t="s">
        <v>8061</v>
      </c>
      <c r="F1704">
        <v>81.8</v>
      </c>
      <c r="H1704" t="s">
        <v>1918</v>
      </c>
      <c r="L1704" t="s">
        <v>1433</v>
      </c>
      <c r="M1704" t="s">
        <v>2818</v>
      </c>
      <c r="N1704" t="s">
        <v>2813</v>
      </c>
      <c r="O1704">
        <v>15</v>
      </c>
    </row>
    <row r="1705" spans="2:15" x14ac:dyDescent="0.2">
      <c r="B1705" t="s">
        <v>1433</v>
      </c>
      <c r="C1705" t="s">
        <v>12898</v>
      </c>
      <c r="D1705" t="s">
        <v>617</v>
      </c>
      <c r="E1705" t="s">
        <v>8062</v>
      </c>
      <c r="F1705">
        <v>12.02</v>
      </c>
      <c r="H1705" t="s">
        <v>2067</v>
      </c>
      <c r="L1705" t="s">
        <v>1433</v>
      </c>
      <c r="M1705" t="s">
        <v>2330</v>
      </c>
      <c r="N1705" t="s">
        <v>2813</v>
      </c>
      <c r="O1705">
        <v>1</v>
      </c>
    </row>
    <row r="1706" spans="2:15" x14ac:dyDescent="0.2">
      <c r="B1706" t="s">
        <v>1433</v>
      </c>
      <c r="C1706" t="s">
        <v>12898</v>
      </c>
      <c r="D1706" t="s">
        <v>617</v>
      </c>
      <c r="E1706" t="s">
        <v>8063</v>
      </c>
      <c r="F1706">
        <v>1.72</v>
      </c>
      <c r="H1706" t="s">
        <v>1919</v>
      </c>
      <c r="L1706" t="s">
        <v>1433</v>
      </c>
      <c r="M1706" t="s">
        <v>2819</v>
      </c>
      <c r="N1706" t="s">
        <v>2820</v>
      </c>
      <c r="O1706">
        <v>1</v>
      </c>
    </row>
    <row r="1707" spans="2:15" x14ac:dyDescent="0.2">
      <c r="B1707" t="s">
        <v>1433</v>
      </c>
      <c r="C1707" t="s">
        <v>12898</v>
      </c>
      <c r="D1707" t="s">
        <v>617</v>
      </c>
      <c r="E1707" t="s">
        <v>8064</v>
      </c>
      <c r="F1707">
        <v>225.36</v>
      </c>
      <c r="H1707" t="s">
        <v>2382</v>
      </c>
      <c r="L1707" t="s">
        <v>1433</v>
      </c>
      <c r="M1707" t="s">
        <v>2821</v>
      </c>
      <c r="N1707" t="s">
        <v>2820</v>
      </c>
      <c r="O1707">
        <v>1</v>
      </c>
    </row>
    <row r="1708" spans="2:15" x14ac:dyDescent="0.2">
      <c r="B1708" t="s">
        <v>1433</v>
      </c>
      <c r="C1708" t="s">
        <v>12898</v>
      </c>
      <c r="D1708" t="s">
        <v>617</v>
      </c>
      <c r="E1708" t="s">
        <v>8065</v>
      </c>
      <c r="F1708">
        <v>146.16</v>
      </c>
      <c r="H1708" t="s">
        <v>1452</v>
      </c>
      <c r="L1708" t="s">
        <v>1433</v>
      </c>
      <c r="M1708" t="s">
        <v>2683</v>
      </c>
      <c r="N1708" t="s">
        <v>2820</v>
      </c>
      <c r="O1708">
        <v>1</v>
      </c>
    </row>
    <row r="1709" spans="2:15" x14ac:dyDescent="0.2">
      <c r="B1709" t="s">
        <v>1433</v>
      </c>
      <c r="C1709" t="s">
        <v>12898</v>
      </c>
      <c r="D1709" t="s">
        <v>617</v>
      </c>
      <c r="E1709" t="s">
        <v>8066</v>
      </c>
      <c r="F1709">
        <v>247.68</v>
      </c>
      <c r="H1709" t="s">
        <v>1980</v>
      </c>
      <c r="L1709" t="s">
        <v>1433</v>
      </c>
      <c r="M1709" t="s">
        <v>2822</v>
      </c>
      <c r="N1709" t="s">
        <v>2820</v>
      </c>
      <c r="O1709">
        <v>1</v>
      </c>
    </row>
    <row r="1710" spans="2:15" x14ac:dyDescent="0.2">
      <c r="B1710" t="s">
        <v>1433</v>
      </c>
      <c r="C1710" t="s">
        <v>12898</v>
      </c>
      <c r="D1710" t="s">
        <v>617</v>
      </c>
      <c r="E1710" t="s">
        <v>8067</v>
      </c>
      <c r="F1710">
        <v>247.68</v>
      </c>
      <c r="H1710" t="s">
        <v>1981</v>
      </c>
      <c r="L1710" t="s">
        <v>1433</v>
      </c>
      <c r="M1710" t="s">
        <v>2823</v>
      </c>
      <c r="N1710" t="s">
        <v>2820</v>
      </c>
      <c r="O1710">
        <v>1</v>
      </c>
    </row>
    <row r="1711" spans="2:15" x14ac:dyDescent="0.2">
      <c r="B1711" t="s">
        <v>1433</v>
      </c>
      <c r="C1711" t="s">
        <v>12898</v>
      </c>
      <c r="D1711" t="s">
        <v>617</v>
      </c>
      <c r="E1711" t="s">
        <v>8068</v>
      </c>
      <c r="F1711">
        <v>247.68</v>
      </c>
      <c r="H1711" t="s">
        <v>1454</v>
      </c>
      <c r="L1711" t="s">
        <v>1433</v>
      </c>
      <c r="M1711" t="s">
        <v>2824</v>
      </c>
      <c r="N1711" t="s">
        <v>2820</v>
      </c>
      <c r="O1711">
        <v>1</v>
      </c>
    </row>
    <row r="1712" spans="2:15" x14ac:dyDescent="0.2">
      <c r="B1712" t="s">
        <v>1433</v>
      </c>
      <c r="C1712" t="s">
        <v>12898</v>
      </c>
      <c r="D1712" t="s">
        <v>617</v>
      </c>
      <c r="E1712" t="s">
        <v>8069</v>
      </c>
      <c r="F1712">
        <v>231.36</v>
      </c>
      <c r="H1712" t="s">
        <v>2084</v>
      </c>
      <c r="L1712" t="s">
        <v>1433</v>
      </c>
      <c r="M1712" t="s">
        <v>2825</v>
      </c>
      <c r="N1712" t="s">
        <v>2826</v>
      </c>
      <c r="O1712">
        <v>22</v>
      </c>
    </row>
    <row r="1713" spans="2:15" x14ac:dyDescent="0.2">
      <c r="B1713" t="s">
        <v>1433</v>
      </c>
      <c r="C1713" t="s">
        <v>12898</v>
      </c>
      <c r="D1713" t="s">
        <v>617</v>
      </c>
      <c r="E1713" t="s">
        <v>8070</v>
      </c>
      <c r="F1713">
        <v>352.56</v>
      </c>
      <c r="H1713" t="s">
        <v>2086</v>
      </c>
      <c r="L1713" t="s">
        <v>1433</v>
      </c>
      <c r="M1713" t="s">
        <v>2827</v>
      </c>
      <c r="N1713" t="s">
        <v>2828</v>
      </c>
      <c r="O1713">
        <v>1</v>
      </c>
    </row>
    <row r="1714" spans="2:15" x14ac:dyDescent="0.2">
      <c r="B1714" t="s">
        <v>1433</v>
      </c>
      <c r="C1714" t="s">
        <v>12898</v>
      </c>
      <c r="D1714" t="s">
        <v>617</v>
      </c>
      <c r="E1714" t="s">
        <v>8071</v>
      </c>
      <c r="F1714">
        <v>591.84</v>
      </c>
      <c r="H1714" t="s">
        <v>2034</v>
      </c>
      <c r="L1714" t="s">
        <v>1433</v>
      </c>
      <c r="M1714" t="s">
        <v>2087</v>
      </c>
      <c r="N1714" t="s">
        <v>2829</v>
      </c>
      <c r="O1714">
        <v>43</v>
      </c>
    </row>
    <row r="1715" spans="2:15" x14ac:dyDescent="0.2">
      <c r="B1715" t="s">
        <v>1433</v>
      </c>
      <c r="C1715" t="s">
        <v>12898</v>
      </c>
      <c r="D1715" t="s">
        <v>617</v>
      </c>
      <c r="E1715" t="s">
        <v>8072</v>
      </c>
      <c r="F1715">
        <v>1421.28</v>
      </c>
      <c r="H1715" t="s">
        <v>2035</v>
      </c>
      <c r="L1715" t="s">
        <v>1433</v>
      </c>
      <c r="M1715" t="s">
        <v>2830</v>
      </c>
      <c r="N1715" t="s">
        <v>2831</v>
      </c>
      <c r="O1715">
        <v>2</v>
      </c>
    </row>
    <row r="1716" spans="2:15" x14ac:dyDescent="0.2">
      <c r="B1716" t="s">
        <v>1433</v>
      </c>
      <c r="C1716" t="s">
        <v>12898</v>
      </c>
      <c r="D1716" t="s">
        <v>617</v>
      </c>
      <c r="E1716" t="s">
        <v>8073</v>
      </c>
      <c r="F1716">
        <v>1575</v>
      </c>
      <c r="H1716" t="s">
        <v>2036</v>
      </c>
      <c r="L1716" t="s">
        <v>1433</v>
      </c>
      <c r="M1716" t="s">
        <v>2832</v>
      </c>
      <c r="N1716" t="s">
        <v>2833</v>
      </c>
      <c r="O1716">
        <v>1</v>
      </c>
    </row>
    <row r="1717" spans="2:15" x14ac:dyDescent="0.2">
      <c r="B1717" t="s">
        <v>1433</v>
      </c>
      <c r="C1717" t="s">
        <v>12898</v>
      </c>
      <c r="D1717" t="s">
        <v>617</v>
      </c>
      <c r="E1717" t="s">
        <v>8074</v>
      </c>
      <c r="F1717">
        <v>315</v>
      </c>
      <c r="H1717" t="s">
        <v>2036</v>
      </c>
      <c r="L1717" t="s">
        <v>1433</v>
      </c>
      <c r="M1717" t="s">
        <v>2683</v>
      </c>
      <c r="N1717" t="s">
        <v>2833</v>
      </c>
      <c r="O1717">
        <v>1</v>
      </c>
    </row>
    <row r="1718" spans="2:15" x14ac:dyDescent="0.2">
      <c r="B1718" t="s">
        <v>1433</v>
      </c>
      <c r="C1718" t="s">
        <v>12898</v>
      </c>
      <c r="D1718" t="s">
        <v>617</v>
      </c>
      <c r="E1718" t="s">
        <v>8075</v>
      </c>
      <c r="F1718">
        <v>189</v>
      </c>
      <c r="H1718" t="s">
        <v>2039</v>
      </c>
      <c r="L1718" t="s">
        <v>1433</v>
      </c>
      <c r="M1718" t="s">
        <v>2834</v>
      </c>
      <c r="N1718" t="s">
        <v>2835</v>
      </c>
      <c r="O1718">
        <v>44</v>
      </c>
    </row>
    <row r="1719" spans="2:15" x14ac:dyDescent="0.2">
      <c r="B1719" t="s">
        <v>1433</v>
      </c>
      <c r="C1719" t="s">
        <v>12898</v>
      </c>
      <c r="D1719" t="s">
        <v>617</v>
      </c>
      <c r="E1719" t="s">
        <v>8076</v>
      </c>
      <c r="F1719">
        <v>31.8</v>
      </c>
      <c r="H1719" t="s">
        <v>1456</v>
      </c>
      <c r="L1719" t="s">
        <v>1433</v>
      </c>
      <c r="M1719" t="s">
        <v>2836</v>
      </c>
      <c r="N1719" t="s">
        <v>2837</v>
      </c>
      <c r="O1719">
        <v>1</v>
      </c>
    </row>
    <row r="1720" spans="2:15" x14ac:dyDescent="0.2">
      <c r="B1720" t="s">
        <v>1433</v>
      </c>
      <c r="C1720" t="s">
        <v>12898</v>
      </c>
      <c r="D1720" t="s">
        <v>617</v>
      </c>
      <c r="E1720" t="s">
        <v>8077</v>
      </c>
      <c r="F1720">
        <v>172.9</v>
      </c>
      <c r="H1720" t="s">
        <v>1457</v>
      </c>
      <c r="L1720" t="s">
        <v>1433</v>
      </c>
      <c r="M1720" t="s">
        <v>1509</v>
      </c>
      <c r="N1720" t="s">
        <v>2838</v>
      </c>
      <c r="O1720">
        <v>1</v>
      </c>
    </row>
    <row r="1721" spans="2:15" x14ac:dyDescent="0.2">
      <c r="B1721" t="s">
        <v>1433</v>
      </c>
      <c r="C1721" t="s">
        <v>12898</v>
      </c>
      <c r="D1721" t="s">
        <v>617</v>
      </c>
      <c r="E1721" t="s">
        <v>8078</v>
      </c>
      <c r="F1721">
        <v>146.30000000000001</v>
      </c>
      <c r="H1721" t="s">
        <v>1457</v>
      </c>
      <c r="L1721" t="s">
        <v>1433</v>
      </c>
      <c r="M1721" t="s">
        <v>2839</v>
      </c>
      <c r="N1721" t="s">
        <v>2840</v>
      </c>
      <c r="O1721">
        <v>1</v>
      </c>
    </row>
    <row r="1722" spans="2:15" x14ac:dyDescent="0.2">
      <c r="B1722" t="s">
        <v>1433</v>
      </c>
      <c r="C1722" t="s">
        <v>12898</v>
      </c>
      <c r="D1722" t="s">
        <v>617</v>
      </c>
      <c r="E1722" t="s">
        <v>8079</v>
      </c>
      <c r="F1722">
        <v>141.34</v>
      </c>
      <c r="H1722" t="s">
        <v>1372</v>
      </c>
      <c r="L1722" t="s">
        <v>1433</v>
      </c>
      <c r="M1722" t="s">
        <v>2841</v>
      </c>
      <c r="N1722" t="s">
        <v>2840</v>
      </c>
      <c r="O1722">
        <v>1</v>
      </c>
    </row>
    <row r="1723" spans="2:15" x14ac:dyDescent="0.2">
      <c r="B1723" t="s">
        <v>1433</v>
      </c>
      <c r="C1723" t="s">
        <v>12898</v>
      </c>
      <c r="D1723" t="s">
        <v>617</v>
      </c>
      <c r="E1723" t="s">
        <v>8080</v>
      </c>
      <c r="F1723">
        <v>216</v>
      </c>
      <c r="H1723" t="s">
        <v>1458</v>
      </c>
      <c r="L1723" t="s">
        <v>1433</v>
      </c>
      <c r="M1723" t="s">
        <v>2842</v>
      </c>
      <c r="N1723" t="s">
        <v>2840</v>
      </c>
      <c r="O1723">
        <v>1</v>
      </c>
    </row>
    <row r="1724" spans="2:15" x14ac:dyDescent="0.2">
      <c r="B1724" t="s">
        <v>1433</v>
      </c>
      <c r="C1724" t="s">
        <v>12898</v>
      </c>
      <c r="D1724" t="s">
        <v>617</v>
      </c>
      <c r="E1724" t="s">
        <v>8081</v>
      </c>
      <c r="F1724">
        <v>171.9</v>
      </c>
      <c r="H1724" t="s">
        <v>1459</v>
      </c>
      <c r="L1724" t="s">
        <v>1433</v>
      </c>
      <c r="M1724" t="s">
        <v>2843</v>
      </c>
      <c r="N1724" t="s">
        <v>2844</v>
      </c>
      <c r="O1724">
        <v>2</v>
      </c>
    </row>
    <row r="1725" spans="2:15" x14ac:dyDescent="0.2">
      <c r="B1725" t="s">
        <v>1433</v>
      </c>
      <c r="C1725" t="s">
        <v>12898</v>
      </c>
      <c r="D1725" t="s">
        <v>617</v>
      </c>
      <c r="E1725" t="s">
        <v>8082</v>
      </c>
      <c r="F1725">
        <v>39.799999999999997</v>
      </c>
      <c r="H1725" t="s">
        <v>1642</v>
      </c>
      <c r="L1725" t="s">
        <v>1433</v>
      </c>
      <c r="M1725" t="s">
        <v>2845</v>
      </c>
      <c r="N1725" t="s">
        <v>2844</v>
      </c>
      <c r="O1725">
        <v>2</v>
      </c>
    </row>
    <row r="1726" spans="2:15" x14ac:dyDescent="0.2">
      <c r="B1726" t="s">
        <v>1433</v>
      </c>
      <c r="C1726" t="s">
        <v>12898</v>
      </c>
      <c r="D1726" t="s">
        <v>617</v>
      </c>
      <c r="E1726" t="s">
        <v>8083</v>
      </c>
      <c r="F1726">
        <v>47.76</v>
      </c>
      <c r="H1726" t="s">
        <v>1460</v>
      </c>
      <c r="L1726" t="s">
        <v>1433</v>
      </c>
      <c r="M1726" t="s">
        <v>2003</v>
      </c>
      <c r="N1726" t="s">
        <v>2844</v>
      </c>
      <c r="O1726">
        <v>2</v>
      </c>
    </row>
    <row r="1727" spans="2:15" x14ac:dyDescent="0.2">
      <c r="B1727" t="s">
        <v>1433</v>
      </c>
      <c r="C1727" t="s">
        <v>12898</v>
      </c>
      <c r="D1727" t="s">
        <v>617</v>
      </c>
      <c r="E1727" t="s">
        <v>8084</v>
      </c>
      <c r="F1727">
        <v>25.6</v>
      </c>
      <c r="H1727" t="s">
        <v>1643</v>
      </c>
      <c r="L1727" t="s">
        <v>1433</v>
      </c>
      <c r="M1727" t="s">
        <v>1518</v>
      </c>
      <c r="N1727" t="s">
        <v>2846</v>
      </c>
      <c r="O1727">
        <v>2</v>
      </c>
    </row>
    <row r="1728" spans="2:15" x14ac:dyDescent="0.2">
      <c r="B1728" t="s">
        <v>1433</v>
      </c>
      <c r="C1728" t="s">
        <v>12898</v>
      </c>
      <c r="D1728" t="s">
        <v>617</v>
      </c>
      <c r="E1728" t="s">
        <v>8085</v>
      </c>
      <c r="F1728">
        <v>228.45</v>
      </c>
      <c r="H1728" t="s">
        <v>1992</v>
      </c>
      <c r="L1728" t="s">
        <v>1433</v>
      </c>
      <c r="M1728" t="s">
        <v>1934</v>
      </c>
      <c r="N1728" t="s">
        <v>2846</v>
      </c>
      <c r="O1728">
        <v>2</v>
      </c>
    </row>
    <row r="1729" spans="2:15" x14ac:dyDescent="0.2">
      <c r="B1729" t="s">
        <v>1433</v>
      </c>
      <c r="C1729" t="s">
        <v>12898</v>
      </c>
      <c r="D1729" t="s">
        <v>617</v>
      </c>
      <c r="E1729" t="s">
        <v>8086</v>
      </c>
      <c r="F1729">
        <v>27.36</v>
      </c>
      <c r="H1729" t="s">
        <v>1994</v>
      </c>
      <c r="L1729" t="s">
        <v>1433</v>
      </c>
      <c r="M1729" t="s">
        <v>2403</v>
      </c>
      <c r="N1729" t="s">
        <v>2847</v>
      </c>
      <c r="O1729">
        <v>14</v>
      </c>
    </row>
    <row r="1730" spans="2:15" x14ac:dyDescent="0.2">
      <c r="B1730" t="s">
        <v>1433</v>
      </c>
      <c r="C1730" t="s">
        <v>12898</v>
      </c>
      <c r="D1730" t="s">
        <v>617</v>
      </c>
      <c r="E1730" t="s">
        <v>8087</v>
      </c>
      <c r="F1730">
        <v>121.56</v>
      </c>
      <c r="H1730" t="s">
        <v>1995</v>
      </c>
      <c r="L1730" t="s">
        <v>1433</v>
      </c>
      <c r="M1730" t="s">
        <v>2405</v>
      </c>
      <c r="N1730" t="s">
        <v>2847</v>
      </c>
      <c r="O1730">
        <v>14</v>
      </c>
    </row>
    <row r="1731" spans="2:15" x14ac:dyDescent="0.2">
      <c r="B1731" t="s">
        <v>1433</v>
      </c>
      <c r="C1731" t="s">
        <v>12898</v>
      </c>
      <c r="D1731" t="s">
        <v>617</v>
      </c>
      <c r="E1731" t="s">
        <v>8088</v>
      </c>
      <c r="F1731">
        <v>207.09</v>
      </c>
      <c r="H1731" t="s">
        <v>1995</v>
      </c>
      <c r="L1731" t="s">
        <v>1433</v>
      </c>
      <c r="M1731" t="s">
        <v>2406</v>
      </c>
      <c r="N1731" t="s">
        <v>2847</v>
      </c>
      <c r="O1731">
        <v>14</v>
      </c>
    </row>
    <row r="1732" spans="2:15" x14ac:dyDescent="0.2">
      <c r="B1732" t="s">
        <v>1433</v>
      </c>
      <c r="C1732" t="s">
        <v>12898</v>
      </c>
      <c r="D1732" t="s">
        <v>617</v>
      </c>
      <c r="E1732" t="s">
        <v>8089</v>
      </c>
      <c r="F1732">
        <v>38.4</v>
      </c>
      <c r="H1732" t="s">
        <v>1996</v>
      </c>
      <c r="L1732" t="s">
        <v>1433</v>
      </c>
      <c r="M1732" t="s">
        <v>2407</v>
      </c>
      <c r="N1732" t="s">
        <v>2847</v>
      </c>
      <c r="O1732">
        <v>14</v>
      </c>
    </row>
    <row r="1733" spans="2:15" x14ac:dyDescent="0.2">
      <c r="B1733" t="s">
        <v>1433</v>
      </c>
      <c r="C1733" t="s">
        <v>12898</v>
      </c>
      <c r="D1733" t="s">
        <v>617</v>
      </c>
      <c r="E1733" t="s">
        <v>8090</v>
      </c>
      <c r="F1733">
        <v>43.75</v>
      </c>
      <c r="H1733" t="s">
        <v>1461</v>
      </c>
      <c r="L1733" t="s">
        <v>1433</v>
      </c>
      <c r="M1733" t="s">
        <v>2408</v>
      </c>
      <c r="N1733" t="s">
        <v>2847</v>
      </c>
      <c r="O1733">
        <v>21</v>
      </c>
    </row>
    <row r="1734" spans="2:15" x14ac:dyDescent="0.2">
      <c r="B1734" t="s">
        <v>1433</v>
      </c>
      <c r="C1734" t="s">
        <v>12898</v>
      </c>
      <c r="D1734" t="s">
        <v>617</v>
      </c>
      <c r="E1734" t="s">
        <v>8091</v>
      </c>
      <c r="F1734">
        <v>20.07</v>
      </c>
      <c r="H1734" t="s">
        <v>1461</v>
      </c>
      <c r="L1734" t="s">
        <v>1433</v>
      </c>
      <c r="M1734" t="s">
        <v>2311</v>
      </c>
      <c r="N1734" t="s">
        <v>2848</v>
      </c>
      <c r="O1734">
        <v>150</v>
      </c>
    </row>
    <row r="1735" spans="2:15" x14ac:dyDescent="0.2">
      <c r="B1735" t="s">
        <v>1433</v>
      </c>
      <c r="C1735" t="s">
        <v>12898</v>
      </c>
      <c r="D1735" t="s">
        <v>617</v>
      </c>
      <c r="E1735" t="s">
        <v>8092</v>
      </c>
      <c r="F1735">
        <v>50.2</v>
      </c>
      <c r="H1735" t="s">
        <v>1461</v>
      </c>
      <c r="L1735" t="s">
        <v>1433</v>
      </c>
      <c r="M1735" t="s">
        <v>2092</v>
      </c>
      <c r="N1735" t="s">
        <v>2848</v>
      </c>
      <c r="O1735">
        <v>250</v>
      </c>
    </row>
    <row r="1736" spans="2:15" x14ac:dyDescent="0.2">
      <c r="B1736" t="s">
        <v>1433</v>
      </c>
      <c r="C1736" t="s">
        <v>12898</v>
      </c>
      <c r="D1736" t="s">
        <v>617</v>
      </c>
      <c r="E1736" t="s">
        <v>8093</v>
      </c>
      <c r="F1736">
        <v>381.52</v>
      </c>
      <c r="H1736" t="s">
        <v>1461</v>
      </c>
      <c r="L1736" t="s">
        <v>1433</v>
      </c>
      <c r="M1736" t="s">
        <v>2849</v>
      </c>
      <c r="N1736" t="s">
        <v>2699</v>
      </c>
      <c r="O1736">
        <v>6</v>
      </c>
    </row>
    <row r="1737" spans="2:15" x14ac:dyDescent="0.2">
      <c r="B1737" t="s">
        <v>1433</v>
      </c>
      <c r="C1737" t="s">
        <v>12898</v>
      </c>
      <c r="D1737" t="s">
        <v>617</v>
      </c>
      <c r="E1737" t="s">
        <v>8094</v>
      </c>
      <c r="F1737">
        <v>46.32</v>
      </c>
      <c r="H1737" t="s">
        <v>1462</v>
      </c>
      <c r="L1737" t="s">
        <v>1433</v>
      </c>
      <c r="M1737" t="s">
        <v>2850</v>
      </c>
      <c r="N1737" t="s">
        <v>2851</v>
      </c>
      <c r="O1737">
        <v>8</v>
      </c>
    </row>
    <row r="1738" spans="2:15" x14ac:dyDescent="0.2">
      <c r="B1738" t="s">
        <v>1433</v>
      </c>
      <c r="C1738" t="s">
        <v>12898</v>
      </c>
      <c r="D1738" t="s">
        <v>617</v>
      </c>
      <c r="E1738" t="s">
        <v>8095</v>
      </c>
      <c r="F1738">
        <v>63.2</v>
      </c>
      <c r="H1738" t="s">
        <v>1463</v>
      </c>
      <c r="L1738" t="s">
        <v>1433</v>
      </c>
      <c r="M1738" t="s">
        <v>2852</v>
      </c>
      <c r="N1738" t="s">
        <v>2851</v>
      </c>
      <c r="O1738">
        <v>8</v>
      </c>
    </row>
    <row r="1739" spans="2:15" x14ac:dyDescent="0.2">
      <c r="B1739" t="s">
        <v>1433</v>
      </c>
      <c r="C1739" t="s">
        <v>12898</v>
      </c>
      <c r="D1739" t="s">
        <v>617</v>
      </c>
      <c r="E1739" t="s">
        <v>8096</v>
      </c>
      <c r="F1739">
        <v>36</v>
      </c>
      <c r="H1739" t="s">
        <v>1997</v>
      </c>
      <c r="L1739" t="s">
        <v>1433</v>
      </c>
      <c r="M1739" t="s">
        <v>2853</v>
      </c>
      <c r="N1739" t="s">
        <v>2854</v>
      </c>
      <c r="O1739">
        <v>140</v>
      </c>
    </row>
    <row r="1740" spans="2:15" x14ac:dyDescent="0.2">
      <c r="B1740" t="s">
        <v>1433</v>
      </c>
      <c r="C1740" t="s">
        <v>12898</v>
      </c>
      <c r="D1740" t="s">
        <v>617</v>
      </c>
      <c r="E1740" t="s">
        <v>8097</v>
      </c>
      <c r="F1740">
        <v>27.12</v>
      </c>
      <c r="H1740" t="s">
        <v>1998</v>
      </c>
      <c r="L1740" t="s">
        <v>1433</v>
      </c>
      <c r="M1740" t="s">
        <v>2855</v>
      </c>
      <c r="N1740" t="s">
        <v>2856</v>
      </c>
      <c r="O1740">
        <v>1</v>
      </c>
    </row>
    <row r="1741" spans="2:15" x14ac:dyDescent="0.2">
      <c r="B1741" t="s">
        <v>1433</v>
      </c>
      <c r="C1741" t="s">
        <v>12898</v>
      </c>
      <c r="D1741" t="s">
        <v>617</v>
      </c>
      <c r="E1741" t="s">
        <v>8098</v>
      </c>
      <c r="F1741">
        <v>103</v>
      </c>
      <c r="H1741" t="s">
        <v>2000</v>
      </c>
      <c r="L1741" t="s">
        <v>1433</v>
      </c>
      <c r="M1741" t="s">
        <v>2857</v>
      </c>
      <c r="N1741" t="s">
        <v>2858</v>
      </c>
      <c r="O1741">
        <v>1</v>
      </c>
    </row>
    <row r="1742" spans="2:15" x14ac:dyDescent="0.2">
      <c r="B1742" t="s">
        <v>1433</v>
      </c>
      <c r="C1742" t="s">
        <v>12898</v>
      </c>
      <c r="D1742" t="s">
        <v>617</v>
      </c>
      <c r="E1742" t="s">
        <v>8099</v>
      </c>
      <c r="F1742">
        <v>87.56</v>
      </c>
      <c r="H1742" t="s">
        <v>2001</v>
      </c>
      <c r="L1742" t="s">
        <v>1433</v>
      </c>
      <c r="M1742" t="s">
        <v>2859</v>
      </c>
      <c r="N1742" t="s">
        <v>2860</v>
      </c>
      <c r="O1742">
        <v>4</v>
      </c>
    </row>
    <row r="1743" spans="2:15" x14ac:dyDescent="0.2">
      <c r="B1743" t="s">
        <v>1433</v>
      </c>
      <c r="C1743" t="s">
        <v>12898</v>
      </c>
      <c r="D1743" t="s">
        <v>617</v>
      </c>
      <c r="E1743" t="s">
        <v>8100</v>
      </c>
      <c r="F1743">
        <v>39.9</v>
      </c>
      <c r="H1743" t="s">
        <v>2001</v>
      </c>
      <c r="L1743" t="s">
        <v>1433</v>
      </c>
      <c r="M1743" t="s">
        <v>2861</v>
      </c>
      <c r="N1743" t="s">
        <v>2860</v>
      </c>
      <c r="O1743">
        <v>1</v>
      </c>
    </row>
    <row r="1744" spans="2:15" x14ac:dyDescent="0.2">
      <c r="B1744" t="s">
        <v>1433</v>
      </c>
      <c r="C1744" t="s">
        <v>12898</v>
      </c>
      <c r="D1744" t="s">
        <v>617</v>
      </c>
      <c r="E1744" t="s">
        <v>8101</v>
      </c>
      <c r="F1744">
        <v>66.59</v>
      </c>
      <c r="H1744" t="s">
        <v>1872</v>
      </c>
      <c r="L1744" t="s">
        <v>1433</v>
      </c>
      <c r="M1744" t="s">
        <v>2862</v>
      </c>
      <c r="N1744" t="s">
        <v>2085</v>
      </c>
      <c r="O1744">
        <v>40</v>
      </c>
    </row>
    <row r="1745" spans="2:15" x14ac:dyDescent="0.2">
      <c r="B1745" t="s">
        <v>1433</v>
      </c>
      <c r="C1745" t="s">
        <v>12898</v>
      </c>
      <c r="D1745" t="s">
        <v>617</v>
      </c>
      <c r="E1745" t="s">
        <v>8102</v>
      </c>
      <c r="F1745">
        <v>172.02</v>
      </c>
      <c r="H1745" t="s">
        <v>1872</v>
      </c>
      <c r="L1745" t="s">
        <v>1433</v>
      </c>
      <c r="M1745" t="s">
        <v>2863</v>
      </c>
      <c r="N1745" t="s">
        <v>2864</v>
      </c>
      <c r="O1745">
        <v>1</v>
      </c>
    </row>
    <row r="1746" spans="2:15" x14ac:dyDescent="0.2">
      <c r="B1746" t="s">
        <v>1433</v>
      </c>
      <c r="C1746" t="s">
        <v>12898</v>
      </c>
      <c r="D1746" t="s">
        <v>617</v>
      </c>
      <c r="E1746" t="s">
        <v>8103</v>
      </c>
      <c r="F1746">
        <v>351.21</v>
      </c>
      <c r="H1746" t="s">
        <v>1872</v>
      </c>
      <c r="L1746" t="s">
        <v>1433</v>
      </c>
      <c r="M1746" t="s">
        <v>2865</v>
      </c>
      <c r="N1746" t="s">
        <v>2864</v>
      </c>
      <c r="O1746">
        <v>1</v>
      </c>
    </row>
    <row r="1747" spans="2:15" x14ac:dyDescent="0.2">
      <c r="B1747" t="s">
        <v>1433</v>
      </c>
      <c r="C1747" t="s">
        <v>12898</v>
      </c>
      <c r="D1747" t="s">
        <v>617</v>
      </c>
      <c r="E1747" t="s">
        <v>8104</v>
      </c>
      <c r="F1747">
        <v>139.85</v>
      </c>
      <c r="H1747" t="s">
        <v>1644</v>
      </c>
      <c r="L1747" t="s">
        <v>1433</v>
      </c>
      <c r="M1747" t="s">
        <v>2866</v>
      </c>
      <c r="N1747" t="s">
        <v>2864</v>
      </c>
      <c r="O1747">
        <v>1</v>
      </c>
    </row>
    <row r="1748" spans="2:15" x14ac:dyDescent="0.2">
      <c r="B1748" t="s">
        <v>1433</v>
      </c>
      <c r="C1748" t="s">
        <v>12898</v>
      </c>
      <c r="D1748" t="s">
        <v>617</v>
      </c>
      <c r="E1748" t="s">
        <v>8105</v>
      </c>
      <c r="F1748">
        <v>268.2</v>
      </c>
      <c r="H1748" t="s">
        <v>2002</v>
      </c>
      <c r="L1748" t="s">
        <v>1433</v>
      </c>
      <c r="M1748" t="s">
        <v>2867</v>
      </c>
      <c r="N1748" t="s">
        <v>2864</v>
      </c>
      <c r="O1748">
        <v>1</v>
      </c>
    </row>
    <row r="1749" spans="2:15" x14ac:dyDescent="0.2">
      <c r="B1749" t="s">
        <v>1433</v>
      </c>
      <c r="C1749" t="s">
        <v>12898</v>
      </c>
      <c r="D1749" t="s">
        <v>617</v>
      </c>
      <c r="E1749" t="s">
        <v>8106</v>
      </c>
      <c r="F1749">
        <v>2095.1999999999998</v>
      </c>
      <c r="H1749" t="s">
        <v>2048</v>
      </c>
      <c r="L1749" t="s">
        <v>1433</v>
      </c>
      <c r="M1749" t="s">
        <v>2868</v>
      </c>
      <c r="N1749" t="s">
        <v>2864</v>
      </c>
      <c r="O1749">
        <v>1</v>
      </c>
    </row>
    <row r="1750" spans="2:15" x14ac:dyDescent="0.2">
      <c r="B1750" t="s">
        <v>1433</v>
      </c>
      <c r="C1750" t="s">
        <v>12898</v>
      </c>
      <c r="D1750" t="s">
        <v>617</v>
      </c>
      <c r="E1750" t="s">
        <v>8107</v>
      </c>
      <c r="F1750">
        <v>10.1</v>
      </c>
      <c r="H1750" t="s">
        <v>2005</v>
      </c>
      <c r="L1750" t="s">
        <v>1433</v>
      </c>
      <c r="M1750" t="s">
        <v>2869</v>
      </c>
      <c r="N1750" t="s">
        <v>2864</v>
      </c>
      <c r="O1750">
        <v>1</v>
      </c>
    </row>
    <row r="1751" spans="2:15" x14ac:dyDescent="0.2">
      <c r="B1751" t="s">
        <v>1433</v>
      </c>
      <c r="C1751" t="s">
        <v>12898</v>
      </c>
      <c r="D1751" t="s">
        <v>617</v>
      </c>
      <c r="E1751" t="s">
        <v>8108</v>
      </c>
      <c r="F1751">
        <v>20.29</v>
      </c>
      <c r="H1751" t="s">
        <v>2005</v>
      </c>
      <c r="L1751" t="s">
        <v>1433</v>
      </c>
      <c r="M1751" t="s">
        <v>2870</v>
      </c>
      <c r="N1751" t="s">
        <v>2871</v>
      </c>
      <c r="O1751">
        <v>1</v>
      </c>
    </row>
    <row r="1752" spans="2:15" x14ac:dyDescent="0.2">
      <c r="B1752" t="s">
        <v>1433</v>
      </c>
      <c r="C1752" t="s">
        <v>12898</v>
      </c>
      <c r="D1752" t="s">
        <v>617</v>
      </c>
      <c r="E1752" t="s">
        <v>8109</v>
      </c>
      <c r="F1752">
        <v>396.72</v>
      </c>
      <c r="H1752" t="s">
        <v>2049</v>
      </c>
      <c r="L1752" t="s">
        <v>1433</v>
      </c>
      <c r="M1752" t="s">
        <v>1907</v>
      </c>
      <c r="N1752" t="s">
        <v>2872</v>
      </c>
      <c r="O1752">
        <v>10</v>
      </c>
    </row>
    <row r="1753" spans="2:15" x14ac:dyDescent="0.2">
      <c r="B1753" t="s">
        <v>1433</v>
      </c>
      <c r="C1753" t="s">
        <v>12898</v>
      </c>
      <c r="D1753" t="s">
        <v>617</v>
      </c>
      <c r="E1753" t="s">
        <v>8110</v>
      </c>
      <c r="F1753">
        <v>317.39999999999998</v>
      </c>
      <c r="H1753" t="s">
        <v>2050</v>
      </c>
      <c r="L1753" t="s">
        <v>1433</v>
      </c>
      <c r="M1753" t="s">
        <v>2873</v>
      </c>
      <c r="N1753" t="s">
        <v>2874</v>
      </c>
      <c r="O1753">
        <v>2</v>
      </c>
    </row>
    <row r="1754" spans="2:15" x14ac:dyDescent="0.2">
      <c r="B1754" t="s">
        <v>1433</v>
      </c>
      <c r="C1754" t="s">
        <v>12898</v>
      </c>
      <c r="D1754" t="s">
        <v>613</v>
      </c>
      <c r="E1754" t="s">
        <v>8111</v>
      </c>
      <c r="F1754">
        <v>22.08</v>
      </c>
      <c r="H1754" t="s">
        <v>5354</v>
      </c>
      <c r="L1754" t="s">
        <v>1433</v>
      </c>
      <c r="M1754" t="s">
        <v>2673</v>
      </c>
      <c r="N1754" t="s">
        <v>2875</v>
      </c>
      <c r="O1754">
        <v>9</v>
      </c>
    </row>
    <row r="1755" spans="2:15" x14ac:dyDescent="0.2">
      <c r="B1755" t="s">
        <v>1433</v>
      </c>
      <c r="C1755" t="s">
        <v>12898</v>
      </c>
      <c r="D1755" t="s">
        <v>613</v>
      </c>
      <c r="E1755" t="s">
        <v>8112</v>
      </c>
      <c r="F1755">
        <v>6.5</v>
      </c>
      <c r="H1755" t="s">
        <v>5114</v>
      </c>
      <c r="L1755" t="s">
        <v>1433</v>
      </c>
      <c r="M1755" t="s">
        <v>2876</v>
      </c>
      <c r="N1755" t="s">
        <v>2875</v>
      </c>
      <c r="O1755">
        <v>13</v>
      </c>
    </row>
    <row r="1756" spans="2:15" x14ac:dyDescent="0.2">
      <c r="B1756" t="s">
        <v>1433</v>
      </c>
      <c r="C1756" t="s">
        <v>12898</v>
      </c>
      <c r="D1756" t="s">
        <v>613</v>
      </c>
      <c r="E1756" t="s">
        <v>8113</v>
      </c>
      <c r="F1756">
        <v>2.4500000000000002</v>
      </c>
      <c r="H1756" t="s">
        <v>8114</v>
      </c>
      <c r="L1756" t="s">
        <v>1433</v>
      </c>
      <c r="M1756" t="s">
        <v>2877</v>
      </c>
      <c r="N1756" t="s">
        <v>2875</v>
      </c>
      <c r="O1756">
        <v>8</v>
      </c>
    </row>
    <row r="1757" spans="2:15" x14ac:dyDescent="0.2">
      <c r="B1757" t="s">
        <v>1433</v>
      </c>
      <c r="C1757" t="s">
        <v>12898</v>
      </c>
      <c r="D1757" t="s">
        <v>621</v>
      </c>
      <c r="E1757" t="s">
        <v>8115</v>
      </c>
      <c r="F1757">
        <v>404.31</v>
      </c>
      <c r="H1757" t="s">
        <v>6645</v>
      </c>
      <c r="L1757" t="s">
        <v>1433</v>
      </c>
      <c r="M1757" t="s">
        <v>2675</v>
      </c>
      <c r="N1757" t="s">
        <v>2875</v>
      </c>
      <c r="O1757">
        <v>7</v>
      </c>
    </row>
    <row r="1758" spans="2:15" x14ac:dyDescent="0.2">
      <c r="B1758" t="s">
        <v>1433</v>
      </c>
      <c r="C1758" t="s">
        <v>12898</v>
      </c>
      <c r="D1758" t="s">
        <v>621</v>
      </c>
      <c r="E1758" t="s">
        <v>8116</v>
      </c>
      <c r="F1758">
        <v>94.57</v>
      </c>
      <c r="H1758" t="s">
        <v>1675</v>
      </c>
      <c r="L1758" t="s">
        <v>1433</v>
      </c>
      <c r="M1758" t="s">
        <v>1691</v>
      </c>
      <c r="N1758" t="s">
        <v>2878</v>
      </c>
      <c r="O1758">
        <v>4</v>
      </c>
    </row>
    <row r="1759" spans="2:15" x14ac:dyDescent="0.2">
      <c r="B1759" t="s">
        <v>1433</v>
      </c>
      <c r="C1759" t="s">
        <v>12898</v>
      </c>
      <c r="D1759" t="s">
        <v>617</v>
      </c>
      <c r="E1759" t="s">
        <v>8117</v>
      </c>
      <c r="F1759">
        <v>7.9</v>
      </c>
      <c r="H1759" t="s">
        <v>1463</v>
      </c>
      <c r="L1759" t="s">
        <v>1433</v>
      </c>
      <c r="M1759" t="s">
        <v>1692</v>
      </c>
      <c r="N1759" t="s">
        <v>2878</v>
      </c>
      <c r="O1759">
        <v>4</v>
      </c>
    </row>
    <row r="1760" spans="2:15" x14ac:dyDescent="0.2">
      <c r="B1760" t="s">
        <v>1433</v>
      </c>
      <c r="C1760" t="s">
        <v>12898</v>
      </c>
      <c r="D1760" t="s">
        <v>617</v>
      </c>
      <c r="E1760" t="s">
        <v>8118</v>
      </c>
      <c r="F1760">
        <v>782.42</v>
      </c>
      <c r="H1760" t="s">
        <v>2089</v>
      </c>
      <c r="L1760" t="s">
        <v>1433</v>
      </c>
      <c r="M1760" t="s">
        <v>2690</v>
      </c>
      <c r="N1760" t="s">
        <v>2879</v>
      </c>
      <c r="O1760">
        <v>12</v>
      </c>
    </row>
    <row r="1761" spans="2:15" x14ac:dyDescent="0.2">
      <c r="B1761" t="s">
        <v>1433</v>
      </c>
      <c r="C1761" t="s">
        <v>12898</v>
      </c>
      <c r="D1761" t="s">
        <v>617</v>
      </c>
      <c r="E1761" t="s">
        <v>8119</v>
      </c>
      <c r="F1761">
        <v>169.27</v>
      </c>
      <c r="H1761" t="s">
        <v>1485</v>
      </c>
      <c r="L1761" t="s">
        <v>1433</v>
      </c>
      <c r="M1761" t="s">
        <v>2880</v>
      </c>
      <c r="N1761" t="s">
        <v>2881</v>
      </c>
      <c r="O1761">
        <v>1</v>
      </c>
    </row>
    <row r="1762" spans="2:15" x14ac:dyDescent="0.2">
      <c r="B1762" t="s">
        <v>1433</v>
      </c>
      <c r="C1762" t="s">
        <v>12898</v>
      </c>
      <c r="D1762" t="s">
        <v>617</v>
      </c>
      <c r="E1762" t="s">
        <v>8120</v>
      </c>
      <c r="F1762">
        <v>180.97</v>
      </c>
      <c r="H1762" t="s">
        <v>4490</v>
      </c>
      <c r="L1762" t="s">
        <v>1433</v>
      </c>
      <c r="M1762" t="s">
        <v>1245</v>
      </c>
      <c r="N1762" t="s">
        <v>2882</v>
      </c>
      <c r="O1762">
        <v>5</v>
      </c>
    </row>
    <row r="1763" spans="2:15" x14ac:dyDescent="0.2">
      <c r="B1763" t="s">
        <v>1433</v>
      </c>
      <c r="C1763" t="s">
        <v>12898</v>
      </c>
      <c r="D1763" t="s">
        <v>617</v>
      </c>
      <c r="E1763" t="s">
        <v>8121</v>
      </c>
      <c r="F1763">
        <v>232.2</v>
      </c>
      <c r="H1763" t="s">
        <v>1917</v>
      </c>
      <c r="L1763" t="s">
        <v>1433</v>
      </c>
      <c r="M1763" t="s">
        <v>1956</v>
      </c>
      <c r="N1763" t="s">
        <v>2882</v>
      </c>
      <c r="O1763">
        <v>2</v>
      </c>
    </row>
    <row r="1764" spans="2:15" x14ac:dyDescent="0.2">
      <c r="B1764" t="s">
        <v>1433</v>
      </c>
      <c r="C1764" t="s">
        <v>12898</v>
      </c>
      <c r="D1764" t="s">
        <v>617</v>
      </c>
      <c r="E1764" t="s">
        <v>8122</v>
      </c>
      <c r="F1764">
        <v>4.49</v>
      </c>
      <c r="H1764" t="s">
        <v>1917</v>
      </c>
      <c r="L1764" t="s">
        <v>1433</v>
      </c>
      <c r="M1764" t="s">
        <v>2883</v>
      </c>
      <c r="N1764" t="s">
        <v>2884</v>
      </c>
      <c r="O1764">
        <v>10</v>
      </c>
    </row>
    <row r="1765" spans="2:15" x14ac:dyDescent="0.2">
      <c r="B1765" t="s">
        <v>1433</v>
      </c>
      <c r="C1765" t="s">
        <v>12898</v>
      </c>
      <c r="D1765" t="s">
        <v>617</v>
      </c>
      <c r="E1765" t="s">
        <v>8123</v>
      </c>
      <c r="F1765">
        <v>197.2</v>
      </c>
      <c r="H1765" t="s">
        <v>2087</v>
      </c>
      <c r="L1765" t="s">
        <v>1433</v>
      </c>
      <c r="M1765" t="s">
        <v>2885</v>
      </c>
      <c r="N1765" t="s">
        <v>2884</v>
      </c>
      <c r="O1765">
        <v>10</v>
      </c>
    </row>
    <row r="1766" spans="2:15" x14ac:dyDescent="0.2">
      <c r="B1766" t="s">
        <v>1433</v>
      </c>
      <c r="C1766" t="s">
        <v>12898</v>
      </c>
      <c r="D1766" t="s">
        <v>617</v>
      </c>
      <c r="E1766" t="s">
        <v>8124</v>
      </c>
      <c r="F1766">
        <v>848.69</v>
      </c>
      <c r="H1766" t="s">
        <v>2091</v>
      </c>
      <c r="L1766" t="s">
        <v>1433</v>
      </c>
      <c r="M1766" t="s">
        <v>2886</v>
      </c>
      <c r="N1766" t="s">
        <v>2884</v>
      </c>
      <c r="O1766">
        <v>20</v>
      </c>
    </row>
    <row r="1767" spans="2:15" x14ac:dyDescent="0.2">
      <c r="B1767" t="s">
        <v>1433</v>
      </c>
      <c r="C1767" t="s">
        <v>12898</v>
      </c>
      <c r="D1767" t="s">
        <v>617</v>
      </c>
      <c r="E1767" t="s">
        <v>8125</v>
      </c>
      <c r="F1767">
        <v>20.399999999999999</v>
      </c>
      <c r="H1767" t="s">
        <v>1806</v>
      </c>
      <c r="L1767" t="s">
        <v>1433</v>
      </c>
      <c r="M1767" t="s">
        <v>2887</v>
      </c>
      <c r="N1767" t="s">
        <v>2884</v>
      </c>
      <c r="O1767">
        <v>20</v>
      </c>
    </row>
    <row r="1768" spans="2:15" x14ac:dyDescent="0.2">
      <c r="B1768" t="s">
        <v>1433</v>
      </c>
      <c r="C1768" t="s">
        <v>12898</v>
      </c>
      <c r="D1768" t="s">
        <v>617</v>
      </c>
      <c r="E1768" t="s">
        <v>8126</v>
      </c>
      <c r="F1768">
        <v>0.61</v>
      </c>
      <c r="H1768" t="s">
        <v>1806</v>
      </c>
      <c r="L1768" t="s">
        <v>1433</v>
      </c>
      <c r="M1768" t="s">
        <v>2888</v>
      </c>
      <c r="N1768" t="s">
        <v>2884</v>
      </c>
      <c r="O1768">
        <v>10</v>
      </c>
    </row>
    <row r="1769" spans="2:15" x14ac:dyDescent="0.2">
      <c r="B1769" t="s">
        <v>1433</v>
      </c>
      <c r="C1769" t="s">
        <v>12898</v>
      </c>
      <c r="D1769" t="s">
        <v>617</v>
      </c>
      <c r="E1769" t="s">
        <v>8127</v>
      </c>
      <c r="F1769">
        <v>10.17</v>
      </c>
      <c r="H1769" t="s">
        <v>1806</v>
      </c>
      <c r="L1769" t="s">
        <v>1433</v>
      </c>
      <c r="M1769" t="s">
        <v>2889</v>
      </c>
      <c r="N1769" t="s">
        <v>2890</v>
      </c>
      <c r="O1769">
        <v>1</v>
      </c>
    </row>
    <row r="1770" spans="2:15" x14ac:dyDescent="0.2">
      <c r="B1770" t="s">
        <v>1433</v>
      </c>
      <c r="C1770" t="s">
        <v>12898</v>
      </c>
      <c r="D1770" t="s">
        <v>617</v>
      </c>
      <c r="E1770" t="s">
        <v>8128</v>
      </c>
      <c r="F1770">
        <v>37.18</v>
      </c>
      <c r="H1770" t="s">
        <v>1918</v>
      </c>
      <c r="L1770" t="s">
        <v>1433</v>
      </c>
      <c r="M1770" t="s">
        <v>1578</v>
      </c>
      <c r="N1770" t="s">
        <v>2891</v>
      </c>
      <c r="O1770">
        <v>1</v>
      </c>
    </row>
    <row r="1771" spans="2:15" x14ac:dyDescent="0.2">
      <c r="B1771" t="s">
        <v>1433</v>
      </c>
      <c r="C1771" t="s">
        <v>12898</v>
      </c>
      <c r="D1771" t="s">
        <v>617</v>
      </c>
      <c r="E1771" t="s">
        <v>8129</v>
      </c>
      <c r="F1771">
        <v>14.87</v>
      </c>
      <c r="H1771" t="s">
        <v>1918</v>
      </c>
      <c r="L1771" t="s">
        <v>1433</v>
      </c>
      <c r="M1771" t="s">
        <v>2892</v>
      </c>
      <c r="N1771" t="s">
        <v>2893</v>
      </c>
      <c r="O1771">
        <v>384</v>
      </c>
    </row>
    <row r="1772" spans="2:15" x14ac:dyDescent="0.2">
      <c r="B1772" t="s">
        <v>1433</v>
      </c>
      <c r="C1772" t="s">
        <v>12898</v>
      </c>
      <c r="D1772" t="s">
        <v>617</v>
      </c>
      <c r="E1772" t="s">
        <v>8130</v>
      </c>
      <c r="F1772">
        <v>327.18</v>
      </c>
      <c r="H1772" t="s">
        <v>1918</v>
      </c>
      <c r="L1772" t="s">
        <v>1433</v>
      </c>
      <c r="M1772" t="s">
        <v>1243</v>
      </c>
      <c r="N1772" t="s">
        <v>2894</v>
      </c>
      <c r="O1772">
        <v>16</v>
      </c>
    </row>
    <row r="1773" spans="2:15" x14ac:dyDescent="0.2">
      <c r="B1773" t="s">
        <v>1433</v>
      </c>
      <c r="C1773" t="s">
        <v>12898</v>
      </c>
      <c r="D1773" t="s">
        <v>617</v>
      </c>
      <c r="E1773" t="s">
        <v>8131</v>
      </c>
      <c r="F1773">
        <v>102.13</v>
      </c>
      <c r="H1773" t="s">
        <v>2067</v>
      </c>
      <c r="L1773" t="s">
        <v>1433</v>
      </c>
      <c r="M1773" t="s">
        <v>1245</v>
      </c>
      <c r="N1773" t="s">
        <v>2894</v>
      </c>
      <c r="O1773">
        <v>24</v>
      </c>
    </row>
    <row r="1774" spans="2:15" x14ac:dyDescent="0.2">
      <c r="B1774" t="s">
        <v>1433</v>
      </c>
      <c r="C1774" t="s">
        <v>12898</v>
      </c>
      <c r="D1774" t="s">
        <v>617</v>
      </c>
      <c r="E1774" t="s">
        <v>8132</v>
      </c>
      <c r="F1774">
        <v>10.01</v>
      </c>
      <c r="H1774" t="s">
        <v>1919</v>
      </c>
      <c r="L1774" t="s">
        <v>1433</v>
      </c>
      <c r="M1774" t="s">
        <v>2895</v>
      </c>
      <c r="N1774" t="s">
        <v>2896</v>
      </c>
      <c r="O1774">
        <v>1</v>
      </c>
    </row>
    <row r="1775" spans="2:15" x14ac:dyDescent="0.2">
      <c r="B1775" t="s">
        <v>1433</v>
      </c>
      <c r="C1775" t="s">
        <v>12898</v>
      </c>
      <c r="D1775" t="s">
        <v>617</v>
      </c>
      <c r="E1775" t="s">
        <v>8133</v>
      </c>
      <c r="F1775">
        <v>4.42</v>
      </c>
      <c r="H1775" t="s">
        <v>1919</v>
      </c>
      <c r="L1775" t="s">
        <v>1433</v>
      </c>
      <c r="M1775" t="s">
        <v>2897</v>
      </c>
      <c r="N1775" t="s">
        <v>2898</v>
      </c>
      <c r="O1775">
        <v>1</v>
      </c>
    </row>
    <row r="1776" spans="2:15" x14ac:dyDescent="0.2">
      <c r="B1776" t="s">
        <v>1433</v>
      </c>
      <c r="C1776" t="s">
        <v>12898</v>
      </c>
      <c r="D1776" t="s">
        <v>617</v>
      </c>
      <c r="E1776" t="s">
        <v>8134</v>
      </c>
      <c r="F1776">
        <v>252.96</v>
      </c>
      <c r="H1776" t="s">
        <v>1979</v>
      </c>
      <c r="L1776" t="s">
        <v>1433</v>
      </c>
      <c r="M1776" t="s">
        <v>2899</v>
      </c>
      <c r="N1776" t="s">
        <v>2900</v>
      </c>
      <c r="O1776">
        <v>1</v>
      </c>
    </row>
    <row r="1777" spans="2:15" x14ac:dyDescent="0.2">
      <c r="B1777" t="s">
        <v>1433</v>
      </c>
      <c r="C1777" t="s">
        <v>12898</v>
      </c>
      <c r="D1777" t="s">
        <v>617</v>
      </c>
      <c r="E1777" t="s">
        <v>8135</v>
      </c>
      <c r="F1777">
        <v>15.75</v>
      </c>
      <c r="H1777" t="s">
        <v>2057</v>
      </c>
      <c r="L1777" t="s">
        <v>1433</v>
      </c>
      <c r="M1777" t="s">
        <v>2901</v>
      </c>
      <c r="N1777" t="s">
        <v>2900</v>
      </c>
      <c r="O1777">
        <v>1</v>
      </c>
    </row>
    <row r="1778" spans="2:15" x14ac:dyDescent="0.2">
      <c r="B1778" t="s">
        <v>1433</v>
      </c>
      <c r="C1778" t="s">
        <v>12898</v>
      </c>
      <c r="D1778" t="s">
        <v>617</v>
      </c>
      <c r="E1778" t="s">
        <v>8136</v>
      </c>
      <c r="F1778">
        <v>11.25</v>
      </c>
      <c r="H1778" t="s">
        <v>2057</v>
      </c>
      <c r="L1778" t="s">
        <v>1433</v>
      </c>
      <c r="M1778" t="s">
        <v>2902</v>
      </c>
      <c r="N1778" t="s">
        <v>2903</v>
      </c>
      <c r="O1778">
        <v>1</v>
      </c>
    </row>
    <row r="1779" spans="2:15" x14ac:dyDescent="0.2">
      <c r="B1779" t="s">
        <v>1433</v>
      </c>
      <c r="C1779" t="s">
        <v>12898</v>
      </c>
      <c r="D1779" t="s">
        <v>617</v>
      </c>
      <c r="E1779" t="s">
        <v>8137</v>
      </c>
      <c r="F1779">
        <v>73.2</v>
      </c>
      <c r="H1779" t="s">
        <v>8138</v>
      </c>
      <c r="L1779" t="s">
        <v>1433</v>
      </c>
      <c r="M1779" t="s">
        <v>2904</v>
      </c>
      <c r="N1779" t="s">
        <v>2905</v>
      </c>
      <c r="O1779">
        <v>56</v>
      </c>
    </row>
    <row r="1780" spans="2:15" x14ac:dyDescent="0.2">
      <c r="B1780" t="s">
        <v>1433</v>
      </c>
      <c r="C1780" t="s">
        <v>12898</v>
      </c>
      <c r="D1780" t="s">
        <v>617</v>
      </c>
      <c r="E1780" t="s">
        <v>8139</v>
      </c>
      <c r="F1780">
        <v>118.95</v>
      </c>
      <c r="H1780" t="s">
        <v>1483</v>
      </c>
      <c r="L1780" t="s">
        <v>1433</v>
      </c>
      <c r="M1780" t="s">
        <v>2906</v>
      </c>
      <c r="N1780" t="s">
        <v>2907</v>
      </c>
      <c r="O1780">
        <v>1</v>
      </c>
    </row>
    <row r="1781" spans="2:15" x14ac:dyDescent="0.2">
      <c r="B1781" t="s">
        <v>1433</v>
      </c>
      <c r="C1781" t="s">
        <v>12898</v>
      </c>
      <c r="D1781" t="s">
        <v>617</v>
      </c>
      <c r="E1781" t="s">
        <v>8140</v>
      </c>
      <c r="F1781">
        <v>-118.95</v>
      </c>
      <c r="H1781" t="s">
        <v>1483</v>
      </c>
      <c r="L1781" t="s">
        <v>1433</v>
      </c>
      <c r="M1781" t="s">
        <v>2908</v>
      </c>
      <c r="N1781" t="s">
        <v>2907</v>
      </c>
      <c r="O1781">
        <v>1</v>
      </c>
    </row>
    <row r="1782" spans="2:15" x14ac:dyDescent="0.2">
      <c r="B1782" t="s">
        <v>1433</v>
      </c>
      <c r="C1782" t="s">
        <v>12898</v>
      </c>
      <c r="D1782" t="s">
        <v>617</v>
      </c>
      <c r="E1782" t="s">
        <v>8141</v>
      </c>
      <c r="F1782">
        <v>118.95</v>
      </c>
      <c r="H1782" t="s">
        <v>1483</v>
      </c>
      <c r="L1782" t="s">
        <v>1433</v>
      </c>
      <c r="M1782" t="s">
        <v>2909</v>
      </c>
      <c r="N1782" t="s">
        <v>2907</v>
      </c>
      <c r="O1782">
        <v>1</v>
      </c>
    </row>
    <row r="1783" spans="2:15" x14ac:dyDescent="0.2">
      <c r="B1783" t="s">
        <v>1433</v>
      </c>
      <c r="C1783" t="s">
        <v>12898</v>
      </c>
      <c r="D1783" t="s">
        <v>617</v>
      </c>
      <c r="E1783" t="s">
        <v>8142</v>
      </c>
      <c r="F1783">
        <v>237.91</v>
      </c>
      <c r="H1783" t="s">
        <v>1483</v>
      </c>
      <c r="L1783" t="s">
        <v>1433</v>
      </c>
      <c r="M1783" t="s">
        <v>2910</v>
      </c>
      <c r="N1783" t="s">
        <v>2907</v>
      </c>
      <c r="O1783">
        <v>0</v>
      </c>
    </row>
    <row r="1784" spans="2:15" x14ac:dyDescent="0.2">
      <c r="B1784" t="s">
        <v>1433</v>
      </c>
      <c r="C1784" t="s">
        <v>12898</v>
      </c>
      <c r="D1784" t="s">
        <v>617</v>
      </c>
      <c r="E1784" t="s">
        <v>8143</v>
      </c>
      <c r="F1784">
        <v>229.39</v>
      </c>
      <c r="H1784" t="s">
        <v>2092</v>
      </c>
      <c r="L1784" t="s">
        <v>1433</v>
      </c>
      <c r="M1784" t="s">
        <v>2911</v>
      </c>
      <c r="N1784" t="s">
        <v>2907</v>
      </c>
      <c r="O1784">
        <v>2</v>
      </c>
    </row>
    <row r="1785" spans="2:15" x14ac:dyDescent="0.2">
      <c r="B1785" t="s">
        <v>1433</v>
      </c>
      <c r="C1785" t="s">
        <v>12898</v>
      </c>
      <c r="D1785" t="s">
        <v>617</v>
      </c>
      <c r="E1785" t="s">
        <v>8144</v>
      </c>
      <c r="F1785">
        <v>105.4</v>
      </c>
      <c r="H1785" t="s">
        <v>1484</v>
      </c>
      <c r="L1785" t="s">
        <v>1433</v>
      </c>
      <c r="M1785" t="s">
        <v>2912</v>
      </c>
      <c r="N1785" t="s">
        <v>2907</v>
      </c>
      <c r="O1785">
        <v>20</v>
      </c>
    </row>
    <row r="1786" spans="2:15" x14ac:dyDescent="0.2">
      <c r="B1786" t="s">
        <v>1433</v>
      </c>
      <c r="C1786" t="s">
        <v>12898</v>
      </c>
      <c r="D1786" t="s">
        <v>617</v>
      </c>
      <c r="E1786" t="s">
        <v>8145</v>
      </c>
      <c r="F1786">
        <v>-105.4</v>
      </c>
      <c r="H1786" t="s">
        <v>1484</v>
      </c>
      <c r="L1786" t="s">
        <v>1433</v>
      </c>
      <c r="M1786" t="s">
        <v>2913</v>
      </c>
      <c r="N1786" t="s">
        <v>2907</v>
      </c>
      <c r="O1786">
        <v>2</v>
      </c>
    </row>
    <row r="1787" spans="2:15" x14ac:dyDescent="0.2">
      <c r="B1787" t="s">
        <v>1433</v>
      </c>
      <c r="C1787" t="s">
        <v>12898</v>
      </c>
      <c r="D1787" t="s">
        <v>617</v>
      </c>
      <c r="E1787" t="s">
        <v>8146</v>
      </c>
      <c r="F1787">
        <v>105.4</v>
      </c>
      <c r="H1787" t="s">
        <v>1484</v>
      </c>
      <c r="L1787" t="s">
        <v>1433</v>
      </c>
      <c r="M1787" t="s">
        <v>1469</v>
      </c>
      <c r="N1787" t="s">
        <v>2907</v>
      </c>
      <c r="O1787">
        <v>1</v>
      </c>
    </row>
    <row r="1788" spans="2:15" x14ac:dyDescent="0.2">
      <c r="B1788" t="s">
        <v>1433</v>
      </c>
      <c r="C1788" t="s">
        <v>12898</v>
      </c>
      <c r="D1788" t="s">
        <v>617</v>
      </c>
      <c r="E1788" t="s">
        <v>8147</v>
      </c>
      <c r="F1788">
        <v>184.45</v>
      </c>
      <c r="H1788" t="s">
        <v>1484</v>
      </c>
      <c r="L1788" t="s">
        <v>1433</v>
      </c>
      <c r="M1788" t="s">
        <v>2914</v>
      </c>
      <c r="N1788" t="s">
        <v>2915</v>
      </c>
      <c r="O1788">
        <v>2</v>
      </c>
    </row>
    <row r="1789" spans="2:15" x14ac:dyDescent="0.2">
      <c r="B1789" t="s">
        <v>1433</v>
      </c>
      <c r="C1789" t="s">
        <v>12898</v>
      </c>
      <c r="D1789" t="s">
        <v>617</v>
      </c>
      <c r="E1789" t="s">
        <v>8148</v>
      </c>
      <c r="F1789">
        <v>188</v>
      </c>
      <c r="H1789" t="s">
        <v>2059</v>
      </c>
      <c r="L1789" t="s">
        <v>1433</v>
      </c>
      <c r="M1789" t="s">
        <v>2916</v>
      </c>
      <c r="N1789" t="s">
        <v>2917</v>
      </c>
      <c r="O1789">
        <v>20</v>
      </c>
    </row>
    <row r="1790" spans="2:15" x14ac:dyDescent="0.2">
      <c r="B1790" t="s">
        <v>1433</v>
      </c>
      <c r="C1790" t="s">
        <v>12898</v>
      </c>
      <c r="D1790" t="s">
        <v>617</v>
      </c>
      <c r="E1790" t="s">
        <v>8149</v>
      </c>
      <c r="F1790">
        <v>38.590000000000003</v>
      </c>
      <c r="H1790" t="s">
        <v>2060</v>
      </c>
      <c r="L1790" t="s">
        <v>1433</v>
      </c>
      <c r="M1790" t="s">
        <v>1908</v>
      </c>
      <c r="N1790" t="s">
        <v>2918</v>
      </c>
      <c r="O1790">
        <v>4</v>
      </c>
    </row>
    <row r="1791" spans="2:15" x14ac:dyDescent="0.2">
      <c r="B1791" t="s">
        <v>1433</v>
      </c>
      <c r="C1791" t="s">
        <v>12898</v>
      </c>
      <c r="D1791" t="s">
        <v>617</v>
      </c>
      <c r="E1791" t="s">
        <v>8150</v>
      </c>
      <c r="F1791">
        <v>12.86</v>
      </c>
      <c r="H1791" t="s">
        <v>2060</v>
      </c>
      <c r="L1791" t="s">
        <v>1433</v>
      </c>
      <c r="M1791" t="s">
        <v>2330</v>
      </c>
      <c r="N1791" t="s">
        <v>2919</v>
      </c>
      <c r="O1791">
        <v>2</v>
      </c>
    </row>
    <row r="1792" spans="2:15" x14ac:dyDescent="0.2">
      <c r="B1792" t="s">
        <v>1433</v>
      </c>
      <c r="C1792" t="s">
        <v>12898</v>
      </c>
      <c r="D1792" t="s">
        <v>617</v>
      </c>
      <c r="E1792" t="s">
        <v>8151</v>
      </c>
      <c r="F1792">
        <v>55.8</v>
      </c>
      <c r="H1792" t="s">
        <v>2061</v>
      </c>
      <c r="L1792" t="s">
        <v>1433</v>
      </c>
      <c r="M1792" t="s">
        <v>1883</v>
      </c>
      <c r="N1792" t="s">
        <v>2920</v>
      </c>
      <c r="O1792">
        <v>9</v>
      </c>
    </row>
    <row r="1793" spans="2:15" x14ac:dyDescent="0.2">
      <c r="B1793" t="s">
        <v>1433</v>
      </c>
      <c r="C1793" t="s">
        <v>12898</v>
      </c>
      <c r="D1793" t="s">
        <v>617</v>
      </c>
      <c r="E1793" t="s">
        <v>8152</v>
      </c>
      <c r="F1793">
        <v>420.81</v>
      </c>
      <c r="H1793" t="s">
        <v>1451</v>
      </c>
      <c r="L1793" t="s">
        <v>1433</v>
      </c>
      <c r="M1793" t="s">
        <v>2921</v>
      </c>
      <c r="N1793" t="s">
        <v>2922</v>
      </c>
      <c r="O1793">
        <v>1</v>
      </c>
    </row>
    <row r="1794" spans="2:15" x14ac:dyDescent="0.2">
      <c r="B1794" t="s">
        <v>1433</v>
      </c>
      <c r="C1794" t="s">
        <v>12898</v>
      </c>
      <c r="D1794" t="s">
        <v>617</v>
      </c>
      <c r="E1794" t="s">
        <v>8153</v>
      </c>
      <c r="F1794">
        <v>475.02</v>
      </c>
      <c r="H1794" t="s">
        <v>1452</v>
      </c>
      <c r="L1794" t="s">
        <v>1433</v>
      </c>
      <c r="M1794" t="s">
        <v>2683</v>
      </c>
      <c r="N1794" t="s">
        <v>2922</v>
      </c>
      <c r="O1794">
        <v>24</v>
      </c>
    </row>
    <row r="1795" spans="2:15" x14ac:dyDescent="0.2">
      <c r="B1795" t="s">
        <v>1433</v>
      </c>
      <c r="C1795" t="s">
        <v>12898</v>
      </c>
      <c r="D1795" t="s">
        <v>617</v>
      </c>
      <c r="E1795" t="s">
        <v>8154</v>
      </c>
      <c r="F1795">
        <v>354.96</v>
      </c>
      <c r="H1795" t="s">
        <v>2096</v>
      </c>
      <c r="L1795" t="s">
        <v>1433</v>
      </c>
      <c r="M1795" t="s">
        <v>2923</v>
      </c>
      <c r="N1795" t="s">
        <v>2922</v>
      </c>
      <c r="O1795">
        <v>1</v>
      </c>
    </row>
    <row r="1796" spans="2:15" x14ac:dyDescent="0.2">
      <c r="B1796" t="s">
        <v>1433</v>
      </c>
      <c r="C1796" t="s">
        <v>12898</v>
      </c>
      <c r="D1796" t="s">
        <v>617</v>
      </c>
      <c r="E1796" t="s">
        <v>8155</v>
      </c>
      <c r="F1796">
        <v>274.39999999999998</v>
      </c>
      <c r="H1796" t="s">
        <v>2862</v>
      </c>
      <c r="L1796" t="s">
        <v>1433</v>
      </c>
      <c r="M1796" t="s">
        <v>2924</v>
      </c>
      <c r="N1796" t="s">
        <v>2922</v>
      </c>
      <c r="O1796">
        <v>1</v>
      </c>
    </row>
    <row r="1797" spans="2:15" x14ac:dyDescent="0.2">
      <c r="B1797" t="s">
        <v>1433</v>
      </c>
      <c r="C1797" t="s">
        <v>12898</v>
      </c>
      <c r="D1797" t="s">
        <v>617</v>
      </c>
      <c r="E1797" t="s">
        <v>8156</v>
      </c>
      <c r="F1797">
        <v>295.62</v>
      </c>
      <c r="H1797" t="s">
        <v>1453</v>
      </c>
      <c r="L1797" t="s">
        <v>1433</v>
      </c>
      <c r="M1797" t="s">
        <v>2925</v>
      </c>
      <c r="N1797" t="s">
        <v>2922</v>
      </c>
      <c r="O1797">
        <v>1</v>
      </c>
    </row>
    <row r="1798" spans="2:15" x14ac:dyDescent="0.2">
      <c r="B1798" t="s">
        <v>1433</v>
      </c>
      <c r="C1798" t="s">
        <v>12898</v>
      </c>
      <c r="D1798" t="s">
        <v>617</v>
      </c>
      <c r="E1798" t="s">
        <v>8157</v>
      </c>
      <c r="F1798">
        <v>639.84</v>
      </c>
      <c r="H1798" t="s">
        <v>1980</v>
      </c>
      <c r="L1798" t="s">
        <v>1433</v>
      </c>
      <c r="M1798" t="s">
        <v>2926</v>
      </c>
      <c r="N1798" t="s">
        <v>2922</v>
      </c>
      <c r="O1798">
        <v>1</v>
      </c>
    </row>
    <row r="1799" spans="2:15" x14ac:dyDescent="0.2">
      <c r="B1799" t="s">
        <v>1433</v>
      </c>
      <c r="C1799" t="s">
        <v>12898</v>
      </c>
      <c r="D1799" t="s">
        <v>617</v>
      </c>
      <c r="E1799" t="s">
        <v>8158</v>
      </c>
      <c r="F1799">
        <v>639.84</v>
      </c>
      <c r="H1799" t="s">
        <v>1981</v>
      </c>
      <c r="L1799" t="s">
        <v>1433</v>
      </c>
      <c r="M1799" t="s">
        <v>1969</v>
      </c>
      <c r="N1799" t="s">
        <v>2927</v>
      </c>
      <c r="O1799">
        <v>2</v>
      </c>
    </row>
    <row r="1800" spans="2:15" x14ac:dyDescent="0.2">
      <c r="B1800" t="s">
        <v>1433</v>
      </c>
      <c r="C1800" t="s">
        <v>12898</v>
      </c>
      <c r="D1800" t="s">
        <v>617</v>
      </c>
      <c r="E1800" t="s">
        <v>8159</v>
      </c>
      <c r="F1800">
        <v>402.72</v>
      </c>
      <c r="H1800" t="s">
        <v>2097</v>
      </c>
      <c r="L1800" t="s">
        <v>1433</v>
      </c>
      <c r="M1800" t="s">
        <v>2448</v>
      </c>
      <c r="N1800" t="s">
        <v>2927</v>
      </c>
      <c r="O1800">
        <v>2</v>
      </c>
    </row>
    <row r="1801" spans="2:15" x14ac:dyDescent="0.2">
      <c r="B1801" t="s">
        <v>1433</v>
      </c>
      <c r="C1801" t="s">
        <v>12898</v>
      </c>
      <c r="D1801" t="s">
        <v>617</v>
      </c>
      <c r="E1801" t="s">
        <v>8160</v>
      </c>
      <c r="F1801">
        <v>159.97999999999999</v>
      </c>
      <c r="H1801" t="s">
        <v>1346</v>
      </c>
      <c r="L1801" t="s">
        <v>1433</v>
      </c>
      <c r="M1801" t="s">
        <v>2928</v>
      </c>
      <c r="N1801" t="s">
        <v>2929</v>
      </c>
      <c r="O1801">
        <v>1</v>
      </c>
    </row>
    <row r="1802" spans="2:15" x14ac:dyDescent="0.2">
      <c r="B1802" t="s">
        <v>1433</v>
      </c>
      <c r="C1802" t="s">
        <v>12898</v>
      </c>
      <c r="D1802" t="s">
        <v>617</v>
      </c>
      <c r="E1802" t="s">
        <v>8161</v>
      </c>
      <c r="F1802">
        <v>262.82</v>
      </c>
      <c r="H1802" t="s">
        <v>1699</v>
      </c>
      <c r="L1802" t="s">
        <v>1433</v>
      </c>
      <c r="M1802" t="s">
        <v>2930</v>
      </c>
      <c r="N1802" t="s">
        <v>2929</v>
      </c>
      <c r="O1802">
        <v>1</v>
      </c>
    </row>
    <row r="1803" spans="2:15" x14ac:dyDescent="0.2">
      <c r="B1803" t="s">
        <v>1433</v>
      </c>
      <c r="C1803" t="s">
        <v>12898</v>
      </c>
      <c r="D1803" t="s">
        <v>617</v>
      </c>
      <c r="E1803" t="s">
        <v>8162</v>
      </c>
      <c r="F1803">
        <v>172</v>
      </c>
      <c r="H1803" t="s">
        <v>1776</v>
      </c>
      <c r="L1803" t="s">
        <v>1433</v>
      </c>
      <c r="M1803" t="s">
        <v>2931</v>
      </c>
      <c r="N1803" t="s">
        <v>2929</v>
      </c>
      <c r="O1803">
        <v>1</v>
      </c>
    </row>
    <row r="1804" spans="2:15" x14ac:dyDescent="0.2">
      <c r="B1804" t="s">
        <v>1433</v>
      </c>
      <c r="C1804" t="s">
        <v>12898</v>
      </c>
      <c r="D1804" t="s">
        <v>617</v>
      </c>
      <c r="E1804" t="s">
        <v>8163</v>
      </c>
      <c r="F1804">
        <v>261.12</v>
      </c>
      <c r="H1804" t="s">
        <v>1983</v>
      </c>
      <c r="L1804" t="s">
        <v>1433</v>
      </c>
      <c r="M1804" t="s">
        <v>1892</v>
      </c>
      <c r="N1804" t="s">
        <v>2932</v>
      </c>
      <c r="O1804">
        <v>2</v>
      </c>
    </row>
    <row r="1805" spans="2:15" x14ac:dyDescent="0.2">
      <c r="B1805" t="s">
        <v>1433</v>
      </c>
      <c r="C1805" t="s">
        <v>12898</v>
      </c>
      <c r="D1805" t="s">
        <v>617</v>
      </c>
      <c r="E1805" t="s">
        <v>8164</v>
      </c>
      <c r="F1805">
        <v>608.4</v>
      </c>
      <c r="H1805" t="s">
        <v>1984</v>
      </c>
      <c r="L1805" t="s">
        <v>1433</v>
      </c>
      <c r="M1805" t="s">
        <v>2933</v>
      </c>
      <c r="N1805" t="s">
        <v>2934</v>
      </c>
      <c r="O1805">
        <v>1</v>
      </c>
    </row>
    <row r="1806" spans="2:15" x14ac:dyDescent="0.2">
      <c r="B1806" t="s">
        <v>1433</v>
      </c>
      <c r="C1806" t="s">
        <v>12898</v>
      </c>
      <c r="D1806" t="s">
        <v>617</v>
      </c>
      <c r="E1806" t="s">
        <v>8165</v>
      </c>
      <c r="F1806">
        <v>348.22</v>
      </c>
      <c r="H1806" t="s">
        <v>2093</v>
      </c>
      <c r="L1806" t="s">
        <v>1433</v>
      </c>
      <c r="M1806" t="s">
        <v>2935</v>
      </c>
      <c r="N1806" t="s">
        <v>2934</v>
      </c>
      <c r="O1806">
        <v>1</v>
      </c>
    </row>
    <row r="1807" spans="2:15" x14ac:dyDescent="0.2">
      <c r="B1807" t="s">
        <v>1433</v>
      </c>
      <c r="C1807" t="s">
        <v>12898</v>
      </c>
      <c r="D1807" t="s">
        <v>617</v>
      </c>
      <c r="E1807" t="s">
        <v>8166</v>
      </c>
      <c r="F1807">
        <v>98</v>
      </c>
      <c r="H1807" t="s">
        <v>2052</v>
      </c>
      <c r="L1807" t="s">
        <v>1433</v>
      </c>
      <c r="M1807" t="s">
        <v>2936</v>
      </c>
      <c r="N1807" t="s">
        <v>2934</v>
      </c>
      <c r="O1807">
        <v>100</v>
      </c>
    </row>
    <row r="1808" spans="2:15" x14ac:dyDescent="0.2">
      <c r="B1808" t="s">
        <v>1433</v>
      </c>
      <c r="C1808" t="s">
        <v>12898</v>
      </c>
      <c r="D1808" t="s">
        <v>617</v>
      </c>
      <c r="E1808" t="s">
        <v>8167</v>
      </c>
      <c r="F1808">
        <v>320</v>
      </c>
      <c r="H1808" t="s">
        <v>2053</v>
      </c>
      <c r="L1808" t="s">
        <v>1433</v>
      </c>
      <c r="M1808" t="s">
        <v>2937</v>
      </c>
      <c r="N1808" t="s">
        <v>2934</v>
      </c>
      <c r="O1808">
        <v>100</v>
      </c>
    </row>
    <row r="1809" spans="2:15" x14ac:dyDescent="0.2">
      <c r="B1809" t="s">
        <v>1433</v>
      </c>
      <c r="C1809" t="s">
        <v>12898</v>
      </c>
      <c r="D1809" t="s">
        <v>617</v>
      </c>
      <c r="E1809" t="s">
        <v>8168</v>
      </c>
      <c r="F1809">
        <v>177</v>
      </c>
      <c r="H1809" t="s">
        <v>8169</v>
      </c>
      <c r="L1809" t="s">
        <v>1433</v>
      </c>
      <c r="M1809" t="s">
        <v>2938</v>
      </c>
      <c r="N1809" t="s">
        <v>2939</v>
      </c>
      <c r="O1809">
        <v>1</v>
      </c>
    </row>
    <row r="1810" spans="2:15" x14ac:dyDescent="0.2">
      <c r="B1810" t="s">
        <v>1433</v>
      </c>
      <c r="C1810" t="s">
        <v>12898</v>
      </c>
      <c r="D1810" t="s">
        <v>617</v>
      </c>
      <c r="E1810" t="s">
        <v>8170</v>
      </c>
      <c r="F1810">
        <v>122</v>
      </c>
      <c r="H1810" t="s">
        <v>1494</v>
      </c>
      <c r="L1810" t="s">
        <v>1433</v>
      </c>
      <c r="M1810" t="s">
        <v>2940</v>
      </c>
      <c r="N1810" t="s">
        <v>2939</v>
      </c>
      <c r="O1810">
        <v>1</v>
      </c>
    </row>
    <row r="1811" spans="2:15" x14ac:dyDescent="0.2">
      <c r="B1811" t="s">
        <v>1433</v>
      </c>
      <c r="C1811" t="s">
        <v>12898</v>
      </c>
      <c r="D1811" t="s">
        <v>617</v>
      </c>
      <c r="E1811" t="s">
        <v>8171</v>
      </c>
      <c r="F1811">
        <v>118.8</v>
      </c>
      <c r="H1811" t="s">
        <v>1523</v>
      </c>
      <c r="L1811" t="s">
        <v>1433</v>
      </c>
      <c r="M1811" t="s">
        <v>2941</v>
      </c>
      <c r="N1811" t="s">
        <v>2942</v>
      </c>
      <c r="O1811">
        <v>1</v>
      </c>
    </row>
    <row r="1812" spans="2:15" x14ac:dyDescent="0.2">
      <c r="B1812" t="s">
        <v>1433</v>
      </c>
      <c r="C1812" t="s">
        <v>12898</v>
      </c>
      <c r="D1812" t="s">
        <v>617</v>
      </c>
      <c r="E1812" t="s">
        <v>8172</v>
      </c>
      <c r="F1812">
        <v>121.68</v>
      </c>
      <c r="H1812" t="s">
        <v>2621</v>
      </c>
      <c r="L1812" t="s">
        <v>1433</v>
      </c>
      <c r="M1812" t="s">
        <v>2943</v>
      </c>
      <c r="N1812" t="s">
        <v>2942</v>
      </c>
      <c r="O1812">
        <v>1</v>
      </c>
    </row>
    <row r="1813" spans="2:15" x14ac:dyDescent="0.2">
      <c r="B1813" t="s">
        <v>1433</v>
      </c>
      <c r="C1813" t="s">
        <v>12898</v>
      </c>
      <c r="D1813" t="s">
        <v>617</v>
      </c>
      <c r="E1813" t="s">
        <v>8173</v>
      </c>
      <c r="F1813">
        <v>499.7</v>
      </c>
      <c r="H1813" t="s">
        <v>1525</v>
      </c>
      <c r="L1813" t="s">
        <v>1433</v>
      </c>
      <c r="M1813" t="s">
        <v>2944</v>
      </c>
      <c r="N1813" t="s">
        <v>2942</v>
      </c>
      <c r="O1813">
        <v>1</v>
      </c>
    </row>
    <row r="1814" spans="2:15" x14ac:dyDescent="0.2">
      <c r="B1814" t="s">
        <v>1433</v>
      </c>
      <c r="C1814" t="s">
        <v>12898</v>
      </c>
      <c r="D1814" t="s">
        <v>617</v>
      </c>
      <c r="E1814" t="s">
        <v>8174</v>
      </c>
      <c r="F1814">
        <v>78.849999999999994</v>
      </c>
      <c r="H1814" t="s">
        <v>2104</v>
      </c>
      <c r="L1814" t="s">
        <v>1433</v>
      </c>
      <c r="M1814" t="s">
        <v>2945</v>
      </c>
      <c r="N1814" t="s">
        <v>2942</v>
      </c>
      <c r="O1814">
        <v>1</v>
      </c>
    </row>
    <row r="1815" spans="2:15" x14ac:dyDescent="0.2">
      <c r="B1815" t="s">
        <v>1433</v>
      </c>
      <c r="C1815" t="s">
        <v>12898</v>
      </c>
      <c r="D1815" t="s">
        <v>617</v>
      </c>
      <c r="E1815" t="s">
        <v>8175</v>
      </c>
      <c r="F1815">
        <v>6889.5</v>
      </c>
      <c r="H1815" t="s">
        <v>1812</v>
      </c>
      <c r="L1815" t="s">
        <v>1433</v>
      </c>
      <c r="M1815" t="s">
        <v>1391</v>
      </c>
      <c r="N1815" t="s">
        <v>2946</v>
      </c>
      <c r="O1815">
        <v>100</v>
      </c>
    </row>
    <row r="1816" spans="2:15" x14ac:dyDescent="0.2">
      <c r="B1816" t="s">
        <v>1433</v>
      </c>
      <c r="C1816" t="s">
        <v>12898</v>
      </c>
      <c r="D1816" t="s">
        <v>617</v>
      </c>
      <c r="E1816" t="s">
        <v>8176</v>
      </c>
      <c r="F1816">
        <v>333.17</v>
      </c>
      <c r="H1816" t="s">
        <v>1885</v>
      </c>
      <c r="L1816" t="s">
        <v>1433</v>
      </c>
      <c r="M1816" t="s">
        <v>2947</v>
      </c>
      <c r="N1816" t="s">
        <v>2946</v>
      </c>
      <c r="O1816">
        <v>1</v>
      </c>
    </row>
    <row r="1817" spans="2:15" x14ac:dyDescent="0.2">
      <c r="B1817" t="s">
        <v>1433</v>
      </c>
      <c r="C1817" t="s">
        <v>12898</v>
      </c>
      <c r="D1817" t="s">
        <v>617</v>
      </c>
      <c r="E1817" t="s">
        <v>8177</v>
      </c>
      <c r="F1817">
        <v>777.4</v>
      </c>
      <c r="H1817" t="s">
        <v>1885</v>
      </c>
      <c r="L1817" t="s">
        <v>1433</v>
      </c>
      <c r="M1817" t="s">
        <v>2948</v>
      </c>
      <c r="N1817" t="s">
        <v>2946</v>
      </c>
      <c r="O1817">
        <v>100</v>
      </c>
    </row>
    <row r="1818" spans="2:15" x14ac:dyDescent="0.2">
      <c r="B1818" t="s">
        <v>1433</v>
      </c>
      <c r="C1818" t="s">
        <v>12898</v>
      </c>
      <c r="D1818" t="s">
        <v>617</v>
      </c>
      <c r="E1818" t="s">
        <v>8178</v>
      </c>
      <c r="F1818">
        <v>44</v>
      </c>
      <c r="H1818" t="s">
        <v>6105</v>
      </c>
      <c r="L1818" t="s">
        <v>1433</v>
      </c>
      <c r="M1818" t="s">
        <v>1633</v>
      </c>
      <c r="N1818" t="s">
        <v>2946</v>
      </c>
      <c r="O1818">
        <v>500</v>
      </c>
    </row>
    <row r="1819" spans="2:15" x14ac:dyDescent="0.2">
      <c r="B1819" t="s">
        <v>1433</v>
      </c>
      <c r="C1819" t="s">
        <v>12898</v>
      </c>
      <c r="D1819" t="s">
        <v>617</v>
      </c>
      <c r="E1819" t="s">
        <v>8179</v>
      </c>
      <c r="F1819">
        <v>19.48</v>
      </c>
      <c r="H1819" t="s">
        <v>7619</v>
      </c>
      <c r="L1819" t="s">
        <v>1433</v>
      </c>
      <c r="M1819" t="s">
        <v>1636</v>
      </c>
      <c r="N1819" t="s">
        <v>2946</v>
      </c>
      <c r="O1819">
        <v>500</v>
      </c>
    </row>
    <row r="1820" spans="2:15" x14ac:dyDescent="0.2">
      <c r="B1820" t="s">
        <v>1433</v>
      </c>
      <c r="C1820" t="s">
        <v>12898</v>
      </c>
      <c r="D1820" t="s">
        <v>613</v>
      </c>
      <c r="E1820" t="s">
        <v>8180</v>
      </c>
      <c r="F1820">
        <v>147.56</v>
      </c>
      <c r="H1820" t="s">
        <v>5242</v>
      </c>
      <c r="L1820" t="s">
        <v>1433</v>
      </c>
      <c r="M1820" t="s">
        <v>2949</v>
      </c>
      <c r="N1820" t="s">
        <v>2950</v>
      </c>
      <c r="O1820">
        <v>2</v>
      </c>
    </row>
    <row r="1821" spans="2:15" x14ac:dyDescent="0.2">
      <c r="B1821" t="s">
        <v>1433</v>
      </c>
      <c r="C1821" t="s">
        <v>12898</v>
      </c>
      <c r="D1821" t="s">
        <v>613</v>
      </c>
      <c r="E1821" t="s">
        <v>8181</v>
      </c>
      <c r="F1821">
        <v>4.58</v>
      </c>
      <c r="H1821" t="s">
        <v>8182</v>
      </c>
      <c r="L1821" t="s">
        <v>1433</v>
      </c>
      <c r="M1821" t="s">
        <v>2951</v>
      </c>
      <c r="N1821" t="s">
        <v>2950</v>
      </c>
      <c r="O1821">
        <v>2</v>
      </c>
    </row>
    <row r="1822" spans="2:15" x14ac:dyDescent="0.2">
      <c r="B1822" t="s">
        <v>1433</v>
      </c>
      <c r="C1822" t="s">
        <v>12898</v>
      </c>
      <c r="D1822" t="s">
        <v>613</v>
      </c>
      <c r="E1822" t="s">
        <v>8183</v>
      </c>
      <c r="F1822">
        <v>73.78</v>
      </c>
      <c r="H1822" t="s">
        <v>5242</v>
      </c>
      <c r="L1822" t="s">
        <v>1433</v>
      </c>
      <c r="M1822" t="s">
        <v>2952</v>
      </c>
      <c r="N1822" t="s">
        <v>2953</v>
      </c>
      <c r="O1822">
        <v>650</v>
      </c>
    </row>
    <row r="1823" spans="2:15" x14ac:dyDescent="0.2">
      <c r="B1823" t="s">
        <v>1433</v>
      </c>
      <c r="C1823" t="s">
        <v>12898</v>
      </c>
      <c r="D1823" t="s">
        <v>617</v>
      </c>
      <c r="E1823" t="s">
        <v>8184</v>
      </c>
      <c r="F1823">
        <v>454.61</v>
      </c>
      <c r="H1823" t="s">
        <v>6853</v>
      </c>
      <c r="L1823" t="s">
        <v>1433</v>
      </c>
      <c r="M1823" t="s">
        <v>2954</v>
      </c>
      <c r="N1823" t="s">
        <v>2953</v>
      </c>
      <c r="O1823">
        <v>390</v>
      </c>
    </row>
    <row r="1824" spans="2:15" x14ac:dyDescent="0.2">
      <c r="B1824" t="s">
        <v>1433</v>
      </c>
      <c r="C1824" t="s">
        <v>12898</v>
      </c>
      <c r="D1824" t="s">
        <v>617</v>
      </c>
      <c r="E1824" t="s">
        <v>8185</v>
      </c>
      <c r="F1824">
        <v>59.64</v>
      </c>
      <c r="H1824" t="s">
        <v>4561</v>
      </c>
      <c r="L1824" t="s">
        <v>1433</v>
      </c>
      <c r="M1824" t="s">
        <v>2955</v>
      </c>
      <c r="N1824" t="s">
        <v>2956</v>
      </c>
      <c r="O1824">
        <v>30</v>
      </c>
    </row>
    <row r="1825" spans="2:15" x14ac:dyDescent="0.2">
      <c r="B1825" t="s">
        <v>1433</v>
      </c>
      <c r="C1825" t="s">
        <v>12898</v>
      </c>
      <c r="D1825" t="s">
        <v>617</v>
      </c>
      <c r="E1825" t="s">
        <v>8186</v>
      </c>
      <c r="F1825">
        <v>1.5</v>
      </c>
      <c r="H1825" t="s">
        <v>8187</v>
      </c>
      <c r="L1825" t="s">
        <v>1433</v>
      </c>
      <c r="M1825" t="s">
        <v>1703</v>
      </c>
      <c r="N1825" t="s">
        <v>2957</v>
      </c>
      <c r="O1825">
        <v>20</v>
      </c>
    </row>
    <row r="1826" spans="2:15" x14ac:dyDescent="0.2">
      <c r="B1826" t="s">
        <v>1433</v>
      </c>
      <c r="C1826" t="s">
        <v>12898</v>
      </c>
      <c r="D1826" t="s">
        <v>617</v>
      </c>
      <c r="E1826" t="s">
        <v>8188</v>
      </c>
      <c r="F1826">
        <v>19.52</v>
      </c>
      <c r="H1826" t="s">
        <v>7619</v>
      </c>
      <c r="L1826" t="s">
        <v>1433</v>
      </c>
      <c r="M1826" t="s">
        <v>1705</v>
      </c>
      <c r="N1826" t="s">
        <v>2957</v>
      </c>
      <c r="O1826">
        <v>20</v>
      </c>
    </row>
    <row r="1827" spans="2:15" x14ac:dyDescent="0.2">
      <c r="B1827" t="s">
        <v>1433</v>
      </c>
      <c r="C1827" t="s">
        <v>12898</v>
      </c>
      <c r="D1827" t="s">
        <v>617</v>
      </c>
      <c r="E1827" t="s">
        <v>8189</v>
      </c>
      <c r="F1827">
        <v>2.5</v>
      </c>
      <c r="H1827" t="s">
        <v>1628</v>
      </c>
      <c r="L1827" t="s">
        <v>1433</v>
      </c>
      <c r="M1827" t="s">
        <v>2958</v>
      </c>
      <c r="N1827" t="s">
        <v>2959</v>
      </c>
      <c r="O1827">
        <v>1</v>
      </c>
    </row>
    <row r="1828" spans="2:15" x14ac:dyDescent="0.2">
      <c r="B1828" t="s">
        <v>1433</v>
      </c>
      <c r="C1828" t="s">
        <v>12898</v>
      </c>
      <c r="D1828" t="s">
        <v>617</v>
      </c>
      <c r="E1828" t="s">
        <v>8190</v>
      </c>
      <c r="F1828">
        <v>4.2</v>
      </c>
      <c r="H1828" t="s">
        <v>1629</v>
      </c>
      <c r="L1828" t="s">
        <v>1433</v>
      </c>
      <c r="M1828" t="s">
        <v>2960</v>
      </c>
      <c r="N1828" t="s">
        <v>2961</v>
      </c>
      <c r="O1828">
        <v>4</v>
      </c>
    </row>
    <row r="1829" spans="2:15" x14ac:dyDescent="0.2">
      <c r="B1829" t="s">
        <v>1433</v>
      </c>
      <c r="C1829" t="s">
        <v>12898</v>
      </c>
      <c r="D1829" t="s">
        <v>613</v>
      </c>
      <c r="E1829" t="s">
        <v>8191</v>
      </c>
      <c r="F1829">
        <v>23.59</v>
      </c>
      <c r="H1829" t="s">
        <v>8192</v>
      </c>
      <c r="L1829" t="s">
        <v>1433</v>
      </c>
      <c r="M1829" t="s">
        <v>2962</v>
      </c>
      <c r="N1829" t="s">
        <v>2961</v>
      </c>
      <c r="O1829">
        <v>2</v>
      </c>
    </row>
    <row r="1830" spans="2:15" x14ac:dyDescent="0.2">
      <c r="B1830" t="s">
        <v>1433</v>
      </c>
      <c r="C1830" t="s">
        <v>12898</v>
      </c>
      <c r="D1830" t="s">
        <v>613</v>
      </c>
      <c r="E1830" t="s">
        <v>8193</v>
      </c>
      <c r="F1830">
        <v>0.96</v>
      </c>
      <c r="H1830" t="s">
        <v>6752</v>
      </c>
      <c r="L1830" t="s">
        <v>1433</v>
      </c>
      <c r="M1830" t="s">
        <v>1565</v>
      </c>
      <c r="N1830" t="s">
        <v>2961</v>
      </c>
      <c r="O1830">
        <v>4</v>
      </c>
    </row>
    <row r="1831" spans="2:15" x14ac:dyDescent="0.2">
      <c r="B1831" t="s">
        <v>1433</v>
      </c>
      <c r="C1831" t="s">
        <v>12898</v>
      </c>
      <c r="D1831" t="s">
        <v>613</v>
      </c>
      <c r="E1831" t="s">
        <v>8194</v>
      </c>
      <c r="F1831">
        <v>4.4000000000000004</v>
      </c>
      <c r="H1831" t="s">
        <v>7013</v>
      </c>
      <c r="L1831" t="s">
        <v>1433</v>
      </c>
      <c r="M1831" t="s">
        <v>2208</v>
      </c>
      <c r="N1831" t="s">
        <v>2961</v>
      </c>
      <c r="O1831">
        <v>8</v>
      </c>
    </row>
    <row r="1832" spans="2:15" x14ac:dyDescent="0.2">
      <c r="B1832" t="s">
        <v>1433</v>
      </c>
      <c r="C1832" t="s">
        <v>12898</v>
      </c>
      <c r="D1832" t="s">
        <v>613</v>
      </c>
      <c r="E1832" t="s">
        <v>8195</v>
      </c>
      <c r="F1832">
        <v>4</v>
      </c>
      <c r="H1832" t="s">
        <v>8196</v>
      </c>
      <c r="L1832" t="s">
        <v>1433</v>
      </c>
      <c r="M1832" t="s">
        <v>2211</v>
      </c>
      <c r="N1832" t="s">
        <v>2961</v>
      </c>
      <c r="O1832">
        <v>8</v>
      </c>
    </row>
    <row r="1833" spans="2:15" x14ac:dyDescent="0.2">
      <c r="B1833" t="s">
        <v>1433</v>
      </c>
      <c r="C1833" t="s">
        <v>12898</v>
      </c>
      <c r="D1833" t="s">
        <v>617</v>
      </c>
      <c r="E1833" t="s">
        <v>8197</v>
      </c>
      <c r="F1833">
        <v>3.08</v>
      </c>
      <c r="H1833" t="s">
        <v>4878</v>
      </c>
      <c r="L1833" t="s">
        <v>1433</v>
      </c>
      <c r="M1833" t="s">
        <v>2963</v>
      </c>
      <c r="N1833" t="s">
        <v>2964</v>
      </c>
      <c r="O1833">
        <v>1</v>
      </c>
    </row>
    <row r="1834" spans="2:15" x14ac:dyDescent="0.2">
      <c r="B1834" t="s">
        <v>1433</v>
      </c>
      <c r="C1834" t="s">
        <v>12898</v>
      </c>
      <c r="D1834" t="s">
        <v>617</v>
      </c>
      <c r="E1834" t="s">
        <v>8198</v>
      </c>
      <c r="F1834">
        <v>14.13</v>
      </c>
      <c r="H1834" t="s">
        <v>6492</v>
      </c>
      <c r="L1834" t="s">
        <v>1433</v>
      </c>
      <c r="M1834" t="s">
        <v>2965</v>
      </c>
      <c r="N1834" t="s">
        <v>2964</v>
      </c>
      <c r="O1834">
        <v>1</v>
      </c>
    </row>
    <row r="1835" spans="2:15" x14ac:dyDescent="0.2">
      <c r="B1835" t="s">
        <v>1433</v>
      </c>
      <c r="C1835" t="s">
        <v>12898</v>
      </c>
      <c r="D1835" t="s">
        <v>617</v>
      </c>
      <c r="E1835" t="s">
        <v>8199</v>
      </c>
      <c r="F1835">
        <v>3.08</v>
      </c>
      <c r="H1835" t="s">
        <v>4878</v>
      </c>
      <c r="L1835" t="s">
        <v>1433</v>
      </c>
      <c r="M1835" t="s">
        <v>1565</v>
      </c>
      <c r="N1835" t="s">
        <v>2964</v>
      </c>
      <c r="O1835">
        <v>2</v>
      </c>
    </row>
    <row r="1836" spans="2:15" x14ac:dyDescent="0.2">
      <c r="B1836" t="s">
        <v>1433</v>
      </c>
      <c r="C1836" t="s">
        <v>12898</v>
      </c>
      <c r="D1836" t="s">
        <v>613</v>
      </c>
      <c r="E1836" t="s">
        <v>8200</v>
      </c>
      <c r="F1836">
        <v>7.2</v>
      </c>
      <c r="H1836" t="s">
        <v>7578</v>
      </c>
      <c r="L1836" t="s">
        <v>1433</v>
      </c>
      <c r="M1836" t="s">
        <v>1569</v>
      </c>
      <c r="N1836" t="s">
        <v>2964</v>
      </c>
      <c r="O1836">
        <v>2</v>
      </c>
    </row>
    <row r="1837" spans="2:15" x14ac:dyDescent="0.2">
      <c r="B1837" t="s">
        <v>1433</v>
      </c>
      <c r="C1837" t="s">
        <v>12898</v>
      </c>
      <c r="D1837" t="s">
        <v>613</v>
      </c>
      <c r="E1837" t="s">
        <v>8201</v>
      </c>
      <c r="F1837">
        <v>0.33</v>
      </c>
      <c r="H1837" t="s">
        <v>7251</v>
      </c>
      <c r="L1837" t="s">
        <v>1433</v>
      </c>
      <c r="M1837" t="s">
        <v>1931</v>
      </c>
      <c r="N1837" t="s">
        <v>2964</v>
      </c>
      <c r="O1837">
        <v>1</v>
      </c>
    </row>
    <row r="1838" spans="2:15" x14ac:dyDescent="0.2">
      <c r="B1838" t="s">
        <v>1433</v>
      </c>
      <c r="C1838" t="s">
        <v>12898</v>
      </c>
      <c r="D1838" t="s">
        <v>617</v>
      </c>
      <c r="E1838" t="s">
        <v>8202</v>
      </c>
      <c r="F1838">
        <v>1.98</v>
      </c>
      <c r="H1838" t="s">
        <v>5897</v>
      </c>
      <c r="L1838" t="s">
        <v>1433</v>
      </c>
      <c r="M1838" t="s">
        <v>1932</v>
      </c>
      <c r="N1838" t="s">
        <v>2964</v>
      </c>
      <c r="O1838">
        <v>1</v>
      </c>
    </row>
    <row r="1839" spans="2:15" x14ac:dyDescent="0.2">
      <c r="B1839" t="s">
        <v>1433</v>
      </c>
      <c r="C1839" t="s">
        <v>12898</v>
      </c>
      <c r="D1839" t="s">
        <v>617</v>
      </c>
      <c r="E1839" t="s">
        <v>8203</v>
      </c>
      <c r="F1839">
        <v>0.78</v>
      </c>
      <c r="H1839" t="s">
        <v>7595</v>
      </c>
      <c r="L1839" t="s">
        <v>1433</v>
      </c>
      <c r="M1839" t="s">
        <v>1933</v>
      </c>
      <c r="N1839" t="s">
        <v>2964</v>
      </c>
      <c r="O1839">
        <v>6</v>
      </c>
    </row>
    <row r="1840" spans="2:15" x14ac:dyDescent="0.2">
      <c r="B1840" t="s">
        <v>1433</v>
      </c>
      <c r="C1840" t="s">
        <v>12898</v>
      </c>
      <c r="D1840" t="s">
        <v>52</v>
      </c>
      <c r="E1840" t="s">
        <v>8204</v>
      </c>
      <c r="F1840">
        <v>9.43</v>
      </c>
      <c r="H1840" t="s">
        <v>7583</v>
      </c>
      <c r="L1840" t="s">
        <v>1433</v>
      </c>
      <c r="M1840" t="s">
        <v>2208</v>
      </c>
      <c r="N1840" t="s">
        <v>2964</v>
      </c>
      <c r="O1840">
        <v>10</v>
      </c>
    </row>
    <row r="1841" spans="2:15" x14ac:dyDescent="0.2">
      <c r="B1841" t="s">
        <v>1433</v>
      </c>
      <c r="C1841" t="s">
        <v>12898</v>
      </c>
      <c r="D1841" t="s">
        <v>617</v>
      </c>
      <c r="E1841" t="s">
        <v>8205</v>
      </c>
      <c r="F1841">
        <v>266.45</v>
      </c>
      <c r="H1841" t="s">
        <v>2307</v>
      </c>
      <c r="L1841" t="s">
        <v>1433</v>
      </c>
      <c r="M1841" t="s">
        <v>2211</v>
      </c>
      <c r="N1841" t="s">
        <v>2964</v>
      </c>
      <c r="O1841">
        <v>8</v>
      </c>
    </row>
    <row r="1842" spans="2:15" x14ac:dyDescent="0.2">
      <c r="B1842" t="s">
        <v>1433</v>
      </c>
      <c r="C1842" t="s">
        <v>12898</v>
      </c>
      <c r="D1842" t="s">
        <v>617</v>
      </c>
      <c r="E1842" t="s">
        <v>8206</v>
      </c>
      <c r="F1842">
        <v>1.5</v>
      </c>
      <c r="H1842" t="s">
        <v>1628</v>
      </c>
      <c r="L1842" t="s">
        <v>1433</v>
      </c>
      <c r="M1842" t="s">
        <v>2960</v>
      </c>
      <c r="N1842" t="s">
        <v>2964</v>
      </c>
      <c r="O1842">
        <v>4</v>
      </c>
    </row>
    <row r="1843" spans="2:15" x14ac:dyDescent="0.2">
      <c r="B1843" t="s">
        <v>1433</v>
      </c>
      <c r="C1843" t="s">
        <v>12898</v>
      </c>
      <c r="D1843" t="s">
        <v>617</v>
      </c>
      <c r="E1843" t="s">
        <v>8207</v>
      </c>
      <c r="F1843">
        <v>5.61</v>
      </c>
      <c r="H1843" t="s">
        <v>6489</v>
      </c>
      <c r="L1843" t="s">
        <v>1433</v>
      </c>
      <c r="M1843" t="s">
        <v>1498</v>
      </c>
      <c r="N1843" t="s">
        <v>2966</v>
      </c>
      <c r="O1843">
        <v>2</v>
      </c>
    </row>
    <row r="1844" spans="2:15" x14ac:dyDescent="0.2">
      <c r="B1844" t="s">
        <v>1433</v>
      </c>
      <c r="C1844" t="s">
        <v>12898</v>
      </c>
      <c r="D1844" t="s">
        <v>617</v>
      </c>
      <c r="E1844" t="s">
        <v>8208</v>
      </c>
      <c r="F1844">
        <v>14.65</v>
      </c>
      <c r="H1844" t="s">
        <v>7926</v>
      </c>
      <c r="L1844" t="s">
        <v>1433</v>
      </c>
      <c r="M1844" t="s">
        <v>2967</v>
      </c>
      <c r="N1844" t="s">
        <v>2968</v>
      </c>
      <c r="O1844">
        <v>4</v>
      </c>
    </row>
    <row r="1845" spans="2:15" x14ac:dyDescent="0.2">
      <c r="B1845" t="s">
        <v>1433</v>
      </c>
      <c r="C1845" t="s">
        <v>12898</v>
      </c>
      <c r="D1845" t="s">
        <v>617</v>
      </c>
      <c r="E1845" t="s">
        <v>8209</v>
      </c>
      <c r="F1845">
        <v>24.57</v>
      </c>
      <c r="H1845" t="s">
        <v>8210</v>
      </c>
      <c r="L1845" t="s">
        <v>1433</v>
      </c>
      <c r="M1845" t="s">
        <v>2969</v>
      </c>
      <c r="N1845" t="s">
        <v>2970</v>
      </c>
      <c r="O1845">
        <v>10</v>
      </c>
    </row>
    <row r="1846" spans="2:15" x14ac:dyDescent="0.2">
      <c r="B1846" t="s">
        <v>1433</v>
      </c>
      <c r="C1846" t="s">
        <v>12898</v>
      </c>
      <c r="D1846" t="s">
        <v>617</v>
      </c>
      <c r="E1846" t="s">
        <v>8211</v>
      </c>
      <c r="F1846">
        <v>4.95</v>
      </c>
      <c r="H1846" t="s">
        <v>5897</v>
      </c>
      <c r="L1846" t="s">
        <v>1433</v>
      </c>
      <c r="M1846" t="s">
        <v>1587</v>
      </c>
      <c r="N1846" t="s">
        <v>2970</v>
      </c>
      <c r="O1846">
        <v>10</v>
      </c>
    </row>
    <row r="1847" spans="2:15" x14ac:dyDescent="0.2">
      <c r="B1847" t="s">
        <v>1433</v>
      </c>
      <c r="C1847" t="s">
        <v>12898</v>
      </c>
      <c r="D1847" t="s">
        <v>617</v>
      </c>
      <c r="E1847" t="s">
        <v>8212</v>
      </c>
      <c r="F1847">
        <v>68.180000000000007</v>
      </c>
      <c r="H1847" t="s">
        <v>5395</v>
      </c>
      <c r="L1847" t="s">
        <v>1433</v>
      </c>
      <c r="M1847" t="s">
        <v>2971</v>
      </c>
      <c r="N1847" t="s">
        <v>2972</v>
      </c>
      <c r="O1847">
        <v>1</v>
      </c>
    </row>
    <row r="1848" spans="2:15" x14ac:dyDescent="0.2">
      <c r="B1848" t="s">
        <v>1433</v>
      </c>
      <c r="C1848" t="s">
        <v>12898</v>
      </c>
      <c r="D1848" t="s">
        <v>613</v>
      </c>
      <c r="E1848" t="s">
        <v>8213</v>
      </c>
      <c r="F1848">
        <v>1.28</v>
      </c>
      <c r="H1848" t="s">
        <v>8214</v>
      </c>
      <c r="L1848" t="s">
        <v>1433</v>
      </c>
      <c r="M1848" t="s">
        <v>2973</v>
      </c>
      <c r="N1848" t="s">
        <v>2972</v>
      </c>
      <c r="O1848">
        <v>1</v>
      </c>
    </row>
    <row r="1849" spans="2:15" x14ac:dyDescent="0.2">
      <c r="B1849" t="s">
        <v>1433</v>
      </c>
      <c r="C1849" t="s">
        <v>12898</v>
      </c>
      <c r="D1849" t="s">
        <v>613</v>
      </c>
      <c r="E1849" t="s">
        <v>8215</v>
      </c>
      <c r="F1849">
        <v>0.64</v>
      </c>
      <c r="H1849" t="s">
        <v>5271</v>
      </c>
      <c r="L1849" t="s">
        <v>1433</v>
      </c>
      <c r="M1849" t="s">
        <v>2974</v>
      </c>
      <c r="N1849" t="s">
        <v>2972</v>
      </c>
      <c r="O1849">
        <v>1</v>
      </c>
    </row>
    <row r="1850" spans="2:15" x14ac:dyDescent="0.2">
      <c r="B1850" t="s">
        <v>1433</v>
      </c>
      <c r="C1850" t="s">
        <v>12898</v>
      </c>
      <c r="D1850" t="s">
        <v>613</v>
      </c>
      <c r="E1850" t="s">
        <v>8216</v>
      </c>
      <c r="F1850">
        <v>1.1299999999999999</v>
      </c>
      <c r="H1850" t="s">
        <v>8217</v>
      </c>
      <c r="L1850" t="s">
        <v>1433</v>
      </c>
      <c r="M1850" t="s">
        <v>2975</v>
      </c>
      <c r="N1850" t="s">
        <v>2976</v>
      </c>
      <c r="O1850">
        <v>1</v>
      </c>
    </row>
    <row r="1851" spans="2:15" x14ac:dyDescent="0.2">
      <c r="B1851" t="s">
        <v>1433</v>
      </c>
      <c r="C1851" t="s">
        <v>12898</v>
      </c>
      <c r="D1851" t="s">
        <v>617</v>
      </c>
      <c r="E1851" t="s">
        <v>8218</v>
      </c>
      <c r="F1851">
        <v>13.6</v>
      </c>
      <c r="H1851" t="s">
        <v>5251</v>
      </c>
      <c r="L1851" t="s">
        <v>1433</v>
      </c>
      <c r="M1851" t="s">
        <v>2977</v>
      </c>
      <c r="N1851" t="s">
        <v>2978</v>
      </c>
      <c r="O1851">
        <v>1</v>
      </c>
    </row>
    <row r="1852" spans="2:15" x14ac:dyDescent="0.2">
      <c r="B1852" t="s">
        <v>1433</v>
      </c>
      <c r="C1852" t="s">
        <v>12898</v>
      </c>
      <c r="D1852" t="s">
        <v>617</v>
      </c>
      <c r="E1852" t="s">
        <v>8219</v>
      </c>
      <c r="F1852">
        <v>2.2000000000000002</v>
      </c>
      <c r="H1852" t="s">
        <v>4878</v>
      </c>
      <c r="L1852" t="s">
        <v>1433</v>
      </c>
      <c r="M1852" t="s">
        <v>2979</v>
      </c>
      <c r="N1852" t="s">
        <v>2978</v>
      </c>
      <c r="O1852">
        <v>1</v>
      </c>
    </row>
    <row r="1853" spans="2:15" x14ac:dyDescent="0.2">
      <c r="B1853" t="s">
        <v>1433</v>
      </c>
      <c r="C1853" t="s">
        <v>12898</v>
      </c>
      <c r="D1853" t="s">
        <v>617</v>
      </c>
      <c r="E1853" t="s">
        <v>8220</v>
      </c>
      <c r="F1853">
        <v>1.4</v>
      </c>
      <c r="H1853" t="s">
        <v>7593</v>
      </c>
      <c r="L1853" t="s">
        <v>1433</v>
      </c>
      <c r="M1853" t="s">
        <v>2980</v>
      </c>
      <c r="N1853" t="s">
        <v>2978</v>
      </c>
      <c r="O1853">
        <v>2</v>
      </c>
    </row>
    <row r="1854" spans="2:15" x14ac:dyDescent="0.2">
      <c r="B1854" t="s">
        <v>1433</v>
      </c>
      <c r="C1854" t="s">
        <v>12898</v>
      </c>
      <c r="D1854" t="s">
        <v>613</v>
      </c>
      <c r="E1854" t="s">
        <v>8221</v>
      </c>
      <c r="F1854">
        <v>2.48</v>
      </c>
      <c r="H1854" t="s">
        <v>8222</v>
      </c>
      <c r="L1854" t="s">
        <v>1433</v>
      </c>
      <c r="M1854" t="s">
        <v>2981</v>
      </c>
      <c r="N1854" t="s">
        <v>2982</v>
      </c>
      <c r="O1854">
        <v>50</v>
      </c>
    </row>
    <row r="1855" spans="2:15" x14ac:dyDescent="0.2">
      <c r="B1855" t="s">
        <v>1433</v>
      </c>
      <c r="C1855" t="s">
        <v>12898</v>
      </c>
      <c r="D1855" t="s">
        <v>617</v>
      </c>
      <c r="E1855" t="s">
        <v>8223</v>
      </c>
      <c r="F1855">
        <v>5.58</v>
      </c>
      <c r="H1855" t="s">
        <v>5075</v>
      </c>
      <c r="L1855" t="s">
        <v>1433</v>
      </c>
      <c r="M1855" t="s">
        <v>2983</v>
      </c>
      <c r="N1855" t="s">
        <v>2982</v>
      </c>
      <c r="O1855">
        <v>50</v>
      </c>
    </row>
    <row r="1856" spans="2:15" x14ac:dyDescent="0.2">
      <c r="B1856" t="s">
        <v>1433</v>
      </c>
      <c r="C1856" t="s">
        <v>12898</v>
      </c>
      <c r="D1856" t="s">
        <v>84</v>
      </c>
      <c r="E1856" t="s">
        <v>8224</v>
      </c>
      <c r="F1856">
        <v>18.05</v>
      </c>
      <c r="H1856" t="s">
        <v>7944</v>
      </c>
      <c r="L1856" t="s">
        <v>1433</v>
      </c>
      <c r="M1856" t="s">
        <v>2984</v>
      </c>
      <c r="N1856" t="s">
        <v>2982</v>
      </c>
      <c r="O1856">
        <v>50</v>
      </c>
    </row>
    <row r="1857" spans="2:15" x14ac:dyDescent="0.2">
      <c r="B1857" t="s">
        <v>1433</v>
      </c>
      <c r="C1857" t="s">
        <v>12898</v>
      </c>
      <c r="D1857" t="s">
        <v>84</v>
      </c>
      <c r="E1857" t="s">
        <v>8225</v>
      </c>
      <c r="F1857">
        <v>3.84</v>
      </c>
      <c r="H1857" t="s">
        <v>7180</v>
      </c>
      <c r="L1857" t="s">
        <v>1433</v>
      </c>
      <c r="M1857" t="s">
        <v>2985</v>
      </c>
      <c r="N1857" t="s">
        <v>2982</v>
      </c>
      <c r="O1857">
        <v>40</v>
      </c>
    </row>
    <row r="1858" spans="2:15" x14ac:dyDescent="0.2">
      <c r="B1858" t="s">
        <v>1433</v>
      </c>
      <c r="C1858" t="s">
        <v>12898</v>
      </c>
      <c r="D1858" t="s">
        <v>613</v>
      </c>
      <c r="E1858" t="s">
        <v>8226</v>
      </c>
      <c r="F1858">
        <v>14.76</v>
      </c>
      <c r="H1858" t="s">
        <v>5242</v>
      </c>
      <c r="L1858" t="s">
        <v>1433</v>
      </c>
      <c r="M1858" t="s">
        <v>2986</v>
      </c>
      <c r="N1858" t="s">
        <v>2987</v>
      </c>
      <c r="O1858">
        <v>1</v>
      </c>
    </row>
    <row r="1859" spans="2:15" x14ac:dyDescent="0.2">
      <c r="B1859" t="s">
        <v>1433</v>
      </c>
      <c r="C1859" t="s">
        <v>12898</v>
      </c>
      <c r="D1859" t="s">
        <v>617</v>
      </c>
      <c r="E1859" t="s">
        <v>8227</v>
      </c>
      <c r="F1859">
        <v>19.52</v>
      </c>
      <c r="H1859" t="s">
        <v>7619</v>
      </c>
      <c r="L1859" t="s">
        <v>1433</v>
      </c>
      <c r="M1859" t="s">
        <v>2988</v>
      </c>
      <c r="N1859" t="s">
        <v>2989</v>
      </c>
      <c r="O1859">
        <v>4</v>
      </c>
    </row>
    <row r="1860" spans="2:15" x14ac:dyDescent="0.2">
      <c r="B1860" t="s">
        <v>1433</v>
      </c>
      <c r="C1860" t="s">
        <v>12898</v>
      </c>
      <c r="D1860" t="s">
        <v>84</v>
      </c>
      <c r="E1860" t="s">
        <v>8228</v>
      </c>
      <c r="F1860">
        <v>18.05</v>
      </c>
      <c r="H1860" t="s">
        <v>7944</v>
      </c>
      <c r="L1860" t="s">
        <v>1433</v>
      </c>
      <c r="M1860" t="s">
        <v>2990</v>
      </c>
      <c r="N1860" t="s">
        <v>2991</v>
      </c>
      <c r="O1860">
        <v>1</v>
      </c>
    </row>
    <row r="1861" spans="2:15" x14ac:dyDescent="0.2">
      <c r="B1861" t="s">
        <v>1433</v>
      </c>
      <c r="C1861" t="s">
        <v>12898</v>
      </c>
      <c r="D1861" t="s">
        <v>617</v>
      </c>
      <c r="E1861" t="s">
        <v>8229</v>
      </c>
      <c r="F1861">
        <v>0.22</v>
      </c>
      <c r="H1861" t="s">
        <v>4878</v>
      </c>
      <c r="L1861" t="s">
        <v>1433</v>
      </c>
      <c r="M1861" t="s">
        <v>2992</v>
      </c>
      <c r="N1861" t="s">
        <v>2991</v>
      </c>
      <c r="O1861">
        <v>1</v>
      </c>
    </row>
    <row r="1862" spans="2:15" x14ac:dyDescent="0.2">
      <c r="B1862" t="s">
        <v>1433</v>
      </c>
      <c r="C1862" t="s">
        <v>12898</v>
      </c>
      <c r="D1862" t="s">
        <v>617</v>
      </c>
      <c r="E1862" t="s">
        <v>8230</v>
      </c>
      <c r="F1862">
        <v>2.83</v>
      </c>
      <c r="H1862" t="s">
        <v>6492</v>
      </c>
      <c r="L1862" t="s">
        <v>1433</v>
      </c>
      <c r="M1862" t="s">
        <v>1533</v>
      </c>
      <c r="N1862" t="s">
        <v>2993</v>
      </c>
      <c r="O1862">
        <v>2</v>
      </c>
    </row>
    <row r="1863" spans="2:15" x14ac:dyDescent="0.2">
      <c r="B1863" t="s">
        <v>1433</v>
      </c>
      <c r="C1863" t="s">
        <v>12898</v>
      </c>
      <c r="D1863" t="s">
        <v>617</v>
      </c>
      <c r="E1863" t="s">
        <v>8231</v>
      </c>
      <c r="F1863">
        <v>9.02</v>
      </c>
      <c r="H1863" t="s">
        <v>6103</v>
      </c>
      <c r="L1863" t="s">
        <v>1433</v>
      </c>
      <c r="M1863" t="s">
        <v>1908</v>
      </c>
      <c r="N1863" t="s">
        <v>2993</v>
      </c>
      <c r="O1863">
        <v>4</v>
      </c>
    </row>
    <row r="1864" spans="2:15" x14ac:dyDescent="0.2">
      <c r="B1864" t="s">
        <v>1433</v>
      </c>
      <c r="C1864" t="s">
        <v>12898</v>
      </c>
      <c r="D1864" t="s">
        <v>617</v>
      </c>
      <c r="E1864" t="s">
        <v>8232</v>
      </c>
      <c r="F1864">
        <v>7.2</v>
      </c>
      <c r="H1864" t="s">
        <v>5255</v>
      </c>
      <c r="L1864" t="s">
        <v>1433</v>
      </c>
      <c r="M1864" t="s">
        <v>2994</v>
      </c>
      <c r="N1864" t="s">
        <v>2995</v>
      </c>
      <c r="O1864">
        <v>1</v>
      </c>
    </row>
    <row r="1865" spans="2:15" x14ac:dyDescent="0.2">
      <c r="B1865" t="s">
        <v>1433</v>
      </c>
      <c r="C1865" t="s">
        <v>12898</v>
      </c>
      <c r="D1865" t="s">
        <v>617</v>
      </c>
      <c r="E1865" t="s">
        <v>8233</v>
      </c>
      <c r="F1865">
        <v>2.79</v>
      </c>
      <c r="H1865" t="s">
        <v>5075</v>
      </c>
      <c r="L1865" t="s">
        <v>1433</v>
      </c>
      <c r="M1865" t="s">
        <v>2996</v>
      </c>
      <c r="N1865" t="s">
        <v>2995</v>
      </c>
      <c r="O1865">
        <v>1</v>
      </c>
    </row>
    <row r="1866" spans="2:15" x14ac:dyDescent="0.2">
      <c r="B1866" t="s">
        <v>1433</v>
      </c>
      <c r="C1866" t="s">
        <v>12898</v>
      </c>
      <c r="D1866" t="s">
        <v>617</v>
      </c>
      <c r="E1866" t="s">
        <v>8234</v>
      </c>
      <c r="F1866">
        <v>142.56</v>
      </c>
      <c r="H1866" t="s">
        <v>1624</v>
      </c>
      <c r="L1866" t="s">
        <v>1433</v>
      </c>
      <c r="M1866" t="s">
        <v>2997</v>
      </c>
      <c r="N1866" t="s">
        <v>2998</v>
      </c>
      <c r="O1866">
        <v>1</v>
      </c>
    </row>
    <row r="1867" spans="2:15" x14ac:dyDescent="0.2">
      <c r="B1867" t="s">
        <v>1433</v>
      </c>
      <c r="C1867" t="s">
        <v>12898</v>
      </c>
      <c r="D1867" t="s">
        <v>613</v>
      </c>
      <c r="E1867" t="s">
        <v>8235</v>
      </c>
      <c r="F1867">
        <v>0.2</v>
      </c>
      <c r="H1867" t="s">
        <v>5271</v>
      </c>
      <c r="L1867" t="s">
        <v>1433</v>
      </c>
      <c r="M1867" t="s">
        <v>2999</v>
      </c>
      <c r="N1867" t="s">
        <v>2998</v>
      </c>
      <c r="O1867">
        <v>1</v>
      </c>
    </row>
    <row r="1868" spans="2:15" x14ac:dyDescent="0.2">
      <c r="B1868" t="s">
        <v>1433</v>
      </c>
      <c r="C1868" t="s">
        <v>12898</v>
      </c>
      <c r="D1868" t="s">
        <v>613</v>
      </c>
      <c r="E1868" t="s">
        <v>8236</v>
      </c>
      <c r="F1868">
        <v>1.1000000000000001</v>
      </c>
      <c r="H1868" t="s">
        <v>2513</v>
      </c>
      <c r="L1868" t="s">
        <v>1433</v>
      </c>
      <c r="M1868" t="s">
        <v>3000</v>
      </c>
      <c r="N1868" t="s">
        <v>2998</v>
      </c>
      <c r="O1868">
        <v>1</v>
      </c>
    </row>
    <row r="1869" spans="2:15" x14ac:dyDescent="0.2">
      <c r="B1869" t="s">
        <v>1433</v>
      </c>
      <c r="C1869" t="s">
        <v>12898</v>
      </c>
      <c r="D1869" t="s">
        <v>617</v>
      </c>
      <c r="E1869" t="s">
        <v>8237</v>
      </c>
      <c r="F1869">
        <v>2.93</v>
      </c>
      <c r="H1869" t="s">
        <v>7926</v>
      </c>
      <c r="L1869" t="s">
        <v>1433</v>
      </c>
      <c r="M1869" t="s">
        <v>3001</v>
      </c>
      <c r="N1869" t="s">
        <v>2998</v>
      </c>
      <c r="O1869">
        <v>1</v>
      </c>
    </row>
    <row r="1870" spans="2:15" x14ac:dyDescent="0.2">
      <c r="B1870" t="s">
        <v>1433</v>
      </c>
      <c r="C1870" t="s">
        <v>12898</v>
      </c>
      <c r="D1870" t="s">
        <v>617</v>
      </c>
      <c r="E1870" t="s">
        <v>8238</v>
      </c>
      <c r="F1870">
        <v>1.41</v>
      </c>
      <c r="H1870" t="s">
        <v>6492</v>
      </c>
      <c r="L1870" t="s">
        <v>1433</v>
      </c>
      <c r="M1870" t="s">
        <v>3002</v>
      </c>
      <c r="N1870" t="s">
        <v>2998</v>
      </c>
      <c r="O1870">
        <v>1</v>
      </c>
    </row>
    <row r="1871" spans="2:15" x14ac:dyDescent="0.2">
      <c r="B1871" t="s">
        <v>1433</v>
      </c>
      <c r="C1871" t="s">
        <v>12898</v>
      </c>
      <c r="D1871" t="s">
        <v>617</v>
      </c>
      <c r="E1871" t="s">
        <v>8239</v>
      </c>
      <c r="F1871">
        <v>1.8</v>
      </c>
      <c r="H1871" t="s">
        <v>6103</v>
      </c>
      <c r="L1871" t="s">
        <v>1433</v>
      </c>
      <c r="M1871" t="s">
        <v>3003</v>
      </c>
      <c r="N1871" t="s">
        <v>2998</v>
      </c>
      <c r="O1871">
        <v>1</v>
      </c>
    </row>
    <row r="1872" spans="2:15" x14ac:dyDescent="0.2">
      <c r="B1872" t="s">
        <v>1433</v>
      </c>
      <c r="C1872" t="s">
        <v>12898</v>
      </c>
      <c r="D1872" t="s">
        <v>617</v>
      </c>
      <c r="E1872" t="s">
        <v>8240</v>
      </c>
      <c r="F1872">
        <v>4.6399999999999997</v>
      </c>
      <c r="H1872" t="s">
        <v>6577</v>
      </c>
      <c r="L1872" t="s">
        <v>1433</v>
      </c>
      <c r="M1872" t="s">
        <v>3004</v>
      </c>
      <c r="N1872" t="s">
        <v>2998</v>
      </c>
      <c r="O1872">
        <v>1</v>
      </c>
    </row>
    <row r="1873" spans="2:15" x14ac:dyDescent="0.2">
      <c r="B1873" t="s">
        <v>1433</v>
      </c>
      <c r="C1873" t="s">
        <v>12898</v>
      </c>
      <c r="D1873" t="s">
        <v>617</v>
      </c>
      <c r="E1873" t="s">
        <v>8241</v>
      </c>
      <c r="F1873">
        <v>21.2</v>
      </c>
      <c r="H1873" t="s">
        <v>6434</v>
      </c>
      <c r="L1873" t="s">
        <v>1433</v>
      </c>
      <c r="M1873" t="s">
        <v>3005</v>
      </c>
      <c r="N1873" t="s">
        <v>3006</v>
      </c>
      <c r="O1873">
        <v>10</v>
      </c>
    </row>
    <row r="1874" spans="2:15" x14ac:dyDescent="0.2">
      <c r="B1874" t="s">
        <v>1433</v>
      </c>
      <c r="C1874" t="s">
        <v>12898</v>
      </c>
      <c r="D1874" t="s">
        <v>617</v>
      </c>
      <c r="E1874" t="s">
        <v>8242</v>
      </c>
      <c r="F1874">
        <v>11</v>
      </c>
      <c r="H1874" t="s">
        <v>6105</v>
      </c>
      <c r="L1874" t="s">
        <v>1433</v>
      </c>
      <c r="M1874" t="s">
        <v>3007</v>
      </c>
      <c r="N1874" t="s">
        <v>3008</v>
      </c>
      <c r="O1874">
        <v>1</v>
      </c>
    </row>
    <row r="1875" spans="2:15" x14ac:dyDescent="0.2">
      <c r="B1875" t="s">
        <v>1433</v>
      </c>
      <c r="C1875" t="s">
        <v>12898</v>
      </c>
      <c r="D1875" t="s">
        <v>617</v>
      </c>
      <c r="E1875" t="s">
        <v>8243</v>
      </c>
      <c r="F1875">
        <v>3.53</v>
      </c>
      <c r="H1875" t="s">
        <v>2698</v>
      </c>
      <c r="L1875" t="s">
        <v>1433</v>
      </c>
      <c r="M1875" t="s">
        <v>3009</v>
      </c>
      <c r="N1875" t="s">
        <v>3010</v>
      </c>
      <c r="O1875">
        <v>1</v>
      </c>
    </row>
    <row r="1876" spans="2:15" x14ac:dyDescent="0.2">
      <c r="B1876" t="s">
        <v>1433</v>
      </c>
      <c r="C1876" t="s">
        <v>12898</v>
      </c>
      <c r="D1876" t="s">
        <v>613</v>
      </c>
      <c r="E1876" t="s">
        <v>8244</v>
      </c>
      <c r="F1876">
        <v>1.2</v>
      </c>
      <c r="H1876" t="s">
        <v>8196</v>
      </c>
      <c r="L1876" t="s">
        <v>1433</v>
      </c>
      <c r="M1876" t="s">
        <v>3011</v>
      </c>
      <c r="N1876" t="s">
        <v>3010</v>
      </c>
      <c r="O1876">
        <v>1</v>
      </c>
    </row>
    <row r="1877" spans="2:15" x14ac:dyDescent="0.2">
      <c r="B1877" t="s">
        <v>1433</v>
      </c>
      <c r="C1877" t="s">
        <v>12898</v>
      </c>
      <c r="D1877" t="s">
        <v>554</v>
      </c>
      <c r="E1877" t="s">
        <v>8245</v>
      </c>
      <c r="F1877">
        <v>24.9</v>
      </c>
      <c r="H1877" t="s">
        <v>6377</v>
      </c>
      <c r="L1877" t="s">
        <v>1433</v>
      </c>
      <c r="M1877" t="s">
        <v>1687</v>
      </c>
      <c r="N1877" t="s">
        <v>3012</v>
      </c>
      <c r="O1877">
        <v>20</v>
      </c>
    </row>
    <row r="1878" spans="2:15" x14ac:dyDescent="0.2">
      <c r="B1878" t="s">
        <v>1433</v>
      </c>
      <c r="C1878" t="s">
        <v>12898</v>
      </c>
      <c r="D1878" t="s">
        <v>617</v>
      </c>
      <c r="E1878" t="s">
        <v>8246</v>
      </c>
      <c r="F1878">
        <v>3.24</v>
      </c>
      <c r="H1878" t="s">
        <v>3364</v>
      </c>
      <c r="L1878" t="s">
        <v>1433</v>
      </c>
      <c r="M1878" t="s">
        <v>3013</v>
      </c>
      <c r="N1878" t="s">
        <v>1247</v>
      </c>
      <c r="O1878">
        <v>1</v>
      </c>
    </row>
    <row r="1879" spans="2:15" x14ac:dyDescent="0.2">
      <c r="B1879" t="s">
        <v>1433</v>
      </c>
      <c r="C1879" t="s">
        <v>12898</v>
      </c>
      <c r="D1879" t="s">
        <v>613</v>
      </c>
      <c r="E1879" t="s">
        <v>8247</v>
      </c>
      <c r="F1879">
        <v>18.440000000000001</v>
      </c>
      <c r="H1879" t="s">
        <v>5242</v>
      </c>
      <c r="L1879" t="s">
        <v>1433</v>
      </c>
      <c r="M1879" t="s">
        <v>3014</v>
      </c>
      <c r="N1879" t="s">
        <v>3015</v>
      </c>
      <c r="O1879">
        <v>100</v>
      </c>
    </row>
    <row r="1880" spans="2:15" x14ac:dyDescent="0.2">
      <c r="B1880" t="s">
        <v>1433</v>
      </c>
      <c r="C1880" t="s">
        <v>12898</v>
      </c>
      <c r="D1880" t="s">
        <v>554</v>
      </c>
      <c r="E1880" t="s">
        <v>8248</v>
      </c>
      <c r="F1880">
        <v>88.62</v>
      </c>
      <c r="H1880" t="s">
        <v>7958</v>
      </c>
      <c r="L1880" t="s">
        <v>1433</v>
      </c>
      <c r="M1880" t="s">
        <v>3016</v>
      </c>
      <c r="N1880" t="s">
        <v>3017</v>
      </c>
      <c r="O1880">
        <v>6</v>
      </c>
    </row>
    <row r="1881" spans="2:15" x14ac:dyDescent="0.2">
      <c r="B1881" t="s">
        <v>1433</v>
      </c>
      <c r="C1881" t="s">
        <v>12898</v>
      </c>
      <c r="D1881" t="s">
        <v>613</v>
      </c>
      <c r="E1881" t="s">
        <v>8249</v>
      </c>
      <c r="F1881">
        <v>1.26</v>
      </c>
      <c r="H1881" t="s">
        <v>8250</v>
      </c>
      <c r="L1881" t="s">
        <v>1433</v>
      </c>
      <c r="M1881" t="s">
        <v>3018</v>
      </c>
      <c r="N1881" t="s">
        <v>3019</v>
      </c>
      <c r="O1881">
        <v>1</v>
      </c>
    </row>
    <row r="1882" spans="2:15" x14ac:dyDescent="0.2">
      <c r="B1882" t="s">
        <v>1433</v>
      </c>
      <c r="C1882" t="s">
        <v>12898</v>
      </c>
      <c r="D1882" t="s">
        <v>84</v>
      </c>
      <c r="E1882" t="s">
        <v>8251</v>
      </c>
      <c r="F1882">
        <v>19.86</v>
      </c>
      <c r="H1882" t="s">
        <v>7944</v>
      </c>
      <c r="L1882" t="s">
        <v>1433</v>
      </c>
      <c r="M1882" t="s">
        <v>2967</v>
      </c>
      <c r="N1882" t="s">
        <v>3020</v>
      </c>
      <c r="O1882">
        <v>3</v>
      </c>
    </row>
    <row r="1883" spans="2:15" x14ac:dyDescent="0.2">
      <c r="B1883" t="s">
        <v>1433</v>
      </c>
      <c r="C1883" t="s">
        <v>12898</v>
      </c>
      <c r="D1883" t="s">
        <v>613</v>
      </c>
      <c r="E1883" t="s">
        <v>8252</v>
      </c>
      <c r="F1883">
        <v>1.02</v>
      </c>
      <c r="H1883" t="s">
        <v>5271</v>
      </c>
      <c r="L1883" t="s">
        <v>1433</v>
      </c>
      <c r="M1883" t="s">
        <v>3021</v>
      </c>
      <c r="N1883" t="s">
        <v>3022</v>
      </c>
      <c r="O1883">
        <v>5</v>
      </c>
    </row>
    <row r="1884" spans="2:15" x14ac:dyDescent="0.2">
      <c r="B1884" t="s">
        <v>1433</v>
      </c>
      <c r="C1884" t="s">
        <v>12898</v>
      </c>
      <c r="D1884" t="s">
        <v>617</v>
      </c>
      <c r="E1884" t="s">
        <v>8253</v>
      </c>
      <c r="F1884">
        <v>28.05</v>
      </c>
      <c r="H1884" t="s">
        <v>6489</v>
      </c>
      <c r="L1884" t="s">
        <v>1433</v>
      </c>
      <c r="M1884" t="s">
        <v>2148</v>
      </c>
      <c r="N1884" t="s">
        <v>3022</v>
      </c>
      <c r="O1884">
        <v>30</v>
      </c>
    </row>
    <row r="1885" spans="2:15" x14ac:dyDescent="0.2">
      <c r="B1885" t="s">
        <v>1433</v>
      </c>
      <c r="C1885" t="s">
        <v>12898</v>
      </c>
      <c r="D1885" t="s">
        <v>617</v>
      </c>
      <c r="E1885" t="s">
        <v>8254</v>
      </c>
      <c r="F1885">
        <v>19.52</v>
      </c>
      <c r="H1885" t="s">
        <v>7619</v>
      </c>
      <c r="L1885" t="s">
        <v>1433</v>
      </c>
      <c r="M1885" t="s">
        <v>3023</v>
      </c>
      <c r="N1885" t="s">
        <v>3024</v>
      </c>
      <c r="O1885">
        <v>1</v>
      </c>
    </row>
    <row r="1886" spans="2:15" x14ac:dyDescent="0.2">
      <c r="B1886" t="s">
        <v>1433</v>
      </c>
      <c r="C1886" t="s">
        <v>12898</v>
      </c>
      <c r="D1886" t="s">
        <v>617</v>
      </c>
      <c r="E1886" t="s">
        <v>8255</v>
      </c>
      <c r="F1886">
        <v>0.66</v>
      </c>
      <c r="H1886" t="s">
        <v>5897</v>
      </c>
      <c r="L1886" t="s">
        <v>1433</v>
      </c>
      <c r="M1886" t="s">
        <v>3025</v>
      </c>
      <c r="N1886" t="s">
        <v>3024</v>
      </c>
      <c r="O1886">
        <v>1</v>
      </c>
    </row>
    <row r="1887" spans="2:15" x14ac:dyDescent="0.2">
      <c r="B1887" t="s">
        <v>1433</v>
      </c>
      <c r="C1887" t="s">
        <v>12898</v>
      </c>
      <c r="D1887" t="s">
        <v>617</v>
      </c>
      <c r="E1887" t="s">
        <v>8256</v>
      </c>
      <c r="F1887">
        <v>0.26</v>
      </c>
      <c r="H1887" t="s">
        <v>7595</v>
      </c>
      <c r="L1887" t="s">
        <v>1433</v>
      </c>
      <c r="M1887" t="s">
        <v>1746</v>
      </c>
      <c r="N1887" t="s">
        <v>3026</v>
      </c>
      <c r="O1887">
        <v>200</v>
      </c>
    </row>
    <row r="1888" spans="2:15" x14ac:dyDescent="0.2">
      <c r="B1888" t="s">
        <v>1433</v>
      </c>
      <c r="C1888" t="s">
        <v>12898</v>
      </c>
      <c r="D1888" t="s">
        <v>617</v>
      </c>
      <c r="E1888" t="s">
        <v>8257</v>
      </c>
      <c r="F1888">
        <v>6.5</v>
      </c>
      <c r="H1888" t="s">
        <v>7637</v>
      </c>
      <c r="L1888" t="s">
        <v>1433</v>
      </c>
      <c r="M1888" t="s">
        <v>3027</v>
      </c>
      <c r="N1888" t="s">
        <v>3028</v>
      </c>
      <c r="O1888">
        <v>20</v>
      </c>
    </row>
    <row r="1889" spans="2:15" x14ac:dyDescent="0.2">
      <c r="B1889" t="s">
        <v>1433</v>
      </c>
      <c r="C1889" t="s">
        <v>12898</v>
      </c>
      <c r="D1889" t="s">
        <v>617</v>
      </c>
      <c r="E1889" t="s">
        <v>8258</v>
      </c>
      <c r="F1889">
        <v>7.8</v>
      </c>
      <c r="H1889" t="s">
        <v>8259</v>
      </c>
      <c r="L1889" t="s">
        <v>1433</v>
      </c>
      <c r="M1889" t="s">
        <v>3029</v>
      </c>
      <c r="N1889" t="s">
        <v>3030</v>
      </c>
      <c r="O1889">
        <v>1</v>
      </c>
    </row>
    <row r="1890" spans="2:15" x14ac:dyDescent="0.2">
      <c r="B1890" t="s">
        <v>1433</v>
      </c>
      <c r="C1890" t="s">
        <v>12898</v>
      </c>
      <c r="D1890" t="s">
        <v>617</v>
      </c>
      <c r="E1890" t="s">
        <v>8260</v>
      </c>
      <c r="F1890">
        <v>0.72</v>
      </c>
      <c r="H1890" t="s">
        <v>5255</v>
      </c>
      <c r="L1890" t="s">
        <v>1433</v>
      </c>
      <c r="M1890" t="s">
        <v>1243</v>
      </c>
      <c r="N1890" t="s">
        <v>3031</v>
      </c>
      <c r="O1890">
        <v>30</v>
      </c>
    </row>
    <row r="1891" spans="2:15" x14ac:dyDescent="0.2">
      <c r="B1891" t="s">
        <v>1433</v>
      </c>
      <c r="C1891" t="s">
        <v>12898</v>
      </c>
      <c r="D1891" t="s">
        <v>617</v>
      </c>
      <c r="E1891" t="s">
        <v>8261</v>
      </c>
      <c r="F1891">
        <v>14.64</v>
      </c>
      <c r="H1891" t="s">
        <v>7619</v>
      </c>
      <c r="L1891" t="s">
        <v>1433</v>
      </c>
      <c r="M1891" t="s">
        <v>1245</v>
      </c>
      <c r="N1891" t="s">
        <v>3031</v>
      </c>
      <c r="O1891">
        <v>30</v>
      </c>
    </row>
    <row r="1892" spans="2:15" x14ac:dyDescent="0.2">
      <c r="B1892" t="s">
        <v>1433</v>
      </c>
      <c r="C1892" t="s">
        <v>12898</v>
      </c>
      <c r="D1892" t="s">
        <v>617</v>
      </c>
      <c r="E1892" t="s">
        <v>8262</v>
      </c>
      <c r="F1892">
        <v>42.08</v>
      </c>
      <c r="H1892" t="s">
        <v>6489</v>
      </c>
      <c r="L1892" t="s">
        <v>1433</v>
      </c>
      <c r="M1892" t="s">
        <v>3032</v>
      </c>
      <c r="N1892" t="s">
        <v>3033</v>
      </c>
      <c r="O1892">
        <v>1</v>
      </c>
    </row>
    <row r="1893" spans="2:15" x14ac:dyDescent="0.2">
      <c r="B1893" t="s">
        <v>1433</v>
      </c>
      <c r="C1893" t="s">
        <v>12898</v>
      </c>
      <c r="D1893" t="s">
        <v>617</v>
      </c>
      <c r="E1893" t="s">
        <v>8263</v>
      </c>
      <c r="F1893">
        <v>67.98</v>
      </c>
      <c r="H1893" t="s">
        <v>5251</v>
      </c>
      <c r="L1893" t="s">
        <v>1433</v>
      </c>
      <c r="M1893" t="s">
        <v>3034</v>
      </c>
      <c r="N1893" t="s">
        <v>3035</v>
      </c>
      <c r="O1893">
        <v>1</v>
      </c>
    </row>
    <row r="1894" spans="2:15" x14ac:dyDescent="0.2">
      <c r="B1894" t="s">
        <v>1433</v>
      </c>
      <c r="C1894" t="s">
        <v>12898</v>
      </c>
      <c r="D1894" t="s">
        <v>617</v>
      </c>
      <c r="E1894" t="s">
        <v>8264</v>
      </c>
      <c r="F1894">
        <v>1.5</v>
      </c>
      <c r="H1894" t="s">
        <v>8187</v>
      </c>
      <c r="L1894" t="s">
        <v>1433</v>
      </c>
      <c r="M1894" t="s">
        <v>3036</v>
      </c>
      <c r="N1894" t="s">
        <v>3035</v>
      </c>
      <c r="O1894">
        <v>1</v>
      </c>
    </row>
    <row r="1895" spans="2:15" x14ac:dyDescent="0.2">
      <c r="B1895" t="s">
        <v>1433</v>
      </c>
      <c r="C1895" t="s">
        <v>12898</v>
      </c>
      <c r="D1895" t="s">
        <v>617</v>
      </c>
      <c r="E1895" t="s">
        <v>8265</v>
      </c>
      <c r="F1895">
        <v>1.44</v>
      </c>
      <c r="H1895" t="s">
        <v>5255</v>
      </c>
      <c r="L1895" t="s">
        <v>1433</v>
      </c>
      <c r="M1895" t="s">
        <v>3037</v>
      </c>
      <c r="N1895" t="s">
        <v>3038</v>
      </c>
      <c r="O1895">
        <v>1</v>
      </c>
    </row>
    <row r="1896" spans="2:15" x14ac:dyDescent="0.2">
      <c r="B1896" t="s">
        <v>1433</v>
      </c>
      <c r="C1896" t="s">
        <v>12898</v>
      </c>
      <c r="D1896" t="s">
        <v>617</v>
      </c>
      <c r="E1896" t="s">
        <v>8266</v>
      </c>
      <c r="F1896">
        <v>1.1000000000000001</v>
      </c>
      <c r="H1896" t="s">
        <v>7915</v>
      </c>
      <c r="L1896" t="s">
        <v>1433</v>
      </c>
      <c r="M1896" t="s">
        <v>3039</v>
      </c>
      <c r="N1896" t="s">
        <v>3038</v>
      </c>
      <c r="O1896">
        <v>1</v>
      </c>
    </row>
    <row r="1897" spans="2:15" x14ac:dyDescent="0.2">
      <c r="B1897" t="s">
        <v>1433</v>
      </c>
      <c r="C1897" t="s">
        <v>12898</v>
      </c>
      <c r="D1897" t="s">
        <v>617</v>
      </c>
      <c r="E1897" t="s">
        <v>8267</v>
      </c>
      <c r="F1897">
        <v>2.79</v>
      </c>
      <c r="H1897" t="s">
        <v>5075</v>
      </c>
      <c r="L1897" t="s">
        <v>1433</v>
      </c>
      <c r="M1897" t="s">
        <v>3040</v>
      </c>
      <c r="N1897" t="s">
        <v>3038</v>
      </c>
      <c r="O1897">
        <v>1</v>
      </c>
    </row>
    <row r="1898" spans="2:15" x14ac:dyDescent="0.2">
      <c r="B1898" t="s">
        <v>1433</v>
      </c>
      <c r="C1898" t="s">
        <v>12898</v>
      </c>
      <c r="D1898" t="s">
        <v>617</v>
      </c>
      <c r="E1898" t="s">
        <v>8268</v>
      </c>
      <c r="F1898">
        <v>4.5599999999999996</v>
      </c>
      <c r="H1898" t="s">
        <v>8269</v>
      </c>
      <c r="L1898" t="s">
        <v>1433</v>
      </c>
      <c r="M1898" t="s">
        <v>3041</v>
      </c>
      <c r="N1898" t="s">
        <v>3038</v>
      </c>
      <c r="O1898">
        <v>1</v>
      </c>
    </row>
    <row r="1899" spans="2:15" x14ac:dyDescent="0.2">
      <c r="B1899" t="s">
        <v>1433</v>
      </c>
      <c r="C1899" t="s">
        <v>12898</v>
      </c>
      <c r="D1899" t="s">
        <v>617</v>
      </c>
      <c r="E1899" t="s">
        <v>8270</v>
      </c>
      <c r="F1899">
        <v>22.68</v>
      </c>
      <c r="H1899" t="s">
        <v>1627</v>
      </c>
      <c r="L1899" t="s">
        <v>1433</v>
      </c>
      <c r="M1899" t="s">
        <v>3042</v>
      </c>
      <c r="N1899" t="s">
        <v>3038</v>
      </c>
      <c r="O1899">
        <v>1</v>
      </c>
    </row>
    <row r="1900" spans="2:15" x14ac:dyDescent="0.2">
      <c r="B1900" t="s">
        <v>1433</v>
      </c>
      <c r="C1900" t="s">
        <v>12898</v>
      </c>
      <c r="D1900" t="s">
        <v>617</v>
      </c>
      <c r="E1900" t="s">
        <v>8271</v>
      </c>
      <c r="F1900">
        <v>1.4</v>
      </c>
      <c r="H1900" t="s">
        <v>1629</v>
      </c>
      <c r="L1900" t="s">
        <v>1433</v>
      </c>
      <c r="M1900" t="s">
        <v>3043</v>
      </c>
      <c r="N1900" t="s">
        <v>3038</v>
      </c>
      <c r="O1900">
        <v>1</v>
      </c>
    </row>
    <row r="1901" spans="2:15" x14ac:dyDescent="0.2">
      <c r="B1901" t="s">
        <v>1433</v>
      </c>
      <c r="C1901" t="s">
        <v>12898</v>
      </c>
      <c r="D1901" t="s">
        <v>617</v>
      </c>
      <c r="E1901" t="s">
        <v>8272</v>
      </c>
      <c r="F1901">
        <v>14.13</v>
      </c>
      <c r="H1901" t="s">
        <v>6492</v>
      </c>
      <c r="L1901" t="s">
        <v>1433</v>
      </c>
      <c r="M1901" t="s">
        <v>2087</v>
      </c>
      <c r="N1901" t="s">
        <v>3044</v>
      </c>
      <c r="O1901">
        <v>368</v>
      </c>
    </row>
    <row r="1902" spans="2:15" x14ac:dyDescent="0.2">
      <c r="B1902" t="s">
        <v>1433</v>
      </c>
      <c r="C1902" t="s">
        <v>12898</v>
      </c>
      <c r="D1902" t="s">
        <v>617</v>
      </c>
      <c r="E1902" t="s">
        <v>8273</v>
      </c>
      <c r="F1902">
        <v>11</v>
      </c>
      <c r="H1902" t="s">
        <v>8274</v>
      </c>
      <c r="L1902" t="s">
        <v>1433</v>
      </c>
      <c r="M1902" t="s">
        <v>3045</v>
      </c>
      <c r="N1902" t="s">
        <v>3046</v>
      </c>
      <c r="O1902">
        <v>1</v>
      </c>
    </row>
    <row r="1903" spans="2:15" x14ac:dyDescent="0.2">
      <c r="B1903" t="s">
        <v>1433</v>
      </c>
      <c r="C1903" t="s">
        <v>12898</v>
      </c>
      <c r="D1903" t="s">
        <v>617</v>
      </c>
      <c r="E1903" t="s">
        <v>8275</v>
      </c>
      <c r="F1903">
        <v>5.86</v>
      </c>
      <c r="H1903" t="s">
        <v>7926</v>
      </c>
      <c r="L1903" t="s">
        <v>1433</v>
      </c>
      <c r="M1903" t="s">
        <v>3047</v>
      </c>
      <c r="N1903" t="s">
        <v>3048</v>
      </c>
      <c r="O1903">
        <v>12</v>
      </c>
    </row>
    <row r="1904" spans="2:15" x14ac:dyDescent="0.2">
      <c r="B1904" t="s">
        <v>1433</v>
      </c>
      <c r="C1904" t="s">
        <v>12898</v>
      </c>
      <c r="D1904" t="s">
        <v>617</v>
      </c>
      <c r="E1904" t="s">
        <v>8276</v>
      </c>
      <c r="F1904">
        <v>9.02</v>
      </c>
      <c r="H1904" t="s">
        <v>6103</v>
      </c>
      <c r="L1904" t="s">
        <v>1433</v>
      </c>
      <c r="M1904" t="s">
        <v>1512</v>
      </c>
      <c r="N1904" t="s">
        <v>3049</v>
      </c>
      <c r="O1904">
        <v>4</v>
      </c>
    </row>
    <row r="1905" spans="2:15" x14ac:dyDescent="0.2">
      <c r="B1905" t="s">
        <v>1433</v>
      </c>
      <c r="C1905" t="s">
        <v>12898</v>
      </c>
      <c r="D1905" t="s">
        <v>617</v>
      </c>
      <c r="E1905" t="s">
        <v>8277</v>
      </c>
      <c r="F1905">
        <v>27.31</v>
      </c>
      <c r="H1905" t="s">
        <v>6577</v>
      </c>
      <c r="L1905" t="s">
        <v>1433</v>
      </c>
      <c r="M1905" t="s">
        <v>3050</v>
      </c>
      <c r="N1905" t="s">
        <v>3051</v>
      </c>
      <c r="O1905">
        <v>1</v>
      </c>
    </row>
    <row r="1906" spans="2:15" x14ac:dyDescent="0.2">
      <c r="B1906" t="s">
        <v>1433</v>
      </c>
      <c r="C1906" t="s">
        <v>12898</v>
      </c>
      <c r="D1906" t="s">
        <v>617</v>
      </c>
      <c r="E1906" t="s">
        <v>8278</v>
      </c>
      <c r="F1906">
        <v>11</v>
      </c>
      <c r="H1906" t="s">
        <v>6105</v>
      </c>
      <c r="L1906" t="s">
        <v>1433</v>
      </c>
      <c r="M1906" t="s">
        <v>3052</v>
      </c>
      <c r="N1906" t="s">
        <v>3053</v>
      </c>
      <c r="O1906">
        <v>1</v>
      </c>
    </row>
    <row r="1907" spans="2:15" x14ac:dyDescent="0.2">
      <c r="B1907" t="s">
        <v>1433</v>
      </c>
      <c r="C1907" t="s">
        <v>12898</v>
      </c>
      <c r="D1907" t="s">
        <v>617</v>
      </c>
      <c r="E1907" t="s">
        <v>8279</v>
      </c>
      <c r="F1907">
        <v>0.56999999999999995</v>
      </c>
      <c r="H1907" t="s">
        <v>6187</v>
      </c>
      <c r="L1907" t="s">
        <v>1433</v>
      </c>
      <c r="M1907" t="s">
        <v>3054</v>
      </c>
      <c r="N1907" t="s">
        <v>3055</v>
      </c>
      <c r="O1907">
        <v>1</v>
      </c>
    </row>
    <row r="1908" spans="2:15" x14ac:dyDescent="0.2">
      <c r="B1908" t="s">
        <v>1433</v>
      </c>
      <c r="C1908" t="s">
        <v>12898</v>
      </c>
      <c r="D1908" t="s">
        <v>617</v>
      </c>
      <c r="E1908" t="s">
        <v>8280</v>
      </c>
      <c r="F1908">
        <v>2.02</v>
      </c>
      <c r="H1908" t="s">
        <v>8281</v>
      </c>
      <c r="L1908" t="s">
        <v>1433</v>
      </c>
      <c r="M1908" t="s">
        <v>1822</v>
      </c>
      <c r="N1908" t="s">
        <v>3056</v>
      </c>
      <c r="O1908">
        <v>30</v>
      </c>
    </row>
    <row r="1909" spans="2:15" x14ac:dyDescent="0.2">
      <c r="B1909" t="s">
        <v>1433</v>
      </c>
      <c r="C1909" t="s">
        <v>12898</v>
      </c>
      <c r="D1909" t="s">
        <v>617</v>
      </c>
      <c r="E1909" t="s">
        <v>8282</v>
      </c>
      <c r="F1909">
        <v>4.88</v>
      </c>
      <c r="H1909" t="s">
        <v>8283</v>
      </c>
      <c r="L1909" t="s">
        <v>1433</v>
      </c>
      <c r="M1909" t="s">
        <v>1824</v>
      </c>
      <c r="N1909" t="s">
        <v>3056</v>
      </c>
      <c r="O1909">
        <v>48</v>
      </c>
    </row>
    <row r="1910" spans="2:15" x14ac:dyDescent="0.2">
      <c r="B1910" t="s">
        <v>1433</v>
      </c>
      <c r="C1910" t="s">
        <v>12898</v>
      </c>
      <c r="D1910" t="s">
        <v>617</v>
      </c>
      <c r="E1910" t="s">
        <v>8284</v>
      </c>
      <c r="F1910">
        <v>45.32</v>
      </c>
      <c r="H1910" t="s">
        <v>5251</v>
      </c>
      <c r="L1910" t="s">
        <v>1433</v>
      </c>
      <c r="M1910" t="s">
        <v>1831</v>
      </c>
      <c r="N1910" t="s">
        <v>3056</v>
      </c>
      <c r="O1910">
        <v>30</v>
      </c>
    </row>
    <row r="1911" spans="2:15" x14ac:dyDescent="0.2">
      <c r="B1911" t="s">
        <v>1433</v>
      </c>
      <c r="C1911" t="s">
        <v>12898</v>
      </c>
      <c r="D1911" t="s">
        <v>617</v>
      </c>
      <c r="E1911" t="s">
        <v>8285</v>
      </c>
      <c r="F1911">
        <v>8.1</v>
      </c>
      <c r="H1911" t="s">
        <v>7635</v>
      </c>
      <c r="L1911" t="s">
        <v>1433</v>
      </c>
      <c r="M1911" t="s">
        <v>1832</v>
      </c>
      <c r="N1911" t="s">
        <v>3056</v>
      </c>
      <c r="O1911">
        <v>48</v>
      </c>
    </row>
    <row r="1912" spans="2:15" x14ac:dyDescent="0.2">
      <c r="B1912" t="s">
        <v>1433</v>
      </c>
      <c r="C1912" t="s">
        <v>12898</v>
      </c>
      <c r="D1912" t="s">
        <v>617</v>
      </c>
      <c r="E1912" t="s">
        <v>8286</v>
      </c>
      <c r="F1912">
        <v>15.25</v>
      </c>
      <c r="H1912" t="s">
        <v>8283</v>
      </c>
      <c r="L1912" t="s">
        <v>1433</v>
      </c>
      <c r="M1912" t="s">
        <v>1834</v>
      </c>
      <c r="N1912" t="s">
        <v>3056</v>
      </c>
      <c r="O1912">
        <v>30</v>
      </c>
    </row>
    <row r="1913" spans="2:15" x14ac:dyDescent="0.2">
      <c r="B1913" t="s">
        <v>1433</v>
      </c>
      <c r="C1913" t="s">
        <v>12898</v>
      </c>
      <c r="D1913" t="s">
        <v>617</v>
      </c>
      <c r="E1913" t="s">
        <v>8287</v>
      </c>
      <c r="F1913">
        <v>0.55000000000000004</v>
      </c>
      <c r="H1913" t="s">
        <v>7915</v>
      </c>
      <c r="L1913" t="s">
        <v>1433</v>
      </c>
      <c r="M1913" t="s">
        <v>1835</v>
      </c>
      <c r="N1913" t="s">
        <v>3056</v>
      </c>
      <c r="O1913">
        <v>40</v>
      </c>
    </row>
    <row r="1914" spans="2:15" x14ac:dyDescent="0.2">
      <c r="B1914" t="s">
        <v>1433</v>
      </c>
      <c r="C1914" t="s">
        <v>12898</v>
      </c>
      <c r="D1914" t="s">
        <v>617</v>
      </c>
      <c r="E1914" t="s">
        <v>8288</v>
      </c>
      <c r="F1914">
        <v>11</v>
      </c>
      <c r="H1914" t="s">
        <v>6105</v>
      </c>
      <c r="L1914" t="s">
        <v>1433</v>
      </c>
      <c r="M1914" t="s">
        <v>1822</v>
      </c>
      <c r="N1914" t="s">
        <v>3057</v>
      </c>
      <c r="O1914">
        <v>12</v>
      </c>
    </row>
    <row r="1915" spans="2:15" x14ac:dyDescent="0.2">
      <c r="B1915" t="s">
        <v>1433</v>
      </c>
      <c r="C1915" t="s">
        <v>12898</v>
      </c>
      <c r="D1915" t="s">
        <v>617</v>
      </c>
      <c r="E1915" t="s">
        <v>8289</v>
      </c>
      <c r="F1915">
        <v>20.88</v>
      </c>
      <c r="H1915" t="s">
        <v>8290</v>
      </c>
      <c r="L1915" t="s">
        <v>1433</v>
      </c>
      <c r="M1915" t="s">
        <v>1831</v>
      </c>
      <c r="N1915" t="s">
        <v>3057</v>
      </c>
      <c r="O1915">
        <v>12</v>
      </c>
    </row>
    <row r="1916" spans="2:15" x14ac:dyDescent="0.2">
      <c r="B1916" t="s">
        <v>1433</v>
      </c>
      <c r="C1916" t="s">
        <v>12898</v>
      </c>
      <c r="D1916" t="s">
        <v>617</v>
      </c>
      <c r="E1916" t="s">
        <v>8291</v>
      </c>
      <c r="F1916">
        <v>3.5</v>
      </c>
      <c r="H1916" t="s">
        <v>1629</v>
      </c>
      <c r="L1916" t="s">
        <v>1433</v>
      </c>
      <c r="M1916" t="s">
        <v>3058</v>
      </c>
      <c r="N1916" t="s">
        <v>3059</v>
      </c>
      <c r="O1916">
        <v>3</v>
      </c>
    </row>
    <row r="1917" spans="2:15" x14ac:dyDescent="0.2">
      <c r="B1917" t="s">
        <v>1433</v>
      </c>
      <c r="C1917" t="s">
        <v>12898</v>
      </c>
      <c r="D1917" t="s">
        <v>617</v>
      </c>
      <c r="E1917" t="s">
        <v>8292</v>
      </c>
      <c r="F1917">
        <v>2.31</v>
      </c>
      <c r="H1917" t="s">
        <v>5897</v>
      </c>
      <c r="L1917" t="s">
        <v>1433</v>
      </c>
      <c r="M1917" t="s">
        <v>1983</v>
      </c>
      <c r="N1917" t="s">
        <v>3059</v>
      </c>
      <c r="O1917">
        <v>1000</v>
      </c>
    </row>
    <row r="1918" spans="2:15" x14ac:dyDescent="0.2">
      <c r="B1918" t="s">
        <v>1433</v>
      </c>
      <c r="C1918" t="s">
        <v>12898</v>
      </c>
      <c r="D1918" t="s">
        <v>613</v>
      </c>
      <c r="E1918" t="s">
        <v>8293</v>
      </c>
      <c r="F1918">
        <v>0.9</v>
      </c>
      <c r="H1918" t="s">
        <v>8294</v>
      </c>
      <c r="L1918" t="s">
        <v>1433</v>
      </c>
      <c r="M1918" t="s">
        <v>3060</v>
      </c>
      <c r="N1918" t="s">
        <v>3028</v>
      </c>
      <c r="O1918">
        <v>70</v>
      </c>
    </row>
    <row r="1919" spans="2:15" x14ac:dyDescent="0.2">
      <c r="B1919" t="s">
        <v>1433</v>
      </c>
      <c r="C1919" t="s">
        <v>12898</v>
      </c>
      <c r="D1919" t="s">
        <v>617</v>
      </c>
      <c r="E1919" t="s">
        <v>8295</v>
      </c>
      <c r="F1919">
        <v>136.08000000000001</v>
      </c>
      <c r="H1919" t="s">
        <v>1627</v>
      </c>
      <c r="L1919" t="s">
        <v>1433</v>
      </c>
      <c r="M1919" t="s">
        <v>3061</v>
      </c>
      <c r="N1919" t="s">
        <v>3028</v>
      </c>
      <c r="O1919">
        <v>25</v>
      </c>
    </row>
    <row r="1920" spans="2:15" x14ac:dyDescent="0.2">
      <c r="B1920" t="s">
        <v>1433</v>
      </c>
      <c r="C1920" t="s">
        <v>12898</v>
      </c>
      <c r="D1920" t="s">
        <v>617</v>
      </c>
      <c r="E1920" t="s">
        <v>8296</v>
      </c>
      <c r="F1920">
        <v>39.270000000000003</v>
      </c>
      <c r="H1920" t="s">
        <v>5388</v>
      </c>
      <c r="L1920" t="s">
        <v>1433</v>
      </c>
      <c r="M1920" t="s">
        <v>3062</v>
      </c>
      <c r="N1920" t="s">
        <v>3063</v>
      </c>
      <c r="O1920">
        <v>100</v>
      </c>
    </row>
    <row r="1921" spans="2:15" x14ac:dyDescent="0.2">
      <c r="B1921" t="s">
        <v>1433</v>
      </c>
      <c r="C1921" t="s">
        <v>12898</v>
      </c>
      <c r="D1921" t="s">
        <v>621</v>
      </c>
      <c r="E1921" t="s">
        <v>8297</v>
      </c>
      <c r="F1921">
        <v>269.54000000000002</v>
      </c>
      <c r="H1921" t="s">
        <v>6645</v>
      </c>
      <c r="L1921" t="s">
        <v>1433</v>
      </c>
      <c r="M1921" t="s">
        <v>2257</v>
      </c>
      <c r="N1921" t="s">
        <v>3064</v>
      </c>
      <c r="O1921">
        <v>2</v>
      </c>
    </row>
    <row r="1922" spans="2:15" x14ac:dyDescent="0.2">
      <c r="B1922" t="s">
        <v>1433</v>
      </c>
      <c r="C1922" t="s">
        <v>12898</v>
      </c>
      <c r="D1922" t="s">
        <v>621</v>
      </c>
      <c r="E1922" t="s">
        <v>8298</v>
      </c>
      <c r="F1922">
        <v>44.92</v>
      </c>
      <c r="H1922" t="s">
        <v>6642</v>
      </c>
      <c r="L1922" t="s">
        <v>1433</v>
      </c>
      <c r="M1922" t="s">
        <v>2021</v>
      </c>
      <c r="N1922" t="s">
        <v>3064</v>
      </c>
      <c r="O1922">
        <v>2</v>
      </c>
    </row>
    <row r="1923" spans="2:15" x14ac:dyDescent="0.2">
      <c r="B1923" t="s">
        <v>1433</v>
      </c>
      <c r="C1923" t="s">
        <v>12898</v>
      </c>
      <c r="D1923" t="s">
        <v>617</v>
      </c>
      <c r="E1923" t="s">
        <v>8299</v>
      </c>
      <c r="F1923">
        <v>10.6</v>
      </c>
      <c r="H1923" t="s">
        <v>6434</v>
      </c>
      <c r="L1923" t="s">
        <v>1433</v>
      </c>
      <c r="M1923" t="s">
        <v>1330</v>
      </c>
      <c r="N1923" t="s">
        <v>3065</v>
      </c>
      <c r="O1923">
        <v>2</v>
      </c>
    </row>
    <row r="1924" spans="2:15" x14ac:dyDescent="0.2">
      <c r="B1924" t="s">
        <v>1433</v>
      </c>
      <c r="C1924" t="s">
        <v>12898</v>
      </c>
      <c r="D1924" t="s">
        <v>617</v>
      </c>
      <c r="E1924" t="s">
        <v>8300</v>
      </c>
      <c r="F1924">
        <v>11</v>
      </c>
      <c r="H1924" t="s">
        <v>6105</v>
      </c>
      <c r="L1924" t="s">
        <v>1433</v>
      </c>
      <c r="M1924" t="s">
        <v>1499</v>
      </c>
      <c r="N1924" t="s">
        <v>3065</v>
      </c>
      <c r="O1924">
        <v>2</v>
      </c>
    </row>
    <row r="1925" spans="2:15" x14ac:dyDescent="0.2">
      <c r="B1925" t="s">
        <v>1433</v>
      </c>
      <c r="C1925" t="s">
        <v>12898</v>
      </c>
      <c r="D1925" t="s">
        <v>613</v>
      </c>
      <c r="E1925" t="s">
        <v>8301</v>
      </c>
      <c r="F1925">
        <v>0.32</v>
      </c>
      <c r="H1925" t="s">
        <v>8250</v>
      </c>
      <c r="L1925" t="s">
        <v>1433</v>
      </c>
      <c r="M1925" t="s">
        <v>1532</v>
      </c>
      <c r="N1925" t="s">
        <v>3066</v>
      </c>
      <c r="O1925">
        <v>10</v>
      </c>
    </row>
    <row r="1926" spans="2:15" x14ac:dyDescent="0.2">
      <c r="B1926" t="s">
        <v>1433</v>
      </c>
      <c r="C1926" t="s">
        <v>12898</v>
      </c>
      <c r="D1926" t="s">
        <v>617</v>
      </c>
      <c r="E1926" t="s">
        <v>8302</v>
      </c>
      <c r="F1926">
        <v>19.66</v>
      </c>
      <c r="H1926" t="s">
        <v>8210</v>
      </c>
      <c r="L1926" t="s">
        <v>1433</v>
      </c>
      <c r="M1926" t="s">
        <v>1243</v>
      </c>
      <c r="N1926" t="s">
        <v>3067</v>
      </c>
      <c r="O1926">
        <v>10</v>
      </c>
    </row>
    <row r="1927" spans="2:15" x14ac:dyDescent="0.2">
      <c r="B1927" t="s">
        <v>1433</v>
      </c>
      <c r="C1927" t="s">
        <v>12898</v>
      </c>
      <c r="D1927" t="s">
        <v>617</v>
      </c>
      <c r="E1927" t="s">
        <v>8303</v>
      </c>
      <c r="F1927">
        <v>4.29</v>
      </c>
      <c r="H1927" t="s">
        <v>5897</v>
      </c>
      <c r="L1927" t="s">
        <v>1433</v>
      </c>
      <c r="M1927" t="s">
        <v>1535</v>
      </c>
      <c r="N1927" t="s">
        <v>3067</v>
      </c>
      <c r="O1927">
        <v>10</v>
      </c>
    </row>
    <row r="1928" spans="2:15" x14ac:dyDescent="0.2">
      <c r="B1928" t="s">
        <v>1433</v>
      </c>
      <c r="C1928" t="s">
        <v>12898</v>
      </c>
      <c r="D1928" t="s">
        <v>617</v>
      </c>
      <c r="E1928" t="s">
        <v>8304</v>
      </c>
      <c r="F1928">
        <v>223.2</v>
      </c>
      <c r="H1928" t="s">
        <v>1633</v>
      </c>
      <c r="L1928" t="s">
        <v>1433</v>
      </c>
      <c r="M1928" t="s">
        <v>2737</v>
      </c>
      <c r="N1928" t="s">
        <v>3067</v>
      </c>
      <c r="O1928">
        <v>4</v>
      </c>
    </row>
    <row r="1929" spans="2:15" x14ac:dyDescent="0.2">
      <c r="B1929" t="s">
        <v>1433</v>
      </c>
      <c r="C1929" t="s">
        <v>12898</v>
      </c>
      <c r="D1929" t="s">
        <v>617</v>
      </c>
      <c r="E1929" t="s">
        <v>8305</v>
      </c>
      <c r="F1929">
        <v>55</v>
      </c>
      <c r="H1929" t="s">
        <v>6105</v>
      </c>
      <c r="L1929" t="s">
        <v>1433</v>
      </c>
      <c r="M1929" t="s">
        <v>1245</v>
      </c>
      <c r="N1929" t="s">
        <v>3067</v>
      </c>
      <c r="O1929">
        <v>10</v>
      </c>
    </row>
    <row r="1930" spans="2:15" x14ac:dyDescent="0.2">
      <c r="B1930" t="s">
        <v>1433</v>
      </c>
      <c r="C1930" t="s">
        <v>12898</v>
      </c>
      <c r="D1930" t="s">
        <v>613</v>
      </c>
      <c r="E1930" t="s">
        <v>8306</v>
      </c>
      <c r="F1930">
        <v>1.4</v>
      </c>
      <c r="H1930" t="s">
        <v>7699</v>
      </c>
      <c r="L1930" t="s">
        <v>1433</v>
      </c>
      <c r="M1930" t="s">
        <v>1511</v>
      </c>
      <c r="N1930" t="s">
        <v>3067</v>
      </c>
      <c r="O1930">
        <v>10</v>
      </c>
    </row>
    <row r="1931" spans="2:15" x14ac:dyDescent="0.2">
      <c r="B1931" t="s">
        <v>1433</v>
      </c>
      <c r="C1931" t="s">
        <v>12898</v>
      </c>
      <c r="D1931" t="s">
        <v>613</v>
      </c>
      <c r="E1931" t="s">
        <v>8307</v>
      </c>
      <c r="F1931">
        <v>1.4</v>
      </c>
      <c r="H1931" t="s">
        <v>6635</v>
      </c>
      <c r="L1931" t="s">
        <v>1433</v>
      </c>
      <c r="M1931" t="s">
        <v>1513</v>
      </c>
      <c r="N1931" t="s">
        <v>3067</v>
      </c>
      <c r="O1931">
        <v>10</v>
      </c>
    </row>
    <row r="1932" spans="2:15" x14ac:dyDescent="0.2">
      <c r="B1932" t="s">
        <v>1433</v>
      </c>
      <c r="C1932" t="s">
        <v>12898</v>
      </c>
      <c r="D1932" t="s">
        <v>617</v>
      </c>
      <c r="E1932" t="s">
        <v>8308</v>
      </c>
      <c r="F1932">
        <v>16.899999999999999</v>
      </c>
      <c r="H1932" t="s">
        <v>8309</v>
      </c>
      <c r="L1932" t="s">
        <v>1433</v>
      </c>
      <c r="M1932" t="s">
        <v>1956</v>
      </c>
      <c r="N1932" t="s">
        <v>3067</v>
      </c>
      <c r="O1932">
        <v>4</v>
      </c>
    </row>
    <row r="1933" spans="2:15" x14ac:dyDescent="0.2">
      <c r="B1933" t="s">
        <v>1433</v>
      </c>
      <c r="C1933" t="s">
        <v>12898</v>
      </c>
      <c r="D1933" t="s">
        <v>617</v>
      </c>
      <c r="E1933" t="s">
        <v>8310</v>
      </c>
      <c r="F1933">
        <v>2.6</v>
      </c>
      <c r="H1933" t="s">
        <v>8311</v>
      </c>
      <c r="L1933" t="s">
        <v>1433</v>
      </c>
      <c r="M1933" t="s">
        <v>3068</v>
      </c>
      <c r="N1933" t="s">
        <v>3063</v>
      </c>
      <c r="O1933">
        <v>4</v>
      </c>
    </row>
    <row r="1934" spans="2:15" x14ac:dyDescent="0.2">
      <c r="B1934" t="s">
        <v>1433</v>
      </c>
      <c r="C1934" t="s">
        <v>12898</v>
      </c>
      <c r="D1934" t="s">
        <v>613</v>
      </c>
      <c r="E1934" t="s">
        <v>8312</v>
      </c>
      <c r="F1934">
        <v>2.75</v>
      </c>
      <c r="H1934" t="s">
        <v>2513</v>
      </c>
      <c r="L1934" t="s">
        <v>1433</v>
      </c>
      <c r="M1934" t="s">
        <v>3069</v>
      </c>
      <c r="N1934" t="s">
        <v>3063</v>
      </c>
      <c r="O1934">
        <v>1</v>
      </c>
    </row>
    <row r="1935" spans="2:15" x14ac:dyDescent="0.2">
      <c r="B1935" t="s">
        <v>1433</v>
      </c>
      <c r="C1935" t="s">
        <v>12898</v>
      </c>
      <c r="D1935" t="s">
        <v>613</v>
      </c>
      <c r="E1935" t="s">
        <v>8313</v>
      </c>
      <c r="F1935">
        <v>17.8</v>
      </c>
      <c r="H1935" t="s">
        <v>2514</v>
      </c>
      <c r="L1935" t="s">
        <v>1433</v>
      </c>
      <c r="M1935" t="s">
        <v>3070</v>
      </c>
      <c r="N1935" t="s">
        <v>3071</v>
      </c>
      <c r="O1935">
        <v>1</v>
      </c>
    </row>
    <row r="1936" spans="2:15" x14ac:dyDescent="0.2">
      <c r="B1936" t="s">
        <v>1433</v>
      </c>
      <c r="C1936" t="s">
        <v>12898</v>
      </c>
      <c r="D1936" t="s">
        <v>613</v>
      </c>
      <c r="E1936" t="s">
        <v>8314</v>
      </c>
      <c r="F1936">
        <v>40</v>
      </c>
      <c r="H1936" t="s">
        <v>2512</v>
      </c>
      <c r="L1936" t="s">
        <v>1433</v>
      </c>
      <c r="M1936" t="s">
        <v>3072</v>
      </c>
      <c r="N1936" t="s">
        <v>3071</v>
      </c>
      <c r="O1936">
        <v>1</v>
      </c>
    </row>
    <row r="1937" spans="2:15" x14ac:dyDescent="0.2">
      <c r="B1937" t="s">
        <v>1433</v>
      </c>
      <c r="C1937" t="s">
        <v>12898</v>
      </c>
      <c r="D1937" t="s">
        <v>613</v>
      </c>
      <c r="E1937" t="s">
        <v>8315</v>
      </c>
      <c r="F1937">
        <v>6.6</v>
      </c>
      <c r="H1937" t="s">
        <v>2510</v>
      </c>
      <c r="L1937" t="s">
        <v>1433</v>
      </c>
      <c r="M1937" t="s">
        <v>3073</v>
      </c>
      <c r="N1937" t="s">
        <v>3074</v>
      </c>
      <c r="O1937">
        <v>1</v>
      </c>
    </row>
    <row r="1938" spans="2:15" x14ac:dyDescent="0.2">
      <c r="B1938" t="s">
        <v>1433</v>
      </c>
      <c r="C1938" t="s">
        <v>12898</v>
      </c>
      <c r="D1938" t="s">
        <v>617</v>
      </c>
      <c r="E1938" t="s">
        <v>8316</v>
      </c>
      <c r="F1938">
        <v>28.05</v>
      </c>
      <c r="H1938" t="s">
        <v>6489</v>
      </c>
      <c r="L1938" t="s">
        <v>1433</v>
      </c>
      <c r="M1938" t="s">
        <v>1364</v>
      </c>
      <c r="N1938" t="s">
        <v>3075</v>
      </c>
      <c r="O1938">
        <v>1</v>
      </c>
    </row>
    <row r="1939" spans="2:15" x14ac:dyDescent="0.2">
      <c r="B1939" t="s">
        <v>1433</v>
      </c>
      <c r="C1939" t="s">
        <v>12898</v>
      </c>
      <c r="D1939" t="s">
        <v>617</v>
      </c>
      <c r="E1939" t="s">
        <v>8317</v>
      </c>
      <c r="F1939">
        <v>45.32</v>
      </c>
      <c r="H1939" t="s">
        <v>5251</v>
      </c>
      <c r="L1939" t="s">
        <v>1433</v>
      </c>
      <c r="M1939" t="s">
        <v>3076</v>
      </c>
      <c r="N1939" t="s">
        <v>3075</v>
      </c>
      <c r="O1939">
        <v>1</v>
      </c>
    </row>
    <row r="1940" spans="2:15" x14ac:dyDescent="0.2">
      <c r="B1940" t="s">
        <v>1433</v>
      </c>
      <c r="C1940" t="s">
        <v>12898</v>
      </c>
      <c r="D1940" t="s">
        <v>617</v>
      </c>
      <c r="E1940" t="s">
        <v>8318</v>
      </c>
      <c r="F1940">
        <v>0.66</v>
      </c>
      <c r="H1940" t="s">
        <v>4878</v>
      </c>
      <c r="L1940" t="s">
        <v>1433</v>
      </c>
      <c r="M1940" t="s">
        <v>3077</v>
      </c>
      <c r="N1940" t="s">
        <v>1276</v>
      </c>
      <c r="O1940">
        <v>1</v>
      </c>
    </row>
    <row r="1941" spans="2:15" x14ac:dyDescent="0.2">
      <c r="B1941" t="s">
        <v>1433</v>
      </c>
      <c r="C1941" t="s">
        <v>12898</v>
      </c>
      <c r="D1941" t="s">
        <v>617</v>
      </c>
      <c r="E1941" t="s">
        <v>8319</v>
      </c>
      <c r="F1941">
        <v>1.65</v>
      </c>
      <c r="H1941" t="s">
        <v>5897</v>
      </c>
      <c r="L1941" t="s">
        <v>1433</v>
      </c>
      <c r="M1941" t="s">
        <v>3078</v>
      </c>
      <c r="N1941" t="s">
        <v>3079</v>
      </c>
      <c r="O1941">
        <v>5</v>
      </c>
    </row>
    <row r="1942" spans="2:15" x14ac:dyDescent="0.2">
      <c r="B1942" t="s">
        <v>1433</v>
      </c>
      <c r="C1942" t="s">
        <v>12898</v>
      </c>
      <c r="D1942" t="s">
        <v>617</v>
      </c>
      <c r="E1942" t="s">
        <v>8320</v>
      </c>
      <c r="F1942">
        <v>2.2000000000000002</v>
      </c>
      <c r="H1942" t="s">
        <v>8321</v>
      </c>
      <c r="L1942" t="s">
        <v>1433</v>
      </c>
      <c r="M1942" t="s">
        <v>3080</v>
      </c>
      <c r="N1942" t="s">
        <v>3079</v>
      </c>
      <c r="O1942">
        <v>2</v>
      </c>
    </row>
    <row r="1943" spans="2:15" x14ac:dyDescent="0.2">
      <c r="B1943" t="s">
        <v>1433</v>
      </c>
      <c r="C1943" t="s">
        <v>12898</v>
      </c>
      <c r="D1943" t="s">
        <v>617</v>
      </c>
      <c r="E1943" t="s">
        <v>8322</v>
      </c>
      <c r="F1943">
        <v>6.9</v>
      </c>
      <c r="H1943" t="s">
        <v>8323</v>
      </c>
      <c r="L1943" t="s">
        <v>1433</v>
      </c>
      <c r="M1943" t="s">
        <v>3081</v>
      </c>
      <c r="N1943" t="s">
        <v>3079</v>
      </c>
      <c r="O1943">
        <v>5</v>
      </c>
    </row>
    <row r="1944" spans="2:15" x14ac:dyDescent="0.2">
      <c r="B1944" t="s">
        <v>1433</v>
      </c>
      <c r="C1944" t="s">
        <v>12898</v>
      </c>
      <c r="D1944" t="s">
        <v>617</v>
      </c>
      <c r="E1944" t="s">
        <v>8324</v>
      </c>
      <c r="F1944">
        <v>2.16</v>
      </c>
      <c r="H1944" t="s">
        <v>7919</v>
      </c>
      <c r="L1944" t="s">
        <v>1433</v>
      </c>
      <c r="M1944" t="s">
        <v>3082</v>
      </c>
      <c r="N1944" t="s">
        <v>3079</v>
      </c>
      <c r="O1944">
        <v>5</v>
      </c>
    </row>
    <row r="1945" spans="2:15" x14ac:dyDescent="0.2">
      <c r="B1945" t="s">
        <v>1433</v>
      </c>
      <c r="C1945" t="s">
        <v>12898</v>
      </c>
      <c r="D1945" t="s">
        <v>617</v>
      </c>
      <c r="E1945" t="s">
        <v>8325</v>
      </c>
      <c r="F1945">
        <v>8.1</v>
      </c>
      <c r="H1945" t="s">
        <v>7635</v>
      </c>
      <c r="L1945" t="s">
        <v>1433</v>
      </c>
      <c r="M1945" t="s">
        <v>3083</v>
      </c>
      <c r="N1945" t="s">
        <v>3079</v>
      </c>
      <c r="O1945">
        <v>1</v>
      </c>
    </row>
    <row r="1946" spans="2:15" x14ac:dyDescent="0.2">
      <c r="B1946" t="s">
        <v>1433</v>
      </c>
      <c r="C1946" t="s">
        <v>12898</v>
      </c>
      <c r="D1946" t="s">
        <v>617</v>
      </c>
      <c r="E1946" t="s">
        <v>8326</v>
      </c>
      <c r="F1946">
        <v>13</v>
      </c>
      <c r="H1946" t="s">
        <v>7637</v>
      </c>
      <c r="L1946" t="s">
        <v>1433</v>
      </c>
      <c r="M1946" t="s">
        <v>1746</v>
      </c>
      <c r="N1946" t="s">
        <v>1285</v>
      </c>
      <c r="O1946">
        <v>300</v>
      </c>
    </row>
    <row r="1947" spans="2:15" x14ac:dyDescent="0.2">
      <c r="B1947" t="s">
        <v>1433</v>
      </c>
      <c r="C1947" t="s">
        <v>12898</v>
      </c>
      <c r="D1947" t="s">
        <v>617</v>
      </c>
      <c r="E1947" t="s">
        <v>8327</v>
      </c>
      <c r="F1947">
        <v>5</v>
      </c>
      <c r="H1947" t="s">
        <v>1628</v>
      </c>
      <c r="L1947" t="s">
        <v>1433</v>
      </c>
      <c r="M1947" t="s">
        <v>3084</v>
      </c>
      <c r="N1947" t="s">
        <v>3085</v>
      </c>
      <c r="O1947">
        <v>1</v>
      </c>
    </row>
    <row r="1948" spans="2:15" x14ac:dyDescent="0.2">
      <c r="B1948" t="s">
        <v>1433</v>
      </c>
      <c r="C1948" t="s">
        <v>12898</v>
      </c>
      <c r="D1948" t="s">
        <v>617</v>
      </c>
      <c r="E1948" t="s">
        <v>8328</v>
      </c>
      <c r="F1948">
        <v>3</v>
      </c>
      <c r="H1948" t="s">
        <v>1630</v>
      </c>
      <c r="L1948" t="s">
        <v>1433</v>
      </c>
      <c r="M1948" t="s">
        <v>3086</v>
      </c>
      <c r="N1948" t="s">
        <v>3087</v>
      </c>
      <c r="O1948">
        <v>1</v>
      </c>
    </row>
    <row r="1949" spans="2:15" x14ac:dyDescent="0.2">
      <c r="B1949" t="s">
        <v>1433</v>
      </c>
      <c r="C1949" t="s">
        <v>12898</v>
      </c>
      <c r="D1949" t="s">
        <v>617</v>
      </c>
      <c r="E1949" t="s">
        <v>8329</v>
      </c>
      <c r="F1949">
        <v>3.24</v>
      </c>
      <c r="H1949" t="s">
        <v>3364</v>
      </c>
      <c r="L1949" t="s">
        <v>1433</v>
      </c>
      <c r="M1949" t="s">
        <v>3088</v>
      </c>
      <c r="N1949" t="s">
        <v>3089</v>
      </c>
      <c r="O1949">
        <v>2</v>
      </c>
    </row>
    <row r="1950" spans="2:15" x14ac:dyDescent="0.2">
      <c r="B1950" t="s">
        <v>1433</v>
      </c>
      <c r="C1950" t="s">
        <v>12898</v>
      </c>
      <c r="D1950" t="s">
        <v>613</v>
      </c>
      <c r="E1950" t="s">
        <v>8330</v>
      </c>
      <c r="F1950">
        <v>0.95</v>
      </c>
      <c r="H1950" t="s">
        <v>6692</v>
      </c>
      <c r="L1950" t="s">
        <v>1433</v>
      </c>
      <c r="M1950" t="s">
        <v>3090</v>
      </c>
      <c r="N1950" t="s">
        <v>3091</v>
      </c>
      <c r="O1950">
        <v>1</v>
      </c>
    </row>
    <row r="1951" spans="2:15" x14ac:dyDescent="0.2">
      <c r="B1951" t="s">
        <v>1433</v>
      </c>
      <c r="C1951" t="s">
        <v>12898</v>
      </c>
      <c r="D1951" t="s">
        <v>617</v>
      </c>
      <c r="E1951" t="s">
        <v>8331</v>
      </c>
      <c r="F1951">
        <v>22.68</v>
      </c>
      <c r="H1951" t="s">
        <v>1627</v>
      </c>
      <c r="L1951" t="s">
        <v>1433</v>
      </c>
      <c r="M1951" t="s">
        <v>3092</v>
      </c>
      <c r="N1951" t="s">
        <v>3091</v>
      </c>
      <c r="O1951">
        <v>1</v>
      </c>
    </row>
    <row r="1952" spans="2:15" x14ac:dyDescent="0.2">
      <c r="B1952" t="s">
        <v>1433</v>
      </c>
      <c r="C1952" t="s">
        <v>12898</v>
      </c>
      <c r="D1952" t="s">
        <v>617</v>
      </c>
      <c r="E1952" t="s">
        <v>8332</v>
      </c>
      <c r="F1952">
        <v>2.44</v>
      </c>
      <c r="H1952" t="s">
        <v>8283</v>
      </c>
      <c r="L1952" t="s">
        <v>1433</v>
      </c>
      <c r="M1952" t="s">
        <v>3093</v>
      </c>
      <c r="N1952" t="s">
        <v>3091</v>
      </c>
      <c r="O1952">
        <v>1</v>
      </c>
    </row>
    <row r="1953" spans="2:15" x14ac:dyDescent="0.2">
      <c r="B1953" t="s">
        <v>1433</v>
      </c>
      <c r="C1953" t="s">
        <v>12898</v>
      </c>
      <c r="D1953" t="s">
        <v>613</v>
      </c>
      <c r="E1953" t="s">
        <v>8333</v>
      </c>
      <c r="F1953">
        <v>0.38</v>
      </c>
      <c r="H1953" t="s">
        <v>8250</v>
      </c>
      <c r="L1953" t="s">
        <v>1433</v>
      </c>
      <c r="M1953" t="s">
        <v>3094</v>
      </c>
      <c r="N1953" t="s">
        <v>3091</v>
      </c>
      <c r="O1953">
        <v>1</v>
      </c>
    </row>
    <row r="1954" spans="2:15" x14ac:dyDescent="0.2">
      <c r="B1954" t="s">
        <v>1433</v>
      </c>
      <c r="C1954" t="s">
        <v>12898</v>
      </c>
      <c r="D1954" t="s">
        <v>617</v>
      </c>
      <c r="E1954" t="s">
        <v>8334</v>
      </c>
      <c r="F1954">
        <v>299</v>
      </c>
      <c r="H1954" t="s">
        <v>1635</v>
      </c>
      <c r="L1954" t="s">
        <v>1433</v>
      </c>
      <c r="M1954" t="s">
        <v>3095</v>
      </c>
      <c r="N1954" t="s">
        <v>3091</v>
      </c>
      <c r="O1954">
        <v>1</v>
      </c>
    </row>
    <row r="1955" spans="2:15" x14ac:dyDescent="0.2">
      <c r="B1955" t="s">
        <v>1433</v>
      </c>
      <c r="C1955" t="s">
        <v>12898</v>
      </c>
      <c r="D1955" t="s">
        <v>613</v>
      </c>
      <c r="E1955" t="s">
        <v>8335</v>
      </c>
      <c r="F1955">
        <v>0.38</v>
      </c>
      <c r="H1955" t="s">
        <v>8250</v>
      </c>
      <c r="L1955" t="s">
        <v>1433</v>
      </c>
      <c r="M1955" t="s">
        <v>3096</v>
      </c>
      <c r="N1955" t="s">
        <v>3091</v>
      </c>
      <c r="O1955">
        <v>1</v>
      </c>
    </row>
    <row r="1956" spans="2:15" x14ac:dyDescent="0.2">
      <c r="B1956" t="s">
        <v>1433</v>
      </c>
      <c r="C1956" t="s">
        <v>12898</v>
      </c>
      <c r="D1956" t="s">
        <v>617</v>
      </c>
      <c r="E1956" t="s">
        <v>8336</v>
      </c>
      <c r="F1956">
        <v>0.72</v>
      </c>
      <c r="H1956" t="s">
        <v>5255</v>
      </c>
      <c r="L1956" t="s">
        <v>1433</v>
      </c>
      <c r="M1956" t="s">
        <v>3097</v>
      </c>
      <c r="N1956" t="s">
        <v>3098</v>
      </c>
      <c r="O1956">
        <v>1</v>
      </c>
    </row>
    <row r="1957" spans="2:15" x14ac:dyDescent="0.2">
      <c r="B1957" t="s">
        <v>1433</v>
      </c>
      <c r="C1957" t="s">
        <v>12898</v>
      </c>
      <c r="D1957" t="s">
        <v>617</v>
      </c>
      <c r="E1957" t="s">
        <v>8337</v>
      </c>
      <c r="F1957">
        <v>18.32</v>
      </c>
      <c r="H1957" t="s">
        <v>5077</v>
      </c>
      <c r="L1957" t="s">
        <v>1433</v>
      </c>
      <c r="M1957" t="s">
        <v>3099</v>
      </c>
      <c r="N1957" t="s">
        <v>1280</v>
      </c>
      <c r="O1957">
        <v>1</v>
      </c>
    </row>
    <row r="1958" spans="2:15" x14ac:dyDescent="0.2">
      <c r="B1958" t="s">
        <v>1433</v>
      </c>
      <c r="C1958" t="s">
        <v>12898</v>
      </c>
      <c r="D1958" t="s">
        <v>617</v>
      </c>
      <c r="E1958" t="s">
        <v>8338</v>
      </c>
      <c r="F1958">
        <v>4.53</v>
      </c>
      <c r="H1958" t="s">
        <v>5251</v>
      </c>
      <c r="L1958" t="s">
        <v>1433</v>
      </c>
      <c r="M1958" t="s">
        <v>3100</v>
      </c>
      <c r="N1958" t="s">
        <v>1280</v>
      </c>
      <c r="O1958">
        <v>1</v>
      </c>
    </row>
    <row r="1959" spans="2:15" x14ac:dyDescent="0.2">
      <c r="B1959" t="s">
        <v>1433</v>
      </c>
      <c r="C1959" t="s">
        <v>12898</v>
      </c>
      <c r="D1959" t="s">
        <v>617</v>
      </c>
      <c r="E1959" t="s">
        <v>8339</v>
      </c>
      <c r="F1959">
        <v>53.8</v>
      </c>
      <c r="H1959" t="s">
        <v>1710</v>
      </c>
      <c r="L1959" t="s">
        <v>1433</v>
      </c>
      <c r="M1959" t="s">
        <v>3101</v>
      </c>
      <c r="N1959" t="s">
        <v>3102</v>
      </c>
      <c r="O1959">
        <v>1</v>
      </c>
    </row>
    <row r="1960" spans="2:15" x14ac:dyDescent="0.2">
      <c r="B1960" t="s">
        <v>1433</v>
      </c>
      <c r="C1960" t="s">
        <v>12898</v>
      </c>
      <c r="D1960" t="s">
        <v>617</v>
      </c>
      <c r="E1960" t="s">
        <v>8340</v>
      </c>
      <c r="F1960">
        <v>19.52</v>
      </c>
      <c r="H1960" t="s">
        <v>7619</v>
      </c>
      <c r="L1960" t="s">
        <v>1433</v>
      </c>
      <c r="M1960" t="s">
        <v>1243</v>
      </c>
      <c r="N1960" t="s">
        <v>3103</v>
      </c>
      <c r="O1960">
        <v>16</v>
      </c>
    </row>
    <row r="1961" spans="2:15" x14ac:dyDescent="0.2">
      <c r="B1961" t="s">
        <v>1433</v>
      </c>
      <c r="C1961" t="s">
        <v>12898</v>
      </c>
      <c r="D1961" t="s">
        <v>613</v>
      </c>
      <c r="E1961" t="s">
        <v>8341</v>
      </c>
      <c r="F1961">
        <v>0.44</v>
      </c>
      <c r="H1961" t="s">
        <v>7251</v>
      </c>
      <c r="L1961" t="s">
        <v>1433</v>
      </c>
      <c r="M1961" t="s">
        <v>1245</v>
      </c>
      <c r="N1961" t="s">
        <v>3103</v>
      </c>
      <c r="O1961">
        <v>16</v>
      </c>
    </row>
    <row r="1962" spans="2:15" x14ac:dyDescent="0.2">
      <c r="B1962" t="s">
        <v>1433</v>
      </c>
      <c r="C1962" t="s">
        <v>12898</v>
      </c>
      <c r="D1962" t="s">
        <v>617</v>
      </c>
      <c r="E1962" t="s">
        <v>8342</v>
      </c>
      <c r="F1962">
        <v>0.16</v>
      </c>
      <c r="H1962" t="s">
        <v>8343</v>
      </c>
      <c r="L1962" t="s">
        <v>1433</v>
      </c>
      <c r="M1962" t="s">
        <v>3104</v>
      </c>
      <c r="N1962" t="s">
        <v>3105</v>
      </c>
      <c r="O1962">
        <v>1</v>
      </c>
    </row>
    <row r="1963" spans="2:15" x14ac:dyDescent="0.2">
      <c r="B1963" t="s">
        <v>1433</v>
      </c>
      <c r="C1963" t="s">
        <v>12898</v>
      </c>
      <c r="D1963" t="s">
        <v>617</v>
      </c>
      <c r="E1963" t="s">
        <v>8344</v>
      </c>
      <c r="F1963">
        <v>0.22</v>
      </c>
      <c r="H1963" t="s">
        <v>4878</v>
      </c>
      <c r="L1963" t="s">
        <v>1433</v>
      </c>
      <c r="M1963" t="s">
        <v>3106</v>
      </c>
      <c r="N1963" t="s">
        <v>3107</v>
      </c>
      <c r="O1963">
        <v>1</v>
      </c>
    </row>
    <row r="1964" spans="2:15" x14ac:dyDescent="0.2">
      <c r="B1964" t="s">
        <v>1433</v>
      </c>
      <c r="C1964" t="s">
        <v>12898</v>
      </c>
      <c r="D1964" t="s">
        <v>617</v>
      </c>
      <c r="E1964" t="s">
        <v>8345</v>
      </c>
      <c r="F1964">
        <v>0.14000000000000001</v>
      </c>
      <c r="H1964" t="s">
        <v>7593</v>
      </c>
      <c r="L1964" t="s">
        <v>1433</v>
      </c>
      <c r="M1964" t="s">
        <v>3108</v>
      </c>
      <c r="N1964" t="s">
        <v>3107</v>
      </c>
      <c r="O1964">
        <v>1</v>
      </c>
    </row>
    <row r="1965" spans="2:15" x14ac:dyDescent="0.2">
      <c r="B1965" t="s">
        <v>1433</v>
      </c>
      <c r="C1965" t="s">
        <v>12898</v>
      </c>
      <c r="D1965" t="s">
        <v>617</v>
      </c>
      <c r="E1965" t="s">
        <v>8346</v>
      </c>
      <c r="F1965">
        <v>26.9</v>
      </c>
      <c r="H1965" t="s">
        <v>1710</v>
      </c>
      <c r="L1965" t="s">
        <v>1433</v>
      </c>
      <c r="M1965" t="s">
        <v>3109</v>
      </c>
      <c r="N1965" t="s">
        <v>3110</v>
      </c>
      <c r="O1965">
        <v>1</v>
      </c>
    </row>
    <row r="1966" spans="2:15" x14ac:dyDescent="0.2">
      <c r="B1966" t="s">
        <v>1433</v>
      </c>
      <c r="C1966" t="s">
        <v>12898</v>
      </c>
      <c r="D1966" t="s">
        <v>617</v>
      </c>
      <c r="E1966" t="s">
        <v>8347</v>
      </c>
      <c r="F1966">
        <v>3.65</v>
      </c>
      <c r="H1966" t="s">
        <v>8348</v>
      </c>
      <c r="L1966" t="s">
        <v>1433</v>
      </c>
      <c r="M1966" t="s">
        <v>3111</v>
      </c>
      <c r="N1966" t="s">
        <v>3112</v>
      </c>
      <c r="O1966">
        <v>30</v>
      </c>
    </row>
    <row r="1967" spans="2:15" x14ac:dyDescent="0.2">
      <c r="B1967" t="s">
        <v>1433</v>
      </c>
      <c r="C1967" t="s">
        <v>12898</v>
      </c>
      <c r="D1967" t="s">
        <v>617</v>
      </c>
      <c r="E1967" t="s">
        <v>8349</v>
      </c>
      <c r="F1967">
        <v>15.9</v>
      </c>
      <c r="H1967" t="s">
        <v>7931</v>
      </c>
      <c r="L1967" t="s">
        <v>1433</v>
      </c>
      <c r="M1967" t="s">
        <v>2099</v>
      </c>
      <c r="N1967" t="s">
        <v>3112</v>
      </c>
      <c r="O1967">
        <v>5</v>
      </c>
    </row>
    <row r="1968" spans="2:15" x14ac:dyDescent="0.2">
      <c r="B1968" t="s">
        <v>1433</v>
      </c>
      <c r="C1968" t="s">
        <v>12898</v>
      </c>
      <c r="D1968" t="s">
        <v>617</v>
      </c>
      <c r="E1968" t="s">
        <v>8350</v>
      </c>
      <c r="F1968">
        <v>2.2000000000000002</v>
      </c>
      <c r="H1968" t="s">
        <v>4878</v>
      </c>
      <c r="L1968" t="s">
        <v>1433</v>
      </c>
      <c r="M1968" t="s">
        <v>2397</v>
      </c>
      <c r="N1968" t="s">
        <v>3112</v>
      </c>
      <c r="O1968">
        <v>5</v>
      </c>
    </row>
    <row r="1969" spans="2:15" x14ac:dyDescent="0.2">
      <c r="B1969" t="s">
        <v>1433</v>
      </c>
      <c r="C1969" t="s">
        <v>12898</v>
      </c>
      <c r="D1969" t="s">
        <v>617</v>
      </c>
      <c r="E1969" t="s">
        <v>8351</v>
      </c>
      <c r="F1969">
        <v>2.52</v>
      </c>
      <c r="H1969" t="s">
        <v>8352</v>
      </c>
      <c r="L1969" t="s">
        <v>1433</v>
      </c>
      <c r="M1969" t="s">
        <v>2683</v>
      </c>
      <c r="N1969" t="s">
        <v>3113</v>
      </c>
      <c r="O1969">
        <v>1</v>
      </c>
    </row>
    <row r="1970" spans="2:15" x14ac:dyDescent="0.2">
      <c r="B1970" t="s">
        <v>1433</v>
      </c>
      <c r="C1970" t="s">
        <v>12898</v>
      </c>
      <c r="D1970" t="s">
        <v>617</v>
      </c>
      <c r="E1970" t="s">
        <v>8353</v>
      </c>
      <c r="F1970">
        <v>11.08</v>
      </c>
      <c r="H1970" t="s">
        <v>8354</v>
      </c>
      <c r="L1970" t="s">
        <v>1433</v>
      </c>
      <c r="M1970" t="s">
        <v>3114</v>
      </c>
      <c r="N1970" t="s">
        <v>3113</v>
      </c>
      <c r="O1970">
        <v>1</v>
      </c>
    </row>
    <row r="1971" spans="2:15" x14ac:dyDescent="0.2">
      <c r="B1971" t="s">
        <v>1433</v>
      </c>
      <c r="C1971" t="s">
        <v>12898</v>
      </c>
      <c r="D1971" t="s">
        <v>613</v>
      </c>
      <c r="E1971" t="s">
        <v>8355</v>
      </c>
      <c r="F1971">
        <v>2.4</v>
      </c>
      <c r="H1971" t="s">
        <v>6232</v>
      </c>
      <c r="L1971" t="s">
        <v>1433</v>
      </c>
      <c r="M1971" t="s">
        <v>3115</v>
      </c>
      <c r="N1971" t="s">
        <v>3113</v>
      </c>
      <c r="O1971">
        <v>1</v>
      </c>
    </row>
    <row r="1972" spans="2:15" x14ac:dyDescent="0.2">
      <c r="B1972" t="s">
        <v>1433</v>
      </c>
      <c r="C1972" t="s">
        <v>12898</v>
      </c>
      <c r="D1972" t="s">
        <v>617</v>
      </c>
      <c r="E1972" t="s">
        <v>8356</v>
      </c>
      <c r="F1972">
        <v>16.2</v>
      </c>
      <c r="H1972" t="s">
        <v>6107</v>
      </c>
      <c r="L1972" t="s">
        <v>1433</v>
      </c>
      <c r="M1972" t="s">
        <v>3116</v>
      </c>
      <c r="N1972" t="s">
        <v>3117</v>
      </c>
      <c r="O1972">
        <v>1</v>
      </c>
    </row>
    <row r="1973" spans="2:15" x14ac:dyDescent="0.2">
      <c r="B1973" t="s">
        <v>1433</v>
      </c>
      <c r="C1973" t="s">
        <v>12898</v>
      </c>
      <c r="D1973" t="s">
        <v>613</v>
      </c>
      <c r="E1973" t="s">
        <v>8357</v>
      </c>
      <c r="F1973">
        <v>1.6</v>
      </c>
      <c r="H1973" t="s">
        <v>8214</v>
      </c>
      <c r="L1973" t="s">
        <v>1433</v>
      </c>
      <c r="M1973" t="s">
        <v>3118</v>
      </c>
      <c r="N1973" t="s">
        <v>3117</v>
      </c>
      <c r="O1973">
        <v>1</v>
      </c>
    </row>
    <row r="1974" spans="2:15" x14ac:dyDescent="0.2">
      <c r="B1974" t="s">
        <v>1433</v>
      </c>
      <c r="C1974" t="s">
        <v>12898</v>
      </c>
      <c r="D1974" t="s">
        <v>617</v>
      </c>
      <c r="E1974" t="s">
        <v>8358</v>
      </c>
      <c r="F1974">
        <v>0.47</v>
      </c>
      <c r="H1974" t="s">
        <v>8359</v>
      </c>
      <c r="L1974" t="s">
        <v>1433</v>
      </c>
      <c r="M1974" t="s">
        <v>3119</v>
      </c>
      <c r="N1974" t="s">
        <v>3120</v>
      </c>
      <c r="O1974">
        <v>6</v>
      </c>
    </row>
    <row r="1975" spans="2:15" x14ac:dyDescent="0.2">
      <c r="B1975" t="s">
        <v>1433</v>
      </c>
      <c r="C1975" t="s">
        <v>12898</v>
      </c>
      <c r="D1975" t="s">
        <v>617</v>
      </c>
      <c r="E1975" t="s">
        <v>8360</v>
      </c>
      <c r="F1975">
        <v>0.54</v>
      </c>
      <c r="H1975" t="s">
        <v>8311</v>
      </c>
      <c r="L1975" t="s">
        <v>1433</v>
      </c>
      <c r="M1975" t="s">
        <v>2092</v>
      </c>
      <c r="N1975" t="s">
        <v>3121</v>
      </c>
      <c r="O1975">
        <v>250</v>
      </c>
    </row>
    <row r="1976" spans="2:15" x14ac:dyDescent="0.2">
      <c r="B1976" t="s">
        <v>1433</v>
      </c>
      <c r="C1976" t="s">
        <v>12898</v>
      </c>
      <c r="D1976" t="s">
        <v>617</v>
      </c>
      <c r="E1976" t="s">
        <v>8361</v>
      </c>
      <c r="F1976">
        <v>0.64</v>
      </c>
      <c r="H1976" t="s">
        <v>8362</v>
      </c>
      <c r="L1976" t="s">
        <v>1433</v>
      </c>
      <c r="M1976" t="s">
        <v>3122</v>
      </c>
      <c r="N1976" t="s">
        <v>3123</v>
      </c>
      <c r="O1976">
        <v>1</v>
      </c>
    </row>
    <row r="1977" spans="2:15" x14ac:dyDescent="0.2">
      <c r="B1977" t="s">
        <v>1433</v>
      </c>
      <c r="C1977" t="s">
        <v>12898</v>
      </c>
      <c r="D1977" t="s">
        <v>617</v>
      </c>
      <c r="E1977" t="s">
        <v>8363</v>
      </c>
      <c r="F1977">
        <v>15.9</v>
      </c>
      <c r="H1977" t="s">
        <v>7931</v>
      </c>
      <c r="L1977" t="s">
        <v>1433</v>
      </c>
      <c r="M1977" t="s">
        <v>3124</v>
      </c>
      <c r="N1977" t="s">
        <v>3125</v>
      </c>
      <c r="O1977">
        <v>1</v>
      </c>
    </row>
    <row r="1978" spans="2:15" x14ac:dyDescent="0.2">
      <c r="B1978" t="s">
        <v>1433</v>
      </c>
      <c r="C1978" t="s">
        <v>12898</v>
      </c>
      <c r="D1978" t="s">
        <v>617</v>
      </c>
      <c r="E1978" t="s">
        <v>8364</v>
      </c>
      <c r="F1978">
        <v>13.1</v>
      </c>
      <c r="H1978" t="s">
        <v>8210</v>
      </c>
      <c r="L1978" t="s">
        <v>1433</v>
      </c>
      <c r="M1978" t="s">
        <v>3126</v>
      </c>
      <c r="N1978" t="s">
        <v>3127</v>
      </c>
      <c r="O1978">
        <v>1</v>
      </c>
    </row>
    <row r="1979" spans="2:15" x14ac:dyDescent="0.2">
      <c r="B1979" t="s">
        <v>1433</v>
      </c>
      <c r="C1979" t="s">
        <v>12898</v>
      </c>
      <c r="D1979" t="s">
        <v>617</v>
      </c>
      <c r="E1979" t="s">
        <v>8365</v>
      </c>
      <c r="F1979">
        <v>14.47</v>
      </c>
      <c r="H1979" t="s">
        <v>4875</v>
      </c>
      <c r="L1979" t="s">
        <v>1433</v>
      </c>
      <c r="M1979" t="s">
        <v>3128</v>
      </c>
      <c r="N1979" t="s">
        <v>3127</v>
      </c>
      <c r="O1979">
        <v>1</v>
      </c>
    </row>
    <row r="1980" spans="2:15" x14ac:dyDescent="0.2">
      <c r="B1980" t="s">
        <v>1433</v>
      </c>
      <c r="C1980" t="s">
        <v>12898</v>
      </c>
      <c r="D1980" t="s">
        <v>617</v>
      </c>
      <c r="E1980" t="s">
        <v>8366</v>
      </c>
      <c r="F1980">
        <v>6.6</v>
      </c>
      <c r="H1980" t="s">
        <v>5897</v>
      </c>
      <c r="L1980" t="s">
        <v>1433</v>
      </c>
      <c r="M1980" t="s">
        <v>3129</v>
      </c>
      <c r="N1980" t="s">
        <v>3130</v>
      </c>
      <c r="O1980">
        <v>1</v>
      </c>
    </row>
    <row r="1981" spans="2:15" x14ac:dyDescent="0.2">
      <c r="B1981" t="s">
        <v>1433</v>
      </c>
      <c r="C1981" t="s">
        <v>12898</v>
      </c>
      <c r="D1981" t="s">
        <v>617</v>
      </c>
      <c r="E1981" t="s">
        <v>8367</v>
      </c>
      <c r="F1981">
        <v>4.4000000000000004</v>
      </c>
      <c r="H1981" t="s">
        <v>4878</v>
      </c>
      <c r="L1981" t="s">
        <v>1433</v>
      </c>
      <c r="M1981" t="s">
        <v>3131</v>
      </c>
      <c r="N1981" t="s">
        <v>3130</v>
      </c>
      <c r="O1981">
        <v>1</v>
      </c>
    </row>
    <row r="1982" spans="2:15" x14ac:dyDescent="0.2">
      <c r="B1982" t="s">
        <v>1433</v>
      </c>
      <c r="C1982" t="s">
        <v>12898</v>
      </c>
      <c r="D1982" t="s">
        <v>617</v>
      </c>
      <c r="E1982" t="s">
        <v>8368</v>
      </c>
      <c r="F1982">
        <v>10.8</v>
      </c>
      <c r="H1982" t="s">
        <v>7913</v>
      </c>
      <c r="L1982" t="s">
        <v>1433</v>
      </c>
      <c r="M1982" t="s">
        <v>3132</v>
      </c>
      <c r="N1982" t="s">
        <v>3133</v>
      </c>
      <c r="O1982">
        <v>1</v>
      </c>
    </row>
    <row r="1983" spans="2:15" x14ac:dyDescent="0.2">
      <c r="B1983" t="s">
        <v>1433</v>
      </c>
      <c r="C1983" t="s">
        <v>12898</v>
      </c>
      <c r="D1983" t="s">
        <v>617</v>
      </c>
      <c r="E1983" t="s">
        <v>8369</v>
      </c>
      <c r="F1983">
        <v>0.64</v>
      </c>
      <c r="H1983" t="s">
        <v>8343</v>
      </c>
      <c r="L1983" t="s">
        <v>1433</v>
      </c>
      <c r="M1983" t="s">
        <v>3134</v>
      </c>
      <c r="N1983" t="s">
        <v>3135</v>
      </c>
      <c r="O1983">
        <v>1</v>
      </c>
    </row>
    <row r="1984" spans="2:15" x14ac:dyDescent="0.2">
      <c r="B1984" t="s">
        <v>1433</v>
      </c>
      <c r="C1984" t="s">
        <v>12898</v>
      </c>
      <c r="D1984" t="s">
        <v>617</v>
      </c>
      <c r="E1984" t="s">
        <v>8370</v>
      </c>
      <c r="F1984">
        <v>11.16</v>
      </c>
      <c r="H1984" t="s">
        <v>8015</v>
      </c>
      <c r="L1984" t="s">
        <v>1433</v>
      </c>
      <c r="M1984" t="s">
        <v>2683</v>
      </c>
      <c r="N1984" t="s">
        <v>3135</v>
      </c>
      <c r="O1984">
        <v>1</v>
      </c>
    </row>
    <row r="1985" spans="2:15" x14ac:dyDescent="0.2">
      <c r="B1985" t="s">
        <v>1433</v>
      </c>
      <c r="C1985" t="s">
        <v>12898</v>
      </c>
      <c r="D1985" t="s">
        <v>617</v>
      </c>
      <c r="E1985" t="s">
        <v>8371</v>
      </c>
      <c r="F1985">
        <v>15.9</v>
      </c>
      <c r="H1985" t="s">
        <v>7931</v>
      </c>
      <c r="L1985" t="s">
        <v>1433</v>
      </c>
      <c r="M1985" t="s">
        <v>3136</v>
      </c>
      <c r="N1985" t="s">
        <v>3137</v>
      </c>
      <c r="O1985">
        <v>1</v>
      </c>
    </row>
    <row r="1986" spans="2:15" x14ac:dyDescent="0.2">
      <c r="B1986" t="s">
        <v>1433</v>
      </c>
      <c r="C1986" t="s">
        <v>12898</v>
      </c>
      <c r="D1986" t="s">
        <v>617</v>
      </c>
      <c r="E1986" t="s">
        <v>8372</v>
      </c>
      <c r="F1986">
        <v>43.4</v>
      </c>
      <c r="H1986" t="s">
        <v>6570</v>
      </c>
      <c r="L1986" t="s">
        <v>1433</v>
      </c>
      <c r="M1986" t="s">
        <v>3138</v>
      </c>
      <c r="N1986" t="s">
        <v>3137</v>
      </c>
      <c r="O1986">
        <v>1</v>
      </c>
    </row>
    <row r="1987" spans="2:15" x14ac:dyDescent="0.2">
      <c r="B1987" t="s">
        <v>1433</v>
      </c>
      <c r="C1987" t="s">
        <v>12898</v>
      </c>
      <c r="D1987" t="s">
        <v>613</v>
      </c>
      <c r="E1987" t="s">
        <v>8373</v>
      </c>
      <c r="F1987">
        <v>1.06</v>
      </c>
      <c r="H1987" t="s">
        <v>8374</v>
      </c>
      <c r="L1987" t="s">
        <v>1433</v>
      </c>
      <c r="M1987" t="s">
        <v>2726</v>
      </c>
      <c r="N1987" t="s">
        <v>3139</v>
      </c>
      <c r="O1987">
        <v>20</v>
      </c>
    </row>
    <row r="1988" spans="2:15" x14ac:dyDescent="0.2">
      <c r="B1988" t="s">
        <v>1433</v>
      </c>
      <c r="C1988" t="s">
        <v>12898</v>
      </c>
      <c r="D1988" t="s">
        <v>613</v>
      </c>
      <c r="E1988" t="s">
        <v>8375</v>
      </c>
      <c r="F1988">
        <v>1.28</v>
      </c>
      <c r="H1988" t="s">
        <v>5271</v>
      </c>
      <c r="L1988" t="s">
        <v>1433</v>
      </c>
      <c r="M1988" t="s">
        <v>2330</v>
      </c>
      <c r="N1988" t="s">
        <v>3140</v>
      </c>
      <c r="O1988">
        <v>5</v>
      </c>
    </row>
    <row r="1989" spans="2:15" x14ac:dyDescent="0.2">
      <c r="B1989" t="s">
        <v>1433</v>
      </c>
      <c r="C1989" t="s">
        <v>12898</v>
      </c>
      <c r="D1989" t="s">
        <v>613</v>
      </c>
      <c r="E1989" t="s">
        <v>8376</v>
      </c>
      <c r="F1989">
        <v>7.95</v>
      </c>
      <c r="H1989" t="s">
        <v>8377</v>
      </c>
      <c r="L1989" t="s">
        <v>1433</v>
      </c>
      <c r="M1989" t="s">
        <v>2806</v>
      </c>
      <c r="N1989" t="s">
        <v>3141</v>
      </c>
      <c r="O1989">
        <v>7</v>
      </c>
    </row>
    <row r="1990" spans="2:15" x14ac:dyDescent="0.2">
      <c r="B1990" t="s">
        <v>1433</v>
      </c>
      <c r="C1990" t="s">
        <v>12898</v>
      </c>
      <c r="D1990" t="s">
        <v>617</v>
      </c>
      <c r="E1990" t="s">
        <v>8378</v>
      </c>
      <c r="F1990">
        <v>18.13</v>
      </c>
      <c r="H1990" t="s">
        <v>5251</v>
      </c>
      <c r="L1990" t="s">
        <v>1433</v>
      </c>
      <c r="M1990" t="s">
        <v>2806</v>
      </c>
      <c r="N1990" t="s">
        <v>3142</v>
      </c>
      <c r="O1990">
        <v>1</v>
      </c>
    </row>
    <row r="1991" spans="2:15" x14ac:dyDescent="0.2">
      <c r="B1991" t="s">
        <v>1433</v>
      </c>
      <c r="C1991" t="s">
        <v>12898</v>
      </c>
      <c r="D1991" t="s">
        <v>617</v>
      </c>
      <c r="E1991" t="s">
        <v>8379</v>
      </c>
      <c r="F1991">
        <v>4.4000000000000004</v>
      </c>
      <c r="H1991" t="s">
        <v>4878</v>
      </c>
      <c r="L1991" t="s">
        <v>1433</v>
      </c>
      <c r="M1991" t="s">
        <v>3143</v>
      </c>
      <c r="N1991" t="s">
        <v>3144</v>
      </c>
      <c r="O1991">
        <v>100</v>
      </c>
    </row>
    <row r="1992" spans="2:15" x14ac:dyDescent="0.2">
      <c r="B1992" t="s">
        <v>1433</v>
      </c>
      <c r="C1992" t="s">
        <v>12898</v>
      </c>
      <c r="D1992" t="s">
        <v>617</v>
      </c>
      <c r="E1992" t="s">
        <v>8380</v>
      </c>
      <c r="F1992">
        <v>2.38</v>
      </c>
      <c r="H1992" t="s">
        <v>8381</v>
      </c>
      <c r="L1992" t="s">
        <v>1433</v>
      </c>
      <c r="M1992" t="s">
        <v>3145</v>
      </c>
      <c r="N1992" t="s">
        <v>3144</v>
      </c>
      <c r="O1992">
        <v>100</v>
      </c>
    </row>
    <row r="1993" spans="2:15" x14ac:dyDescent="0.2">
      <c r="B1993" t="s">
        <v>1433</v>
      </c>
      <c r="C1993" t="s">
        <v>12898</v>
      </c>
      <c r="D1993" t="s">
        <v>617</v>
      </c>
      <c r="E1993" t="s">
        <v>8382</v>
      </c>
      <c r="F1993">
        <v>1.64</v>
      </c>
      <c r="H1993" t="s">
        <v>8210</v>
      </c>
      <c r="L1993" t="s">
        <v>1433</v>
      </c>
      <c r="M1993" t="s">
        <v>3047</v>
      </c>
      <c r="N1993" t="s">
        <v>3146</v>
      </c>
      <c r="O1993">
        <v>10</v>
      </c>
    </row>
    <row r="1994" spans="2:15" x14ac:dyDescent="0.2">
      <c r="B1994" t="s">
        <v>1433</v>
      </c>
      <c r="C1994" t="s">
        <v>12898</v>
      </c>
      <c r="D1994" t="s">
        <v>617</v>
      </c>
      <c r="E1994" t="s">
        <v>8383</v>
      </c>
      <c r="F1994">
        <v>1.32</v>
      </c>
      <c r="H1994" t="s">
        <v>4875</v>
      </c>
      <c r="L1994" t="s">
        <v>1433</v>
      </c>
      <c r="M1994" t="s">
        <v>2761</v>
      </c>
      <c r="N1994" t="s">
        <v>3147</v>
      </c>
      <c r="O1994">
        <v>2</v>
      </c>
    </row>
    <row r="1995" spans="2:15" x14ac:dyDescent="0.2">
      <c r="B1995" t="s">
        <v>1433</v>
      </c>
      <c r="C1995" t="s">
        <v>12898</v>
      </c>
      <c r="D1995" t="s">
        <v>617</v>
      </c>
      <c r="E1995" t="s">
        <v>8384</v>
      </c>
      <c r="F1995">
        <v>5.91</v>
      </c>
      <c r="H1995" t="s">
        <v>6107</v>
      </c>
      <c r="L1995" t="s">
        <v>1433</v>
      </c>
      <c r="M1995" t="s">
        <v>3148</v>
      </c>
      <c r="N1995" t="s">
        <v>1295</v>
      </c>
      <c r="O1995">
        <v>1</v>
      </c>
    </row>
    <row r="1996" spans="2:15" x14ac:dyDescent="0.2">
      <c r="B1996" t="s">
        <v>1433</v>
      </c>
      <c r="C1996" t="s">
        <v>12898</v>
      </c>
      <c r="D1996" t="s">
        <v>617</v>
      </c>
      <c r="E1996" t="s">
        <v>8385</v>
      </c>
      <c r="F1996">
        <v>39.630000000000003</v>
      </c>
      <c r="H1996" t="s">
        <v>1616</v>
      </c>
      <c r="L1996" t="s">
        <v>1433</v>
      </c>
      <c r="M1996" t="s">
        <v>3149</v>
      </c>
      <c r="N1996" t="s">
        <v>1295</v>
      </c>
      <c r="O1996">
        <v>1</v>
      </c>
    </row>
    <row r="1997" spans="2:15" x14ac:dyDescent="0.2">
      <c r="B1997" t="s">
        <v>1433</v>
      </c>
      <c r="C1997" t="s">
        <v>12898</v>
      </c>
      <c r="D1997" t="s">
        <v>613</v>
      </c>
      <c r="E1997" t="s">
        <v>8386</v>
      </c>
      <c r="F1997">
        <v>0.96</v>
      </c>
      <c r="H1997" t="s">
        <v>6752</v>
      </c>
      <c r="L1997" t="s">
        <v>1433</v>
      </c>
      <c r="M1997" t="s">
        <v>3150</v>
      </c>
      <c r="N1997" t="s">
        <v>1295</v>
      </c>
      <c r="O1997">
        <v>1</v>
      </c>
    </row>
    <row r="1998" spans="2:15" x14ac:dyDescent="0.2">
      <c r="B1998" t="s">
        <v>1433</v>
      </c>
      <c r="C1998" t="s">
        <v>12898</v>
      </c>
      <c r="D1998" t="s">
        <v>613</v>
      </c>
      <c r="E1998" t="s">
        <v>8387</v>
      </c>
      <c r="F1998">
        <v>12.77</v>
      </c>
      <c r="H1998" t="s">
        <v>7578</v>
      </c>
      <c r="L1998" t="s">
        <v>1433</v>
      </c>
      <c r="M1998" t="s">
        <v>2655</v>
      </c>
      <c r="N1998" t="s">
        <v>2723</v>
      </c>
      <c r="O1998">
        <v>138</v>
      </c>
    </row>
    <row r="1999" spans="2:15" x14ac:dyDescent="0.2">
      <c r="B1999" t="s">
        <v>1433</v>
      </c>
      <c r="C1999" t="s">
        <v>12898</v>
      </c>
      <c r="D1999" t="s">
        <v>617</v>
      </c>
      <c r="E1999" t="s">
        <v>8388</v>
      </c>
      <c r="F1999">
        <v>3.3</v>
      </c>
      <c r="H1999" t="s">
        <v>4878</v>
      </c>
      <c r="L1999" t="s">
        <v>1433</v>
      </c>
      <c r="M1999" t="s">
        <v>3151</v>
      </c>
      <c r="N1999" t="s">
        <v>3152</v>
      </c>
      <c r="O1999">
        <v>10</v>
      </c>
    </row>
    <row r="2000" spans="2:15" x14ac:dyDescent="0.2">
      <c r="B2000" t="s">
        <v>1433</v>
      </c>
      <c r="C2000" t="s">
        <v>12898</v>
      </c>
      <c r="D2000" t="s">
        <v>617</v>
      </c>
      <c r="E2000" t="s">
        <v>8389</v>
      </c>
      <c r="F2000">
        <v>11.25</v>
      </c>
      <c r="H2000" t="s">
        <v>2057</v>
      </c>
      <c r="L2000" t="s">
        <v>1433</v>
      </c>
      <c r="M2000" t="s">
        <v>3153</v>
      </c>
      <c r="N2000" t="s">
        <v>3154</v>
      </c>
      <c r="O2000">
        <v>4</v>
      </c>
    </row>
    <row r="2001" spans="2:15" x14ac:dyDescent="0.2">
      <c r="B2001" t="s">
        <v>1433</v>
      </c>
      <c r="C2001" t="s">
        <v>12898</v>
      </c>
      <c r="D2001" t="s">
        <v>617</v>
      </c>
      <c r="E2001" t="s">
        <v>8390</v>
      </c>
      <c r="F2001">
        <v>1.81</v>
      </c>
      <c r="H2001" t="s">
        <v>8041</v>
      </c>
      <c r="L2001" t="s">
        <v>1433</v>
      </c>
      <c r="M2001" t="s">
        <v>3155</v>
      </c>
      <c r="N2001" t="s">
        <v>3154</v>
      </c>
      <c r="O2001">
        <v>4</v>
      </c>
    </row>
    <row r="2002" spans="2:15" x14ac:dyDescent="0.2">
      <c r="B2002" t="s">
        <v>1433</v>
      </c>
      <c r="C2002" t="s">
        <v>12898</v>
      </c>
      <c r="D2002" t="s">
        <v>617</v>
      </c>
      <c r="E2002" t="s">
        <v>8391</v>
      </c>
      <c r="F2002">
        <v>8.86</v>
      </c>
      <c r="H2002" t="s">
        <v>8354</v>
      </c>
      <c r="L2002" t="s">
        <v>1433</v>
      </c>
      <c r="M2002" t="s">
        <v>2131</v>
      </c>
      <c r="N2002" t="s">
        <v>3156</v>
      </c>
      <c r="O2002">
        <v>4</v>
      </c>
    </row>
    <row r="2003" spans="2:15" x14ac:dyDescent="0.2">
      <c r="B2003" t="s">
        <v>1433</v>
      </c>
      <c r="C2003" t="s">
        <v>12898</v>
      </c>
      <c r="D2003" t="s">
        <v>617</v>
      </c>
      <c r="E2003" t="s">
        <v>8392</v>
      </c>
      <c r="F2003">
        <v>18.13</v>
      </c>
      <c r="H2003" t="s">
        <v>5251</v>
      </c>
      <c r="L2003" t="s">
        <v>1433</v>
      </c>
      <c r="M2003" t="s">
        <v>2457</v>
      </c>
      <c r="N2003" t="s">
        <v>3156</v>
      </c>
      <c r="O2003">
        <v>4</v>
      </c>
    </row>
    <row r="2004" spans="2:15" x14ac:dyDescent="0.2">
      <c r="B2004" t="s">
        <v>1433</v>
      </c>
      <c r="C2004" t="s">
        <v>12898</v>
      </c>
      <c r="D2004" t="s">
        <v>613</v>
      </c>
      <c r="E2004" t="s">
        <v>8393</v>
      </c>
      <c r="F2004">
        <v>0.81</v>
      </c>
      <c r="H2004" t="s">
        <v>8024</v>
      </c>
      <c r="L2004" t="s">
        <v>1433</v>
      </c>
      <c r="M2004" t="s">
        <v>3047</v>
      </c>
      <c r="N2004" t="s">
        <v>3156</v>
      </c>
      <c r="O2004">
        <v>18</v>
      </c>
    </row>
    <row r="2005" spans="2:15" x14ac:dyDescent="0.2">
      <c r="B2005" t="s">
        <v>1433</v>
      </c>
      <c r="C2005" t="s">
        <v>12898</v>
      </c>
      <c r="D2005" t="s">
        <v>613</v>
      </c>
      <c r="E2005" t="s">
        <v>8394</v>
      </c>
      <c r="F2005">
        <v>1.05</v>
      </c>
      <c r="H2005" t="s">
        <v>5072</v>
      </c>
      <c r="L2005" t="s">
        <v>1433</v>
      </c>
      <c r="M2005" t="s">
        <v>3157</v>
      </c>
      <c r="N2005" t="s">
        <v>3158</v>
      </c>
      <c r="O2005">
        <v>2</v>
      </c>
    </row>
    <row r="2006" spans="2:15" x14ac:dyDescent="0.2">
      <c r="B2006" t="s">
        <v>1433</v>
      </c>
      <c r="C2006" t="s">
        <v>12898</v>
      </c>
      <c r="D2006" t="s">
        <v>613</v>
      </c>
      <c r="E2006" t="s">
        <v>8395</v>
      </c>
      <c r="F2006">
        <v>0.84</v>
      </c>
      <c r="H2006" t="s">
        <v>8196</v>
      </c>
      <c r="L2006" t="s">
        <v>1433</v>
      </c>
      <c r="M2006" t="s">
        <v>1376</v>
      </c>
      <c r="N2006" t="s">
        <v>3159</v>
      </c>
      <c r="O2006">
        <v>5</v>
      </c>
    </row>
    <row r="2007" spans="2:15" x14ac:dyDescent="0.2">
      <c r="B2007" t="s">
        <v>1433</v>
      </c>
      <c r="C2007" t="s">
        <v>12898</v>
      </c>
      <c r="D2007" t="s">
        <v>617</v>
      </c>
      <c r="E2007" t="s">
        <v>8396</v>
      </c>
      <c r="F2007">
        <v>136.08000000000001</v>
      </c>
      <c r="H2007" t="s">
        <v>1627</v>
      </c>
      <c r="L2007" t="s">
        <v>1433</v>
      </c>
      <c r="M2007" t="s">
        <v>2726</v>
      </c>
      <c r="N2007" t="s">
        <v>3160</v>
      </c>
      <c r="O2007">
        <v>20</v>
      </c>
    </row>
    <row r="2008" spans="2:15" x14ac:dyDescent="0.2">
      <c r="B2008" t="s">
        <v>1433</v>
      </c>
      <c r="C2008" t="s">
        <v>12898</v>
      </c>
      <c r="D2008" t="s">
        <v>617</v>
      </c>
      <c r="E2008" t="s">
        <v>8397</v>
      </c>
      <c r="F2008">
        <v>7</v>
      </c>
      <c r="H2008" t="s">
        <v>1629</v>
      </c>
      <c r="L2008" t="s">
        <v>1433</v>
      </c>
      <c r="M2008" t="s">
        <v>3161</v>
      </c>
      <c r="N2008" t="s">
        <v>3162</v>
      </c>
      <c r="O2008">
        <v>1</v>
      </c>
    </row>
    <row r="2009" spans="2:15" x14ac:dyDescent="0.2">
      <c r="B2009" t="s">
        <v>1433</v>
      </c>
      <c r="C2009" t="s">
        <v>12898</v>
      </c>
      <c r="D2009" t="s">
        <v>617</v>
      </c>
      <c r="E2009" t="s">
        <v>8398</v>
      </c>
      <c r="F2009">
        <v>0.74</v>
      </c>
      <c r="H2009" t="s">
        <v>8399</v>
      </c>
      <c r="L2009" t="s">
        <v>1433</v>
      </c>
      <c r="M2009" t="s">
        <v>3163</v>
      </c>
      <c r="N2009" t="s">
        <v>3164</v>
      </c>
      <c r="O2009">
        <v>1</v>
      </c>
    </row>
    <row r="2010" spans="2:15" x14ac:dyDescent="0.2">
      <c r="B2010" t="s">
        <v>1433</v>
      </c>
      <c r="C2010" t="s">
        <v>12898</v>
      </c>
      <c r="D2010" t="s">
        <v>617</v>
      </c>
      <c r="E2010" t="s">
        <v>8400</v>
      </c>
      <c r="F2010">
        <v>0.55000000000000004</v>
      </c>
      <c r="H2010" t="s">
        <v>7915</v>
      </c>
      <c r="L2010" t="s">
        <v>1433</v>
      </c>
      <c r="M2010" t="s">
        <v>3165</v>
      </c>
      <c r="N2010" t="s">
        <v>3166</v>
      </c>
      <c r="O2010">
        <v>16</v>
      </c>
    </row>
    <row r="2011" spans="2:15" x14ac:dyDescent="0.2">
      <c r="B2011" t="s">
        <v>1433</v>
      </c>
      <c r="C2011" t="s">
        <v>12898</v>
      </c>
      <c r="D2011" t="s">
        <v>84</v>
      </c>
      <c r="E2011" t="s">
        <v>8401</v>
      </c>
      <c r="F2011">
        <v>165.9</v>
      </c>
      <c r="H2011" t="s">
        <v>8402</v>
      </c>
      <c r="L2011" t="s">
        <v>1433</v>
      </c>
      <c r="M2011" t="s">
        <v>1963</v>
      </c>
      <c r="N2011" t="s">
        <v>3167</v>
      </c>
      <c r="O2011">
        <v>3</v>
      </c>
    </row>
    <row r="2012" spans="2:15" x14ac:dyDescent="0.2">
      <c r="B2012" t="s">
        <v>1433</v>
      </c>
      <c r="C2012" t="s">
        <v>12898</v>
      </c>
      <c r="D2012" t="s">
        <v>621</v>
      </c>
      <c r="E2012" t="s">
        <v>8403</v>
      </c>
      <c r="F2012">
        <v>59.54</v>
      </c>
      <c r="H2012" t="s">
        <v>1671</v>
      </c>
      <c r="L2012" t="s">
        <v>1433</v>
      </c>
      <c r="M2012" t="s">
        <v>3168</v>
      </c>
      <c r="N2012" t="s">
        <v>3169</v>
      </c>
      <c r="O2012">
        <v>16</v>
      </c>
    </row>
    <row r="2013" spans="2:15" x14ac:dyDescent="0.2">
      <c r="B2013" t="s">
        <v>1433</v>
      </c>
      <c r="C2013" t="s">
        <v>12898</v>
      </c>
      <c r="D2013" t="s">
        <v>617</v>
      </c>
      <c r="E2013" t="s">
        <v>8404</v>
      </c>
      <c r="F2013">
        <v>18.13</v>
      </c>
      <c r="H2013" t="s">
        <v>5251</v>
      </c>
      <c r="L2013" t="s">
        <v>1433</v>
      </c>
      <c r="M2013" t="s">
        <v>3170</v>
      </c>
      <c r="N2013" t="s">
        <v>3171</v>
      </c>
      <c r="O2013">
        <v>1</v>
      </c>
    </row>
    <row r="2014" spans="2:15" x14ac:dyDescent="0.2">
      <c r="B2014" t="s">
        <v>1433</v>
      </c>
      <c r="C2014" t="s">
        <v>12898</v>
      </c>
      <c r="D2014" t="s">
        <v>617</v>
      </c>
      <c r="E2014" t="s">
        <v>8405</v>
      </c>
      <c r="F2014">
        <v>27.88</v>
      </c>
      <c r="H2014" t="s">
        <v>1626</v>
      </c>
      <c r="L2014" t="s">
        <v>1433</v>
      </c>
      <c r="M2014" t="s">
        <v>3172</v>
      </c>
      <c r="N2014" t="s">
        <v>3171</v>
      </c>
      <c r="O2014">
        <v>1</v>
      </c>
    </row>
    <row r="2015" spans="2:15" x14ac:dyDescent="0.2">
      <c r="B2015" t="s">
        <v>1433</v>
      </c>
      <c r="C2015" t="s">
        <v>12898</v>
      </c>
      <c r="D2015" t="s">
        <v>617</v>
      </c>
      <c r="E2015" t="s">
        <v>8406</v>
      </c>
      <c r="F2015">
        <v>1.2</v>
      </c>
      <c r="H2015" t="s">
        <v>1630</v>
      </c>
      <c r="L2015" t="s">
        <v>1433</v>
      </c>
      <c r="M2015" t="s">
        <v>3173</v>
      </c>
      <c r="N2015" t="s">
        <v>3171</v>
      </c>
      <c r="O2015">
        <v>1</v>
      </c>
    </row>
    <row r="2016" spans="2:15" x14ac:dyDescent="0.2">
      <c r="B2016" t="s">
        <v>1433</v>
      </c>
      <c r="C2016" t="s">
        <v>12898</v>
      </c>
      <c r="D2016" t="s">
        <v>617</v>
      </c>
      <c r="E2016" t="s">
        <v>8407</v>
      </c>
      <c r="F2016">
        <v>22.68</v>
      </c>
      <c r="H2016" t="s">
        <v>1627</v>
      </c>
      <c r="L2016" t="s">
        <v>1433</v>
      </c>
      <c r="M2016" t="s">
        <v>3174</v>
      </c>
      <c r="N2016" t="s">
        <v>3171</v>
      </c>
      <c r="O2016">
        <v>1</v>
      </c>
    </row>
    <row r="2017" spans="2:15" x14ac:dyDescent="0.2">
      <c r="B2017" t="s">
        <v>1433</v>
      </c>
      <c r="C2017" t="s">
        <v>12898</v>
      </c>
      <c r="D2017" t="s">
        <v>617</v>
      </c>
      <c r="E2017" t="s">
        <v>8408</v>
      </c>
      <c r="F2017">
        <v>1.75</v>
      </c>
      <c r="H2017" t="s">
        <v>1629</v>
      </c>
      <c r="L2017" t="s">
        <v>1433</v>
      </c>
      <c r="M2017" t="s">
        <v>3175</v>
      </c>
      <c r="N2017" t="s">
        <v>3176</v>
      </c>
      <c r="O2017">
        <v>8</v>
      </c>
    </row>
    <row r="2018" spans="2:15" x14ac:dyDescent="0.2">
      <c r="B2018" t="s">
        <v>1433</v>
      </c>
      <c r="C2018" t="s">
        <v>12898</v>
      </c>
      <c r="D2018" t="s">
        <v>617</v>
      </c>
      <c r="E2018" t="s">
        <v>8409</v>
      </c>
      <c r="F2018">
        <v>1.91</v>
      </c>
      <c r="H2018" t="s">
        <v>7637</v>
      </c>
      <c r="L2018" t="s">
        <v>1433</v>
      </c>
      <c r="M2018" t="s">
        <v>3177</v>
      </c>
      <c r="N2018" t="s">
        <v>3178</v>
      </c>
      <c r="O2018">
        <v>1</v>
      </c>
    </row>
    <row r="2019" spans="2:15" x14ac:dyDescent="0.2">
      <c r="B2019" t="s">
        <v>1433</v>
      </c>
      <c r="C2019" t="s">
        <v>12898</v>
      </c>
      <c r="D2019" t="s">
        <v>617</v>
      </c>
      <c r="E2019" t="s">
        <v>8410</v>
      </c>
      <c r="F2019">
        <v>3.9</v>
      </c>
      <c r="H2019" t="s">
        <v>7619</v>
      </c>
      <c r="L2019" t="s">
        <v>1433</v>
      </c>
      <c r="M2019" t="s">
        <v>3179</v>
      </c>
      <c r="N2019" t="s">
        <v>3178</v>
      </c>
      <c r="O2019">
        <v>1</v>
      </c>
    </row>
    <row r="2020" spans="2:15" x14ac:dyDescent="0.2">
      <c r="B2020" t="s">
        <v>1433</v>
      </c>
      <c r="C2020" t="s">
        <v>12898</v>
      </c>
      <c r="D2020" t="s">
        <v>617</v>
      </c>
      <c r="E2020" t="s">
        <v>8411</v>
      </c>
      <c r="F2020">
        <v>55.44</v>
      </c>
      <c r="H2020" t="s">
        <v>1624</v>
      </c>
      <c r="L2020" t="s">
        <v>1433</v>
      </c>
      <c r="M2020" t="s">
        <v>3180</v>
      </c>
      <c r="N2020" t="s">
        <v>3158</v>
      </c>
      <c r="O2020">
        <v>2</v>
      </c>
    </row>
    <row r="2021" spans="2:15" x14ac:dyDescent="0.2">
      <c r="B2021" t="s">
        <v>1433</v>
      </c>
      <c r="C2021" t="s">
        <v>12898</v>
      </c>
      <c r="D2021" t="s">
        <v>617</v>
      </c>
      <c r="E2021" t="s">
        <v>8412</v>
      </c>
      <c r="F2021">
        <v>10</v>
      </c>
      <c r="H2021" t="s">
        <v>1628</v>
      </c>
      <c r="L2021" t="s">
        <v>1433</v>
      </c>
      <c r="M2021" t="s">
        <v>3181</v>
      </c>
      <c r="N2021" t="s">
        <v>3182</v>
      </c>
      <c r="O2021">
        <v>50</v>
      </c>
    </row>
    <row r="2022" spans="2:15" x14ac:dyDescent="0.2">
      <c r="B2022" t="s">
        <v>1433</v>
      </c>
      <c r="C2022" t="s">
        <v>12898</v>
      </c>
      <c r="D2022" t="s">
        <v>613</v>
      </c>
      <c r="E2022" t="s">
        <v>8413</v>
      </c>
      <c r="F2022">
        <v>0.36</v>
      </c>
      <c r="H2022" t="s">
        <v>7606</v>
      </c>
      <c r="L2022" t="s">
        <v>1433</v>
      </c>
      <c r="M2022" t="s">
        <v>3047</v>
      </c>
      <c r="N2022" t="s">
        <v>3183</v>
      </c>
      <c r="O2022">
        <v>6</v>
      </c>
    </row>
    <row r="2023" spans="2:15" x14ac:dyDescent="0.2">
      <c r="B2023" t="s">
        <v>1433</v>
      </c>
      <c r="C2023" t="s">
        <v>12898</v>
      </c>
      <c r="D2023" t="s">
        <v>613</v>
      </c>
      <c r="E2023" t="s">
        <v>8414</v>
      </c>
      <c r="F2023">
        <v>0.31</v>
      </c>
      <c r="H2023" t="s">
        <v>5271</v>
      </c>
      <c r="L2023" t="s">
        <v>1433</v>
      </c>
      <c r="M2023" t="s">
        <v>3184</v>
      </c>
      <c r="N2023" t="s">
        <v>3185</v>
      </c>
      <c r="O2023">
        <v>1</v>
      </c>
    </row>
    <row r="2024" spans="2:15" x14ac:dyDescent="0.2">
      <c r="B2024" t="s">
        <v>1433</v>
      </c>
      <c r="C2024" t="s">
        <v>12898</v>
      </c>
      <c r="D2024" t="s">
        <v>613</v>
      </c>
      <c r="E2024" t="s">
        <v>8415</v>
      </c>
      <c r="F2024">
        <v>10</v>
      </c>
      <c r="H2024" t="s">
        <v>5131</v>
      </c>
      <c r="L2024" t="s">
        <v>1433</v>
      </c>
      <c r="M2024" t="s">
        <v>2259</v>
      </c>
      <c r="N2024" t="s">
        <v>3159</v>
      </c>
      <c r="O2024">
        <v>1</v>
      </c>
    </row>
    <row r="2025" spans="2:15" x14ac:dyDescent="0.2">
      <c r="B2025" t="s">
        <v>1433</v>
      </c>
      <c r="C2025" t="s">
        <v>12898</v>
      </c>
      <c r="D2025" t="s">
        <v>621</v>
      </c>
      <c r="E2025" t="s">
        <v>8416</v>
      </c>
      <c r="F2025">
        <v>2.37</v>
      </c>
      <c r="H2025" t="s">
        <v>8417</v>
      </c>
      <c r="L2025" t="s">
        <v>1433</v>
      </c>
      <c r="M2025" t="s">
        <v>1447</v>
      </c>
      <c r="N2025" t="s">
        <v>3159</v>
      </c>
      <c r="O2025">
        <v>4</v>
      </c>
    </row>
    <row r="2026" spans="2:15" x14ac:dyDescent="0.2">
      <c r="B2026" t="s">
        <v>1433</v>
      </c>
      <c r="C2026" t="s">
        <v>12898</v>
      </c>
      <c r="D2026" t="s">
        <v>617</v>
      </c>
      <c r="E2026" t="s">
        <v>8418</v>
      </c>
      <c r="F2026">
        <v>69.7</v>
      </c>
      <c r="H2026" t="s">
        <v>1626</v>
      </c>
      <c r="L2026" t="s">
        <v>1433</v>
      </c>
      <c r="M2026" t="s">
        <v>1963</v>
      </c>
      <c r="N2026" t="s">
        <v>3159</v>
      </c>
      <c r="O2026">
        <v>1</v>
      </c>
    </row>
    <row r="2027" spans="2:15" x14ac:dyDescent="0.2">
      <c r="B2027" t="s">
        <v>1433</v>
      </c>
      <c r="C2027" t="s">
        <v>12898</v>
      </c>
      <c r="D2027" t="s">
        <v>617</v>
      </c>
      <c r="E2027" t="s">
        <v>8419</v>
      </c>
      <c r="F2027">
        <v>3</v>
      </c>
      <c r="H2027" t="s">
        <v>1630</v>
      </c>
      <c r="L2027" t="s">
        <v>1433</v>
      </c>
      <c r="M2027" t="s">
        <v>1474</v>
      </c>
      <c r="N2027" t="s">
        <v>3186</v>
      </c>
      <c r="O2027">
        <v>1</v>
      </c>
    </row>
    <row r="2028" spans="2:15" x14ac:dyDescent="0.2">
      <c r="B2028" t="s">
        <v>1433</v>
      </c>
      <c r="C2028" t="s">
        <v>12898</v>
      </c>
      <c r="D2028" t="s">
        <v>617</v>
      </c>
      <c r="E2028" t="s">
        <v>8420</v>
      </c>
      <c r="F2028">
        <v>7.92</v>
      </c>
      <c r="H2028" t="s">
        <v>1624</v>
      </c>
      <c r="L2028" t="s">
        <v>1433</v>
      </c>
      <c r="M2028" t="s">
        <v>3187</v>
      </c>
      <c r="N2028" t="s">
        <v>3188</v>
      </c>
      <c r="O2028">
        <v>1</v>
      </c>
    </row>
    <row r="2029" spans="2:15" x14ac:dyDescent="0.2">
      <c r="B2029" t="s">
        <v>1433</v>
      </c>
      <c r="C2029" t="s">
        <v>12898</v>
      </c>
      <c r="D2029" t="s">
        <v>617</v>
      </c>
      <c r="E2029" t="s">
        <v>8421</v>
      </c>
      <c r="F2029">
        <v>22.68</v>
      </c>
      <c r="H2029" t="s">
        <v>1627</v>
      </c>
      <c r="L2029" t="s">
        <v>1433</v>
      </c>
      <c r="M2029" t="s">
        <v>1574</v>
      </c>
      <c r="N2029" t="s">
        <v>3189</v>
      </c>
      <c r="O2029">
        <v>2</v>
      </c>
    </row>
    <row r="2030" spans="2:15" x14ac:dyDescent="0.2">
      <c r="B2030" t="s">
        <v>1433</v>
      </c>
      <c r="C2030" t="s">
        <v>12898</v>
      </c>
      <c r="D2030" t="s">
        <v>613</v>
      </c>
      <c r="E2030" t="s">
        <v>8422</v>
      </c>
      <c r="F2030">
        <v>0.75</v>
      </c>
      <c r="H2030" t="s">
        <v>7606</v>
      </c>
      <c r="L2030" t="s">
        <v>1433</v>
      </c>
      <c r="M2030" t="s">
        <v>3190</v>
      </c>
      <c r="N2030" t="s">
        <v>3191</v>
      </c>
      <c r="O2030">
        <v>2</v>
      </c>
    </row>
    <row r="2031" spans="2:15" x14ac:dyDescent="0.2">
      <c r="B2031" t="s">
        <v>1433</v>
      </c>
      <c r="C2031" t="s">
        <v>12898</v>
      </c>
      <c r="D2031" t="s">
        <v>613</v>
      </c>
      <c r="E2031" t="s">
        <v>8423</v>
      </c>
      <c r="F2031">
        <v>1.57</v>
      </c>
      <c r="H2031" t="s">
        <v>7653</v>
      </c>
      <c r="L2031" t="s">
        <v>1433</v>
      </c>
      <c r="M2031" t="s">
        <v>3192</v>
      </c>
      <c r="N2031" t="s">
        <v>3193</v>
      </c>
      <c r="O2031">
        <v>1</v>
      </c>
    </row>
    <row r="2032" spans="2:15" x14ac:dyDescent="0.2">
      <c r="B2032" t="s">
        <v>1433</v>
      </c>
      <c r="C2032" t="s">
        <v>12898</v>
      </c>
      <c r="D2032" t="s">
        <v>617</v>
      </c>
      <c r="E2032" t="s">
        <v>8424</v>
      </c>
      <c r="F2032">
        <v>0.61</v>
      </c>
      <c r="H2032" t="s">
        <v>1613</v>
      </c>
      <c r="L2032" t="s">
        <v>1433</v>
      </c>
      <c r="M2032" t="s">
        <v>3194</v>
      </c>
      <c r="N2032" t="s">
        <v>3193</v>
      </c>
      <c r="O2032">
        <v>1</v>
      </c>
    </row>
    <row r="2033" spans="2:15" x14ac:dyDescent="0.2">
      <c r="B2033" t="s">
        <v>1433</v>
      </c>
      <c r="C2033" t="s">
        <v>12898</v>
      </c>
      <c r="D2033" t="s">
        <v>617</v>
      </c>
      <c r="E2033" t="s">
        <v>8425</v>
      </c>
      <c r="F2033">
        <v>0.85</v>
      </c>
      <c r="H2033" t="s">
        <v>1615</v>
      </c>
      <c r="L2033" t="s">
        <v>1433</v>
      </c>
      <c r="M2033" t="s">
        <v>3195</v>
      </c>
      <c r="N2033" t="s">
        <v>3193</v>
      </c>
      <c r="O2033">
        <v>1</v>
      </c>
    </row>
    <row r="2034" spans="2:15" x14ac:dyDescent="0.2">
      <c r="B2034" t="s">
        <v>1433</v>
      </c>
      <c r="C2034" t="s">
        <v>12898</v>
      </c>
      <c r="D2034" t="s">
        <v>617</v>
      </c>
      <c r="E2034" t="s">
        <v>8426</v>
      </c>
      <c r="F2034">
        <v>1.4</v>
      </c>
      <c r="H2034" t="s">
        <v>1629</v>
      </c>
      <c r="L2034" t="s">
        <v>1433</v>
      </c>
      <c r="M2034" t="s">
        <v>3196</v>
      </c>
      <c r="N2034" t="s">
        <v>3193</v>
      </c>
      <c r="O2034">
        <v>1</v>
      </c>
    </row>
    <row r="2035" spans="2:15" x14ac:dyDescent="0.2">
      <c r="B2035" t="s">
        <v>1433</v>
      </c>
      <c r="C2035" t="s">
        <v>12898</v>
      </c>
      <c r="D2035" t="s">
        <v>554</v>
      </c>
      <c r="E2035" t="s">
        <v>8427</v>
      </c>
      <c r="F2035">
        <v>15.8</v>
      </c>
      <c r="H2035" t="s">
        <v>7958</v>
      </c>
      <c r="L2035" t="s">
        <v>1433</v>
      </c>
      <c r="M2035" t="s">
        <v>3197</v>
      </c>
      <c r="N2035" t="s">
        <v>3193</v>
      </c>
      <c r="O2035">
        <v>1</v>
      </c>
    </row>
    <row r="2036" spans="2:15" x14ac:dyDescent="0.2">
      <c r="B2036" t="s">
        <v>1433</v>
      </c>
      <c r="C2036" t="s">
        <v>12898</v>
      </c>
      <c r="D2036" t="s">
        <v>617</v>
      </c>
      <c r="E2036" t="s">
        <v>8428</v>
      </c>
      <c r="F2036">
        <v>2.2000000000000002</v>
      </c>
      <c r="H2036" t="s">
        <v>4878</v>
      </c>
      <c r="L2036" t="s">
        <v>1433</v>
      </c>
      <c r="M2036" t="s">
        <v>1880</v>
      </c>
      <c r="N2036" t="s">
        <v>3198</v>
      </c>
      <c r="O2036">
        <v>6</v>
      </c>
    </row>
    <row r="2037" spans="2:15" x14ac:dyDescent="0.2">
      <c r="B2037" t="s">
        <v>1433</v>
      </c>
      <c r="C2037" t="s">
        <v>12898</v>
      </c>
      <c r="D2037" t="s">
        <v>613</v>
      </c>
      <c r="E2037" t="s">
        <v>8429</v>
      </c>
      <c r="F2037">
        <v>0.32</v>
      </c>
      <c r="H2037" t="s">
        <v>8214</v>
      </c>
      <c r="L2037" t="s">
        <v>1433</v>
      </c>
      <c r="M2037" t="s">
        <v>3199</v>
      </c>
      <c r="N2037" t="s">
        <v>3200</v>
      </c>
      <c r="O2037">
        <v>120</v>
      </c>
    </row>
    <row r="2038" spans="2:15" x14ac:dyDescent="0.2">
      <c r="B2038" t="s">
        <v>1433</v>
      </c>
      <c r="C2038" t="s">
        <v>12898</v>
      </c>
      <c r="D2038" t="s">
        <v>617</v>
      </c>
      <c r="E2038" t="s">
        <v>8430</v>
      </c>
      <c r="F2038">
        <v>3</v>
      </c>
      <c r="H2038" t="s">
        <v>1630</v>
      </c>
      <c r="L2038" t="s">
        <v>1433</v>
      </c>
      <c r="M2038" t="s">
        <v>3201</v>
      </c>
      <c r="N2038" t="s">
        <v>3202</v>
      </c>
      <c r="O2038">
        <v>1</v>
      </c>
    </row>
    <row r="2039" spans="2:15" x14ac:dyDescent="0.2">
      <c r="B2039" t="s">
        <v>1433</v>
      </c>
      <c r="C2039" t="s">
        <v>12898</v>
      </c>
      <c r="D2039" t="s">
        <v>617</v>
      </c>
      <c r="E2039" t="s">
        <v>8431</v>
      </c>
      <c r="F2039">
        <v>4.53</v>
      </c>
      <c r="H2039" t="s">
        <v>5251</v>
      </c>
      <c r="L2039" t="s">
        <v>1433</v>
      </c>
      <c r="M2039" t="s">
        <v>3203</v>
      </c>
      <c r="N2039" t="s">
        <v>3204</v>
      </c>
      <c r="O2039">
        <v>1</v>
      </c>
    </row>
    <row r="2040" spans="2:15" x14ac:dyDescent="0.2">
      <c r="B2040" t="s">
        <v>1433</v>
      </c>
      <c r="C2040" t="s">
        <v>12898</v>
      </c>
      <c r="D2040" t="s">
        <v>617</v>
      </c>
      <c r="E2040" t="s">
        <v>8432</v>
      </c>
      <c r="F2040">
        <v>10.4</v>
      </c>
      <c r="H2040" t="s">
        <v>8433</v>
      </c>
      <c r="L2040" t="s">
        <v>1433</v>
      </c>
      <c r="M2040" t="s">
        <v>3205</v>
      </c>
      <c r="N2040" t="s">
        <v>3204</v>
      </c>
      <c r="O2040">
        <v>1</v>
      </c>
    </row>
    <row r="2041" spans="2:15" x14ac:dyDescent="0.2">
      <c r="B2041" t="s">
        <v>1433</v>
      </c>
      <c r="C2041" t="s">
        <v>12898</v>
      </c>
      <c r="D2041" t="s">
        <v>617</v>
      </c>
      <c r="E2041" t="s">
        <v>8434</v>
      </c>
      <c r="F2041">
        <v>3.82</v>
      </c>
      <c r="H2041" t="s">
        <v>7637</v>
      </c>
      <c r="L2041" t="s">
        <v>1433</v>
      </c>
      <c r="M2041" t="s">
        <v>3206</v>
      </c>
      <c r="N2041" t="s">
        <v>3204</v>
      </c>
      <c r="O2041">
        <v>1</v>
      </c>
    </row>
    <row r="2042" spans="2:15" x14ac:dyDescent="0.2">
      <c r="B2042" t="s">
        <v>1433</v>
      </c>
      <c r="C2042" t="s">
        <v>12898</v>
      </c>
      <c r="D2042" t="s">
        <v>617</v>
      </c>
      <c r="E2042" t="s">
        <v>8435</v>
      </c>
      <c r="F2042">
        <v>0.72</v>
      </c>
      <c r="H2042" t="s">
        <v>5255</v>
      </c>
      <c r="L2042" t="s">
        <v>1433</v>
      </c>
      <c r="M2042" t="s">
        <v>3207</v>
      </c>
      <c r="N2042" t="s">
        <v>3208</v>
      </c>
      <c r="O2042">
        <v>1</v>
      </c>
    </row>
    <row r="2043" spans="2:15" x14ac:dyDescent="0.2">
      <c r="B2043" t="s">
        <v>1433</v>
      </c>
      <c r="C2043" t="s">
        <v>12898</v>
      </c>
      <c r="D2043" t="s">
        <v>617</v>
      </c>
      <c r="E2043" t="s">
        <v>8436</v>
      </c>
      <c r="F2043">
        <v>45.36</v>
      </c>
      <c r="H2043" t="s">
        <v>1627</v>
      </c>
      <c r="L2043" t="s">
        <v>1433</v>
      </c>
      <c r="M2043" t="s">
        <v>3209</v>
      </c>
      <c r="N2043" t="s">
        <v>3210</v>
      </c>
      <c r="O2043">
        <v>1</v>
      </c>
    </row>
    <row r="2044" spans="2:15" x14ac:dyDescent="0.2">
      <c r="B2044" t="s">
        <v>1433</v>
      </c>
      <c r="C2044" t="s">
        <v>12898</v>
      </c>
      <c r="D2044" t="s">
        <v>617</v>
      </c>
      <c r="E2044" t="s">
        <v>8437</v>
      </c>
      <c r="F2044">
        <v>0.7</v>
      </c>
      <c r="H2044" t="s">
        <v>1629</v>
      </c>
      <c r="L2044" t="s">
        <v>1433</v>
      </c>
      <c r="M2044" t="s">
        <v>3211</v>
      </c>
      <c r="N2044" t="s">
        <v>3212</v>
      </c>
      <c r="O2044">
        <v>1</v>
      </c>
    </row>
    <row r="2045" spans="2:15" x14ac:dyDescent="0.2">
      <c r="B2045" t="s">
        <v>1433</v>
      </c>
      <c r="C2045" t="s">
        <v>12898</v>
      </c>
      <c r="D2045" t="s">
        <v>617</v>
      </c>
      <c r="E2045" t="s">
        <v>8438</v>
      </c>
      <c r="F2045">
        <v>118.8</v>
      </c>
      <c r="H2045" t="s">
        <v>1624</v>
      </c>
      <c r="L2045" t="s">
        <v>1433</v>
      </c>
      <c r="M2045" t="s">
        <v>3213</v>
      </c>
      <c r="N2045" t="s">
        <v>3212</v>
      </c>
      <c r="O2045">
        <v>1</v>
      </c>
    </row>
    <row r="2046" spans="2:15" x14ac:dyDescent="0.2">
      <c r="B2046" t="s">
        <v>1433</v>
      </c>
      <c r="C2046" t="s">
        <v>12898</v>
      </c>
      <c r="D2046" t="s">
        <v>617</v>
      </c>
      <c r="E2046" t="s">
        <v>8439</v>
      </c>
      <c r="F2046">
        <v>15</v>
      </c>
      <c r="H2046" t="s">
        <v>1628</v>
      </c>
      <c r="L2046" t="s">
        <v>1433</v>
      </c>
      <c r="M2046" t="s">
        <v>3214</v>
      </c>
      <c r="N2046" t="s">
        <v>3212</v>
      </c>
      <c r="O2046">
        <v>1</v>
      </c>
    </row>
    <row r="2047" spans="2:15" x14ac:dyDescent="0.2">
      <c r="B2047" t="s">
        <v>1433</v>
      </c>
      <c r="C2047" t="s">
        <v>12898</v>
      </c>
      <c r="D2047" t="s">
        <v>621</v>
      </c>
      <c r="E2047" t="s">
        <v>8440</v>
      </c>
      <c r="F2047">
        <v>123.3</v>
      </c>
      <c r="H2047" t="s">
        <v>1671</v>
      </c>
      <c r="L2047" t="s">
        <v>1433</v>
      </c>
      <c r="M2047" t="s">
        <v>3215</v>
      </c>
      <c r="N2047" t="s">
        <v>3216</v>
      </c>
      <c r="O2047">
        <v>1</v>
      </c>
    </row>
    <row r="2048" spans="2:15" x14ac:dyDescent="0.2">
      <c r="B2048" t="s">
        <v>1433</v>
      </c>
      <c r="C2048" t="s">
        <v>12898</v>
      </c>
      <c r="D2048" t="s">
        <v>621</v>
      </c>
      <c r="E2048" t="s">
        <v>8441</v>
      </c>
      <c r="F2048">
        <v>64.75</v>
      </c>
      <c r="H2048" t="s">
        <v>8021</v>
      </c>
      <c r="L2048" t="s">
        <v>1433</v>
      </c>
      <c r="M2048" t="s">
        <v>3217</v>
      </c>
      <c r="N2048" t="s">
        <v>3218</v>
      </c>
      <c r="O2048">
        <v>1</v>
      </c>
    </row>
    <row r="2049" spans="2:15" x14ac:dyDescent="0.2">
      <c r="B2049" t="s">
        <v>1433</v>
      </c>
      <c r="C2049" t="s">
        <v>12898</v>
      </c>
      <c r="D2049" t="s">
        <v>617</v>
      </c>
      <c r="E2049" t="s">
        <v>8442</v>
      </c>
      <c r="F2049">
        <v>16.41</v>
      </c>
      <c r="H2049" t="s">
        <v>1616</v>
      </c>
      <c r="L2049" t="s">
        <v>1433</v>
      </c>
      <c r="M2049" t="s">
        <v>1545</v>
      </c>
      <c r="N2049" t="s">
        <v>3219</v>
      </c>
      <c r="O2049">
        <v>1</v>
      </c>
    </row>
    <row r="2050" spans="2:15" x14ac:dyDescent="0.2">
      <c r="B2050" t="s">
        <v>1433</v>
      </c>
      <c r="C2050" t="s">
        <v>12898</v>
      </c>
      <c r="D2050" t="s">
        <v>617</v>
      </c>
      <c r="E2050" t="s">
        <v>8443</v>
      </c>
      <c r="F2050">
        <v>2.81</v>
      </c>
      <c r="H2050" t="s">
        <v>6489</v>
      </c>
      <c r="L2050" t="s">
        <v>1433</v>
      </c>
      <c r="M2050" t="s">
        <v>1547</v>
      </c>
      <c r="N2050" t="s">
        <v>3219</v>
      </c>
      <c r="O2050">
        <v>1</v>
      </c>
    </row>
    <row r="2051" spans="2:15" x14ac:dyDescent="0.2">
      <c r="B2051" t="s">
        <v>1433</v>
      </c>
      <c r="C2051" t="s">
        <v>12898</v>
      </c>
      <c r="D2051" t="s">
        <v>617</v>
      </c>
      <c r="E2051" t="s">
        <v>8444</v>
      </c>
      <c r="F2051">
        <v>42.5</v>
      </c>
      <c r="H2051" t="s">
        <v>1615</v>
      </c>
      <c r="L2051" t="s">
        <v>1433</v>
      </c>
      <c r="M2051" t="s">
        <v>1548</v>
      </c>
      <c r="N2051" t="s">
        <v>3219</v>
      </c>
      <c r="O2051">
        <v>1</v>
      </c>
    </row>
    <row r="2052" spans="2:15" x14ac:dyDescent="0.2">
      <c r="B2052" t="s">
        <v>1433</v>
      </c>
      <c r="C2052" t="s">
        <v>12898</v>
      </c>
      <c r="D2052" t="s">
        <v>613</v>
      </c>
      <c r="E2052" t="s">
        <v>8445</v>
      </c>
      <c r="F2052">
        <v>24.36</v>
      </c>
      <c r="H2052" t="s">
        <v>6845</v>
      </c>
      <c r="L2052" t="s">
        <v>1433</v>
      </c>
      <c r="M2052" t="s">
        <v>2212</v>
      </c>
      <c r="N2052" t="s">
        <v>3220</v>
      </c>
      <c r="O2052">
        <v>2</v>
      </c>
    </row>
    <row r="2053" spans="2:15" x14ac:dyDescent="0.2">
      <c r="B2053" t="s">
        <v>1433</v>
      </c>
      <c r="C2053" t="s">
        <v>12898</v>
      </c>
      <c r="D2053" t="s">
        <v>617</v>
      </c>
      <c r="E2053" t="s">
        <v>8446</v>
      </c>
      <c r="F2053">
        <v>1.95</v>
      </c>
      <c r="H2053" t="s">
        <v>7619</v>
      </c>
      <c r="L2053" t="s">
        <v>1433</v>
      </c>
      <c r="M2053" t="s">
        <v>3221</v>
      </c>
      <c r="N2053" t="s">
        <v>3222</v>
      </c>
      <c r="O2053">
        <v>1</v>
      </c>
    </row>
    <row r="2054" spans="2:15" x14ac:dyDescent="0.2">
      <c r="B2054" t="s">
        <v>1433</v>
      </c>
      <c r="C2054" t="s">
        <v>12898</v>
      </c>
      <c r="D2054" t="s">
        <v>617</v>
      </c>
      <c r="E2054" t="s">
        <v>8447</v>
      </c>
      <c r="F2054">
        <v>2.81</v>
      </c>
      <c r="H2054" t="s">
        <v>6489</v>
      </c>
      <c r="L2054" t="s">
        <v>1433</v>
      </c>
      <c r="M2054" t="s">
        <v>1265</v>
      </c>
      <c r="N2054" t="s">
        <v>3223</v>
      </c>
      <c r="O2054">
        <v>2</v>
      </c>
    </row>
    <row r="2055" spans="2:15" x14ac:dyDescent="0.2">
      <c r="B2055" t="s">
        <v>1433</v>
      </c>
      <c r="C2055" t="s">
        <v>12898</v>
      </c>
      <c r="D2055" t="s">
        <v>617</v>
      </c>
      <c r="E2055" t="s">
        <v>8448</v>
      </c>
      <c r="F2055">
        <v>26.42</v>
      </c>
      <c r="H2055" t="s">
        <v>7928</v>
      </c>
      <c r="L2055" t="s">
        <v>1433</v>
      </c>
      <c r="M2055" t="s">
        <v>1268</v>
      </c>
      <c r="N2055" t="s">
        <v>3223</v>
      </c>
      <c r="O2055">
        <v>2</v>
      </c>
    </row>
    <row r="2056" spans="2:15" x14ac:dyDescent="0.2">
      <c r="B2056" t="s">
        <v>1433</v>
      </c>
      <c r="C2056" t="s">
        <v>12898</v>
      </c>
      <c r="D2056" t="s">
        <v>617</v>
      </c>
      <c r="E2056" t="s">
        <v>8449</v>
      </c>
      <c r="F2056">
        <v>1.39</v>
      </c>
      <c r="H2056" t="s">
        <v>5075</v>
      </c>
      <c r="L2056" t="s">
        <v>1433</v>
      </c>
      <c r="M2056" t="s">
        <v>1269</v>
      </c>
      <c r="N2056" t="s">
        <v>3223</v>
      </c>
      <c r="O2056">
        <v>2</v>
      </c>
    </row>
    <row r="2057" spans="2:15" x14ac:dyDescent="0.2">
      <c r="B2057" t="s">
        <v>1433</v>
      </c>
      <c r="C2057" t="s">
        <v>12898</v>
      </c>
      <c r="D2057" t="s">
        <v>613</v>
      </c>
      <c r="E2057" t="s">
        <v>8450</v>
      </c>
      <c r="F2057">
        <v>1.5</v>
      </c>
      <c r="H2057" t="s">
        <v>7606</v>
      </c>
      <c r="L2057" t="s">
        <v>1433</v>
      </c>
      <c r="M2057" t="s">
        <v>1282</v>
      </c>
      <c r="N2057" t="s">
        <v>3223</v>
      </c>
      <c r="O2057">
        <v>2</v>
      </c>
    </row>
    <row r="2058" spans="2:15" x14ac:dyDescent="0.2">
      <c r="B2058" t="s">
        <v>1433</v>
      </c>
      <c r="C2058" t="s">
        <v>12898</v>
      </c>
      <c r="D2058" t="s">
        <v>613</v>
      </c>
      <c r="E2058" t="s">
        <v>8451</v>
      </c>
      <c r="F2058">
        <v>1.28</v>
      </c>
      <c r="H2058" t="s">
        <v>5271</v>
      </c>
      <c r="L2058" t="s">
        <v>1433</v>
      </c>
      <c r="M2058" t="s">
        <v>1284</v>
      </c>
      <c r="N2058" t="s">
        <v>3223</v>
      </c>
      <c r="O2058">
        <v>2</v>
      </c>
    </row>
    <row r="2059" spans="2:15" x14ac:dyDescent="0.2">
      <c r="B2059" t="s">
        <v>1433</v>
      </c>
      <c r="C2059" t="s">
        <v>12898</v>
      </c>
      <c r="D2059" t="s">
        <v>617</v>
      </c>
      <c r="E2059" t="s">
        <v>8452</v>
      </c>
      <c r="F2059">
        <v>0.27</v>
      </c>
      <c r="H2059" t="s">
        <v>8453</v>
      </c>
      <c r="L2059" t="s">
        <v>1433</v>
      </c>
      <c r="M2059" t="s">
        <v>1298</v>
      </c>
      <c r="N2059" t="s">
        <v>3223</v>
      </c>
      <c r="O2059">
        <v>2</v>
      </c>
    </row>
    <row r="2060" spans="2:15" x14ac:dyDescent="0.2">
      <c r="B2060" t="s">
        <v>1433</v>
      </c>
      <c r="C2060" t="s">
        <v>12898</v>
      </c>
      <c r="D2060" t="s">
        <v>617</v>
      </c>
      <c r="E2060" t="s">
        <v>8454</v>
      </c>
      <c r="F2060">
        <v>8.81</v>
      </c>
      <c r="H2060" t="s">
        <v>7928</v>
      </c>
      <c r="L2060" t="s">
        <v>1433</v>
      </c>
      <c r="M2060" t="s">
        <v>1317</v>
      </c>
      <c r="N2060" t="s">
        <v>3223</v>
      </c>
      <c r="O2060">
        <v>2</v>
      </c>
    </row>
    <row r="2061" spans="2:15" x14ac:dyDescent="0.2">
      <c r="B2061" t="s">
        <v>1433</v>
      </c>
      <c r="C2061" t="s">
        <v>12898</v>
      </c>
      <c r="D2061" t="s">
        <v>617</v>
      </c>
      <c r="E2061" t="s">
        <v>8455</v>
      </c>
      <c r="F2061">
        <v>7.07</v>
      </c>
      <c r="H2061" t="s">
        <v>6492</v>
      </c>
      <c r="L2061" t="s">
        <v>1433</v>
      </c>
      <c r="M2061" t="s">
        <v>3224</v>
      </c>
      <c r="N2061" t="s">
        <v>3225</v>
      </c>
      <c r="O2061">
        <v>1</v>
      </c>
    </row>
    <row r="2062" spans="2:15" x14ac:dyDescent="0.2">
      <c r="B2062" t="s">
        <v>1433</v>
      </c>
      <c r="C2062" t="s">
        <v>12898</v>
      </c>
      <c r="D2062" t="s">
        <v>617</v>
      </c>
      <c r="E2062" t="s">
        <v>8456</v>
      </c>
      <c r="F2062">
        <v>31.72</v>
      </c>
      <c r="H2062" t="s">
        <v>5251</v>
      </c>
      <c r="L2062" t="s">
        <v>1433</v>
      </c>
      <c r="M2062" t="s">
        <v>3226</v>
      </c>
      <c r="N2062" t="s">
        <v>3225</v>
      </c>
      <c r="O2062">
        <v>1</v>
      </c>
    </row>
    <row r="2063" spans="2:15" x14ac:dyDescent="0.2">
      <c r="B2063" t="s">
        <v>1433</v>
      </c>
      <c r="C2063" t="s">
        <v>12898</v>
      </c>
      <c r="D2063" t="s">
        <v>613</v>
      </c>
      <c r="E2063" t="s">
        <v>8457</v>
      </c>
      <c r="F2063">
        <v>2.56</v>
      </c>
      <c r="H2063" t="s">
        <v>7991</v>
      </c>
      <c r="L2063" t="s">
        <v>1433</v>
      </c>
      <c r="M2063" t="s">
        <v>3227</v>
      </c>
      <c r="N2063" t="s">
        <v>3225</v>
      </c>
      <c r="O2063">
        <v>1</v>
      </c>
    </row>
    <row r="2064" spans="2:15" x14ac:dyDescent="0.2">
      <c r="B2064" t="s">
        <v>1433</v>
      </c>
      <c r="C2064" t="s">
        <v>12898</v>
      </c>
      <c r="D2064" t="s">
        <v>617</v>
      </c>
      <c r="E2064" t="s">
        <v>8458</v>
      </c>
      <c r="F2064">
        <v>61</v>
      </c>
      <c r="H2064" t="s">
        <v>1613</v>
      </c>
      <c r="L2064" t="s">
        <v>1433</v>
      </c>
      <c r="M2064" t="s">
        <v>3228</v>
      </c>
      <c r="N2064" t="s">
        <v>3225</v>
      </c>
      <c r="O2064">
        <v>1</v>
      </c>
    </row>
    <row r="2065" spans="2:15" x14ac:dyDescent="0.2">
      <c r="B2065" t="s">
        <v>1433</v>
      </c>
      <c r="C2065" t="s">
        <v>12898</v>
      </c>
      <c r="D2065" t="s">
        <v>617</v>
      </c>
      <c r="E2065" t="s">
        <v>8459</v>
      </c>
      <c r="F2065">
        <v>5.0999999999999996</v>
      </c>
      <c r="H2065" t="s">
        <v>7948</v>
      </c>
      <c r="L2065" t="s">
        <v>1433</v>
      </c>
      <c r="M2065" t="s">
        <v>3229</v>
      </c>
      <c r="N2065" t="s">
        <v>3225</v>
      </c>
      <c r="O2065">
        <v>1</v>
      </c>
    </row>
    <row r="2066" spans="2:15" x14ac:dyDescent="0.2">
      <c r="B2066" t="s">
        <v>1433</v>
      </c>
      <c r="C2066" t="s">
        <v>12898</v>
      </c>
      <c r="D2066" t="s">
        <v>617</v>
      </c>
      <c r="E2066" t="s">
        <v>8460</v>
      </c>
      <c r="F2066">
        <v>1.95</v>
      </c>
      <c r="H2066" t="s">
        <v>7619</v>
      </c>
      <c r="L2066" t="s">
        <v>1433</v>
      </c>
      <c r="M2066" t="s">
        <v>3230</v>
      </c>
      <c r="N2066" t="s">
        <v>3231</v>
      </c>
      <c r="O2066">
        <v>1</v>
      </c>
    </row>
    <row r="2067" spans="2:15" x14ac:dyDescent="0.2">
      <c r="B2067" t="s">
        <v>1433</v>
      </c>
      <c r="C2067" t="s">
        <v>12898</v>
      </c>
      <c r="D2067" t="s">
        <v>617</v>
      </c>
      <c r="E2067" t="s">
        <v>8461</v>
      </c>
      <c r="F2067">
        <v>3.3</v>
      </c>
      <c r="H2067" t="s">
        <v>4878</v>
      </c>
      <c r="L2067" t="s">
        <v>1433</v>
      </c>
      <c r="M2067" t="s">
        <v>1956</v>
      </c>
      <c r="N2067" t="s">
        <v>3232</v>
      </c>
      <c r="O2067">
        <v>1</v>
      </c>
    </row>
    <row r="2068" spans="2:15" x14ac:dyDescent="0.2">
      <c r="B2068" t="s">
        <v>1433</v>
      </c>
      <c r="C2068" t="s">
        <v>12898</v>
      </c>
      <c r="D2068" t="s">
        <v>617</v>
      </c>
      <c r="E2068" t="s">
        <v>8462</v>
      </c>
      <c r="F2068">
        <v>2.2799999999999998</v>
      </c>
      <c r="H2068" t="s">
        <v>7595</v>
      </c>
      <c r="L2068" t="s">
        <v>1433</v>
      </c>
      <c r="M2068" t="s">
        <v>1245</v>
      </c>
      <c r="N2068" t="s">
        <v>3232</v>
      </c>
      <c r="O2068">
        <v>1</v>
      </c>
    </row>
    <row r="2069" spans="2:15" x14ac:dyDescent="0.2">
      <c r="B2069" t="s">
        <v>1433</v>
      </c>
      <c r="C2069" t="s">
        <v>12898</v>
      </c>
      <c r="D2069" t="s">
        <v>613</v>
      </c>
      <c r="E2069" t="s">
        <v>8463</v>
      </c>
      <c r="F2069">
        <v>15.08</v>
      </c>
      <c r="H2069" t="s">
        <v>3285</v>
      </c>
      <c r="L2069" t="s">
        <v>1433</v>
      </c>
      <c r="M2069" t="s">
        <v>3233</v>
      </c>
      <c r="N2069" t="s">
        <v>3234</v>
      </c>
      <c r="O2069">
        <v>1</v>
      </c>
    </row>
    <row r="2070" spans="2:15" x14ac:dyDescent="0.2">
      <c r="B2070" t="s">
        <v>1433</v>
      </c>
      <c r="C2070" t="s">
        <v>12898</v>
      </c>
      <c r="D2070" t="s">
        <v>613</v>
      </c>
      <c r="E2070" t="s">
        <v>8464</v>
      </c>
      <c r="F2070">
        <v>0.3</v>
      </c>
      <c r="H2070" t="s">
        <v>7606</v>
      </c>
      <c r="L2070" t="s">
        <v>1433</v>
      </c>
      <c r="M2070" t="s">
        <v>3235</v>
      </c>
      <c r="N2070" t="s">
        <v>3236</v>
      </c>
      <c r="O2070">
        <v>1</v>
      </c>
    </row>
    <row r="2071" spans="2:15" x14ac:dyDescent="0.2">
      <c r="B2071" t="s">
        <v>1433</v>
      </c>
      <c r="C2071" t="s">
        <v>12898</v>
      </c>
      <c r="D2071" t="s">
        <v>613</v>
      </c>
      <c r="E2071" t="s">
        <v>8465</v>
      </c>
      <c r="F2071">
        <v>0.27</v>
      </c>
      <c r="H2071" t="s">
        <v>8024</v>
      </c>
      <c r="L2071" t="s">
        <v>1433</v>
      </c>
      <c r="M2071" t="s">
        <v>3237</v>
      </c>
      <c r="N2071" t="s">
        <v>3238</v>
      </c>
      <c r="O2071">
        <v>2</v>
      </c>
    </row>
    <row r="2072" spans="2:15" x14ac:dyDescent="0.2">
      <c r="B2072" t="s">
        <v>1433</v>
      </c>
      <c r="C2072" t="s">
        <v>12898</v>
      </c>
      <c r="D2072" t="s">
        <v>617</v>
      </c>
      <c r="E2072" t="s">
        <v>8466</v>
      </c>
      <c r="F2072">
        <v>209.88</v>
      </c>
      <c r="H2072" t="s">
        <v>8467</v>
      </c>
      <c r="L2072" t="s">
        <v>1433</v>
      </c>
      <c r="M2072" t="s">
        <v>1812</v>
      </c>
      <c r="N2072" t="s">
        <v>2432</v>
      </c>
      <c r="O2072">
        <v>21</v>
      </c>
    </row>
    <row r="2073" spans="2:15" x14ac:dyDescent="0.2">
      <c r="B2073" t="s">
        <v>1433</v>
      </c>
      <c r="C2073" t="s">
        <v>12898</v>
      </c>
      <c r="D2073" t="s">
        <v>617</v>
      </c>
      <c r="E2073" t="s">
        <v>8468</v>
      </c>
      <c r="F2073">
        <v>45.42</v>
      </c>
      <c r="H2073" t="s">
        <v>8469</v>
      </c>
      <c r="L2073" t="s">
        <v>1433</v>
      </c>
      <c r="M2073" t="s">
        <v>3239</v>
      </c>
      <c r="N2073" t="s">
        <v>3240</v>
      </c>
      <c r="O2073">
        <v>40</v>
      </c>
    </row>
    <row r="2074" spans="2:15" x14ac:dyDescent="0.2">
      <c r="B2074" t="s">
        <v>1433</v>
      </c>
      <c r="C2074" t="s">
        <v>12898</v>
      </c>
      <c r="D2074" t="s">
        <v>621</v>
      </c>
      <c r="E2074" t="s">
        <v>8470</v>
      </c>
      <c r="F2074">
        <v>20.16</v>
      </c>
      <c r="H2074" t="s">
        <v>5276</v>
      </c>
      <c r="L2074" t="s">
        <v>1433</v>
      </c>
      <c r="M2074" t="s">
        <v>3241</v>
      </c>
      <c r="N2074" t="s">
        <v>3240</v>
      </c>
      <c r="O2074">
        <v>20</v>
      </c>
    </row>
    <row r="2075" spans="2:15" x14ac:dyDescent="0.2">
      <c r="B2075" t="s">
        <v>1433</v>
      </c>
      <c r="C2075" t="s">
        <v>12898</v>
      </c>
      <c r="D2075" t="s">
        <v>613</v>
      </c>
      <c r="E2075" t="s">
        <v>8471</v>
      </c>
      <c r="F2075">
        <v>3.3</v>
      </c>
      <c r="H2075" t="s">
        <v>8472</v>
      </c>
      <c r="L2075" t="s">
        <v>1433</v>
      </c>
      <c r="M2075" t="s">
        <v>1632</v>
      </c>
      <c r="N2075" t="s">
        <v>3242</v>
      </c>
      <c r="O2075">
        <v>24</v>
      </c>
    </row>
    <row r="2076" spans="2:15" x14ac:dyDescent="0.2">
      <c r="B2076" t="s">
        <v>1433</v>
      </c>
      <c r="C2076" t="s">
        <v>12898</v>
      </c>
      <c r="D2076" t="s">
        <v>613</v>
      </c>
      <c r="E2076" t="s">
        <v>8473</v>
      </c>
      <c r="F2076">
        <v>10</v>
      </c>
      <c r="H2076" t="s">
        <v>2512</v>
      </c>
      <c r="L2076" t="s">
        <v>1433</v>
      </c>
      <c r="M2076" t="s">
        <v>3243</v>
      </c>
      <c r="N2076" t="s">
        <v>3244</v>
      </c>
      <c r="O2076">
        <v>1</v>
      </c>
    </row>
    <row r="2077" spans="2:15" x14ac:dyDescent="0.2">
      <c r="B2077" t="s">
        <v>1433</v>
      </c>
      <c r="C2077" t="s">
        <v>12898</v>
      </c>
      <c r="D2077" t="s">
        <v>617</v>
      </c>
      <c r="E2077" t="s">
        <v>8474</v>
      </c>
      <c r="F2077">
        <v>27.9</v>
      </c>
      <c r="H2077" t="s">
        <v>1605</v>
      </c>
      <c r="L2077" t="s">
        <v>1433</v>
      </c>
      <c r="M2077" t="s">
        <v>3245</v>
      </c>
      <c r="N2077" t="s">
        <v>3246</v>
      </c>
      <c r="O2077">
        <v>7</v>
      </c>
    </row>
    <row r="2078" spans="2:15" x14ac:dyDescent="0.2">
      <c r="B2078" t="s">
        <v>1433</v>
      </c>
      <c r="C2078" t="s">
        <v>12898</v>
      </c>
      <c r="D2078" t="s">
        <v>613</v>
      </c>
      <c r="E2078" t="s">
        <v>8475</v>
      </c>
      <c r="F2078">
        <v>6</v>
      </c>
      <c r="H2078" t="s">
        <v>5131</v>
      </c>
      <c r="L2078" t="s">
        <v>1433</v>
      </c>
      <c r="M2078" t="s">
        <v>3247</v>
      </c>
      <c r="N2078" t="s">
        <v>3248</v>
      </c>
      <c r="O2078">
        <v>1</v>
      </c>
    </row>
    <row r="2079" spans="2:15" x14ac:dyDescent="0.2">
      <c r="B2079" t="s">
        <v>1433</v>
      </c>
      <c r="C2079" t="s">
        <v>12898</v>
      </c>
      <c r="D2079" t="s">
        <v>617</v>
      </c>
      <c r="E2079" t="s">
        <v>8476</v>
      </c>
      <c r="F2079">
        <v>69.33</v>
      </c>
      <c r="H2079" t="s">
        <v>1603</v>
      </c>
      <c r="L2079" t="s">
        <v>1433</v>
      </c>
      <c r="M2079" t="s">
        <v>3249</v>
      </c>
      <c r="N2079" t="s">
        <v>3248</v>
      </c>
      <c r="O2079">
        <v>1</v>
      </c>
    </row>
    <row r="2080" spans="2:15" x14ac:dyDescent="0.2">
      <c r="B2080" t="s">
        <v>1433</v>
      </c>
      <c r="C2080" t="s">
        <v>12898</v>
      </c>
      <c r="D2080" t="s">
        <v>554</v>
      </c>
      <c r="E2080" t="s">
        <v>8477</v>
      </c>
      <c r="F2080">
        <v>98.75</v>
      </c>
      <c r="H2080" t="s">
        <v>7958</v>
      </c>
      <c r="L2080" t="s">
        <v>1433</v>
      </c>
      <c r="M2080" t="s">
        <v>3250</v>
      </c>
      <c r="N2080" t="s">
        <v>3248</v>
      </c>
      <c r="O2080">
        <v>1</v>
      </c>
    </row>
    <row r="2081" spans="2:15" x14ac:dyDescent="0.2">
      <c r="B2081" t="s">
        <v>1433</v>
      </c>
      <c r="C2081" t="s">
        <v>12898</v>
      </c>
      <c r="D2081" t="s">
        <v>617</v>
      </c>
      <c r="E2081" t="s">
        <v>8478</v>
      </c>
      <c r="F2081">
        <v>113.27</v>
      </c>
      <c r="H2081" t="s">
        <v>1606</v>
      </c>
      <c r="L2081" t="s">
        <v>1433</v>
      </c>
      <c r="M2081" t="s">
        <v>3251</v>
      </c>
      <c r="N2081" t="s">
        <v>3248</v>
      </c>
      <c r="O2081">
        <v>1</v>
      </c>
    </row>
    <row r="2082" spans="2:15" x14ac:dyDescent="0.2">
      <c r="B2082" t="s">
        <v>1433</v>
      </c>
      <c r="C2082" t="s">
        <v>12898</v>
      </c>
      <c r="D2082" t="s">
        <v>617</v>
      </c>
      <c r="E2082" t="s">
        <v>8479</v>
      </c>
      <c r="F2082">
        <v>27.9</v>
      </c>
      <c r="H2082" t="s">
        <v>1605</v>
      </c>
      <c r="L2082" t="s">
        <v>1433</v>
      </c>
      <c r="M2082" t="s">
        <v>3252</v>
      </c>
      <c r="N2082" t="s">
        <v>3248</v>
      </c>
      <c r="O2082">
        <v>1</v>
      </c>
    </row>
    <row r="2083" spans="2:15" x14ac:dyDescent="0.2">
      <c r="B2083" t="s">
        <v>1433</v>
      </c>
      <c r="C2083" t="s">
        <v>12898</v>
      </c>
      <c r="D2083" t="s">
        <v>617</v>
      </c>
      <c r="E2083" t="s">
        <v>8480</v>
      </c>
      <c r="F2083">
        <v>35.4</v>
      </c>
      <c r="H2083" t="s">
        <v>3362</v>
      </c>
      <c r="L2083" t="s">
        <v>1433</v>
      </c>
      <c r="M2083" t="s">
        <v>3253</v>
      </c>
      <c r="N2083" t="s">
        <v>3254</v>
      </c>
      <c r="O2083">
        <v>1</v>
      </c>
    </row>
    <row r="2084" spans="2:15" x14ac:dyDescent="0.2">
      <c r="B2084" t="s">
        <v>1433</v>
      </c>
      <c r="C2084" t="s">
        <v>12898</v>
      </c>
      <c r="D2084" t="s">
        <v>617</v>
      </c>
      <c r="E2084" t="s">
        <v>8481</v>
      </c>
      <c r="F2084">
        <v>3.3</v>
      </c>
      <c r="H2084" t="s">
        <v>3364</v>
      </c>
      <c r="L2084" t="s">
        <v>1433</v>
      </c>
      <c r="M2084" t="s">
        <v>3255</v>
      </c>
      <c r="N2084" t="s">
        <v>3254</v>
      </c>
      <c r="O2084">
        <v>1</v>
      </c>
    </row>
    <row r="2085" spans="2:15" x14ac:dyDescent="0.2">
      <c r="B2085" t="s">
        <v>1433</v>
      </c>
      <c r="C2085" t="s">
        <v>12898</v>
      </c>
      <c r="D2085" t="s">
        <v>617</v>
      </c>
      <c r="E2085" t="s">
        <v>8482</v>
      </c>
      <c r="F2085">
        <v>7.92</v>
      </c>
      <c r="H2085" t="s">
        <v>1624</v>
      </c>
      <c r="L2085" t="s">
        <v>1433</v>
      </c>
      <c r="M2085" t="s">
        <v>3256</v>
      </c>
      <c r="N2085" t="s">
        <v>3257</v>
      </c>
      <c r="O2085">
        <v>1</v>
      </c>
    </row>
    <row r="2086" spans="2:15" x14ac:dyDescent="0.2">
      <c r="B2086" t="s">
        <v>1433</v>
      </c>
      <c r="C2086" t="s">
        <v>12898</v>
      </c>
      <c r="D2086" t="s">
        <v>617</v>
      </c>
      <c r="E2086" t="s">
        <v>8483</v>
      </c>
      <c r="F2086">
        <v>3.45</v>
      </c>
      <c r="H2086" t="s">
        <v>7926</v>
      </c>
      <c r="L2086" t="s">
        <v>1433</v>
      </c>
      <c r="M2086" t="s">
        <v>1574</v>
      </c>
      <c r="N2086" t="s">
        <v>3258</v>
      </c>
      <c r="O2086">
        <v>10</v>
      </c>
    </row>
    <row r="2087" spans="2:15" x14ac:dyDescent="0.2">
      <c r="B2087" t="s">
        <v>1433</v>
      </c>
      <c r="C2087" t="s">
        <v>12898</v>
      </c>
      <c r="D2087" t="s">
        <v>617</v>
      </c>
      <c r="E2087" t="s">
        <v>8484</v>
      </c>
      <c r="F2087">
        <v>7.07</v>
      </c>
      <c r="H2087" t="s">
        <v>6492</v>
      </c>
      <c r="L2087" t="s">
        <v>1433</v>
      </c>
      <c r="M2087" t="s">
        <v>3259</v>
      </c>
      <c r="N2087" t="s">
        <v>3258</v>
      </c>
      <c r="O2087">
        <v>2</v>
      </c>
    </row>
    <row r="2088" spans="2:15" x14ac:dyDescent="0.2">
      <c r="B2088" t="s">
        <v>1433</v>
      </c>
      <c r="C2088" t="s">
        <v>12898</v>
      </c>
      <c r="D2088" t="s">
        <v>613</v>
      </c>
      <c r="E2088" t="s">
        <v>8485</v>
      </c>
      <c r="F2088">
        <v>4</v>
      </c>
      <c r="H2088" t="s">
        <v>2512</v>
      </c>
      <c r="L2088" t="s">
        <v>1433</v>
      </c>
      <c r="M2088" t="s">
        <v>1931</v>
      </c>
      <c r="N2088" t="s">
        <v>3258</v>
      </c>
      <c r="O2088">
        <v>2</v>
      </c>
    </row>
    <row r="2089" spans="2:15" x14ac:dyDescent="0.2">
      <c r="B2089" t="s">
        <v>1433</v>
      </c>
      <c r="C2089" t="s">
        <v>12898</v>
      </c>
      <c r="D2089" t="s">
        <v>617</v>
      </c>
      <c r="E2089" t="s">
        <v>8486</v>
      </c>
      <c r="F2089">
        <v>55.8</v>
      </c>
      <c r="H2089" t="s">
        <v>1605</v>
      </c>
      <c r="L2089" t="s">
        <v>1433</v>
      </c>
      <c r="M2089" t="s">
        <v>3260</v>
      </c>
      <c r="N2089" t="s">
        <v>3261</v>
      </c>
      <c r="O2089">
        <v>1</v>
      </c>
    </row>
    <row r="2090" spans="2:15" x14ac:dyDescent="0.2">
      <c r="B2090" t="s">
        <v>1433</v>
      </c>
      <c r="C2090" t="s">
        <v>12898</v>
      </c>
      <c r="D2090" t="s">
        <v>554</v>
      </c>
      <c r="E2090" t="s">
        <v>8487</v>
      </c>
      <c r="F2090">
        <v>47.4</v>
      </c>
      <c r="H2090" t="s">
        <v>7958</v>
      </c>
      <c r="L2090" t="s">
        <v>1433</v>
      </c>
      <c r="M2090" t="s">
        <v>3262</v>
      </c>
      <c r="N2090" t="s">
        <v>3263</v>
      </c>
      <c r="O2090">
        <v>1</v>
      </c>
    </row>
    <row r="2091" spans="2:15" x14ac:dyDescent="0.2">
      <c r="B2091" t="s">
        <v>1433</v>
      </c>
      <c r="C2091" t="s">
        <v>12898</v>
      </c>
      <c r="D2091" t="s">
        <v>617</v>
      </c>
      <c r="E2091" t="s">
        <v>8488</v>
      </c>
      <c r="F2091">
        <v>6.9</v>
      </c>
      <c r="H2091" t="s">
        <v>7926</v>
      </c>
      <c r="L2091" t="s">
        <v>1433</v>
      </c>
      <c r="M2091" t="s">
        <v>3264</v>
      </c>
      <c r="N2091" t="s">
        <v>3265</v>
      </c>
      <c r="O2091">
        <v>1</v>
      </c>
    </row>
    <row r="2092" spans="2:15" x14ac:dyDescent="0.2">
      <c r="B2092" t="s">
        <v>1433</v>
      </c>
      <c r="C2092" t="s">
        <v>12898</v>
      </c>
      <c r="D2092" t="s">
        <v>617</v>
      </c>
      <c r="E2092" t="s">
        <v>8489</v>
      </c>
      <c r="F2092">
        <v>45.42</v>
      </c>
      <c r="H2092" t="s">
        <v>8469</v>
      </c>
      <c r="L2092" t="s">
        <v>1433</v>
      </c>
      <c r="M2092" t="s">
        <v>3266</v>
      </c>
      <c r="N2092" t="s">
        <v>3267</v>
      </c>
      <c r="O2092">
        <v>1</v>
      </c>
    </row>
    <row r="2093" spans="2:15" x14ac:dyDescent="0.2">
      <c r="B2093" t="s">
        <v>1433</v>
      </c>
      <c r="C2093" t="s">
        <v>12898</v>
      </c>
      <c r="D2093" t="s">
        <v>617</v>
      </c>
      <c r="E2093" t="s">
        <v>8490</v>
      </c>
      <c r="F2093">
        <v>1.32</v>
      </c>
      <c r="H2093" t="s">
        <v>5897</v>
      </c>
      <c r="L2093" t="s">
        <v>1433</v>
      </c>
      <c r="M2093" t="s">
        <v>3268</v>
      </c>
      <c r="N2093" t="s">
        <v>3267</v>
      </c>
      <c r="O2093">
        <v>1</v>
      </c>
    </row>
    <row r="2094" spans="2:15" x14ac:dyDescent="0.2">
      <c r="B2094" t="s">
        <v>1433</v>
      </c>
      <c r="C2094" t="s">
        <v>12898</v>
      </c>
      <c r="D2094" t="s">
        <v>617</v>
      </c>
      <c r="E2094" t="s">
        <v>8491</v>
      </c>
      <c r="F2094">
        <v>13.94</v>
      </c>
      <c r="H2094" t="s">
        <v>1626</v>
      </c>
      <c r="L2094" t="s">
        <v>1433</v>
      </c>
      <c r="M2094" t="s">
        <v>1260</v>
      </c>
      <c r="N2094" t="s">
        <v>3269</v>
      </c>
      <c r="O2094">
        <v>1</v>
      </c>
    </row>
    <row r="2095" spans="2:15" x14ac:dyDescent="0.2">
      <c r="B2095" t="s">
        <v>1433</v>
      </c>
      <c r="C2095" t="s">
        <v>12898</v>
      </c>
      <c r="D2095" t="s">
        <v>617</v>
      </c>
      <c r="E2095" t="s">
        <v>8492</v>
      </c>
      <c r="F2095">
        <v>0.6</v>
      </c>
      <c r="H2095" t="s">
        <v>1630</v>
      </c>
      <c r="L2095" t="s">
        <v>1433</v>
      </c>
      <c r="M2095" t="s">
        <v>1255</v>
      </c>
      <c r="N2095" t="s">
        <v>3269</v>
      </c>
      <c r="O2095">
        <v>1</v>
      </c>
    </row>
    <row r="2096" spans="2:15" x14ac:dyDescent="0.2">
      <c r="B2096" t="s">
        <v>1433</v>
      </c>
      <c r="C2096" t="s">
        <v>12898</v>
      </c>
      <c r="D2096" t="s">
        <v>617</v>
      </c>
      <c r="E2096" t="s">
        <v>8493</v>
      </c>
      <c r="F2096">
        <v>19.09</v>
      </c>
      <c r="H2096" t="s">
        <v>8494</v>
      </c>
      <c r="L2096" t="s">
        <v>1433</v>
      </c>
      <c r="M2096" t="s">
        <v>3270</v>
      </c>
      <c r="N2096" t="s">
        <v>3269</v>
      </c>
      <c r="O2096">
        <v>1</v>
      </c>
    </row>
    <row r="2097" spans="2:15" x14ac:dyDescent="0.2">
      <c r="B2097" t="s">
        <v>1433</v>
      </c>
      <c r="C2097" t="s">
        <v>12898</v>
      </c>
      <c r="D2097" t="s">
        <v>617</v>
      </c>
      <c r="E2097" t="s">
        <v>8495</v>
      </c>
      <c r="F2097">
        <v>5.84</v>
      </c>
      <c r="H2097" t="s">
        <v>7619</v>
      </c>
      <c r="L2097" t="s">
        <v>1433</v>
      </c>
      <c r="M2097" t="s">
        <v>1279</v>
      </c>
      <c r="N2097" t="s">
        <v>3269</v>
      </c>
      <c r="O2097">
        <v>1</v>
      </c>
    </row>
    <row r="2098" spans="2:15" x14ac:dyDescent="0.2">
      <c r="B2098" t="s">
        <v>1433</v>
      </c>
      <c r="C2098" t="s">
        <v>12898</v>
      </c>
      <c r="D2098" t="s">
        <v>617</v>
      </c>
      <c r="E2098" t="s">
        <v>8496</v>
      </c>
      <c r="F2098">
        <v>2.16</v>
      </c>
      <c r="H2098" t="s">
        <v>8311</v>
      </c>
      <c r="L2098" t="s">
        <v>1433</v>
      </c>
      <c r="M2098" t="s">
        <v>1281</v>
      </c>
      <c r="N2098" t="s">
        <v>3271</v>
      </c>
      <c r="O2098">
        <v>1</v>
      </c>
    </row>
    <row r="2099" spans="2:15" x14ac:dyDescent="0.2">
      <c r="B2099" t="s">
        <v>1433</v>
      </c>
      <c r="C2099" t="s">
        <v>12898</v>
      </c>
      <c r="D2099" t="s">
        <v>617</v>
      </c>
      <c r="E2099" t="s">
        <v>8497</v>
      </c>
      <c r="F2099">
        <v>0.74</v>
      </c>
      <c r="H2099" t="s">
        <v>8399</v>
      </c>
      <c r="L2099" t="s">
        <v>1433</v>
      </c>
      <c r="M2099" t="s">
        <v>1286</v>
      </c>
      <c r="N2099" t="s">
        <v>3271</v>
      </c>
      <c r="O2099">
        <v>1</v>
      </c>
    </row>
    <row r="2100" spans="2:15" x14ac:dyDescent="0.2">
      <c r="B2100" t="s">
        <v>1433</v>
      </c>
      <c r="C2100" t="s">
        <v>12898</v>
      </c>
      <c r="D2100" t="s">
        <v>617</v>
      </c>
      <c r="E2100" t="s">
        <v>8498</v>
      </c>
      <c r="F2100">
        <v>1.1000000000000001</v>
      </c>
      <c r="H2100" t="s">
        <v>7915</v>
      </c>
      <c r="L2100" t="s">
        <v>1433</v>
      </c>
      <c r="M2100" t="s">
        <v>1288</v>
      </c>
      <c r="N2100" t="s">
        <v>3271</v>
      </c>
      <c r="O2100">
        <v>1</v>
      </c>
    </row>
    <row r="2101" spans="2:15" x14ac:dyDescent="0.2">
      <c r="B2101" t="s">
        <v>1433</v>
      </c>
      <c r="C2101" t="s">
        <v>12898</v>
      </c>
      <c r="D2101" t="s">
        <v>617</v>
      </c>
      <c r="E2101" t="s">
        <v>8499</v>
      </c>
      <c r="F2101">
        <v>19.52</v>
      </c>
      <c r="H2101" t="s">
        <v>5075</v>
      </c>
      <c r="L2101" t="s">
        <v>1433</v>
      </c>
      <c r="M2101" t="s">
        <v>1290</v>
      </c>
      <c r="N2101" t="s">
        <v>3272</v>
      </c>
      <c r="O2101">
        <v>1</v>
      </c>
    </row>
    <row r="2102" spans="2:15" x14ac:dyDescent="0.2">
      <c r="B2102" t="s">
        <v>1433</v>
      </c>
      <c r="C2102" t="s">
        <v>12898</v>
      </c>
      <c r="D2102" t="s">
        <v>617</v>
      </c>
      <c r="E2102" t="s">
        <v>8500</v>
      </c>
      <c r="F2102">
        <v>14.2</v>
      </c>
      <c r="H2102" t="s">
        <v>6107</v>
      </c>
      <c r="L2102" t="s">
        <v>1433</v>
      </c>
      <c r="M2102" t="s">
        <v>1303</v>
      </c>
      <c r="N2102" t="s">
        <v>3272</v>
      </c>
      <c r="O2102">
        <v>1</v>
      </c>
    </row>
    <row r="2103" spans="2:15" x14ac:dyDescent="0.2">
      <c r="B2103" t="s">
        <v>1433</v>
      </c>
      <c r="C2103" t="s">
        <v>12898</v>
      </c>
      <c r="D2103" t="s">
        <v>613</v>
      </c>
      <c r="E2103" t="s">
        <v>8501</v>
      </c>
      <c r="F2103">
        <v>1.49</v>
      </c>
      <c r="H2103" t="s">
        <v>2513</v>
      </c>
      <c r="L2103" t="s">
        <v>1433</v>
      </c>
      <c r="M2103" t="s">
        <v>1305</v>
      </c>
      <c r="N2103" t="s">
        <v>3272</v>
      </c>
      <c r="O2103">
        <v>1</v>
      </c>
    </row>
    <row r="2104" spans="2:15" x14ac:dyDescent="0.2">
      <c r="B2104" t="s">
        <v>1433</v>
      </c>
      <c r="C2104" t="s">
        <v>12898</v>
      </c>
      <c r="D2104" t="s">
        <v>613</v>
      </c>
      <c r="E2104" t="s">
        <v>8502</v>
      </c>
      <c r="F2104">
        <v>10</v>
      </c>
      <c r="H2104" t="s">
        <v>5131</v>
      </c>
      <c r="L2104" t="s">
        <v>1433</v>
      </c>
      <c r="M2104" t="s">
        <v>2732</v>
      </c>
      <c r="N2104" t="s">
        <v>3273</v>
      </c>
      <c r="O2104">
        <v>1</v>
      </c>
    </row>
    <row r="2105" spans="2:15" x14ac:dyDescent="0.2">
      <c r="B2105" t="s">
        <v>1433</v>
      </c>
      <c r="C2105" t="s">
        <v>12898</v>
      </c>
      <c r="D2105" t="s">
        <v>613</v>
      </c>
      <c r="E2105" t="s">
        <v>8503</v>
      </c>
      <c r="F2105">
        <v>10</v>
      </c>
      <c r="H2105" t="s">
        <v>2512</v>
      </c>
      <c r="L2105" t="s">
        <v>1433</v>
      </c>
      <c r="M2105" t="s">
        <v>3274</v>
      </c>
      <c r="N2105" t="s">
        <v>3275</v>
      </c>
      <c r="O2105">
        <v>1</v>
      </c>
    </row>
    <row r="2106" spans="2:15" x14ac:dyDescent="0.2">
      <c r="B2106" t="s">
        <v>1433</v>
      </c>
      <c r="C2106" t="s">
        <v>12898</v>
      </c>
      <c r="D2106" t="s">
        <v>617</v>
      </c>
      <c r="E2106" t="s">
        <v>8504</v>
      </c>
      <c r="F2106">
        <v>1.6</v>
      </c>
      <c r="H2106" t="s">
        <v>8505</v>
      </c>
      <c r="L2106" t="s">
        <v>1433</v>
      </c>
      <c r="M2106" t="s">
        <v>1603</v>
      </c>
      <c r="N2106" t="s">
        <v>3276</v>
      </c>
      <c r="O2106">
        <v>1</v>
      </c>
    </row>
    <row r="2107" spans="2:15" x14ac:dyDescent="0.2">
      <c r="B2107" t="s">
        <v>1433</v>
      </c>
      <c r="C2107" t="s">
        <v>12898</v>
      </c>
      <c r="D2107" t="s">
        <v>617</v>
      </c>
      <c r="E2107" t="s">
        <v>8506</v>
      </c>
      <c r="F2107">
        <v>90.64</v>
      </c>
      <c r="H2107" t="s">
        <v>5251</v>
      </c>
      <c r="L2107" t="s">
        <v>1433</v>
      </c>
      <c r="M2107" t="s">
        <v>1605</v>
      </c>
      <c r="N2107" t="s">
        <v>3276</v>
      </c>
      <c r="O2107">
        <v>2</v>
      </c>
    </row>
    <row r="2108" spans="2:15" x14ac:dyDescent="0.2">
      <c r="B2108" t="s">
        <v>1433</v>
      </c>
      <c r="C2108" t="s">
        <v>12898</v>
      </c>
      <c r="D2108" t="s">
        <v>617</v>
      </c>
      <c r="E2108" t="s">
        <v>8507</v>
      </c>
      <c r="F2108">
        <v>19.48</v>
      </c>
      <c r="H2108" t="s">
        <v>7619</v>
      </c>
      <c r="L2108" t="s">
        <v>1433</v>
      </c>
      <c r="M2108" t="s">
        <v>1606</v>
      </c>
      <c r="N2108" t="s">
        <v>3276</v>
      </c>
      <c r="O2108">
        <v>1</v>
      </c>
    </row>
    <row r="2109" spans="2:15" x14ac:dyDescent="0.2">
      <c r="B2109" t="s">
        <v>1433</v>
      </c>
      <c r="C2109" t="s">
        <v>12898</v>
      </c>
      <c r="D2109" t="s">
        <v>617</v>
      </c>
      <c r="E2109" t="s">
        <v>8508</v>
      </c>
      <c r="F2109">
        <v>14.13</v>
      </c>
      <c r="H2109" t="s">
        <v>6492</v>
      </c>
      <c r="L2109" t="s">
        <v>1433</v>
      </c>
      <c r="M2109" t="s">
        <v>3277</v>
      </c>
      <c r="N2109" t="s">
        <v>3276</v>
      </c>
      <c r="O2109">
        <v>12</v>
      </c>
    </row>
    <row r="2110" spans="2:15" x14ac:dyDescent="0.2">
      <c r="B2110" t="s">
        <v>1433</v>
      </c>
      <c r="C2110" t="s">
        <v>12898</v>
      </c>
      <c r="D2110" t="s">
        <v>617</v>
      </c>
      <c r="E2110" t="s">
        <v>8509</v>
      </c>
      <c r="F2110">
        <v>2.86</v>
      </c>
      <c r="H2110" t="s">
        <v>6103</v>
      </c>
      <c r="L2110" t="s">
        <v>1433</v>
      </c>
      <c r="M2110" t="s">
        <v>3278</v>
      </c>
      <c r="N2110" t="s">
        <v>3279</v>
      </c>
      <c r="O2110">
        <v>144</v>
      </c>
    </row>
    <row r="2111" spans="2:15" x14ac:dyDescent="0.2">
      <c r="B2111" t="s">
        <v>1433</v>
      </c>
      <c r="C2111" t="s">
        <v>12898</v>
      </c>
      <c r="D2111" t="s">
        <v>617</v>
      </c>
      <c r="E2111" t="s">
        <v>8510</v>
      </c>
      <c r="F2111">
        <v>10.92</v>
      </c>
      <c r="H2111" t="s">
        <v>6577</v>
      </c>
      <c r="L2111" t="s">
        <v>1433</v>
      </c>
      <c r="M2111" t="s">
        <v>1713</v>
      </c>
      <c r="N2111" t="s">
        <v>3279</v>
      </c>
      <c r="O2111">
        <v>200</v>
      </c>
    </row>
    <row r="2112" spans="2:15" x14ac:dyDescent="0.2">
      <c r="B2112" t="s">
        <v>1433</v>
      </c>
      <c r="C2112" t="s">
        <v>12898</v>
      </c>
      <c r="D2112" t="s">
        <v>617</v>
      </c>
      <c r="E2112" t="s">
        <v>8511</v>
      </c>
      <c r="F2112">
        <v>22</v>
      </c>
      <c r="H2112" t="s">
        <v>6105</v>
      </c>
      <c r="L2112" t="s">
        <v>1433</v>
      </c>
      <c r="M2112" t="s">
        <v>3280</v>
      </c>
      <c r="N2112" t="s">
        <v>3281</v>
      </c>
      <c r="O2112">
        <v>24</v>
      </c>
    </row>
    <row r="2113" spans="2:15" x14ac:dyDescent="0.2">
      <c r="B2113" t="s">
        <v>1433</v>
      </c>
      <c r="C2113" t="s">
        <v>12898</v>
      </c>
      <c r="D2113" t="s">
        <v>617</v>
      </c>
      <c r="E2113" t="s">
        <v>8512</v>
      </c>
      <c r="F2113">
        <v>10.6</v>
      </c>
      <c r="H2113" t="s">
        <v>6434</v>
      </c>
      <c r="L2113" t="s">
        <v>1433</v>
      </c>
      <c r="M2113" t="s">
        <v>1624</v>
      </c>
      <c r="N2113" t="s">
        <v>3282</v>
      </c>
      <c r="O2113">
        <v>72</v>
      </c>
    </row>
    <row r="2114" spans="2:15" x14ac:dyDescent="0.2">
      <c r="B2114" t="s">
        <v>1433</v>
      </c>
      <c r="C2114" t="s">
        <v>12898</v>
      </c>
      <c r="D2114" t="s">
        <v>554</v>
      </c>
      <c r="E2114" t="s">
        <v>8513</v>
      </c>
      <c r="F2114">
        <v>7.9</v>
      </c>
      <c r="H2114" t="s">
        <v>7958</v>
      </c>
      <c r="L2114" t="s">
        <v>1433</v>
      </c>
      <c r="M2114" t="s">
        <v>1626</v>
      </c>
      <c r="N2114" t="s">
        <v>3282</v>
      </c>
      <c r="O2114">
        <v>48</v>
      </c>
    </row>
    <row r="2115" spans="2:15" x14ac:dyDescent="0.2">
      <c r="B2115" t="s">
        <v>1433</v>
      </c>
      <c r="C2115" t="s">
        <v>12898</v>
      </c>
      <c r="D2115" t="s">
        <v>617</v>
      </c>
      <c r="E2115" t="s">
        <v>8514</v>
      </c>
      <c r="F2115">
        <v>50</v>
      </c>
      <c r="H2115" t="s">
        <v>1580</v>
      </c>
      <c r="L2115" t="s">
        <v>1433</v>
      </c>
      <c r="M2115" t="s">
        <v>1627</v>
      </c>
      <c r="N2115" t="s">
        <v>3282</v>
      </c>
      <c r="O2115">
        <v>24</v>
      </c>
    </row>
    <row r="2116" spans="2:15" x14ac:dyDescent="0.2">
      <c r="B2116" t="s">
        <v>1433</v>
      </c>
      <c r="C2116" t="s">
        <v>12898</v>
      </c>
      <c r="D2116" t="s">
        <v>617</v>
      </c>
      <c r="E2116" t="s">
        <v>8515</v>
      </c>
      <c r="F2116">
        <v>8.58</v>
      </c>
      <c r="H2116" t="s">
        <v>5897</v>
      </c>
      <c r="L2116" t="s">
        <v>1433</v>
      </c>
      <c r="M2116" t="s">
        <v>1628</v>
      </c>
      <c r="N2116" t="s">
        <v>3282</v>
      </c>
      <c r="O2116">
        <v>160</v>
      </c>
    </row>
    <row r="2117" spans="2:15" x14ac:dyDescent="0.2">
      <c r="B2117" t="s">
        <v>1433</v>
      </c>
      <c r="C2117" t="s">
        <v>12898</v>
      </c>
      <c r="D2117" t="s">
        <v>617</v>
      </c>
      <c r="E2117" t="s">
        <v>8516</v>
      </c>
      <c r="F2117">
        <v>2.4500000000000002</v>
      </c>
      <c r="H2117" t="s">
        <v>7595</v>
      </c>
      <c r="L2117" t="s">
        <v>1433</v>
      </c>
      <c r="M2117" t="s">
        <v>1630</v>
      </c>
      <c r="N2117" t="s">
        <v>3282</v>
      </c>
      <c r="O2117">
        <v>80</v>
      </c>
    </row>
    <row r="2118" spans="2:15" x14ac:dyDescent="0.2">
      <c r="B2118" t="s">
        <v>1433</v>
      </c>
      <c r="C2118" t="s">
        <v>12898</v>
      </c>
      <c r="D2118" t="s">
        <v>617</v>
      </c>
      <c r="E2118" t="s">
        <v>8517</v>
      </c>
      <c r="F2118">
        <v>7.1</v>
      </c>
      <c r="H2118" t="s">
        <v>8343</v>
      </c>
      <c r="L2118" t="s">
        <v>1433</v>
      </c>
      <c r="M2118" t="s">
        <v>1629</v>
      </c>
      <c r="N2118" t="s">
        <v>3282</v>
      </c>
      <c r="O2118">
        <v>50</v>
      </c>
    </row>
    <row r="2119" spans="2:15" x14ac:dyDescent="0.2">
      <c r="B2119" t="s">
        <v>1433</v>
      </c>
      <c r="C2119" t="s">
        <v>12898</v>
      </c>
      <c r="D2119" t="s">
        <v>617</v>
      </c>
      <c r="E2119" t="s">
        <v>8518</v>
      </c>
      <c r="F2119">
        <v>4.0599999999999996</v>
      </c>
      <c r="H2119" t="s">
        <v>8519</v>
      </c>
      <c r="L2119" t="s">
        <v>1433</v>
      </c>
      <c r="M2119" t="s">
        <v>3283</v>
      </c>
      <c r="N2119" t="s">
        <v>3284</v>
      </c>
      <c r="O2119">
        <v>1</v>
      </c>
    </row>
    <row r="2120" spans="2:15" x14ac:dyDescent="0.2">
      <c r="B2120" t="s">
        <v>1433</v>
      </c>
      <c r="C2120" t="s">
        <v>12898</v>
      </c>
      <c r="D2120" t="s">
        <v>617</v>
      </c>
      <c r="E2120" t="s">
        <v>8520</v>
      </c>
      <c r="F2120">
        <v>1.17</v>
      </c>
      <c r="H2120" t="s">
        <v>8521</v>
      </c>
      <c r="L2120" t="s">
        <v>1433</v>
      </c>
      <c r="M2120" t="s">
        <v>3285</v>
      </c>
      <c r="N2120" t="s">
        <v>3286</v>
      </c>
      <c r="O2120">
        <v>20</v>
      </c>
    </row>
    <row r="2121" spans="2:15" x14ac:dyDescent="0.2">
      <c r="B2121" t="s">
        <v>1433</v>
      </c>
      <c r="C2121" t="s">
        <v>12898</v>
      </c>
      <c r="D2121" t="s">
        <v>617</v>
      </c>
      <c r="E2121" t="s">
        <v>8522</v>
      </c>
      <c r="F2121">
        <v>1.82</v>
      </c>
      <c r="H2121" t="s">
        <v>7593</v>
      </c>
      <c r="L2121" t="s">
        <v>1433</v>
      </c>
      <c r="M2121" t="s">
        <v>3287</v>
      </c>
      <c r="N2121" t="s">
        <v>3288</v>
      </c>
      <c r="O2121">
        <v>6</v>
      </c>
    </row>
    <row r="2122" spans="2:15" x14ac:dyDescent="0.2">
      <c r="B2122" t="s">
        <v>1433</v>
      </c>
      <c r="C2122" t="s">
        <v>12898</v>
      </c>
      <c r="D2122" t="s">
        <v>617</v>
      </c>
      <c r="E2122" t="s">
        <v>8523</v>
      </c>
      <c r="F2122">
        <v>1.53</v>
      </c>
      <c r="H2122" t="s">
        <v>7595</v>
      </c>
      <c r="L2122" t="s">
        <v>1433</v>
      </c>
      <c r="M2122" t="s">
        <v>3287</v>
      </c>
      <c r="N2122" t="s">
        <v>3289</v>
      </c>
      <c r="O2122">
        <v>6</v>
      </c>
    </row>
    <row r="2123" spans="2:15" x14ac:dyDescent="0.2">
      <c r="B2123" t="s">
        <v>1433</v>
      </c>
      <c r="C2123" t="s">
        <v>12898</v>
      </c>
      <c r="D2123" t="s">
        <v>52</v>
      </c>
      <c r="E2123" t="s">
        <v>8524</v>
      </c>
      <c r="F2123">
        <v>27.24</v>
      </c>
      <c r="H2123" t="s">
        <v>7632</v>
      </c>
      <c r="L2123" t="s">
        <v>1433</v>
      </c>
      <c r="M2123" t="s">
        <v>3290</v>
      </c>
      <c r="N2123" t="s">
        <v>3291</v>
      </c>
      <c r="O2123">
        <v>1</v>
      </c>
    </row>
    <row r="2124" spans="2:15" x14ac:dyDescent="0.2">
      <c r="B2124" t="s">
        <v>1433</v>
      </c>
      <c r="C2124" t="s">
        <v>12898</v>
      </c>
      <c r="D2124" t="s">
        <v>617</v>
      </c>
      <c r="E2124" t="s">
        <v>8525</v>
      </c>
      <c r="F2124">
        <v>23.75</v>
      </c>
      <c r="H2124" t="s">
        <v>1628</v>
      </c>
      <c r="L2124" t="s">
        <v>1433</v>
      </c>
      <c r="M2124" t="s">
        <v>3292</v>
      </c>
      <c r="N2124" t="s">
        <v>3293</v>
      </c>
      <c r="O2124">
        <v>1</v>
      </c>
    </row>
    <row r="2125" spans="2:15" x14ac:dyDescent="0.2">
      <c r="B2125" t="s">
        <v>1433</v>
      </c>
      <c r="C2125" t="s">
        <v>12898</v>
      </c>
      <c r="D2125" t="s">
        <v>617</v>
      </c>
      <c r="E2125" t="s">
        <v>8526</v>
      </c>
      <c r="F2125">
        <v>27</v>
      </c>
      <c r="H2125" t="s">
        <v>1630</v>
      </c>
      <c r="L2125" t="s">
        <v>1433</v>
      </c>
      <c r="M2125" t="s">
        <v>3294</v>
      </c>
      <c r="N2125" t="s">
        <v>3293</v>
      </c>
      <c r="O2125">
        <v>1</v>
      </c>
    </row>
    <row r="2126" spans="2:15" x14ac:dyDescent="0.2">
      <c r="B2126" t="s">
        <v>1433</v>
      </c>
      <c r="C2126" t="s">
        <v>12898</v>
      </c>
      <c r="D2126" t="s">
        <v>617</v>
      </c>
      <c r="E2126" t="s">
        <v>8527</v>
      </c>
      <c r="F2126">
        <v>1.65</v>
      </c>
      <c r="H2126" t="s">
        <v>3364</v>
      </c>
      <c r="L2126" t="s">
        <v>1433</v>
      </c>
      <c r="M2126" t="s">
        <v>3295</v>
      </c>
      <c r="N2126" t="s">
        <v>3293</v>
      </c>
      <c r="O2126">
        <v>1</v>
      </c>
    </row>
    <row r="2127" spans="2:15" x14ac:dyDescent="0.2">
      <c r="B2127" t="s">
        <v>1433</v>
      </c>
      <c r="C2127" t="s">
        <v>12898</v>
      </c>
      <c r="D2127" t="s">
        <v>613</v>
      </c>
      <c r="E2127" t="s">
        <v>8528</v>
      </c>
      <c r="F2127">
        <v>74.89</v>
      </c>
      <c r="H2127" t="s">
        <v>5242</v>
      </c>
      <c r="L2127" t="s">
        <v>1433</v>
      </c>
      <c r="M2127" t="s">
        <v>3296</v>
      </c>
      <c r="N2127" t="s">
        <v>3293</v>
      </c>
      <c r="O2127">
        <v>1</v>
      </c>
    </row>
    <row r="2128" spans="2:15" x14ac:dyDescent="0.2">
      <c r="B2128" t="s">
        <v>1433</v>
      </c>
      <c r="C2128" t="s">
        <v>12898</v>
      </c>
      <c r="D2128" t="s">
        <v>617</v>
      </c>
      <c r="E2128" t="s">
        <v>8529</v>
      </c>
      <c r="F2128">
        <v>139.5</v>
      </c>
      <c r="H2128" t="s">
        <v>1605</v>
      </c>
      <c r="L2128" t="s">
        <v>1433</v>
      </c>
      <c r="M2128" t="s">
        <v>3297</v>
      </c>
      <c r="N2128" t="s">
        <v>1322</v>
      </c>
      <c r="O2128">
        <v>1</v>
      </c>
    </row>
    <row r="2129" spans="2:15" x14ac:dyDescent="0.2">
      <c r="B2129" t="s">
        <v>1433</v>
      </c>
      <c r="C2129" t="s">
        <v>12898</v>
      </c>
      <c r="D2129" t="s">
        <v>617</v>
      </c>
      <c r="E2129" t="s">
        <v>8530</v>
      </c>
      <c r="F2129">
        <v>90.64</v>
      </c>
      <c r="H2129" t="s">
        <v>5251</v>
      </c>
      <c r="L2129" t="s">
        <v>1433</v>
      </c>
      <c r="M2129" t="s">
        <v>3298</v>
      </c>
      <c r="N2129" t="s">
        <v>1322</v>
      </c>
      <c r="O2129">
        <v>1</v>
      </c>
    </row>
    <row r="2130" spans="2:15" x14ac:dyDescent="0.2">
      <c r="B2130" t="s">
        <v>1433</v>
      </c>
      <c r="C2130" t="s">
        <v>12898</v>
      </c>
      <c r="D2130" t="s">
        <v>617</v>
      </c>
      <c r="E2130" t="s">
        <v>8531</v>
      </c>
      <c r="F2130">
        <v>0.66</v>
      </c>
      <c r="H2130" t="s">
        <v>5897</v>
      </c>
      <c r="L2130" t="s">
        <v>1433</v>
      </c>
      <c r="M2130" t="s">
        <v>3299</v>
      </c>
      <c r="N2130" t="s">
        <v>3300</v>
      </c>
      <c r="O2130">
        <v>1</v>
      </c>
    </row>
    <row r="2131" spans="2:15" x14ac:dyDescent="0.2">
      <c r="B2131" t="s">
        <v>1433</v>
      </c>
      <c r="C2131" t="s">
        <v>12898</v>
      </c>
      <c r="D2131" t="s">
        <v>617</v>
      </c>
      <c r="E2131" t="s">
        <v>8532</v>
      </c>
      <c r="F2131">
        <v>1.44</v>
      </c>
      <c r="H2131" t="s">
        <v>7913</v>
      </c>
      <c r="L2131" t="s">
        <v>1433</v>
      </c>
      <c r="M2131" t="s">
        <v>3301</v>
      </c>
      <c r="N2131" t="s">
        <v>3302</v>
      </c>
      <c r="O2131">
        <v>1</v>
      </c>
    </row>
    <row r="2132" spans="2:15" x14ac:dyDescent="0.2">
      <c r="B2132" t="s">
        <v>1433</v>
      </c>
      <c r="C2132" t="s">
        <v>12898</v>
      </c>
      <c r="D2132" t="s">
        <v>617</v>
      </c>
      <c r="E2132" t="s">
        <v>8533</v>
      </c>
      <c r="F2132">
        <v>3.6</v>
      </c>
      <c r="H2132" t="s">
        <v>8210</v>
      </c>
      <c r="L2132" t="s">
        <v>1433</v>
      </c>
      <c r="M2132" t="s">
        <v>3303</v>
      </c>
      <c r="N2132" t="s">
        <v>3302</v>
      </c>
      <c r="O2132">
        <v>1</v>
      </c>
    </row>
    <row r="2133" spans="2:15" x14ac:dyDescent="0.2">
      <c r="B2133" t="s">
        <v>1433</v>
      </c>
      <c r="C2133" t="s">
        <v>12898</v>
      </c>
      <c r="D2133" t="s">
        <v>617</v>
      </c>
      <c r="E2133" t="s">
        <v>8534</v>
      </c>
      <c r="F2133">
        <v>7.44</v>
      </c>
      <c r="H2133" t="s">
        <v>8535</v>
      </c>
      <c r="L2133" t="s">
        <v>1433</v>
      </c>
      <c r="M2133" t="s">
        <v>1983</v>
      </c>
      <c r="N2133" t="s">
        <v>3304</v>
      </c>
      <c r="O2133">
        <v>1000</v>
      </c>
    </row>
    <row r="2134" spans="2:15" x14ac:dyDescent="0.2">
      <c r="B2134" t="s">
        <v>1433</v>
      </c>
      <c r="C2134" t="s">
        <v>12898</v>
      </c>
      <c r="D2134" t="s">
        <v>617</v>
      </c>
      <c r="E2134" t="s">
        <v>8536</v>
      </c>
      <c r="F2134">
        <v>1.65</v>
      </c>
      <c r="H2134" t="s">
        <v>7915</v>
      </c>
      <c r="L2134" t="s">
        <v>1433</v>
      </c>
      <c r="M2134" t="s">
        <v>3305</v>
      </c>
      <c r="N2134" t="s">
        <v>2844</v>
      </c>
      <c r="O2134">
        <v>2</v>
      </c>
    </row>
    <row r="2135" spans="2:15" x14ac:dyDescent="0.2">
      <c r="B2135" t="s">
        <v>1433</v>
      </c>
      <c r="C2135" t="s">
        <v>12898</v>
      </c>
      <c r="D2135" t="s">
        <v>617</v>
      </c>
      <c r="E2135" t="s">
        <v>8537</v>
      </c>
      <c r="F2135">
        <v>3.6</v>
      </c>
      <c r="H2135" t="s">
        <v>5255</v>
      </c>
      <c r="L2135" t="s">
        <v>1433</v>
      </c>
      <c r="M2135" t="s">
        <v>3306</v>
      </c>
      <c r="N2135" t="s">
        <v>3307</v>
      </c>
      <c r="O2135">
        <v>1</v>
      </c>
    </row>
    <row r="2136" spans="2:15" x14ac:dyDescent="0.2">
      <c r="B2136" t="s">
        <v>1433</v>
      </c>
      <c r="C2136" t="s">
        <v>12898</v>
      </c>
      <c r="D2136" t="s">
        <v>617</v>
      </c>
      <c r="E2136" t="s">
        <v>8538</v>
      </c>
      <c r="F2136">
        <v>1.85</v>
      </c>
      <c r="H2136" t="s">
        <v>8399</v>
      </c>
      <c r="L2136" t="s">
        <v>1433</v>
      </c>
      <c r="M2136" t="s">
        <v>3308</v>
      </c>
      <c r="N2136" t="s">
        <v>3307</v>
      </c>
      <c r="O2136">
        <v>1</v>
      </c>
    </row>
    <row r="2137" spans="2:15" x14ac:dyDescent="0.2">
      <c r="B2137" t="s">
        <v>1433</v>
      </c>
      <c r="C2137" t="s">
        <v>12898</v>
      </c>
      <c r="D2137" t="s">
        <v>617</v>
      </c>
      <c r="E2137" t="s">
        <v>8539</v>
      </c>
      <c r="F2137">
        <v>6.84</v>
      </c>
      <c r="H2137" t="s">
        <v>8269</v>
      </c>
      <c r="L2137" t="s">
        <v>1433</v>
      </c>
      <c r="M2137" t="s">
        <v>3309</v>
      </c>
      <c r="N2137" t="s">
        <v>3310</v>
      </c>
      <c r="O2137">
        <v>160</v>
      </c>
    </row>
    <row r="2138" spans="2:15" x14ac:dyDescent="0.2">
      <c r="B2138" t="s">
        <v>1433</v>
      </c>
      <c r="C2138" t="s">
        <v>12898</v>
      </c>
      <c r="D2138" t="s">
        <v>617</v>
      </c>
      <c r="E2138" t="s">
        <v>8540</v>
      </c>
      <c r="F2138">
        <v>17</v>
      </c>
      <c r="H2138" t="s">
        <v>7635</v>
      </c>
      <c r="L2138" t="s">
        <v>1433</v>
      </c>
      <c r="M2138" t="s">
        <v>3311</v>
      </c>
      <c r="N2138" t="s">
        <v>3312</v>
      </c>
      <c r="O2138">
        <v>12</v>
      </c>
    </row>
    <row r="2139" spans="2:15" x14ac:dyDescent="0.2">
      <c r="B2139" t="s">
        <v>1433</v>
      </c>
      <c r="C2139" t="s">
        <v>12898</v>
      </c>
      <c r="D2139" t="s">
        <v>554</v>
      </c>
      <c r="E2139" t="s">
        <v>8541</v>
      </c>
      <c r="F2139">
        <v>74.7</v>
      </c>
      <c r="H2139" t="s">
        <v>6377</v>
      </c>
      <c r="L2139" t="s">
        <v>1433</v>
      </c>
      <c r="M2139" t="s">
        <v>3313</v>
      </c>
      <c r="N2139" t="s">
        <v>3314</v>
      </c>
      <c r="O2139">
        <v>1</v>
      </c>
    </row>
    <row r="2140" spans="2:15" x14ac:dyDescent="0.2">
      <c r="B2140" t="s">
        <v>1433</v>
      </c>
      <c r="C2140" t="s">
        <v>12898</v>
      </c>
      <c r="D2140" t="s">
        <v>613</v>
      </c>
      <c r="E2140" t="s">
        <v>8542</v>
      </c>
      <c r="F2140">
        <v>17.52</v>
      </c>
      <c r="H2140" t="s">
        <v>6713</v>
      </c>
      <c r="L2140" t="s">
        <v>1433</v>
      </c>
      <c r="M2140" t="s">
        <v>3315</v>
      </c>
      <c r="N2140" t="s">
        <v>3314</v>
      </c>
      <c r="O2140">
        <v>1</v>
      </c>
    </row>
    <row r="2141" spans="2:15" x14ac:dyDescent="0.2">
      <c r="B2141" t="s">
        <v>1433</v>
      </c>
      <c r="C2141" t="s">
        <v>12898</v>
      </c>
      <c r="D2141" t="s">
        <v>613</v>
      </c>
      <c r="E2141" t="s">
        <v>8543</v>
      </c>
      <c r="F2141">
        <v>2.41</v>
      </c>
      <c r="H2141" t="s">
        <v>8544</v>
      </c>
      <c r="L2141" t="s">
        <v>1433</v>
      </c>
      <c r="M2141" t="s">
        <v>3316</v>
      </c>
      <c r="N2141" t="s">
        <v>3314</v>
      </c>
      <c r="O2141">
        <v>1</v>
      </c>
    </row>
    <row r="2142" spans="2:15" x14ac:dyDescent="0.2">
      <c r="B2142" t="s">
        <v>1433</v>
      </c>
      <c r="C2142" t="s">
        <v>12898</v>
      </c>
      <c r="D2142" t="s">
        <v>613</v>
      </c>
      <c r="E2142" t="s">
        <v>8545</v>
      </c>
      <c r="F2142">
        <v>6.44</v>
      </c>
      <c r="H2142" t="s">
        <v>8546</v>
      </c>
      <c r="L2142" t="s">
        <v>1433</v>
      </c>
      <c r="M2142" t="s">
        <v>3317</v>
      </c>
      <c r="N2142" t="s">
        <v>3314</v>
      </c>
      <c r="O2142">
        <v>1</v>
      </c>
    </row>
    <row r="2143" spans="2:15" x14ac:dyDescent="0.2">
      <c r="B2143" t="s">
        <v>1433</v>
      </c>
      <c r="C2143" t="s">
        <v>12898</v>
      </c>
      <c r="D2143" t="s">
        <v>613</v>
      </c>
      <c r="E2143" t="s">
        <v>8547</v>
      </c>
      <c r="F2143">
        <v>4.8</v>
      </c>
      <c r="H2143" t="s">
        <v>7674</v>
      </c>
      <c r="L2143" t="s">
        <v>1433</v>
      </c>
      <c r="M2143" t="s">
        <v>3318</v>
      </c>
      <c r="N2143" t="s">
        <v>3314</v>
      </c>
      <c r="O2143">
        <v>1</v>
      </c>
    </row>
    <row r="2144" spans="2:15" x14ac:dyDescent="0.2">
      <c r="B2144" t="s">
        <v>1433</v>
      </c>
      <c r="C2144" t="s">
        <v>12898</v>
      </c>
      <c r="D2144" t="s">
        <v>613</v>
      </c>
      <c r="E2144" t="s">
        <v>8548</v>
      </c>
      <c r="F2144">
        <v>3.3</v>
      </c>
      <c r="H2144" t="s">
        <v>2513</v>
      </c>
      <c r="L2144" t="s">
        <v>1433</v>
      </c>
      <c r="M2144" t="s">
        <v>3319</v>
      </c>
      <c r="N2144" t="s">
        <v>1935</v>
      </c>
      <c r="O2144">
        <v>8</v>
      </c>
    </row>
    <row r="2145" spans="2:15" x14ac:dyDescent="0.2">
      <c r="B2145" t="s">
        <v>1433</v>
      </c>
      <c r="C2145" t="s">
        <v>12898</v>
      </c>
      <c r="D2145" t="s">
        <v>617</v>
      </c>
      <c r="E2145" t="s">
        <v>8549</v>
      </c>
      <c r="F2145">
        <v>15.1</v>
      </c>
      <c r="H2145" t="s">
        <v>7931</v>
      </c>
      <c r="L2145" t="s">
        <v>1433</v>
      </c>
      <c r="M2145" t="s">
        <v>3320</v>
      </c>
      <c r="N2145" t="s">
        <v>3321</v>
      </c>
      <c r="O2145">
        <v>8</v>
      </c>
    </row>
    <row r="2146" spans="2:15" x14ac:dyDescent="0.2">
      <c r="B2146" t="s">
        <v>1433</v>
      </c>
      <c r="C2146" t="s">
        <v>12898</v>
      </c>
      <c r="D2146" t="s">
        <v>613</v>
      </c>
      <c r="E2146" t="s">
        <v>8550</v>
      </c>
      <c r="F2146">
        <v>1.84</v>
      </c>
      <c r="H2146" t="s">
        <v>7809</v>
      </c>
      <c r="L2146" t="s">
        <v>1433</v>
      </c>
      <c r="M2146" t="s">
        <v>3322</v>
      </c>
      <c r="N2146" t="s">
        <v>3323</v>
      </c>
      <c r="O2146">
        <v>1</v>
      </c>
    </row>
    <row r="2147" spans="2:15" x14ac:dyDescent="0.2">
      <c r="B2147" t="s">
        <v>1433</v>
      </c>
      <c r="C2147" t="s">
        <v>12898</v>
      </c>
      <c r="D2147" t="s">
        <v>617</v>
      </c>
      <c r="E2147" t="s">
        <v>8551</v>
      </c>
      <c r="F2147">
        <v>45.32</v>
      </c>
      <c r="H2147" t="s">
        <v>5251</v>
      </c>
      <c r="L2147" t="s">
        <v>1433</v>
      </c>
      <c r="M2147" t="s">
        <v>3324</v>
      </c>
      <c r="N2147" t="s">
        <v>3323</v>
      </c>
      <c r="O2147">
        <v>1</v>
      </c>
    </row>
    <row r="2148" spans="2:15" x14ac:dyDescent="0.2">
      <c r="B2148" t="s">
        <v>1433</v>
      </c>
      <c r="C2148" t="s">
        <v>12898</v>
      </c>
      <c r="D2148" t="s">
        <v>617</v>
      </c>
      <c r="E2148" t="s">
        <v>8552</v>
      </c>
      <c r="F2148">
        <v>32.26</v>
      </c>
      <c r="H2148" t="s">
        <v>8553</v>
      </c>
      <c r="L2148" t="s">
        <v>1433</v>
      </c>
      <c r="M2148" t="s">
        <v>3325</v>
      </c>
      <c r="N2148" t="s">
        <v>3323</v>
      </c>
      <c r="O2148">
        <v>1</v>
      </c>
    </row>
    <row r="2149" spans="2:15" x14ac:dyDescent="0.2">
      <c r="B2149" t="s">
        <v>1433</v>
      </c>
      <c r="C2149" t="s">
        <v>12898</v>
      </c>
      <c r="D2149" t="s">
        <v>617</v>
      </c>
      <c r="E2149" t="s">
        <v>8554</v>
      </c>
      <c r="F2149">
        <v>7.66</v>
      </c>
      <c r="H2149" t="s">
        <v>7453</v>
      </c>
      <c r="L2149" t="s">
        <v>1433</v>
      </c>
      <c r="M2149" t="s">
        <v>3326</v>
      </c>
      <c r="N2149" t="s">
        <v>3323</v>
      </c>
      <c r="O2149">
        <v>1</v>
      </c>
    </row>
    <row r="2150" spans="2:15" x14ac:dyDescent="0.2">
      <c r="B2150" t="s">
        <v>1433</v>
      </c>
      <c r="C2150" t="s">
        <v>12898</v>
      </c>
      <c r="D2150" t="s">
        <v>613</v>
      </c>
      <c r="E2150" t="s">
        <v>8555</v>
      </c>
      <c r="F2150">
        <v>0.22</v>
      </c>
      <c r="H2150" t="s">
        <v>7678</v>
      </c>
      <c r="L2150" t="s">
        <v>1433</v>
      </c>
      <c r="M2150" t="s">
        <v>1387</v>
      </c>
      <c r="N2150" t="s">
        <v>3327</v>
      </c>
      <c r="O2150">
        <v>500</v>
      </c>
    </row>
    <row r="2151" spans="2:15" x14ac:dyDescent="0.2">
      <c r="B2151" t="s">
        <v>1433</v>
      </c>
      <c r="C2151" t="s">
        <v>12898</v>
      </c>
      <c r="D2151" t="s">
        <v>613</v>
      </c>
      <c r="E2151" t="s">
        <v>8556</v>
      </c>
      <c r="F2151">
        <v>0.03</v>
      </c>
      <c r="H2151" t="s">
        <v>6635</v>
      </c>
      <c r="L2151" t="s">
        <v>1433</v>
      </c>
      <c r="M2151" t="s">
        <v>3047</v>
      </c>
      <c r="N2151" t="s">
        <v>3328</v>
      </c>
      <c r="O2151">
        <v>4</v>
      </c>
    </row>
    <row r="2152" spans="2:15" x14ac:dyDescent="0.2">
      <c r="B2152" t="s">
        <v>1433</v>
      </c>
      <c r="C2152" t="s">
        <v>12898</v>
      </c>
      <c r="D2152" t="s">
        <v>613</v>
      </c>
      <c r="E2152" t="s">
        <v>8557</v>
      </c>
      <c r="F2152">
        <v>0.8</v>
      </c>
      <c r="H2152" t="s">
        <v>2514</v>
      </c>
      <c r="L2152" t="s">
        <v>1433</v>
      </c>
      <c r="M2152" t="s">
        <v>3329</v>
      </c>
      <c r="N2152" t="s">
        <v>3330</v>
      </c>
      <c r="O2152">
        <v>10</v>
      </c>
    </row>
    <row r="2153" spans="2:15" x14ac:dyDescent="0.2">
      <c r="B2153" t="s">
        <v>1433</v>
      </c>
      <c r="C2153" t="s">
        <v>12898</v>
      </c>
      <c r="D2153" t="s">
        <v>617</v>
      </c>
      <c r="E2153" t="s">
        <v>8558</v>
      </c>
      <c r="F2153">
        <v>74</v>
      </c>
      <c r="H2153" t="s">
        <v>1633</v>
      </c>
      <c r="L2153" t="s">
        <v>1433</v>
      </c>
      <c r="M2153" t="s">
        <v>2553</v>
      </c>
      <c r="N2153" t="s">
        <v>3331</v>
      </c>
      <c r="O2153">
        <v>6</v>
      </c>
    </row>
    <row r="2154" spans="2:15" x14ac:dyDescent="0.2">
      <c r="B2154" t="s">
        <v>1433</v>
      </c>
      <c r="C2154" t="s">
        <v>12898</v>
      </c>
      <c r="D2154" t="s">
        <v>617</v>
      </c>
      <c r="E2154" t="s">
        <v>8559</v>
      </c>
      <c r="F2154">
        <v>0.31</v>
      </c>
      <c r="H2154" t="s">
        <v>7948</v>
      </c>
      <c r="L2154" t="s">
        <v>1433</v>
      </c>
      <c r="M2154" t="s">
        <v>2555</v>
      </c>
      <c r="N2154" t="s">
        <v>3331</v>
      </c>
      <c r="O2154">
        <v>9</v>
      </c>
    </row>
    <row r="2155" spans="2:15" x14ac:dyDescent="0.2">
      <c r="B2155" t="s">
        <v>1433</v>
      </c>
      <c r="C2155" t="s">
        <v>12898</v>
      </c>
      <c r="D2155" t="s">
        <v>617</v>
      </c>
      <c r="E2155" t="s">
        <v>8560</v>
      </c>
      <c r="F2155">
        <v>1.7</v>
      </c>
      <c r="H2155" t="s">
        <v>7635</v>
      </c>
      <c r="L2155" t="s">
        <v>1433</v>
      </c>
      <c r="M2155" t="s">
        <v>2556</v>
      </c>
      <c r="N2155" t="s">
        <v>3331</v>
      </c>
      <c r="O2155">
        <v>9</v>
      </c>
    </row>
    <row r="2156" spans="2:15" x14ac:dyDescent="0.2">
      <c r="B2156" t="s">
        <v>1433</v>
      </c>
      <c r="C2156" t="s">
        <v>12898</v>
      </c>
      <c r="D2156" t="s">
        <v>617</v>
      </c>
      <c r="E2156" t="s">
        <v>8561</v>
      </c>
      <c r="F2156">
        <v>2.16</v>
      </c>
      <c r="H2156" t="s">
        <v>8433</v>
      </c>
      <c r="L2156" t="s">
        <v>1433</v>
      </c>
      <c r="M2156" t="s">
        <v>2557</v>
      </c>
      <c r="N2156" t="s">
        <v>3331</v>
      </c>
      <c r="O2156">
        <v>9</v>
      </c>
    </row>
    <row r="2157" spans="2:15" x14ac:dyDescent="0.2">
      <c r="B2157" t="s">
        <v>1433</v>
      </c>
      <c r="C2157" t="s">
        <v>12898</v>
      </c>
      <c r="D2157" t="s">
        <v>621</v>
      </c>
      <c r="E2157" t="s">
        <v>8562</v>
      </c>
      <c r="F2157">
        <v>3.35</v>
      </c>
      <c r="H2157" t="s">
        <v>8563</v>
      </c>
      <c r="L2157" t="s">
        <v>1433</v>
      </c>
      <c r="M2157" t="s">
        <v>2131</v>
      </c>
      <c r="N2157" t="s">
        <v>3332</v>
      </c>
      <c r="O2157">
        <v>4</v>
      </c>
    </row>
    <row r="2158" spans="2:15" x14ac:dyDescent="0.2">
      <c r="B2158" t="s">
        <v>1433</v>
      </c>
      <c r="C2158" t="s">
        <v>12898</v>
      </c>
      <c r="D2158" t="s">
        <v>617</v>
      </c>
      <c r="E2158" t="s">
        <v>8564</v>
      </c>
      <c r="F2158">
        <v>2.38</v>
      </c>
      <c r="H2158" t="s">
        <v>8381</v>
      </c>
      <c r="L2158" t="s">
        <v>1433</v>
      </c>
      <c r="M2158" t="s">
        <v>2457</v>
      </c>
      <c r="N2158" t="s">
        <v>3332</v>
      </c>
      <c r="O2158">
        <v>4</v>
      </c>
    </row>
    <row r="2159" spans="2:15" x14ac:dyDescent="0.2">
      <c r="B2159" t="s">
        <v>1433</v>
      </c>
      <c r="C2159" t="s">
        <v>12898</v>
      </c>
      <c r="D2159" t="s">
        <v>617</v>
      </c>
      <c r="E2159" t="s">
        <v>8565</v>
      </c>
      <c r="F2159">
        <v>7.26</v>
      </c>
      <c r="H2159" t="s">
        <v>8566</v>
      </c>
      <c r="L2159" t="s">
        <v>1433</v>
      </c>
      <c r="M2159" t="s">
        <v>3333</v>
      </c>
      <c r="N2159" t="s">
        <v>3334</v>
      </c>
      <c r="O2159">
        <v>1</v>
      </c>
    </row>
    <row r="2160" spans="2:15" x14ac:dyDescent="0.2">
      <c r="B2160" t="s">
        <v>1433</v>
      </c>
      <c r="C2160" t="s">
        <v>12898</v>
      </c>
      <c r="D2160" t="s">
        <v>84</v>
      </c>
      <c r="E2160" t="s">
        <v>8567</v>
      </c>
      <c r="F2160">
        <v>4.3099999999999996</v>
      </c>
      <c r="H2160" t="s">
        <v>7028</v>
      </c>
      <c r="L2160" t="s">
        <v>1433</v>
      </c>
      <c r="M2160" t="s">
        <v>1550</v>
      </c>
      <c r="N2160" t="s">
        <v>3335</v>
      </c>
      <c r="O2160">
        <v>15</v>
      </c>
    </row>
    <row r="2161" spans="2:15" x14ac:dyDescent="0.2">
      <c r="B2161" t="s">
        <v>1433</v>
      </c>
      <c r="C2161" t="s">
        <v>12898</v>
      </c>
      <c r="D2161" t="s">
        <v>617</v>
      </c>
      <c r="E2161" t="s">
        <v>8568</v>
      </c>
      <c r="F2161">
        <v>21.88</v>
      </c>
      <c r="H2161" t="s">
        <v>1616</v>
      </c>
      <c r="L2161" t="s">
        <v>1433</v>
      </c>
      <c r="M2161" t="s">
        <v>3336</v>
      </c>
      <c r="N2161" t="s">
        <v>3337</v>
      </c>
      <c r="O2161">
        <v>1</v>
      </c>
    </row>
    <row r="2162" spans="2:15" x14ac:dyDescent="0.2">
      <c r="B2162" t="s">
        <v>1433</v>
      </c>
      <c r="C2162" t="s">
        <v>12898</v>
      </c>
      <c r="D2162" t="s">
        <v>617</v>
      </c>
      <c r="E2162" t="s">
        <v>8569</v>
      </c>
      <c r="F2162">
        <v>1.5</v>
      </c>
      <c r="H2162" t="s">
        <v>8570</v>
      </c>
      <c r="L2162" t="s">
        <v>1433</v>
      </c>
      <c r="M2162" t="s">
        <v>3338</v>
      </c>
      <c r="N2162" t="s">
        <v>3337</v>
      </c>
      <c r="O2162">
        <v>1</v>
      </c>
    </row>
    <row r="2163" spans="2:15" x14ac:dyDescent="0.2">
      <c r="B2163" t="s">
        <v>1433</v>
      </c>
      <c r="C2163" t="s">
        <v>12898</v>
      </c>
      <c r="D2163" t="s">
        <v>554</v>
      </c>
      <c r="E2163" t="s">
        <v>8571</v>
      </c>
      <c r="F2163">
        <v>13.9</v>
      </c>
      <c r="H2163" t="s">
        <v>1601</v>
      </c>
      <c r="L2163" t="s">
        <v>1433</v>
      </c>
      <c r="M2163" t="s">
        <v>3339</v>
      </c>
      <c r="N2163" t="s">
        <v>3337</v>
      </c>
      <c r="O2163">
        <v>1</v>
      </c>
    </row>
    <row r="2164" spans="2:15" x14ac:dyDescent="0.2">
      <c r="B2164" t="s">
        <v>1433</v>
      </c>
      <c r="C2164" t="s">
        <v>12898</v>
      </c>
      <c r="D2164" t="s">
        <v>613</v>
      </c>
      <c r="E2164" t="s">
        <v>8572</v>
      </c>
      <c r="F2164">
        <v>2.16</v>
      </c>
      <c r="H2164" t="s">
        <v>7707</v>
      </c>
      <c r="L2164" t="s">
        <v>1433</v>
      </c>
      <c r="M2164" t="s">
        <v>3340</v>
      </c>
      <c r="N2164" t="s">
        <v>3341</v>
      </c>
      <c r="O2164">
        <v>1</v>
      </c>
    </row>
    <row r="2165" spans="2:15" x14ac:dyDescent="0.2">
      <c r="B2165" t="s">
        <v>1433</v>
      </c>
      <c r="C2165" t="s">
        <v>12898</v>
      </c>
      <c r="D2165" t="s">
        <v>613</v>
      </c>
      <c r="E2165" t="s">
        <v>8573</v>
      </c>
      <c r="F2165">
        <v>0.28999999999999998</v>
      </c>
      <c r="H2165" t="s">
        <v>7823</v>
      </c>
      <c r="L2165" t="s">
        <v>1433</v>
      </c>
      <c r="M2165" t="s">
        <v>3342</v>
      </c>
      <c r="N2165" t="s">
        <v>3343</v>
      </c>
      <c r="O2165">
        <v>1</v>
      </c>
    </row>
    <row r="2166" spans="2:15" x14ac:dyDescent="0.2">
      <c r="B2166" t="s">
        <v>1433</v>
      </c>
      <c r="C2166" t="s">
        <v>12898</v>
      </c>
      <c r="D2166" t="s">
        <v>613</v>
      </c>
      <c r="E2166" t="s">
        <v>8574</v>
      </c>
      <c r="F2166">
        <v>0.34</v>
      </c>
      <c r="H2166" t="s">
        <v>6635</v>
      </c>
      <c r="L2166" t="s">
        <v>1433</v>
      </c>
      <c r="M2166" t="s">
        <v>3344</v>
      </c>
      <c r="N2166" t="s">
        <v>3343</v>
      </c>
      <c r="O2166">
        <v>1</v>
      </c>
    </row>
    <row r="2167" spans="2:15" x14ac:dyDescent="0.2">
      <c r="B2167" t="s">
        <v>1433</v>
      </c>
      <c r="C2167" t="s">
        <v>12898</v>
      </c>
      <c r="D2167" t="s">
        <v>617</v>
      </c>
      <c r="E2167" t="s">
        <v>8575</v>
      </c>
      <c r="F2167">
        <v>3.07</v>
      </c>
      <c r="H2167" t="s">
        <v>8576</v>
      </c>
      <c r="L2167" t="s">
        <v>1433</v>
      </c>
      <c r="M2167" t="s">
        <v>3345</v>
      </c>
      <c r="N2167" t="s">
        <v>3343</v>
      </c>
      <c r="O2167">
        <v>1</v>
      </c>
    </row>
    <row r="2168" spans="2:15" x14ac:dyDescent="0.2">
      <c r="B2168" t="s">
        <v>1433</v>
      </c>
      <c r="C2168" t="s">
        <v>12898</v>
      </c>
      <c r="D2168" t="s">
        <v>617</v>
      </c>
      <c r="E2168" t="s">
        <v>8577</v>
      </c>
      <c r="F2168">
        <v>2.63</v>
      </c>
      <c r="H2168" t="s">
        <v>8576</v>
      </c>
      <c r="L2168" t="s">
        <v>1433</v>
      </c>
      <c r="M2168" t="s">
        <v>3346</v>
      </c>
      <c r="N2168" t="s">
        <v>3343</v>
      </c>
      <c r="O2168">
        <v>1</v>
      </c>
    </row>
    <row r="2169" spans="2:15" x14ac:dyDescent="0.2">
      <c r="B2169" t="s">
        <v>1433</v>
      </c>
      <c r="C2169" t="s">
        <v>12898</v>
      </c>
      <c r="D2169" t="s">
        <v>621</v>
      </c>
      <c r="E2169" t="s">
        <v>8578</v>
      </c>
      <c r="F2169">
        <v>6.84</v>
      </c>
      <c r="H2169" t="s">
        <v>8579</v>
      </c>
      <c r="L2169" t="s">
        <v>1433</v>
      </c>
      <c r="M2169" t="s">
        <v>3347</v>
      </c>
      <c r="N2169" t="s">
        <v>3348</v>
      </c>
      <c r="O2169">
        <v>2</v>
      </c>
    </row>
    <row r="2170" spans="2:15" x14ac:dyDescent="0.2">
      <c r="B2170" t="s">
        <v>1433</v>
      </c>
      <c r="C2170" t="s">
        <v>12898</v>
      </c>
      <c r="D2170" t="s">
        <v>621</v>
      </c>
      <c r="E2170" t="s">
        <v>8580</v>
      </c>
      <c r="F2170">
        <v>45.68</v>
      </c>
      <c r="H2170" t="s">
        <v>7784</v>
      </c>
      <c r="L2170" t="s">
        <v>1433</v>
      </c>
      <c r="M2170" t="s">
        <v>3349</v>
      </c>
      <c r="N2170" t="s">
        <v>3348</v>
      </c>
      <c r="O2170">
        <v>2</v>
      </c>
    </row>
    <row r="2171" spans="2:15" x14ac:dyDescent="0.2">
      <c r="B2171" t="s">
        <v>1433</v>
      </c>
      <c r="C2171" t="s">
        <v>12898</v>
      </c>
      <c r="D2171" t="s">
        <v>621</v>
      </c>
      <c r="E2171" t="s">
        <v>8581</v>
      </c>
      <c r="F2171">
        <v>77.38</v>
      </c>
      <c r="H2171" t="s">
        <v>1672</v>
      </c>
      <c r="L2171" t="s">
        <v>1433</v>
      </c>
      <c r="M2171" t="s">
        <v>3350</v>
      </c>
      <c r="N2171" t="s">
        <v>3348</v>
      </c>
      <c r="O2171">
        <v>2</v>
      </c>
    </row>
    <row r="2172" spans="2:15" x14ac:dyDescent="0.2">
      <c r="B2172" t="s">
        <v>1433</v>
      </c>
      <c r="C2172" t="s">
        <v>12898</v>
      </c>
      <c r="D2172" t="s">
        <v>617</v>
      </c>
      <c r="E2172" t="s">
        <v>8582</v>
      </c>
      <c r="F2172">
        <v>9.7899999999999991</v>
      </c>
      <c r="H2172" t="s">
        <v>5251</v>
      </c>
      <c r="L2172" t="s">
        <v>1433</v>
      </c>
      <c r="M2172" t="s">
        <v>1512</v>
      </c>
      <c r="N2172" t="s">
        <v>3067</v>
      </c>
      <c r="O2172">
        <v>10</v>
      </c>
    </row>
    <row r="2173" spans="2:15" x14ac:dyDescent="0.2">
      <c r="B2173" t="s">
        <v>1433</v>
      </c>
      <c r="C2173" t="s">
        <v>12898</v>
      </c>
      <c r="D2173" t="s">
        <v>617</v>
      </c>
      <c r="E2173" t="s">
        <v>8583</v>
      </c>
      <c r="F2173">
        <v>5.61</v>
      </c>
      <c r="H2173" t="s">
        <v>6489</v>
      </c>
      <c r="L2173" t="s">
        <v>1433</v>
      </c>
      <c r="M2173" t="s">
        <v>3351</v>
      </c>
      <c r="N2173" t="s">
        <v>3352</v>
      </c>
      <c r="O2173">
        <v>1</v>
      </c>
    </row>
    <row r="2174" spans="2:15" x14ac:dyDescent="0.2">
      <c r="B2174" t="s">
        <v>1433</v>
      </c>
      <c r="C2174" t="s">
        <v>12898</v>
      </c>
      <c r="D2174" t="s">
        <v>617</v>
      </c>
      <c r="E2174" t="s">
        <v>8584</v>
      </c>
      <c r="F2174">
        <v>3.9</v>
      </c>
      <c r="H2174" t="s">
        <v>7619</v>
      </c>
      <c r="L2174" t="s">
        <v>1433</v>
      </c>
      <c r="M2174" t="s">
        <v>3353</v>
      </c>
      <c r="N2174" t="s">
        <v>3354</v>
      </c>
      <c r="O2174">
        <v>1</v>
      </c>
    </row>
    <row r="2175" spans="2:15" x14ac:dyDescent="0.2">
      <c r="B2175" t="s">
        <v>1433</v>
      </c>
      <c r="C2175" t="s">
        <v>12898</v>
      </c>
      <c r="D2175" t="s">
        <v>617</v>
      </c>
      <c r="E2175" t="s">
        <v>8585</v>
      </c>
      <c r="F2175">
        <v>15.6</v>
      </c>
      <c r="H2175" t="s">
        <v>1628</v>
      </c>
      <c r="L2175" t="s">
        <v>1433</v>
      </c>
      <c r="M2175" t="s">
        <v>3355</v>
      </c>
      <c r="N2175" t="s">
        <v>3356</v>
      </c>
      <c r="O2175">
        <v>4</v>
      </c>
    </row>
    <row r="2176" spans="2:15" x14ac:dyDescent="0.2">
      <c r="B2176" t="s">
        <v>1433</v>
      </c>
      <c r="C2176" t="s">
        <v>12898</v>
      </c>
      <c r="D2176" t="s">
        <v>617</v>
      </c>
      <c r="E2176" t="s">
        <v>8586</v>
      </c>
      <c r="F2176">
        <v>10.8</v>
      </c>
      <c r="H2176" t="s">
        <v>1629</v>
      </c>
      <c r="L2176" t="s">
        <v>1433</v>
      </c>
      <c r="M2176" t="s">
        <v>3355</v>
      </c>
      <c r="N2176" t="s">
        <v>3357</v>
      </c>
      <c r="O2176">
        <v>2</v>
      </c>
    </row>
    <row r="2177" spans="2:15" x14ac:dyDescent="0.2">
      <c r="B2177" t="s">
        <v>1433</v>
      </c>
      <c r="C2177" t="s">
        <v>12898</v>
      </c>
      <c r="D2177" t="s">
        <v>617</v>
      </c>
      <c r="E2177" t="s">
        <v>8587</v>
      </c>
      <c r="F2177">
        <v>3.3</v>
      </c>
      <c r="H2177" t="s">
        <v>5897</v>
      </c>
      <c r="L2177" t="s">
        <v>1433</v>
      </c>
      <c r="M2177" t="s">
        <v>3358</v>
      </c>
      <c r="N2177" t="s">
        <v>3359</v>
      </c>
      <c r="O2177">
        <v>16</v>
      </c>
    </row>
    <row r="2178" spans="2:15" x14ac:dyDescent="0.2">
      <c r="B2178" t="s">
        <v>1433</v>
      </c>
      <c r="C2178" t="s">
        <v>12898</v>
      </c>
      <c r="D2178" t="s">
        <v>617</v>
      </c>
      <c r="E2178" t="s">
        <v>8588</v>
      </c>
      <c r="F2178">
        <v>1.53</v>
      </c>
      <c r="H2178" t="s">
        <v>7595</v>
      </c>
      <c r="L2178" t="s">
        <v>1433</v>
      </c>
      <c r="M2178" t="s">
        <v>3360</v>
      </c>
      <c r="N2178" t="s">
        <v>3361</v>
      </c>
      <c r="O2178">
        <v>300</v>
      </c>
    </row>
    <row r="2179" spans="2:15" x14ac:dyDescent="0.2">
      <c r="B2179" t="s">
        <v>1433</v>
      </c>
      <c r="C2179" t="s">
        <v>12898</v>
      </c>
      <c r="D2179" t="s">
        <v>613</v>
      </c>
      <c r="E2179" t="s">
        <v>8589</v>
      </c>
      <c r="F2179">
        <v>3.5</v>
      </c>
      <c r="H2179" t="s">
        <v>5072</v>
      </c>
      <c r="L2179" t="s">
        <v>1433</v>
      </c>
      <c r="M2179" t="s">
        <v>3362</v>
      </c>
      <c r="N2179" t="s">
        <v>3363</v>
      </c>
      <c r="O2179">
        <v>84</v>
      </c>
    </row>
    <row r="2180" spans="2:15" x14ac:dyDescent="0.2">
      <c r="B2180" t="s">
        <v>1433</v>
      </c>
      <c r="C2180" t="s">
        <v>12898</v>
      </c>
      <c r="D2180" t="s">
        <v>613</v>
      </c>
      <c r="E2180" t="s">
        <v>8590</v>
      </c>
      <c r="F2180">
        <v>3.7</v>
      </c>
      <c r="H2180" t="s">
        <v>7701</v>
      </c>
      <c r="L2180" t="s">
        <v>1433</v>
      </c>
      <c r="M2180" t="s">
        <v>3364</v>
      </c>
      <c r="N2180" t="s">
        <v>3363</v>
      </c>
      <c r="O2180">
        <v>120</v>
      </c>
    </row>
    <row r="2181" spans="2:15" x14ac:dyDescent="0.2">
      <c r="B2181" t="s">
        <v>1433</v>
      </c>
      <c r="C2181" t="s">
        <v>12898</v>
      </c>
      <c r="D2181" t="s">
        <v>613</v>
      </c>
      <c r="E2181" t="s">
        <v>8591</v>
      </c>
      <c r="F2181">
        <v>1.1499999999999999</v>
      </c>
      <c r="H2181" t="s">
        <v>5259</v>
      </c>
      <c r="L2181" t="s">
        <v>1433</v>
      </c>
      <c r="M2181" t="s">
        <v>1822</v>
      </c>
      <c r="N2181" t="s">
        <v>3363</v>
      </c>
      <c r="O2181">
        <v>30</v>
      </c>
    </row>
    <row r="2182" spans="2:15" x14ac:dyDescent="0.2">
      <c r="B2182" t="s">
        <v>1433</v>
      </c>
      <c r="C2182" t="s">
        <v>12898</v>
      </c>
      <c r="D2182" t="s">
        <v>617</v>
      </c>
      <c r="E2182" t="s">
        <v>8592</v>
      </c>
      <c r="F2182">
        <v>9</v>
      </c>
      <c r="H2182" t="s">
        <v>7635</v>
      </c>
      <c r="L2182" t="s">
        <v>1433</v>
      </c>
      <c r="M2182" t="s">
        <v>1831</v>
      </c>
      <c r="N2182" t="s">
        <v>3363</v>
      </c>
      <c r="O2182">
        <v>36</v>
      </c>
    </row>
    <row r="2183" spans="2:15" x14ac:dyDescent="0.2">
      <c r="B2183" t="s">
        <v>1433</v>
      </c>
      <c r="C2183" t="s">
        <v>12898</v>
      </c>
      <c r="D2183" t="s">
        <v>617</v>
      </c>
      <c r="E2183" t="s">
        <v>8593</v>
      </c>
      <c r="F2183">
        <v>2.86</v>
      </c>
      <c r="H2183" t="s">
        <v>6103</v>
      </c>
      <c r="L2183" t="s">
        <v>1433</v>
      </c>
      <c r="M2183" t="s">
        <v>1834</v>
      </c>
      <c r="N2183" t="s">
        <v>3363</v>
      </c>
      <c r="O2183">
        <v>40</v>
      </c>
    </row>
    <row r="2184" spans="2:15" x14ac:dyDescent="0.2">
      <c r="B2184" t="s">
        <v>1433</v>
      </c>
      <c r="C2184" t="s">
        <v>12898</v>
      </c>
      <c r="D2184" t="s">
        <v>617</v>
      </c>
      <c r="E2184" t="s">
        <v>8594</v>
      </c>
      <c r="F2184">
        <v>15.9</v>
      </c>
      <c r="H2184" t="s">
        <v>7931</v>
      </c>
      <c r="L2184" t="s">
        <v>1433</v>
      </c>
      <c r="M2184" t="s">
        <v>1594</v>
      </c>
      <c r="N2184" t="s">
        <v>3365</v>
      </c>
      <c r="O2184">
        <v>100</v>
      </c>
    </row>
    <row r="2185" spans="2:15" x14ac:dyDescent="0.2">
      <c r="B2185" t="s">
        <v>1433</v>
      </c>
      <c r="C2185" t="s">
        <v>12898</v>
      </c>
      <c r="D2185" t="s">
        <v>613</v>
      </c>
      <c r="E2185" t="s">
        <v>8595</v>
      </c>
      <c r="F2185">
        <v>3.7</v>
      </c>
      <c r="H2185" t="s">
        <v>7701</v>
      </c>
      <c r="L2185" t="s">
        <v>1433</v>
      </c>
      <c r="M2185" t="s">
        <v>2283</v>
      </c>
      <c r="N2185" t="s">
        <v>3365</v>
      </c>
      <c r="O2185">
        <v>150</v>
      </c>
    </row>
    <row r="2186" spans="2:15" x14ac:dyDescent="0.2">
      <c r="B2186" t="s">
        <v>1433</v>
      </c>
      <c r="C2186" t="s">
        <v>12898</v>
      </c>
      <c r="D2186" t="s">
        <v>613</v>
      </c>
      <c r="E2186" t="s">
        <v>8596</v>
      </c>
      <c r="F2186">
        <v>2.5</v>
      </c>
      <c r="H2186" t="s">
        <v>7659</v>
      </c>
      <c r="L2186" t="s">
        <v>1433</v>
      </c>
      <c r="M2186" t="s">
        <v>3366</v>
      </c>
      <c r="N2186" t="s">
        <v>3367</v>
      </c>
      <c r="O2186">
        <v>1</v>
      </c>
    </row>
    <row r="2187" spans="2:15" x14ac:dyDescent="0.2">
      <c r="B2187" t="s">
        <v>1433</v>
      </c>
      <c r="C2187" t="s">
        <v>12898</v>
      </c>
      <c r="D2187" t="s">
        <v>613</v>
      </c>
      <c r="E2187" t="s">
        <v>8597</v>
      </c>
      <c r="F2187">
        <v>0.48</v>
      </c>
      <c r="H2187" t="s">
        <v>6752</v>
      </c>
      <c r="L2187" t="s">
        <v>1433</v>
      </c>
      <c r="M2187" t="s">
        <v>3368</v>
      </c>
      <c r="N2187" t="s">
        <v>3369</v>
      </c>
      <c r="O2187">
        <v>50</v>
      </c>
    </row>
    <row r="2188" spans="2:15" x14ac:dyDescent="0.2">
      <c r="B2188" t="s">
        <v>1433</v>
      </c>
      <c r="C2188" t="s">
        <v>12898</v>
      </c>
      <c r="D2188" t="s">
        <v>617</v>
      </c>
      <c r="E2188" t="s">
        <v>8598</v>
      </c>
      <c r="F2188">
        <v>4.2</v>
      </c>
      <c r="H2188" t="s">
        <v>7619</v>
      </c>
      <c r="L2188" t="s">
        <v>1433</v>
      </c>
      <c r="M2188" t="s">
        <v>3370</v>
      </c>
      <c r="N2188" t="s">
        <v>3369</v>
      </c>
      <c r="O2188">
        <v>60</v>
      </c>
    </row>
    <row r="2189" spans="2:15" x14ac:dyDescent="0.2">
      <c r="B2189" t="s">
        <v>1433</v>
      </c>
      <c r="C2189" t="s">
        <v>12898</v>
      </c>
      <c r="D2189" t="s">
        <v>617</v>
      </c>
      <c r="E2189" t="s">
        <v>8599</v>
      </c>
      <c r="F2189">
        <v>12.12</v>
      </c>
      <c r="H2189" t="s">
        <v>6489</v>
      </c>
      <c r="L2189" t="s">
        <v>1433</v>
      </c>
      <c r="M2189" t="s">
        <v>3371</v>
      </c>
      <c r="N2189" t="s">
        <v>3372</v>
      </c>
      <c r="O2189">
        <v>1</v>
      </c>
    </row>
    <row r="2190" spans="2:15" x14ac:dyDescent="0.2">
      <c r="B2190" t="s">
        <v>1433</v>
      </c>
      <c r="C2190" t="s">
        <v>12898</v>
      </c>
      <c r="D2190" t="s">
        <v>617</v>
      </c>
      <c r="E2190" t="s">
        <v>8600</v>
      </c>
      <c r="F2190">
        <v>9.7899999999999991</v>
      </c>
      <c r="H2190" t="s">
        <v>5251</v>
      </c>
      <c r="L2190" t="s">
        <v>1433</v>
      </c>
      <c r="M2190" t="s">
        <v>3373</v>
      </c>
      <c r="N2190" t="s">
        <v>3372</v>
      </c>
      <c r="O2190">
        <v>1</v>
      </c>
    </row>
    <row r="2191" spans="2:15" x14ac:dyDescent="0.2">
      <c r="B2191" t="s">
        <v>1433</v>
      </c>
      <c r="C2191" t="s">
        <v>12898</v>
      </c>
      <c r="D2191" t="s">
        <v>617</v>
      </c>
      <c r="E2191" t="s">
        <v>8601</v>
      </c>
      <c r="F2191">
        <v>5.62</v>
      </c>
      <c r="H2191" t="s">
        <v>6492</v>
      </c>
      <c r="L2191" t="s">
        <v>1433</v>
      </c>
      <c r="M2191" t="s">
        <v>2330</v>
      </c>
      <c r="N2191" t="s">
        <v>3374</v>
      </c>
      <c r="O2191">
        <v>2</v>
      </c>
    </row>
    <row r="2192" spans="2:15" x14ac:dyDescent="0.2">
      <c r="B2192" t="s">
        <v>1433</v>
      </c>
      <c r="C2192" t="s">
        <v>12898</v>
      </c>
      <c r="D2192" t="s">
        <v>613</v>
      </c>
      <c r="E2192" t="s">
        <v>8602</v>
      </c>
      <c r="F2192">
        <v>3.85</v>
      </c>
      <c r="H2192" t="s">
        <v>2513</v>
      </c>
      <c r="L2192" t="s">
        <v>1433</v>
      </c>
      <c r="M2192" t="s">
        <v>1545</v>
      </c>
      <c r="N2192" t="s">
        <v>3375</v>
      </c>
      <c r="O2192">
        <v>2</v>
      </c>
    </row>
    <row r="2193" spans="2:15" x14ac:dyDescent="0.2">
      <c r="B2193" t="s">
        <v>1433</v>
      </c>
      <c r="C2193" t="s">
        <v>12898</v>
      </c>
      <c r="D2193" t="s">
        <v>52</v>
      </c>
      <c r="E2193" t="s">
        <v>8603</v>
      </c>
      <c r="F2193">
        <v>23.58</v>
      </c>
      <c r="H2193" t="s">
        <v>7583</v>
      </c>
      <c r="L2193" t="s">
        <v>1433</v>
      </c>
      <c r="M2193" t="s">
        <v>1547</v>
      </c>
      <c r="N2193" t="s">
        <v>3375</v>
      </c>
      <c r="O2193">
        <v>2</v>
      </c>
    </row>
    <row r="2194" spans="2:15" x14ac:dyDescent="0.2">
      <c r="B2194" t="s">
        <v>1433</v>
      </c>
      <c r="C2194" t="s">
        <v>12898</v>
      </c>
      <c r="D2194" t="s">
        <v>613</v>
      </c>
      <c r="E2194" t="s">
        <v>8604</v>
      </c>
      <c r="F2194">
        <v>2.63</v>
      </c>
      <c r="H2194" t="s">
        <v>8605</v>
      </c>
      <c r="L2194" t="s">
        <v>1433</v>
      </c>
      <c r="M2194" t="s">
        <v>1549</v>
      </c>
      <c r="N2194" t="s">
        <v>3375</v>
      </c>
      <c r="O2194">
        <v>2</v>
      </c>
    </row>
    <row r="2195" spans="2:15" x14ac:dyDescent="0.2">
      <c r="B2195" t="s">
        <v>1433</v>
      </c>
      <c r="C2195" t="s">
        <v>12898</v>
      </c>
      <c r="D2195" t="s">
        <v>617</v>
      </c>
      <c r="E2195" t="s">
        <v>8606</v>
      </c>
      <c r="F2195">
        <v>6.37</v>
      </c>
      <c r="H2195" t="s">
        <v>8343</v>
      </c>
      <c r="L2195" t="s">
        <v>1433</v>
      </c>
      <c r="M2195" t="s">
        <v>3376</v>
      </c>
      <c r="N2195" t="s">
        <v>3377</v>
      </c>
      <c r="O2195">
        <v>3</v>
      </c>
    </row>
    <row r="2196" spans="2:15" x14ac:dyDescent="0.2">
      <c r="B2196" t="s">
        <v>1433</v>
      </c>
      <c r="C2196" t="s">
        <v>12898</v>
      </c>
      <c r="D2196" t="s">
        <v>617</v>
      </c>
      <c r="E2196" t="s">
        <v>8607</v>
      </c>
      <c r="F2196">
        <v>4.3099999999999996</v>
      </c>
      <c r="H2196" t="s">
        <v>8519</v>
      </c>
      <c r="L2196" t="s">
        <v>1433</v>
      </c>
      <c r="M2196" t="s">
        <v>3378</v>
      </c>
      <c r="N2196" t="s">
        <v>3377</v>
      </c>
      <c r="O2196">
        <v>3</v>
      </c>
    </row>
    <row r="2197" spans="2:15" x14ac:dyDescent="0.2">
      <c r="B2197" t="s">
        <v>1433</v>
      </c>
      <c r="C2197" t="s">
        <v>12898</v>
      </c>
      <c r="D2197" t="s">
        <v>617</v>
      </c>
      <c r="E2197" t="s">
        <v>8608</v>
      </c>
      <c r="F2197">
        <v>48.95</v>
      </c>
      <c r="H2197" t="s">
        <v>5251</v>
      </c>
      <c r="L2197" t="s">
        <v>1433</v>
      </c>
      <c r="M2197" t="s">
        <v>3379</v>
      </c>
      <c r="N2197" t="s">
        <v>3377</v>
      </c>
      <c r="O2197">
        <v>6</v>
      </c>
    </row>
    <row r="2198" spans="2:15" x14ac:dyDescent="0.2">
      <c r="B2198" t="s">
        <v>1433</v>
      </c>
      <c r="C2198" t="s">
        <v>12898</v>
      </c>
      <c r="D2198" t="s">
        <v>617</v>
      </c>
      <c r="E2198" t="s">
        <v>8609</v>
      </c>
      <c r="F2198">
        <v>9.09</v>
      </c>
      <c r="H2198" t="s">
        <v>6489</v>
      </c>
      <c r="L2198" t="s">
        <v>1433</v>
      </c>
      <c r="M2198" t="s">
        <v>3380</v>
      </c>
      <c r="N2198" t="s">
        <v>3377</v>
      </c>
      <c r="O2198">
        <v>6</v>
      </c>
    </row>
    <row r="2199" spans="2:15" x14ac:dyDescent="0.2">
      <c r="B2199" t="s">
        <v>1433</v>
      </c>
      <c r="C2199" t="s">
        <v>12898</v>
      </c>
      <c r="D2199" t="s">
        <v>617</v>
      </c>
      <c r="E2199" t="s">
        <v>8610</v>
      </c>
      <c r="F2199">
        <v>4.9000000000000004</v>
      </c>
      <c r="H2199" t="s">
        <v>5251</v>
      </c>
      <c r="L2199" t="s">
        <v>1433</v>
      </c>
      <c r="M2199" t="s">
        <v>3381</v>
      </c>
      <c r="N2199" t="s">
        <v>3377</v>
      </c>
      <c r="O2199">
        <v>9</v>
      </c>
    </row>
    <row r="2200" spans="2:15" x14ac:dyDescent="0.2">
      <c r="B2200" t="s">
        <v>1433</v>
      </c>
      <c r="C2200" t="s">
        <v>12898</v>
      </c>
      <c r="D2200" t="s">
        <v>617</v>
      </c>
      <c r="E2200" t="s">
        <v>8611</v>
      </c>
      <c r="F2200">
        <v>5.63</v>
      </c>
      <c r="H2200" t="s">
        <v>6577</v>
      </c>
      <c r="L2200" t="s">
        <v>1433</v>
      </c>
      <c r="M2200" t="s">
        <v>3382</v>
      </c>
      <c r="N2200" t="s">
        <v>3383</v>
      </c>
      <c r="O2200">
        <v>1</v>
      </c>
    </row>
    <row r="2201" spans="2:15" x14ac:dyDescent="0.2">
      <c r="B2201" t="s">
        <v>1433</v>
      </c>
      <c r="C2201" t="s">
        <v>12898</v>
      </c>
      <c r="D2201" t="s">
        <v>617</v>
      </c>
      <c r="E2201" t="s">
        <v>8613</v>
      </c>
      <c r="F2201">
        <v>1.1200000000000001</v>
      </c>
      <c r="H2201" t="s">
        <v>7921</v>
      </c>
      <c r="L2201" t="s">
        <v>1433</v>
      </c>
      <c r="M2201" t="s">
        <v>1332</v>
      </c>
      <c r="N2201" t="s">
        <v>3384</v>
      </c>
      <c r="O2201">
        <v>1</v>
      </c>
    </row>
    <row r="2202" spans="2:15" x14ac:dyDescent="0.2">
      <c r="B2202" t="s">
        <v>1433</v>
      </c>
      <c r="C2202" t="s">
        <v>12898</v>
      </c>
      <c r="D2202" t="s">
        <v>617</v>
      </c>
      <c r="E2202" t="s">
        <v>8614</v>
      </c>
      <c r="F2202">
        <v>30.31</v>
      </c>
      <c r="H2202" t="s">
        <v>6489</v>
      </c>
      <c r="L2202" t="s">
        <v>1433</v>
      </c>
      <c r="M2202" t="s">
        <v>1334</v>
      </c>
      <c r="N2202" t="s">
        <v>3384</v>
      </c>
      <c r="O2202">
        <v>1</v>
      </c>
    </row>
    <row r="2203" spans="2:15" x14ac:dyDescent="0.2">
      <c r="B2203" t="s">
        <v>1433</v>
      </c>
      <c r="C2203" t="s">
        <v>12898</v>
      </c>
      <c r="D2203" t="s">
        <v>617</v>
      </c>
      <c r="E2203" t="s">
        <v>8615</v>
      </c>
      <c r="F2203">
        <v>48.95</v>
      </c>
      <c r="H2203" t="s">
        <v>5251</v>
      </c>
      <c r="L2203" t="s">
        <v>1433</v>
      </c>
      <c r="M2203" t="s">
        <v>1338</v>
      </c>
      <c r="N2203" t="s">
        <v>3384</v>
      </c>
      <c r="O2203">
        <v>1</v>
      </c>
    </row>
    <row r="2204" spans="2:15" x14ac:dyDescent="0.2">
      <c r="B2204" t="s">
        <v>1433</v>
      </c>
      <c r="C2204" t="s">
        <v>12898</v>
      </c>
      <c r="D2204" t="s">
        <v>617</v>
      </c>
      <c r="E2204" t="s">
        <v>8616</v>
      </c>
      <c r="F2204">
        <v>10.51</v>
      </c>
      <c r="H2204" t="s">
        <v>7619</v>
      </c>
      <c r="L2204" t="s">
        <v>1433</v>
      </c>
      <c r="M2204" t="s">
        <v>1340</v>
      </c>
      <c r="N2204" t="s">
        <v>3384</v>
      </c>
      <c r="O2204">
        <v>1</v>
      </c>
    </row>
    <row r="2205" spans="2:15" x14ac:dyDescent="0.2">
      <c r="B2205" t="s">
        <v>1433</v>
      </c>
      <c r="C2205" t="s">
        <v>12898</v>
      </c>
      <c r="D2205" t="s">
        <v>617</v>
      </c>
      <c r="E2205" t="s">
        <v>8617</v>
      </c>
      <c r="F2205">
        <v>3.13</v>
      </c>
      <c r="H2205" t="s">
        <v>7919</v>
      </c>
      <c r="L2205" t="s">
        <v>1433</v>
      </c>
      <c r="M2205" t="s">
        <v>1352</v>
      </c>
      <c r="N2205" t="s">
        <v>3384</v>
      </c>
      <c r="O2205">
        <v>1</v>
      </c>
    </row>
    <row r="2206" spans="2:15" x14ac:dyDescent="0.2">
      <c r="B2206" t="s">
        <v>1433</v>
      </c>
      <c r="C2206" t="s">
        <v>12898</v>
      </c>
      <c r="D2206" t="s">
        <v>617</v>
      </c>
      <c r="E2206" t="s">
        <v>8618</v>
      </c>
      <c r="F2206">
        <v>2.74</v>
      </c>
      <c r="H2206" t="s">
        <v>8619</v>
      </c>
      <c r="L2206" t="s">
        <v>1433</v>
      </c>
      <c r="M2206" t="s">
        <v>1354</v>
      </c>
      <c r="N2206" t="s">
        <v>3384</v>
      </c>
      <c r="O2206">
        <v>1</v>
      </c>
    </row>
    <row r="2207" spans="2:15" x14ac:dyDescent="0.2">
      <c r="B2207" t="s">
        <v>1433</v>
      </c>
      <c r="C2207" t="s">
        <v>12898</v>
      </c>
      <c r="D2207" t="s">
        <v>617</v>
      </c>
      <c r="E2207" t="s">
        <v>8620</v>
      </c>
      <c r="F2207">
        <v>0.74</v>
      </c>
      <c r="H2207" t="s">
        <v>8399</v>
      </c>
      <c r="L2207" t="s">
        <v>1433</v>
      </c>
      <c r="M2207" t="s">
        <v>1368</v>
      </c>
      <c r="N2207" t="s">
        <v>3384</v>
      </c>
      <c r="O2207">
        <v>1</v>
      </c>
    </row>
    <row r="2208" spans="2:15" x14ac:dyDescent="0.2">
      <c r="B2208" t="s">
        <v>1433</v>
      </c>
      <c r="C2208" t="s">
        <v>12898</v>
      </c>
      <c r="D2208" t="s">
        <v>617</v>
      </c>
      <c r="E2208" t="s">
        <v>8621</v>
      </c>
      <c r="F2208">
        <v>1.24</v>
      </c>
      <c r="H2208" t="s">
        <v>7915</v>
      </c>
      <c r="L2208" t="s">
        <v>1433</v>
      </c>
      <c r="M2208" t="s">
        <v>1393</v>
      </c>
      <c r="N2208" t="s">
        <v>3384</v>
      </c>
      <c r="O2208">
        <v>1</v>
      </c>
    </row>
    <row r="2209" spans="2:15" x14ac:dyDescent="0.2">
      <c r="B2209" t="s">
        <v>1433</v>
      </c>
      <c r="C2209" t="s">
        <v>12898</v>
      </c>
      <c r="D2209" t="s">
        <v>617</v>
      </c>
      <c r="E2209" t="s">
        <v>8622</v>
      </c>
      <c r="F2209">
        <v>0.75</v>
      </c>
      <c r="H2209" t="s">
        <v>8187</v>
      </c>
      <c r="L2209" t="s">
        <v>1433</v>
      </c>
      <c r="M2209" t="s">
        <v>3385</v>
      </c>
      <c r="N2209" t="s">
        <v>1343</v>
      </c>
      <c r="O2209">
        <v>1</v>
      </c>
    </row>
    <row r="2210" spans="2:15" x14ac:dyDescent="0.2">
      <c r="B2210" t="s">
        <v>1433</v>
      </c>
      <c r="C2210" t="s">
        <v>12898</v>
      </c>
      <c r="D2210" t="s">
        <v>617</v>
      </c>
      <c r="E2210" t="s">
        <v>8623</v>
      </c>
      <c r="F2210">
        <v>21.97</v>
      </c>
      <c r="H2210" t="s">
        <v>8612</v>
      </c>
      <c r="L2210" t="s">
        <v>1433</v>
      </c>
      <c r="M2210" t="s">
        <v>3386</v>
      </c>
      <c r="N2210" t="s">
        <v>3387</v>
      </c>
      <c r="O2210">
        <v>1</v>
      </c>
    </row>
    <row r="2211" spans="2:15" x14ac:dyDescent="0.2">
      <c r="B2211" t="s">
        <v>1433</v>
      </c>
      <c r="C2211" t="s">
        <v>12898</v>
      </c>
      <c r="D2211" t="s">
        <v>617</v>
      </c>
      <c r="E2211" t="s">
        <v>8624</v>
      </c>
      <c r="F2211">
        <v>2.1</v>
      </c>
      <c r="H2211" t="s">
        <v>7619</v>
      </c>
      <c r="L2211" t="s">
        <v>1433</v>
      </c>
      <c r="M2211" t="s">
        <v>2655</v>
      </c>
      <c r="N2211" t="s">
        <v>3388</v>
      </c>
      <c r="O2211">
        <v>2</v>
      </c>
    </row>
    <row r="2212" spans="2:15" x14ac:dyDescent="0.2">
      <c r="B2212" t="s">
        <v>1433</v>
      </c>
      <c r="C2212" t="s">
        <v>12898</v>
      </c>
      <c r="D2212" t="s">
        <v>613</v>
      </c>
      <c r="E2212" t="s">
        <v>8625</v>
      </c>
      <c r="F2212">
        <v>0.6</v>
      </c>
      <c r="H2212" t="s">
        <v>6232</v>
      </c>
      <c r="L2212" t="s">
        <v>1433</v>
      </c>
      <c r="M2212" t="s">
        <v>2862</v>
      </c>
      <c r="N2212" t="s">
        <v>3388</v>
      </c>
      <c r="O2212">
        <v>2</v>
      </c>
    </row>
    <row r="2213" spans="2:15" x14ac:dyDescent="0.2">
      <c r="B2213" t="s">
        <v>1433</v>
      </c>
      <c r="C2213" t="s">
        <v>12898</v>
      </c>
      <c r="D2213" t="s">
        <v>52</v>
      </c>
      <c r="E2213" t="s">
        <v>8626</v>
      </c>
      <c r="F2213">
        <v>34.799999999999997</v>
      </c>
      <c r="H2213" t="s">
        <v>7583</v>
      </c>
      <c r="L2213" t="s">
        <v>1433</v>
      </c>
      <c r="M2213" t="s">
        <v>3389</v>
      </c>
      <c r="N2213" t="s">
        <v>3390</v>
      </c>
      <c r="O2213">
        <v>1</v>
      </c>
    </row>
    <row r="2214" spans="2:15" x14ac:dyDescent="0.2">
      <c r="B2214" t="s">
        <v>1433</v>
      </c>
      <c r="C2214" t="s">
        <v>12898</v>
      </c>
      <c r="D2214" t="s">
        <v>84</v>
      </c>
      <c r="E2214" t="s">
        <v>8627</v>
      </c>
      <c r="F2214">
        <v>4.12</v>
      </c>
      <c r="H2214" t="s">
        <v>8628</v>
      </c>
      <c r="L2214" t="s">
        <v>1433</v>
      </c>
      <c r="M2214" t="s">
        <v>3391</v>
      </c>
      <c r="N2214" t="s">
        <v>3390</v>
      </c>
      <c r="O2214">
        <v>1</v>
      </c>
    </row>
    <row r="2215" spans="2:15" x14ac:dyDescent="0.2">
      <c r="B2215" t="s">
        <v>1433</v>
      </c>
      <c r="C2215" t="s">
        <v>12898</v>
      </c>
      <c r="D2215" t="s">
        <v>613</v>
      </c>
      <c r="E2215" t="s">
        <v>8629</v>
      </c>
      <c r="F2215">
        <v>3.2</v>
      </c>
      <c r="H2215" t="s">
        <v>7674</v>
      </c>
      <c r="L2215" t="s">
        <v>1433</v>
      </c>
      <c r="M2215" t="s">
        <v>3392</v>
      </c>
      <c r="N2215" t="s">
        <v>3393</v>
      </c>
      <c r="O2215">
        <v>1</v>
      </c>
    </row>
    <row r="2216" spans="2:15" x14ac:dyDescent="0.2">
      <c r="B2216" t="s">
        <v>1433</v>
      </c>
      <c r="C2216" t="s">
        <v>12898</v>
      </c>
      <c r="D2216" t="s">
        <v>617</v>
      </c>
      <c r="E2216" t="s">
        <v>8630</v>
      </c>
      <c r="F2216">
        <v>4.4000000000000004</v>
      </c>
      <c r="H2216" t="s">
        <v>4878</v>
      </c>
      <c r="L2216" t="s">
        <v>1433</v>
      </c>
      <c r="M2216" t="s">
        <v>3394</v>
      </c>
      <c r="N2216" t="s">
        <v>3348</v>
      </c>
      <c r="O2216">
        <v>2</v>
      </c>
    </row>
    <row r="2217" spans="2:15" x14ac:dyDescent="0.2">
      <c r="B2217" t="s">
        <v>1433</v>
      </c>
      <c r="C2217" t="s">
        <v>12898</v>
      </c>
      <c r="D2217" t="s">
        <v>613</v>
      </c>
      <c r="E2217" t="s">
        <v>8631</v>
      </c>
      <c r="F2217">
        <v>1.67</v>
      </c>
      <c r="H2217" t="s">
        <v>7811</v>
      </c>
      <c r="L2217" t="s">
        <v>1433</v>
      </c>
      <c r="M2217" t="s">
        <v>3395</v>
      </c>
      <c r="N2217" t="s">
        <v>3348</v>
      </c>
      <c r="O2217">
        <v>2</v>
      </c>
    </row>
    <row r="2218" spans="2:15" x14ac:dyDescent="0.2">
      <c r="B2218" t="s">
        <v>1433</v>
      </c>
      <c r="C2218" t="s">
        <v>12898</v>
      </c>
      <c r="D2218" t="s">
        <v>613</v>
      </c>
      <c r="E2218" t="s">
        <v>8632</v>
      </c>
      <c r="F2218">
        <v>0.72</v>
      </c>
      <c r="H2218" t="s">
        <v>7251</v>
      </c>
      <c r="L2218" t="s">
        <v>1433</v>
      </c>
      <c r="M2218" t="s">
        <v>3396</v>
      </c>
      <c r="N2218" t="s">
        <v>3348</v>
      </c>
      <c r="O2218">
        <v>2</v>
      </c>
    </row>
    <row r="2219" spans="2:15" x14ac:dyDescent="0.2">
      <c r="B2219" t="s">
        <v>1433</v>
      </c>
      <c r="C2219" t="s">
        <v>12898</v>
      </c>
      <c r="D2219" t="s">
        <v>613</v>
      </c>
      <c r="E2219" t="s">
        <v>8633</v>
      </c>
      <c r="F2219">
        <v>0.96</v>
      </c>
      <c r="H2219" t="s">
        <v>1689</v>
      </c>
      <c r="L2219" t="s">
        <v>1433</v>
      </c>
      <c r="M2219" t="s">
        <v>3397</v>
      </c>
      <c r="N2219" t="s">
        <v>3398</v>
      </c>
      <c r="O2219">
        <v>1</v>
      </c>
    </row>
    <row r="2220" spans="2:15" x14ac:dyDescent="0.2">
      <c r="B2220" t="s">
        <v>1433</v>
      </c>
      <c r="C2220" t="s">
        <v>12898</v>
      </c>
      <c r="D2220" t="s">
        <v>613</v>
      </c>
      <c r="E2220" t="s">
        <v>8634</v>
      </c>
      <c r="F2220">
        <v>0.23</v>
      </c>
      <c r="H2220" t="s">
        <v>5263</v>
      </c>
      <c r="L2220" t="s">
        <v>1433</v>
      </c>
      <c r="M2220" t="s">
        <v>3399</v>
      </c>
      <c r="N2220" t="s">
        <v>3400</v>
      </c>
      <c r="O2220">
        <v>1</v>
      </c>
    </row>
    <row r="2221" spans="2:15" x14ac:dyDescent="0.2">
      <c r="B2221" t="s">
        <v>1433</v>
      </c>
      <c r="C2221" t="s">
        <v>12898</v>
      </c>
      <c r="D2221" t="s">
        <v>613</v>
      </c>
      <c r="E2221" t="s">
        <v>8635</v>
      </c>
      <c r="F2221">
        <v>0.19</v>
      </c>
      <c r="H2221" t="s">
        <v>7816</v>
      </c>
      <c r="L2221" t="s">
        <v>1433</v>
      </c>
      <c r="M2221" t="s">
        <v>3401</v>
      </c>
      <c r="N2221" t="s">
        <v>3402</v>
      </c>
      <c r="O2221">
        <v>1</v>
      </c>
    </row>
    <row r="2222" spans="2:15" x14ac:dyDescent="0.2">
      <c r="B2222" t="s">
        <v>1433</v>
      </c>
      <c r="C2222" t="s">
        <v>12898</v>
      </c>
      <c r="D2222" t="s">
        <v>613</v>
      </c>
      <c r="E2222" t="s">
        <v>8636</v>
      </c>
      <c r="F2222">
        <v>0.48</v>
      </c>
      <c r="H2222" t="s">
        <v>6752</v>
      </c>
      <c r="L2222" t="s">
        <v>1433</v>
      </c>
      <c r="M2222" t="s">
        <v>1590</v>
      </c>
      <c r="N2222" t="s">
        <v>3403</v>
      </c>
      <c r="O2222">
        <v>2</v>
      </c>
    </row>
    <row r="2223" spans="2:15" x14ac:dyDescent="0.2">
      <c r="B2223" t="s">
        <v>1433</v>
      </c>
      <c r="C2223" t="s">
        <v>12898</v>
      </c>
      <c r="D2223" t="s">
        <v>617</v>
      </c>
      <c r="E2223" t="s">
        <v>8637</v>
      </c>
      <c r="F2223">
        <v>6</v>
      </c>
      <c r="H2223" t="s">
        <v>6492</v>
      </c>
      <c r="L2223" t="s">
        <v>1433</v>
      </c>
      <c r="M2223" t="s">
        <v>3404</v>
      </c>
      <c r="N2223" t="s">
        <v>3405</v>
      </c>
      <c r="O2223">
        <v>0.99997999999999998</v>
      </c>
    </row>
    <row r="2224" spans="2:15" x14ac:dyDescent="0.2">
      <c r="B2224" t="s">
        <v>1433</v>
      </c>
      <c r="C2224" t="s">
        <v>12898</v>
      </c>
      <c r="D2224" t="s">
        <v>617</v>
      </c>
      <c r="E2224" t="s">
        <v>8638</v>
      </c>
      <c r="F2224">
        <v>0.88</v>
      </c>
      <c r="H2224" t="s">
        <v>4878</v>
      </c>
      <c r="L2224" t="s">
        <v>1433</v>
      </c>
      <c r="M2224" t="s">
        <v>3406</v>
      </c>
      <c r="N2224" t="s">
        <v>3405</v>
      </c>
      <c r="O2224">
        <v>1</v>
      </c>
    </row>
    <row r="2225" spans="2:15" x14ac:dyDescent="0.2">
      <c r="B2225" t="s">
        <v>1433</v>
      </c>
      <c r="C2225" t="s">
        <v>12898</v>
      </c>
      <c r="D2225" t="s">
        <v>617</v>
      </c>
      <c r="E2225" t="s">
        <v>8639</v>
      </c>
      <c r="F2225">
        <v>1.32</v>
      </c>
      <c r="H2225" t="s">
        <v>5897</v>
      </c>
      <c r="L2225" t="s">
        <v>1433</v>
      </c>
      <c r="M2225" t="s">
        <v>2066</v>
      </c>
      <c r="N2225" t="s">
        <v>3028</v>
      </c>
      <c r="O2225">
        <v>70</v>
      </c>
    </row>
    <row r="2226" spans="2:15" x14ac:dyDescent="0.2">
      <c r="B2226" t="s">
        <v>1433</v>
      </c>
      <c r="C2226" t="s">
        <v>12898</v>
      </c>
      <c r="D2226" t="s">
        <v>617</v>
      </c>
      <c r="E2226" t="s">
        <v>8640</v>
      </c>
      <c r="F2226">
        <v>6.34</v>
      </c>
      <c r="H2226" t="s">
        <v>8641</v>
      </c>
      <c r="L2226" t="s">
        <v>1433</v>
      </c>
      <c r="M2226" t="s">
        <v>2212</v>
      </c>
      <c r="N2226" t="s">
        <v>3407</v>
      </c>
      <c r="O2226">
        <v>2</v>
      </c>
    </row>
    <row r="2227" spans="2:15" x14ac:dyDescent="0.2">
      <c r="B2227" t="s">
        <v>1433</v>
      </c>
      <c r="C2227" t="s">
        <v>12898</v>
      </c>
      <c r="D2227" t="s">
        <v>613</v>
      </c>
      <c r="E2227" t="s">
        <v>8642</v>
      </c>
      <c r="F2227">
        <v>3.7</v>
      </c>
      <c r="H2227" t="s">
        <v>7701</v>
      </c>
      <c r="L2227" t="s">
        <v>1433</v>
      </c>
      <c r="M2227" t="s">
        <v>2892</v>
      </c>
      <c r="N2227" t="s">
        <v>3408</v>
      </c>
      <c r="O2227">
        <v>24</v>
      </c>
    </row>
    <row r="2228" spans="2:15" x14ac:dyDescent="0.2">
      <c r="B2228" t="s">
        <v>1433</v>
      </c>
      <c r="C2228" t="s">
        <v>12898</v>
      </c>
      <c r="D2228" t="s">
        <v>613</v>
      </c>
      <c r="E2228" t="s">
        <v>8643</v>
      </c>
      <c r="F2228">
        <v>2.5</v>
      </c>
      <c r="H2228" t="s">
        <v>7659</v>
      </c>
      <c r="L2228" t="s">
        <v>1433</v>
      </c>
      <c r="M2228" t="s">
        <v>2596</v>
      </c>
      <c r="N2228" t="s">
        <v>3409</v>
      </c>
      <c r="O2228">
        <v>1</v>
      </c>
    </row>
    <row r="2229" spans="2:15" x14ac:dyDescent="0.2">
      <c r="B2229" t="s">
        <v>1433</v>
      </c>
      <c r="C2229" t="s">
        <v>12898</v>
      </c>
      <c r="D2229" t="s">
        <v>613</v>
      </c>
      <c r="E2229" t="s">
        <v>8644</v>
      </c>
      <c r="F2229">
        <v>2.5</v>
      </c>
      <c r="H2229" t="s">
        <v>5914</v>
      </c>
      <c r="L2229" t="s">
        <v>1433</v>
      </c>
      <c r="M2229" t="s">
        <v>3410</v>
      </c>
      <c r="N2229" t="s">
        <v>3411</v>
      </c>
      <c r="O2229">
        <v>3</v>
      </c>
    </row>
    <row r="2230" spans="2:15" x14ac:dyDescent="0.2">
      <c r="B2230" t="s">
        <v>1433</v>
      </c>
      <c r="C2230" t="s">
        <v>12898</v>
      </c>
      <c r="D2230" t="s">
        <v>613</v>
      </c>
      <c r="E2230" t="s">
        <v>8645</v>
      </c>
      <c r="F2230">
        <v>4.7300000000000004</v>
      </c>
      <c r="H2230" t="s">
        <v>5072</v>
      </c>
      <c r="L2230" t="s">
        <v>1433</v>
      </c>
      <c r="M2230" t="s">
        <v>3412</v>
      </c>
      <c r="N2230" t="s">
        <v>3413</v>
      </c>
      <c r="O2230">
        <v>1</v>
      </c>
    </row>
    <row r="2231" spans="2:15" x14ac:dyDescent="0.2">
      <c r="B2231" t="s">
        <v>1433</v>
      </c>
      <c r="C2231" t="s">
        <v>12898</v>
      </c>
      <c r="D2231" t="s">
        <v>613</v>
      </c>
      <c r="E2231" t="s">
        <v>8646</v>
      </c>
      <c r="F2231">
        <v>2.63</v>
      </c>
      <c r="H2231" t="s">
        <v>6749</v>
      </c>
      <c r="L2231" t="s">
        <v>1433</v>
      </c>
      <c r="M2231" t="s">
        <v>3414</v>
      </c>
      <c r="N2231" t="s">
        <v>3415</v>
      </c>
      <c r="O2231">
        <v>2</v>
      </c>
    </row>
    <row r="2232" spans="2:15" x14ac:dyDescent="0.2">
      <c r="B2232" t="s">
        <v>1433</v>
      </c>
      <c r="C2232" t="s">
        <v>12898</v>
      </c>
      <c r="D2232" t="s">
        <v>613</v>
      </c>
      <c r="E2232" t="s">
        <v>8647</v>
      </c>
      <c r="F2232">
        <v>3.2</v>
      </c>
      <c r="H2232" t="s">
        <v>7674</v>
      </c>
      <c r="L2232" t="s">
        <v>1433</v>
      </c>
      <c r="M2232" t="s">
        <v>3416</v>
      </c>
      <c r="N2232" t="s">
        <v>3417</v>
      </c>
      <c r="O2232">
        <v>1</v>
      </c>
    </row>
    <row r="2233" spans="2:15" x14ac:dyDescent="0.2">
      <c r="B2233" t="s">
        <v>1433</v>
      </c>
      <c r="C2233" t="s">
        <v>12898</v>
      </c>
      <c r="D2233" t="s">
        <v>613</v>
      </c>
      <c r="E2233" t="s">
        <v>8648</v>
      </c>
      <c r="F2233">
        <v>2.2999999999999998</v>
      </c>
      <c r="H2233" t="s">
        <v>5259</v>
      </c>
      <c r="L2233" t="s">
        <v>1433</v>
      </c>
      <c r="M2233" t="s">
        <v>3418</v>
      </c>
      <c r="N2233" t="s">
        <v>3419</v>
      </c>
      <c r="O2233">
        <v>1</v>
      </c>
    </row>
    <row r="2234" spans="2:15" x14ac:dyDescent="0.2">
      <c r="B2234" t="s">
        <v>1433</v>
      </c>
      <c r="C2234" t="s">
        <v>12898</v>
      </c>
      <c r="D2234" t="s">
        <v>613</v>
      </c>
      <c r="E2234" t="s">
        <v>8649</v>
      </c>
      <c r="F2234">
        <v>2.02</v>
      </c>
      <c r="H2234" t="s">
        <v>7661</v>
      </c>
      <c r="L2234" t="s">
        <v>1433</v>
      </c>
      <c r="M2234" t="s">
        <v>3420</v>
      </c>
      <c r="N2234" t="s">
        <v>3421</v>
      </c>
      <c r="O2234">
        <v>1</v>
      </c>
    </row>
    <row r="2235" spans="2:15" x14ac:dyDescent="0.2">
      <c r="B2235" t="s">
        <v>1433</v>
      </c>
      <c r="C2235" t="s">
        <v>12898</v>
      </c>
      <c r="D2235" t="s">
        <v>617</v>
      </c>
      <c r="E2235" t="s">
        <v>8650</v>
      </c>
      <c r="F2235">
        <v>1344</v>
      </c>
      <c r="H2235" t="s">
        <v>1710</v>
      </c>
      <c r="L2235" t="s">
        <v>1433</v>
      </c>
      <c r="M2235" t="s">
        <v>3422</v>
      </c>
      <c r="N2235" t="s">
        <v>3423</v>
      </c>
      <c r="O2235">
        <v>3</v>
      </c>
    </row>
    <row r="2236" spans="2:15" x14ac:dyDescent="0.2">
      <c r="B2236" t="s">
        <v>1433</v>
      </c>
      <c r="C2236" t="s">
        <v>12898</v>
      </c>
      <c r="D2236" t="s">
        <v>617</v>
      </c>
      <c r="E2236" t="s">
        <v>8651</v>
      </c>
      <c r="F2236">
        <v>673.4</v>
      </c>
      <c r="H2236" t="s">
        <v>1713</v>
      </c>
      <c r="L2236" t="s">
        <v>1433</v>
      </c>
      <c r="M2236" t="s">
        <v>3424</v>
      </c>
      <c r="N2236" t="s">
        <v>3425</v>
      </c>
      <c r="O2236">
        <v>1</v>
      </c>
    </row>
    <row r="2237" spans="2:15" x14ac:dyDescent="0.2">
      <c r="B2237" t="s">
        <v>1433</v>
      </c>
      <c r="C2237" t="s">
        <v>12898</v>
      </c>
      <c r="D2237" t="s">
        <v>617</v>
      </c>
      <c r="E2237" t="s">
        <v>8652</v>
      </c>
      <c r="F2237">
        <v>88.62</v>
      </c>
      <c r="H2237" t="s">
        <v>1712</v>
      </c>
      <c r="L2237" t="s">
        <v>1433</v>
      </c>
      <c r="M2237" t="s">
        <v>3426</v>
      </c>
      <c r="N2237" t="s">
        <v>3427</v>
      </c>
      <c r="O2237">
        <v>3</v>
      </c>
    </row>
    <row r="2238" spans="2:15" x14ac:dyDescent="0.2">
      <c r="B2238" t="s">
        <v>1433</v>
      </c>
      <c r="C2238" t="s">
        <v>12898</v>
      </c>
      <c r="D2238" t="s">
        <v>617</v>
      </c>
      <c r="E2238" t="s">
        <v>8653</v>
      </c>
      <c r="F2238">
        <v>122.38</v>
      </c>
      <c r="H2238" t="s">
        <v>1712</v>
      </c>
      <c r="L2238" t="s">
        <v>1433</v>
      </c>
      <c r="M2238" t="s">
        <v>1261</v>
      </c>
      <c r="N2238" t="s">
        <v>3223</v>
      </c>
      <c r="O2238">
        <v>2</v>
      </c>
    </row>
    <row r="2239" spans="2:15" x14ac:dyDescent="0.2">
      <c r="B2239" t="s">
        <v>1433</v>
      </c>
      <c r="C2239" t="s">
        <v>12898</v>
      </c>
      <c r="D2239" t="s">
        <v>617</v>
      </c>
      <c r="E2239" t="s">
        <v>8654</v>
      </c>
      <c r="F2239">
        <v>1274.7</v>
      </c>
      <c r="H2239" t="s">
        <v>1822</v>
      </c>
      <c r="L2239" t="s">
        <v>1433</v>
      </c>
      <c r="M2239" t="s">
        <v>1263</v>
      </c>
      <c r="N2239" t="s">
        <v>3223</v>
      </c>
      <c r="O2239">
        <v>2</v>
      </c>
    </row>
    <row r="2240" spans="2:15" x14ac:dyDescent="0.2">
      <c r="B2240" t="s">
        <v>1433</v>
      </c>
      <c r="C2240" t="s">
        <v>12898</v>
      </c>
      <c r="D2240" t="s">
        <v>617</v>
      </c>
      <c r="E2240" t="s">
        <v>8655</v>
      </c>
      <c r="F2240">
        <v>2761.2</v>
      </c>
      <c r="H2240" t="s">
        <v>1824</v>
      </c>
      <c r="L2240" t="s">
        <v>1433</v>
      </c>
      <c r="M2240" t="s">
        <v>1264</v>
      </c>
      <c r="N2240" t="s">
        <v>3223</v>
      </c>
      <c r="O2240">
        <v>2</v>
      </c>
    </row>
    <row r="2241" spans="2:15" x14ac:dyDescent="0.2">
      <c r="B2241" t="s">
        <v>1433</v>
      </c>
      <c r="C2241" t="s">
        <v>12898</v>
      </c>
      <c r="D2241" t="s">
        <v>617</v>
      </c>
      <c r="E2241" t="s">
        <v>8656</v>
      </c>
      <c r="F2241">
        <v>5040.96</v>
      </c>
      <c r="H2241" t="s">
        <v>1825</v>
      </c>
      <c r="L2241" t="s">
        <v>1433</v>
      </c>
      <c r="M2241" t="s">
        <v>1266</v>
      </c>
      <c r="N2241" t="s">
        <v>3223</v>
      </c>
      <c r="O2241">
        <v>2</v>
      </c>
    </row>
    <row r="2242" spans="2:15" x14ac:dyDescent="0.2">
      <c r="B2242" t="s">
        <v>1433</v>
      </c>
      <c r="C2242" t="s">
        <v>12898</v>
      </c>
      <c r="D2242" t="s">
        <v>617</v>
      </c>
      <c r="E2242" t="s">
        <v>8657</v>
      </c>
      <c r="F2242">
        <v>1722.24</v>
      </c>
      <c r="H2242" t="s">
        <v>1826</v>
      </c>
      <c r="L2242" t="s">
        <v>1433</v>
      </c>
      <c r="M2242" t="s">
        <v>1267</v>
      </c>
      <c r="N2242" t="s">
        <v>3223</v>
      </c>
      <c r="O2242">
        <v>2</v>
      </c>
    </row>
    <row r="2243" spans="2:15" x14ac:dyDescent="0.2">
      <c r="B2243" t="s">
        <v>1433</v>
      </c>
      <c r="C2243" t="s">
        <v>12898</v>
      </c>
      <c r="D2243" t="s">
        <v>617</v>
      </c>
      <c r="E2243" t="s">
        <v>8658</v>
      </c>
      <c r="F2243">
        <v>1987.2</v>
      </c>
      <c r="H2243" t="s">
        <v>1826</v>
      </c>
      <c r="L2243" t="s">
        <v>1433</v>
      </c>
      <c r="M2243" t="s">
        <v>2877</v>
      </c>
      <c r="N2243" t="s">
        <v>3428</v>
      </c>
      <c r="O2243">
        <v>3</v>
      </c>
    </row>
    <row r="2244" spans="2:15" x14ac:dyDescent="0.2">
      <c r="B2244" t="s">
        <v>1433</v>
      </c>
      <c r="C2244" t="s">
        <v>12898</v>
      </c>
      <c r="D2244" t="s">
        <v>617</v>
      </c>
      <c r="E2244" t="s">
        <v>8659</v>
      </c>
      <c r="F2244">
        <v>3442.8</v>
      </c>
      <c r="H2244" t="s">
        <v>1827</v>
      </c>
      <c r="L2244" t="s">
        <v>1433</v>
      </c>
      <c r="M2244" t="s">
        <v>3429</v>
      </c>
      <c r="N2244" t="s">
        <v>3430</v>
      </c>
      <c r="O2244">
        <v>3</v>
      </c>
    </row>
    <row r="2245" spans="2:15" x14ac:dyDescent="0.2">
      <c r="B2245" t="s">
        <v>1433</v>
      </c>
      <c r="C2245" t="s">
        <v>12898</v>
      </c>
      <c r="D2245" t="s">
        <v>617</v>
      </c>
      <c r="E2245" t="s">
        <v>8660</v>
      </c>
      <c r="F2245">
        <v>2080</v>
      </c>
      <c r="H2245" t="s">
        <v>1828</v>
      </c>
      <c r="L2245" t="s">
        <v>1433</v>
      </c>
      <c r="M2245" t="s">
        <v>3431</v>
      </c>
      <c r="N2245" t="s">
        <v>3430</v>
      </c>
      <c r="O2245">
        <v>3</v>
      </c>
    </row>
    <row r="2246" spans="2:15" x14ac:dyDescent="0.2">
      <c r="B2246" t="s">
        <v>1433</v>
      </c>
      <c r="C2246" t="s">
        <v>12898</v>
      </c>
      <c r="D2246" t="s">
        <v>617</v>
      </c>
      <c r="E2246" t="s">
        <v>8661</v>
      </c>
      <c r="F2246">
        <v>540</v>
      </c>
      <c r="H2246" t="s">
        <v>1829</v>
      </c>
      <c r="L2246" t="s">
        <v>1433</v>
      </c>
      <c r="M2246" t="s">
        <v>2567</v>
      </c>
      <c r="N2246" t="s">
        <v>3430</v>
      </c>
      <c r="O2246">
        <v>3</v>
      </c>
    </row>
    <row r="2247" spans="2:15" x14ac:dyDescent="0.2">
      <c r="B2247" t="s">
        <v>1433</v>
      </c>
      <c r="C2247" t="s">
        <v>12898</v>
      </c>
      <c r="D2247" t="s">
        <v>617</v>
      </c>
      <c r="E2247" t="s">
        <v>8662</v>
      </c>
      <c r="F2247">
        <v>545.4</v>
      </c>
      <c r="H2247" t="s">
        <v>1715</v>
      </c>
      <c r="L2247" t="s">
        <v>1433</v>
      </c>
      <c r="M2247" t="s">
        <v>2568</v>
      </c>
      <c r="N2247" t="s">
        <v>3430</v>
      </c>
      <c r="O2247">
        <v>6</v>
      </c>
    </row>
    <row r="2248" spans="2:15" x14ac:dyDescent="0.2">
      <c r="B2248" t="s">
        <v>1433</v>
      </c>
      <c r="C2248" t="s">
        <v>12898</v>
      </c>
      <c r="D2248" t="s">
        <v>617</v>
      </c>
      <c r="E2248" t="s">
        <v>8663</v>
      </c>
      <c r="F2248">
        <v>552.05999999999995</v>
      </c>
      <c r="H2248" t="s">
        <v>1716</v>
      </c>
      <c r="L2248" t="s">
        <v>1433</v>
      </c>
      <c r="M2248" t="s">
        <v>3432</v>
      </c>
      <c r="N2248" t="s">
        <v>3433</v>
      </c>
      <c r="O2248">
        <v>1</v>
      </c>
    </row>
    <row r="2249" spans="2:15" x14ac:dyDescent="0.2">
      <c r="B2249" t="s">
        <v>1433</v>
      </c>
      <c r="C2249" t="s">
        <v>12898</v>
      </c>
      <c r="D2249" t="s">
        <v>617</v>
      </c>
      <c r="E2249" t="s">
        <v>8664</v>
      </c>
      <c r="F2249">
        <v>1380.15</v>
      </c>
      <c r="H2249" t="s">
        <v>1716</v>
      </c>
      <c r="L2249" t="s">
        <v>1433</v>
      </c>
      <c r="M2249" t="s">
        <v>3434</v>
      </c>
      <c r="N2249" t="s">
        <v>3435</v>
      </c>
      <c r="O2249">
        <v>1</v>
      </c>
    </row>
    <row r="2250" spans="2:15" x14ac:dyDescent="0.2">
      <c r="B2250" t="s">
        <v>1433</v>
      </c>
      <c r="C2250" t="s">
        <v>12898</v>
      </c>
      <c r="D2250" t="s">
        <v>617</v>
      </c>
      <c r="E2250" t="s">
        <v>8665</v>
      </c>
      <c r="F2250">
        <v>138.02000000000001</v>
      </c>
      <c r="H2250" t="s">
        <v>1716</v>
      </c>
      <c r="L2250" t="s">
        <v>1433</v>
      </c>
      <c r="M2250" t="s">
        <v>3436</v>
      </c>
      <c r="N2250" t="s">
        <v>3437</v>
      </c>
      <c r="O2250">
        <v>1</v>
      </c>
    </row>
    <row r="2251" spans="2:15" x14ac:dyDescent="0.2">
      <c r="B2251" t="s">
        <v>1433</v>
      </c>
      <c r="C2251" t="s">
        <v>12898</v>
      </c>
      <c r="D2251" t="s">
        <v>617</v>
      </c>
      <c r="E2251" t="s">
        <v>8666</v>
      </c>
      <c r="F2251">
        <v>774</v>
      </c>
      <c r="H2251" t="s">
        <v>1717</v>
      </c>
      <c r="L2251" t="s">
        <v>1433</v>
      </c>
      <c r="M2251" t="s">
        <v>3438</v>
      </c>
      <c r="N2251" t="s">
        <v>3437</v>
      </c>
      <c r="O2251">
        <v>1</v>
      </c>
    </row>
    <row r="2252" spans="2:15" x14ac:dyDescent="0.2">
      <c r="B2252" t="s">
        <v>1433</v>
      </c>
      <c r="C2252" t="s">
        <v>12898</v>
      </c>
      <c r="D2252" t="s">
        <v>617</v>
      </c>
      <c r="E2252" t="s">
        <v>8667</v>
      </c>
      <c r="F2252">
        <v>1161</v>
      </c>
      <c r="H2252" t="s">
        <v>1717</v>
      </c>
      <c r="L2252" t="s">
        <v>1433</v>
      </c>
      <c r="M2252" t="s">
        <v>3439</v>
      </c>
      <c r="N2252" t="s">
        <v>3437</v>
      </c>
      <c r="O2252">
        <v>1</v>
      </c>
    </row>
    <row r="2253" spans="2:15" x14ac:dyDescent="0.2">
      <c r="B2253" t="s">
        <v>1433</v>
      </c>
      <c r="C2253" t="s">
        <v>12898</v>
      </c>
      <c r="D2253" t="s">
        <v>617</v>
      </c>
      <c r="E2253" t="s">
        <v>8668</v>
      </c>
      <c r="F2253">
        <v>1188</v>
      </c>
      <c r="H2253" t="s">
        <v>1718</v>
      </c>
      <c r="L2253" t="s">
        <v>1433</v>
      </c>
      <c r="M2253" t="s">
        <v>3440</v>
      </c>
      <c r="N2253" t="s">
        <v>3437</v>
      </c>
      <c r="O2253">
        <v>1</v>
      </c>
    </row>
    <row r="2254" spans="2:15" x14ac:dyDescent="0.2">
      <c r="B2254" t="s">
        <v>1433</v>
      </c>
      <c r="C2254" t="s">
        <v>12898</v>
      </c>
      <c r="D2254" t="s">
        <v>617</v>
      </c>
      <c r="E2254" t="s">
        <v>8669</v>
      </c>
      <c r="F2254">
        <v>98</v>
      </c>
      <c r="H2254" t="s">
        <v>1830</v>
      </c>
      <c r="L2254" t="s">
        <v>1433</v>
      </c>
      <c r="M2254" t="s">
        <v>3441</v>
      </c>
      <c r="N2254" t="s">
        <v>3437</v>
      </c>
      <c r="O2254">
        <v>1</v>
      </c>
    </row>
    <row r="2255" spans="2:15" x14ac:dyDescent="0.2">
      <c r="B2255" t="s">
        <v>1433</v>
      </c>
      <c r="C2255" t="s">
        <v>12898</v>
      </c>
      <c r="D2255" t="s">
        <v>617</v>
      </c>
      <c r="E2255" t="s">
        <v>8670</v>
      </c>
      <c r="F2255">
        <v>1009.05</v>
      </c>
      <c r="H2255" t="s">
        <v>1831</v>
      </c>
      <c r="L2255" t="s">
        <v>1433</v>
      </c>
      <c r="M2255" t="s">
        <v>3442</v>
      </c>
      <c r="N2255" t="s">
        <v>3443</v>
      </c>
      <c r="O2255">
        <v>1</v>
      </c>
    </row>
    <row r="2256" spans="2:15" x14ac:dyDescent="0.2">
      <c r="B2256" t="s">
        <v>1433</v>
      </c>
      <c r="C2256" t="s">
        <v>12898</v>
      </c>
      <c r="D2256" t="s">
        <v>617</v>
      </c>
      <c r="E2256" t="s">
        <v>8671</v>
      </c>
      <c r="F2256">
        <v>2610</v>
      </c>
      <c r="H2256" t="s">
        <v>1832</v>
      </c>
      <c r="L2256" t="s">
        <v>1433</v>
      </c>
      <c r="M2256" t="s">
        <v>3444</v>
      </c>
      <c r="N2256" t="s">
        <v>3443</v>
      </c>
      <c r="O2256">
        <v>1</v>
      </c>
    </row>
    <row r="2257" spans="2:15" x14ac:dyDescent="0.2">
      <c r="B2257" t="s">
        <v>1433</v>
      </c>
      <c r="C2257" t="s">
        <v>12898</v>
      </c>
      <c r="D2257" t="s">
        <v>617</v>
      </c>
      <c r="E2257" t="s">
        <v>8672</v>
      </c>
      <c r="F2257">
        <v>4247.04</v>
      </c>
      <c r="H2257" t="s">
        <v>1833</v>
      </c>
      <c r="L2257" t="s">
        <v>1433</v>
      </c>
      <c r="M2257" t="s">
        <v>3445</v>
      </c>
      <c r="N2257" t="s">
        <v>3446</v>
      </c>
      <c r="O2257">
        <v>4</v>
      </c>
    </row>
    <row r="2258" spans="2:15" x14ac:dyDescent="0.2">
      <c r="B2258" t="s">
        <v>1433</v>
      </c>
      <c r="C2258" t="s">
        <v>12898</v>
      </c>
      <c r="D2258" t="s">
        <v>617</v>
      </c>
      <c r="E2258" t="s">
        <v>8673</v>
      </c>
      <c r="F2258">
        <v>907</v>
      </c>
      <c r="H2258" t="s">
        <v>1834</v>
      </c>
      <c r="L2258" t="s">
        <v>1433</v>
      </c>
      <c r="M2258" t="s">
        <v>2658</v>
      </c>
      <c r="N2258" t="s">
        <v>3447</v>
      </c>
      <c r="O2258">
        <v>20</v>
      </c>
    </row>
    <row r="2259" spans="2:15" x14ac:dyDescent="0.2">
      <c r="B2259" t="s">
        <v>1433</v>
      </c>
      <c r="C2259" t="s">
        <v>12898</v>
      </c>
      <c r="D2259" t="s">
        <v>617</v>
      </c>
      <c r="E2259" t="s">
        <v>8674</v>
      </c>
      <c r="F2259">
        <v>1587.2</v>
      </c>
      <c r="H2259" t="s">
        <v>1835</v>
      </c>
      <c r="L2259" t="s">
        <v>1433</v>
      </c>
      <c r="M2259" t="s">
        <v>3448</v>
      </c>
      <c r="N2259" t="s">
        <v>3449</v>
      </c>
      <c r="O2259">
        <v>1</v>
      </c>
    </row>
    <row r="2260" spans="2:15" x14ac:dyDescent="0.2">
      <c r="B2260" t="s">
        <v>1433</v>
      </c>
      <c r="C2260" t="s">
        <v>12898</v>
      </c>
      <c r="D2260" t="s">
        <v>617</v>
      </c>
      <c r="E2260" t="s">
        <v>8675</v>
      </c>
      <c r="F2260">
        <v>2707.5</v>
      </c>
      <c r="H2260" t="s">
        <v>1836</v>
      </c>
      <c r="L2260" t="s">
        <v>1433</v>
      </c>
      <c r="M2260" t="s">
        <v>3165</v>
      </c>
      <c r="N2260" t="s">
        <v>3450</v>
      </c>
      <c r="O2260">
        <v>12</v>
      </c>
    </row>
    <row r="2261" spans="2:15" x14ac:dyDescent="0.2">
      <c r="B2261" t="s">
        <v>1433</v>
      </c>
      <c r="C2261" t="s">
        <v>12898</v>
      </c>
      <c r="D2261" t="s">
        <v>617</v>
      </c>
      <c r="E2261" t="s">
        <v>8676</v>
      </c>
      <c r="F2261">
        <v>5040.96</v>
      </c>
      <c r="H2261" t="s">
        <v>1837</v>
      </c>
      <c r="L2261" t="s">
        <v>1433</v>
      </c>
      <c r="M2261" t="s">
        <v>3451</v>
      </c>
      <c r="N2261" t="s">
        <v>3452</v>
      </c>
      <c r="O2261">
        <v>1</v>
      </c>
    </row>
    <row r="2262" spans="2:15" x14ac:dyDescent="0.2">
      <c r="B2262" t="s">
        <v>1433</v>
      </c>
      <c r="C2262" t="s">
        <v>12898</v>
      </c>
      <c r="D2262" t="s">
        <v>617</v>
      </c>
      <c r="E2262" t="s">
        <v>8677</v>
      </c>
      <c r="F2262">
        <v>1923.2</v>
      </c>
      <c r="H2262" t="s">
        <v>1838</v>
      </c>
      <c r="L2262" t="s">
        <v>1433</v>
      </c>
      <c r="M2262" t="s">
        <v>3453</v>
      </c>
      <c r="N2262" t="s">
        <v>3454</v>
      </c>
      <c r="O2262">
        <v>1</v>
      </c>
    </row>
    <row r="2263" spans="2:15" x14ac:dyDescent="0.2">
      <c r="B2263" t="s">
        <v>1433</v>
      </c>
      <c r="C2263" t="s">
        <v>12898</v>
      </c>
      <c r="D2263" t="s">
        <v>617</v>
      </c>
      <c r="E2263" t="s">
        <v>8678</v>
      </c>
      <c r="F2263">
        <v>0.66</v>
      </c>
      <c r="H2263" t="s">
        <v>5897</v>
      </c>
      <c r="L2263" t="s">
        <v>1433</v>
      </c>
      <c r="M2263" t="s">
        <v>3455</v>
      </c>
      <c r="N2263" t="s">
        <v>3456</v>
      </c>
      <c r="O2263">
        <v>1</v>
      </c>
    </row>
    <row r="2264" spans="2:15" x14ac:dyDescent="0.2">
      <c r="B2264" t="s">
        <v>1433</v>
      </c>
      <c r="C2264" t="s">
        <v>12898</v>
      </c>
      <c r="D2264" t="s">
        <v>617</v>
      </c>
      <c r="E2264" t="s">
        <v>8679</v>
      </c>
      <c r="F2264">
        <v>0.77</v>
      </c>
      <c r="H2264" t="s">
        <v>1989</v>
      </c>
      <c r="L2264" t="s">
        <v>1433</v>
      </c>
      <c r="M2264" t="s">
        <v>3457</v>
      </c>
      <c r="N2264" t="s">
        <v>3458</v>
      </c>
      <c r="O2264">
        <v>1</v>
      </c>
    </row>
    <row r="2265" spans="2:15" x14ac:dyDescent="0.2">
      <c r="B2265" t="s">
        <v>1433</v>
      </c>
      <c r="C2265" t="s">
        <v>12898</v>
      </c>
      <c r="D2265" t="s">
        <v>617</v>
      </c>
      <c r="E2265" t="s">
        <v>8680</v>
      </c>
      <c r="F2265">
        <v>47.74</v>
      </c>
      <c r="H2265" t="s">
        <v>4555</v>
      </c>
      <c r="L2265" t="s">
        <v>1433</v>
      </c>
      <c r="M2265" t="s">
        <v>3459</v>
      </c>
      <c r="N2265" t="s">
        <v>3460</v>
      </c>
      <c r="O2265">
        <v>1</v>
      </c>
    </row>
    <row r="2266" spans="2:15" x14ac:dyDescent="0.2">
      <c r="B2266" t="s">
        <v>1433</v>
      </c>
      <c r="C2266" t="s">
        <v>12898</v>
      </c>
      <c r="D2266" t="s">
        <v>617</v>
      </c>
      <c r="E2266" t="s">
        <v>8681</v>
      </c>
      <c r="F2266">
        <v>108.57</v>
      </c>
      <c r="H2266" t="s">
        <v>8682</v>
      </c>
      <c r="L2266" t="s">
        <v>1433</v>
      </c>
      <c r="M2266" t="s">
        <v>3461</v>
      </c>
      <c r="N2266" t="s">
        <v>3462</v>
      </c>
      <c r="O2266">
        <v>1</v>
      </c>
    </row>
    <row r="2267" spans="2:15" x14ac:dyDescent="0.2">
      <c r="B2267" t="s">
        <v>1433</v>
      </c>
      <c r="C2267" t="s">
        <v>12898</v>
      </c>
      <c r="D2267" t="s">
        <v>617</v>
      </c>
      <c r="E2267" t="s">
        <v>8683</v>
      </c>
      <c r="F2267">
        <v>13.25</v>
      </c>
      <c r="H2267" t="s">
        <v>1456</v>
      </c>
      <c r="L2267" t="s">
        <v>1433</v>
      </c>
      <c r="M2267" t="s">
        <v>3463</v>
      </c>
      <c r="N2267" t="s">
        <v>3464</v>
      </c>
      <c r="O2267">
        <v>1</v>
      </c>
    </row>
    <row r="2268" spans="2:15" x14ac:dyDescent="0.2">
      <c r="B2268" t="s">
        <v>1433</v>
      </c>
      <c r="C2268" t="s">
        <v>12898</v>
      </c>
      <c r="D2268" t="s">
        <v>617</v>
      </c>
      <c r="E2268" t="s">
        <v>8684</v>
      </c>
      <c r="F2268">
        <v>172.9</v>
      </c>
      <c r="H2268" t="s">
        <v>1457</v>
      </c>
      <c r="L2268" t="s">
        <v>1433</v>
      </c>
      <c r="M2268" t="s">
        <v>3465</v>
      </c>
      <c r="N2268" t="s">
        <v>1347</v>
      </c>
      <c r="O2268">
        <v>1</v>
      </c>
    </row>
    <row r="2269" spans="2:15" x14ac:dyDescent="0.2">
      <c r="B2269" t="s">
        <v>1433</v>
      </c>
      <c r="C2269" t="s">
        <v>12898</v>
      </c>
      <c r="D2269" t="s">
        <v>617</v>
      </c>
      <c r="E2269" t="s">
        <v>8685</v>
      </c>
      <c r="F2269">
        <v>43.93</v>
      </c>
      <c r="H2269" t="s">
        <v>1372</v>
      </c>
      <c r="L2269" t="s">
        <v>1433</v>
      </c>
      <c r="M2269" t="s">
        <v>3466</v>
      </c>
      <c r="N2269" t="s">
        <v>3467</v>
      </c>
      <c r="O2269">
        <v>1</v>
      </c>
    </row>
    <row r="2270" spans="2:15" x14ac:dyDescent="0.2">
      <c r="B2270" t="s">
        <v>1433</v>
      </c>
      <c r="C2270" t="s">
        <v>12898</v>
      </c>
      <c r="D2270" t="s">
        <v>617</v>
      </c>
      <c r="E2270" t="s">
        <v>8686</v>
      </c>
      <c r="F2270">
        <v>13.5</v>
      </c>
      <c r="H2270" t="s">
        <v>1458</v>
      </c>
      <c r="L2270" t="s">
        <v>1433</v>
      </c>
      <c r="M2270" t="s">
        <v>3468</v>
      </c>
      <c r="N2270" t="s">
        <v>3469</v>
      </c>
      <c r="O2270">
        <v>1</v>
      </c>
    </row>
    <row r="2271" spans="2:15" x14ac:dyDescent="0.2">
      <c r="B2271" t="s">
        <v>1433</v>
      </c>
      <c r="C2271" t="s">
        <v>12898</v>
      </c>
      <c r="D2271" t="s">
        <v>617</v>
      </c>
      <c r="E2271" t="s">
        <v>8687</v>
      </c>
      <c r="F2271">
        <v>49.66</v>
      </c>
      <c r="H2271" t="s">
        <v>1459</v>
      </c>
      <c r="L2271" t="s">
        <v>1433</v>
      </c>
      <c r="M2271" t="s">
        <v>3470</v>
      </c>
      <c r="N2271" t="s">
        <v>3469</v>
      </c>
      <c r="O2271">
        <v>1</v>
      </c>
    </row>
    <row r="2272" spans="2:15" x14ac:dyDescent="0.2">
      <c r="B2272" t="s">
        <v>1433</v>
      </c>
      <c r="C2272" t="s">
        <v>12898</v>
      </c>
      <c r="D2272" t="s">
        <v>617</v>
      </c>
      <c r="E2272" t="s">
        <v>8688</v>
      </c>
      <c r="F2272">
        <v>43.75</v>
      </c>
      <c r="H2272" t="s">
        <v>1461</v>
      </c>
      <c r="L2272" t="s">
        <v>1433</v>
      </c>
      <c r="M2272" t="s">
        <v>3471</v>
      </c>
      <c r="N2272" t="s">
        <v>3472</v>
      </c>
      <c r="O2272">
        <v>1</v>
      </c>
    </row>
    <row r="2273" spans="2:15" x14ac:dyDescent="0.2">
      <c r="B2273" t="s">
        <v>1433</v>
      </c>
      <c r="C2273" t="s">
        <v>12898</v>
      </c>
      <c r="D2273" t="s">
        <v>617</v>
      </c>
      <c r="E2273" t="s">
        <v>8689</v>
      </c>
      <c r="F2273">
        <v>10.039999999999999</v>
      </c>
      <c r="H2273" t="s">
        <v>1461</v>
      </c>
      <c r="L2273" t="s">
        <v>1433</v>
      </c>
      <c r="M2273" t="s">
        <v>3473</v>
      </c>
      <c r="N2273" t="s">
        <v>3474</v>
      </c>
      <c r="O2273">
        <v>1</v>
      </c>
    </row>
    <row r="2274" spans="2:15" x14ac:dyDescent="0.2">
      <c r="B2274" t="s">
        <v>1433</v>
      </c>
      <c r="C2274" t="s">
        <v>12898</v>
      </c>
      <c r="D2274" t="s">
        <v>617</v>
      </c>
      <c r="E2274" t="s">
        <v>8690</v>
      </c>
      <c r="F2274">
        <v>47.74</v>
      </c>
      <c r="H2274" t="s">
        <v>4555</v>
      </c>
      <c r="L2274" t="s">
        <v>1433</v>
      </c>
      <c r="M2274" t="s">
        <v>3475</v>
      </c>
      <c r="N2274" t="s">
        <v>3476</v>
      </c>
      <c r="O2274">
        <v>1</v>
      </c>
    </row>
    <row r="2275" spans="2:15" x14ac:dyDescent="0.2">
      <c r="B2275" t="s">
        <v>1433</v>
      </c>
      <c r="C2275" t="s">
        <v>12898</v>
      </c>
      <c r="D2275" t="s">
        <v>617</v>
      </c>
      <c r="E2275" t="s">
        <v>8691</v>
      </c>
      <c r="F2275">
        <v>99.58</v>
      </c>
      <c r="H2275" t="s">
        <v>4491</v>
      </c>
      <c r="L2275" t="s">
        <v>1433</v>
      </c>
      <c r="M2275" t="s">
        <v>1995</v>
      </c>
      <c r="N2275" t="s">
        <v>3477</v>
      </c>
      <c r="O2275">
        <v>1</v>
      </c>
    </row>
    <row r="2276" spans="2:15" x14ac:dyDescent="0.2">
      <c r="B2276" t="s">
        <v>1433</v>
      </c>
      <c r="C2276" t="s">
        <v>12898</v>
      </c>
      <c r="D2276" t="s">
        <v>617</v>
      </c>
      <c r="E2276" t="s">
        <v>8692</v>
      </c>
      <c r="F2276">
        <v>61.55</v>
      </c>
      <c r="H2276" t="s">
        <v>1485</v>
      </c>
      <c r="L2276" t="s">
        <v>1433</v>
      </c>
      <c r="M2276" t="s">
        <v>3478</v>
      </c>
      <c r="N2276" t="s">
        <v>3479</v>
      </c>
      <c r="O2276">
        <v>1</v>
      </c>
    </row>
    <row r="2277" spans="2:15" x14ac:dyDescent="0.2">
      <c r="B2277" t="s">
        <v>1433</v>
      </c>
      <c r="C2277" t="s">
        <v>12898</v>
      </c>
      <c r="D2277" t="s">
        <v>617</v>
      </c>
      <c r="E2277" t="s">
        <v>8693</v>
      </c>
      <c r="F2277">
        <v>65.81</v>
      </c>
      <c r="H2277" t="s">
        <v>4490</v>
      </c>
      <c r="L2277" t="s">
        <v>1433</v>
      </c>
      <c r="M2277" t="s">
        <v>3480</v>
      </c>
      <c r="N2277" t="s">
        <v>3481</v>
      </c>
      <c r="O2277">
        <v>1</v>
      </c>
    </row>
    <row r="2278" spans="2:15" x14ac:dyDescent="0.2">
      <c r="B2278" t="s">
        <v>1433</v>
      </c>
      <c r="C2278" t="s">
        <v>12898</v>
      </c>
      <c r="D2278" t="s">
        <v>617</v>
      </c>
      <c r="E2278" t="s">
        <v>8694</v>
      </c>
      <c r="F2278">
        <v>74</v>
      </c>
      <c r="H2278" t="s">
        <v>4552</v>
      </c>
      <c r="L2278" t="s">
        <v>1433</v>
      </c>
      <c r="M2278" t="s">
        <v>2683</v>
      </c>
      <c r="N2278" t="s">
        <v>3481</v>
      </c>
      <c r="O2278">
        <v>1</v>
      </c>
    </row>
    <row r="2279" spans="2:15" x14ac:dyDescent="0.2">
      <c r="B2279" t="s">
        <v>1433</v>
      </c>
      <c r="C2279" t="s">
        <v>12898</v>
      </c>
      <c r="D2279" t="s">
        <v>617</v>
      </c>
      <c r="E2279" t="s">
        <v>8695</v>
      </c>
      <c r="F2279">
        <v>118.95</v>
      </c>
      <c r="H2279" t="s">
        <v>1483</v>
      </c>
      <c r="L2279" t="s">
        <v>1433</v>
      </c>
      <c r="M2279" t="s">
        <v>3482</v>
      </c>
      <c r="N2279" t="s">
        <v>3483</v>
      </c>
      <c r="O2279">
        <v>125</v>
      </c>
    </row>
    <row r="2280" spans="2:15" x14ac:dyDescent="0.2">
      <c r="B2280" t="s">
        <v>1433</v>
      </c>
      <c r="C2280" t="s">
        <v>12898</v>
      </c>
      <c r="D2280" t="s">
        <v>617</v>
      </c>
      <c r="E2280" t="s">
        <v>8696</v>
      </c>
      <c r="F2280">
        <v>105.4</v>
      </c>
      <c r="H2280" t="s">
        <v>1484</v>
      </c>
      <c r="L2280" t="s">
        <v>1433</v>
      </c>
      <c r="M2280" t="s">
        <v>3484</v>
      </c>
      <c r="N2280" t="s">
        <v>3483</v>
      </c>
      <c r="O2280">
        <v>125</v>
      </c>
    </row>
    <row r="2281" spans="2:15" x14ac:dyDescent="0.2">
      <c r="B2281" t="s">
        <v>1433</v>
      </c>
      <c r="C2281" t="s">
        <v>12898</v>
      </c>
      <c r="D2281" t="s">
        <v>617</v>
      </c>
      <c r="E2281" t="s">
        <v>8697</v>
      </c>
      <c r="F2281">
        <v>108.57</v>
      </c>
      <c r="H2281" t="s">
        <v>8682</v>
      </c>
      <c r="L2281" t="s">
        <v>1433</v>
      </c>
      <c r="M2281" t="s">
        <v>3485</v>
      </c>
      <c r="N2281" t="s">
        <v>3483</v>
      </c>
      <c r="O2281">
        <v>125</v>
      </c>
    </row>
    <row r="2282" spans="2:15" x14ac:dyDescent="0.2">
      <c r="B2282" t="s">
        <v>1433</v>
      </c>
      <c r="C2282" t="s">
        <v>12898</v>
      </c>
      <c r="D2282" t="s">
        <v>617</v>
      </c>
      <c r="E2282" t="s">
        <v>8698</v>
      </c>
      <c r="F2282">
        <v>41.04</v>
      </c>
      <c r="H2282" t="s">
        <v>1481</v>
      </c>
      <c r="L2282" t="s">
        <v>1433</v>
      </c>
      <c r="M2282" t="s">
        <v>3486</v>
      </c>
      <c r="N2282" t="s">
        <v>3487</v>
      </c>
      <c r="O2282">
        <v>1</v>
      </c>
    </row>
    <row r="2283" spans="2:15" x14ac:dyDescent="0.2">
      <c r="B2283" t="s">
        <v>1433</v>
      </c>
      <c r="C2283" t="s">
        <v>12898</v>
      </c>
      <c r="D2283" t="s">
        <v>617</v>
      </c>
      <c r="E2283" t="s">
        <v>8699</v>
      </c>
      <c r="F2283">
        <v>118.69</v>
      </c>
      <c r="H2283" t="s">
        <v>1451</v>
      </c>
      <c r="L2283" t="s">
        <v>1433</v>
      </c>
      <c r="M2283" t="s">
        <v>3488</v>
      </c>
      <c r="N2283" t="s">
        <v>3487</v>
      </c>
      <c r="O2283">
        <v>1</v>
      </c>
    </row>
    <row r="2284" spans="2:15" x14ac:dyDescent="0.2">
      <c r="B2284" t="s">
        <v>1433</v>
      </c>
      <c r="C2284" t="s">
        <v>12898</v>
      </c>
      <c r="D2284" t="s">
        <v>617</v>
      </c>
      <c r="E2284" t="s">
        <v>8700</v>
      </c>
      <c r="F2284">
        <v>133.97999999999999</v>
      </c>
      <c r="H2284" t="s">
        <v>1452</v>
      </c>
      <c r="L2284" t="s">
        <v>1433</v>
      </c>
      <c r="M2284" t="s">
        <v>3489</v>
      </c>
      <c r="N2284" t="s">
        <v>3487</v>
      </c>
      <c r="O2284">
        <v>1</v>
      </c>
    </row>
    <row r="2285" spans="2:15" x14ac:dyDescent="0.2">
      <c r="B2285" t="s">
        <v>1433</v>
      </c>
      <c r="C2285" t="s">
        <v>12898</v>
      </c>
      <c r="D2285" t="s">
        <v>617</v>
      </c>
      <c r="E2285" t="s">
        <v>8701</v>
      </c>
      <c r="F2285">
        <v>83.38</v>
      </c>
      <c r="H2285" t="s">
        <v>1453</v>
      </c>
      <c r="L2285" t="s">
        <v>1433</v>
      </c>
      <c r="M2285" t="s">
        <v>3490</v>
      </c>
      <c r="N2285" t="s">
        <v>3491</v>
      </c>
      <c r="O2285">
        <v>1</v>
      </c>
    </row>
    <row r="2286" spans="2:15" x14ac:dyDescent="0.2">
      <c r="B2286" t="s">
        <v>1433</v>
      </c>
      <c r="C2286" t="s">
        <v>12898</v>
      </c>
      <c r="D2286" t="s">
        <v>617</v>
      </c>
      <c r="E2286" t="s">
        <v>8702</v>
      </c>
      <c r="F2286">
        <v>247.68</v>
      </c>
      <c r="H2286" t="s">
        <v>1454</v>
      </c>
      <c r="L2286" t="s">
        <v>1433</v>
      </c>
      <c r="M2286" t="s">
        <v>1881</v>
      </c>
      <c r="N2286" t="s">
        <v>3492</v>
      </c>
      <c r="O2286">
        <v>1</v>
      </c>
    </row>
    <row r="2287" spans="2:15" x14ac:dyDescent="0.2">
      <c r="B2287" t="s">
        <v>1433</v>
      </c>
      <c r="C2287" t="s">
        <v>12898</v>
      </c>
      <c r="D2287" t="s">
        <v>617</v>
      </c>
      <c r="E2287" t="s">
        <v>8703</v>
      </c>
      <c r="F2287">
        <v>763.68</v>
      </c>
      <c r="H2287" t="s">
        <v>1454</v>
      </c>
      <c r="L2287" t="s">
        <v>1433</v>
      </c>
      <c r="M2287" t="s">
        <v>3493</v>
      </c>
      <c r="N2287" t="s">
        <v>3494</v>
      </c>
      <c r="O2287">
        <v>8</v>
      </c>
    </row>
    <row r="2288" spans="2:15" x14ac:dyDescent="0.2">
      <c r="B2288" t="s">
        <v>1433</v>
      </c>
      <c r="C2288" t="s">
        <v>12898</v>
      </c>
      <c r="D2288" t="s">
        <v>617</v>
      </c>
      <c r="E2288" t="s">
        <v>8704</v>
      </c>
      <c r="F2288">
        <v>2048.1</v>
      </c>
      <c r="H2288" t="s">
        <v>1487</v>
      </c>
      <c r="L2288" t="s">
        <v>1433</v>
      </c>
      <c r="M2288" t="s">
        <v>1705</v>
      </c>
      <c r="N2288" t="s">
        <v>3495</v>
      </c>
      <c r="O2288">
        <v>20</v>
      </c>
    </row>
    <row r="2289" spans="2:15" x14ac:dyDescent="0.2">
      <c r="B2289" t="s">
        <v>1433</v>
      </c>
      <c r="C2289" t="s">
        <v>12898</v>
      </c>
      <c r="D2289" t="s">
        <v>617</v>
      </c>
      <c r="E2289" t="s">
        <v>8705</v>
      </c>
      <c r="F2289">
        <v>2048.1</v>
      </c>
      <c r="H2289" t="s">
        <v>1487</v>
      </c>
      <c r="L2289" t="s">
        <v>1433</v>
      </c>
      <c r="M2289" t="s">
        <v>3496</v>
      </c>
      <c r="N2289" t="s">
        <v>3497</v>
      </c>
      <c r="O2289">
        <v>1</v>
      </c>
    </row>
    <row r="2290" spans="2:15" x14ac:dyDescent="0.2">
      <c r="B2290" t="s">
        <v>1433</v>
      </c>
      <c r="C2290" t="s">
        <v>12898</v>
      </c>
      <c r="D2290" t="s">
        <v>617</v>
      </c>
      <c r="E2290" t="s">
        <v>8706</v>
      </c>
      <c r="F2290">
        <v>682.7</v>
      </c>
      <c r="H2290" t="s">
        <v>1487</v>
      </c>
      <c r="L2290" t="s">
        <v>1433</v>
      </c>
      <c r="M2290" t="s">
        <v>3498</v>
      </c>
      <c r="N2290" t="s">
        <v>3497</v>
      </c>
      <c r="O2290">
        <v>1</v>
      </c>
    </row>
    <row r="2291" spans="2:15" x14ac:dyDescent="0.2">
      <c r="B2291" t="s">
        <v>1433</v>
      </c>
      <c r="C2291" t="s">
        <v>12898</v>
      </c>
      <c r="D2291" t="s">
        <v>617</v>
      </c>
      <c r="E2291" t="s">
        <v>8707</v>
      </c>
      <c r="F2291">
        <v>3754.85</v>
      </c>
      <c r="H2291" t="s">
        <v>1487</v>
      </c>
      <c r="L2291" t="s">
        <v>1433</v>
      </c>
      <c r="M2291" t="s">
        <v>3499</v>
      </c>
      <c r="N2291" t="s">
        <v>3500</v>
      </c>
      <c r="O2291">
        <v>1</v>
      </c>
    </row>
    <row r="2292" spans="2:15" x14ac:dyDescent="0.2">
      <c r="B2292" t="s">
        <v>1433</v>
      </c>
      <c r="C2292" t="s">
        <v>12898</v>
      </c>
      <c r="D2292" t="s">
        <v>613</v>
      </c>
      <c r="E2292" t="s">
        <v>8708</v>
      </c>
      <c r="F2292">
        <v>36.89</v>
      </c>
      <c r="H2292" t="s">
        <v>5242</v>
      </c>
      <c r="L2292" t="s">
        <v>1433</v>
      </c>
      <c r="M2292" t="s">
        <v>3501</v>
      </c>
      <c r="N2292" t="s">
        <v>3500</v>
      </c>
      <c r="O2292">
        <v>1</v>
      </c>
    </row>
    <row r="2293" spans="2:15" x14ac:dyDescent="0.2">
      <c r="B2293" t="s">
        <v>1433</v>
      </c>
      <c r="C2293" t="s">
        <v>12898</v>
      </c>
      <c r="D2293" t="s">
        <v>617</v>
      </c>
      <c r="E2293" t="s">
        <v>8709</v>
      </c>
      <c r="F2293">
        <v>16.2</v>
      </c>
      <c r="H2293" t="s">
        <v>7635</v>
      </c>
      <c r="L2293" t="s">
        <v>1433</v>
      </c>
      <c r="M2293" t="s">
        <v>3502</v>
      </c>
      <c r="N2293" t="s">
        <v>3503</v>
      </c>
      <c r="O2293">
        <v>1</v>
      </c>
    </row>
    <row r="2294" spans="2:15" x14ac:dyDescent="0.2">
      <c r="B2294" t="s">
        <v>1433</v>
      </c>
      <c r="C2294" t="s">
        <v>12898</v>
      </c>
      <c r="D2294" t="s">
        <v>617</v>
      </c>
      <c r="E2294" t="s">
        <v>8710</v>
      </c>
      <c r="F2294">
        <v>3.4</v>
      </c>
      <c r="H2294" t="s">
        <v>8711</v>
      </c>
      <c r="L2294" t="s">
        <v>1433</v>
      </c>
      <c r="M2294" t="s">
        <v>3504</v>
      </c>
      <c r="N2294" t="s">
        <v>3503</v>
      </c>
      <c r="O2294">
        <v>1</v>
      </c>
    </row>
    <row r="2295" spans="2:15" x14ac:dyDescent="0.2">
      <c r="B2295" t="s">
        <v>1433</v>
      </c>
      <c r="C2295" t="s">
        <v>12898</v>
      </c>
      <c r="D2295" t="s">
        <v>617</v>
      </c>
      <c r="E2295" t="s">
        <v>8712</v>
      </c>
      <c r="F2295">
        <v>27</v>
      </c>
      <c r="H2295" t="s">
        <v>1458</v>
      </c>
      <c r="L2295" t="s">
        <v>1433</v>
      </c>
      <c r="M2295" t="s">
        <v>3505</v>
      </c>
      <c r="N2295" t="s">
        <v>3503</v>
      </c>
      <c r="O2295">
        <v>1</v>
      </c>
    </row>
    <row r="2296" spans="2:15" x14ac:dyDescent="0.2">
      <c r="B2296" t="s">
        <v>1433</v>
      </c>
      <c r="C2296" t="s">
        <v>12898</v>
      </c>
      <c r="D2296" t="s">
        <v>617</v>
      </c>
      <c r="E2296" t="s">
        <v>8713</v>
      </c>
      <c r="F2296">
        <v>84.04</v>
      </c>
      <c r="H2296" t="s">
        <v>1459</v>
      </c>
      <c r="L2296" t="s">
        <v>1433</v>
      </c>
      <c r="M2296" t="s">
        <v>3506</v>
      </c>
      <c r="N2296" t="s">
        <v>3507</v>
      </c>
      <c r="O2296">
        <v>1</v>
      </c>
    </row>
    <row r="2297" spans="2:15" x14ac:dyDescent="0.2">
      <c r="B2297" t="s">
        <v>1433</v>
      </c>
      <c r="C2297" t="s">
        <v>12898</v>
      </c>
      <c r="D2297" t="s">
        <v>617</v>
      </c>
      <c r="E2297" t="s">
        <v>8714</v>
      </c>
      <c r="F2297">
        <v>59.7</v>
      </c>
      <c r="H2297" t="s">
        <v>1541</v>
      </c>
      <c r="L2297" t="s">
        <v>1433</v>
      </c>
      <c r="M2297" t="s">
        <v>3508</v>
      </c>
      <c r="N2297" t="s">
        <v>3509</v>
      </c>
      <c r="O2297">
        <v>1</v>
      </c>
    </row>
    <row r="2298" spans="2:15" x14ac:dyDescent="0.2">
      <c r="B2298" t="s">
        <v>1433</v>
      </c>
      <c r="C2298" t="s">
        <v>12898</v>
      </c>
      <c r="D2298" t="s">
        <v>617</v>
      </c>
      <c r="E2298" t="s">
        <v>8715</v>
      </c>
      <c r="F2298">
        <v>51.2</v>
      </c>
      <c r="H2298" t="s">
        <v>1542</v>
      </c>
      <c r="L2298" t="s">
        <v>1433</v>
      </c>
      <c r="M2298" t="s">
        <v>3510</v>
      </c>
      <c r="N2298" t="s">
        <v>3509</v>
      </c>
      <c r="O2298">
        <v>1</v>
      </c>
    </row>
    <row r="2299" spans="2:15" x14ac:dyDescent="0.2">
      <c r="B2299" t="s">
        <v>1433</v>
      </c>
      <c r="C2299" t="s">
        <v>12898</v>
      </c>
      <c r="D2299" t="s">
        <v>617</v>
      </c>
      <c r="E2299" t="s">
        <v>8716</v>
      </c>
      <c r="F2299">
        <v>197.2</v>
      </c>
      <c r="H2299" t="s">
        <v>2087</v>
      </c>
      <c r="L2299" t="s">
        <v>1433</v>
      </c>
      <c r="M2299" t="s">
        <v>3511</v>
      </c>
      <c r="N2299" t="s">
        <v>3512</v>
      </c>
      <c r="O2299">
        <v>1</v>
      </c>
    </row>
    <row r="2300" spans="2:15" x14ac:dyDescent="0.2">
      <c r="B2300" t="s">
        <v>1433</v>
      </c>
      <c r="C2300" t="s">
        <v>12898</v>
      </c>
      <c r="D2300" t="s">
        <v>617</v>
      </c>
      <c r="E2300" t="s">
        <v>8717</v>
      </c>
      <c r="F2300">
        <v>-197.2</v>
      </c>
      <c r="H2300" t="s">
        <v>2087</v>
      </c>
      <c r="L2300" t="s">
        <v>1433</v>
      </c>
      <c r="M2300" t="s">
        <v>3513</v>
      </c>
      <c r="N2300" t="s">
        <v>3514</v>
      </c>
      <c r="O2300">
        <v>1</v>
      </c>
    </row>
    <row r="2301" spans="2:15" x14ac:dyDescent="0.2">
      <c r="B2301" t="s">
        <v>1433</v>
      </c>
      <c r="C2301" t="s">
        <v>12898</v>
      </c>
      <c r="D2301" t="s">
        <v>617</v>
      </c>
      <c r="E2301" t="s">
        <v>8718</v>
      </c>
      <c r="F2301">
        <v>197.2</v>
      </c>
      <c r="H2301" t="s">
        <v>2087</v>
      </c>
      <c r="L2301" t="s">
        <v>1433</v>
      </c>
      <c r="M2301" t="s">
        <v>3515</v>
      </c>
      <c r="N2301" t="s">
        <v>3516</v>
      </c>
      <c r="O2301">
        <v>1</v>
      </c>
    </row>
    <row r="2302" spans="2:15" x14ac:dyDescent="0.2">
      <c r="B2302" t="s">
        <v>1433</v>
      </c>
      <c r="C2302" t="s">
        <v>12898</v>
      </c>
      <c r="D2302" t="s">
        <v>617</v>
      </c>
      <c r="E2302" t="s">
        <v>8719</v>
      </c>
      <c r="F2302">
        <v>586.66999999999996</v>
      </c>
      <c r="H2302" t="s">
        <v>2087</v>
      </c>
      <c r="L2302" t="s">
        <v>1433</v>
      </c>
      <c r="M2302" t="s">
        <v>3517</v>
      </c>
      <c r="N2302" t="s">
        <v>3518</v>
      </c>
      <c r="O2302">
        <v>8</v>
      </c>
    </row>
    <row r="2303" spans="2:15" x14ac:dyDescent="0.2">
      <c r="B2303" t="s">
        <v>1433</v>
      </c>
      <c r="C2303" t="s">
        <v>12898</v>
      </c>
      <c r="D2303" t="s">
        <v>617</v>
      </c>
      <c r="E2303" t="s">
        <v>8720</v>
      </c>
      <c r="F2303">
        <v>289</v>
      </c>
      <c r="H2303" t="s">
        <v>1406</v>
      </c>
      <c r="L2303" t="s">
        <v>1433</v>
      </c>
      <c r="M2303" t="s">
        <v>3519</v>
      </c>
      <c r="N2303" t="s">
        <v>3520</v>
      </c>
      <c r="O2303">
        <v>1</v>
      </c>
    </row>
    <row r="2304" spans="2:15" x14ac:dyDescent="0.2">
      <c r="B2304" t="s">
        <v>1433</v>
      </c>
      <c r="C2304" t="s">
        <v>12898</v>
      </c>
      <c r="D2304" t="s">
        <v>617</v>
      </c>
      <c r="E2304" t="s">
        <v>8721</v>
      </c>
      <c r="F2304">
        <v>265.14</v>
      </c>
      <c r="H2304" t="s">
        <v>1538</v>
      </c>
      <c r="L2304" t="s">
        <v>1433</v>
      </c>
      <c r="M2304" t="s">
        <v>3521</v>
      </c>
      <c r="N2304" t="s">
        <v>3520</v>
      </c>
      <c r="O2304">
        <v>1</v>
      </c>
    </row>
    <row r="2305" spans="2:15" x14ac:dyDescent="0.2">
      <c r="B2305" t="s">
        <v>1433</v>
      </c>
      <c r="C2305" t="s">
        <v>12898</v>
      </c>
      <c r="D2305" t="s">
        <v>617</v>
      </c>
      <c r="E2305" t="s">
        <v>8722</v>
      </c>
      <c r="F2305">
        <v>645.54</v>
      </c>
      <c r="H2305" t="s">
        <v>1539</v>
      </c>
      <c r="L2305" t="s">
        <v>1433</v>
      </c>
      <c r="M2305" t="s">
        <v>3522</v>
      </c>
      <c r="N2305" t="s">
        <v>3520</v>
      </c>
      <c r="O2305">
        <v>1</v>
      </c>
    </row>
    <row r="2306" spans="2:15" x14ac:dyDescent="0.2">
      <c r="B2306" t="s">
        <v>1433</v>
      </c>
      <c r="C2306" t="s">
        <v>12898</v>
      </c>
      <c r="D2306" t="s">
        <v>617</v>
      </c>
      <c r="E2306" t="s">
        <v>8723</v>
      </c>
      <c r="F2306">
        <v>218.16</v>
      </c>
      <c r="H2306" t="s">
        <v>1590</v>
      </c>
      <c r="L2306" t="s">
        <v>1433</v>
      </c>
      <c r="M2306" t="s">
        <v>3523</v>
      </c>
      <c r="N2306" t="s">
        <v>3520</v>
      </c>
      <c r="O2306">
        <v>1</v>
      </c>
    </row>
    <row r="2307" spans="2:15" x14ac:dyDescent="0.2">
      <c r="B2307" t="s">
        <v>1433</v>
      </c>
      <c r="C2307" t="s">
        <v>12898</v>
      </c>
      <c r="D2307" t="s">
        <v>617</v>
      </c>
      <c r="E2307" t="s">
        <v>8724</v>
      </c>
      <c r="F2307">
        <v>612</v>
      </c>
      <c r="H2307" t="s">
        <v>1550</v>
      </c>
      <c r="L2307" t="s">
        <v>1433</v>
      </c>
      <c r="M2307" t="s">
        <v>3524</v>
      </c>
      <c r="N2307" t="s">
        <v>3525</v>
      </c>
      <c r="O2307">
        <v>1</v>
      </c>
    </row>
    <row r="2308" spans="2:15" x14ac:dyDescent="0.2">
      <c r="B2308" t="s">
        <v>1433</v>
      </c>
      <c r="C2308" t="s">
        <v>12898</v>
      </c>
      <c r="D2308" t="s">
        <v>617</v>
      </c>
      <c r="E2308" t="s">
        <v>8725</v>
      </c>
      <c r="F2308">
        <v>153</v>
      </c>
      <c r="H2308" t="s">
        <v>1552</v>
      </c>
      <c r="L2308" t="s">
        <v>1433</v>
      </c>
      <c r="M2308" t="s">
        <v>3526</v>
      </c>
      <c r="N2308" t="s">
        <v>3525</v>
      </c>
      <c r="O2308">
        <v>1</v>
      </c>
    </row>
    <row r="2309" spans="2:15" x14ac:dyDescent="0.2">
      <c r="B2309" t="s">
        <v>1433</v>
      </c>
      <c r="C2309" t="s">
        <v>12898</v>
      </c>
      <c r="D2309" t="s">
        <v>617</v>
      </c>
      <c r="E2309" t="s">
        <v>8726</v>
      </c>
      <c r="F2309">
        <v>890</v>
      </c>
      <c r="H2309" t="s">
        <v>1540</v>
      </c>
      <c r="L2309" t="s">
        <v>1433</v>
      </c>
      <c r="M2309" t="s">
        <v>3527</v>
      </c>
      <c r="N2309" t="s">
        <v>3525</v>
      </c>
      <c r="O2309">
        <v>1</v>
      </c>
    </row>
    <row r="2310" spans="2:15" x14ac:dyDescent="0.2">
      <c r="B2310" t="s">
        <v>1433</v>
      </c>
      <c r="C2310" t="s">
        <v>12898</v>
      </c>
      <c r="D2310" t="s">
        <v>617</v>
      </c>
      <c r="E2310" t="s">
        <v>8727</v>
      </c>
      <c r="F2310">
        <v>2048.1</v>
      </c>
      <c r="H2310" t="s">
        <v>1487</v>
      </c>
      <c r="L2310" t="s">
        <v>1433</v>
      </c>
      <c r="M2310" t="s">
        <v>3528</v>
      </c>
      <c r="N2310" t="s">
        <v>3529</v>
      </c>
      <c r="O2310">
        <v>1</v>
      </c>
    </row>
    <row r="2311" spans="2:15" x14ac:dyDescent="0.2">
      <c r="B2311" t="s">
        <v>1433</v>
      </c>
      <c r="C2311" t="s">
        <v>12898</v>
      </c>
      <c r="D2311" t="s">
        <v>617</v>
      </c>
      <c r="E2311" t="s">
        <v>8728</v>
      </c>
      <c r="F2311">
        <v>2048.1</v>
      </c>
      <c r="H2311" t="s">
        <v>1487</v>
      </c>
      <c r="L2311" t="s">
        <v>1433</v>
      </c>
      <c r="M2311" t="s">
        <v>3530</v>
      </c>
      <c r="N2311" t="s">
        <v>3531</v>
      </c>
      <c r="O2311">
        <v>1</v>
      </c>
    </row>
    <row r="2312" spans="2:15" x14ac:dyDescent="0.2">
      <c r="B2312" t="s">
        <v>1433</v>
      </c>
      <c r="C2312" t="s">
        <v>12898</v>
      </c>
      <c r="D2312" t="s">
        <v>617</v>
      </c>
      <c r="E2312" t="s">
        <v>8729</v>
      </c>
      <c r="F2312">
        <v>682.7</v>
      </c>
      <c r="H2312" t="s">
        <v>1487</v>
      </c>
      <c r="L2312" t="s">
        <v>1433</v>
      </c>
      <c r="M2312" t="s">
        <v>3532</v>
      </c>
      <c r="N2312" t="s">
        <v>3531</v>
      </c>
      <c r="O2312">
        <v>1</v>
      </c>
    </row>
    <row r="2313" spans="2:15" x14ac:dyDescent="0.2">
      <c r="B2313" t="s">
        <v>1433</v>
      </c>
      <c r="C2313" t="s">
        <v>12898</v>
      </c>
      <c r="D2313" t="s">
        <v>617</v>
      </c>
      <c r="E2313" t="s">
        <v>8730</v>
      </c>
      <c r="F2313">
        <v>2048.1</v>
      </c>
      <c r="H2313" t="s">
        <v>1487</v>
      </c>
      <c r="L2313" t="s">
        <v>1433</v>
      </c>
      <c r="M2313" t="s">
        <v>3533</v>
      </c>
      <c r="N2313" t="s">
        <v>3531</v>
      </c>
      <c r="O2313">
        <v>1</v>
      </c>
    </row>
    <row r="2314" spans="2:15" x14ac:dyDescent="0.2">
      <c r="B2314" t="s">
        <v>1433</v>
      </c>
      <c r="C2314" t="s">
        <v>12898</v>
      </c>
      <c r="D2314" t="s">
        <v>613</v>
      </c>
      <c r="E2314" t="s">
        <v>8731</v>
      </c>
      <c r="F2314">
        <v>156</v>
      </c>
      <c r="H2314" t="s">
        <v>1545</v>
      </c>
      <c r="L2314" t="s">
        <v>1433</v>
      </c>
      <c r="M2314" t="s">
        <v>3534</v>
      </c>
      <c r="N2314" t="s">
        <v>3531</v>
      </c>
      <c r="O2314">
        <v>1</v>
      </c>
    </row>
    <row r="2315" spans="2:15" x14ac:dyDescent="0.2">
      <c r="B2315" t="s">
        <v>1433</v>
      </c>
      <c r="C2315" t="s">
        <v>12898</v>
      </c>
      <c r="D2315" t="s">
        <v>613</v>
      </c>
      <c r="E2315" t="s">
        <v>8732</v>
      </c>
      <c r="F2315">
        <v>546</v>
      </c>
      <c r="H2315" t="s">
        <v>1545</v>
      </c>
      <c r="L2315" t="s">
        <v>1433</v>
      </c>
      <c r="M2315" t="s">
        <v>3535</v>
      </c>
      <c r="N2315" t="s">
        <v>3536</v>
      </c>
      <c r="O2315">
        <v>1</v>
      </c>
    </row>
    <row r="2316" spans="2:15" x14ac:dyDescent="0.2">
      <c r="B2316" t="s">
        <v>1433</v>
      </c>
      <c r="C2316" t="s">
        <v>12898</v>
      </c>
      <c r="D2316" t="s">
        <v>613</v>
      </c>
      <c r="E2316" t="s">
        <v>8733</v>
      </c>
      <c r="F2316">
        <v>48</v>
      </c>
      <c r="H2316" t="s">
        <v>1547</v>
      </c>
      <c r="L2316" t="s">
        <v>1433</v>
      </c>
      <c r="M2316" t="s">
        <v>3537</v>
      </c>
      <c r="N2316" t="s">
        <v>3538</v>
      </c>
      <c r="O2316">
        <v>1</v>
      </c>
    </row>
    <row r="2317" spans="2:15" x14ac:dyDescent="0.2">
      <c r="B2317" t="s">
        <v>1433</v>
      </c>
      <c r="C2317" t="s">
        <v>12898</v>
      </c>
      <c r="D2317" t="s">
        <v>613</v>
      </c>
      <c r="E2317" t="s">
        <v>8734</v>
      </c>
      <c r="F2317">
        <v>168</v>
      </c>
      <c r="H2317" t="s">
        <v>1547</v>
      </c>
      <c r="L2317" t="s">
        <v>1433</v>
      </c>
      <c r="M2317" t="s">
        <v>3539</v>
      </c>
      <c r="N2317" t="s">
        <v>3540</v>
      </c>
      <c r="O2317">
        <v>1</v>
      </c>
    </row>
    <row r="2318" spans="2:15" x14ac:dyDescent="0.2">
      <c r="B2318" t="s">
        <v>1433</v>
      </c>
      <c r="C2318" t="s">
        <v>12898</v>
      </c>
      <c r="D2318" t="s">
        <v>613</v>
      </c>
      <c r="E2318" t="s">
        <v>8735</v>
      </c>
      <c r="F2318">
        <v>3379</v>
      </c>
      <c r="H2318" t="s">
        <v>1548</v>
      </c>
      <c r="L2318" t="s">
        <v>1433</v>
      </c>
      <c r="M2318" t="s">
        <v>2683</v>
      </c>
      <c r="N2318" t="s">
        <v>3541</v>
      </c>
      <c r="O2318">
        <v>1</v>
      </c>
    </row>
    <row r="2319" spans="2:15" x14ac:dyDescent="0.2">
      <c r="B2319" t="s">
        <v>1433</v>
      </c>
      <c r="C2319" t="s">
        <v>12898</v>
      </c>
      <c r="D2319" t="s">
        <v>613</v>
      </c>
      <c r="E2319" t="s">
        <v>8736</v>
      </c>
      <c r="F2319">
        <v>22701</v>
      </c>
      <c r="H2319" t="s">
        <v>1549</v>
      </c>
      <c r="L2319" t="s">
        <v>1433</v>
      </c>
      <c r="M2319" t="s">
        <v>3542</v>
      </c>
      <c r="N2319" t="s">
        <v>3543</v>
      </c>
      <c r="O2319">
        <v>1</v>
      </c>
    </row>
    <row r="2320" spans="2:15" x14ac:dyDescent="0.2">
      <c r="B2320" t="s">
        <v>1433</v>
      </c>
      <c r="C2320" t="s">
        <v>12898</v>
      </c>
      <c r="D2320" t="s">
        <v>617</v>
      </c>
      <c r="E2320" t="s">
        <v>8737</v>
      </c>
      <c r="F2320">
        <v>25</v>
      </c>
      <c r="H2320" t="s">
        <v>1580</v>
      </c>
      <c r="L2320" t="s">
        <v>1433</v>
      </c>
      <c r="M2320" t="s">
        <v>3544</v>
      </c>
      <c r="N2320" t="s">
        <v>1351</v>
      </c>
      <c r="O2320">
        <v>1</v>
      </c>
    </row>
    <row r="2321" spans="2:15" x14ac:dyDescent="0.2">
      <c r="B2321" t="s">
        <v>1433</v>
      </c>
      <c r="C2321" t="s">
        <v>12898</v>
      </c>
      <c r="D2321" t="s">
        <v>617</v>
      </c>
      <c r="E2321" t="s">
        <v>8738</v>
      </c>
      <c r="F2321">
        <v>61</v>
      </c>
      <c r="H2321" t="s">
        <v>1613</v>
      </c>
      <c r="L2321" t="s">
        <v>1433</v>
      </c>
      <c r="M2321" t="s">
        <v>3545</v>
      </c>
      <c r="N2321" t="s">
        <v>1351</v>
      </c>
      <c r="O2321">
        <v>1</v>
      </c>
    </row>
    <row r="2322" spans="2:15" x14ac:dyDescent="0.2">
      <c r="B2322" t="s">
        <v>1433</v>
      </c>
      <c r="C2322" t="s">
        <v>12898</v>
      </c>
      <c r="D2322" t="s">
        <v>617</v>
      </c>
      <c r="E2322" t="s">
        <v>8739</v>
      </c>
      <c r="F2322">
        <v>41.65</v>
      </c>
      <c r="H2322" t="s">
        <v>1615</v>
      </c>
      <c r="L2322" t="s">
        <v>1433</v>
      </c>
      <c r="M2322" t="s">
        <v>3546</v>
      </c>
      <c r="N2322" t="s">
        <v>1351</v>
      </c>
      <c r="O2322">
        <v>1</v>
      </c>
    </row>
    <row r="2323" spans="2:15" x14ac:dyDescent="0.2">
      <c r="B2323" t="s">
        <v>1433</v>
      </c>
      <c r="C2323" t="s">
        <v>12898</v>
      </c>
      <c r="D2323" t="s">
        <v>617</v>
      </c>
      <c r="E2323" t="s">
        <v>8740</v>
      </c>
      <c r="F2323">
        <v>20.7</v>
      </c>
      <c r="H2323" t="s">
        <v>1582</v>
      </c>
      <c r="L2323" t="s">
        <v>1433</v>
      </c>
      <c r="M2323" t="s">
        <v>3547</v>
      </c>
      <c r="N2323" t="s">
        <v>1351</v>
      </c>
      <c r="O2323">
        <v>1</v>
      </c>
    </row>
    <row r="2324" spans="2:15" x14ac:dyDescent="0.2">
      <c r="B2324" t="s">
        <v>1433</v>
      </c>
      <c r="C2324" t="s">
        <v>12898</v>
      </c>
      <c r="D2324" t="s">
        <v>617</v>
      </c>
      <c r="E2324" t="s">
        <v>8741</v>
      </c>
      <c r="F2324">
        <v>518.4</v>
      </c>
      <c r="H2324" t="s">
        <v>1603</v>
      </c>
      <c r="L2324" t="s">
        <v>1433</v>
      </c>
      <c r="M2324" t="s">
        <v>3548</v>
      </c>
      <c r="N2324" t="s">
        <v>1351</v>
      </c>
      <c r="O2324">
        <v>1</v>
      </c>
    </row>
    <row r="2325" spans="2:15" x14ac:dyDescent="0.2">
      <c r="B2325" t="s">
        <v>1433</v>
      </c>
      <c r="C2325" t="s">
        <v>12898</v>
      </c>
      <c r="D2325" t="s">
        <v>617</v>
      </c>
      <c r="E2325" t="s">
        <v>8742</v>
      </c>
      <c r="F2325">
        <v>311.04000000000002</v>
      </c>
      <c r="H2325" t="s">
        <v>1603</v>
      </c>
      <c r="L2325" t="s">
        <v>1433</v>
      </c>
      <c r="M2325" t="s">
        <v>3549</v>
      </c>
      <c r="N2325" t="s">
        <v>3550</v>
      </c>
      <c r="O2325">
        <v>1</v>
      </c>
    </row>
    <row r="2326" spans="2:15" x14ac:dyDescent="0.2">
      <c r="B2326" t="s">
        <v>1433</v>
      </c>
      <c r="C2326" t="s">
        <v>12898</v>
      </c>
      <c r="D2326" t="s">
        <v>617</v>
      </c>
      <c r="E2326" t="s">
        <v>8743</v>
      </c>
      <c r="F2326">
        <v>366.39</v>
      </c>
      <c r="H2326" t="s">
        <v>1605</v>
      </c>
      <c r="L2326" t="s">
        <v>1433</v>
      </c>
      <c r="M2326" t="s">
        <v>3551</v>
      </c>
      <c r="N2326" t="s">
        <v>3552</v>
      </c>
      <c r="O2326">
        <v>2</v>
      </c>
    </row>
    <row r="2327" spans="2:15" x14ac:dyDescent="0.2">
      <c r="B2327" t="s">
        <v>1433</v>
      </c>
      <c r="C2327" t="s">
        <v>12898</v>
      </c>
      <c r="D2327" t="s">
        <v>617</v>
      </c>
      <c r="E2327" t="s">
        <v>8744</v>
      </c>
      <c r="F2327">
        <v>244.26</v>
      </c>
      <c r="H2327" t="s">
        <v>1605</v>
      </c>
      <c r="L2327" t="s">
        <v>1433</v>
      </c>
      <c r="M2327" t="s">
        <v>3553</v>
      </c>
      <c r="N2327" t="s">
        <v>3554</v>
      </c>
      <c r="O2327">
        <v>125</v>
      </c>
    </row>
    <row r="2328" spans="2:15" x14ac:dyDescent="0.2">
      <c r="B2328" t="s">
        <v>1433</v>
      </c>
      <c r="C2328" t="s">
        <v>12898</v>
      </c>
      <c r="D2328" t="s">
        <v>617</v>
      </c>
      <c r="E2328" t="s">
        <v>8745</v>
      </c>
      <c r="F2328">
        <v>212.4</v>
      </c>
      <c r="H2328" t="s">
        <v>1606</v>
      </c>
      <c r="L2328" t="s">
        <v>1433</v>
      </c>
      <c r="M2328" t="s">
        <v>3555</v>
      </c>
      <c r="N2328" t="s">
        <v>3556</v>
      </c>
      <c r="O2328">
        <v>1</v>
      </c>
    </row>
    <row r="2329" spans="2:15" x14ac:dyDescent="0.2">
      <c r="B2329" t="s">
        <v>1433</v>
      </c>
      <c r="C2329" t="s">
        <v>12898</v>
      </c>
      <c r="D2329" t="s">
        <v>617</v>
      </c>
      <c r="E2329" t="s">
        <v>8746</v>
      </c>
      <c r="F2329">
        <v>70.8</v>
      </c>
      <c r="H2329" t="s">
        <v>1606</v>
      </c>
      <c r="L2329" t="s">
        <v>1433</v>
      </c>
      <c r="M2329" t="s">
        <v>3557</v>
      </c>
      <c r="N2329" t="s">
        <v>3556</v>
      </c>
      <c r="O2329">
        <v>1</v>
      </c>
    </row>
    <row r="2330" spans="2:15" x14ac:dyDescent="0.2">
      <c r="B2330" t="s">
        <v>1433</v>
      </c>
      <c r="C2330" t="s">
        <v>12898</v>
      </c>
      <c r="D2330" t="s">
        <v>617</v>
      </c>
      <c r="E2330" t="s">
        <v>8747</v>
      </c>
      <c r="F2330">
        <v>16.100000000000001</v>
      </c>
      <c r="H2330" t="s">
        <v>1621</v>
      </c>
      <c r="L2330" t="s">
        <v>1433</v>
      </c>
      <c r="M2330" t="s">
        <v>3558</v>
      </c>
      <c r="N2330" t="s">
        <v>3559</v>
      </c>
      <c r="O2330">
        <v>10</v>
      </c>
    </row>
    <row r="2331" spans="2:15" x14ac:dyDescent="0.2">
      <c r="B2331" t="s">
        <v>1433</v>
      </c>
      <c r="C2331" t="s">
        <v>12898</v>
      </c>
      <c r="D2331" t="s">
        <v>617</v>
      </c>
      <c r="E2331" t="s">
        <v>8748</v>
      </c>
      <c r="F2331">
        <v>285.12</v>
      </c>
      <c r="H2331" t="s">
        <v>1624</v>
      </c>
      <c r="L2331" t="s">
        <v>1433</v>
      </c>
      <c r="M2331" t="s">
        <v>3560</v>
      </c>
      <c r="N2331" t="s">
        <v>3561</v>
      </c>
      <c r="O2331">
        <v>1</v>
      </c>
    </row>
    <row r="2332" spans="2:15" x14ac:dyDescent="0.2">
      <c r="B2332" t="s">
        <v>1433</v>
      </c>
      <c r="C2332" t="s">
        <v>12898</v>
      </c>
      <c r="D2332" t="s">
        <v>617</v>
      </c>
      <c r="E2332" t="s">
        <v>8749</v>
      </c>
      <c r="F2332">
        <v>334.56</v>
      </c>
      <c r="H2332" t="s">
        <v>1626</v>
      </c>
      <c r="L2332" t="s">
        <v>1433</v>
      </c>
      <c r="M2332" t="s">
        <v>3378</v>
      </c>
      <c r="N2332" t="s">
        <v>3562</v>
      </c>
      <c r="O2332">
        <v>1</v>
      </c>
    </row>
    <row r="2333" spans="2:15" x14ac:dyDescent="0.2">
      <c r="B2333" t="s">
        <v>1433</v>
      </c>
      <c r="C2333" t="s">
        <v>12898</v>
      </c>
      <c r="D2333" t="s">
        <v>617</v>
      </c>
      <c r="E2333" t="s">
        <v>8750</v>
      </c>
      <c r="F2333">
        <v>408.24</v>
      </c>
      <c r="H2333" t="s">
        <v>1627</v>
      </c>
      <c r="L2333" t="s">
        <v>1433</v>
      </c>
      <c r="M2333" t="s">
        <v>3563</v>
      </c>
      <c r="N2333" t="s">
        <v>3564</v>
      </c>
      <c r="O2333">
        <v>1</v>
      </c>
    </row>
    <row r="2334" spans="2:15" x14ac:dyDescent="0.2">
      <c r="B2334" t="s">
        <v>1433</v>
      </c>
      <c r="C2334" t="s">
        <v>12898</v>
      </c>
      <c r="D2334" t="s">
        <v>617</v>
      </c>
      <c r="E2334" t="s">
        <v>8751</v>
      </c>
      <c r="F2334">
        <v>25</v>
      </c>
      <c r="H2334" t="s">
        <v>1628</v>
      </c>
      <c r="L2334" t="s">
        <v>1433</v>
      </c>
      <c r="M2334" t="s">
        <v>3565</v>
      </c>
      <c r="N2334" t="s">
        <v>3564</v>
      </c>
      <c r="O2334">
        <v>1</v>
      </c>
    </row>
    <row r="2335" spans="2:15" x14ac:dyDescent="0.2">
      <c r="B2335" t="s">
        <v>1433</v>
      </c>
      <c r="C2335" t="s">
        <v>12898</v>
      </c>
      <c r="D2335" t="s">
        <v>617</v>
      </c>
      <c r="E2335" t="s">
        <v>8752</v>
      </c>
      <c r="F2335">
        <v>24</v>
      </c>
      <c r="H2335" t="s">
        <v>1630</v>
      </c>
      <c r="L2335" t="s">
        <v>1433</v>
      </c>
      <c r="M2335" t="s">
        <v>3566</v>
      </c>
      <c r="N2335" t="s">
        <v>3564</v>
      </c>
      <c r="O2335">
        <v>1</v>
      </c>
    </row>
    <row r="2336" spans="2:15" x14ac:dyDescent="0.2">
      <c r="B2336" t="s">
        <v>1433</v>
      </c>
      <c r="C2336" t="s">
        <v>12898</v>
      </c>
      <c r="D2336" t="s">
        <v>617</v>
      </c>
      <c r="E2336" t="s">
        <v>8753</v>
      </c>
      <c r="F2336">
        <v>21</v>
      </c>
      <c r="H2336" t="s">
        <v>1629</v>
      </c>
      <c r="L2336" t="s">
        <v>1433</v>
      </c>
      <c r="M2336" t="s">
        <v>3047</v>
      </c>
      <c r="N2336" t="s">
        <v>3567</v>
      </c>
      <c r="O2336">
        <v>2</v>
      </c>
    </row>
    <row r="2337" spans="2:15" x14ac:dyDescent="0.2">
      <c r="B2337" t="s">
        <v>1433</v>
      </c>
      <c r="C2337" t="s">
        <v>12898</v>
      </c>
      <c r="D2337" t="s">
        <v>617</v>
      </c>
      <c r="E2337" t="s">
        <v>8754</v>
      </c>
      <c r="F2337">
        <v>11.4</v>
      </c>
      <c r="H2337" t="s">
        <v>1631</v>
      </c>
      <c r="L2337" t="s">
        <v>1433</v>
      </c>
      <c r="M2337" t="s">
        <v>3568</v>
      </c>
      <c r="N2337" t="s">
        <v>3569</v>
      </c>
      <c r="O2337">
        <v>1</v>
      </c>
    </row>
    <row r="2338" spans="2:15" x14ac:dyDescent="0.2">
      <c r="B2338" t="s">
        <v>1433</v>
      </c>
      <c r="C2338" t="s">
        <v>12898</v>
      </c>
      <c r="D2338" t="s">
        <v>617</v>
      </c>
      <c r="E2338" t="s">
        <v>8755</v>
      </c>
      <c r="F2338">
        <v>238.4</v>
      </c>
      <c r="H2338" t="s">
        <v>1632</v>
      </c>
      <c r="L2338" t="s">
        <v>1433</v>
      </c>
      <c r="M2338" t="s">
        <v>3570</v>
      </c>
      <c r="N2338" t="s">
        <v>3569</v>
      </c>
      <c r="O2338">
        <v>1</v>
      </c>
    </row>
    <row r="2339" spans="2:15" x14ac:dyDescent="0.2">
      <c r="B2339" t="s">
        <v>1433</v>
      </c>
      <c r="C2339" t="s">
        <v>12898</v>
      </c>
      <c r="D2339" t="s">
        <v>617</v>
      </c>
      <c r="E2339" t="s">
        <v>8756</v>
      </c>
      <c r="F2339">
        <v>133</v>
      </c>
      <c r="H2339" t="s">
        <v>1622</v>
      </c>
      <c r="L2339" t="s">
        <v>1433</v>
      </c>
      <c r="M2339" t="s">
        <v>3571</v>
      </c>
      <c r="N2339" t="s">
        <v>3569</v>
      </c>
      <c r="O2339">
        <v>1</v>
      </c>
    </row>
    <row r="2340" spans="2:15" x14ac:dyDescent="0.2">
      <c r="B2340" t="s">
        <v>1433</v>
      </c>
      <c r="C2340" t="s">
        <v>12898</v>
      </c>
      <c r="D2340" t="s">
        <v>617</v>
      </c>
      <c r="E2340" t="s">
        <v>8757</v>
      </c>
      <c r="F2340">
        <v>190</v>
      </c>
      <c r="H2340" t="s">
        <v>1623</v>
      </c>
      <c r="L2340" t="s">
        <v>1433</v>
      </c>
      <c r="M2340" t="s">
        <v>3572</v>
      </c>
      <c r="N2340" t="s">
        <v>3569</v>
      </c>
      <c r="O2340">
        <v>1</v>
      </c>
    </row>
    <row r="2341" spans="2:15" x14ac:dyDescent="0.2">
      <c r="B2341" t="s">
        <v>1433</v>
      </c>
      <c r="C2341" t="s">
        <v>12898</v>
      </c>
      <c r="D2341" t="s">
        <v>617</v>
      </c>
      <c r="E2341" t="s">
        <v>8758</v>
      </c>
      <c r="F2341">
        <v>37.200000000000003</v>
      </c>
      <c r="H2341" t="s">
        <v>1593</v>
      </c>
      <c r="L2341" t="s">
        <v>1433</v>
      </c>
      <c r="M2341" t="s">
        <v>3573</v>
      </c>
      <c r="N2341" t="s">
        <v>3569</v>
      </c>
      <c r="O2341">
        <v>1</v>
      </c>
    </row>
    <row r="2342" spans="2:15" x14ac:dyDescent="0.2">
      <c r="B2342" t="s">
        <v>1433</v>
      </c>
      <c r="C2342" t="s">
        <v>12898</v>
      </c>
      <c r="D2342" t="s">
        <v>617</v>
      </c>
      <c r="E2342" t="s">
        <v>8759</v>
      </c>
      <c r="F2342">
        <v>22.91</v>
      </c>
      <c r="H2342" t="s">
        <v>1594</v>
      </c>
      <c r="L2342" t="s">
        <v>1433</v>
      </c>
      <c r="M2342" t="s">
        <v>2271</v>
      </c>
      <c r="N2342" t="s">
        <v>3574</v>
      </c>
      <c r="O2342">
        <v>2</v>
      </c>
    </row>
    <row r="2343" spans="2:15" x14ac:dyDescent="0.2">
      <c r="B2343" t="s">
        <v>1433</v>
      </c>
      <c r="C2343" t="s">
        <v>12898</v>
      </c>
      <c r="D2343" t="s">
        <v>617</v>
      </c>
      <c r="E2343" t="s">
        <v>8760</v>
      </c>
      <c r="F2343">
        <v>1036</v>
      </c>
      <c r="H2343" t="s">
        <v>1633</v>
      </c>
      <c r="L2343" t="s">
        <v>1433</v>
      </c>
      <c r="M2343" t="s">
        <v>3575</v>
      </c>
      <c r="N2343" t="s">
        <v>3576</v>
      </c>
      <c r="O2343">
        <v>1</v>
      </c>
    </row>
    <row r="2344" spans="2:15" x14ac:dyDescent="0.2">
      <c r="B2344" t="s">
        <v>1433</v>
      </c>
      <c r="C2344" t="s">
        <v>12898</v>
      </c>
      <c r="D2344" t="s">
        <v>617</v>
      </c>
      <c r="E2344" t="s">
        <v>8761</v>
      </c>
      <c r="F2344">
        <v>144</v>
      </c>
      <c r="H2344" t="s">
        <v>1636</v>
      </c>
      <c r="L2344" t="s">
        <v>1433</v>
      </c>
      <c r="M2344" t="s">
        <v>3577</v>
      </c>
      <c r="N2344" t="s">
        <v>1357</v>
      </c>
      <c r="O2344">
        <v>1</v>
      </c>
    </row>
    <row r="2345" spans="2:15" x14ac:dyDescent="0.2">
      <c r="B2345" t="s">
        <v>1433</v>
      </c>
      <c r="C2345" t="s">
        <v>12898</v>
      </c>
      <c r="D2345" t="s">
        <v>617</v>
      </c>
      <c r="E2345" t="s">
        <v>8762</v>
      </c>
      <c r="F2345">
        <v>-144</v>
      </c>
      <c r="H2345" t="s">
        <v>1636</v>
      </c>
      <c r="L2345" t="s">
        <v>1433</v>
      </c>
      <c r="M2345" t="s">
        <v>3578</v>
      </c>
      <c r="N2345" t="s">
        <v>3579</v>
      </c>
      <c r="O2345">
        <v>1</v>
      </c>
    </row>
    <row r="2346" spans="2:15" x14ac:dyDescent="0.2">
      <c r="B2346" t="s">
        <v>1433</v>
      </c>
      <c r="C2346" t="s">
        <v>12898</v>
      </c>
      <c r="D2346" t="s">
        <v>617</v>
      </c>
      <c r="E2346" t="s">
        <v>8763</v>
      </c>
      <c r="F2346">
        <v>864</v>
      </c>
      <c r="H2346" t="s">
        <v>1636</v>
      </c>
      <c r="L2346" t="s">
        <v>1433</v>
      </c>
      <c r="M2346" t="s">
        <v>3580</v>
      </c>
      <c r="N2346" t="s">
        <v>3581</v>
      </c>
      <c r="O2346">
        <v>8</v>
      </c>
    </row>
    <row r="2347" spans="2:15" x14ac:dyDescent="0.2">
      <c r="B2347" t="s">
        <v>1433</v>
      </c>
      <c r="C2347" t="s">
        <v>12898</v>
      </c>
      <c r="D2347" t="s">
        <v>617</v>
      </c>
      <c r="E2347" t="s">
        <v>8764</v>
      </c>
      <c r="F2347">
        <v>144</v>
      </c>
      <c r="H2347" t="s">
        <v>1636</v>
      </c>
      <c r="L2347" t="s">
        <v>1433</v>
      </c>
      <c r="M2347" t="s">
        <v>3582</v>
      </c>
      <c r="N2347" t="s">
        <v>3583</v>
      </c>
      <c r="O2347">
        <v>1</v>
      </c>
    </row>
    <row r="2348" spans="2:15" x14ac:dyDescent="0.2">
      <c r="B2348" t="s">
        <v>1433</v>
      </c>
      <c r="C2348" t="s">
        <v>12898</v>
      </c>
      <c r="D2348" t="s">
        <v>617</v>
      </c>
      <c r="E2348" t="s">
        <v>8765</v>
      </c>
      <c r="F2348">
        <v>897</v>
      </c>
      <c r="H2348" t="s">
        <v>1635</v>
      </c>
      <c r="L2348" t="s">
        <v>1433</v>
      </c>
      <c r="M2348" t="s">
        <v>3584</v>
      </c>
      <c r="N2348" t="s">
        <v>3583</v>
      </c>
      <c r="O2348">
        <v>1</v>
      </c>
    </row>
    <row r="2349" spans="2:15" x14ac:dyDescent="0.2">
      <c r="B2349" t="s">
        <v>1433</v>
      </c>
      <c r="C2349" t="s">
        <v>12898</v>
      </c>
      <c r="D2349" t="s">
        <v>617</v>
      </c>
      <c r="E2349" t="s">
        <v>8766</v>
      </c>
      <c r="F2349">
        <v>18.36</v>
      </c>
      <c r="H2349" t="s">
        <v>1806</v>
      </c>
      <c r="L2349" t="s">
        <v>1433</v>
      </c>
      <c r="M2349" t="s">
        <v>3585</v>
      </c>
      <c r="N2349" t="s">
        <v>3583</v>
      </c>
      <c r="O2349">
        <v>1</v>
      </c>
    </row>
    <row r="2350" spans="2:15" x14ac:dyDescent="0.2">
      <c r="B2350" t="s">
        <v>1433</v>
      </c>
      <c r="C2350" t="s">
        <v>12898</v>
      </c>
      <c r="D2350" t="s">
        <v>617</v>
      </c>
      <c r="E2350" t="s">
        <v>8767</v>
      </c>
      <c r="F2350">
        <v>1209.3599999999999</v>
      </c>
      <c r="H2350" t="s">
        <v>1801</v>
      </c>
      <c r="L2350" t="s">
        <v>1433</v>
      </c>
      <c r="M2350" t="s">
        <v>3586</v>
      </c>
      <c r="N2350" t="s">
        <v>3583</v>
      </c>
      <c r="O2350">
        <v>1</v>
      </c>
    </row>
    <row r="2351" spans="2:15" x14ac:dyDescent="0.2">
      <c r="B2351" t="s">
        <v>1433</v>
      </c>
      <c r="C2351" t="s">
        <v>12898</v>
      </c>
      <c r="D2351" t="s">
        <v>617</v>
      </c>
      <c r="E2351" t="s">
        <v>8768</v>
      </c>
      <c r="F2351">
        <v>70.86</v>
      </c>
      <c r="H2351" t="s">
        <v>1803</v>
      </c>
      <c r="L2351" t="s">
        <v>1433</v>
      </c>
      <c r="M2351" t="s">
        <v>3587</v>
      </c>
      <c r="N2351" t="s">
        <v>3583</v>
      </c>
      <c r="O2351">
        <v>1</v>
      </c>
    </row>
    <row r="2352" spans="2:15" x14ac:dyDescent="0.2">
      <c r="B2352" t="s">
        <v>1433</v>
      </c>
      <c r="C2352" t="s">
        <v>12898</v>
      </c>
      <c r="D2352" t="s">
        <v>617</v>
      </c>
      <c r="E2352" t="s">
        <v>8769</v>
      </c>
      <c r="F2352">
        <v>150.69999999999999</v>
      </c>
      <c r="H2352" t="s">
        <v>1804</v>
      </c>
      <c r="L2352" t="s">
        <v>1433</v>
      </c>
      <c r="M2352" t="s">
        <v>3588</v>
      </c>
      <c r="N2352" t="s">
        <v>3583</v>
      </c>
      <c r="O2352">
        <v>1</v>
      </c>
    </row>
    <row r="2353" spans="2:15" x14ac:dyDescent="0.2">
      <c r="B2353" t="s">
        <v>1433</v>
      </c>
      <c r="C2353" t="s">
        <v>12898</v>
      </c>
      <c r="D2353" t="s">
        <v>617</v>
      </c>
      <c r="E2353" t="s">
        <v>8770</v>
      </c>
      <c r="F2353">
        <v>699.47</v>
      </c>
      <c r="H2353" t="s">
        <v>1804</v>
      </c>
      <c r="L2353" t="s">
        <v>1433</v>
      </c>
      <c r="M2353" t="s">
        <v>3589</v>
      </c>
      <c r="N2353" t="s">
        <v>3583</v>
      </c>
      <c r="O2353">
        <v>1</v>
      </c>
    </row>
    <row r="2354" spans="2:15" x14ac:dyDescent="0.2">
      <c r="B2354" t="s">
        <v>1433</v>
      </c>
      <c r="C2354" t="s">
        <v>12898</v>
      </c>
      <c r="D2354" t="s">
        <v>617</v>
      </c>
      <c r="E2354" t="s">
        <v>8771</v>
      </c>
      <c r="F2354">
        <v>30.14</v>
      </c>
      <c r="H2354" t="s">
        <v>1804</v>
      </c>
      <c r="L2354" t="s">
        <v>1433</v>
      </c>
      <c r="M2354" t="s">
        <v>3590</v>
      </c>
      <c r="N2354" t="s">
        <v>3583</v>
      </c>
      <c r="O2354">
        <v>1</v>
      </c>
    </row>
    <row r="2355" spans="2:15" x14ac:dyDescent="0.2">
      <c r="B2355" t="s">
        <v>1433</v>
      </c>
      <c r="C2355" t="s">
        <v>12898</v>
      </c>
      <c r="D2355" t="s">
        <v>617</v>
      </c>
      <c r="E2355" t="s">
        <v>8772</v>
      </c>
      <c r="F2355">
        <v>14.37</v>
      </c>
      <c r="H2355" t="s">
        <v>1805</v>
      </c>
      <c r="L2355" t="s">
        <v>1433</v>
      </c>
      <c r="M2355" t="s">
        <v>3591</v>
      </c>
      <c r="N2355" t="s">
        <v>3583</v>
      </c>
      <c r="O2355">
        <v>1</v>
      </c>
    </row>
    <row r="2356" spans="2:15" x14ac:dyDescent="0.2">
      <c r="B2356" t="s">
        <v>1433</v>
      </c>
      <c r="C2356" t="s">
        <v>12898</v>
      </c>
      <c r="D2356" t="s">
        <v>617</v>
      </c>
      <c r="E2356" t="s">
        <v>8773</v>
      </c>
      <c r="F2356">
        <v>1176.8399999999999</v>
      </c>
      <c r="H2356" t="s">
        <v>1786</v>
      </c>
      <c r="L2356" t="s">
        <v>1433</v>
      </c>
      <c r="M2356" t="s">
        <v>3592</v>
      </c>
      <c r="N2356" t="s">
        <v>3583</v>
      </c>
      <c r="O2356">
        <v>1</v>
      </c>
    </row>
    <row r="2357" spans="2:15" x14ac:dyDescent="0.2">
      <c r="B2357" t="s">
        <v>1433</v>
      </c>
      <c r="C2357" t="s">
        <v>12898</v>
      </c>
      <c r="D2357" t="s">
        <v>617</v>
      </c>
      <c r="E2357" t="s">
        <v>8774</v>
      </c>
      <c r="F2357">
        <v>119.16</v>
      </c>
      <c r="H2357" t="s">
        <v>1789</v>
      </c>
      <c r="L2357" t="s">
        <v>1433</v>
      </c>
      <c r="M2357" t="s">
        <v>3593</v>
      </c>
      <c r="N2357" t="s">
        <v>3583</v>
      </c>
      <c r="O2357">
        <v>1</v>
      </c>
    </row>
    <row r="2358" spans="2:15" x14ac:dyDescent="0.2">
      <c r="B2358" t="s">
        <v>1433</v>
      </c>
      <c r="C2358" t="s">
        <v>12898</v>
      </c>
      <c r="D2358" t="s">
        <v>617</v>
      </c>
      <c r="E2358" t="s">
        <v>8775</v>
      </c>
      <c r="F2358">
        <v>172</v>
      </c>
      <c r="H2358" t="s">
        <v>1776</v>
      </c>
      <c r="L2358" t="s">
        <v>1433</v>
      </c>
      <c r="M2358" t="s">
        <v>3594</v>
      </c>
      <c r="N2358" t="s">
        <v>3583</v>
      </c>
      <c r="O2358">
        <v>1</v>
      </c>
    </row>
    <row r="2359" spans="2:15" x14ac:dyDescent="0.2">
      <c r="B2359" t="s">
        <v>1433</v>
      </c>
      <c r="C2359" t="s">
        <v>12898</v>
      </c>
      <c r="D2359" t="s">
        <v>617</v>
      </c>
      <c r="E2359" t="s">
        <v>8776</v>
      </c>
      <c r="F2359">
        <v>322.45</v>
      </c>
      <c r="H2359" t="s">
        <v>1776</v>
      </c>
      <c r="L2359" t="s">
        <v>1433</v>
      </c>
      <c r="M2359" t="s">
        <v>3595</v>
      </c>
      <c r="N2359" t="s">
        <v>3583</v>
      </c>
      <c r="O2359">
        <v>1</v>
      </c>
    </row>
    <row r="2360" spans="2:15" x14ac:dyDescent="0.2">
      <c r="B2360" t="s">
        <v>1433</v>
      </c>
      <c r="C2360" t="s">
        <v>12898</v>
      </c>
      <c r="D2360" t="s">
        <v>613</v>
      </c>
      <c r="E2360" t="s">
        <v>8777</v>
      </c>
      <c r="F2360">
        <v>156</v>
      </c>
      <c r="H2360" t="s">
        <v>1545</v>
      </c>
      <c r="L2360" t="s">
        <v>1433</v>
      </c>
      <c r="M2360" t="s">
        <v>3596</v>
      </c>
      <c r="N2360" t="s">
        <v>3597</v>
      </c>
      <c r="O2360">
        <v>1</v>
      </c>
    </row>
    <row r="2361" spans="2:15" x14ac:dyDescent="0.2">
      <c r="B2361" t="s">
        <v>1433</v>
      </c>
      <c r="C2361" t="s">
        <v>12898</v>
      </c>
      <c r="D2361" t="s">
        <v>613</v>
      </c>
      <c r="E2361" t="s">
        <v>8778</v>
      </c>
      <c r="F2361">
        <v>48</v>
      </c>
      <c r="H2361" t="s">
        <v>1547</v>
      </c>
      <c r="L2361" t="s">
        <v>1433</v>
      </c>
      <c r="M2361" t="s">
        <v>3598</v>
      </c>
      <c r="N2361" t="s">
        <v>3599</v>
      </c>
      <c r="O2361">
        <v>2</v>
      </c>
    </row>
    <row r="2362" spans="2:15" x14ac:dyDescent="0.2">
      <c r="B2362" t="s">
        <v>1433</v>
      </c>
      <c r="C2362" t="s">
        <v>12898</v>
      </c>
      <c r="D2362" t="s">
        <v>613</v>
      </c>
      <c r="E2362" t="s">
        <v>8779</v>
      </c>
      <c r="F2362">
        <v>3379</v>
      </c>
      <c r="H2362" t="s">
        <v>1548</v>
      </c>
      <c r="L2362" t="s">
        <v>1433</v>
      </c>
      <c r="M2362" t="s">
        <v>3600</v>
      </c>
      <c r="N2362" t="s">
        <v>3601</v>
      </c>
      <c r="O2362">
        <v>2</v>
      </c>
    </row>
    <row r="2363" spans="2:15" x14ac:dyDescent="0.2">
      <c r="B2363" t="s">
        <v>1433</v>
      </c>
      <c r="C2363" t="s">
        <v>12898</v>
      </c>
      <c r="D2363" t="s">
        <v>621</v>
      </c>
      <c r="E2363" t="s">
        <v>8780</v>
      </c>
      <c r="F2363">
        <v>29.56</v>
      </c>
      <c r="H2363" t="s">
        <v>7613</v>
      </c>
      <c r="L2363" t="s">
        <v>1433</v>
      </c>
      <c r="M2363" t="s">
        <v>3602</v>
      </c>
      <c r="N2363" t="s">
        <v>3603</v>
      </c>
      <c r="O2363">
        <v>10</v>
      </c>
    </row>
    <row r="2364" spans="2:15" x14ac:dyDescent="0.2">
      <c r="B2364" t="s">
        <v>1433</v>
      </c>
      <c r="C2364" t="s">
        <v>12898</v>
      </c>
      <c r="D2364" t="s">
        <v>621</v>
      </c>
      <c r="E2364" t="s">
        <v>8781</v>
      </c>
      <c r="F2364">
        <v>1693.6</v>
      </c>
      <c r="H2364" t="s">
        <v>1815</v>
      </c>
      <c r="L2364" t="s">
        <v>1433</v>
      </c>
      <c r="M2364" t="s">
        <v>2732</v>
      </c>
      <c r="N2364" t="s">
        <v>3604</v>
      </c>
      <c r="O2364">
        <v>1</v>
      </c>
    </row>
    <row r="2365" spans="2:15" x14ac:dyDescent="0.2">
      <c r="B2365" t="s">
        <v>1433</v>
      </c>
      <c r="C2365" t="s">
        <v>12898</v>
      </c>
      <c r="D2365" t="s">
        <v>621</v>
      </c>
      <c r="E2365" t="s">
        <v>8782</v>
      </c>
      <c r="F2365">
        <v>2371.04</v>
      </c>
      <c r="H2365" t="s">
        <v>1817</v>
      </c>
      <c r="L2365" t="s">
        <v>1433</v>
      </c>
      <c r="M2365" t="s">
        <v>3605</v>
      </c>
      <c r="N2365" t="s">
        <v>3606</v>
      </c>
      <c r="O2365">
        <v>1</v>
      </c>
    </row>
    <row r="2366" spans="2:15" x14ac:dyDescent="0.2">
      <c r="B2366" t="s">
        <v>1433</v>
      </c>
      <c r="C2366" t="s">
        <v>12898</v>
      </c>
      <c r="D2366" t="s">
        <v>621</v>
      </c>
      <c r="E2366" t="s">
        <v>8783</v>
      </c>
      <c r="F2366">
        <v>56.61</v>
      </c>
      <c r="H2366" t="s">
        <v>1773</v>
      </c>
      <c r="L2366" t="s">
        <v>1433</v>
      </c>
      <c r="M2366" t="s">
        <v>3607</v>
      </c>
      <c r="N2366" t="s">
        <v>3608</v>
      </c>
      <c r="O2366">
        <v>20</v>
      </c>
    </row>
    <row r="2367" spans="2:15" x14ac:dyDescent="0.2">
      <c r="B2367" t="s">
        <v>1433</v>
      </c>
      <c r="C2367" t="s">
        <v>12898</v>
      </c>
      <c r="D2367" t="s">
        <v>621</v>
      </c>
      <c r="E2367" t="s">
        <v>8784</v>
      </c>
      <c r="F2367">
        <v>329.97</v>
      </c>
      <c r="H2367" t="s">
        <v>1775</v>
      </c>
      <c r="L2367" t="s">
        <v>1433</v>
      </c>
      <c r="M2367" t="s">
        <v>3609</v>
      </c>
      <c r="N2367" t="s">
        <v>3610</v>
      </c>
      <c r="O2367">
        <v>1</v>
      </c>
    </row>
    <row r="2368" spans="2:15" x14ac:dyDescent="0.2">
      <c r="B2368" t="s">
        <v>1433</v>
      </c>
      <c r="C2368" t="s">
        <v>12898</v>
      </c>
      <c r="D2368" t="s">
        <v>621</v>
      </c>
      <c r="E2368" t="s">
        <v>8785</v>
      </c>
      <c r="F2368">
        <v>1596.42</v>
      </c>
      <c r="H2368" t="s">
        <v>1737</v>
      </c>
      <c r="L2368" t="s">
        <v>1433</v>
      </c>
      <c r="M2368" t="s">
        <v>3611</v>
      </c>
      <c r="N2368" t="s">
        <v>3612</v>
      </c>
      <c r="O2368">
        <v>1</v>
      </c>
    </row>
    <row r="2369" spans="2:15" x14ac:dyDescent="0.2">
      <c r="B2369" t="s">
        <v>1433</v>
      </c>
      <c r="C2369" t="s">
        <v>12898</v>
      </c>
      <c r="D2369" t="s">
        <v>621</v>
      </c>
      <c r="E2369" t="s">
        <v>8786</v>
      </c>
      <c r="F2369">
        <v>498.52</v>
      </c>
      <c r="H2369" t="s">
        <v>1739</v>
      </c>
      <c r="L2369" t="s">
        <v>1433</v>
      </c>
      <c r="M2369" t="s">
        <v>3613</v>
      </c>
      <c r="N2369" t="s">
        <v>3614</v>
      </c>
      <c r="O2369">
        <v>1</v>
      </c>
    </row>
    <row r="2370" spans="2:15" x14ac:dyDescent="0.2">
      <c r="B2370" t="s">
        <v>1433</v>
      </c>
      <c r="C2370" t="s">
        <v>12898</v>
      </c>
      <c r="D2370" t="s">
        <v>621</v>
      </c>
      <c r="E2370" t="s">
        <v>8787</v>
      </c>
      <c r="F2370">
        <v>-498.52</v>
      </c>
      <c r="H2370" t="s">
        <v>1739</v>
      </c>
      <c r="L2370" t="s">
        <v>1433</v>
      </c>
      <c r="M2370" t="s">
        <v>2806</v>
      </c>
      <c r="N2370" t="s">
        <v>3615</v>
      </c>
      <c r="O2370">
        <v>1</v>
      </c>
    </row>
    <row r="2371" spans="2:15" x14ac:dyDescent="0.2">
      <c r="B2371" t="s">
        <v>1433</v>
      </c>
      <c r="C2371" t="s">
        <v>12898</v>
      </c>
      <c r="D2371" t="s">
        <v>621</v>
      </c>
      <c r="E2371" t="s">
        <v>8788</v>
      </c>
      <c r="F2371">
        <v>498.52</v>
      </c>
      <c r="H2371" t="s">
        <v>1739</v>
      </c>
      <c r="L2371" t="s">
        <v>1433</v>
      </c>
      <c r="M2371" t="s">
        <v>3616</v>
      </c>
      <c r="N2371" t="s">
        <v>3617</v>
      </c>
      <c r="O2371">
        <v>1</v>
      </c>
    </row>
    <row r="2372" spans="2:15" x14ac:dyDescent="0.2">
      <c r="B2372" t="s">
        <v>1433</v>
      </c>
      <c r="C2372" t="s">
        <v>12898</v>
      </c>
      <c r="D2372" t="s">
        <v>621</v>
      </c>
      <c r="E2372" t="s">
        <v>8789</v>
      </c>
      <c r="F2372">
        <v>2991.12</v>
      </c>
      <c r="H2372" t="s">
        <v>1739</v>
      </c>
      <c r="L2372" t="s">
        <v>1433</v>
      </c>
      <c r="M2372" t="s">
        <v>3618</v>
      </c>
      <c r="N2372" t="s">
        <v>3619</v>
      </c>
      <c r="O2372">
        <v>2</v>
      </c>
    </row>
    <row r="2373" spans="2:15" x14ac:dyDescent="0.2">
      <c r="B2373" t="s">
        <v>1433</v>
      </c>
      <c r="C2373" t="s">
        <v>12898</v>
      </c>
      <c r="D2373" t="s">
        <v>554</v>
      </c>
      <c r="E2373" t="s">
        <v>8790</v>
      </c>
      <c r="F2373">
        <v>49.6</v>
      </c>
      <c r="H2373" t="s">
        <v>6377</v>
      </c>
      <c r="L2373" t="s">
        <v>1433</v>
      </c>
      <c r="M2373" t="s">
        <v>3620</v>
      </c>
      <c r="N2373" t="s">
        <v>3621</v>
      </c>
      <c r="O2373">
        <v>32</v>
      </c>
    </row>
    <row r="2374" spans="2:15" x14ac:dyDescent="0.2">
      <c r="B2374" t="s">
        <v>1433</v>
      </c>
      <c r="C2374" t="s">
        <v>12898</v>
      </c>
      <c r="D2374" t="s">
        <v>621</v>
      </c>
      <c r="E2374" t="s">
        <v>8791</v>
      </c>
      <c r="F2374">
        <v>164.7</v>
      </c>
      <c r="H2374" t="s">
        <v>1767</v>
      </c>
      <c r="L2374" t="s">
        <v>1433</v>
      </c>
      <c r="M2374" t="s">
        <v>3622</v>
      </c>
      <c r="N2374" t="s">
        <v>3621</v>
      </c>
      <c r="O2374">
        <v>32</v>
      </c>
    </row>
    <row r="2375" spans="2:15" x14ac:dyDescent="0.2">
      <c r="B2375" t="s">
        <v>1433</v>
      </c>
      <c r="C2375" t="s">
        <v>12898</v>
      </c>
      <c r="D2375" t="s">
        <v>621</v>
      </c>
      <c r="E2375" t="s">
        <v>8792</v>
      </c>
      <c r="F2375">
        <v>199.57</v>
      </c>
      <c r="H2375" t="s">
        <v>7774</v>
      </c>
      <c r="L2375" t="s">
        <v>1433</v>
      </c>
      <c r="M2375" t="s">
        <v>3623</v>
      </c>
      <c r="N2375" t="s">
        <v>3624</v>
      </c>
      <c r="O2375">
        <v>1</v>
      </c>
    </row>
    <row r="2376" spans="2:15" x14ac:dyDescent="0.2">
      <c r="B2376" t="s">
        <v>1433</v>
      </c>
      <c r="C2376" t="s">
        <v>12898</v>
      </c>
      <c r="D2376" t="s">
        <v>621</v>
      </c>
      <c r="E2376" t="s">
        <v>8793</v>
      </c>
      <c r="F2376">
        <v>65.88</v>
      </c>
      <c r="H2376" t="s">
        <v>7981</v>
      </c>
      <c r="L2376" t="s">
        <v>1433</v>
      </c>
      <c r="M2376" t="s">
        <v>3625</v>
      </c>
      <c r="N2376" t="s">
        <v>3626</v>
      </c>
      <c r="O2376">
        <v>2</v>
      </c>
    </row>
    <row r="2377" spans="2:15" x14ac:dyDescent="0.2">
      <c r="B2377" t="s">
        <v>1433</v>
      </c>
      <c r="C2377" t="s">
        <v>12898</v>
      </c>
      <c r="D2377" t="s">
        <v>621</v>
      </c>
      <c r="E2377" t="s">
        <v>8794</v>
      </c>
      <c r="F2377">
        <v>28.43</v>
      </c>
      <c r="H2377" t="s">
        <v>1676</v>
      </c>
      <c r="L2377" t="s">
        <v>1433</v>
      </c>
      <c r="M2377" t="s">
        <v>3627</v>
      </c>
      <c r="N2377" t="s">
        <v>3628</v>
      </c>
      <c r="O2377">
        <v>4</v>
      </c>
    </row>
    <row r="2378" spans="2:15" x14ac:dyDescent="0.2">
      <c r="B2378" t="s">
        <v>1433</v>
      </c>
      <c r="C2378" t="s">
        <v>12898</v>
      </c>
      <c r="D2378" t="s">
        <v>621</v>
      </c>
      <c r="E2378" t="s">
        <v>8795</v>
      </c>
      <c r="F2378">
        <v>19.2</v>
      </c>
      <c r="H2378" t="s">
        <v>6863</v>
      </c>
      <c r="L2378" t="s">
        <v>1433</v>
      </c>
      <c r="M2378" t="s">
        <v>3629</v>
      </c>
      <c r="N2378" t="s">
        <v>3628</v>
      </c>
      <c r="O2378">
        <v>4</v>
      </c>
    </row>
    <row r="2379" spans="2:15" x14ac:dyDescent="0.2">
      <c r="B2379" t="s">
        <v>1433</v>
      </c>
      <c r="C2379" t="s">
        <v>12898</v>
      </c>
      <c r="D2379" t="s">
        <v>621</v>
      </c>
      <c r="E2379" t="s">
        <v>8796</v>
      </c>
      <c r="F2379">
        <v>88.08</v>
      </c>
      <c r="H2379" t="s">
        <v>6963</v>
      </c>
      <c r="L2379" t="s">
        <v>1433</v>
      </c>
      <c r="M2379" t="s">
        <v>3630</v>
      </c>
      <c r="N2379" t="s">
        <v>3628</v>
      </c>
      <c r="O2379">
        <v>4</v>
      </c>
    </row>
    <row r="2380" spans="2:15" x14ac:dyDescent="0.2">
      <c r="B2380" t="s">
        <v>1433</v>
      </c>
      <c r="C2380" t="s">
        <v>12898</v>
      </c>
      <c r="D2380" t="s">
        <v>621</v>
      </c>
      <c r="E2380" t="s">
        <v>8797</v>
      </c>
      <c r="F2380">
        <v>52.56</v>
      </c>
      <c r="H2380" t="s">
        <v>1677</v>
      </c>
      <c r="L2380" t="s">
        <v>1433</v>
      </c>
      <c r="M2380" t="s">
        <v>3631</v>
      </c>
      <c r="N2380" t="s">
        <v>3632</v>
      </c>
      <c r="O2380">
        <v>2</v>
      </c>
    </row>
    <row r="2381" spans="2:15" x14ac:dyDescent="0.2">
      <c r="B2381" t="s">
        <v>1433</v>
      </c>
      <c r="C2381" t="s">
        <v>12898</v>
      </c>
      <c r="D2381" t="s">
        <v>621</v>
      </c>
      <c r="E2381" t="s">
        <v>8798</v>
      </c>
      <c r="F2381">
        <v>59.12</v>
      </c>
      <c r="H2381" t="s">
        <v>7613</v>
      </c>
      <c r="L2381" t="s">
        <v>1433</v>
      </c>
      <c r="M2381" t="s">
        <v>3633</v>
      </c>
      <c r="N2381" t="s">
        <v>3634</v>
      </c>
      <c r="O2381">
        <v>1</v>
      </c>
    </row>
    <row r="2382" spans="2:15" x14ac:dyDescent="0.2">
      <c r="B2382" t="s">
        <v>1433</v>
      </c>
      <c r="C2382" t="s">
        <v>12898</v>
      </c>
      <c r="D2382" t="s">
        <v>621</v>
      </c>
      <c r="E2382" t="s">
        <v>8799</v>
      </c>
      <c r="F2382">
        <v>35.159999999999997</v>
      </c>
      <c r="H2382" t="s">
        <v>8800</v>
      </c>
      <c r="L2382" t="s">
        <v>1433</v>
      </c>
      <c r="M2382" t="s">
        <v>3635</v>
      </c>
      <c r="N2382" t="s">
        <v>3634</v>
      </c>
      <c r="O2382">
        <v>1</v>
      </c>
    </row>
    <row r="2383" spans="2:15" x14ac:dyDescent="0.2">
      <c r="B2383" t="s">
        <v>1433</v>
      </c>
      <c r="C2383" t="s">
        <v>12898</v>
      </c>
      <c r="D2383" t="s">
        <v>621</v>
      </c>
      <c r="E2383" t="s">
        <v>8801</v>
      </c>
      <c r="F2383">
        <v>1920</v>
      </c>
      <c r="H2383" t="s">
        <v>1667</v>
      </c>
      <c r="L2383" t="s">
        <v>1433</v>
      </c>
      <c r="M2383" t="s">
        <v>3636</v>
      </c>
      <c r="N2383" t="s">
        <v>3634</v>
      </c>
      <c r="O2383">
        <v>1</v>
      </c>
    </row>
    <row r="2384" spans="2:15" x14ac:dyDescent="0.2">
      <c r="B2384" t="s">
        <v>1433</v>
      </c>
      <c r="C2384" t="s">
        <v>12898</v>
      </c>
      <c r="D2384" t="s">
        <v>621</v>
      </c>
      <c r="E2384" t="s">
        <v>8802</v>
      </c>
      <c r="F2384">
        <v>182.52</v>
      </c>
      <c r="H2384" t="s">
        <v>1768</v>
      </c>
      <c r="L2384" t="s">
        <v>1433</v>
      </c>
      <c r="M2384" t="s">
        <v>3637</v>
      </c>
      <c r="N2384" t="s">
        <v>3634</v>
      </c>
      <c r="O2384">
        <v>1</v>
      </c>
    </row>
    <row r="2385" spans="2:15" x14ac:dyDescent="0.2">
      <c r="B2385" t="s">
        <v>1433</v>
      </c>
      <c r="C2385" t="s">
        <v>12898</v>
      </c>
      <c r="D2385" t="s">
        <v>621</v>
      </c>
      <c r="E2385" t="s">
        <v>8803</v>
      </c>
      <c r="F2385">
        <v>1785.6</v>
      </c>
      <c r="H2385" t="s">
        <v>1674</v>
      </c>
      <c r="L2385" t="s">
        <v>1433</v>
      </c>
      <c r="M2385" t="s">
        <v>3638</v>
      </c>
      <c r="N2385" t="s">
        <v>3639</v>
      </c>
      <c r="O2385">
        <v>1</v>
      </c>
    </row>
    <row r="2386" spans="2:15" x14ac:dyDescent="0.2">
      <c r="B2386" t="s">
        <v>1433</v>
      </c>
      <c r="C2386" t="s">
        <v>12898</v>
      </c>
      <c r="D2386" t="s">
        <v>621</v>
      </c>
      <c r="E2386" t="s">
        <v>8804</v>
      </c>
      <c r="F2386">
        <v>380.88</v>
      </c>
      <c r="H2386" t="s">
        <v>1675</v>
      </c>
      <c r="L2386" t="s">
        <v>1433</v>
      </c>
      <c r="M2386" t="s">
        <v>3640</v>
      </c>
      <c r="N2386" t="s">
        <v>3641</v>
      </c>
      <c r="O2386">
        <v>1</v>
      </c>
    </row>
    <row r="2387" spans="2:15" x14ac:dyDescent="0.2">
      <c r="B2387" t="s">
        <v>1433</v>
      </c>
      <c r="C2387" t="s">
        <v>12898</v>
      </c>
      <c r="D2387" t="s">
        <v>621</v>
      </c>
      <c r="E2387" t="s">
        <v>8805</v>
      </c>
      <c r="F2387">
        <v>2400</v>
      </c>
      <c r="H2387" t="s">
        <v>1668</v>
      </c>
      <c r="L2387" t="s">
        <v>1433</v>
      </c>
      <c r="M2387" t="s">
        <v>3642</v>
      </c>
      <c r="N2387" t="s">
        <v>3641</v>
      </c>
      <c r="O2387">
        <v>1</v>
      </c>
    </row>
    <row r="2388" spans="2:15" x14ac:dyDescent="0.2">
      <c r="B2388" t="s">
        <v>1433</v>
      </c>
      <c r="C2388" t="s">
        <v>12898</v>
      </c>
      <c r="D2388" t="s">
        <v>621</v>
      </c>
      <c r="E2388" t="s">
        <v>8806</v>
      </c>
      <c r="F2388">
        <v>192.6</v>
      </c>
      <c r="H2388" t="s">
        <v>1760</v>
      </c>
      <c r="L2388" t="s">
        <v>1433</v>
      </c>
      <c r="M2388" t="s">
        <v>3643</v>
      </c>
      <c r="N2388" t="s">
        <v>3644</v>
      </c>
      <c r="O2388">
        <v>1</v>
      </c>
    </row>
    <row r="2389" spans="2:15" x14ac:dyDescent="0.2">
      <c r="B2389" t="s">
        <v>1433</v>
      </c>
      <c r="C2389" t="s">
        <v>12898</v>
      </c>
      <c r="D2389" t="s">
        <v>621</v>
      </c>
      <c r="E2389" t="s">
        <v>8807</v>
      </c>
      <c r="F2389">
        <v>112.5</v>
      </c>
      <c r="H2389" t="s">
        <v>1673</v>
      </c>
      <c r="L2389" t="s">
        <v>1433</v>
      </c>
      <c r="M2389" t="s">
        <v>3645</v>
      </c>
      <c r="N2389" t="s">
        <v>1367</v>
      </c>
      <c r="O2389">
        <v>1</v>
      </c>
    </row>
    <row r="2390" spans="2:15" x14ac:dyDescent="0.2">
      <c r="B2390" t="s">
        <v>1433</v>
      </c>
      <c r="C2390" t="s">
        <v>12898</v>
      </c>
      <c r="D2390" t="s">
        <v>621</v>
      </c>
      <c r="E2390" t="s">
        <v>8808</v>
      </c>
      <c r="F2390">
        <v>100.96</v>
      </c>
      <c r="H2390" t="s">
        <v>8809</v>
      </c>
      <c r="L2390" t="s">
        <v>1433</v>
      </c>
      <c r="M2390" t="s">
        <v>3646</v>
      </c>
      <c r="N2390" t="s">
        <v>3647</v>
      </c>
      <c r="O2390">
        <v>1</v>
      </c>
    </row>
    <row r="2391" spans="2:15" x14ac:dyDescent="0.2">
      <c r="B2391" t="s">
        <v>1433</v>
      </c>
      <c r="C2391" t="s">
        <v>12898</v>
      </c>
      <c r="D2391" t="s">
        <v>621</v>
      </c>
      <c r="E2391" t="s">
        <v>8810</v>
      </c>
      <c r="F2391">
        <v>1942.35</v>
      </c>
      <c r="H2391" t="s">
        <v>8021</v>
      </c>
      <c r="L2391" t="s">
        <v>1433</v>
      </c>
      <c r="M2391" t="s">
        <v>3648</v>
      </c>
      <c r="N2391" t="s">
        <v>3647</v>
      </c>
      <c r="O2391">
        <v>1</v>
      </c>
    </row>
    <row r="2392" spans="2:15" x14ac:dyDescent="0.2">
      <c r="B2392" t="s">
        <v>1433</v>
      </c>
      <c r="C2392" t="s">
        <v>12898</v>
      </c>
      <c r="D2392" t="s">
        <v>621</v>
      </c>
      <c r="E2392" t="s">
        <v>8811</v>
      </c>
      <c r="F2392">
        <v>136.44</v>
      </c>
      <c r="H2392" t="s">
        <v>1763</v>
      </c>
      <c r="L2392" t="s">
        <v>1433</v>
      </c>
      <c r="M2392" t="s">
        <v>3635</v>
      </c>
      <c r="N2392" t="s">
        <v>1365</v>
      </c>
      <c r="O2392">
        <v>1</v>
      </c>
    </row>
    <row r="2393" spans="2:15" x14ac:dyDescent="0.2">
      <c r="B2393" t="s">
        <v>1433</v>
      </c>
      <c r="C2393" t="s">
        <v>12898</v>
      </c>
      <c r="D2393" t="s">
        <v>621</v>
      </c>
      <c r="E2393" t="s">
        <v>8812</v>
      </c>
      <c r="F2393">
        <v>113.7</v>
      </c>
      <c r="H2393" t="s">
        <v>1763</v>
      </c>
      <c r="L2393" t="s">
        <v>1433</v>
      </c>
      <c r="M2393" t="s">
        <v>3649</v>
      </c>
      <c r="N2393" t="s">
        <v>1365</v>
      </c>
      <c r="O2393">
        <v>1</v>
      </c>
    </row>
    <row r="2394" spans="2:15" x14ac:dyDescent="0.2">
      <c r="B2394" t="s">
        <v>1433</v>
      </c>
      <c r="C2394" t="s">
        <v>12898</v>
      </c>
      <c r="D2394" t="s">
        <v>621</v>
      </c>
      <c r="E2394" t="s">
        <v>8813</v>
      </c>
      <c r="F2394">
        <v>15.16</v>
      </c>
      <c r="H2394" t="s">
        <v>1763</v>
      </c>
      <c r="L2394" t="s">
        <v>1433</v>
      </c>
      <c r="M2394" t="s">
        <v>2212</v>
      </c>
      <c r="N2394" t="s">
        <v>3650</v>
      </c>
      <c r="O2394">
        <v>2</v>
      </c>
    </row>
    <row r="2395" spans="2:15" x14ac:dyDescent="0.2">
      <c r="B2395" t="s">
        <v>1433</v>
      </c>
      <c r="C2395" t="s">
        <v>12898</v>
      </c>
      <c r="D2395" t="s">
        <v>621</v>
      </c>
      <c r="E2395" t="s">
        <v>8814</v>
      </c>
      <c r="F2395">
        <v>822</v>
      </c>
      <c r="H2395" t="s">
        <v>1671</v>
      </c>
      <c r="L2395" t="s">
        <v>1433</v>
      </c>
      <c r="M2395" t="s">
        <v>3651</v>
      </c>
      <c r="N2395" t="s">
        <v>3652</v>
      </c>
      <c r="O2395">
        <v>1</v>
      </c>
    </row>
    <row r="2396" spans="2:15" x14ac:dyDescent="0.2">
      <c r="B2396" t="s">
        <v>1433</v>
      </c>
      <c r="C2396" t="s">
        <v>12898</v>
      </c>
      <c r="D2396" t="s">
        <v>621</v>
      </c>
      <c r="E2396" t="s">
        <v>8815</v>
      </c>
      <c r="F2396">
        <v>2124</v>
      </c>
      <c r="H2396" t="s">
        <v>1672</v>
      </c>
      <c r="L2396" t="s">
        <v>1433</v>
      </c>
      <c r="M2396" t="s">
        <v>3653</v>
      </c>
      <c r="N2396" t="s">
        <v>3654</v>
      </c>
      <c r="O2396">
        <v>1</v>
      </c>
    </row>
    <row r="2397" spans="2:15" x14ac:dyDescent="0.2">
      <c r="B2397" t="s">
        <v>1433</v>
      </c>
      <c r="C2397" t="s">
        <v>12898</v>
      </c>
      <c r="D2397" t="s">
        <v>621</v>
      </c>
      <c r="E2397" t="s">
        <v>8816</v>
      </c>
      <c r="F2397">
        <v>624</v>
      </c>
      <c r="H2397" t="s">
        <v>6645</v>
      </c>
      <c r="L2397" t="s">
        <v>1433</v>
      </c>
      <c r="M2397" t="s">
        <v>3655</v>
      </c>
      <c r="N2397" t="s">
        <v>3654</v>
      </c>
      <c r="O2397">
        <v>1</v>
      </c>
    </row>
    <row r="2398" spans="2:15" x14ac:dyDescent="0.2">
      <c r="B2398" t="s">
        <v>1433</v>
      </c>
      <c r="C2398" t="s">
        <v>12898</v>
      </c>
      <c r="D2398" t="s">
        <v>621</v>
      </c>
      <c r="E2398" t="s">
        <v>8817</v>
      </c>
      <c r="F2398">
        <v>2725</v>
      </c>
      <c r="H2398" t="s">
        <v>1769</v>
      </c>
      <c r="L2398" t="s">
        <v>1433</v>
      </c>
      <c r="M2398" t="s">
        <v>3656</v>
      </c>
      <c r="N2398" t="s">
        <v>3654</v>
      </c>
      <c r="O2398">
        <v>1</v>
      </c>
    </row>
    <row r="2399" spans="2:15" x14ac:dyDescent="0.2">
      <c r="B2399" t="s">
        <v>1433</v>
      </c>
      <c r="C2399" t="s">
        <v>12898</v>
      </c>
      <c r="D2399" t="s">
        <v>621</v>
      </c>
      <c r="E2399" t="s">
        <v>8818</v>
      </c>
      <c r="F2399">
        <v>2725</v>
      </c>
      <c r="H2399" t="s">
        <v>1769</v>
      </c>
      <c r="L2399" t="s">
        <v>1433</v>
      </c>
      <c r="M2399" t="s">
        <v>2330</v>
      </c>
      <c r="N2399" t="s">
        <v>3657</v>
      </c>
      <c r="O2399">
        <v>1</v>
      </c>
    </row>
    <row r="2400" spans="2:15" x14ac:dyDescent="0.2">
      <c r="B2400" t="s">
        <v>1433</v>
      </c>
      <c r="C2400" t="s">
        <v>12898</v>
      </c>
      <c r="D2400" t="s">
        <v>621</v>
      </c>
      <c r="E2400" t="s">
        <v>8819</v>
      </c>
      <c r="F2400">
        <v>1920</v>
      </c>
      <c r="H2400" t="s">
        <v>1670</v>
      </c>
      <c r="L2400" t="s">
        <v>1433</v>
      </c>
      <c r="M2400" t="s">
        <v>3658</v>
      </c>
      <c r="N2400" t="s">
        <v>3659</v>
      </c>
      <c r="O2400">
        <v>1</v>
      </c>
    </row>
    <row r="2401" spans="2:15" x14ac:dyDescent="0.2">
      <c r="B2401" t="s">
        <v>1433</v>
      </c>
      <c r="C2401" t="s">
        <v>12898</v>
      </c>
      <c r="D2401" t="s">
        <v>621</v>
      </c>
      <c r="E2401" t="s">
        <v>8820</v>
      </c>
      <c r="F2401">
        <v>3815</v>
      </c>
      <c r="H2401" t="s">
        <v>1770</v>
      </c>
      <c r="L2401" t="s">
        <v>1433</v>
      </c>
      <c r="M2401" t="s">
        <v>3660</v>
      </c>
      <c r="N2401" t="s">
        <v>3661</v>
      </c>
      <c r="O2401">
        <v>1</v>
      </c>
    </row>
    <row r="2402" spans="2:15" x14ac:dyDescent="0.2">
      <c r="B2402" t="s">
        <v>1433</v>
      </c>
      <c r="C2402" t="s">
        <v>12898</v>
      </c>
      <c r="D2402" t="s">
        <v>621</v>
      </c>
      <c r="E2402" t="s">
        <v>8821</v>
      </c>
      <c r="F2402">
        <v>3815</v>
      </c>
      <c r="H2402" t="s">
        <v>1669</v>
      </c>
      <c r="L2402" t="s">
        <v>1433</v>
      </c>
      <c r="M2402" t="s">
        <v>3662</v>
      </c>
      <c r="N2402" t="s">
        <v>3661</v>
      </c>
      <c r="O2402">
        <v>1</v>
      </c>
    </row>
    <row r="2403" spans="2:15" x14ac:dyDescent="0.2">
      <c r="B2403" t="s">
        <v>1433</v>
      </c>
      <c r="C2403" t="s">
        <v>12898</v>
      </c>
      <c r="D2403" t="s">
        <v>621</v>
      </c>
      <c r="E2403" t="s">
        <v>8822</v>
      </c>
      <c r="F2403">
        <v>415.8</v>
      </c>
      <c r="H2403" t="s">
        <v>1665</v>
      </c>
      <c r="L2403" t="s">
        <v>1433</v>
      </c>
      <c r="M2403" t="s">
        <v>3663</v>
      </c>
      <c r="N2403" t="s">
        <v>3661</v>
      </c>
      <c r="O2403">
        <v>1</v>
      </c>
    </row>
    <row r="2404" spans="2:15" x14ac:dyDescent="0.2">
      <c r="B2404" t="s">
        <v>1433</v>
      </c>
      <c r="C2404" t="s">
        <v>12898</v>
      </c>
      <c r="D2404" t="s">
        <v>621</v>
      </c>
      <c r="E2404" t="s">
        <v>8823</v>
      </c>
      <c r="F2404">
        <v>64.8</v>
      </c>
      <c r="H2404" t="s">
        <v>1771</v>
      </c>
      <c r="L2404" t="s">
        <v>1433</v>
      </c>
      <c r="M2404" t="s">
        <v>3664</v>
      </c>
      <c r="N2404" t="s">
        <v>3665</v>
      </c>
      <c r="O2404">
        <v>50</v>
      </c>
    </row>
    <row r="2405" spans="2:15" x14ac:dyDescent="0.2">
      <c r="B2405" t="s">
        <v>1433</v>
      </c>
      <c r="C2405" t="s">
        <v>12898</v>
      </c>
      <c r="D2405" t="s">
        <v>617</v>
      </c>
      <c r="E2405" t="s">
        <v>8824</v>
      </c>
      <c r="F2405">
        <v>27.88</v>
      </c>
      <c r="H2405" t="s">
        <v>1626</v>
      </c>
      <c r="L2405" t="s">
        <v>1433</v>
      </c>
      <c r="M2405" t="s">
        <v>3666</v>
      </c>
      <c r="N2405" t="s">
        <v>3667</v>
      </c>
      <c r="O2405">
        <v>30</v>
      </c>
    </row>
    <row r="2406" spans="2:15" x14ac:dyDescent="0.2">
      <c r="B2406" t="s">
        <v>1433</v>
      </c>
      <c r="C2406" t="s">
        <v>12898</v>
      </c>
      <c r="D2406" t="s">
        <v>617</v>
      </c>
      <c r="E2406" t="s">
        <v>8825</v>
      </c>
      <c r="F2406">
        <v>90.72</v>
      </c>
      <c r="H2406" t="s">
        <v>1627</v>
      </c>
      <c r="L2406" t="s">
        <v>1433</v>
      </c>
      <c r="M2406" t="s">
        <v>3668</v>
      </c>
      <c r="N2406" t="s">
        <v>3669</v>
      </c>
      <c r="O2406">
        <v>1</v>
      </c>
    </row>
    <row r="2407" spans="2:15" x14ac:dyDescent="0.2">
      <c r="B2407" t="s">
        <v>1433</v>
      </c>
      <c r="C2407" t="s">
        <v>12898</v>
      </c>
      <c r="D2407" t="s">
        <v>617</v>
      </c>
      <c r="E2407" t="s">
        <v>8826</v>
      </c>
      <c r="F2407">
        <v>4.9000000000000004</v>
      </c>
      <c r="H2407" t="s">
        <v>1629</v>
      </c>
      <c r="L2407" t="s">
        <v>1433</v>
      </c>
      <c r="M2407" t="s">
        <v>1462</v>
      </c>
      <c r="N2407" t="s">
        <v>3670</v>
      </c>
      <c r="O2407">
        <v>1</v>
      </c>
    </row>
    <row r="2408" spans="2:15" x14ac:dyDescent="0.2">
      <c r="B2408" t="s">
        <v>1433</v>
      </c>
      <c r="C2408" t="s">
        <v>12898</v>
      </c>
      <c r="D2408" t="s">
        <v>617</v>
      </c>
      <c r="E2408" t="s">
        <v>8827</v>
      </c>
      <c r="F2408">
        <v>20</v>
      </c>
      <c r="H2408" t="s">
        <v>8828</v>
      </c>
      <c r="L2408" t="s">
        <v>1433</v>
      </c>
      <c r="M2408" t="s">
        <v>3671</v>
      </c>
      <c r="N2408" t="s">
        <v>3672</v>
      </c>
      <c r="O2408">
        <v>50</v>
      </c>
    </row>
    <row r="2409" spans="2:15" x14ac:dyDescent="0.2">
      <c r="B2409" t="s">
        <v>1433</v>
      </c>
      <c r="C2409" t="s">
        <v>12898</v>
      </c>
      <c r="D2409" t="s">
        <v>84</v>
      </c>
      <c r="E2409" t="s">
        <v>8829</v>
      </c>
      <c r="F2409">
        <v>3.2</v>
      </c>
      <c r="H2409" t="s">
        <v>7180</v>
      </c>
      <c r="L2409" t="s">
        <v>1433</v>
      </c>
      <c r="M2409" t="s">
        <v>1387</v>
      </c>
      <c r="N2409" t="s">
        <v>3672</v>
      </c>
      <c r="O2409">
        <v>250</v>
      </c>
    </row>
    <row r="2410" spans="2:15" x14ac:dyDescent="0.2">
      <c r="B2410" t="s">
        <v>1433</v>
      </c>
      <c r="C2410" t="s">
        <v>12898</v>
      </c>
      <c r="D2410" t="s">
        <v>617</v>
      </c>
      <c r="E2410" t="s">
        <v>8830</v>
      </c>
      <c r="F2410">
        <v>29.3</v>
      </c>
      <c r="H2410" t="s">
        <v>8831</v>
      </c>
      <c r="L2410" t="s">
        <v>1433</v>
      </c>
      <c r="M2410" t="s">
        <v>1829</v>
      </c>
      <c r="N2410" t="s">
        <v>3673</v>
      </c>
      <c r="O2410">
        <v>200</v>
      </c>
    </row>
    <row r="2411" spans="2:15" x14ac:dyDescent="0.2">
      <c r="B2411" t="s">
        <v>1433</v>
      </c>
      <c r="C2411" t="s">
        <v>12898</v>
      </c>
      <c r="D2411" t="s">
        <v>617</v>
      </c>
      <c r="E2411" t="s">
        <v>8832</v>
      </c>
      <c r="F2411">
        <v>0.62</v>
      </c>
      <c r="H2411" t="s">
        <v>6570</v>
      </c>
      <c r="L2411" t="s">
        <v>1433</v>
      </c>
      <c r="M2411" t="s">
        <v>3666</v>
      </c>
      <c r="N2411" t="s">
        <v>3674</v>
      </c>
      <c r="O2411">
        <v>32</v>
      </c>
    </row>
    <row r="2412" spans="2:15" x14ac:dyDescent="0.2">
      <c r="B2412" t="s">
        <v>1433</v>
      </c>
      <c r="C2412" t="s">
        <v>12898</v>
      </c>
      <c r="D2412" t="s">
        <v>84</v>
      </c>
      <c r="E2412" t="s">
        <v>8833</v>
      </c>
      <c r="F2412">
        <v>108.08</v>
      </c>
      <c r="H2412" t="s">
        <v>8834</v>
      </c>
      <c r="L2412" t="s">
        <v>1433</v>
      </c>
      <c r="M2412" t="s">
        <v>3675</v>
      </c>
      <c r="N2412" t="s">
        <v>3676</v>
      </c>
      <c r="O2412">
        <v>8</v>
      </c>
    </row>
    <row r="2413" spans="2:15" x14ac:dyDescent="0.2">
      <c r="B2413" t="s">
        <v>1433</v>
      </c>
      <c r="C2413" t="s">
        <v>12898</v>
      </c>
      <c r="D2413" t="s">
        <v>52</v>
      </c>
      <c r="E2413" t="s">
        <v>8835</v>
      </c>
      <c r="F2413">
        <v>91.7</v>
      </c>
      <c r="H2413" t="s">
        <v>8836</v>
      </c>
      <c r="L2413" t="s">
        <v>1433</v>
      </c>
      <c r="M2413" t="s">
        <v>3677</v>
      </c>
      <c r="N2413" t="s">
        <v>3678</v>
      </c>
      <c r="O2413">
        <v>1</v>
      </c>
    </row>
    <row r="2414" spans="2:15" x14ac:dyDescent="0.2">
      <c r="B2414" t="s">
        <v>1433</v>
      </c>
      <c r="C2414" t="s">
        <v>12898</v>
      </c>
      <c r="D2414" t="s">
        <v>621</v>
      </c>
      <c r="E2414" t="s">
        <v>8837</v>
      </c>
      <c r="F2414">
        <v>8.77</v>
      </c>
      <c r="H2414" t="s">
        <v>8838</v>
      </c>
      <c r="L2414" t="s">
        <v>1433</v>
      </c>
      <c r="M2414" t="s">
        <v>3675</v>
      </c>
      <c r="N2414" t="s">
        <v>3679</v>
      </c>
      <c r="O2414">
        <v>8</v>
      </c>
    </row>
    <row r="2415" spans="2:15" x14ac:dyDescent="0.2">
      <c r="B2415" t="s">
        <v>1433</v>
      </c>
      <c r="C2415" t="s">
        <v>12898</v>
      </c>
      <c r="D2415" t="s">
        <v>621</v>
      </c>
      <c r="E2415" t="s">
        <v>8839</v>
      </c>
      <c r="F2415">
        <v>13.82</v>
      </c>
      <c r="H2415" t="s">
        <v>6563</v>
      </c>
      <c r="L2415" t="s">
        <v>1433</v>
      </c>
      <c r="M2415" t="s">
        <v>3680</v>
      </c>
      <c r="N2415" t="s">
        <v>3681</v>
      </c>
      <c r="O2415">
        <v>1</v>
      </c>
    </row>
    <row r="2416" spans="2:15" x14ac:dyDescent="0.2">
      <c r="B2416" t="s">
        <v>1433</v>
      </c>
      <c r="C2416" t="s">
        <v>12898</v>
      </c>
      <c r="D2416" t="s">
        <v>621</v>
      </c>
      <c r="E2416" t="s">
        <v>8840</v>
      </c>
      <c r="F2416">
        <v>31.21</v>
      </c>
      <c r="H2416" t="s">
        <v>8841</v>
      </c>
      <c r="L2416" t="s">
        <v>1433</v>
      </c>
      <c r="M2416" t="s">
        <v>3682</v>
      </c>
      <c r="N2416" t="s">
        <v>3681</v>
      </c>
      <c r="O2416">
        <v>1</v>
      </c>
    </row>
    <row r="2417" spans="2:15" x14ac:dyDescent="0.2">
      <c r="B2417" t="s">
        <v>1433</v>
      </c>
      <c r="C2417" t="s">
        <v>12898</v>
      </c>
      <c r="D2417" t="s">
        <v>621</v>
      </c>
      <c r="E2417" t="s">
        <v>8842</v>
      </c>
      <c r="F2417">
        <v>8.65</v>
      </c>
      <c r="H2417" t="s">
        <v>1676</v>
      </c>
      <c r="L2417" t="s">
        <v>1433</v>
      </c>
      <c r="M2417" t="s">
        <v>3683</v>
      </c>
      <c r="N2417" t="s">
        <v>3684</v>
      </c>
      <c r="O2417">
        <v>1</v>
      </c>
    </row>
    <row r="2418" spans="2:15" x14ac:dyDescent="0.2">
      <c r="B2418" t="s">
        <v>1433</v>
      </c>
      <c r="C2418" t="s">
        <v>12898</v>
      </c>
      <c r="D2418" t="s">
        <v>621</v>
      </c>
      <c r="E2418" t="s">
        <v>8843</v>
      </c>
      <c r="F2418">
        <v>6.72</v>
      </c>
      <c r="H2418" t="s">
        <v>6863</v>
      </c>
      <c r="L2418" t="s">
        <v>1433</v>
      </c>
      <c r="M2418" t="s">
        <v>3685</v>
      </c>
      <c r="N2418" t="s">
        <v>3686</v>
      </c>
      <c r="O2418">
        <v>1</v>
      </c>
    </row>
    <row r="2419" spans="2:15" x14ac:dyDescent="0.2">
      <c r="B2419" t="s">
        <v>1433</v>
      </c>
      <c r="C2419" t="s">
        <v>12898</v>
      </c>
      <c r="D2419" t="s">
        <v>621</v>
      </c>
      <c r="E2419" t="s">
        <v>8844</v>
      </c>
      <c r="F2419">
        <v>3.19</v>
      </c>
      <c r="H2419" t="s">
        <v>7978</v>
      </c>
      <c r="L2419" t="s">
        <v>1433</v>
      </c>
      <c r="M2419" t="s">
        <v>3687</v>
      </c>
      <c r="N2419" t="s">
        <v>3686</v>
      </c>
      <c r="O2419">
        <v>1</v>
      </c>
    </row>
    <row r="2420" spans="2:15" x14ac:dyDescent="0.2">
      <c r="B2420" t="s">
        <v>1433</v>
      </c>
      <c r="C2420" t="s">
        <v>12898</v>
      </c>
      <c r="D2420" t="s">
        <v>621</v>
      </c>
      <c r="E2420" t="s">
        <v>8845</v>
      </c>
      <c r="F2420">
        <v>31.27</v>
      </c>
      <c r="H2420" t="s">
        <v>1767</v>
      </c>
      <c r="L2420" t="s">
        <v>1433</v>
      </c>
      <c r="M2420" t="s">
        <v>3688</v>
      </c>
      <c r="N2420" t="s">
        <v>3689</v>
      </c>
      <c r="O2420">
        <v>4</v>
      </c>
    </row>
    <row r="2421" spans="2:15" x14ac:dyDescent="0.2">
      <c r="B2421" t="s">
        <v>1433</v>
      </c>
      <c r="C2421" t="s">
        <v>12898</v>
      </c>
      <c r="D2421" t="s">
        <v>621</v>
      </c>
      <c r="E2421" t="s">
        <v>8846</v>
      </c>
      <c r="F2421">
        <v>69.48</v>
      </c>
      <c r="H2421" t="s">
        <v>1767</v>
      </c>
      <c r="L2421" t="s">
        <v>1433</v>
      </c>
      <c r="M2421" t="s">
        <v>3690</v>
      </c>
      <c r="N2421" t="s">
        <v>3691</v>
      </c>
      <c r="O2421">
        <v>1</v>
      </c>
    </row>
    <row r="2422" spans="2:15" x14ac:dyDescent="0.2">
      <c r="B2422" t="s">
        <v>1433</v>
      </c>
      <c r="C2422" t="s">
        <v>12898</v>
      </c>
      <c r="D2422" t="s">
        <v>621</v>
      </c>
      <c r="E2422" t="s">
        <v>8847</v>
      </c>
      <c r="F2422">
        <v>8.0399999999999991</v>
      </c>
      <c r="H2422" t="s">
        <v>7978</v>
      </c>
      <c r="L2422" t="s">
        <v>1433</v>
      </c>
      <c r="M2422" t="s">
        <v>3692</v>
      </c>
      <c r="N2422" t="s">
        <v>3693</v>
      </c>
      <c r="O2422">
        <v>2</v>
      </c>
    </row>
    <row r="2423" spans="2:15" x14ac:dyDescent="0.2">
      <c r="B2423" t="s">
        <v>1433</v>
      </c>
      <c r="C2423" t="s">
        <v>12898</v>
      </c>
      <c r="D2423" t="s">
        <v>621</v>
      </c>
      <c r="E2423" t="s">
        <v>8848</v>
      </c>
      <c r="F2423">
        <v>47.76</v>
      </c>
      <c r="H2423" t="s">
        <v>7455</v>
      </c>
      <c r="L2423" t="s">
        <v>1433</v>
      </c>
      <c r="M2423" t="s">
        <v>3694</v>
      </c>
      <c r="N2423" t="s">
        <v>3695</v>
      </c>
      <c r="O2423">
        <v>1</v>
      </c>
    </row>
    <row r="2424" spans="2:15" x14ac:dyDescent="0.2">
      <c r="B2424" t="s">
        <v>1433</v>
      </c>
      <c r="C2424" t="s">
        <v>12898</v>
      </c>
      <c r="D2424" t="s">
        <v>621</v>
      </c>
      <c r="E2424" t="s">
        <v>8849</v>
      </c>
      <c r="F2424">
        <v>5.54</v>
      </c>
      <c r="H2424" t="s">
        <v>8850</v>
      </c>
      <c r="L2424" t="s">
        <v>1433</v>
      </c>
      <c r="M2424" t="s">
        <v>3696</v>
      </c>
      <c r="N2424" t="s">
        <v>3697</v>
      </c>
      <c r="O2424">
        <v>1</v>
      </c>
    </row>
    <row r="2425" spans="2:15" x14ac:dyDescent="0.2">
      <c r="B2425" t="s">
        <v>1433</v>
      </c>
      <c r="C2425" t="s">
        <v>12898</v>
      </c>
      <c r="D2425" t="s">
        <v>621</v>
      </c>
      <c r="E2425" t="s">
        <v>8851</v>
      </c>
      <c r="F2425">
        <v>35.82</v>
      </c>
      <c r="H2425" t="s">
        <v>7455</v>
      </c>
      <c r="L2425" t="s">
        <v>1433</v>
      </c>
      <c r="M2425" t="s">
        <v>3698</v>
      </c>
      <c r="N2425" t="s">
        <v>3697</v>
      </c>
      <c r="O2425">
        <v>1</v>
      </c>
    </row>
    <row r="2426" spans="2:15" x14ac:dyDescent="0.2">
      <c r="B2426" t="s">
        <v>1433</v>
      </c>
      <c r="C2426" t="s">
        <v>12898</v>
      </c>
      <c r="D2426" t="s">
        <v>613</v>
      </c>
      <c r="E2426" t="s">
        <v>8852</v>
      </c>
      <c r="F2426">
        <v>6.38</v>
      </c>
      <c r="H2426" t="s">
        <v>8214</v>
      </c>
      <c r="L2426" t="s">
        <v>1433</v>
      </c>
      <c r="M2426" t="s">
        <v>3699</v>
      </c>
      <c r="N2426" t="s">
        <v>3697</v>
      </c>
      <c r="O2426">
        <v>1</v>
      </c>
    </row>
    <row r="2427" spans="2:15" x14ac:dyDescent="0.2">
      <c r="B2427" t="s">
        <v>1433</v>
      </c>
      <c r="C2427" t="s">
        <v>12898</v>
      </c>
      <c r="D2427" t="s">
        <v>617</v>
      </c>
      <c r="E2427" t="s">
        <v>8853</v>
      </c>
      <c r="F2427">
        <v>45.36</v>
      </c>
      <c r="H2427" t="s">
        <v>1627</v>
      </c>
      <c r="L2427" t="s">
        <v>1433</v>
      </c>
      <c r="M2427" t="s">
        <v>3700</v>
      </c>
      <c r="N2427" t="s">
        <v>3697</v>
      </c>
      <c r="O2427">
        <v>1</v>
      </c>
    </row>
    <row r="2428" spans="2:15" x14ac:dyDescent="0.2">
      <c r="B2428" t="s">
        <v>1433</v>
      </c>
      <c r="C2428" t="s">
        <v>12898</v>
      </c>
      <c r="D2428" t="s">
        <v>617</v>
      </c>
      <c r="E2428" t="s">
        <v>8854</v>
      </c>
      <c r="F2428">
        <v>7</v>
      </c>
      <c r="H2428" t="s">
        <v>1629</v>
      </c>
      <c r="L2428" t="s">
        <v>1433</v>
      </c>
      <c r="M2428" t="s">
        <v>3701</v>
      </c>
      <c r="N2428" t="s">
        <v>3697</v>
      </c>
      <c r="O2428">
        <v>1</v>
      </c>
    </row>
    <row r="2429" spans="2:15" x14ac:dyDescent="0.2">
      <c r="B2429" t="s">
        <v>1433</v>
      </c>
      <c r="C2429" t="s">
        <v>12898</v>
      </c>
      <c r="D2429" t="s">
        <v>554</v>
      </c>
      <c r="E2429" t="s">
        <v>8855</v>
      </c>
      <c r="F2429">
        <v>74.7</v>
      </c>
      <c r="H2429" t="s">
        <v>6377</v>
      </c>
      <c r="L2429" t="s">
        <v>1433</v>
      </c>
      <c r="M2429" t="s">
        <v>3702</v>
      </c>
      <c r="N2429" t="s">
        <v>3697</v>
      </c>
      <c r="O2429">
        <v>1</v>
      </c>
    </row>
    <row r="2430" spans="2:15" x14ac:dyDescent="0.2">
      <c r="B2430" t="s">
        <v>1433</v>
      </c>
      <c r="C2430" t="s">
        <v>12898</v>
      </c>
      <c r="D2430" t="s">
        <v>613</v>
      </c>
      <c r="E2430" t="s">
        <v>8856</v>
      </c>
      <c r="F2430">
        <v>2.2000000000000002</v>
      </c>
      <c r="H2430" t="s">
        <v>2513</v>
      </c>
      <c r="L2430" t="s">
        <v>1433</v>
      </c>
      <c r="M2430" t="s">
        <v>3703</v>
      </c>
      <c r="N2430" t="s">
        <v>3697</v>
      </c>
      <c r="O2430">
        <v>1</v>
      </c>
    </row>
    <row r="2431" spans="2:15" x14ac:dyDescent="0.2">
      <c r="B2431" t="s">
        <v>1433</v>
      </c>
      <c r="C2431" t="s">
        <v>12898</v>
      </c>
      <c r="D2431" t="s">
        <v>621</v>
      </c>
      <c r="E2431" t="s">
        <v>8857</v>
      </c>
      <c r="F2431">
        <v>33.6</v>
      </c>
      <c r="H2431" t="s">
        <v>6863</v>
      </c>
      <c r="L2431" t="s">
        <v>1433</v>
      </c>
      <c r="M2431" t="s">
        <v>3704</v>
      </c>
      <c r="N2431" t="s">
        <v>3697</v>
      </c>
      <c r="O2431">
        <v>1</v>
      </c>
    </row>
    <row r="2432" spans="2:15" x14ac:dyDescent="0.2">
      <c r="B2432" t="s">
        <v>1433</v>
      </c>
      <c r="C2432" t="s">
        <v>12898</v>
      </c>
      <c r="D2432" t="s">
        <v>621</v>
      </c>
      <c r="E2432" t="s">
        <v>8858</v>
      </c>
      <c r="F2432">
        <v>6.66</v>
      </c>
      <c r="H2432" t="s">
        <v>8859</v>
      </c>
      <c r="L2432" t="s">
        <v>1433</v>
      </c>
      <c r="M2432" t="s">
        <v>3705</v>
      </c>
      <c r="N2432" t="s">
        <v>3697</v>
      </c>
      <c r="O2432">
        <v>1</v>
      </c>
    </row>
    <row r="2433" spans="2:15" x14ac:dyDescent="0.2">
      <c r="B2433" t="s">
        <v>1433</v>
      </c>
      <c r="C2433" t="s">
        <v>12898</v>
      </c>
      <c r="D2433" t="s">
        <v>617</v>
      </c>
      <c r="E2433" t="s">
        <v>8860</v>
      </c>
      <c r="F2433">
        <v>1.95</v>
      </c>
      <c r="H2433" t="s">
        <v>7619</v>
      </c>
      <c r="L2433" t="s">
        <v>1433</v>
      </c>
      <c r="M2433" t="s">
        <v>3706</v>
      </c>
      <c r="N2433" t="s">
        <v>3697</v>
      </c>
      <c r="O2433">
        <v>1</v>
      </c>
    </row>
    <row r="2434" spans="2:15" x14ac:dyDescent="0.2">
      <c r="B2434" t="s">
        <v>1433</v>
      </c>
      <c r="C2434" t="s">
        <v>12898</v>
      </c>
      <c r="D2434" t="s">
        <v>617</v>
      </c>
      <c r="E2434" t="s">
        <v>8861</v>
      </c>
      <c r="F2434">
        <v>14.08</v>
      </c>
      <c r="H2434" t="s">
        <v>5395</v>
      </c>
      <c r="L2434" t="s">
        <v>1433</v>
      </c>
      <c r="M2434" t="s">
        <v>3707</v>
      </c>
      <c r="N2434" t="s">
        <v>3708</v>
      </c>
      <c r="O2434">
        <v>1</v>
      </c>
    </row>
    <row r="2435" spans="2:15" x14ac:dyDescent="0.2">
      <c r="B2435" t="s">
        <v>1433</v>
      </c>
      <c r="C2435" t="s">
        <v>12898</v>
      </c>
      <c r="D2435" t="s">
        <v>617</v>
      </c>
      <c r="E2435" t="s">
        <v>8862</v>
      </c>
      <c r="F2435">
        <v>15.9</v>
      </c>
      <c r="H2435" t="s">
        <v>7931</v>
      </c>
      <c r="L2435" t="s">
        <v>1433</v>
      </c>
      <c r="M2435" t="s">
        <v>3709</v>
      </c>
      <c r="N2435" t="s">
        <v>3708</v>
      </c>
      <c r="O2435">
        <v>1</v>
      </c>
    </row>
    <row r="2436" spans="2:15" x14ac:dyDescent="0.2">
      <c r="B2436" t="s">
        <v>1433</v>
      </c>
      <c r="C2436" t="s">
        <v>12898</v>
      </c>
      <c r="D2436" t="s">
        <v>84</v>
      </c>
      <c r="E2436" t="s">
        <v>8863</v>
      </c>
      <c r="F2436">
        <v>2.63</v>
      </c>
      <c r="H2436" t="s">
        <v>6484</v>
      </c>
      <c r="L2436" t="s">
        <v>1433</v>
      </c>
      <c r="M2436" t="s">
        <v>3710</v>
      </c>
      <c r="N2436" t="s">
        <v>3708</v>
      </c>
      <c r="O2436">
        <v>1</v>
      </c>
    </row>
    <row r="2437" spans="2:15" x14ac:dyDescent="0.2">
      <c r="B2437" t="s">
        <v>1433</v>
      </c>
      <c r="C2437" t="s">
        <v>12898</v>
      </c>
      <c r="D2437" t="s">
        <v>621</v>
      </c>
      <c r="E2437" t="s">
        <v>8864</v>
      </c>
      <c r="F2437">
        <v>15.23</v>
      </c>
      <c r="H2437" t="s">
        <v>7985</v>
      </c>
      <c r="L2437" t="s">
        <v>1433</v>
      </c>
      <c r="M2437" t="s">
        <v>3711</v>
      </c>
      <c r="N2437" t="s">
        <v>3708</v>
      </c>
      <c r="O2437">
        <v>1</v>
      </c>
    </row>
    <row r="2438" spans="2:15" x14ac:dyDescent="0.2">
      <c r="B2438" t="s">
        <v>1433</v>
      </c>
      <c r="C2438" t="s">
        <v>12898</v>
      </c>
      <c r="D2438" t="s">
        <v>52</v>
      </c>
      <c r="E2438" t="s">
        <v>8865</v>
      </c>
      <c r="F2438">
        <v>26.2</v>
      </c>
      <c r="H2438" t="s">
        <v>8836</v>
      </c>
      <c r="L2438" t="s">
        <v>1433</v>
      </c>
      <c r="M2438" t="s">
        <v>3712</v>
      </c>
      <c r="N2438" t="s">
        <v>3708</v>
      </c>
      <c r="O2438">
        <v>1</v>
      </c>
    </row>
    <row r="2439" spans="2:15" x14ac:dyDescent="0.2">
      <c r="B2439" t="s">
        <v>1433</v>
      </c>
      <c r="C2439" t="s">
        <v>12898</v>
      </c>
      <c r="D2439" t="s">
        <v>621</v>
      </c>
      <c r="E2439" t="s">
        <v>8866</v>
      </c>
      <c r="F2439">
        <v>404.31</v>
      </c>
      <c r="H2439" t="s">
        <v>6645</v>
      </c>
      <c r="L2439" t="s">
        <v>1433</v>
      </c>
      <c r="M2439" t="s">
        <v>3713</v>
      </c>
      <c r="N2439" t="s">
        <v>3708</v>
      </c>
      <c r="O2439">
        <v>1</v>
      </c>
    </row>
    <row r="2440" spans="2:15" x14ac:dyDescent="0.2">
      <c r="B2440" t="s">
        <v>1433</v>
      </c>
      <c r="C2440" t="s">
        <v>12898</v>
      </c>
      <c r="D2440" t="s">
        <v>621</v>
      </c>
      <c r="E2440" t="s">
        <v>8867</v>
      </c>
      <c r="F2440">
        <v>102.24</v>
      </c>
      <c r="H2440" t="s">
        <v>1675</v>
      </c>
      <c r="L2440" t="s">
        <v>1433</v>
      </c>
      <c r="M2440" t="s">
        <v>3714</v>
      </c>
      <c r="N2440" t="s">
        <v>3708</v>
      </c>
      <c r="O2440">
        <v>1</v>
      </c>
    </row>
    <row r="2441" spans="2:15" x14ac:dyDescent="0.2">
      <c r="B2441" t="s">
        <v>1433</v>
      </c>
      <c r="C2441" t="s">
        <v>12898</v>
      </c>
      <c r="D2441" t="s">
        <v>621</v>
      </c>
      <c r="E2441" t="s">
        <v>8868</v>
      </c>
      <c r="F2441">
        <v>16.62</v>
      </c>
      <c r="H2441" t="s">
        <v>8850</v>
      </c>
      <c r="L2441" t="s">
        <v>1433</v>
      </c>
      <c r="M2441" t="s">
        <v>3715</v>
      </c>
      <c r="N2441" t="s">
        <v>3708</v>
      </c>
      <c r="O2441">
        <v>1</v>
      </c>
    </row>
    <row r="2442" spans="2:15" x14ac:dyDescent="0.2">
      <c r="B2442" t="s">
        <v>1433</v>
      </c>
      <c r="C2442" t="s">
        <v>12898</v>
      </c>
      <c r="D2442" t="s">
        <v>621</v>
      </c>
      <c r="E2442" t="s">
        <v>8869</v>
      </c>
      <c r="F2442">
        <v>164.4</v>
      </c>
      <c r="H2442" t="s">
        <v>1671</v>
      </c>
      <c r="L2442" t="s">
        <v>1433</v>
      </c>
      <c r="M2442" t="s">
        <v>3716</v>
      </c>
      <c r="N2442" t="s">
        <v>3708</v>
      </c>
      <c r="O2442">
        <v>1</v>
      </c>
    </row>
    <row r="2443" spans="2:15" x14ac:dyDescent="0.2">
      <c r="B2443" t="s">
        <v>1433</v>
      </c>
      <c r="C2443" t="s">
        <v>12898</v>
      </c>
      <c r="D2443" t="s">
        <v>621</v>
      </c>
      <c r="E2443" t="s">
        <v>8870</v>
      </c>
      <c r="F2443">
        <v>673.85</v>
      </c>
      <c r="H2443" t="s">
        <v>6645</v>
      </c>
      <c r="L2443" t="s">
        <v>1433</v>
      </c>
      <c r="M2443" t="s">
        <v>3717</v>
      </c>
      <c r="N2443" t="s">
        <v>3708</v>
      </c>
      <c r="O2443">
        <v>1</v>
      </c>
    </row>
    <row r="2444" spans="2:15" x14ac:dyDescent="0.2">
      <c r="B2444" t="s">
        <v>1433</v>
      </c>
      <c r="C2444" t="s">
        <v>12898</v>
      </c>
      <c r="D2444" t="s">
        <v>621</v>
      </c>
      <c r="E2444" t="s">
        <v>8871</v>
      </c>
      <c r="F2444">
        <v>233.08</v>
      </c>
      <c r="H2444" t="s">
        <v>8021</v>
      </c>
      <c r="L2444" t="s">
        <v>1433</v>
      </c>
      <c r="M2444" t="s">
        <v>3718</v>
      </c>
      <c r="N2444" t="s">
        <v>3719</v>
      </c>
      <c r="O2444">
        <v>1</v>
      </c>
    </row>
    <row r="2445" spans="2:15" x14ac:dyDescent="0.2">
      <c r="B2445" t="s">
        <v>1433</v>
      </c>
      <c r="C2445" t="s">
        <v>12898</v>
      </c>
      <c r="D2445" t="s">
        <v>621</v>
      </c>
      <c r="E2445" t="s">
        <v>8872</v>
      </c>
      <c r="F2445">
        <v>33.26</v>
      </c>
      <c r="H2445" t="s">
        <v>7613</v>
      </c>
      <c r="L2445" t="s">
        <v>1433</v>
      </c>
      <c r="M2445" t="s">
        <v>3720</v>
      </c>
      <c r="N2445" t="s">
        <v>3665</v>
      </c>
      <c r="O2445">
        <v>1</v>
      </c>
    </row>
    <row r="2446" spans="2:15" x14ac:dyDescent="0.2">
      <c r="B2446" t="s">
        <v>1433</v>
      </c>
      <c r="C2446" t="s">
        <v>12898</v>
      </c>
      <c r="D2446" t="s">
        <v>621</v>
      </c>
      <c r="E2446" t="s">
        <v>8873</v>
      </c>
      <c r="F2446">
        <v>75.84</v>
      </c>
      <c r="H2446" t="s">
        <v>8874</v>
      </c>
      <c r="L2446" t="s">
        <v>1433</v>
      </c>
      <c r="M2446" t="s">
        <v>2330</v>
      </c>
      <c r="N2446" t="s">
        <v>3665</v>
      </c>
      <c r="O2446">
        <v>1</v>
      </c>
    </row>
    <row r="2447" spans="2:15" x14ac:dyDescent="0.2">
      <c r="B2447" t="s">
        <v>1433</v>
      </c>
      <c r="C2447" t="s">
        <v>12898</v>
      </c>
      <c r="D2447" t="s">
        <v>617</v>
      </c>
      <c r="E2447" t="s">
        <v>8875</v>
      </c>
      <c r="F2447">
        <v>7.92</v>
      </c>
      <c r="H2447" t="s">
        <v>1624</v>
      </c>
      <c r="L2447" t="s">
        <v>1433</v>
      </c>
      <c r="M2447" t="s">
        <v>3721</v>
      </c>
      <c r="N2447" t="s">
        <v>3722</v>
      </c>
      <c r="O2447">
        <v>1</v>
      </c>
    </row>
    <row r="2448" spans="2:15" x14ac:dyDescent="0.2">
      <c r="B2448" t="s">
        <v>1433</v>
      </c>
      <c r="C2448" t="s">
        <v>12898</v>
      </c>
      <c r="D2448" t="s">
        <v>617</v>
      </c>
      <c r="E2448" t="s">
        <v>8876</v>
      </c>
      <c r="F2448">
        <v>5</v>
      </c>
      <c r="H2448" t="s">
        <v>1628</v>
      </c>
      <c r="L2448" t="s">
        <v>1433</v>
      </c>
      <c r="M2448" t="s">
        <v>3723</v>
      </c>
      <c r="N2448" t="s">
        <v>3724</v>
      </c>
      <c r="O2448">
        <v>1</v>
      </c>
    </row>
    <row r="2449" spans="2:15" x14ac:dyDescent="0.2">
      <c r="B2449" t="s">
        <v>1433</v>
      </c>
      <c r="C2449" t="s">
        <v>12898</v>
      </c>
      <c r="D2449" t="s">
        <v>621</v>
      </c>
      <c r="E2449" t="s">
        <v>8877</v>
      </c>
      <c r="F2449">
        <v>5.49</v>
      </c>
      <c r="H2449" t="s">
        <v>7590</v>
      </c>
      <c r="L2449" t="s">
        <v>1433</v>
      </c>
      <c r="M2449" t="s">
        <v>3725</v>
      </c>
      <c r="N2449" t="s">
        <v>3724</v>
      </c>
      <c r="O2449">
        <v>1</v>
      </c>
    </row>
    <row r="2450" spans="2:15" x14ac:dyDescent="0.2">
      <c r="B2450" t="s">
        <v>1433</v>
      </c>
      <c r="C2450" t="s">
        <v>12898</v>
      </c>
      <c r="D2450" t="s">
        <v>621</v>
      </c>
      <c r="E2450" t="s">
        <v>8878</v>
      </c>
      <c r="F2450">
        <v>39.6</v>
      </c>
      <c r="H2450" t="s">
        <v>8879</v>
      </c>
      <c r="L2450" t="s">
        <v>1433</v>
      </c>
      <c r="M2450" t="s">
        <v>3726</v>
      </c>
      <c r="N2450" t="s">
        <v>3727</v>
      </c>
      <c r="O2450">
        <v>1</v>
      </c>
    </row>
    <row r="2451" spans="2:15" x14ac:dyDescent="0.2">
      <c r="B2451" t="s">
        <v>1433</v>
      </c>
      <c r="C2451" t="s">
        <v>12898</v>
      </c>
      <c r="D2451" t="s">
        <v>613</v>
      </c>
      <c r="E2451" t="s">
        <v>8880</v>
      </c>
      <c r="F2451">
        <v>5.6</v>
      </c>
      <c r="H2451" t="s">
        <v>7674</v>
      </c>
      <c r="L2451" t="s">
        <v>1433</v>
      </c>
      <c r="M2451" t="s">
        <v>3728</v>
      </c>
      <c r="N2451" t="s">
        <v>3729</v>
      </c>
      <c r="O2451">
        <v>1</v>
      </c>
    </row>
    <row r="2452" spans="2:15" x14ac:dyDescent="0.2">
      <c r="B2452" t="s">
        <v>1433</v>
      </c>
      <c r="C2452" t="s">
        <v>12898</v>
      </c>
      <c r="D2452" t="s">
        <v>613</v>
      </c>
      <c r="E2452" t="s">
        <v>8881</v>
      </c>
      <c r="F2452">
        <v>15</v>
      </c>
      <c r="H2452" t="s">
        <v>2514</v>
      </c>
      <c r="L2452" t="s">
        <v>1433</v>
      </c>
      <c r="M2452" t="s">
        <v>3666</v>
      </c>
      <c r="N2452" t="s">
        <v>3730</v>
      </c>
      <c r="O2452">
        <v>4</v>
      </c>
    </row>
    <row r="2453" spans="2:15" x14ac:dyDescent="0.2">
      <c r="B2453" t="s">
        <v>1433</v>
      </c>
      <c r="C2453" t="s">
        <v>12898</v>
      </c>
      <c r="D2453" t="s">
        <v>613</v>
      </c>
      <c r="E2453" t="s">
        <v>8882</v>
      </c>
      <c r="F2453">
        <v>2.16</v>
      </c>
      <c r="H2453" t="s">
        <v>8883</v>
      </c>
      <c r="L2453" t="s">
        <v>1433</v>
      </c>
      <c r="M2453" t="s">
        <v>3731</v>
      </c>
      <c r="N2453" t="s">
        <v>1414</v>
      </c>
      <c r="O2453">
        <v>1</v>
      </c>
    </row>
    <row r="2454" spans="2:15" x14ac:dyDescent="0.2">
      <c r="B2454" t="s">
        <v>1433</v>
      </c>
      <c r="C2454" t="s">
        <v>12898</v>
      </c>
      <c r="D2454" t="s">
        <v>613</v>
      </c>
      <c r="E2454" t="s">
        <v>8884</v>
      </c>
      <c r="F2454">
        <v>3.19</v>
      </c>
      <c r="H2454" t="s">
        <v>8214</v>
      </c>
      <c r="L2454" t="s">
        <v>1433</v>
      </c>
      <c r="M2454" t="s">
        <v>3732</v>
      </c>
      <c r="N2454" t="s">
        <v>3733</v>
      </c>
      <c r="O2454">
        <v>1</v>
      </c>
    </row>
    <row r="2455" spans="2:15" x14ac:dyDescent="0.2">
      <c r="B2455" t="s">
        <v>1433</v>
      </c>
      <c r="C2455" t="s">
        <v>12898</v>
      </c>
      <c r="D2455" t="s">
        <v>621</v>
      </c>
      <c r="E2455" t="s">
        <v>8885</v>
      </c>
      <c r="F2455">
        <v>67.930000000000007</v>
      </c>
      <c r="H2455" t="s">
        <v>1889</v>
      </c>
      <c r="L2455" t="s">
        <v>1433</v>
      </c>
      <c r="M2455" t="s">
        <v>3734</v>
      </c>
      <c r="N2455" t="s">
        <v>3733</v>
      </c>
      <c r="O2455">
        <v>1</v>
      </c>
    </row>
    <row r="2456" spans="2:15" x14ac:dyDescent="0.2">
      <c r="B2456" t="s">
        <v>1433</v>
      </c>
      <c r="C2456" t="s">
        <v>12898</v>
      </c>
      <c r="D2456" t="s">
        <v>621</v>
      </c>
      <c r="E2456" t="s">
        <v>8886</v>
      </c>
      <c r="F2456">
        <v>25.11</v>
      </c>
      <c r="H2456" t="s">
        <v>7995</v>
      </c>
      <c r="L2456" t="s">
        <v>1433</v>
      </c>
      <c r="M2456" t="s">
        <v>3735</v>
      </c>
      <c r="N2456" t="s">
        <v>3736</v>
      </c>
      <c r="O2456">
        <v>1</v>
      </c>
    </row>
    <row r="2457" spans="2:15" x14ac:dyDescent="0.2">
      <c r="B2457" t="s">
        <v>1433</v>
      </c>
      <c r="C2457" t="s">
        <v>12898</v>
      </c>
      <c r="D2457" t="s">
        <v>621</v>
      </c>
      <c r="E2457" t="s">
        <v>8887</v>
      </c>
      <c r="F2457">
        <v>11.94</v>
      </c>
      <c r="H2457" t="s">
        <v>7455</v>
      </c>
      <c r="L2457" t="s">
        <v>1433</v>
      </c>
      <c r="M2457" t="s">
        <v>3737</v>
      </c>
      <c r="N2457" t="s">
        <v>3736</v>
      </c>
      <c r="O2457">
        <v>1</v>
      </c>
    </row>
    <row r="2458" spans="2:15" x14ac:dyDescent="0.2">
      <c r="B2458" t="s">
        <v>1433</v>
      </c>
      <c r="C2458" t="s">
        <v>12898</v>
      </c>
      <c r="D2458" t="s">
        <v>621</v>
      </c>
      <c r="E2458" t="s">
        <v>8888</v>
      </c>
      <c r="F2458">
        <v>31.68</v>
      </c>
      <c r="H2458" t="s">
        <v>6552</v>
      </c>
      <c r="L2458" t="s">
        <v>1433</v>
      </c>
      <c r="M2458" t="s">
        <v>3738</v>
      </c>
      <c r="N2458" t="s">
        <v>3736</v>
      </c>
      <c r="O2458">
        <v>1</v>
      </c>
    </row>
    <row r="2459" spans="2:15" x14ac:dyDescent="0.2">
      <c r="B2459" t="s">
        <v>1433</v>
      </c>
      <c r="C2459" t="s">
        <v>12898</v>
      </c>
      <c r="D2459" t="s">
        <v>621</v>
      </c>
      <c r="E2459" t="s">
        <v>8889</v>
      </c>
      <c r="F2459">
        <v>12.6</v>
      </c>
      <c r="H2459" t="s">
        <v>8890</v>
      </c>
      <c r="L2459" t="s">
        <v>1433</v>
      </c>
      <c r="M2459" t="s">
        <v>3739</v>
      </c>
      <c r="N2459" t="s">
        <v>3736</v>
      </c>
      <c r="O2459">
        <v>1</v>
      </c>
    </row>
    <row r="2460" spans="2:15" x14ac:dyDescent="0.2">
      <c r="B2460" t="s">
        <v>1433</v>
      </c>
      <c r="C2460" t="s">
        <v>12898</v>
      </c>
      <c r="D2460" t="s">
        <v>613</v>
      </c>
      <c r="E2460" t="s">
        <v>8891</v>
      </c>
      <c r="F2460">
        <v>3.19</v>
      </c>
      <c r="H2460" t="s">
        <v>8214</v>
      </c>
      <c r="L2460" t="s">
        <v>1433</v>
      </c>
      <c r="M2460" t="s">
        <v>3740</v>
      </c>
      <c r="N2460" t="s">
        <v>3736</v>
      </c>
      <c r="O2460">
        <v>1</v>
      </c>
    </row>
    <row r="2461" spans="2:15" x14ac:dyDescent="0.2">
      <c r="B2461" t="s">
        <v>1433</v>
      </c>
      <c r="C2461" t="s">
        <v>12898</v>
      </c>
      <c r="D2461" t="s">
        <v>621</v>
      </c>
      <c r="E2461" t="s">
        <v>8892</v>
      </c>
      <c r="F2461">
        <v>134.77000000000001</v>
      </c>
      <c r="H2461" t="s">
        <v>6645</v>
      </c>
      <c r="L2461" t="s">
        <v>1433</v>
      </c>
      <c r="M2461" t="s">
        <v>3741</v>
      </c>
      <c r="N2461" t="s">
        <v>3736</v>
      </c>
      <c r="O2461">
        <v>1</v>
      </c>
    </row>
    <row r="2462" spans="2:15" x14ac:dyDescent="0.2">
      <c r="B2462" t="s">
        <v>1433</v>
      </c>
      <c r="C2462" t="s">
        <v>12898</v>
      </c>
      <c r="D2462" t="s">
        <v>621</v>
      </c>
      <c r="E2462" t="s">
        <v>8893</v>
      </c>
      <c r="F2462">
        <v>6.65</v>
      </c>
      <c r="H2462" t="s">
        <v>7613</v>
      </c>
      <c r="L2462" t="s">
        <v>1433</v>
      </c>
      <c r="M2462" t="s">
        <v>3742</v>
      </c>
      <c r="N2462" t="s">
        <v>3736</v>
      </c>
      <c r="O2462">
        <v>1</v>
      </c>
    </row>
    <row r="2463" spans="2:15" x14ac:dyDescent="0.2">
      <c r="B2463" t="s">
        <v>1433</v>
      </c>
      <c r="C2463" t="s">
        <v>12898</v>
      </c>
      <c r="D2463" t="s">
        <v>621</v>
      </c>
      <c r="E2463" t="s">
        <v>8894</v>
      </c>
      <c r="F2463">
        <v>5.0199999999999996</v>
      </c>
      <c r="H2463" t="s">
        <v>7995</v>
      </c>
      <c r="L2463" t="s">
        <v>1433</v>
      </c>
      <c r="M2463" t="s">
        <v>3743</v>
      </c>
      <c r="N2463" t="s">
        <v>3744</v>
      </c>
      <c r="O2463">
        <v>1</v>
      </c>
    </row>
    <row r="2464" spans="2:15" x14ac:dyDescent="0.2">
      <c r="B2464" t="s">
        <v>1433</v>
      </c>
      <c r="C2464" t="s">
        <v>12898</v>
      </c>
      <c r="D2464" t="s">
        <v>621</v>
      </c>
      <c r="E2464" t="s">
        <v>8895</v>
      </c>
      <c r="F2464">
        <v>8.26</v>
      </c>
      <c r="H2464" t="s">
        <v>8896</v>
      </c>
      <c r="L2464" t="s">
        <v>1433</v>
      </c>
      <c r="M2464" t="s">
        <v>3745</v>
      </c>
      <c r="N2464" t="s">
        <v>3744</v>
      </c>
      <c r="O2464">
        <v>1</v>
      </c>
    </row>
    <row r="2465" spans="2:15" x14ac:dyDescent="0.2">
      <c r="B2465" t="s">
        <v>1433</v>
      </c>
      <c r="C2465" t="s">
        <v>12898</v>
      </c>
      <c r="D2465" t="s">
        <v>621</v>
      </c>
      <c r="E2465" t="s">
        <v>8897</v>
      </c>
      <c r="F2465">
        <v>57.79</v>
      </c>
      <c r="H2465" t="s">
        <v>8898</v>
      </c>
      <c r="L2465" t="s">
        <v>1433</v>
      </c>
      <c r="M2465" t="s">
        <v>3746</v>
      </c>
      <c r="N2465" t="s">
        <v>3744</v>
      </c>
      <c r="O2465">
        <v>1</v>
      </c>
    </row>
    <row r="2466" spans="2:15" x14ac:dyDescent="0.2">
      <c r="B2466" t="s">
        <v>1433</v>
      </c>
      <c r="C2466" t="s">
        <v>12898</v>
      </c>
      <c r="D2466" t="s">
        <v>621</v>
      </c>
      <c r="E2466" t="s">
        <v>8899</v>
      </c>
      <c r="F2466">
        <v>1.61</v>
      </c>
      <c r="H2466" t="s">
        <v>6485</v>
      </c>
      <c r="L2466" t="s">
        <v>1433</v>
      </c>
      <c r="M2466" t="s">
        <v>3747</v>
      </c>
      <c r="N2466" t="s">
        <v>3744</v>
      </c>
      <c r="O2466">
        <v>1</v>
      </c>
    </row>
    <row r="2467" spans="2:15" x14ac:dyDescent="0.2">
      <c r="B2467" t="s">
        <v>1433</v>
      </c>
      <c r="C2467" t="s">
        <v>12898</v>
      </c>
      <c r="D2467" t="s">
        <v>617</v>
      </c>
      <c r="E2467" t="s">
        <v>8900</v>
      </c>
      <c r="F2467">
        <v>1.95</v>
      </c>
      <c r="H2467" t="s">
        <v>7619</v>
      </c>
      <c r="L2467" t="s">
        <v>1433</v>
      </c>
      <c r="M2467" t="s">
        <v>3748</v>
      </c>
      <c r="N2467" t="s">
        <v>3744</v>
      </c>
      <c r="O2467">
        <v>1</v>
      </c>
    </row>
    <row r="2468" spans="2:15" x14ac:dyDescent="0.2">
      <c r="B2468" t="s">
        <v>1433</v>
      </c>
      <c r="C2468" t="s">
        <v>12898</v>
      </c>
      <c r="D2468" t="s">
        <v>617</v>
      </c>
      <c r="E2468" t="s">
        <v>8901</v>
      </c>
      <c r="F2468">
        <v>2.81</v>
      </c>
      <c r="H2468" t="s">
        <v>6489</v>
      </c>
      <c r="L2468" t="s">
        <v>1433</v>
      </c>
      <c r="M2468" t="s">
        <v>3749</v>
      </c>
      <c r="N2468" t="s">
        <v>3744</v>
      </c>
      <c r="O2468">
        <v>1</v>
      </c>
    </row>
    <row r="2469" spans="2:15" x14ac:dyDescent="0.2">
      <c r="B2469" t="s">
        <v>1433</v>
      </c>
      <c r="C2469" t="s">
        <v>12898</v>
      </c>
      <c r="D2469" t="s">
        <v>617</v>
      </c>
      <c r="E2469" t="s">
        <v>8902</v>
      </c>
      <c r="F2469">
        <v>3.9</v>
      </c>
      <c r="H2469" t="s">
        <v>7619</v>
      </c>
      <c r="L2469" t="s">
        <v>1433</v>
      </c>
      <c r="M2469" t="s">
        <v>3750</v>
      </c>
      <c r="N2469" t="s">
        <v>3744</v>
      </c>
      <c r="O2469">
        <v>1</v>
      </c>
    </row>
    <row r="2470" spans="2:15" x14ac:dyDescent="0.2">
      <c r="B2470" t="s">
        <v>1433</v>
      </c>
      <c r="C2470" t="s">
        <v>12898</v>
      </c>
      <c r="D2470" t="s">
        <v>617</v>
      </c>
      <c r="E2470" t="s">
        <v>8903</v>
      </c>
      <c r="F2470">
        <v>7.3</v>
      </c>
      <c r="H2470" t="s">
        <v>8904</v>
      </c>
      <c r="L2470" t="s">
        <v>1433</v>
      </c>
      <c r="M2470" t="s">
        <v>3751</v>
      </c>
      <c r="N2470" t="s">
        <v>3744</v>
      </c>
      <c r="O2470">
        <v>1</v>
      </c>
    </row>
    <row r="2471" spans="2:15" x14ac:dyDescent="0.2">
      <c r="B2471" t="s">
        <v>1433</v>
      </c>
      <c r="C2471" t="s">
        <v>12898</v>
      </c>
      <c r="D2471" t="s">
        <v>617</v>
      </c>
      <c r="E2471" t="s">
        <v>8905</v>
      </c>
      <c r="F2471">
        <v>2.2000000000000002</v>
      </c>
      <c r="H2471" t="s">
        <v>4878</v>
      </c>
      <c r="L2471" t="s">
        <v>1433</v>
      </c>
      <c r="M2471" t="s">
        <v>3752</v>
      </c>
      <c r="N2471" t="s">
        <v>3744</v>
      </c>
      <c r="O2471">
        <v>1</v>
      </c>
    </row>
    <row r="2472" spans="2:15" x14ac:dyDescent="0.2">
      <c r="B2472" t="s">
        <v>1433</v>
      </c>
      <c r="C2472" t="s">
        <v>12898</v>
      </c>
      <c r="D2472" t="s">
        <v>621</v>
      </c>
      <c r="E2472" t="s">
        <v>8906</v>
      </c>
      <c r="F2472">
        <v>4.18</v>
      </c>
      <c r="H2472" t="s">
        <v>6563</v>
      </c>
      <c r="L2472" t="s">
        <v>1433</v>
      </c>
      <c r="M2472" t="s">
        <v>3753</v>
      </c>
      <c r="N2472" t="s">
        <v>3744</v>
      </c>
      <c r="O2472">
        <v>1</v>
      </c>
    </row>
    <row r="2473" spans="2:15" x14ac:dyDescent="0.2">
      <c r="B2473" t="s">
        <v>1433</v>
      </c>
      <c r="C2473" t="s">
        <v>12898</v>
      </c>
      <c r="D2473" t="s">
        <v>621</v>
      </c>
      <c r="E2473" t="s">
        <v>8907</v>
      </c>
      <c r="F2473">
        <v>45.07</v>
      </c>
      <c r="H2473" t="s">
        <v>8417</v>
      </c>
      <c r="L2473" t="s">
        <v>1433</v>
      </c>
      <c r="M2473" t="s">
        <v>3754</v>
      </c>
      <c r="N2473" t="s">
        <v>3744</v>
      </c>
      <c r="O2473">
        <v>1</v>
      </c>
    </row>
    <row r="2474" spans="2:15" x14ac:dyDescent="0.2">
      <c r="B2474" t="s">
        <v>1433</v>
      </c>
      <c r="C2474" t="s">
        <v>12898</v>
      </c>
      <c r="D2474" t="s">
        <v>613</v>
      </c>
      <c r="E2474" t="s">
        <v>8908</v>
      </c>
      <c r="F2474">
        <v>1.92</v>
      </c>
      <c r="H2474" t="s">
        <v>8214</v>
      </c>
      <c r="L2474" t="s">
        <v>1433</v>
      </c>
      <c r="M2474" t="s">
        <v>3755</v>
      </c>
      <c r="N2474" t="s">
        <v>3756</v>
      </c>
      <c r="O2474">
        <v>1</v>
      </c>
    </row>
    <row r="2475" spans="2:15" x14ac:dyDescent="0.2">
      <c r="B2475" t="s">
        <v>1433</v>
      </c>
      <c r="C2475" t="s">
        <v>12898</v>
      </c>
      <c r="D2475" t="s">
        <v>621</v>
      </c>
      <c r="E2475" t="s">
        <v>8909</v>
      </c>
      <c r="F2475">
        <v>5.59</v>
      </c>
      <c r="H2475" t="s">
        <v>8910</v>
      </c>
      <c r="L2475" t="s">
        <v>1433</v>
      </c>
      <c r="M2475" t="s">
        <v>3757</v>
      </c>
      <c r="N2475" t="s">
        <v>3756</v>
      </c>
      <c r="O2475">
        <v>1</v>
      </c>
    </row>
    <row r="2476" spans="2:15" x14ac:dyDescent="0.2">
      <c r="B2476" t="s">
        <v>1433</v>
      </c>
      <c r="C2476" t="s">
        <v>12898</v>
      </c>
      <c r="D2476" t="s">
        <v>617</v>
      </c>
      <c r="E2476" t="s">
        <v>8911</v>
      </c>
      <c r="F2476">
        <v>4.53</v>
      </c>
      <c r="H2476" t="s">
        <v>5251</v>
      </c>
      <c r="L2476" t="s">
        <v>1433</v>
      </c>
      <c r="M2476" t="s">
        <v>3758</v>
      </c>
      <c r="N2476" t="s">
        <v>3756</v>
      </c>
      <c r="O2476">
        <v>1</v>
      </c>
    </row>
    <row r="2477" spans="2:15" x14ac:dyDescent="0.2">
      <c r="B2477" t="s">
        <v>1433</v>
      </c>
      <c r="C2477" t="s">
        <v>12898</v>
      </c>
      <c r="D2477" t="s">
        <v>621</v>
      </c>
      <c r="E2477" t="s">
        <v>8912</v>
      </c>
      <c r="F2477">
        <v>17.28</v>
      </c>
      <c r="H2477" t="s">
        <v>6863</v>
      </c>
      <c r="L2477" t="s">
        <v>1433</v>
      </c>
      <c r="M2477" t="s">
        <v>3759</v>
      </c>
      <c r="N2477" t="s">
        <v>3760</v>
      </c>
      <c r="O2477">
        <v>2</v>
      </c>
    </row>
    <row r="2478" spans="2:15" x14ac:dyDescent="0.2">
      <c r="B2478" t="s">
        <v>1433</v>
      </c>
      <c r="C2478" t="s">
        <v>12898</v>
      </c>
      <c r="D2478" t="s">
        <v>613</v>
      </c>
      <c r="E2478" t="s">
        <v>8913</v>
      </c>
      <c r="F2478">
        <v>2.4</v>
      </c>
      <c r="H2478" t="s">
        <v>8045</v>
      </c>
      <c r="L2478" t="s">
        <v>1433</v>
      </c>
      <c r="M2478" t="s">
        <v>3761</v>
      </c>
      <c r="N2478" t="s">
        <v>3762</v>
      </c>
      <c r="O2478">
        <v>1</v>
      </c>
    </row>
    <row r="2479" spans="2:15" x14ac:dyDescent="0.2">
      <c r="B2479" t="s">
        <v>1433</v>
      </c>
      <c r="C2479" t="s">
        <v>12898</v>
      </c>
      <c r="D2479" t="s">
        <v>617</v>
      </c>
      <c r="E2479" t="s">
        <v>8914</v>
      </c>
      <c r="F2479">
        <v>11.22</v>
      </c>
      <c r="H2479" t="s">
        <v>6489</v>
      </c>
      <c r="L2479" t="s">
        <v>1433</v>
      </c>
      <c r="M2479" t="s">
        <v>3763</v>
      </c>
      <c r="N2479" t="s">
        <v>3665</v>
      </c>
      <c r="O2479">
        <v>2</v>
      </c>
    </row>
    <row r="2480" spans="2:15" x14ac:dyDescent="0.2">
      <c r="B2480" t="s">
        <v>1433</v>
      </c>
      <c r="C2480" t="s">
        <v>12898</v>
      </c>
      <c r="D2480" t="s">
        <v>613</v>
      </c>
      <c r="E2480" t="s">
        <v>8915</v>
      </c>
      <c r="F2480">
        <v>7.7</v>
      </c>
      <c r="H2480" t="s">
        <v>8916</v>
      </c>
      <c r="L2480" t="s">
        <v>1433</v>
      </c>
      <c r="M2480" t="s">
        <v>1700</v>
      </c>
      <c r="N2480" t="s">
        <v>3764</v>
      </c>
      <c r="O2480">
        <v>1</v>
      </c>
    </row>
    <row r="2481" spans="2:15" x14ac:dyDescent="0.2">
      <c r="B2481" t="s">
        <v>1433</v>
      </c>
      <c r="C2481" t="s">
        <v>12898</v>
      </c>
      <c r="D2481" t="s">
        <v>621</v>
      </c>
      <c r="E2481" t="s">
        <v>8917</v>
      </c>
      <c r="F2481">
        <v>5.4</v>
      </c>
      <c r="H2481" t="s">
        <v>6863</v>
      </c>
      <c r="L2481" t="s">
        <v>1433</v>
      </c>
      <c r="M2481" t="s">
        <v>3765</v>
      </c>
      <c r="N2481" t="s">
        <v>1422</v>
      </c>
      <c r="O2481">
        <v>1</v>
      </c>
    </row>
    <row r="2482" spans="2:15" x14ac:dyDescent="0.2">
      <c r="B2482" t="s">
        <v>1433</v>
      </c>
      <c r="C2482" t="s">
        <v>12898</v>
      </c>
      <c r="D2482" t="s">
        <v>621</v>
      </c>
      <c r="E2482" t="s">
        <v>8918</v>
      </c>
      <c r="F2482">
        <v>26.88</v>
      </c>
      <c r="H2482" t="s">
        <v>5276</v>
      </c>
      <c r="L2482" t="s">
        <v>1433</v>
      </c>
      <c r="M2482" t="s">
        <v>3766</v>
      </c>
      <c r="N2482" t="s">
        <v>3767</v>
      </c>
      <c r="O2482">
        <v>1</v>
      </c>
    </row>
    <row r="2483" spans="2:15" x14ac:dyDescent="0.2">
      <c r="B2483" t="s">
        <v>1433</v>
      </c>
      <c r="C2483" t="s">
        <v>12898</v>
      </c>
      <c r="D2483" t="s">
        <v>621</v>
      </c>
      <c r="E2483" t="s">
        <v>8919</v>
      </c>
      <c r="F2483">
        <v>10.039999999999999</v>
      </c>
      <c r="H2483" t="s">
        <v>8841</v>
      </c>
      <c r="L2483" t="s">
        <v>1433</v>
      </c>
      <c r="M2483" t="s">
        <v>3768</v>
      </c>
      <c r="N2483" t="s">
        <v>3769</v>
      </c>
      <c r="O2483">
        <v>1</v>
      </c>
    </row>
    <row r="2484" spans="2:15" x14ac:dyDescent="0.2">
      <c r="B2484" t="s">
        <v>1433</v>
      </c>
      <c r="C2484" t="s">
        <v>12898</v>
      </c>
      <c r="D2484" t="s">
        <v>621</v>
      </c>
      <c r="E2484" t="s">
        <v>8920</v>
      </c>
      <c r="F2484">
        <v>17.690000000000001</v>
      </c>
      <c r="H2484" t="s">
        <v>8921</v>
      </c>
      <c r="L2484" t="s">
        <v>1433</v>
      </c>
      <c r="M2484" t="s">
        <v>3770</v>
      </c>
      <c r="N2484" t="s">
        <v>3769</v>
      </c>
      <c r="O2484">
        <v>1</v>
      </c>
    </row>
    <row r="2485" spans="2:15" x14ac:dyDescent="0.2">
      <c r="B2485" t="s">
        <v>1433</v>
      </c>
      <c r="C2485" t="s">
        <v>12898</v>
      </c>
      <c r="D2485" t="s">
        <v>621</v>
      </c>
      <c r="E2485" t="s">
        <v>8922</v>
      </c>
      <c r="F2485">
        <v>46.28</v>
      </c>
      <c r="H2485" t="s">
        <v>8923</v>
      </c>
      <c r="L2485" t="s">
        <v>1433</v>
      </c>
      <c r="M2485" t="s">
        <v>3771</v>
      </c>
      <c r="N2485" t="s">
        <v>3769</v>
      </c>
      <c r="O2485">
        <v>1</v>
      </c>
    </row>
    <row r="2486" spans="2:15" x14ac:dyDescent="0.2">
      <c r="B2486" t="s">
        <v>1433</v>
      </c>
      <c r="C2486" t="s">
        <v>12898</v>
      </c>
      <c r="D2486" t="s">
        <v>617</v>
      </c>
      <c r="E2486" t="s">
        <v>8924</v>
      </c>
      <c r="F2486">
        <v>3.43</v>
      </c>
      <c r="H2486" t="s">
        <v>1919</v>
      </c>
      <c r="L2486" t="s">
        <v>1433</v>
      </c>
      <c r="M2486" t="s">
        <v>3772</v>
      </c>
      <c r="N2486" t="s">
        <v>3769</v>
      </c>
      <c r="O2486">
        <v>1</v>
      </c>
    </row>
    <row r="2487" spans="2:15" x14ac:dyDescent="0.2">
      <c r="B2487" t="s">
        <v>1433</v>
      </c>
      <c r="C2487" t="s">
        <v>12898</v>
      </c>
      <c r="D2487" t="s">
        <v>617</v>
      </c>
      <c r="E2487" t="s">
        <v>8925</v>
      </c>
      <c r="F2487">
        <v>0.84</v>
      </c>
      <c r="H2487" t="s">
        <v>8926</v>
      </c>
      <c r="L2487" t="s">
        <v>1433</v>
      </c>
      <c r="M2487" t="s">
        <v>3773</v>
      </c>
      <c r="N2487" t="s">
        <v>3774</v>
      </c>
      <c r="O2487">
        <v>1</v>
      </c>
    </row>
    <row r="2488" spans="2:15" x14ac:dyDescent="0.2">
      <c r="B2488" t="s">
        <v>1433</v>
      </c>
      <c r="C2488" t="s">
        <v>12898</v>
      </c>
      <c r="D2488" t="s">
        <v>617</v>
      </c>
      <c r="E2488" t="s">
        <v>8927</v>
      </c>
      <c r="F2488">
        <v>11.92</v>
      </c>
      <c r="H2488" t="s">
        <v>1640</v>
      </c>
      <c r="L2488" t="s">
        <v>1433</v>
      </c>
      <c r="M2488" t="s">
        <v>3775</v>
      </c>
      <c r="N2488" t="s">
        <v>3776</v>
      </c>
      <c r="O2488">
        <v>1</v>
      </c>
    </row>
    <row r="2489" spans="2:15" x14ac:dyDescent="0.2">
      <c r="B2489" t="s">
        <v>1433</v>
      </c>
      <c r="C2489" t="s">
        <v>12898</v>
      </c>
      <c r="D2489" t="s">
        <v>617</v>
      </c>
      <c r="E2489" t="s">
        <v>8928</v>
      </c>
      <c r="F2489">
        <v>12.11</v>
      </c>
      <c r="H2489" t="s">
        <v>2615</v>
      </c>
      <c r="L2489" t="s">
        <v>1433</v>
      </c>
      <c r="M2489" t="s">
        <v>3777</v>
      </c>
      <c r="N2489" t="s">
        <v>3778</v>
      </c>
      <c r="O2489">
        <v>2</v>
      </c>
    </row>
    <row r="2490" spans="2:15" x14ac:dyDescent="0.2">
      <c r="B2490" t="s">
        <v>1433</v>
      </c>
      <c r="C2490" t="s">
        <v>12898</v>
      </c>
      <c r="D2490" t="s">
        <v>617</v>
      </c>
      <c r="E2490" t="s">
        <v>8929</v>
      </c>
      <c r="F2490">
        <v>5.3</v>
      </c>
      <c r="H2490" t="s">
        <v>1456</v>
      </c>
      <c r="L2490" t="s">
        <v>1433</v>
      </c>
      <c r="M2490" t="s">
        <v>3779</v>
      </c>
      <c r="N2490" t="s">
        <v>3778</v>
      </c>
      <c r="O2490">
        <v>2</v>
      </c>
    </row>
    <row r="2491" spans="2:15" x14ac:dyDescent="0.2">
      <c r="B2491" t="s">
        <v>1433</v>
      </c>
      <c r="C2491" t="s">
        <v>12898</v>
      </c>
      <c r="D2491" t="s">
        <v>617</v>
      </c>
      <c r="E2491" t="s">
        <v>8930</v>
      </c>
      <c r="F2491">
        <v>13.5</v>
      </c>
      <c r="H2491" t="s">
        <v>1458</v>
      </c>
      <c r="L2491" t="s">
        <v>1433</v>
      </c>
      <c r="M2491" t="s">
        <v>3629</v>
      </c>
      <c r="N2491" t="s">
        <v>3778</v>
      </c>
      <c r="O2491">
        <v>2</v>
      </c>
    </row>
    <row r="2492" spans="2:15" x14ac:dyDescent="0.2">
      <c r="B2492" t="s">
        <v>1433</v>
      </c>
      <c r="C2492" t="s">
        <v>12898</v>
      </c>
      <c r="D2492" t="s">
        <v>617</v>
      </c>
      <c r="E2492" t="s">
        <v>8931</v>
      </c>
      <c r="F2492">
        <v>7.96</v>
      </c>
      <c r="H2492" t="s">
        <v>1642</v>
      </c>
      <c r="L2492" t="s">
        <v>1433</v>
      </c>
      <c r="M2492" t="s">
        <v>3780</v>
      </c>
      <c r="N2492" t="s">
        <v>3781</v>
      </c>
      <c r="O2492">
        <v>1</v>
      </c>
    </row>
    <row r="2493" spans="2:15" x14ac:dyDescent="0.2">
      <c r="B2493" t="s">
        <v>1433</v>
      </c>
      <c r="C2493" t="s">
        <v>12898</v>
      </c>
      <c r="D2493" t="s">
        <v>617</v>
      </c>
      <c r="E2493" t="s">
        <v>8932</v>
      </c>
      <c r="F2493">
        <v>12.8</v>
      </c>
      <c r="H2493" t="s">
        <v>1643</v>
      </c>
      <c r="L2493" t="s">
        <v>1433</v>
      </c>
      <c r="M2493" t="s">
        <v>3782</v>
      </c>
      <c r="N2493" t="s">
        <v>3783</v>
      </c>
      <c r="O2493">
        <v>8</v>
      </c>
    </row>
    <row r="2494" spans="2:15" x14ac:dyDescent="0.2">
      <c r="B2494" t="s">
        <v>1433</v>
      </c>
      <c r="C2494" t="s">
        <v>12898</v>
      </c>
      <c r="D2494" t="s">
        <v>617</v>
      </c>
      <c r="E2494" t="s">
        <v>8933</v>
      </c>
      <c r="F2494">
        <v>3.04</v>
      </c>
      <c r="H2494" t="s">
        <v>1994</v>
      </c>
      <c r="L2494" t="s">
        <v>1433</v>
      </c>
      <c r="M2494" t="s">
        <v>3784</v>
      </c>
      <c r="N2494" t="s">
        <v>3785</v>
      </c>
      <c r="O2494">
        <v>1</v>
      </c>
    </row>
    <row r="2495" spans="2:15" x14ac:dyDescent="0.2">
      <c r="B2495" t="s">
        <v>1433</v>
      </c>
      <c r="C2495" t="s">
        <v>12898</v>
      </c>
      <c r="D2495" t="s">
        <v>617</v>
      </c>
      <c r="E2495" t="s">
        <v>8934</v>
      </c>
      <c r="F2495">
        <v>21.88</v>
      </c>
      <c r="H2495" t="s">
        <v>1461</v>
      </c>
      <c r="L2495" t="s">
        <v>1433</v>
      </c>
      <c r="M2495" t="s">
        <v>3786</v>
      </c>
      <c r="N2495" t="s">
        <v>3787</v>
      </c>
      <c r="O2495">
        <v>1</v>
      </c>
    </row>
    <row r="2496" spans="2:15" x14ac:dyDescent="0.2">
      <c r="B2496" t="s">
        <v>1433</v>
      </c>
      <c r="C2496" t="s">
        <v>12898</v>
      </c>
      <c r="D2496" t="s">
        <v>617</v>
      </c>
      <c r="E2496" t="s">
        <v>8935</v>
      </c>
      <c r="F2496">
        <v>55.94</v>
      </c>
      <c r="H2496" t="s">
        <v>1644</v>
      </c>
      <c r="L2496" t="s">
        <v>1433</v>
      </c>
      <c r="M2496" t="s">
        <v>3788</v>
      </c>
      <c r="N2496" t="s">
        <v>3789</v>
      </c>
      <c r="O2496">
        <v>1</v>
      </c>
    </row>
    <row r="2497" spans="2:15" x14ac:dyDescent="0.2">
      <c r="B2497" t="s">
        <v>1433</v>
      </c>
      <c r="C2497" t="s">
        <v>12898</v>
      </c>
      <c r="D2497" t="s">
        <v>617</v>
      </c>
      <c r="E2497" t="s">
        <v>8936</v>
      </c>
      <c r="F2497">
        <v>305.27999999999997</v>
      </c>
      <c r="H2497" t="s">
        <v>1649</v>
      </c>
      <c r="L2497" t="s">
        <v>1433</v>
      </c>
      <c r="M2497" t="s">
        <v>3790</v>
      </c>
      <c r="N2497" t="s">
        <v>3791</v>
      </c>
      <c r="O2497">
        <v>1</v>
      </c>
    </row>
    <row r="2498" spans="2:15" x14ac:dyDescent="0.2">
      <c r="B2498" t="s">
        <v>1433</v>
      </c>
      <c r="C2498" t="s">
        <v>12898</v>
      </c>
      <c r="D2498" t="s">
        <v>617</v>
      </c>
      <c r="E2498" t="s">
        <v>8937</v>
      </c>
      <c r="F2498">
        <v>86.25</v>
      </c>
      <c r="H2498" t="s">
        <v>1637</v>
      </c>
      <c r="L2498" t="s">
        <v>1433</v>
      </c>
      <c r="M2498" t="s">
        <v>3792</v>
      </c>
      <c r="N2498" t="s">
        <v>3793</v>
      </c>
      <c r="O2498">
        <v>1</v>
      </c>
    </row>
    <row r="2499" spans="2:15" x14ac:dyDescent="0.2">
      <c r="B2499" t="s">
        <v>1433</v>
      </c>
      <c r="C2499" t="s">
        <v>12898</v>
      </c>
      <c r="D2499" t="s">
        <v>617</v>
      </c>
      <c r="E2499" t="s">
        <v>8938</v>
      </c>
      <c r="F2499">
        <v>53.73</v>
      </c>
      <c r="H2499" t="s">
        <v>1647</v>
      </c>
      <c r="L2499" t="s">
        <v>1433</v>
      </c>
      <c r="M2499" t="s">
        <v>3794</v>
      </c>
      <c r="N2499" t="s">
        <v>3793</v>
      </c>
      <c r="O2499">
        <v>1</v>
      </c>
    </row>
    <row r="2500" spans="2:15" x14ac:dyDescent="0.2">
      <c r="B2500" t="s">
        <v>1433</v>
      </c>
      <c r="C2500" t="s">
        <v>12898</v>
      </c>
      <c r="D2500" t="s">
        <v>613</v>
      </c>
      <c r="E2500" t="s">
        <v>8939</v>
      </c>
      <c r="F2500">
        <v>7.36</v>
      </c>
      <c r="H2500" t="s">
        <v>5354</v>
      </c>
      <c r="L2500" t="s">
        <v>1433</v>
      </c>
      <c r="M2500" t="s">
        <v>3795</v>
      </c>
      <c r="N2500" t="s">
        <v>3796</v>
      </c>
      <c r="O2500">
        <v>1</v>
      </c>
    </row>
    <row r="2501" spans="2:15" x14ac:dyDescent="0.2">
      <c r="B2501" t="s">
        <v>1433</v>
      </c>
      <c r="C2501" t="s">
        <v>12898</v>
      </c>
      <c r="D2501" t="s">
        <v>617</v>
      </c>
      <c r="E2501" t="s">
        <v>8940</v>
      </c>
      <c r="F2501">
        <v>67.94</v>
      </c>
      <c r="H2501" t="s">
        <v>5562</v>
      </c>
      <c r="L2501" t="s">
        <v>1433</v>
      </c>
      <c r="M2501" t="s">
        <v>3797</v>
      </c>
      <c r="N2501" t="s">
        <v>3798</v>
      </c>
      <c r="O2501">
        <v>1</v>
      </c>
    </row>
    <row r="2502" spans="2:15" x14ac:dyDescent="0.2">
      <c r="B2502" t="s">
        <v>1433</v>
      </c>
      <c r="C2502" t="s">
        <v>12898</v>
      </c>
      <c r="D2502" t="s">
        <v>617</v>
      </c>
      <c r="E2502" t="s">
        <v>8941</v>
      </c>
      <c r="F2502">
        <v>9.2899999999999991</v>
      </c>
      <c r="H2502" t="s">
        <v>1917</v>
      </c>
      <c r="L2502" t="s">
        <v>1433</v>
      </c>
      <c r="M2502" t="s">
        <v>3799</v>
      </c>
      <c r="N2502" t="s">
        <v>3798</v>
      </c>
      <c r="O2502">
        <v>1</v>
      </c>
    </row>
    <row r="2503" spans="2:15" x14ac:dyDescent="0.2">
      <c r="B2503" t="s">
        <v>1433</v>
      </c>
      <c r="C2503" t="s">
        <v>12898</v>
      </c>
      <c r="D2503" t="s">
        <v>617</v>
      </c>
      <c r="E2503" t="s">
        <v>8942</v>
      </c>
      <c r="F2503">
        <v>4.9000000000000004</v>
      </c>
      <c r="H2503" t="s">
        <v>1806</v>
      </c>
      <c r="L2503" t="s">
        <v>1433</v>
      </c>
      <c r="M2503" t="s">
        <v>3800</v>
      </c>
      <c r="N2503" t="s">
        <v>3798</v>
      </c>
      <c r="O2503">
        <v>1</v>
      </c>
    </row>
    <row r="2504" spans="2:15" x14ac:dyDescent="0.2">
      <c r="B2504" t="s">
        <v>1433</v>
      </c>
      <c r="C2504" t="s">
        <v>12898</v>
      </c>
      <c r="D2504" t="s">
        <v>617</v>
      </c>
      <c r="E2504" t="s">
        <v>8943</v>
      </c>
      <c r="F2504">
        <v>37.18</v>
      </c>
      <c r="H2504" t="s">
        <v>1918</v>
      </c>
      <c r="L2504" t="s">
        <v>1433</v>
      </c>
      <c r="M2504" t="s">
        <v>3801</v>
      </c>
      <c r="N2504" t="s">
        <v>3802</v>
      </c>
      <c r="O2504">
        <v>2</v>
      </c>
    </row>
    <row r="2505" spans="2:15" x14ac:dyDescent="0.2">
      <c r="B2505" t="s">
        <v>1433</v>
      </c>
      <c r="C2505" t="s">
        <v>12898</v>
      </c>
      <c r="D2505" t="s">
        <v>617</v>
      </c>
      <c r="E2505" t="s">
        <v>8944</v>
      </c>
      <c r="F2505">
        <v>14.87</v>
      </c>
      <c r="H2505" t="s">
        <v>1918</v>
      </c>
      <c r="L2505" t="s">
        <v>1433</v>
      </c>
      <c r="M2505" t="s">
        <v>3803</v>
      </c>
      <c r="N2505" t="s">
        <v>1426</v>
      </c>
      <c r="O2505">
        <v>1</v>
      </c>
    </row>
    <row r="2506" spans="2:15" x14ac:dyDescent="0.2">
      <c r="B2506" t="s">
        <v>1433</v>
      </c>
      <c r="C2506" t="s">
        <v>12898</v>
      </c>
      <c r="D2506" t="s">
        <v>617</v>
      </c>
      <c r="E2506" t="s">
        <v>8945</v>
      </c>
      <c r="F2506">
        <v>22.31</v>
      </c>
      <c r="H2506" t="s">
        <v>1918</v>
      </c>
      <c r="L2506" t="s">
        <v>1433</v>
      </c>
      <c r="M2506" t="s">
        <v>2212</v>
      </c>
      <c r="N2506" t="s">
        <v>3804</v>
      </c>
      <c r="O2506">
        <v>8</v>
      </c>
    </row>
    <row r="2507" spans="2:15" x14ac:dyDescent="0.2">
      <c r="B2507" t="s">
        <v>1433</v>
      </c>
      <c r="C2507" t="s">
        <v>12898</v>
      </c>
      <c r="D2507" t="s">
        <v>617</v>
      </c>
      <c r="E2507" t="s">
        <v>8946</v>
      </c>
      <c r="F2507">
        <v>16.02</v>
      </c>
      <c r="H2507" t="s">
        <v>2067</v>
      </c>
      <c r="L2507" t="s">
        <v>1433</v>
      </c>
      <c r="M2507" t="s">
        <v>3805</v>
      </c>
      <c r="N2507" t="s">
        <v>3806</v>
      </c>
      <c r="O2507">
        <v>1</v>
      </c>
    </row>
    <row r="2508" spans="2:15" x14ac:dyDescent="0.2">
      <c r="B2508" t="s">
        <v>1433</v>
      </c>
      <c r="C2508" t="s">
        <v>12898</v>
      </c>
      <c r="D2508" t="s">
        <v>617</v>
      </c>
      <c r="E2508" t="s">
        <v>8947</v>
      </c>
      <c r="F2508">
        <v>405.64</v>
      </c>
      <c r="H2508" t="s">
        <v>1706</v>
      </c>
      <c r="L2508" t="s">
        <v>1433</v>
      </c>
      <c r="M2508" t="s">
        <v>3807</v>
      </c>
      <c r="N2508" t="s">
        <v>3808</v>
      </c>
      <c r="O2508">
        <v>1</v>
      </c>
    </row>
    <row r="2509" spans="2:15" x14ac:dyDescent="0.2">
      <c r="B2509" t="s">
        <v>1433</v>
      </c>
      <c r="C2509" t="s">
        <v>12898</v>
      </c>
      <c r="D2509" t="s">
        <v>617</v>
      </c>
      <c r="E2509" t="s">
        <v>8948</v>
      </c>
      <c r="F2509">
        <v>1177.2</v>
      </c>
      <c r="H2509" t="s">
        <v>1707</v>
      </c>
      <c r="L2509" t="s">
        <v>1433</v>
      </c>
      <c r="M2509" t="s">
        <v>3809</v>
      </c>
      <c r="N2509" t="s">
        <v>3810</v>
      </c>
      <c r="O2509">
        <v>1</v>
      </c>
    </row>
    <row r="2510" spans="2:15" x14ac:dyDescent="0.2">
      <c r="B2510" t="s">
        <v>1433</v>
      </c>
      <c r="C2510" t="s">
        <v>12898</v>
      </c>
      <c r="D2510" t="s">
        <v>617</v>
      </c>
      <c r="E2510" t="s">
        <v>8949</v>
      </c>
      <c r="F2510">
        <v>631.67999999999995</v>
      </c>
      <c r="H2510" t="s">
        <v>1708</v>
      </c>
      <c r="L2510" t="s">
        <v>1433</v>
      </c>
      <c r="M2510" t="s">
        <v>3811</v>
      </c>
      <c r="N2510" t="s">
        <v>3812</v>
      </c>
      <c r="O2510">
        <v>1</v>
      </c>
    </row>
    <row r="2511" spans="2:15" x14ac:dyDescent="0.2">
      <c r="B2511" t="s">
        <v>1433</v>
      </c>
      <c r="C2511" t="s">
        <v>12898</v>
      </c>
      <c r="D2511" t="s">
        <v>617</v>
      </c>
      <c r="E2511" t="s">
        <v>8950</v>
      </c>
      <c r="F2511">
        <v>723</v>
      </c>
      <c r="H2511" t="s">
        <v>1725</v>
      </c>
      <c r="L2511" t="s">
        <v>1433</v>
      </c>
      <c r="M2511" t="s">
        <v>3813</v>
      </c>
      <c r="N2511" t="s">
        <v>3812</v>
      </c>
      <c r="O2511">
        <v>1</v>
      </c>
    </row>
    <row r="2512" spans="2:15" x14ac:dyDescent="0.2">
      <c r="B2512" t="s">
        <v>1433</v>
      </c>
      <c r="C2512" t="s">
        <v>12898</v>
      </c>
      <c r="D2512" t="s">
        <v>617</v>
      </c>
      <c r="E2512" t="s">
        <v>8951</v>
      </c>
      <c r="F2512">
        <v>153</v>
      </c>
      <c r="H2512" t="s">
        <v>1552</v>
      </c>
      <c r="L2512" t="s">
        <v>1433</v>
      </c>
      <c r="M2512" t="s">
        <v>3814</v>
      </c>
      <c r="N2512" t="s">
        <v>3812</v>
      </c>
      <c r="O2512">
        <v>1</v>
      </c>
    </row>
    <row r="2513" spans="2:15" x14ac:dyDescent="0.2">
      <c r="B2513" t="s">
        <v>1433</v>
      </c>
      <c r="C2513" t="s">
        <v>12898</v>
      </c>
      <c r="D2513" t="s">
        <v>617</v>
      </c>
      <c r="E2513" t="s">
        <v>8952</v>
      </c>
      <c r="F2513">
        <v>734.4</v>
      </c>
      <c r="H2513" t="s">
        <v>1552</v>
      </c>
      <c r="L2513" t="s">
        <v>1433</v>
      </c>
      <c r="M2513" t="s">
        <v>3815</v>
      </c>
      <c r="N2513" t="s">
        <v>3812</v>
      </c>
      <c r="O2513">
        <v>1</v>
      </c>
    </row>
    <row r="2514" spans="2:15" x14ac:dyDescent="0.2">
      <c r="B2514" t="s">
        <v>1433</v>
      </c>
      <c r="C2514" t="s">
        <v>12898</v>
      </c>
      <c r="D2514" t="s">
        <v>617</v>
      </c>
      <c r="E2514" t="s">
        <v>8953</v>
      </c>
      <c r="F2514">
        <v>435.4</v>
      </c>
      <c r="H2514" t="s">
        <v>1661</v>
      </c>
      <c r="L2514" t="s">
        <v>1433</v>
      </c>
      <c r="M2514" t="s">
        <v>3816</v>
      </c>
      <c r="N2514" t="s">
        <v>3812</v>
      </c>
      <c r="O2514">
        <v>1</v>
      </c>
    </row>
    <row r="2515" spans="2:15" x14ac:dyDescent="0.2">
      <c r="B2515" t="s">
        <v>1433</v>
      </c>
      <c r="C2515" t="s">
        <v>12898</v>
      </c>
      <c r="D2515" t="s">
        <v>617</v>
      </c>
      <c r="E2515" t="s">
        <v>8954</v>
      </c>
      <c r="F2515">
        <v>718.74</v>
      </c>
      <c r="H2515" t="s">
        <v>2171</v>
      </c>
      <c r="L2515" t="s">
        <v>1433</v>
      </c>
      <c r="M2515" t="s">
        <v>3817</v>
      </c>
      <c r="N2515" t="s">
        <v>3812</v>
      </c>
      <c r="O2515">
        <v>1</v>
      </c>
    </row>
    <row r="2516" spans="2:15" x14ac:dyDescent="0.2">
      <c r="B2516" t="s">
        <v>1433</v>
      </c>
      <c r="C2516" t="s">
        <v>12898</v>
      </c>
      <c r="D2516" t="s">
        <v>617</v>
      </c>
      <c r="E2516" t="s">
        <v>8955</v>
      </c>
      <c r="F2516">
        <v>802.62</v>
      </c>
      <c r="H2516" t="s">
        <v>1663</v>
      </c>
      <c r="L2516" t="s">
        <v>1433</v>
      </c>
      <c r="M2516" t="s">
        <v>3818</v>
      </c>
      <c r="N2516" t="s">
        <v>3812</v>
      </c>
      <c r="O2516">
        <v>1</v>
      </c>
    </row>
    <row r="2517" spans="2:15" x14ac:dyDescent="0.2">
      <c r="B2517" t="s">
        <v>1433</v>
      </c>
      <c r="C2517" t="s">
        <v>12898</v>
      </c>
      <c r="D2517" t="s">
        <v>617</v>
      </c>
      <c r="E2517" t="s">
        <v>8956</v>
      </c>
      <c r="F2517">
        <v>157.5</v>
      </c>
      <c r="H2517" t="s">
        <v>1820</v>
      </c>
      <c r="L2517" t="s">
        <v>1433</v>
      </c>
      <c r="M2517" t="s">
        <v>3819</v>
      </c>
      <c r="N2517" t="s">
        <v>3812</v>
      </c>
      <c r="O2517">
        <v>1</v>
      </c>
    </row>
    <row r="2518" spans="2:15" x14ac:dyDescent="0.2">
      <c r="B2518" t="s">
        <v>1433</v>
      </c>
      <c r="C2518" t="s">
        <v>12898</v>
      </c>
      <c r="D2518" t="s">
        <v>617</v>
      </c>
      <c r="E2518" t="s">
        <v>8957</v>
      </c>
      <c r="F2518">
        <v>563.20000000000005</v>
      </c>
      <c r="H2518" t="s">
        <v>1722</v>
      </c>
      <c r="L2518" t="s">
        <v>1433</v>
      </c>
      <c r="M2518" t="s">
        <v>3820</v>
      </c>
      <c r="N2518" t="s">
        <v>3812</v>
      </c>
      <c r="O2518">
        <v>1</v>
      </c>
    </row>
    <row r="2519" spans="2:15" x14ac:dyDescent="0.2">
      <c r="B2519" t="s">
        <v>1433</v>
      </c>
      <c r="C2519" t="s">
        <v>12898</v>
      </c>
      <c r="D2519" t="s">
        <v>617</v>
      </c>
      <c r="E2519" t="s">
        <v>8958</v>
      </c>
      <c r="F2519">
        <v>578.25</v>
      </c>
      <c r="H2519" t="s">
        <v>1585</v>
      </c>
      <c r="L2519" t="s">
        <v>1433</v>
      </c>
      <c r="M2519" t="s">
        <v>3821</v>
      </c>
      <c r="N2519" t="s">
        <v>3812</v>
      </c>
      <c r="O2519">
        <v>1</v>
      </c>
    </row>
    <row r="2520" spans="2:15" x14ac:dyDescent="0.2">
      <c r="B2520" t="s">
        <v>1433</v>
      </c>
      <c r="C2520" t="s">
        <v>12898</v>
      </c>
      <c r="D2520" t="s">
        <v>617</v>
      </c>
      <c r="E2520" t="s">
        <v>8959</v>
      </c>
      <c r="F2520">
        <v>558.75</v>
      </c>
      <c r="H2520" t="s">
        <v>1587</v>
      </c>
      <c r="L2520" t="s">
        <v>1433</v>
      </c>
      <c r="M2520" t="s">
        <v>3822</v>
      </c>
      <c r="N2520" t="s">
        <v>3812</v>
      </c>
      <c r="O2520">
        <v>1</v>
      </c>
    </row>
    <row r="2521" spans="2:15" x14ac:dyDescent="0.2">
      <c r="B2521" t="s">
        <v>1433</v>
      </c>
      <c r="C2521" t="s">
        <v>12898</v>
      </c>
      <c r="D2521" t="s">
        <v>617</v>
      </c>
      <c r="E2521" t="s">
        <v>8960</v>
      </c>
      <c r="F2521">
        <v>1252.5</v>
      </c>
      <c r="H2521" t="s">
        <v>1723</v>
      </c>
      <c r="L2521" t="s">
        <v>1433</v>
      </c>
      <c r="M2521" t="s">
        <v>3823</v>
      </c>
      <c r="N2521" t="s">
        <v>3812</v>
      </c>
      <c r="O2521">
        <v>1</v>
      </c>
    </row>
    <row r="2522" spans="2:15" x14ac:dyDescent="0.2">
      <c r="B2522" t="s">
        <v>1433</v>
      </c>
      <c r="C2522" t="s">
        <v>12898</v>
      </c>
      <c r="D2522" t="s">
        <v>617</v>
      </c>
      <c r="E2522" t="s">
        <v>8961</v>
      </c>
      <c r="F2522">
        <v>935</v>
      </c>
      <c r="H2522" t="s">
        <v>1724</v>
      </c>
      <c r="L2522" t="s">
        <v>1433</v>
      </c>
      <c r="M2522" t="s">
        <v>3824</v>
      </c>
      <c r="N2522" t="s">
        <v>3812</v>
      </c>
      <c r="O2522">
        <v>1</v>
      </c>
    </row>
    <row r="2523" spans="2:15" x14ac:dyDescent="0.2">
      <c r="B2523" t="s">
        <v>1433</v>
      </c>
      <c r="C2523" t="s">
        <v>12898</v>
      </c>
      <c r="D2523" t="s">
        <v>617</v>
      </c>
      <c r="E2523" t="s">
        <v>8962</v>
      </c>
      <c r="F2523">
        <v>264.75</v>
      </c>
      <c r="H2523" t="s">
        <v>1588</v>
      </c>
      <c r="L2523" t="s">
        <v>1433</v>
      </c>
      <c r="M2523" t="s">
        <v>3825</v>
      </c>
      <c r="N2523" t="s">
        <v>3812</v>
      </c>
      <c r="O2523">
        <v>1</v>
      </c>
    </row>
    <row r="2524" spans="2:15" x14ac:dyDescent="0.2">
      <c r="B2524" t="s">
        <v>1433</v>
      </c>
      <c r="C2524" t="s">
        <v>12898</v>
      </c>
      <c r="D2524" t="s">
        <v>617</v>
      </c>
      <c r="E2524" t="s">
        <v>8963</v>
      </c>
      <c r="F2524">
        <v>1937.5</v>
      </c>
      <c r="H2524" t="s">
        <v>1891</v>
      </c>
      <c r="L2524" t="s">
        <v>1433</v>
      </c>
      <c r="M2524" t="s">
        <v>3826</v>
      </c>
      <c r="N2524" t="s">
        <v>3812</v>
      </c>
      <c r="O2524">
        <v>1</v>
      </c>
    </row>
    <row r="2525" spans="2:15" x14ac:dyDescent="0.2">
      <c r="B2525" t="s">
        <v>1433</v>
      </c>
      <c r="C2525" t="s">
        <v>12898</v>
      </c>
      <c r="D2525" t="s">
        <v>617</v>
      </c>
      <c r="E2525" t="s">
        <v>8964</v>
      </c>
      <c r="F2525">
        <v>263.05</v>
      </c>
      <c r="H2525" t="s">
        <v>2617</v>
      </c>
      <c r="L2525" t="s">
        <v>1433</v>
      </c>
      <c r="M2525" t="s">
        <v>3827</v>
      </c>
      <c r="N2525" t="s">
        <v>3812</v>
      </c>
      <c r="O2525">
        <v>1</v>
      </c>
    </row>
    <row r="2526" spans="2:15" x14ac:dyDescent="0.2">
      <c r="B2526" t="s">
        <v>1433</v>
      </c>
      <c r="C2526" t="s">
        <v>12898</v>
      </c>
      <c r="D2526" t="s">
        <v>617</v>
      </c>
      <c r="E2526" t="s">
        <v>8965</v>
      </c>
      <c r="F2526">
        <v>2156.27</v>
      </c>
      <c r="H2526" t="s">
        <v>1703</v>
      </c>
      <c r="L2526" t="s">
        <v>1433</v>
      </c>
      <c r="M2526" t="s">
        <v>3828</v>
      </c>
      <c r="N2526" t="s">
        <v>3812</v>
      </c>
      <c r="O2526">
        <v>1</v>
      </c>
    </row>
    <row r="2527" spans="2:15" x14ac:dyDescent="0.2">
      <c r="B2527" t="s">
        <v>1433</v>
      </c>
      <c r="C2527" t="s">
        <v>12898</v>
      </c>
      <c r="D2527" t="s">
        <v>617</v>
      </c>
      <c r="E2527" t="s">
        <v>8966</v>
      </c>
      <c r="F2527">
        <v>1976.56</v>
      </c>
      <c r="H2527" t="s">
        <v>1705</v>
      </c>
      <c r="L2527" t="s">
        <v>1433</v>
      </c>
      <c r="M2527" t="s">
        <v>3829</v>
      </c>
      <c r="N2527" t="s">
        <v>3812</v>
      </c>
      <c r="O2527">
        <v>1</v>
      </c>
    </row>
    <row r="2528" spans="2:15" x14ac:dyDescent="0.2">
      <c r="B2528" t="s">
        <v>1433</v>
      </c>
      <c r="C2528" t="s">
        <v>12898</v>
      </c>
      <c r="D2528" t="s">
        <v>617</v>
      </c>
      <c r="E2528" t="s">
        <v>8967</v>
      </c>
      <c r="F2528">
        <v>1314.12</v>
      </c>
      <c r="H2528" t="s">
        <v>1699</v>
      </c>
      <c r="L2528" t="s">
        <v>1433</v>
      </c>
      <c r="M2528" t="s">
        <v>3830</v>
      </c>
      <c r="N2528" t="s">
        <v>3812</v>
      </c>
      <c r="O2528">
        <v>1</v>
      </c>
    </row>
    <row r="2529" spans="2:15" x14ac:dyDescent="0.2">
      <c r="B2529" t="s">
        <v>1433</v>
      </c>
      <c r="C2529" t="s">
        <v>12898</v>
      </c>
      <c r="D2529" t="s">
        <v>617</v>
      </c>
      <c r="E2529" t="s">
        <v>8968</v>
      </c>
      <c r="F2529">
        <v>10.95</v>
      </c>
      <c r="H2529" t="s">
        <v>1699</v>
      </c>
      <c r="L2529" t="s">
        <v>1433</v>
      </c>
      <c r="M2529" t="s">
        <v>3831</v>
      </c>
      <c r="N2529" t="s">
        <v>3812</v>
      </c>
      <c r="O2529">
        <v>1</v>
      </c>
    </row>
    <row r="2530" spans="2:15" x14ac:dyDescent="0.2">
      <c r="B2530" t="s">
        <v>1433</v>
      </c>
      <c r="C2530" t="s">
        <v>12898</v>
      </c>
      <c r="D2530" t="s">
        <v>617</v>
      </c>
      <c r="E2530" t="s">
        <v>8969</v>
      </c>
      <c r="F2530">
        <v>10.95</v>
      </c>
      <c r="H2530" t="s">
        <v>1699</v>
      </c>
      <c r="L2530" t="s">
        <v>1433</v>
      </c>
      <c r="M2530" t="s">
        <v>3832</v>
      </c>
      <c r="N2530" t="s">
        <v>3833</v>
      </c>
      <c r="O2530">
        <v>1</v>
      </c>
    </row>
    <row r="2531" spans="2:15" x14ac:dyDescent="0.2">
      <c r="B2531" t="s">
        <v>1433</v>
      </c>
      <c r="C2531" t="s">
        <v>12898</v>
      </c>
      <c r="D2531" t="s">
        <v>617</v>
      </c>
      <c r="E2531" t="s">
        <v>8970</v>
      </c>
      <c r="F2531">
        <v>290.64</v>
      </c>
      <c r="H2531" t="s">
        <v>1699</v>
      </c>
      <c r="L2531" t="s">
        <v>1433</v>
      </c>
      <c r="M2531" t="s">
        <v>2330</v>
      </c>
      <c r="N2531" t="s">
        <v>3834</v>
      </c>
      <c r="O2531">
        <v>1</v>
      </c>
    </row>
    <row r="2532" spans="2:15" x14ac:dyDescent="0.2">
      <c r="B2532" t="s">
        <v>1433</v>
      </c>
      <c r="C2532" t="s">
        <v>12898</v>
      </c>
      <c r="D2532" t="s">
        <v>617</v>
      </c>
      <c r="E2532" t="s">
        <v>8971</v>
      </c>
      <c r="F2532">
        <v>48.45</v>
      </c>
      <c r="H2532" t="s">
        <v>1699</v>
      </c>
      <c r="L2532" t="s">
        <v>1433</v>
      </c>
      <c r="M2532" t="s">
        <v>2315</v>
      </c>
      <c r="N2532" t="s">
        <v>3835</v>
      </c>
      <c r="O2532">
        <v>250</v>
      </c>
    </row>
    <row r="2533" spans="2:15" x14ac:dyDescent="0.2">
      <c r="B2533" t="s">
        <v>1433</v>
      </c>
      <c r="C2533" t="s">
        <v>12898</v>
      </c>
      <c r="D2533" t="s">
        <v>617</v>
      </c>
      <c r="E2533" t="s">
        <v>8972</v>
      </c>
      <c r="F2533">
        <v>1252.83</v>
      </c>
      <c r="H2533" t="s">
        <v>1778</v>
      </c>
      <c r="L2533" t="s">
        <v>1433</v>
      </c>
      <c r="M2533" t="s">
        <v>3836</v>
      </c>
      <c r="N2533" t="s">
        <v>3837</v>
      </c>
      <c r="O2533">
        <v>1</v>
      </c>
    </row>
    <row r="2534" spans="2:15" x14ac:dyDescent="0.2">
      <c r="B2534" t="s">
        <v>1433</v>
      </c>
      <c r="C2534" t="s">
        <v>12898</v>
      </c>
      <c r="D2534" t="s">
        <v>621</v>
      </c>
      <c r="E2534" t="s">
        <v>8973</v>
      </c>
      <c r="F2534">
        <v>3500</v>
      </c>
      <c r="H2534" t="s">
        <v>1902</v>
      </c>
      <c r="L2534" t="s">
        <v>1433</v>
      </c>
      <c r="M2534" t="s">
        <v>3838</v>
      </c>
      <c r="N2534" t="s">
        <v>3837</v>
      </c>
      <c r="O2534">
        <v>1</v>
      </c>
    </row>
    <row r="2535" spans="2:15" x14ac:dyDescent="0.2">
      <c r="B2535" t="s">
        <v>1433</v>
      </c>
      <c r="C2535" t="s">
        <v>12898</v>
      </c>
      <c r="D2535" t="s">
        <v>621</v>
      </c>
      <c r="E2535" t="s">
        <v>8974</v>
      </c>
      <c r="F2535">
        <v>6400</v>
      </c>
      <c r="H2535" t="s">
        <v>1903</v>
      </c>
      <c r="L2535" t="s">
        <v>1433</v>
      </c>
      <c r="M2535" t="s">
        <v>3839</v>
      </c>
      <c r="N2535" t="s">
        <v>3840</v>
      </c>
      <c r="O2535">
        <v>1</v>
      </c>
    </row>
    <row r="2536" spans="2:15" x14ac:dyDescent="0.2">
      <c r="B2536" t="s">
        <v>1433</v>
      </c>
      <c r="C2536" t="s">
        <v>12898</v>
      </c>
      <c r="D2536" t="s">
        <v>621</v>
      </c>
      <c r="E2536" t="s">
        <v>8975</v>
      </c>
      <c r="F2536">
        <v>1450</v>
      </c>
      <c r="H2536" t="s">
        <v>1904</v>
      </c>
      <c r="L2536" t="s">
        <v>1433</v>
      </c>
      <c r="M2536" t="s">
        <v>3841</v>
      </c>
      <c r="N2536" t="s">
        <v>3840</v>
      </c>
      <c r="O2536">
        <v>1</v>
      </c>
    </row>
    <row r="2537" spans="2:15" x14ac:dyDescent="0.2">
      <c r="B2537" t="s">
        <v>1433</v>
      </c>
      <c r="C2537" t="s">
        <v>12898</v>
      </c>
      <c r="D2537" t="s">
        <v>621</v>
      </c>
      <c r="E2537" t="s">
        <v>8976</v>
      </c>
      <c r="F2537">
        <v>623.55999999999995</v>
      </c>
      <c r="H2537" t="s">
        <v>1905</v>
      </c>
      <c r="L2537" t="s">
        <v>1433</v>
      </c>
      <c r="M2537" t="s">
        <v>3842</v>
      </c>
      <c r="N2537" t="s">
        <v>3840</v>
      </c>
      <c r="O2537">
        <v>1</v>
      </c>
    </row>
    <row r="2538" spans="2:15" x14ac:dyDescent="0.2">
      <c r="B2538" t="s">
        <v>1433</v>
      </c>
      <c r="C2538" t="s">
        <v>12898</v>
      </c>
      <c r="D2538" t="s">
        <v>621</v>
      </c>
      <c r="E2538" t="s">
        <v>8977</v>
      </c>
      <c r="F2538">
        <v>4346.7</v>
      </c>
      <c r="H2538" t="s">
        <v>2340</v>
      </c>
      <c r="L2538" t="s">
        <v>1433</v>
      </c>
      <c r="M2538" t="s">
        <v>3843</v>
      </c>
      <c r="N2538" t="s">
        <v>3840</v>
      </c>
      <c r="O2538">
        <v>1</v>
      </c>
    </row>
    <row r="2539" spans="2:15" x14ac:dyDescent="0.2">
      <c r="B2539" t="s">
        <v>1433</v>
      </c>
      <c r="C2539" t="s">
        <v>12898</v>
      </c>
      <c r="D2539" t="s">
        <v>621</v>
      </c>
      <c r="E2539" t="s">
        <v>8978</v>
      </c>
      <c r="F2539">
        <v>-4346.7</v>
      </c>
      <c r="H2539" t="s">
        <v>2340</v>
      </c>
      <c r="L2539" t="s">
        <v>1433</v>
      </c>
      <c r="M2539" t="s">
        <v>3844</v>
      </c>
      <c r="N2539" t="s">
        <v>3840</v>
      </c>
      <c r="O2539">
        <v>1</v>
      </c>
    </row>
    <row r="2540" spans="2:15" x14ac:dyDescent="0.2">
      <c r="B2540" t="s">
        <v>1433</v>
      </c>
      <c r="C2540" t="s">
        <v>12898</v>
      </c>
      <c r="D2540" t="s">
        <v>621</v>
      </c>
      <c r="E2540" t="s">
        <v>8979</v>
      </c>
      <c r="F2540">
        <v>2173.35</v>
      </c>
      <c r="H2540" t="s">
        <v>2340</v>
      </c>
      <c r="L2540" t="s">
        <v>1433</v>
      </c>
      <c r="M2540" t="s">
        <v>3845</v>
      </c>
      <c r="N2540" t="s">
        <v>3840</v>
      </c>
      <c r="O2540">
        <v>1</v>
      </c>
    </row>
    <row r="2541" spans="2:15" x14ac:dyDescent="0.2">
      <c r="B2541" t="s">
        <v>1433</v>
      </c>
      <c r="C2541" t="s">
        <v>12898</v>
      </c>
      <c r="D2541" t="s">
        <v>621</v>
      </c>
      <c r="E2541" t="s">
        <v>8980</v>
      </c>
      <c r="F2541">
        <v>3912.03</v>
      </c>
      <c r="H2541" t="s">
        <v>2340</v>
      </c>
      <c r="L2541" t="s">
        <v>1433</v>
      </c>
      <c r="M2541" t="s">
        <v>3846</v>
      </c>
      <c r="N2541" t="s">
        <v>3840</v>
      </c>
      <c r="O2541">
        <v>1</v>
      </c>
    </row>
    <row r="2542" spans="2:15" x14ac:dyDescent="0.2">
      <c r="B2542" t="s">
        <v>1433</v>
      </c>
      <c r="C2542" t="s">
        <v>12898</v>
      </c>
      <c r="D2542" t="s">
        <v>621</v>
      </c>
      <c r="E2542" t="s">
        <v>8981</v>
      </c>
      <c r="F2542">
        <v>885</v>
      </c>
      <c r="H2542" t="s">
        <v>2341</v>
      </c>
      <c r="L2542" t="s">
        <v>1433</v>
      </c>
      <c r="M2542" t="s">
        <v>3847</v>
      </c>
      <c r="N2542" t="s">
        <v>3840</v>
      </c>
      <c r="O2542">
        <v>1</v>
      </c>
    </row>
    <row r="2543" spans="2:15" x14ac:dyDescent="0.2">
      <c r="B2543" t="s">
        <v>1433</v>
      </c>
      <c r="C2543" t="s">
        <v>12898</v>
      </c>
      <c r="D2543" t="s">
        <v>621</v>
      </c>
      <c r="E2543" t="s">
        <v>8982</v>
      </c>
      <c r="F2543">
        <v>1593</v>
      </c>
      <c r="H2543" t="s">
        <v>2341</v>
      </c>
      <c r="L2543" t="s">
        <v>1433</v>
      </c>
      <c r="M2543" t="s">
        <v>3848</v>
      </c>
      <c r="N2543" t="s">
        <v>3849</v>
      </c>
      <c r="O2543">
        <v>2</v>
      </c>
    </row>
    <row r="2544" spans="2:15" x14ac:dyDescent="0.2">
      <c r="B2544" t="s">
        <v>1433</v>
      </c>
      <c r="C2544" t="s">
        <v>12898</v>
      </c>
      <c r="D2544" t="s">
        <v>621</v>
      </c>
      <c r="E2544" t="s">
        <v>8983</v>
      </c>
      <c r="F2544">
        <v>905.76</v>
      </c>
      <c r="H2544" t="s">
        <v>1889</v>
      </c>
      <c r="L2544" t="s">
        <v>1433</v>
      </c>
      <c r="M2544" t="s">
        <v>3850</v>
      </c>
      <c r="N2544" t="s">
        <v>3851</v>
      </c>
      <c r="O2544">
        <v>1</v>
      </c>
    </row>
    <row r="2545" spans="2:15" x14ac:dyDescent="0.2">
      <c r="B2545" t="s">
        <v>1433</v>
      </c>
      <c r="C2545" t="s">
        <v>12898</v>
      </c>
      <c r="D2545" t="s">
        <v>621</v>
      </c>
      <c r="E2545" t="s">
        <v>8984</v>
      </c>
      <c r="F2545">
        <v>195.92</v>
      </c>
      <c r="H2545" t="s">
        <v>8985</v>
      </c>
      <c r="L2545" t="s">
        <v>1433</v>
      </c>
      <c r="M2545" t="s">
        <v>3852</v>
      </c>
      <c r="N2545" t="s">
        <v>3853</v>
      </c>
      <c r="O2545">
        <v>1</v>
      </c>
    </row>
    <row r="2546" spans="2:15" x14ac:dyDescent="0.2">
      <c r="B2546" t="s">
        <v>1433</v>
      </c>
      <c r="C2546" t="s">
        <v>12898</v>
      </c>
      <c r="D2546" t="s">
        <v>621</v>
      </c>
      <c r="E2546" t="s">
        <v>8986</v>
      </c>
      <c r="F2546">
        <v>2904</v>
      </c>
      <c r="H2546" t="s">
        <v>1886</v>
      </c>
      <c r="L2546" t="s">
        <v>1433</v>
      </c>
      <c r="M2546" t="s">
        <v>3854</v>
      </c>
      <c r="N2546" t="s">
        <v>3855</v>
      </c>
      <c r="O2546">
        <v>1</v>
      </c>
    </row>
    <row r="2547" spans="2:15" x14ac:dyDescent="0.2">
      <c r="B2547" t="s">
        <v>1433</v>
      </c>
      <c r="C2547" t="s">
        <v>12898</v>
      </c>
      <c r="D2547" t="s">
        <v>621</v>
      </c>
      <c r="E2547" t="s">
        <v>8987</v>
      </c>
      <c r="F2547">
        <v>2904</v>
      </c>
      <c r="H2547" t="s">
        <v>1888</v>
      </c>
      <c r="L2547" t="s">
        <v>1433</v>
      </c>
      <c r="M2547" t="s">
        <v>3856</v>
      </c>
      <c r="N2547" t="s">
        <v>3857</v>
      </c>
      <c r="O2547">
        <v>200</v>
      </c>
    </row>
    <row r="2548" spans="2:15" x14ac:dyDescent="0.2">
      <c r="B2548" t="s">
        <v>1433</v>
      </c>
      <c r="C2548" t="s">
        <v>12898</v>
      </c>
      <c r="D2548" t="s">
        <v>621</v>
      </c>
      <c r="E2548" t="s">
        <v>8988</v>
      </c>
      <c r="F2548">
        <v>109.44</v>
      </c>
      <c r="H2548" t="s">
        <v>1907</v>
      </c>
      <c r="L2548" t="s">
        <v>1433</v>
      </c>
      <c r="M2548" t="s">
        <v>3858</v>
      </c>
      <c r="N2548" t="s">
        <v>3859</v>
      </c>
      <c r="O2548">
        <v>1</v>
      </c>
    </row>
    <row r="2549" spans="2:15" x14ac:dyDescent="0.2">
      <c r="B2549" t="s">
        <v>1433</v>
      </c>
      <c r="C2549" t="s">
        <v>12898</v>
      </c>
      <c r="D2549" t="s">
        <v>621</v>
      </c>
      <c r="E2549" t="s">
        <v>8989</v>
      </c>
      <c r="F2549">
        <v>1462.4</v>
      </c>
      <c r="H2549" t="s">
        <v>1906</v>
      </c>
      <c r="L2549" t="s">
        <v>1433</v>
      </c>
      <c r="M2549" t="s">
        <v>3860</v>
      </c>
      <c r="N2549" t="s">
        <v>3861</v>
      </c>
      <c r="O2549">
        <v>2</v>
      </c>
    </row>
    <row r="2550" spans="2:15" x14ac:dyDescent="0.2">
      <c r="B2550" t="s">
        <v>1433</v>
      </c>
      <c r="C2550" t="s">
        <v>12898</v>
      </c>
      <c r="D2550" t="s">
        <v>621</v>
      </c>
      <c r="E2550" t="s">
        <v>8990</v>
      </c>
      <c r="F2550">
        <v>22.85</v>
      </c>
      <c r="H2550" t="s">
        <v>8991</v>
      </c>
      <c r="L2550" t="s">
        <v>1433</v>
      </c>
      <c r="M2550" t="s">
        <v>3862</v>
      </c>
      <c r="N2550" t="s">
        <v>3863</v>
      </c>
      <c r="O2550">
        <v>1</v>
      </c>
    </row>
    <row r="2551" spans="2:15" x14ac:dyDescent="0.2">
      <c r="B2551" t="s">
        <v>1433</v>
      </c>
      <c r="C2551" t="s">
        <v>12898</v>
      </c>
      <c r="D2551" t="s">
        <v>613</v>
      </c>
      <c r="E2551" t="s">
        <v>8992</v>
      </c>
      <c r="F2551">
        <v>20.239999999999998</v>
      </c>
      <c r="H2551" t="s">
        <v>5354</v>
      </c>
      <c r="L2551" t="s">
        <v>1433</v>
      </c>
      <c r="M2551" t="s">
        <v>3864</v>
      </c>
      <c r="N2551" t="s">
        <v>3865</v>
      </c>
      <c r="O2551">
        <v>1</v>
      </c>
    </row>
    <row r="2552" spans="2:15" x14ac:dyDescent="0.2">
      <c r="B2552" t="s">
        <v>1433</v>
      </c>
      <c r="C2552" t="s">
        <v>12898</v>
      </c>
      <c r="D2552" t="s">
        <v>617</v>
      </c>
      <c r="E2552" t="s">
        <v>8993</v>
      </c>
      <c r="F2552">
        <v>19.670000000000002</v>
      </c>
      <c r="H2552" t="s">
        <v>5562</v>
      </c>
      <c r="L2552" t="s">
        <v>1433</v>
      </c>
      <c r="M2552" t="s">
        <v>3866</v>
      </c>
      <c r="N2552" t="s">
        <v>3865</v>
      </c>
      <c r="O2552">
        <v>1</v>
      </c>
    </row>
    <row r="2553" spans="2:15" x14ac:dyDescent="0.2">
      <c r="B2553" t="s">
        <v>1433</v>
      </c>
      <c r="C2553" t="s">
        <v>12898</v>
      </c>
      <c r="D2553" t="s">
        <v>617</v>
      </c>
      <c r="E2553" t="s">
        <v>8994</v>
      </c>
      <c r="F2553">
        <v>11.22</v>
      </c>
      <c r="H2553" t="s">
        <v>1806</v>
      </c>
      <c r="L2553" t="s">
        <v>1433</v>
      </c>
      <c r="M2553" t="s">
        <v>3867</v>
      </c>
      <c r="N2553" t="s">
        <v>3865</v>
      </c>
      <c r="O2553">
        <v>1</v>
      </c>
    </row>
    <row r="2554" spans="2:15" x14ac:dyDescent="0.2">
      <c r="B2554" t="s">
        <v>1433</v>
      </c>
      <c r="C2554" t="s">
        <v>12898</v>
      </c>
      <c r="D2554" t="s">
        <v>617</v>
      </c>
      <c r="E2554" t="s">
        <v>8995</v>
      </c>
      <c r="F2554">
        <v>554.29</v>
      </c>
      <c r="H2554" t="s">
        <v>1801</v>
      </c>
      <c r="L2554" t="s">
        <v>1433</v>
      </c>
      <c r="M2554" t="s">
        <v>3868</v>
      </c>
      <c r="N2554" t="s">
        <v>3865</v>
      </c>
      <c r="O2554">
        <v>1</v>
      </c>
    </row>
    <row r="2555" spans="2:15" x14ac:dyDescent="0.2">
      <c r="B2555" t="s">
        <v>1433</v>
      </c>
      <c r="C2555" t="s">
        <v>12898</v>
      </c>
      <c r="D2555" t="s">
        <v>617</v>
      </c>
      <c r="E2555" t="s">
        <v>8996</v>
      </c>
      <c r="F2555">
        <v>25.98</v>
      </c>
      <c r="H2555" t="s">
        <v>1803</v>
      </c>
      <c r="L2555" t="s">
        <v>1433</v>
      </c>
      <c r="M2555" t="s">
        <v>3869</v>
      </c>
      <c r="N2555" t="s">
        <v>3865</v>
      </c>
      <c r="O2555">
        <v>1</v>
      </c>
    </row>
    <row r="2556" spans="2:15" x14ac:dyDescent="0.2">
      <c r="B2556" t="s">
        <v>1433</v>
      </c>
      <c r="C2556" t="s">
        <v>12898</v>
      </c>
      <c r="D2556" t="s">
        <v>617</v>
      </c>
      <c r="E2556" t="s">
        <v>8997</v>
      </c>
      <c r="F2556">
        <v>150.69999999999999</v>
      </c>
      <c r="H2556" t="s">
        <v>1804</v>
      </c>
      <c r="L2556" t="s">
        <v>1433</v>
      </c>
      <c r="M2556" t="s">
        <v>3870</v>
      </c>
      <c r="N2556" t="s">
        <v>3865</v>
      </c>
      <c r="O2556">
        <v>1</v>
      </c>
    </row>
    <row r="2557" spans="2:15" x14ac:dyDescent="0.2">
      <c r="B2557" t="s">
        <v>1433</v>
      </c>
      <c r="C2557" t="s">
        <v>12898</v>
      </c>
      <c r="D2557" t="s">
        <v>617</v>
      </c>
      <c r="E2557" t="s">
        <v>8998</v>
      </c>
      <c r="F2557">
        <v>191.19</v>
      </c>
      <c r="H2557" t="s">
        <v>1804</v>
      </c>
      <c r="L2557" t="s">
        <v>1433</v>
      </c>
      <c r="M2557" t="s">
        <v>3871</v>
      </c>
      <c r="N2557" t="s">
        <v>3872</v>
      </c>
      <c r="O2557">
        <v>1</v>
      </c>
    </row>
    <row r="2558" spans="2:15" x14ac:dyDescent="0.2">
      <c r="B2558" t="s">
        <v>1433</v>
      </c>
      <c r="C2558" t="s">
        <v>12898</v>
      </c>
      <c r="D2558" t="s">
        <v>617</v>
      </c>
      <c r="E2558" t="s">
        <v>8999</v>
      </c>
      <c r="F2558">
        <v>5.27</v>
      </c>
      <c r="H2558" t="s">
        <v>1805</v>
      </c>
      <c r="L2558" t="s">
        <v>1433</v>
      </c>
      <c r="M2558" t="s">
        <v>3873</v>
      </c>
      <c r="N2558" t="s">
        <v>3874</v>
      </c>
      <c r="O2558">
        <v>1</v>
      </c>
    </row>
    <row r="2559" spans="2:15" x14ac:dyDescent="0.2">
      <c r="B2559" t="s">
        <v>1433</v>
      </c>
      <c r="C2559" t="s">
        <v>12898</v>
      </c>
      <c r="D2559" t="s">
        <v>617</v>
      </c>
      <c r="E2559" t="s">
        <v>9000</v>
      </c>
      <c r="F2559">
        <v>119.16</v>
      </c>
      <c r="H2559" t="s">
        <v>1789</v>
      </c>
      <c r="L2559" t="s">
        <v>1433</v>
      </c>
      <c r="M2559" t="s">
        <v>3875</v>
      </c>
      <c r="N2559" t="s">
        <v>3876</v>
      </c>
      <c r="O2559">
        <v>1</v>
      </c>
    </row>
    <row r="2560" spans="2:15" x14ac:dyDescent="0.2">
      <c r="B2560" t="s">
        <v>1433</v>
      </c>
      <c r="C2560" t="s">
        <v>12898</v>
      </c>
      <c r="D2560" t="s">
        <v>617</v>
      </c>
      <c r="E2560" t="s">
        <v>9001</v>
      </c>
      <c r="F2560">
        <v>536.22</v>
      </c>
      <c r="H2560" t="s">
        <v>1789</v>
      </c>
      <c r="L2560" t="s">
        <v>1433</v>
      </c>
      <c r="M2560" t="s">
        <v>3877</v>
      </c>
      <c r="N2560" t="s">
        <v>3878</v>
      </c>
      <c r="O2560">
        <v>1</v>
      </c>
    </row>
    <row r="2561" spans="2:15" x14ac:dyDescent="0.2">
      <c r="B2561" t="s">
        <v>1433</v>
      </c>
      <c r="C2561" t="s">
        <v>12898</v>
      </c>
      <c r="D2561" t="s">
        <v>617</v>
      </c>
      <c r="E2561" t="s">
        <v>9002</v>
      </c>
      <c r="F2561">
        <v>91.7</v>
      </c>
      <c r="H2561" t="s">
        <v>1848</v>
      </c>
      <c r="L2561" t="s">
        <v>1433</v>
      </c>
      <c r="M2561" t="s">
        <v>3879</v>
      </c>
      <c r="N2561" t="s">
        <v>3880</v>
      </c>
      <c r="O2561">
        <v>1</v>
      </c>
    </row>
    <row r="2562" spans="2:15" x14ac:dyDescent="0.2">
      <c r="B2562" t="s">
        <v>1433</v>
      </c>
      <c r="C2562" t="s">
        <v>12898</v>
      </c>
      <c r="D2562" t="s">
        <v>617</v>
      </c>
      <c r="E2562" t="s">
        <v>9003</v>
      </c>
      <c r="F2562">
        <v>96.46</v>
      </c>
      <c r="H2562" t="s">
        <v>1850</v>
      </c>
      <c r="L2562" t="s">
        <v>1433</v>
      </c>
      <c r="M2562" t="s">
        <v>1249</v>
      </c>
      <c r="N2562" t="s">
        <v>3881</v>
      </c>
      <c r="O2562">
        <v>1</v>
      </c>
    </row>
    <row r="2563" spans="2:15" x14ac:dyDescent="0.2">
      <c r="B2563" t="s">
        <v>1433</v>
      </c>
      <c r="C2563" t="s">
        <v>12898</v>
      </c>
      <c r="D2563" t="s">
        <v>617</v>
      </c>
      <c r="E2563" t="s">
        <v>9004</v>
      </c>
      <c r="F2563">
        <v>113.75</v>
      </c>
      <c r="H2563" t="s">
        <v>9005</v>
      </c>
      <c r="L2563" t="s">
        <v>1433</v>
      </c>
      <c r="M2563" t="s">
        <v>1246</v>
      </c>
      <c r="N2563" t="s">
        <v>3881</v>
      </c>
      <c r="O2563">
        <v>1</v>
      </c>
    </row>
    <row r="2564" spans="2:15" x14ac:dyDescent="0.2">
      <c r="B2564" t="s">
        <v>1433</v>
      </c>
      <c r="C2564" t="s">
        <v>12898</v>
      </c>
      <c r="D2564" t="s">
        <v>617</v>
      </c>
      <c r="E2564" t="s">
        <v>9007</v>
      </c>
      <c r="F2564">
        <v>108.15</v>
      </c>
      <c r="H2564" t="s">
        <v>1851</v>
      </c>
      <c r="L2564" t="s">
        <v>1433</v>
      </c>
      <c r="M2564" t="s">
        <v>1248</v>
      </c>
      <c r="N2564" t="s">
        <v>3881</v>
      </c>
      <c r="O2564">
        <v>1</v>
      </c>
    </row>
    <row r="2565" spans="2:15" x14ac:dyDescent="0.2">
      <c r="B2565" t="s">
        <v>1433</v>
      </c>
      <c r="C2565" t="s">
        <v>12898</v>
      </c>
      <c r="D2565" t="s">
        <v>617</v>
      </c>
      <c r="E2565" t="s">
        <v>9008</v>
      </c>
      <c r="F2565">
        <v>146.02000000000001</v>
      </c>
      <c r="H2565" t="s">
        <v>1852</v>
      </c>
      <c r="L2565" t="s">
        <v>1433</v>
      </c>
      <c r="M2565" t="s">
        <v>1429</v>
      </c>
      <c r="N2565" t="s">
        <v>3882</v>
      </c>
      <c r="O2565">
        <v>1</v>
      </c>
    </row>
    <row r="2566" spans="2:15" x14ac:dyDescent="0.2">
      <c r="B2566" t="s">
        <v>1433</v>
      </c>
      <c r="C2566" t="s">
        <v>12898</v>
      </c>
      <c r="D2566" t="s">
        <v>617</v>
      </c>
      <c r="E2566" t="s">
        <v>9009</v>
      </c>
      <c r="F2566">
        <v>156.96</v>
      </c>
      <c r="H2566" t="s">
        <v>1707</v>
      </c>
      <c r="L2566" t="s">
        <v>1433</v>
      </c>
      <c r="M2566" t="s">
        <v>1274</v>
      </c>
      <c r="N2566" t="s">
        <v>3883</v>
      </c>
      <c r="O2566">
        <v>1</v>
      </c>
    </row>
    <row r="2567" spans="2:15" x14ac:dyDescent="0.2">
      <c r="B2567" t="s">
        <v>1433</v>
      </c>
      <c r="C2567" t="s">
        <v>12898</v>
      </c>
      <c r="D2567" t="s">
        <v>617</v>
      </c>
      <c r="E2567" t="s">
        <v>9010</v>
      </c>
      <c r="F2567">
        <v>719.04</v>
      </c>
      <c r="H2567" t="s">
        <v>2583</v>
      </c>
      <c r="L2567" t="s">
        <v>1433</v>
      </c>
      <c r="M2567" t="s">
        <v>1251</v>
      </c>
      <c r="N2567" t="s">
        <v>3883</v>
      </c>
      <c r="O2567">
        <v>1</v>
      </c>
    </row>
    <row r="2568" spans="2:15" x14ac:dyDescent="0.2">
      <c r="B2568" t="s">
        <v>1433</v>
      </c>
      <c r="C2568" t="s">
        <v>12898</v>
      </c>
      <c r="D2568" t="s">
        <v>617</v>
      </c>
      <c r="E2568" t="s">
        <v>9011</v>
      </c>
      <c r="F2568">
        <v>126.76</v>
      </c>
      <c r="H2568" t="s">
        <v>2769</v>
      </c>
      <c r="L2568" t="s">
        <v>1433</v>
      </c>
      <c r="M2568" t="s">
        <v>3884</v>
      </c>
      <c r="N2568" t="s">
        <v>3885</v>
      </c>
      <c r="O2568">
        <v>6</v>
      </c>
    </row>
    <row r="2569" spans="2:15" x14ac:dyDescent="0.2">
      <c r="B2569" t="s">
        <v>1433</v>
      </c>
      <c r="C2569" t="s">
        <v>12898</v>
      </c>
      <c r="D2569" t="s">
        <v>617</v>
      </c>
      <c r="E2569" t="s">
        <v>9012</v>
      </c>
      <c r="F2569">
        <v>63.38</v>
      </c>
      <c r="H2569" t="s">
        <v>2769</v>
      </c>
      <c r="L2569" t="s">
        <v>1433</v>
      </c>
      <c r="M2569" t="s">
        <v>3886</v>
      </c>
      <c r="N2569" t="s">
        <v>3887</v>
      </c>
      <c r="O2569">
        <v>4</v>
      </c>
    </row>
    <row r="2570" spans="2:15" x14ac:dyDescent="0.2">
      <c r="B2570" t="s">
        <v>1433</v>
      </c>
      <c r="C2570" t="s">
        <v>12898</v>
      </c>
      <c r="D2570" t="s">
        <v>617</v>
      </c>
      <c r="E2570" t="s">
        <v>9013</v>
      </c>
      <c r="F2570">
        <v>130.32</v>
      </c>
      <c r="H2570" t="s">
        <v>1853</v>
      </c>
      <c r="L2570" t="s">
        <v>1433</v>
      </c>
      <c r="M2570" t="s">
        <v>3888</v>
      </c>
      <c r="N2570" t="s">
        <v>3887</v>
      </c>
      <c r="O2570">
        <v>4</v>
      </c>
    </row>
    <row r="2571" spans="2:15" x14ac:dyDescent="0.2">
      <c r="B2571" t="s">
        <v>1433</v>
      </c>
      <c r="C2571" t="s">
        <v>12898</v>
      </c>
      <c r="D2571" t="s">
        <v>617</v>
      </c>
      <c r="E2571" t="s">
        <v>9014</v>
      </c>
      <c r="F2571">
        <v>173.85</v>
      </c>
      <c r="H2571" t="s">
        <v>1706</v>
      </c>
      <c r="L2571" t="s">
        <v>1433</v>
      </c>
      <c r="M2571" t="s">
        <v>3889</v>
      </c>
      <c r="N2571" t="s">
        <v>3890</v>
      </c>
      <c r="O2571">
        <v>1</v>
      </c>
    </row>
    <row r="2572" spans="2:15" x14ac:dyDescent="0.2">
      <c r="B2572" t="s">
        <v>1433</v>
      </c>
      <c r="C2572" t="s">
        <v>12898</v>
      </c>
      <c r="D2572" t="s">
        <v>617</v>
      </c>
      <c r="E2572" t="s">
        <v>9015</v>
      </c>
      <c r="F2572">
        <v>65.36</v>
      </c>
      <c r="H2572" t="s">
        <v>1856</v>
      </c>
      <c r="L2572" t="s">
        <v>1433</v>
      </c>
      <c r="M2572" t="s">
        <v>3891</v>
      </c>
      <c r="N2572" t="s">
        <v>3892</v>
      </c>
      <c r="O2572">
        <v>1</v>
      </c>
    </row>
    <row r="2573" spans="2:15" x14ac:dyDescent="0.2">
      <c r="B2573" t="s">
        <v>1433</v>
      </c>
      <c r="C2573" t="s">
        <v>12898</v>
      </c>
      <c r="D2573" t="s">
        <v>617</v>
      </c>
      <c r="E2573" t="s">
        <v>9016</v>
      </c>
      <c r="F2573">
        <v>70.97</v>
      </c>
      <c r="H2573" t="s">
        <v>1858</v>
      </c>
      <c r="L2573" t="s">
        <v>1433</v>
      </c>
      <c r="M2573" t="s">
        <v>3893</v>
      </c>
      <c r="N2573" t="s">
        <v>3894</v>
      </c>
      <c r="O2573">
        <v>1</v>
      </c>
    </row>
    <row r="2574" spans="2:15" x14ac:dyDescent="0.2">
      <c r="B2574" t="s">
        <v>1433</v>
      </c>
      <c r="C2574" t="s">
        <v>12898</v>
      </c>
      <c r="D2574" t="s">
        <v>617</v>
      </c>
      <c r="E2574" t="s">
        <v>9017</v>
      </c>
      <c r="F2574">
        <v>144.4</v>
      </c>
      <c r="H2574" t="s">
        <v>9006</v>
      </c>
      <c r="L2574" t="s">
        <v>1433</v>
      </c>
      <c r="M2574" t="s">
        <v>3895</v>
      </c>
      <c r="N2574" t="s">
        <v>3894</v>
      </c>
      <c r="O2574">
        <v>1</v>
      </c>
    </row>
    <row r="2575" spans="2:15" x14ac:dyDescent="0.2">
      <c r="B2575" t="s">
        <v>1433</v>
      </c>
      <c r="C2575" t="s">
        <v>12898</v>
      </c>
      <c r="D2575" t="s">
        <v>617</v>
      </c>
      <c r="E2575" t="s">
        <v>9018</v>
      </c>
      <c r="F2575">
        <v>84.4</v>
      </c>
      <c r="H2575" t="s">
        <v>1712</v>
      </c>
      <c r="L2575" t="s">
        <v>1433</v>
      </c>
      <c r="M2575" t="s">
        <v>3896</v>
      </c>
      <c r="N2575" t="s">
        <v>3894</v>
      </c>
      <c r="O2575">
        <v>1</v>
      </c>
    </row>
    <row r="2576" spans="2:15" x14ac:dyDescent="0.2">
      <c r="B2576" t="s">
        <v>1433</v>
      </c>
      <c r="C2576" t="s">
        <v>12898</v>
      </c>
      <c r="D2576" t="s">
        <v>617</v>
      </c>
      <c r="E2576" t="s">
        <v>9019</v>
      </c>
      <c r="F2576">
        <v>801.24</v>
      </c>
      <c r="H2576" t="s">
        <v>1822</v>
      </c>
      <c r="L2576" t="s">
        <v>1433</v>
      </c>
      <c r="M2576" t="s">
        <v>3897</v>
      </c>
      <c r="N2576" t="s">
        <v>3894</v>
      </c>
      <c r="O2576">
        <v>1</v>
      </c>
    </row>
    <row r="2577" spans="2:15" x14ac:dyDescent="0.2">
      <c r="B2577" t="s">
        <v>1433</v>
      </c>
      <c r="C2577" t="s">
        <v>12898</v>
      </c>
      <c r="D2577" t="s">
        <v>617</v>
      </c>
      <c r="E2577" t="s">
        <v>9020</v>
      </c>
      <c r="F2577">
        <v>920.4</v>
      </c>
      <c r="H2577" t="s">
        <v>1824</v>
      </c>
      <c r="L2577" t="s">
        <v>1433</v>
      </c>
      <c r="M2577" t="s">
        <v>2732</v>
      </c>
      <c r="N2577" t="s">
        <v>3898</v>
      </c>
      <c r="O2577">
        <v>1</v>
      </c>
    </row>
    <row r="2578" spans="2:15" x14ac:dyDescent="0.2">
      <c r="B2578" t="s">
        <v>1433</v>
      </c>
      <c r="C2578" t="s">
        <v>12898</v>
      </c>
      <c r="D2578" t="s">
        <v>617</v>
      </c>
      <c r="E2578" t="s">
        <v>9021</v>
      </c>
      <c r="F2578">
        <v>1722.24</v>
      </c>
      <c r="H2578" t="s">
        <v>1826</v>
      </c>
      <c r="L2578" t="s">
        <v>1433</v>
      </c>
      <c r="M2578" t="s">
        <v>3899</v>
      </c>
      <c r="N2578" t="s">
        <v>3900</v>
      </c>
      <c r="O2578">
        <v>1</v>
      </c>
    </row>
    <row r="2579" spans="2:15" x14ac:dyDescent="0.2">
      <c r="B2579" t="s">
        <v>1433</v>
      </c>
      <c r="C2579" t="s">
        <v>12898</v>
      </c>
      <c r="D2579" t="s">
        <v>617</v>
      </c>
      <c r="E2579" t="s">
        <v>9022</v>
      </c>
      <c r="F2579">
        <v>634.26</v>
      </c>
      <c r="H2579" t="s">
        <v>1831</v>
      </c>
      <c r="L2579" t="s">
        <v>1433</v>
      </c>
      <c r="M2579" t="s">
        <v>3901</v>
      </c>
      <c r="N2579" t="s">
        <v>3900</v>
      </c>
      <c r="O2579">
        <v>1</v>
      </c>
    </row>
    <row r="2580" spans="2:15" x14ac:dyDescent="0.2">
      <c r="B2580" t="s">
        <v>1433</v>
      </c>
      <c r="C2580" t="s">
        <v>12898</v>
      </c>
      <c r="D2580" t="s">
        <v>617</v>
      </c>
      <c r="E2580" t="s">
        <v>9023</v>
      </c>
      <c r="F2580">
        <v>870</v>
      </c>
      <c r="H2580" t="s">
        <v>1832</v>
      </c>
      <c r="L2580" t="s">
        <v>1433</v>
      </c>
      <c r="M2580" t="s">
        <v>3902</v>
      </c>
      <c r="N2580" t="s">
        <v>3903</v>
      </c>
      <c r="O2580">
        <v>1</v>
      </c>
    </row>
    <row r="2581" spans="2:15" x14ac:dyDescent="0.2">
      <c r="B2581" t="s">
        <v>1433</v>
      </c>
      <c r="C2581" t="s">
        <v>12898</v>
      </c>
      <c r="D2581" t="s">
        <v>617</v>
      </c>
      <c r="E2581" t="s">
        <v>9024</v>
      </c>
      <c r="F2581">
        <v>1971.84</v>
      </c>
      <c r="H2581" t="s">
        <v>1833</v>
      </c>
      <c r="L2581" t="s">
        <v>1433</v>
      </c>
      <c r="M2581" t="s">
        <v>3904</v>
      </c>
      <c r="N2581" t="s">
        <v>3903</v>
      </c>
      <c r="O2581">
        <v>1</v>
      </c>
    </row>
    <row r="2582" spans="2:15" x14ac:dyDescent="0.2">
      <c r="B2582" t="s">
        <v>1433</v>
      </c>
      <c r="C2582" t="s">
        <v>12898</v>
      </c>
      <c r="D2582" t="s">
        <v>617</v>
      </c>
      <c r="E2582" t="s">
        <v>9025</v>
      </c>
      <c r="F2582">
        <v>453.5</v>
      </c>
      <c r="H2582" t="s">
        <v>1834</v>
      </c>
      <c r="L2582" t="s">
        <v>1433</v>
      </c>
      <c r="M2582" t="s">
        <v>3905</v>
      </c>
      <c r="N2582" t="s">
        <v>3903</v>
      </c>
      <c r="O2582">
        <v>1</v>
      </c>
    </row>
    <row r="2583" spans="2:15" x14ac:dyDescent="0.2">
      <c r="B2583" t="s">
        <v>1433</v>
      </c>
      <c r="C2583" t="s">
        <v>12898</v>
      </c>
      <c r="D2583" t="s">
        <v>617</v>
      </c>
      <c r="E2583" t="s">
        <v>9026</v>
      </c>
      <c r="F2583">
        <v>496</v>
      </c>
      <c r="H2583" t="s">
        <v>1835</v>
      </c>
      <c r="L2583" t="s">
        <v>1433</v>
      </c>
      <c r="M2583" t="s">
        <v>3906</v>
      </c>
      <c r="N2583" t="s">
        <v>3903</v>
      </c>
      <c r="O2583">
        <v>1</v>
      </c>
    </row>
    <row r="2584" spans="2:15" x14ac:dyDescent="0.2">
      <c r="B2584" t="s">
        <v>1433</v>
      </c>
      <c r="C2584" t="s">
        <v>12898</v>
      </c>
      <c r="D2584" t="s">
        <v>617</v>
      </c>
      <c r="E2584" t="s">
        <v>9027</v>
      </c>
      <c r="F2584">
        <v>721.2</v>
      </c>
      <c r="H2584" t="s">
        <v>1838</v>
      </c>
      <c r="L2584" t="s">
        <v>1433</v>
      </c>
      <c r="M2584" t="s">
        <v>3907</v>
      </c>
      <c r="N2584" t="s">
        <v>3903</v>
      </c>
      <c r="O2584">
        <v>1</v>
      </c>
    </row>
    <row r="2585" spans="2:15" x14ac:dyDescent="0.2">
      <c r="B2585" t="s">
        <v>1433</v>
      </c>
      <c r="C2585" t="s">
        <v>12898</v>
      </c>
      <c r="D2585" t="s">
        <v>617</v>
      </c>
      <c r="E2585" t="s">
        <v>9028</v>
      </c>
      <c r="F2585">
        <v>148.12</v>
      </c>
      <c r="H2585" t="s">
        <v>2135</v>
      </c>
      <c r="L2585" t="s">
        <v>1433</v>
      </c>
      <c r="M2585" t="s">
        <v>3908</v>
      </c>
      <c r="N2585" t="s">
        <v>3903</v>
      </c>
      <c r="O2585">
        <v>1</v>
      </c>
    </row>
    <row r="2586" spans="2:15" x14ac:dyDescent="0.2">
      <c r="B2586" t="s">
        <v>1433</v>
      </c>
      <c r="C2586" t="s">
        <v>12898</v>
      </c>
      <c r="D2586" t="s">
        <v>617</v>
      </c>
      <c r="E2586" t="s">
        <v>9029</v>
      </c>
      <c r="F2586">
        <v>913</v>
      </c>
      <c r="H2586" t="s">
        <v>2136</v>
      </c>
      <c r="L2586" t="s">
        <v>1433</v>
      </c>
      <c r="M2586" t="s">
        <v>3909</v>
      </c>
      <c r="N2586" t="s">
        <v>3903</v>
      </c>
      <c r="O2586">
        <v>1</v>
      </c>
    </row>
    <row r="2587" spans="2:15" x14ac:dyDescent="0.2">
      <c r="B2587" t="s">
        <v>1433</v>
      </c>
      <c r="C2587" t="s">
        <v>12898</v>
      </c>
      <c r="D2587" t="s">
        <v>617</v>
      </c>
      <c r="E2587" t="s">
        <v>9030</v>
      </c>
      <c r="F2587">
        <v>42</v>
      </c>
      <c r="H2587" t="s">
        <v>2137</v>
      </c>
      <c r="L2587" t="s">
        <v>1433</v>
      </c>
      <c r="M2587" t="s">
        <v>3910</v>
      </c>
      <c r="N2587" t="s">
        <v>3903</v>
      </c>
      <c r="O2587">
        <v>1</v>
      </c>
    </row>
    <row r="2588" spans="2:15" x14ac:dyDescent="0.2">
      <c r="B2588" t="s">
        <v>1433</v>
      </c>
      <c r="C2588" t="s">
        <v>12898</v>
      </c>
      <c r="D2588" t="s">
        <v>613</v>
      </c>
      <c r="E2588" t="s">
        <v>9031</v>
      </c>
      <c r="F2588">
        <v>12.88</v>
      </c>
      <c r="H2588" t="s">
        <v>5354</v>
      </c>
      <c r="L2588" t="s">
        <v>1433</v>
      </c>
      <c r="M2588" t="s">
        <v>3911</v>
      </c>
      <c r="N2588" t="s">
        <v>3903</v>
      </c>
      <c r="O2588">
        <v>1</v>
      </c>
    </row>
    <row r="2589" spans="2:15" x14ac:dyDescent="0.2">
      <c r="B2589" t="s">
        <v>1433</v>
      </c>
      <c r="C2589" t="s">
        <v>12898</v>
      </c>
      <c r="D2589" t="s">
        <v>617</v>
      </c>
      <c r="E2589" t="s">
        <v>9032</v>
      </c>
      <c r="F2589">
        <v>12.52</v>
      </c>
      <c r="H2589" t="s">
        <v>5562</v>
      </c>
      <c r="L2589" t="s">
        <v>1433</v>
      </c>
      <c r="M2589" t="s">
        <v>3912</v>
      </c>
      <c r="N2589" t="s">
        <v>3903</v>
      </c>
      <c r="O2589">
        <v>1</v>
      </c>
    </row>
    <row r="2590" spans="2:15" x14ac:dyDescent="0.2">
      <c r="B2590" t="s">
        <v>1433</v>
      </c>
      <c r="C2590" t="s">
        <v>12898</v>
      </c>
      <c r="D2590" t="s">
        <v>617</v>
      </c>
      <c r="E2590" t="s">
        <v>9033</v>
      </c>
      <c r="F2590">
        <v>5.92</v>
      </c>
      <c r="H2590" t="s">
        <v>1806</v>
      </c>
      <c r="L2590" t="s">
        <v>1433</v>
      </c>
      <c r="M2590" t="s">
        <v>3913</v>
      </c>
      <c r="N2590" t="s">
        <v>3903</v>
      </c>
      <c r="O2590">
        <v>1</v>
      </c>
    </row>
    <row r="2591" spans="2:15" x14ac:dyDescent="0.2">
      <c r="B2591" t="s">
        <v>1433</v>
      </c>
      <c r="C2591" t="s">
        <v>12898</v>
      </c>
      <c r="D2591" t="s">
        <v>617</v>
      </c>
      <c r="E2591" t="s">
        <v>9034</v>
      </c>
      <c r="F2591">
        <v>352.73</v>
      </c>
      <c r="H2591" t="s">
        <v>1801</v>
      </c>
      <c r="L2591" t="s">
        <v>1433</v>
      </c>
      <c r="M2591" t="s">
        <v>3914</v>
      </c>
      <c r="N2591" t="s">
        <v>3903</v>
      </c>
      <c r="O2591">
        <v>1</v>
      </c>
    </row>
    <row r="2592" spans="2:15" x14ac:dyDescent="0.2">
      <c r="B2592" t="s">
        <v>1433</v>
      </c>
      <c r="C2592" t="s">
        <v>12898</v>
      </c>
      <c r="D2592" t="s">
        <v>617</v>
      </c>
      <c r="E2592" t="s">
        <v>9035</v>
      </c>
      <c r="F2592">
        <v>15.28</v>
      </c>
      <c r="H2592" t="s">
        <v>1372</v>
      </c>
      <c r="L2592" t="s">
        <v>1433</v>
      </c>
      <c r="M2592" t="s">
        <v>3915</v>
      </c>
      <c r="N2592" t="s">
        <v>3903</v>
      </c>
      <c r="O2592">
        <v>1</v>
      </c>
    </row>
    <row r="2593" spans="2:15" x14ac:dyDescent="0.2">
      <c r="B2593" t="s">
        <v>1433</v>
      </c>
      <c r="C2593" t="s">
        <v>12898</v>
      </c>
      <c r="D2593" t="s">
        <v>617</v>
      </c>
      <c r="E2593" t="s">
        <v>9036</v>
      </c>
      <c r="F2593">
        <v>5.4</v>
      </c>
      <c r="H2593" t="s">
        <v>1458</v>
      </c>
      <c r="L2593" t="s">
        <v>1433</v>
      </c>
      <c r="M2593" t="s">
        <v>3916</v>
      </c>
      <c r="N2593" t="s">
        <v>3903</v>
      </c>
      <c r="O2593">
        <v>1</v>
      </c>
    </row>
    <row r="2594" spans="2:15" x14ac:dyDescent="0.2">
      <c r="B2594" t="s">
        <v>1433</v>
      </c>
      <c r="C2594" t="s">
        <v>12898</v>
      </c>
      <c r="D2594" t="s">
        <v>617</v>
      </c>
      <c r="E2594" t="s">
        <v>9037</v>
      </c>
      <c r="F2594">
        <v>43.75</v>
      </c>
      <c r="H2594" t="s">
        <v>1461</v>
      </c>
      <c r="L2594" t="s">
        <v>1433</v>
      </c>
      <c r="M2594" t="s">
        <v>3917</v>
      </c>
      <c r="N2594" t="s">
        <v>3903</v>
      </c>
      <c r="O2594">
        <v>1</v>
      </c>
    </row>
    <row r="2595" spans="2:15" x14ac:dyDescent="0.2">
      <c r="B2595" t="s">
        <v>1433</v>
      </c>
      <c r="C2595" t="s">
        <v>12898</v>
      </c>
      <c r="D2595" t="s">
        <v>617</v>
      </c>
      <c r="E2595" t="s">
        <v>9038</v>
      </c>
      <c r="F2595">
        <v>66.59</v>
      </c>
      <c r="H2595" t="s">
        <v>1872</v>
      </c>
      <c r="L2595" t="s">
        <v>1433</v>
      </c>
      <c r="M2595" t="s">
        <v>3918</v>
      </c>
      <c r="N2595" t="s">
        <v>3903</v>
      </c>
      <c r="O2595">
        <v>1</v>
      </c>
    </row>
    <row r="2596" spans="2:15" x14ac:dyDescent="0.2">
      <c r="B2596" t="s">
        <v>1433</v>
      </c>
      <c r="C2596" t="s">
        <v>12898</v>
      </c>
      <c r="D2596" t="s">
        <v>617</v>
      </c>
      <c r="E2596" t="s">
        <v>9039</v>
      </c>
      <c r="F2596">
        <v>16.53</v>
      </c>
      <c r="H2596" t="s">
        <v>1803</v>
      </c>
      <c r="L2596" t="s">
        <v>1433</v>
      </c>
      <c r="M2596" t="s">
        <v>3919</v>
      </c>
      <c r="N2596" t="s">
        <v>3903</v>
      </c>
      <c r="O2596">
        <v>1</v>
      </c>
    </row>
    <row r="2597" spans="2:15" x14ac:dyDescent="0.2">
      <c r="B2597" t="s">
        <v>1433</v>
      </c>
      <c r="C2597" t="s">
        <v>12898</v>
      </c>
      <c r="D2597" t="s">
        <v>617</v>
      </c>
      <c r="E2597" t="s">
        <v>9040</v>
      </c>
      <c r="F2597">
        <v>150.69999999999999</v>
      </c>
      <c r="H2597" t="s">
        <v>1804</v>
      </c>
      <c r="L2597" t="s">
        <v>1433</v>
      </c>
      <c r="M2597" t="s">
        <v>3920</v>
      </c>
      <c r="N2597" t="s">
        <v>3903</v>
      </c>
      <c r="O2597">
        <v>1</v>
      </c>
    </row>
    <row r="2598" spans="2:15" x14ac:dyDescent="0.2">
      <c r="B2598" t="s">
        <v>1433</v>
      </c>
      <c r="C2598" t="s">
        <v>12898</v>
      </c>
      <c r="D2598" t="s">
        <v>617</v>
      </c>
      <c r="E2598" t="s">
        <v>9041</v>
      </c>
      <c r="F2598">
        <v>79.27</v>
      </c>
      <c r="H2598" t="s">
        <v>1804</v>
      </c>
      <c r="L2598" t="s">
        <v>1433</v>
      </c>
      <c r="M2598" t="s">
        <v>3921</v>
      </c>
      <c r="N2598" t="s">
        <v>3903</v>
      </c>
      <c r="O2598">
        <v>1</v>
      </c>
    </row>
    <row r="2599" spans="2:15" x14ac:dyDescent="0.2">
      <c r="B2599" t="s">
        <v>1433</v>
      </c>
      <c r="C2599" t="s">
        <v>12898</v>
      </c>
      <c r="D2599" t="s">
        <v>617</v>
      </c>
      <c r="E2599" t="s">
        <v>9042</v>
      </c>
      <c r="F2599">
        <v>3.35</v>
      </c>
      <c r="H2599" t="s">
        <v>1805</v>
      </c>
      <c r="L2599" t="s">
        <v>1433</v>
      </c>
      <c r="M2599" t="s">
        <v>3922</v>
      </c>
      <c r="N2599" t="s">
        <v>3923</v>
      </c>
      <c r="O2599">
        <v>1</v>
      </c>
    </row>
    <row r="2600" spans="2:15" x14ac:dyDescent="0.2">
      <c r="B2600" t="s">
        <v>1433</v>
      </c>
      <c r="C2600" t="s">
        <v>12898</v>
      </c>
      <c r="D2600" t="s">
        <v>617</v>
      </c>
      <c r="E2600" t="s">
        <v>9043</v>
      </c>
      <c r="F2600">
        <v>126.09</v>
      </c>
      <c r="H2600" t="s">
        <v>1786</v>
      </c>
      <c r="L2600" t="s">
        <v>1433</v>
      </c>
      <c r="M2600" t="s">
        <v>3924</v>
      </c>
      <c r="N2600" t="s">
        <v>3925</v>
      </c>
      <c r="O2600">
        <v>1</v>
      </c>
    </row>
    <row r="2601" spans="2:15" x14ac:dyDescent="0.2">
      <c r="B2601" t="s">
        <v>1433</v>
      </c>
      <c r="C2601" t="s">
        <v>12898</v>
      </c>
      <c r="D2601" t="s">
        <v>617</v>
      </c>
      <c r="E2601" t="s">
        <v>9044</v>
      </c>
      <c r="F2601">
        <v>119.16</v>
      </c>
      <c r="H2601" t="s">
        <v>1789</v>
      </c>
      <c r="L2601" t="s">
        <v>1433</v>
      </c>
      <c r="M2601" t="s">
        <v>3926</v>
      </c>
      <c r="N2601" t="s">
        <v>3927</v>
      </c>
      <c r="O2601">
        <v>1</v>
      </c>
    </row>
    <row r="2602" spans="2:15" x14ac:dyDescent="0.2">
      <c r="B2602" t="s">
        <v>1433</v>
      </c>
      <c r="C2602" t="s">
        <v>12898</v>
      </c>
      <c r="D2602" t="s">
        <v>617</v>
      </c>
      <c r="E2602" t="s">
        <v>9045</v>
      </c>
      <c r="F2602">
        <v>119.16</v>
      </c>
      <c r="H2602" t="s">
        <v>1789</v>
      </c>
      <c r="L2602" t="s">
        <v>1433</v>
      </c>
      <c r="M2602" t="s">
        <v>3928</v>
      </c>
      <c r="N2602" t="s">
        <v>3929</v>
      </c>
      <c r="O2602">
        <v>1</v>
      </c>
    </row>
    <row r="2603" spans="2:15" x14ac:dyDescent="0.2">
      <c r="B2603" t="s">
        <v>1433</v>
      </c>
      <c r="C2603" t="s">
        <v>12898</v>
      </c>
      <c r="D2603" t="s">
        <v>617</v>
      </c>
      <c r="E2603" t="s">
        <v>9046</v>
      </c>
      <c r="F2603">
        <v>111.06</v>
      </c>
      <c r="H2603" t="s">
        <v>1885</v>
      </c>
      <c r="L2603" t="s">
        <v>1433</v>
      </c>
      <c r="M2603" t="s">
        <v>3930</v>
      </c>
      <c r="N2603" t="s">
        <v>3931</v>
      </c>
      <c r="O2603">
        <v>1</v>
      </c>
    </row>
    <row r="2604" spans="2:15" x14ac:dyDescent="0.2">
      <c r="B2604" t="s">
        <v>1433</v>
      </c>
      <c r="C2604" t="s">
        <v>12898</v>
      </c>
      <c r="D2604" t="s">
        <v>617</v>
      </c>
      <c r="E2604" t="s">
        <v>9047</v>
      </c>
      <c r="F2604">
        <v>144.22</v>
      </c>
      <c r="H2604" t="s">
        <v>1883</v>
      </c>
      <c r="L2604" t="s">
        <v>1433</v>
      </c>
      <c r="M2604" t="s">
        <v>3932</v>
      </c>
      <c r="N2604" t="s">
        <v>3933</v>
      </c>
      <c r="O2604">
        <v>1</v>
      </c>
    </row>
    <row r="2605" spans="2:15" x14ac:dyDescent="0.2">
      <c r="B2605" t="s">
        <v>1433</v>
      </c>
      <c r="C2605" t="s">
        <v>12898</v>
      </c>
      <c r="D2605" t="s">
        <v>617</v>
      </c>
      <c r="E2605" t="s">
        <v>9048</v>
      </c>
      <c r="F2605">
        <v>131.97999999999999</v>
      </c>
      <c r="H2605" t="s">
        <v>2304</v>
      </c>
      <c r="L2605" t="s">
        <v>1433</v>
      </c>
      <c r="M2605" t="s">
        <v>3934</v>
      </c>
      <c r="N2605" t="s">
        <v>3935</v>
      </c>
      <c r="O2605">
        <v>1</v>
      </c>
    </row>
    <row r="2606" spans="2:15" x14ac:dyDescent="0.2">
      <c r="B2606" t="s">
        <v>1433</v>
      </c>
      <c r="C2606" t="s">
        <v>12898</v>
      </c>
      <c r="D2606" t="s">
        <v>617</v>
      </c>
      <c r="E2606" t="s">
        <v>9049</v>
      </c>
      <c r="F2606">
        <v>2900.06</v>
      </c>
      <c r="H2606" t="s">
        <v>1388</v>
      </c>
      <c r="L2606" t="s">
        <v>1433</v>
      </c>
      <c r="M2606" t="s">
        <v>3936</v>
      </c>
      <c r="N2606" t="s">
        <v>3937</v>
      </c>
      <c r="O2606">
        <v>1</v>
      </c>
    </row>
    <row r="2607" spans="2:15" x14ac:dyDescent="0.2">
      <c r="B2607" t="s">
        <v>1433</v>
      </c>
      <c r="C2607" t="s">
        <v>12898</v>
      </c>
      <c r="D2607" t="s">
        <v>617</v>
      </c>
      <c r="E2607" t="s">
        <v>9050</v>
      </c>
      <c r="F2607">
        <v>886.21</v>
      </c>
      <c r="H2607" t="s">
        <v>2306</v>
      </c>
      <c r="L2607" t="s">
        <v>1433</v>
      </c>
      <c r="M2607" t="s">
        <v>3848</v>
      </c>
      <c r="N2607" t="s">
        <v>3938</v>
      </c>
      <c r="O2607">
        <v>2</v>
      </c>
    </row>
    <row r="2608" spans="2:15" x14ac:dyDescent="0.2">
      <c r="B2608" t="s">
        <v>1433</v>
      </c>
      <c r="C2608" t="s">
        <v>12898</v>
      </c>
      <c r="D2608" t="s">
        <v>617</v>
      </c>
      <c r="E2608" t="s">
        <v>9051</v>
      </c>
      <c r="F2608">
        <v>890.23</v>
      </c>
      <c r="H2608" t="s">
        <v>2307</v>
      </c>
      <c r="L2608" t="s">
        <v>1433</v>
      </c>
      <c r="M2608" t="s">
        <v>3629</v>
      </c>
      <c r="N2608" t="s">
        <v>3939</v>
      </c>
      <c r="O2608">
        <v>2</v>
      </c>
    </row>
    <row r="2609" spans="2:15" x14ac:dyDescent="0.2">
      <c r="B2609" t="s">
        <v>1433</v>
      </c>
      <c r="C2609" t="s">
        <v>12898</v>
      </c>
      <c r="D2609" t="s">
        <v>617</v>
      </c>
      <c r="E2609" t="s">
        <v>9052</v>
      </c>
      <c r="F2609">
        <v>782.42</v>
      </c>
      <c r="H2609" t="s">
        <v>2089</v>
      </c>
      <c r="L2609" t="s">
        <v>1433</v>
      </c>
      <c r="M2609" t="s">
        <v>3777</v>
      </c>
      <c r="N2609" t="s">
        <v>3939</v>
      </c>
      <c r="O2609">
        <v>2</v>
      </c>
    </row>
    <row r="2610" spans="2:15" x14ac:dyDescent="0.2">
      <c r="B2610" t="s">
        <v>1433</v>
      </c>
      <c r="C2610" t="s">
        <v>12898</v>
      </c>
      <c r="D2610" t="s">
        <v>617</v>
      </c>
      <c r="E2610" t="s">
        <v>9053</v>
      </c>
      <c r="F2610">
        <v>-782.42</v>
      </c>
      <c r="H2610" t="s">
        <v>2089</v>
      </c>
      <c r="L2610" t="s">
        <v>1433</v>
      </c>
      <c r="M2610" t="s">
        <v>3779</v>
      </c>
      <c r="N2610" t="s">
        <v>3939</v>
      </c>
      <c r="O2610">
        <v>2</v>
      </c>
    </row>
    <row r="2611" spans="2:15" x14ac:dyDescent="0.2">
      <c r="B2611" t="s">
        <v>1433</v>
      </c>
      <c r="C2611" t="s">
        <v>12898</v>
      </c>
      <c r="D2611" t="s">
        <v>617</v>
      </c>
      <c r="E2611" t="s">
        <v>9054</v>
      </c>
      <c r="F2611">
        <v>1590</v>
      </c>
      <c r="H2611" t="s">
        <v>2089</v>
      </c>
      <c r="L2611" t="s">
        <v>1433</v>
      </c>
      <c r="M2611" t="s">
        <v>3940</v>
      </c>
      <c r="N2611" t="s">
        <v>3941</v>
      </c>
      <c r="O2611">
        <v>1</v>
      </c>
    </row>
    <row r="2612" spans="2:15" x14ac:dyDescent="0.2">
      <c r="B2612" t="s">
        <v>1433</v>
      </c>
      <c r="C2612" t="s">
        <v>12898</v>
      </c>
      <c r="D2612" t="s">
        <v>617</v>
      </c>
      <c r="E2612" t="s">
        <v>9055</v>
      </c>
      <c r="F2612">
        <v>-1590</v>
      </c>
      <c r="H2612" t="s">
        <v>2089</v>
      </c>
      <c r="L2612" t="s">
        <v>1433</v>
      </c>
      <c r="M2612" t="s">
        <v>3942</v>
      </c>
      <c r="N2612" t="s">
        <v>3941</v>
      </c>
      <c r="O2612">
        <v>1</v>
      </c>
    </row>
    <row r="2613" spans="2:15" x14ac:dyDescent="0.2">
      <c r="B2613" t="s">
        <v>1433</v>
      </c>
      <c r="C2613" t="s">
        <v>12898</v>
      </c>
      <c r="D2613" t="s">
        <v>617</v>
      </c>
      <c r="E2613" t="s">
        <v>9056</v>
      </c>
      <c r="F2613">
        <v>1590</v>
      </c>
      <c r="H2613" t="s">
        <v>2089</v>
      </c>
      <c r="L2613" t="s">
        <v>1433</v>
      </c>
      <c r="M2613" t="s">
        <v>3943</v>
      </c>
      <c r="N2613" t="s">
        <v>3944</v>
      </c>
      <c r="O2613">
        <v>1</v>
      </c>
    </row>
    <row r="2614" spans="2:15" x14ac:dyDescent="0.2">
      <c r="B2614" t="s">
        <v>1433</v>
      </c>
      <c r="C2614" t="s">
        <v>12898</v>
      </c>
      <c r="D2614" t="s">
        <v>617</v>
      </c>
      <c r="E2614" t="s">
        <v>9057</v>
      </c>
      <c r="F2614">
        <v>3021.28</v>
      </c>
      <c r="H2614" t="s">
        <v>2089</v>
      </c>
      <c r="L2614" t="s">
        <v>1433</v>
      </c>
      <c r="M2614" t="s">
        <v>3945</v>
      </c>
      <c r="N2614" t="s">
        <v>3946</v>
      </c>
      <c r="O2614">
        <v>1</v>
      </c>
    </row>
    <row r="2615" spans="2:15" x14ac:dyDescent="0.2">
      <c r="B2615" t="s">
        <v>1433</v>
      </c>
      <c r="C2615" t="s">
        <v>12898</v>
      </c>
      <c r="D2615" t="s">
        <v>617</v>
      </c>
      <c r="E2615" t="s">
        <v>9058</v>
      </c>
      <c r="F2615">
        <v>358.48</v>
      </c>
      <c r="H2615" t="s">
        <v>2309</v>
      </c>
      <c r="L2615" t="s">
        <v>1433</v>
      </c>
      <c r="M2615" t="s">
        <v>3947</v>
      </c>
      <c r="N2615" t="s">
        <v>3946</v>
      </c>
      <c r="O2615">
        <v>1</v>
      </c>
    </row>
    <row r="2616" spans="2:15" x14ac:dyDescent="0.2">
      <c r="B2616" t="s">
        <v>1433</v>
      </c>
      <c r="C2616" t="s">
        <v>12898</v>
      </c>
      <c r="D2616" t="s">
        <v>617</v>
      </c>
      <c r="E2616" t="s">
        <v>9059</v>
      </c>
      <c r="F2616">
        <v>2329.3000000000002</v>
      </c>
      <c r="H2616" t="s">
        <v>2310</v>
      </c>
      <c r="L2616" t="s">
        <v>1433</v>
      </c>
      <c r="M2616" t="s">
        <v>3948</v>
      </c>
      <c r="N2616" t="s">
        <v>3949</v>
      </c>
      <c r="O2616">
        <v>1</v>
      </c>
    </row>
    <row r="2617" spans="2:15" x14ac:dyDescent="0.2">
      <c r="B2617" t="s">
        <v>1433</v>
      </c>
      <c r="C2617" t="s">
        <v>12898</v>
      </c>
      <c r="D2617" t="s">
        <v>617</v>
      </c>
      <c r="E2617" t="s">
        <v>9060</v>
      </c>
      <c r="F2617">
        <v>3177.2</v>
      </c>
      <c r="H2617" t="s">
        <v>2311</v>
      </c>
      <c r="L2617" t="s">
        <v>1433</v>
      </c>
      <c r="M2617" t="s">
        <v>2683</v>
      </c>
      <c r="N2617" t="s">
        <v>3950</v>
      </c>
      <c r="O2617">
        <v>1</v>
      </c>
    </row>
    <row r="2618" spans="2:15" x14ac:dyDescent="0.2">
      <c r="B2618" t="s">
        <v>1433</v>
      </c>
      <c r="C2618" t="s">
        <v>12898</v>
      </c>
      <c r="D2618" t="s">
        <v>617</v>
      </c>
      <c r="E2618" t="s">
        <v>9061</v>
      </c>
      <c r="F2618">
        <v>440.16</v>
      </c>
      <c r="H2618" t="s">
        <v>2312</v>
      </c>
      <c r="L2618" t="s">
        <v>1433</v>
      </c>
      <c r="M2618" t="s">
        <v>3951</v>
      </c>
      <c r="N2618" t="s">
        <v>3952</v>
      </c>
      <c r="O2618">
        <v>1</v>
      </c>
    </row>
    <row r="2619" spans="2:15" x14ac:dyDescent="0.2">
      <c r="B2619" t="s">
        <v>1433</v>
      </c>
      <c r="C2619" t="s">
        <v>12898</v>
      </c>
      <c r="D2619" t="s">
        <v>617</v>
      </c>
      <c r="E2619" t="s">
        <v>9062</v>
      </c>
      <c r="F2619">
        <v>1305.3499999999999</v>
      </c>
      <c r="H2619" t="s">
        <v>2313</v>
      </c>
      <c r="L2619" t="s">
        <v>1433</v>
      </c>
      <c r="M2619" t="s">
        <v>3953</v>
      </c>
      <c r="N2619" t="s">
        <v>3952</v>
      </c>
      <c r="O2619">
        <v>1</v>
      </c>
    </row>
    <row r="2620" spans="2:15" x14ac:dyDescent="0.2">
      <c r="B2620" t="s">
        <v>1433</v>
      </c>
      <c r="C2620" t="s">
        <v>12898</v>
      </c>
      <c r="D2620" t="s">
        <v>617</v>
      </c>
      <c r="E2620" t="s">
        <v>9063</v>
      </c>
      <c r="F2620">
        <v>561.26</v>
      </c>
      <c r="H2620" t="s">
        <v>2314</v>
      </c>
      <c r="L2620" t="s">
        <v>1433</v>
      </c>
      <c r="M2620" t="s">
        <v>3954</v>
      </c>
      <c r="N2620" t="s">
        <v>3952</v>
      </c>
      <c r="O2620">
        <v>1</v>
      </c>
    </row>
    <row r="2621" spans="2:15" x14ac:dyDescent="0.2">
      <c r="B2621" t="s">
        <v>1433</v>
      </c>
      <c r="C2621" t="s">
        <v>12898</v>
      </c>
      <c r="D2621" t="s">
        <v>617</v>
      </c>
      <c r="E2621" t="s">
        <v>9064</v>
      </c>
      <c r="F2621">
        <v>8341.81</v>
      </c>
      <c r="H2621" t="s">
        <v>2315</v>
      </c>
      <c r="L2621" t="s">
        <v>1433</v>
      </c>
      <c r="M2621" t="s">
        <v>3955</v>
      </c>
      <c r="N2621" t="s">
        <v>3956</v>
      </c>
      <c r="O2621">
        <v>1</v>
      </c>
    </row>
    <row r="2622" spans="2:15" x14ac:dyDescent="0.2">
      <c r="B2622" t="s">
        <v>1433</v>
      </c>
      <c r="C2622" t="s">
        <v>12898</v>
      </c>
      <c r="D2622" t="s">
        <v>617</v>
      </c>
      <c r="E2622" t="s">
        <v>9065</v>
      </c>
      <c r="F2622">
        <v>2780.6</v>
      </c>
      <c r="H2622" t="s">
        <v>2315</v>
      </c>
      <c r="L2622" t="s">
        <v>1433</v>
      </c>
      <c r="M2622" t="s">
        <v>1439</v>
      </c>
      <c r="N2622" t="s">
        <v>3957</v>
      </c>
      <c r="O2622">
        <v>1</v>
      </c>
    </row>
    <row r="2623" spans="2:15" x14ac:dyDescent="0.2">
      <c r="B2623" t="s">
        <v>1433</v>
      </c>
      <c r="C2623" t="s">
        <v>12898</v>
      </c>
      <c r="D2623" t="s">
        <v>617</v>
      </c>
      <c r="E2623" t="s">
        <v>9066</v>
      </c>
      <c r="F2623">
        <v>1390.3</v>
      </c>
      <c r="H2623" t="s">
        <v>2315</v>
      </c>
      <c r="L2623" t="s">
        <v>1433</v>
      </c>
      <c r="M2623" t="s">
        <v>2276</v>
      </c>
      <c r="N2623" t="s">
        <v>3958</v>
      </c>
      <c r="O2623">
        <v>1</v>
      </c>
    </row>
    <row r="2624" spans="2:15" x14ac:dyDescent="0.2">
      <c r="B2624" t="s">
        <v>1433</v>
      </c>
      <c r="C2624" t="s">
        <v>12898</v>
      </c>
      <c r="D2624" t="s">
        <v>617</v>
      </c>
      <c r="E2624" t="s">
        <v>9067</v>
      </c>
      <c r="F2624">
        <v>256.77999999999997</v>
      </c>
      <c r="H2624" t="s">
        <v>2216</v>
      </c>
      <c r="L2624" t="s">
        <v>1433</v>
      </c>
      <c r="M2624" t="s">
        <v>3959</v>
      </c>
      <c r="N2624" t="s">
        <v>3960</v>
      </c>
      <c r="O2624">
        <v>4</v>
      </c>
    </row>
    <row r="2625" spans="2:15" x14ac:dyDescent="0.2">
      <c r="B2625" t="s">
        <v>1433</v>
      </c>
      <c r="C2625" t="s">
        <v>12898</v>
      </c>
      <c r="D2625" t="s">
        <v>617</v>
      </c>
      <c r="E2625" t="s">
        <v>9068</v>
      </c>
      <c r="F2625">
        <v>289</v>
      </c>
      <c r="H2625" t="s">
        <v>1406</v>
      </c>
      <c r="L2625" t="s">
        <v>1433</v>
      </c>
      <c r="M2625" t="s">
        <v>3961</v>
      </c>
      <c r="N2625" t="s">
        <v>3960</v>
      </c>
      <c r="O2625">
        <v>2160</v>
      </c>
    </row>
    <row r="2626" spans="2:15" x14ac:dyDescent="0.2">
      <c r="B2626" t="s">
        <v>1433</v>
      </c>
      <c r="C2626" t="s">
        <v>12898</v>
      </c>
      <c r="D2626" t="s">
        <v>617</v>
      </c>
      <c r="E2626" t="s">
        <v>9069</v>
      </c>
      <c r="F2626">
        <v>3891.3</v>
      </c>
      <c r="H2626" t="s">
        <v>2328</v>
      </c>
      <c r="L2626" t="s">
        <v>1433</v>
      </c>
      <c r="M2626" t="s">
        <v>3962</v>
      </c>
      <c r="N2626" t="s">
        <v>3963</v>
      </c>
      <c r="O2626">
        <v>1</v>
      </c>
    </row>
    <row r="2627" spans="2:15" x14ac:dyDescent="0.2">
      <c r="B2627" t="s">
        <v>1433</v>
      </c>
      <c r="C2627" t="s">
        <v>12898</v>
      </c>
      <c r="D2627" t="s">
        <v>617</v>
      </c>
      <c r="E2627" t="s">
        <v>9070</v>
      </c>
      <c r="F2627">
        <v>631.27</v>
      </c>
      <c r="H2627" t="s">
        <v>2316</v>
      </c>
      <c r="L2627" t="s">
        <v>1433</v>
      </c>
      <c r="M2627" t="s">
        <v>3964</v>
      </c>
      <c r="N2627" t="s">
        <v>3963</v>
      </c>
      <c r="O2627">
        <v>1</v>
      </c>
    </row>
    <row r="2628" spans="2:15" x14ac:dyDescent="0.2">
      <c r="B2628" t="s">
        <v>1433</v>
      </c>
      <c r="C2628" t="s">
        <v>12898</v>
      </c>
      <c r="D2628" t="s">
        <v>617</v>
      </c>
      <c r="E2628" t="s">
        <v>9071</v>
      </c>
      <c r="F2628">
        <v>38.840000000000003</v>
      </c>
      <c r="H2628" t="s">
        <v>2317</v>
      </c>
      <c r="L2628" t="s">
        <v>1433</v>
      </c>
      <c r="M2628" t="s">
        <v>3965</v>
      </c>
      <c r="N2628" t="s">
        <v>3963</v>
      </c>
      <c r="O2628">
        <v>1</v>
      </c>
    </row>
    <row r="2629" spans="2:15" x14ac:dyDescent="0.2">
      <c r="B2629" t="s">
        <v>1433</v>
      </c>
      <c r="C2629" t="s">
        <v>12898</v>
      </c>
      <c r="D2629" t="s">
        <v>617</v>
      </c>
      <c r="E2629" t="s">
        <v>9072</v>
      </c>
      <c r="F2629">
        <v>229.39</v>
      </c>
      <c r="H2629" t="s">
        <v>2092</v>
      </c>
      <c r="L2629" t="s">
        <v>1433</v>
      </c>
      <c r="M2629" t="s">
        <v>1881</v>
      </c>
      <c r="N2629" t="s">
        <v>3966</v>
      </c>
      <c r="O2629">
        <v>3</v>
      </c>
    </row>
    <row r="2630" spans="2:15" x14ac:dyDescent="0.2">
      <c r="B2630" t="s">
        <v>1433</v>
      </c>
      <c r="C2630" t="s">
        <v>12898</v>
      </c>
      <c r="D2630" t="s">
        <v>617</v>
      </c>
      <c r="E2630" t="s">
        <v>9073</v>
      </c>
      <c r="F2630">
        <v>593.75</v>
      </c>
      <c r="H2630" t="s">
        <v>2092</v>
      </c>
      <c r="L2630" t="s">
        <v>1433</v>
      </c>
      <c r="M2630" t="s">
        <v>3967</v>
      </c>
      <c r="N2630" t="s">
        <v>3968</v>
      </c>
      <c r="O2630">
        <v>1</v>
      </c>
    </row>
    <row r="2631" spans="2:15" x14ac:dyDescent="0.2">
      <c r="B2631" t="s">
        <v>1433</v>
      </c>
      <c r="C2631" t="s">
        <v>12898</v>
      </c>
      <c r="D2631" t="s">
        <v>617</v>
      </c>
      <c r="E2631" t="s">
        <v>9074</v>
      </c>
      <c r="F2631">
        <v>1585.82</v>
      </c>
      <c r="H2631" t="s">
        <v>2092</v>
      </c>
      <c r="L2631" t="s">
        <v>1433</v>
      </c>
      <c r="M2631" t="s">
        <v>3969</v>
      </c>
      <c r="N2631" t="s">
        <v>3968</v>
      </c>
      <c r="O2631">
        <v>1</v>
      </c>
    </row>
    <row r="2632" spans="2:15" x14ac:dyDescent="0.2">
      <c r="B2632" t="s">
        <v>1433</v>
      </c>
      <c r="C2632" t="s">
        <v>12898</v>
      </c>
      <c r="D2632" t="s">
        <v>617</v>
      </c>
      <c r="E2632" t="s">
        <v>9075</v>
      </c>
      <c r="F2632">
        <v>1128.69</v>
      </c>
      <c r="H2632" t="s">
        <v>2308</v>
      </c>
      <c r="L2632" t="s">
        <v>1433</v>
      </c>
      <c r="M2632" t="s">
        <v>3970</v>
      </c>
      <c r="N2632" t="s">
        <v>3971</v>
      </c>
      <c r="O2632">
        <v>0</v>
      </c>
    </row>
    <row r="2633" spans="2:15" x14ac:dyDescent="0.2">
      <c r="B2633" t="s">
        <v>1433</v>
      </c>
      <c r="C2633" t="s">
        <v>12898</v>
      </c>
      <c r="D2633" t="s">
        <v>617</v>
      </c>
      <c r="E2633" t="s">
        <v>9076</v>
      </c>
      <c r="F2633">
        <v>276.52999999999997</v>
      </c>
      <c r="H2633" t="s">
        <v>2308</v>
      </c>
      <c r="L2633" t="s">
        <v>1433</v>
      </c>
      <c r="M2633" t="s">
        <v>3972</v>
      </c>
      <c r="N2633" t="s">
        <v>3973</v>
      </c>
      <c r="O2633">
        <v>1</v>
      </c>
    </row>
    <row r="2634" spans="2:15" x14ac:dyDescent="0.2">
      <c r="B2634" t="s">
        <v>1433</v>
      </c>
      <c r="C2634" t="s">
        <v>12898</v>
      </c>
      <c r="D2634" t="s">
        <v>617</v>
      </c>
      <c r="E2634" t="s">
        <v>9077</v>
      </c>
      <c r="F2634">
        <v>1128.69</v>
      </c>
      <c r="H2634" t="s">
        <v>2308</v>
      </c>
      <c r="L2634" t="s">
        <v>1433</v>
      </c>
      <c r="M2634" t="s">
        <v>3974</v>
      </c>
      <c r="N2634" t="s">
        <v>3975</v>
      </c>
      <c r="O2634">
        <v>1</v>
      </c>
    </row>
    <row r="2635" spans="2:15" x14ac:dyDescent="0.2">
      <c r="B2635" t="s">
        <v>1433</v>
      </c>
      <c r="C2635" t="s">
        <v>12898</v>
      </c>
      <c r="D2635" t="s">
        <v>617</v>
      </c>
      <c r="E2635" t="s">
        <v>9078</v>
      </c>
      <c r="F2635">
        <v>153.31</v>
      </c>
      <c r="H2635" t="s">
        <v>1699</v>
      </c>
      <c r="L2635" t="s">
        <v>1433</v>
      </c>
      <c r="M2635" t="s">
        <v>3976</v>
      </c>
      <c r="N2635" t="s">
        <v>3975</v>
      </c>
      <c r="O2635">
        <v>1</v>
      </c>
    </row>
    <row r="2636" spans="2:15" x14ac:dyDescent="0.2">
      <c r="B2636" t="s">
        <v>1433</v>
      </c>
      <c r="C2636" t="s">
        <v>12898</v>
      </c>
      <c r="D2636" t="s">
        <v>617</v>
      </c>
      <c r="E2636" t="s">
        <v>9079</v>
      </c>
      <c r="F2636">
        <v>261.12</v>
      </c>
      <c r="H2636" t="s">
        <v>1983</v>
      </c>
      <c r="L2636" t="s">
        <v>1433</v>
      </c>
      <c r="M2636" t="s">
        <v>3977</v>
      </c>
      <c r="N2636" t="s">
        <v>3975</v>
      </c>
      <c r="O2636">
        <v>1</v>
      </c>
    </row>
    <row r="2637" spans="2:15" x14ac:dyDescent="0.2">
      <c r="B2637" t="s">
        <v>1433</v>
      </c>
      <c r="C2637" t="s">
        <v>12898</v>
      </c>
      <c r="D2637" t="s">
        <v>617</v>
      </c>
      <c r="E2637" t="s">
        <v>9080</v>
      </c>
      <c r="F2637">
        <v>5940.11</v>
      </c>
      <c r="H2637" t="s">
        <v>1983</v>
      </c>
      <c r="L2637" t="s">
        <v>1433</v>
      </c>
      <c r="M2637" t="s">
        <v>3675</v>
      </c>
      <c r="N2637" t="s">
        <v>3978</v>
      </c>
      <c r="O2637">
        <v>4</v>
      </c>
    </row>
    <row r="2638" spans="2:15" x14ac:dyDescent="0.2">
      <c r="B2638" t="s">
        <v>1433</v>
      </c>
      <c r="C2638" t="s">
        <v>12898</v>
      </c>
      <c r="D2638" t="s">
        <v>617</v>
      </c>
      <c r="E2638" t="s">
        <v>9081</v>
      </c>
      <c r="F2638">
        <v>608.4</v>
      </c>
      <c r="H2638" t="s">
        <v>1984</v>
      </c>
      <c r="L2638" t="s">
        <v>1433</v>
      </c>
      <c r="M2638" t="s">
        <v>3979</v>
      </c>
      <c r="N2638" t="s">
        <v>3980</v>
      </c>
      <c r="O2638">
        <v>1</v>
      </c>
    </row>
    <row r="2639" spans="2:15" x14ac:dyDescent="0.2">
      <c r="B2639" t="s">
        <v>1433</v>
      </c>
      <c r="C2639" t="s">
        <v>12898</v>
      </c>
      <c r="D2639" t="s">
        <v>617</v>
      </c>
      <c r="E2639" t="s">
        <v>9082</v>
      </c>
      <c r="F2639">
        <v>696.96</v>
      </c>
      <c r="H2639" t="s">
        <v>1984</v>
      </c>
      <c r="L2639" t="s">
        <v>1433</v>
      </c>
      <c r="M2639" t="s">
        <v>3981</v>
      </c>
      <c r="N2639" t="s">
        <v>3980</v>
      </c>
      <c r="O2639">
        <v>1</v>
      </c>
    </row>
    <row r="2640" spans="2:15" x14ac:dyDescent="0.2">
      <c r="B2640" t="s">
        <v>1433</v>
      </c>
      <c r="C2640" t="s">
        <v>12898</v>
      </c>
      <c r="D2640" t="s">
        <v>617</v>
      </c>
      <c r="E2640" t="s">
        <v>9083</v>
      </c>
      <c r="F2640">
        <v>2278.85</v>
      </c>
      <c r="H2640" t="s">
        <v>2318</v>
      </c>
      <c r="L2640" t="s">
        <v>1433</v>
      </c>
      <c r="M2640" t="s">
        <v>1984</v>
      </c>
      <c r="N2640" t="s">
        <v>3982</v>
      </c>
      <c r="O2640">
        <v>100</v>
      </c>
    </row>
    <row r="2641" spans="2:15" x14ac:dyDescent="0.2">
      <c r="B2641" t="s">
        <v>1433</v>
      </c>
      <c r="C2641" t="s">
        <v>12898</v>
      </c>
      <c r="D2641" t="s">
        <v>617</v>
      </c>
      <c r="E2641" t="s">
        <v>9084</v>
      </c>
      <c r="F2641">
        <v>1460.48</v>
      </c>
      <c r="H2641" t="s">
        <v>2319</v>
      </c>
      <c r="L2641" t="s">
        <v>1433</v>
      </c>
      <c r="M2641" t="s">
        <v>1552</v>
      </c>
      <c r="N2641" t="s">
        <v>3983</v>
      </c>
      <c r="O2641">
        <v>4</v>
      </c>
    </row>
    <row r="2642" spans="2:15" x14ac:dyDescent="0.2">
      <c r="B2642" t="s">
        <v>1433</v>
      </c>
      <c r="C2642" t="s">
        <v>12898</v>
      </c>
      <c r="D2642" t="s">
        <v>617</v>
      </c>
      <c r="E2642" t="s">
        <v>9085</v>
      </c>
      <c r="F2642">
        <v>4161</v>
      </c>
      <c r="H2642" t="s">
        <v>1860</v>
      </c>
      <c r="L2642" t="s">
        <v>1433</v>
      </c>
      <c r="M2642" t="s">
        <v>3984</v>
      </c>
      <c r="N2642" t="s">
        <v>3985</v>
      </c>
      <c r="O2642">
        <v>1</v>
      </c>
    </row>
    <row r="2643" spans="2:15" x14ac:dyDescent="0.2">
      <c r="B2643" t="s">
        <v>1433</v>
      </c>
      <c r="C2643" t="s">
        <v>12898</v>
      </c>
      <c r="D2643" t="s">
        <v>617</v>
      </c>
      <c r="E2643" t="s">
        <v>9086</v>
      </c>
      <c r="F2643">
        <v>238.62</v>
      </c>
      <c r="H2643" t="s">
        <v>2320</v>
      </c>
      <c r="L2643" t="s">
        <v>1433</v>
      </c>
      <c r="M2643" t="s">
        <v>3986</v>
      </c>
      <c r="N2643" t="s">
        <v>3985</v>
      </c>
      <c r="O2643">
        <v>1</v>
      </c>
    </row>
    <row r="2644" spans="2:15" x14ac:dyDescent="0.2">
      <c r="B2644" t="s">
        <v>1433</v>
      </c>
      <c r="C2644" t="s">
        <v>12898</v>
      </c>
      <c r="D2644" t="s">
        <v>617</v>
      </c>
      <c r="E2644" t="s">
        <v>9087</v>
      </c>
      <c r="F2644">
        <v>366.36</v>
      </c>
      <c r="H2644" t="s">
        <v>2321</v>
      </c>
      <c r="L2644" t="s">
        <v>1433</v>
      </c>
      <c r="M2644" t="s">
        <v>3987</v>
      </c>
      <c r="N2644" t="s">
        <v>3988</v>
      </c>
      <c r="O2644">
        <v>16</v>
      </c>
    </row>
    <row r="2645" spans="2:15" x14ac:dyDescent="0.2">
      <c r="B2645" t="s">
        <v>1433</v>
      </c>
      <c r="C2645" t="s">
        <v>12898</v>
      </c>
      <c r="D2645" t="s">
        <v>617</v>
      </c>
      <c r="E2645" t="s">
        <v>9088</v>
      </c>
      <c r="F2645">
        <v>584</v>
      </c>
      <c r="H2645" t="s">
        <v>2322</v>
      </c>
      <c r="L2645" t="s">
        <v>1433</v>
      </c>
      <c r="M2645" t="s">
        <v>3989</v>
      </c>
      <c r="N2645" t="s">
        <v>3990</v>
      </c>
      <c r="O2645">
        <v>1</v>
      </c>
    </row>
    <row r="2646" spans="2:15" x14ac:dyDescent="0.2">
      <c r="B2646" t="s">
        <v>1433</v>
      </c>
      <c r="C2646" t="s">
        <v>12898</v>
      </c>
      <c r="D2646" t="s">
        <v>617</v>
      </c>
      <c r="E2646" t="s">
        <v>9089</v>
      </c>
      <c r="F2646">
        <v>1484.8</v>
      </c>
      <c r="H2646" t="s">
        <v>2323</v>
      </c>
      <c r="L2646" t="s">
        <v>1433</v>
      </c>
      <c r="M2646" t="s">
        <v>2655</v>
      </c>
      <c r="N2646" t="s">
        <v>3991</v>
      </c>
      <c r="O2646">
        <v>4</v>
      </c>
    </row>
    <row r="2647" spans="2:15" x14ac:dyDescent="0.2">
      <c r="B2647" t="s">
        <v>1433</v>
      </c>
      <c r="C2647" t="s">
        <v>12898</v>
      </c>
      <c r="D2647" t="s">
        <v>617</v>
      </c>
      <c r="E2647" t="s">
        <v>9090</v>
      </c>
      <c r="F2647">
        <v>5763.96</v>
      </c>
      <c r="H2647" t="s">
        <v>2324</v>
      </c>
      <c r="L2647" t="s">
        <v>1433</v>
      </c>
      <c r="M2647" t="s">
        <v>1706</v>
      </c>
      <c r="N2647" t="s">
        <v>3991</v>
      </c>
      <c r="O2647">
        <v>4</v>
      </c>
    </row>
    <row r="2648" spans="2:15" x14ac:dyDescent="0.2">
      <c r="B2648" t="s">
        <v>1433</v>
      </c>
      <c r="C2648" t="s">
        <v>12898</v>
      </c>
      <c r="D2648" t="s">
        <v>617</v>
      </c>
      <c r="E2648" t="s">
        <v>9091</v>
      </c>
      <c r="F2648">
        <v>4366.8</v>
      </c>
      <c r="H2648" t="s">
        <v>2325</v>
      </c>
      <c r="L2648" t="s">
        <v>1433</v>
      </c>
      <c r="M2648" t="s">
        <v>3565</v>
      </c>
      <c r="N2648" t="s">
        <v>3992</v>
      </c>
      <c r="O2648">
        <v>1</v>
      </c>
    </row>
    <row r="2649" spans="2:15" x14ac:dyDescent="0.2">
      <c r="B2649" t="s">
        <v>1433</v>
      </c>
      <c r="C2649" t="s">
        <v>12898</v>
      </c>
      <c r="D2649" t="s">
        <v>617</v>
      </c>
      <c r="E2649" t="s">
        <v>9092</v>
      </c>
      <c r="F2649">
        <v>26200.799999999999</v>
      </c>
      <c r="H2649" t="s">
        <v>2325</v>
      </c>
      <c r="L2649" t="s">
        <v>1433</v>
      </c>
      <c r="M2649" t="s">
        <v>3563</v>
      </c>
      <c r="N2649" t="s">
        <v>3992</v>
      </c>
      <c r="O2649">
        <v>1</v>
      </c>
    </row>
    <row r="2650" spans="2:15" x14ac:dyDescent="0.2">
      <c r="B2650" t="s">
        <v>1433</v>
      </c>
      <c r="C2650" t="s">
        <v>12898</v>
      </c>
      <c r="D2650" t="s">
        <v>617</v>
      </c>
      <c r="E2650" t="s">
        <v>9093</v>
      </c>
      <c r="F2650">
        <v>6610.67</v>
      </c>
      <c r="H2650" t="s">
        <v>2326</v>
      </c>
      <c r="L2650" t="s">
        <v>1433</v>
      </c>
      <c r="M2650" t="s">
        <v>3688</v>
      </c>
      <c r="N2650" t="s">
        <v>3993</v>
      </c>
      <c r="O2650">
        <v>2</v>
      </c>
    </row>
    <row r="2651" spans="2:15" x14ac:dyDescent="0.2">
      <c r="B2651" t="s">
        <v>1433</v>
      </c>
      <c r="C2651" t="s">
        <v>12898</v>
      </c>
      <c r="D2651" t="s">
        <v>617</v>
      </c>
      <c r="E2651" t="s">
        <v>9094</v>
      </c>
      <c r="F2651">
        <v>5358.87</v>
      </c>
      <c r="H2651" t="s">
        <v>2327</v>
      </c>
      <c r="L2651" t="s">
        <v>1433</v>
      </c>
      <c r="M2651" t="s">
        <v>3994</v>
      </c>
      <c r="N2651" t="s">
        <v>3995</v>
      </c>
      <c r="O2651">
        <v>1</v>
      </c>
    </row>
    <row r="2652" spans="2:15" x14ac:dyDescent="0.2">
      <c r="B2652" t="s">
        <v>1433</v>
      </c>
      <c r="C2652" t="s">
        <v>12898</v>
      </c>
      <c r="D2652" t="s">
        <v>617</v>
      </c>
      <c r="E2652" t="s">
        <v>9095</v>
      </c>
      <c r="F2652">
        <v>622.44000000000005</v>
      </c>
      <c r="H2652" t="s">
        <v>2214</v>
      </c>
      <c r="L2652" t="s">
        <v>1433</v>
      </c>
      <c r="M2652" t="s">
        <v>1812</v>
      </c>
      <c r="N2652" t="s">
        <v>3996</v>
      </c>
      <c r="O2652">
        <v>4</v>
      </c>
    </row>
    <row r="2653" spans="2:15" x14ac:dyDescent="0.2">
      <c r="B2653" t="s">
        <v>1433</v>
      </c>
      <c r="C2653" t="s">
        <v>12898</v>
      </c>
      <c r="D2653" t="s">
        <v>621</v>
      </c>
      <c r="E2653" t="s">
        <v>9096</v>
      </c>
      <c r="F2653">
        <v>807.42</v>
      </c>
      <c r="H2653" t="s">
        <v>1943</v>
      </c>
      <c r="L2653" t="s">
        <v>1433</v>
      </c>
      <c r="M2653" t="s">
        <v>3997</v>
      </c>
      <c r="N2653" t="s">
        <v>3998</v>
      </c>
      <c r="O2653">
        <v>1</v>
      </c>
    </row>
    <row r="2654" spans="2:15" x14ac:dyDescent="0.2">
      <c r="B2654" t="s">
        <v>1433</v>
      </c>
      <c r="C2654" t="s">
        <v>12898</v>
      </c>
      <c r="D2654" t="s">
        <v>621</v>
      </c>
      <c r="E2654" t="s">
        <v>9097</v>
      </c>
      <c r="F2654">
        <v>134.57</v>
      </c>
      <c r="H2654" t="s">
        <v>1943</v>
      </c>
      <c r="L2654" t="s">
        <v>1433</v>
      </c>
      <c r="M2654" t="s">
        <v>3999</v>
      </c>
      <c r="N2654" t="s">
        <v>4000</v>
      </c>
      <c r="O2654">
        <v>1</v>
      </c>
    </row>
    <row r="2655" spans="2:15" x14ac:dyDescent="0.2">
      <c r="B2655" t="s">
        <v>1433</v>
      </c>
      <c r="C2655" t="s">
        <v>12898</v>
      </c>
      <c r="D2655" t="s">
        <v>621</v>
      </c>
      <c r="E2655" t="s">
        <v>9098</v>
      </c>
      <c r="F2655">
        <v>807.42</v>
      </c>
      <c r="H2655" t="s">
        <v>1943</v>
      </c>
      <c r="L2655" t="s">
        <v>1433</v>
      </c>
      <c r="M2655" t="s">
        <v>4001</v>
      </c>
      <c r="N2655" t="s">
        <v>4002</v>
      </c>
      <c r="O2655">
        <v>1</v>
      </c>
    </row>
    <row r="2656" spans="2:15" x14ac:dyDescent="0.2">
      <c r="B2656" t="s">
        <v>1433</v>
      </c>
      <c r="C2656" t="s">
        <v>12898</v>
      </c>
      <c r="D2656" t="s">
        <v>621</v>
      </c>
      <c r="E2656" t="s">
        <v>9099</v>
      </c>
      <c r="F2656">
        <v>397.95</v>
      </c>
      <c r="H2656" t="s">
        <v>1945</v>
      </c>
      <c r="L2656" t="s">
        <v>1433</v>
      </c>
      <c r="M2656" t="s">
        <v>4003</v>
      </c>
      <c r="N2656" t="s">
        <v>4002</v>
      </c>
      <c r="O2656">
        <v>1</v>
      </c>
    </row>
    <row r="2657" spans="2:15" x14ac:dyDescent="0.2">
      <c r="B2657" t="s">
        <v>1433</v>
      </c>
      <c r="C2657" t="s">
        <v>12898</v>
      </c>
      <c r="D2657" t="s">
        <v>621</v>
      </c>
      <c r="E2657" t="s">
        <v>9100</v>
      </c>
      <c r="F2657">
        <v>1326.5</v>
      </c>
      <c r="H2657" t="s">
        <v>1945</v>
      </c>
      <c r="L2657" t="s">
        <v>1433</v>
      </c>
      <c r="M2657" t="s">
        <v>4004</v>
      </c>
      <c r="N2657" t="s">
        <v>4002</v>
      </c>
      <c r="O2657">
        <v>1</v>
      </c>
    </row>
    <row r="2658" spans="2:15" x14ac:dyDescent="0.2">
      <c r="B2658" t="s">
        <v>1433</v>
      </c>
      <c r="C2658" t="s">
        <v>12898</v>
      </c>
      <c r="D2658" t="s">
        <v>621</v>
      </c>
      <c r="E2658" t="s">
        <v>9101</v>
      </c>
      <c r="F2658">
        <v>5126.68</v>
      </c>
      <c r="H2658" t="s">
        <v>2761</v>
      </c>
      <c r="L2658" t="s">
        <v>1433</v>
      </c>
      <c r="M2658" t="s">
        <v>4005</v>
      </c>
      <c r="N2658" t="s">
        <v>4002</v>
      </c>
      <c r="O2658">
        <v>1</v>
      </c>
    </row>
    <row r="2659" spans="2:15" x14ac:dyDescent="0.2">
      <c r="B2659" t="s">
        <v>1433</v>
      </c>
      <c r="C2659" t="s">
        <v>12898</v>
      </c>
      <c r="D2659" t="s">
        <v>621</v>
      </c>
      <c r="E2659" t="s">
        <v>9102</v>
      </c>
      <c r="F2659">
        <v>127.27</v>
      </c>
      <c r="H2659" t="s">
        <v>1946</v>
      </c>
      <c r="L2659" t="s">
        <v>1433</v>
      </c>
      <c r="M2659" t="s">
        <v>4006</v>
      </c>
      <c r="N2659" t="s">
        <v>4007</v>
      </c>
      <c r="O2659">
        <v>10</v>
      </c>
    </row>
    <row r="2660" spans="2:15" x14ac:dyDescent="0.2">
      <c r="B2660" t="s">
        <v>1433</v>
      </c>
      <c r="C2660" t="s">
        <v>12898</v>
      </c>
      <c r="D2660" t="s">
        <v>621</v>
      </c>
      <c r="E2660" t="s">
        <v>9103</v>
      </c>
      <c r="F2660">
        <v>67.209999999999994</v>
      </c>
      <c r="H2660" t="s">
        <v>1947</v>
      </c>
      <c r="L2660" t="s">
        <v>1433</v>
      </c>
      <c r="M2660" t="s">
        <v>1388</v>
      </c>
      <c r="N2660" t="s">
        <v>4008</v>
      </c>
      <c r="O2660">
        <v>100</v>
      </c>
    </row>
    <row r="2661" spans="2:15" x14ac:dyDescent="0.2">
      <c r="B2661" t="s">
        <v>1433</v>
      </c>
      <c r="C2661" t="s">
        <v>12898</v>
      </c>
      <c r="D2661" t="s">
        <v>621</v>
      </c>
      <c r="E2661" t="s">
        <v>9104</v>
      </c>
      <c r="F2661">
        <v>327.33999999999997</v>
      </c>
      <c r="H2661" t="s">
        <v>1948</v>
      </c>
      <c r="L2661" t="s">
        <v>1433</v>
      </c>
      <c r="M2661" t="s">
        <v>3551</v>
      </c>
      <c r="N2661" t="s">
        <v>4009</v>
      </c>
      <c r="O2661">
        <v>2</v>
      </c>
    </row>
    <row r="2662" spans="2:15" x14ac:dyDescent="0.2">
      <c r="B2662" t="s">
        <v>1433</v>
      </c>
      <c r="C2662" t="s">
        <v>12898</v>
      </c>
      <c r="D2662" t="s">
        <v>621</v>
      </c>
      <c r="E2662" t="s">
        <v>9105</v>
      </c>
      <c r="F2662">
        <v>33.26</v>
      </c>
      <c r="H2662" t="s">
        <v>7613</v>
      </c>
      <c r="L2662" t="s">
        <v>1433</v>
      </c>
      <c r="M2662" t="s">
        <v>1245</v>
      </c>
      <c r="N2662" t="s">
        <v>4009</v>
      </c>
      <c r="O2662">
        <v>2</v>
      </c>
    </row>
    <row r="2663" spans="2:15" x14ac:dyDescent="0.2">
      <c r="B2663" t="s">
        <v>1433</v>
      </c>
      <c r="C2663" t="s">
        <v>12898</v>
      </c>
      <c r="D2663" t="s">
        <v>621</v>
      </c>
      <c r="E2663" t="s">
        <v>9106</v>
      </c>
      <c r="F2663">
        <v>54</v>
      </c>
      <c r="H2663" t="s">
        <v>9107</v>
      </c>
      <c r="L2663" t="s">
        <v>1433</v>
      </c>
      <c r="M2663" t="s">
        <v>4010</v>
      </c>
      <c r="N2663" t="s">
        <v>4011</v>
      </c>
      <c r="O2663">
        <v>1</v>
      </c>
    </row>
    <row r="2664" spans="2:15" x14ac:dyDescent="0.2">
      <c r="B2664" t="s">
        <v>1433</v>
      </c>
      <c r="C2664" t="s">
        <v>12898</v>
      </c>
      <c r="D2664" t="s">
        <v>617</v>
      </c>
      <c r="E2664" t="s">
        <v>9108</v>
      </c>
      <c r="F2664">
        <v>24.9</v>
      </c>
      <c r="H2664" t="s">
        <v>9109</v>
      </c>
      <c r="L2664" t="s">
        <v>1433</v>
      </c>
      <c r="M2664" t="s">
        <v>4012</v>
      </c>
      <c r="N2664" t="s">
        <v>4013</v>
      </c>
      <c r="O2664">
        <v>1</v>
      </c>
    </row>
    <row r="2665" spans="2:15" x14ac:dyDescent="0.2">
      <c r="B2665" t="s">
        <v>1433</v>
      </c>
      <c r="C2665" t="s">
        <v>12898</v>
      </c>
      <c r="D2665" t="s">
        <v>617</v>
      </c>
      <c r="E2665" t="s">
        <v>9110</v>
      </c>
      <c r="F2665">
        <v>22.15</v>
      </c>
      <c r="H2665" t="s">
        <v>8354</v>
      </c>
      <c r="L2665" t="s">
        <v>1433</v>
      </c>
      <c r="M2665" t="s">
        <v>4014</v>
      </c>
      <c r="N2665" t="s">
        <v>4015</v>
      </c>
      <c r="O2665">
        <v>4</v>
      </c>
    </row>
    <row r="2666" spans="2:15" x14ac:dyDescent="0.2">
      <c r="B2666" t="s">
        <v>1433</v>
      </c>
      <c r="C2666" t="s">
        <v>12898</v>
      </c>
      <c r="D2666" t="s">
        <v>617</v>
      </c>
      <c r="E2666" t="s">
        <v>9111</v>
      </c>
      <c r="F2666">
        <v>23.87</v>
      </c>
      <c r="H2666" t="s">
        <v>4555</v>
      </c>
      <c r="L2666" t="s">
        <v>1433</v>
      </c>
      <c r="M2666" t="s">
        <v>1983</v>
      </c>
      <c r="N2666" t="s">
        <v>4016</v>
      </c>
      <c r="O2666">
        <v>200</v>
      </c>
    </row>
    <row r="2667" spans="2:15" x14ac:dyDescent="0.2">
      <c r="B2667" t="s">
        <v>1433</v>
      </c>
      <c r="C2667" t="s">
        <v>12898</v>
      </c>
      <c r="D2667" t="s">
        <v>617</v>
      </c>
      <c r="E2667" t="s">
        <v>9112</v>
      </c>
      <c r="F2667">
        <v>24.9</v>
      </c>
      <c r="H2667" t="s">
        <v>4491</v>
      </c>
      <c r="L2667" t="s">
        <v>1433</v>
      </c>
      <c r="M2667" t="s">
        <v>1617</v>
      </c>
      <c r="N2667" t="s">
        <v>4017</v>
      </c>
      <c r="O2667">
        <v>2</v>
      </c>
    </row>
    <row r="2668" spans="2:15" x14ac:dyDescent="0.2">
      <c r="B2668" t="s">
        <v>1433</v>
      </c>
      <c r="C2668" t="s">
        <v>12898</v>
      </c>
      <c r="D2668" t="s">
        <v>617</v>
      </c>
      <c r="E2668" t="s">
        <v>9113</v>
      </c>
      <c r="F2668">
        <v>154.07</v>
      </c>
      <c r="H2668" t="s">
        <v>2216</v>
      </c>
      <c r="L2668" t="s">
        <v>1433</v>
      </c>
      <c r="M2668" t="s">
        <v>1243</v>
      </c>
      <c r="N2668" t="s">
        <v>4018</v>
      </c>
      <c r="O2668">
        <v>2</v>
      </c>
    </row>
    <row r="2669" spans="2:15" x14ac:dyDescent="0.2">
      <c r="B2669" t="s">
        <v>1433</v>
      </c>
      <c r="C2669" t="s">
        <v>12898</v>
      </c>
      <c r="D2669" t="s">
        <v>617</v>
      </c>
      <c r="E2669" t="s">
        <v>9114</v>
      </c>
      <c r="F2669">
        <v>18.5</v>
      </c>
      <c r="H2669" t="s">
        <v>4552</v>
      </c>
      <c r="L2669" t="s">
        <v>1433</v>
      </c>
      <c r="M2669" t="s">
        <v>1245</v>
      </c>
      <c r="N2669" t="s">
        <v>4018</v>
      </c>
      <c r="O2669">
        <v>2</v>
      </c>
    </row>
    <row r="2670" spans="2:15" x14ac:dyDescent="0.2">
      <c r="B2670" t="s">
        <v>1433</v>
      </c>
      <c r="C2670" t="s">
        <v>12898</v>
      </c>
      <c r="D2670" t="s">
        <v>617</v>
      </c>
      <c r="E2670" t="s">
        <v>9115</v>
      </c>
      <c r="F2670">
        <v>54.28</v>
      </c>
      <c r="H2670" t="s">
        <v>8682</v>
      </c>
      <c r="L2670" t="s">
        <v>1433</v>
      </c>
      <c r="M2670" t="s">
        <v>1300</v>
      </c>
      <c r="N2670" t="s">
        <v>4018</v>
      </c>
      <c r="O2670">
        <v>2</v>
      </c>
    </row>
    <row r="2671" spans="2:15" x14ac:dyDescent="0.2">
      <c r="B2671" t="s">
        <v>1433</v>
      </c>
      <c r="C2671" t="s">
        <v>12898</v>
      </c>
      <c r="D2671" t="s">
        <v>617</v>
      </c>
      <c r="E2671" t="s">
        <v>9116</v>
      </c>
      <c r="F2671">
        <v>130.80000000000001</v>
      </c>
      <c r="H2671" t="s">
        <v>1707</v>
      </c>
      <c r="L2671" t="s">
        <v>1433</v>
      </c>
      <c r="M2671" t="s">
        <v>1245</v>
      </c>
      <c r="N2671" t="s">
        <v>4019</v>
      </c>
      <c r="O2671">
        <v>2</v>
      </c>
    </row>
    <row r="2672" spans="2:15" x14ac:dyDescent="0.2">
      <c r="B2672" t="s">
        <v>1433</v>
      </c>
      <c r="C2672" t="s">
        <v>12898</v>
      </c>
      <c r="D2672" t="s">
        <v>617</v>
      </c>
      <c r="E2672" t="s">
        <v>9117</v>
      </c>
      <c r="F2672">
        <v>598.88</v>
      </c>
      <c r="H2672" t="s">
        <v>1957</v>
      </c>
      <c r="L2672" t="s">
        <v>1433</v>
      </c>
      <c r="M2672" t="s">
        <v>4020</v>
      </c>
      <c r="N2672" t="s">
        <v>4021</v>
      </c>
      <c r="O2672">
        <v>1</v>
      </c>
    </row>
    <row r="2673" spans="2:15" x14ac:dyDescent="0.2">
      <c r="B2673" t="s">
        <v>1433</v>
      </c>
      <c r="C2673" t="s">
        <v>12898</v>
      </c>
      <c r="D2673" t="s">
        <v>617</v>
      </c>
      <c r="E2673" t="s">
        <v>9118</v>
      </c>
      <c r="F2673">
        <v>144.87</v>
      </c>
      <c r="H2673" t="s">
        <v>1706</v>
      </c>
      <c r="L2673" t="s">
        <v>1433</v>
      </c>
      <c r="M2673" t="s">
        <v>3688</v>
      </c>
      <c r="N2673" t="s">
        <v>4022</v>
      </c>
      <c r="O2673">
        <v>4</v>
      </c>
    </row>
    <row r="2674" spans="2:15" x14ac:dyDescent="0.2">
      <c r="B2674" t="s">
        <v>1433</v>
      </c>
      <c r="C2674" t="s">
        <v>12898</v>
      </c>
      <c r="D2674" t="s">
        <v>617</v>
      </c>
      <c r="E2674" t="s">
        <v>9119</v>
      </c>
      <c r="F2674">
        <v>114.15</v>
      </c>
      <c r="H2674" t="s">
        <v>1959</v>
      </c>
      <c r="L2674" t="s">
        <v>1433</v>
      </c>
      <c r="M2674" t="s">
        <v>3777</v>
      </c>
      <c r="N2674" t="s">
        <v>4023</v>
      </c>
      <c r="O2674">
        <v>1</v>
      </c>
    </row>
    <row r="2675" spans="2:15" x14ac:dyDescent="0.2">
      <c r="B2675" t="s">
        <v>1433</v>
      </c>
      <c r="C2675" t="s">
        <v>12898</v>
      </c>
      <c r="D2675" t="s">
        <v>617</v>
      </c>
      <c r="E2675" t="s">
        <v>9120</v>
      </c>
      <c r="F2675">
        <v>6.01</v>
      </c>
      <c r="H2675" t="s">
        <v>1959</v>
      </c>
      <c r="L2675" t="s">
        <v>1433</v>
      </c>
      <c r="M2675" t="s">
        <v>4024</v>
      </c>
      <c r="N2675" t="s">
        <v>4025</v>
      </c>
      <c r="O2675">
        <v>1</v>
      </c>
    </row>
    <row r="2676" spans="2:15" x14ac:dyDescent="0.2">
      <c r="B2676" t="s">
        <v>1433</v>
      </c>
      <c r="C2676" t="s">
        <v>12898</v>
      </c>
      <c r="D2676" t="s">
        <v>617</v>
      </c>
      <c r="E2676" t="s">
        <v>9121</v>
      </c>
      <c r="F2676">
        <v>80.2</v>
      </c>
      <c r="H2676" t="s">
        <v>1960</v>
      </c>
      <c r="L2676" t="s">
        <v>1433</v>
      </c>
      <c r="M2676" t="s">
        <v>4026</v>
      </c>
      <c r="N2676" t="s">
        <v>4025</v>
      </c>
      <c r="O2676">
        <v>1</v>
      </c>
    </row>
    <row r="2677" spans="2:15" x14ac:dyDescent="0.2">
      <c r="B2677" t="s">
        <v>1433</v>
      </c>
      <c r="C2677" t="s">
        <v>12898</v>
      </c>
      <c r="D2677" t="s">
        <v>617</v>
      </c>
      <c r="E2677" t="s">
        <v>9122</v>
      </c>
      <c r="F2677">
        <v>1873.35</v>
      </c>
      <c r="H2677" t="s">
        <v>1941</v>
      </c>
      <c r="L2677" t="s">
        <v>1433</v>
      </c>
      <c r="M2677" t="s">
        <v>4027</v>
      </c>
      <c r="N2677" t="s">
        <v>4028</v>
      </c>
      <c r="O2677">
        <v>4</v>
      </c>
    </row>
    <row r="2678" spans="2:15" x14ac:dyDescent="0.2">
      <c r="B2678" t="s">
        <v>1433</v>
      </c>
      <c r="C2678" t="s">
        <v>12898</v>
      </c>
      <c r="D2678" t="s">
        <v>617</v>
      </c>
      <c r="E2678" t="s">
        <v>9123</v>
      </c>
      <c r="F2678">
        <v>245</v>
      </c>
      <c r="H2678" t="s">
        <v>2138</v>
      </c>
      <c r="L2678" t="s">
        <v>1433</v>
      </c>
      <c r="M2678" t="s">
        <v>4029</v>
      </c>
      <c r="N2678" t="s">
        <v>4030</v>
      </c>
      <c r="O2678">
        <v>1</v>
      </c>
    </row>
    <row r="2679" spans="2:15" x14ac:dyDescent="0.2">
      <c r="B2679" t="s">
        <v>1433</v>
      </c>
      <c r="C2679" t="s">
        <v>12898</v>
      </c>
      <c r="D2679" t="s">
        <v>617</v>
      </c>
      <c r="E2679" t="s">
        <v>9124</v>
      </c>
      <c r="F2679">
        <v>306.25</v>
      </c>
      <c r="H2679" t="s">
        <v>2140</v>
      </c>
      <c r="L2679" t="s">
        <v>1433</v>
      </c>
      <c r="M2679" t="s">
        <v>4031</v>
      </c>
      <c r="N2679" t="s">
        <v>4030</v>
      </c>
      <c r="O2679">
        <v>1</v>
      </c>
    </row>
    <row r="2680" spans="2:15" x14ac:dyDescent="0.2">
      <c r="B2680" t="s">
        <v>1433</v>
      </c>
      <c r="C2680" t="s">
        <v>12898</v>
      </c>
      <c r="D2680" t="s">
        <v>617</v>
      </c>
      <c r="E2680" t="s">
        <v>9125</v>
      </c>
      <c r="F2680">
        <v>99</v>
      </c>
      <c r="H2680" t="s">
        <v>2141</v>
      </c>
      <c r="L2680" t="s">
        <v>1433</v>
      </c>
      <c r="M2680" t="s">
        <v>4032</v>
      </c>
      <c r="N2680" t="s">
        <v>4033</v>
      </c>
      <c r="O2680">
        <v>1</v>
      </c>
    </row>
    <row r="2681" spans="2:15" x14ac:dyDescent="0.2">
      <c r="B2681" t="s">
        <v>1433</v>
      </c>
      <c r="C2681" t="s">
        <v>12898</v>
      </c>
      <c r="D2681" t="s">
        <v>617</v>
      </c>
      <c r="E2681" t="s">
        <v>9126</v>
      </c>
      <c r="F2681">
        <v>39</v>
      </c>
      <c r="H2681" t="s">
        <v>2142</v>
      </c>
      <c r="L2681" t="s">
        <v>1433</v>
      </c>
      <c r="M2681" t="s">
        <v>4034</v>
      </c>
      <c r="N2681" t="s">
        <v>4035</v>
      </c>
      <c r="O2681">
        <v>1</v>
      </c>
    </row>
    <row r="2682" spans="2:15" x14ac:dyDescent="0.2">
      <c r="B2682" t="s">
        <v>1433</v>
      </c>
      <c r="C2682" t="s">
        <v>12898</v>
      </c>
      <c r="D2682" t="s">
        <v>617</v>
      </c>
      <c r="E2682" t="s">
        <v>9127</v>
      </c>
      <c r="F2682">
        <v>52</v>
      </c>
      <c r="H2682" t="s">
        <v>2142</v>
      </c>
      <c r="L2682" t="s">
        <v>1433</v>
      </c>
      <c r="M2682" t="s">
        <v>4036</v>
      </c>
      <c r="N2682" t="s">
        <v>4037</v>
      </c>
      <c r="O2682">
        <v>1</v>
      </c>
    </row>
    <row r="2683" spans="2:15" x14ac:dyDescent="0.2">
      <c r="B2683" t="s">
        <v>1433</v>
      </c>
      <c r="C2683" t="s">
        <v>12898</v>
      </c>
      <c r="D2683" t="s">
        <v>617</v>
      </c>
      <c r="E2683" t="s">
        <v>9128</v>
      </c>
      <c r="F2683">
        <v>36.24</v>
      </c>
      <c r="H2683" t="s">
        <v>2143</v>
      </c>
      <c r="L2683" t="s">
        <v>1433</v>
      </c>
      <c r="M2683" t="s">
        <v>4038</v>
      </c>
      <c r="N2683" t="s">
        <v>4039</v>
      </c>
      <c r="O2683">
        <v>1</v>
      </c>
    </row>
    <row r="2684" spans="2:15" x14ac:dyDescent="0.2">
      <c r="B2684" t="s">
        <v>1433</v>
      </c>
      <c r="C2684" t="s">
        <v>12898</v>
      </c>
      <c r="D2684" t="s">
        <v>617</v>
      </c>
      <c r="E2684" t="s">
        <v>9129</v>
      </c>
      <c r="F2684">
        <v>205.36</v>
      </c>
      <c r="H2684" t="s">
        <v>2143</v>
      </c>
      <c r="L2684" t="s">
        <v>1433</v>
      </c>
      <c r="M2684" t="s">
        <v>4040</v>
      </c>
      <c r="N2684" t="s">
        <v>4041</v>
      </c>
      <c r="O2684">
        <v>1</v>
      </c>
    </row>
    <row r="2685" spans="2:15" x14ac:dyDescent="0.2">
      <c r="B2685" t="s">
        <v>1433</v>
      </c>
      <c r="C2685" t="s">
        <v>12898</v>
      </c>
      <c r="D2685" t="s">
        <v>617</v>
      </c>
      <c r="E2685" t="s">
        <v>9130</v>
      </c>
      <c r="F2685">
        <v>2678.76</v>
      </c>
      <c r="H2685" t="s">
        <v>2144</v>
      </c>
      <c r="L2685" t="s">
        <v>1433</v>
      </c>
      <c r="M2685" t="s">
        <v>4042</v>
      </c>
      <c r="N2685" t="s">
        <v>4043</v>
      </c>
      <c r="O2685">
        <v>330</v>
      </c>
    </row>
    <row r="2686" spans="2:15" x14ac:dyDescent="0.2">
      <c r="B2686" t="s">
        <v>1433</v>
      </c>
      <c r="C2686" t="s">
        <v>12898</v>
      </c>
      <c r="D2686" t="s">
        <v>617</v>
      </c>
      <c r="E2686" t="s">
        <v>9131</v>
      </c>
      <c r="F2686">
        <v>144.12</v>
      </c>
      <c r="H2686" t="s">
        <v>2145</v>
      </c>
      <c r="L2686" t="s">
        <v>1433</v>
      </c>
      <c r="M2686" t="s">
        <v>4044</v>
      </c>
      <c r="N2686" t="s">
        <v>4045</v>
      </c>
      <c r="O2686">
        <v>60</v>
      </c>
    </row>
    <row r="2687" spans="2:15" x14ac:dyDescent="0.2">
      <c r="B2687" t="s">
        <v>1433</v>
      </c>
      <c r="C2687" t="s">
        <v>12898</v>
      </c>
      <c r="D2687" t="s">
        <v>617</v>
      </c>
      <c r="E2687" t="s">
        <v>9132</v>
      </c>
      <c r="F2687">
        <v>1152</v>
      </c>
      <c r="H2687" t="s">
        <v>2146</v>
      </c>
      <c r="L2687" t="s">
        <v>1433</v>
      </c>
      <c r="M2687" t="s">
        <v>4046</v>
      </c>
      <c r="N2687" t="s">
        <v>4047</v>
      </c>
      <c r="O2687">
        <v>1</v>
      </c>
    </row>
    <row r="2688" spans="2:15" x14ac:dyDescent="0.2">
      <c r="B2688" t="s">
        <v>1433</v>
      </c>
      <c r="C2688" t="s">
        <v>12898</v>
      </c>
      <c r="D2688" t="s">
        <v>617</v>
      </c>
      <c r="E2688" t="s">
        <v>9133</v>
      </c>
      <c r="F2688">
        <v>202.62</v>
      </c>
      <c r="H2688" t="s">
        <v>2147</v>
      </c>
      <c r="L2688" t="s">
        <v>1433</v>
      </c>
      <c r="M2688" t="s">
        <v>4048</v>
      </c>
      <c r="N2688" t="s">
        <v>4049</v>
      </c>
      <c r="O2688">
        <v>0</v>
      </c>
    </row>
    <row r="2689" spans="2:15" x14ac:dyDescent="0.2">
      <c r="B2689" t="s">
        <v>1433</v>
      </c>
      <c r="C2689" t="s">
        <v>12898</v>
      </c>
      <c r="D2689" t="s">
        <v>617</v>
      </c>
      <c r="E2689" t="s">
        <v>9134</v>
      </c>
      <c r="F2689">
        <v>57.97</v>
      </c>
      <c r="H2689" t="s">
        <v>2810</v>
      </c>
      <c r="L2689" t="s">
        <v>1433</v>
      </c>
      <c r="M2689" t="s">
        <v>1540</v>
      </c>
      <c r="N2689" t="s">
        <v>4049</v>
      </c>
      <c r="O2689">
        <v>100</v>
      </c>
    </row>
    <row r="2690" spans="2:15" x14ac:dyDescent="0.2">
      <c r="B2690" t="s">
        <v>1433</v>
      </c>
      <c r="C2690" t="s">
        <v>12898</v>
      </c>
      <c r="D2690" t="s">
        <v>617</v>
      </c>
      <c r="E2690" t="s">
        <v>9135</v>
      </c>
      <c r="F2690">
        <v>11.59</v>
      </c>
      <c r="H2690" t="s">
        <v>2810</v>
      </c>
      <c r="L2690" t="s">
        <v>1433</v>
      </c>
      <c r="M2690" t="s">
        <v>1457</v>
      </c>
      <c r="N2690" t="s">
        <v>4049</v>
      </c>
      <c r="O2690">
        <v>16</v>
      </c>
    </row>
    <row r="2691" spans="2:15" x14ac:dyDescent="0.2">
      <c r="B2691" t="s">
        <v>1433</v>
      </c>
      <c r="C2691" t="s">
        <v>12898</v>
      </c>
      <c r="D2691" t="s">
        <v>617</v>
      </c>
      <c r="E2691" t="s">
        <v>9136</v>
      </c>
      <c r="F2691">
        <v>-11.59</v>
      </c>
      <c r="H2691" t="s">
        <v>2810</v>
      </c>
      <c r="L2691" t="s">
        <v>1433</v>
      </c>
      <c r="M2691" t="s">
        <v>1459</v>
      </c>
      <c r="N2691" t="s">
        <v>4049</v>
      </c>
      <c r="O2691">
        <v>40</v>
      </c>
    </row>
    <row r="2692" spans="2:15" x14ac:dyDescent="0.2">
      <c r="B2692" t="s">
        <v>1433</v>
      </c>
      <c r="C2692" t="s">
        <v>12898</v>
      </c>
      <c r="D2692" t="s">
        <v>617</v>
      </c>
      <c r="E2692" t="s">
        <v>9137</v>
      </c>
      <c r="F2692">
        <v>46.38</v>
      </c>
      <c r="H2692" t="s">
        <v>2810</v>
      </c>
      <c r="L2692" t="s">
        <v>1433</v>
      </c>
      <c r="M2692" t="s">
        <v>1460</v>
      </c>
      <c r="N2692" t="s">
        <v>4049</v>
      </c>
      <c r="O2692">
        <v>4</v>
      </c>
    </row>
    <row r="2693" spans="2:15" x14ac:dyDescent="0.2">
      <c r="B2693" t="s">
        <v>1433</v>
      </c>
      <c r="C2693" t="s">
        <v>12898</v>
      </c>
      <c r="D2693" t="s">
        <v>617</v>
      </c>
      <c r="E2693" t="s">
        <v>9138</v>
      </c>
      <c r="F2693">
        <v>-46.38</v>
      </c>
      <c r="H2693" t="s">
        <v>2810</v>
      </c>
      <c r="L2693" t="s">
        <v>1433</v>
      </c>
      <c r="M2693" t="s">
        <v>1995</v>
      </c>
      <c r="N2693" t="s">
        <v>4049</v>
      </c>
      <c r="O2693">
        <v>4</v>
      </c>
    </row>
    <row r="2694" spans="2:15" x14ac:dyDescent="0.2">
      <c r="B2694" t="s">
        <v>1433</v>
      </c>
      <c r="C2694" t="s">
        <v>12898</v>
      </c>
      <c r="D2694" t="s">
        <v>617</v>
      </c>
      <c r="E2694" t="s">
        <v>9139</v>
      </c>
      <c r="F2694">
        <v>57.97</v>
      </c>
      <c r="H2694" t="s">
        <v>2810</v>
      </c>
      <c r="L2694" t="s">
        <v>1433</v>
      </c>
      <c r="M2694" t="s">
        <v>1376</v>
      </c>
      <c r="N2694" t="s">
        <v>4049</v>
      </c>
      <c r="O2694">
        <v>5</v>
      </c>
    </row>
    <row r="2695" spans="2:15" x14ac:dyDescent="0.2">
      <c r="B2695" t="s">
        <v>1433</v>
      </c>
      <c r="C2695" t="s">
        <v>12898</v>
      </c>
      <c r="D2695" t="s">
        <v>621</v>
      </c>
      <c r="E2695" t="s">
        <v>9140</v>
      </c>
      <c r="F2695">
        <v>905.76</v>
      </c>
      <c r="H2695" t="s">
        <v>1889</v>
      </c>
      <c r="L2695" t="s">
        <v>1433</v>
      </c>
      <c r="M2695" t="s">
        <v>1453</v>
      </c>
      <c r="N2695" t="s">
        <v>4050</v>
      </c>
      <c r="O2695">
        <v>17</v>
      </c>
    </row>
    <row r="2696" spans="2:15" x14ac:dyDescent="0.2">
      <c r="B2696" t="s">
        <v>1433</v>
      </c>
      <c r="C2696" t="s">
        <v>12898</v>
      </c>
      <c r="D2696" t="s">
        <v>621</v>
      </c>
      <c r="E2696" t="s">
        <v>9141</v>
      </c>
      <c r="F2696">
        <v>240.72</v>
      </c>
      <c r="H2696" t="s">
        <v>1889</v>
      </c>
      <c r="L2696" t="s">
        <v>1433</v>
      </c>
      <c r="M2696" t="s">
        <v>1374</v>
      </c>
      <c r="N2696" t="s">
        <v>4050</v>
      </c>
      <c r="O2696">
        <v>7</v>
      </c>
    </row>
    <row r="2697" spans="2:15" x14ac:dyDescent="0.2">
      <c r="B2697" t="s">
        <v>1433</v>
      </c>
      <c r="C2697" t="s">
        <v>12898</v>
      </c>
      <c r="D2697" t="s">
        <v>621</v>
      </c>
      <c r="E2697" t="s">
        <v>9142</v>
      </c>
      <c r="F2697">
        <v>195.92</v>
      </c>
      <c r="H2697" t="s">
        <v>8985</v>
      </c>
      <c r="L2697" t="s">
        <v>1433</v>
      </c>
      <c r="M2697" t="s">
        <v>1923</v>
      </c>
      <c r="N2697" t="s">
        <v>4050</v>
      </c>
      <c r="O2697">
        <v>3</v>
      </c>
    </row>
    <row r="2698" spans="2:15" x14ac:dyDescent="0.2">
      <c r="B2698" t="s">
        <v>1433</v>
      </c>
      <c r="C2698" t="s">
        <v>12898</v>
      </c>
      <c r="D2698" t="s">
        <v>621</v>
      </c>
      <c r="E2698" t="s">
        <v>9143</v>
      </c>
      <c r="F2698">
        <v>2516.8000000000002</v>
      </c>
      <c r="H2698" t="s">
        <v>1886</v>
      </c>
      <c r="L2698" t="s">
        <v>1433</v>
      </c>
      <c r="M2698" t="s">
        <v>1446</v>
      </c>
      <c r="N2698" t="s">
        <v>4050</v>
      </c>
      <c r="O2698">
        <v>4</v>
      </c>
    </row>
    <row r="2699" spans="2:15" x14ac:dyDescent="0.2">
      <c r="B2699" t="s">
        <v>1433</v>
      </c>
      <c r="C2699" t="s">
        <v>12898</v>
      </c>
      <c r="D2699" t="s">
        <v>621</v>
      </c>
      <c r="E2699" t="s">
        <v>9144</v>
      </c>
      <c r="F2699">
        <v>2516.8000000000002</v>
      </c>
      <c r="H2699" t="s">
        <v>1888</v>
      </c>
      <c r="L2699" t="s">
        <v>1433</v>
      </c>
      <c r="M2699" t="s">
        <v>3245</v>
      </c>
      <c r="N2699" t="s">
        <v>4051</v>
      </c>
      <c r="O2699">
        <v>6</v>
      </c>
    </row>
    <row r="2700" spans="2:15" x14ac:dyDescent="0.2">
      <c r="B2700" t="s">
        <v>1433</v>
      </c>
      <c r="C2700" t="s">
        <v>12898</v>
      </c>
      <c r="D2700" t="s">
        <v>617</v>
      </c>
      <c r="E2700" t="s">
        <v>9145</v>
      </c>
      <c r="F2700">
        <v>153</v>
      </c>
      <c r="H2700" t="s">
        <v>1552</v>
      </c>
      <c r="L2700" t="s">
        <v>1433</v>
      </c>
      <c r="M2700" t="s">
        <v>1794</v>
      </c>
      <c r="N2700" t="s">
        <v>4052</v>
      </c>
      <c r="O2700">
        <v>10</v>
      </c>
    </row>
    <row r="2701" spans="2:15" x14ac:dyDescent="0.2">
      <c r="B2701" t="s">
        <v>1433</v>
      </c>
      <c r="C2701" t="s">
        <v>12898</v>
      </c>
      <c r="D2701" t="s">
        <v>617</v>
      </c>
      <c r="E2701" t="s">
        <v>9146</v>
      </c>
      <c r="F2701">
        <v>51</v>
      </c>
      <c r="H2701" t="s">
        <v>1552</v>
      </c>
      <c r="L2701" t="s">
        <v>1433</v>
      </c>
      <c r="M2701" t="s">
        <v>4053</v>
      </c>
      <c r="N2701" t="s">
        <v>4054</v>
      </c>
      <c r="O2701">
        <v>13</v>
      </c>
    </row>
    <row r="2702" spans="2:15" x14ac:dyDescent="0.2">
      <c r="B2702" t="s">
        <v>1433</v>
      </c>
      <c r="C2702" t="s">
        <v>12898</v>
      </c>
      <c r="D2702" t="s">
        <v>617</v>
      </c>
      <c r="E2702" t="s">
        <v>9147</v>
      </c>
      <c r="F2702">
        <v>29.84</v>
      </c>
      <c r="H2702" t="s">
        <v>9148</v>
      </c>
      <c r="L2702" t="s">
        <v>1433</v>
      </c>
      <c r="M2702" t="s">
        <v>1380</v>
      </c>
      <c r="N2702" t="s">
        <v>4054</v>
      </c>
      <c r="O2702">
        <v>300</v>
      </c>
    </row>
    <row r="2703" spans="2:15" x14ac:dyDescent="0.2">
      <c r="B2703" t="s">
        <v>1433</v>
      </c>
      <c r="C2703" t="s">
        <v>12898</v>
      </c>
      <c r="D2703" t="s">
        <v>617</v>
      </c>
      <c r="E2703" t="s">
        <v>9149</v>
      </c>
      <c r="F2703">
        <v>26.33</v>
      </c>
      <c r="H2703" t="s">
        <v>9150</v>
      </c>
      <c r="L2703" t="s">
        <v>1433</v>
      </c>
      <c r="M2703" t="s">
        <v>1806</v>
      </c>
      <c r="N2703" t="s">
        <v>4054</v>
      </c>
      <c r="O2703">
        <v>26</v>
      </c>
    </row>
    <row r="2704" spans="2:15" x14ac:dyDescent="0.2">
      <c r="B2704" t="s">
        <v>1433</v>
      </c>
      <c r="C2704" t="s">
        <v>12898</v>
      </c>
      <c r="D2704" t="s">
        <v>617</v>
      </c>
      <c r="E2704" t="s">
        <v>9151</v>
      </c>
      <c r="F2704">
        <v>95.7</v>
      </c>
      <c r="H2704" t="s">
        <v>9152</v>
      </c>
      <c r="L2704" t="s">
        <v>1433</v>
      </c>
      <c r="M2704" t="s">
        <v>4055</v>
      </c>
      <c r="N2704" t="s">
        <v>4056</v>
      </c>
      <c r="O2704">
        <v>4</v>
      </c>
    </row>
    <row r="2705" spans="2:15" x14ac:dyDescent="0.2">
      <c r="B2705" t="s">
        <v>1433</v>
      </c>
      <c r="C2705" t="s">
        <v>12898</v>
      </c>
      <c r="D2705" t="s">
        <v>617</v>
      </c>
      <c r="E2705" t="s">
        <v>9153</v>
      </c>
      <c r="F2705">
        <v>229.39</v>
      </c>
      <c r="H2705" t="s">
        <v>2092</v>
      </c>
      <c r="L2705" t="s">
        <v>1433</v>
      </c>
      <c r="M2705" t="s">
        <v>1724</v>
      </c>
      <c r="N2705" t="s">
        <v>4057</v>
      </c>
      <c r="O2705">
        <v>4</v>
      </c>
    </row>
    <row r="2706" spans="2:15" x14ac:dyDescent="0.2">
      <c r="B2706" t="s">
        <v>1433</v>
      </c>
      <c r="C2706" t="s">
        <v>12898</v>
      </c>
      <c r="D2706" t="s">
        <v>617</v>
      </c>
      <c r="E2706" t="s">
        <v>9154</v>
      </c>
      <c r="F2706">
        <v>380</v>
      </c>
      <c r="H2706" t="s">
        <v>2092</v>
      </c>
      <c r="L2706" t="s">
        <v>1433</v>
      </c>
      <c r="M2706" t="s">
        <v>2726</v>
      </c>
      <c r="N2706" t="s">
        <v>4057</v>
      </c>
      <c r="O2706">
        <v>12</v>
      </c>
    </row>
    <row r="2707" spans="2:15" x14ac:dyDescent="0.2">
      <c r="B2707" t="s">
        <v>1433</v>
      </c>
      <c r="C2707" t="s">
        <v>12898</v>
      </c>
      <c r="D2707" t="s">
        <v>621</v>
      </c>
      <c r="E2707" t="s">
        <v>9155</v>
      </c>
      <c r="F2707">
        <v>7.84</v>
      </c>
      <c r="H2707" t="s">
        <v>1973</v>
      </c>
      <c r="L2707" t="s">
        <v>1433</v>
      </c>
      <c r="M2707" t="s">
        <v>2732</v>
      </c>
      <c r="N2707" t="s">
        <v>4058</v>
      </c>
      <c r="O2707">
        <v>1</v>
      </c>
    </row>
    <row r="2708" spans="2:15" x14ac:dyDescent="0.2">
      <c r="B2708" t="s">
        <v>1433</v>
      </c>
      <c r="C2708" t="s">
        <v>12898</v>
      </c>
      <c r="D2708" t="s">
        <v>621</v>
      </c>
      <c r="E2708" t="s">
        <v>9156</v>
      </c>
      <c r="F2708">
        <v>50.8</v>
      </c>
      <c r="H2708" t="s">
        <v>1971</v>
      </c>
      <c r="L2708" t="s">
        <v>1433</v>
      </c>
      <c r="M2708" t="s">
        <v>4059</v>
      </c>
      <c r="N2708" t="s">
        <v>4060</v>
      </c>
      <c r="O2708">
        <v>13</v>
      </c>
    </row>
    <row r="2709" spans="2:15" x14ac:dyDescent="0.2">
      <c r="B2709" t="s">
        <v>1433</v>
      </c>
      <c r="C2709" t="s">
        <v>12898</v>
      </c>
      <c r="D2709" t="s">
        <v>621</v>
      </c>
      <c r="E2709" t="s">
        <v>9157</v>
      </c>
      <c r="F2709">
        <v>389.36</v>
      </c>
      <c r="H2709" t="s">
        <v>2132</v>
      </c>
      <c r="L2709" t="s">
        <v>1433</v>
      </c>
      <c r="M2709" t="s">
        <v>4061</v>
      </c>
      <c r="N2709" t="s">
        <v>4062</v>
      </c>
      <c r="O2709">
        <v>22</v>
      </c>
    </row>
    <row r="2710" spans="2:15" x14ac:dyDescent="0.2">
      <c r="B2710" t="s">
        <v>1433</v>
      </c>
      <c r="C2710" t="s">
        <v>12898</v>
      </c>
      <c r="D2710" t="s">
        <v>621</v>
      </c>
      <c r="E2710" t="s">
        <v>9158</v>
      </c>
      <c r="F2710">
        <v>1658.9</v>
      </c>
      <c r="H2710" t="s">
        <v>2133</v>
      </c>
      <c r="L2710" t="s">
        <v>1433</v>
      </c>
      <c r="M2710" t="s">
        <v>1388</v>
      </c>
      <c r="N2710" t="s">
        <v>4063</v>
      </c>
      <c r="O2710">
        <v>595</v>
      </c>
    </row>
    <row r="2711" spans="2:15" x14ac:dyDescent="0.2">
      <c r="B2711" t="s">
        <v>1433</v>
      </c>
      <c r="C2711" t="s">
        <v>12898</v>
      </c>
      <c r="D2711" t="s">
        <v>621</v>
      </c>
      <c r="E2711" t="s">
        <v>9159</v>
      </c>
      <c r="F2711">
        <v>1627.72</v>
      </c>
      <c r="H2711" t="s">
        <v>2109</v>
      </c>
      <c r="L2711" t="s">
        <v>1433</v>
      </c>
      <c r="M2711" t="s">
        <v>2315</v>
      </c>
      <c r="N2711" t="s">
        <v>4063</v>
      </c>
      <c r="O2711">
        <v>325</v>
      </c>
    </row>
    <row r="2712" spans="2:15" x14ac:dyDescent="0.2">
      <c r="B2712" t="s">
        <v>1433</v>
      </c>
      <c r="C2712" t="s">
        <v>12898</v>
      </c>
      <c r="D2712" t="s">
        <v>621</v>
      </c>
      <c r="E2712" t="s">
        <v>9160</v>
      </c>
      <c r="F2712">
        <v>2233.86</v>
      </c>
      <c r="H2712" t="s">
        <v>2111</v>
      </c>
      <c r="L2712" t="s">
        <v>1433</v>
      </c>
      <c r="M2712" t="s">
        <v>2806</v>
      </c>
      <c r="N2712" t="s">
        <v>4064</v>
      </c>
      <c r="O2712">
        <v>13</v>
      </c>
    </row>
    <row r="2713" spans="2:15" x14ac:dyDescent="0.2">
      <c r="B2713" t="s">
        <v>1433</v>
      </c>
      <c r="C2713" t="s">
        <v>12898</v>
      </c>
      <c r="D2713" t="s">
        <v>621</v>
      </c>
      <c r="E2713" t="s">
        <v>9161</v>
      </c>
      <c r="F2713">
        <v>1627.72</v>
      </c>
      <c r="H2713" t="s">
        <v>2112</v>
      </c>
      <c r="L2713" t="s">
        <v>1433</v>
      </c>
      <c r="M2713" t="s">
        <v>2553</v>
      </c>
      <c r="N2713" t="s">
        <v>4065</v>
      </c>
      <c r="O2713">
        <v>8</v>
      </c>
    </row>
    <row r="2714" spans="2:15" x14ac:dyDescent="0.2">
      <c r="B2714" t="s">
        <v>1433</v>
      </c>
      <c r="C2714" t="s">
        <v>12898</v>
      </c>
      <c r="D2714" t="s">
        <v>621</v>
      </c>
      <c r="E2714" t="s">
        <v>9162</v>
      </c>
      <c r="F2714">
        <v>813.86</v>
      </c>
      <c r="H2714" t="s">
        <v>2113</v>
      </c>
      <c r="L2714" t="s">
        <v>1433</v>
      </c>
      <c r="M2714" t="s">
        <v>2555</v>
      </c>
      <c r="N2714" t="s">
        <v>4065</v>
      </c>
      <c r="O2714">
        <v>4</v>
      </c>
    </row>
    <row r="2715" spans="2:15" x14ac:dyDescent="0.2">
      <c r="B2715" t="s">
        <v>1433</v>
      </c>
      <c r="C2715" t="s">
        <v>12898</v>
      </c>
      <c r="D2715" t="s">
        <v>621</v>
      </c>
      <c r="E2715" t="s">
        <v>9163</v>
      </c>
      <c r="F2715">
        <v>5178.08</v>
      </c>
      <c r="H2715" t="s">
        <v>2114</v>
      </c>
      <c r="L2715" t="s">
        <v>1433</v>
      </c>
      <c r="M2715" t="s">
        <v>2556</v>
      </c>
      <c r="N2715" t="s">
        <v>4065</v>
      </c>
      <c r="O2715">
        <v>4</v>
      </c>
    </row>
    <row r="2716" spans="2:15" x14ac:dyDescent="0.2">
      <c r="B2716" t="s">
        <v>1433</v>
      </c>
      <c r="C2716" t="s">
        <v>12898</v>
      </c>
      <c r="D2716" t="s">
        <v>621</v>
      </c>
      <c r="E2716" t="s">
        <v>9164</v>
      </c>
      <c r="F2716">
        <v>5306.56</v>
      </c>
      <c r="H2716" t="s">
        <v>2115</v>
      </c>
      <c r="L2716" t="s">
        <v>1433</v>
      </c>
      <c r="M2716" t="s">
        <v>4066</v>
      </c>
      <c r="N2716" t="s">
        <v>4065</v>
      </c>
      <c r="O2716">
        <v>4</v>
      </c>
    </row>
    <row r="2717" spans="2:15" x14ac:dyDescent="0.2">
      <c r="B2717" t="s">
        <v>1433</v>
      </c>
      <c r="C2717" t="s">
        <v>12898</v>
      </c>
      <c r="D2717" t="s">
        <v>621</v>
      </c>
      <c r="E2717" t="s">
        <v>9165</v>
      </c>
      <c r="F2717">
        <v>1382.78</v>
      </c>
      <c r="H2717" t="s">
        <v>2116</v>
      </c>
      <c r="L2717" t="s">
        <v>1433</v>
      </c>
      <c r="M2717" t="s">
        <v>4067</v>
      </c>
      <c r="N2717" t="s">
        <v>4068</v>
      </c>
      <c r="O2717">
        <v>4</v>
      </c>
    </row>
    <row r="2718" spans="2:15" x14ac:dyDescent="0.2">
      <c r="B2718" t="s">
        <v>1433</v>
      </c>
      <c r="C2718" t="s">
        <v>12898</v>
      </c>
      <c r="D2718" t="s">
        <v>621</v>
      </c>
      <c r="E2718" t="s">
        <v>9166</v>
      </c>
      <c r="F2718">
        <v>2040.96</v>
      </c>
      <c r="H2718" t="s">
        <v>2117</v>
      </c>
      <c r="L2718" t="s">
        <v>1433</v>
      </c>
      <c r="M2718" t="s">
        <v>4069</v>
      </c>
      <c r="N2718" t="s">
        <v>4068</v>
      </c>
      <c r="O2718">
        <v>4</v>
      </c>
    </row>
    <row r="2719" spans="2:15" x14ac:dyDescent="0.2">
      <c r="B2719" t="s">
        <v>1433</v>
      </c>
      <c r="C2719" t="s">
        <v>12898</v>
      </c>
      <c r="D2719" t="s">
        <v>621</v>
      </c>
      <c r="E2719" t="s">
        <v>9167</v>
      </c>
      <c r="F2719">
        <v>1382.78</v>
      </c>
      <c r="H2719" t="s">
        <v>2118</v>
      </c>
      <c r="L2719" t="s">
        <v>1433</v>
      </c>
      <c r="M2719" t="s">
        <v>4070</v>
      </c>
      <c r="N2719" t="s">
        <v>4068</v>
      </c>
      <c r="O2719">
        <v>4</v>
      </c>
    </row>
    <row r="2720" spans="2:15" x14ac:dyDescent="0.2">
      <c r="B2720" t="s">
        <v>1433</v>
      </c>
      <c r="C2720" t="s">
        <v>12898</v>
      </c>
      <c r="D2720" t="s">
        <v>621</v>
      </c>
      <c r="E2720" t="s">
        <v>9168</v>
      </c>
      <c r="F2720">
        <v>987.55</v>
      </c>
      <c r="H2720" t="s">
        <v>2119</v>
      </c>
      <c r="L2720" t="s">
        <v>1433</v>
      </c>
      <c r="M2720" t="s">
        <v>4071</v>
      </c>
      <c r="N2720" t="s">
        <v>4072</v>
      </c>
      <c r="O2720">
        <v>1</v>
      </c>
    </row>
    <row r="2721" spans="2:15" x14ac:dyDescent="0.2">
      <c r="B2721" t="s">
        <v>1433</v>
      </c>
      <c r="C2721" t="s">
        <v>12898</v>
      </c>
      <c r="D2721" t="s">
        <v>621</v>
      </c>
      <c r="E2721" t="s">
        <v>9169</v>
      </c>
      <c r="F2721">
        <v>1076.1400000000001</v>
      </c>
      <c r="H2721" t="s">
        <v>2120</v>
      </c>
      <c r="L2721" t="s">
        <v>1433</v>
      </c>
      <c r="M2721" t="s">
        <v>4073</v>
      </c>
      <c r="N2721" t="s">
        <v>4074</v>
      </c>
      <c r="O2721">
        <v>1</v>
      </c>
    </row>
    <row r="2722" spans="2:15" x14ac:dyDescent="0.2">
      <c r="B2722" t="s">
        <v>1433</v>
      </c>
      <c r="C2722" t="s">
        <v>12898</v>
      </c>
      <c r="D2722" t="s">
        <v>621</v>
      </c>
      <c r="E2722" t="s">
        <v>9170</v>
      </c>
      <c r="F2722">
        <v>2063.6799999999998</v>
      </c>
      <c r="H2722" t="s">
        <v>2121</v>
      </c>
      <c r="L2722" t="s">
        <v>1433</v>
      </c>
      <c r="M2722" t="s">
        <v>4075</v>
      </c>
      <c r="N2722" t="s">
        <v>4076</v>
      </c>
      <c r="O2722">
        <v>64</v>
      </c>
    </row>
    <row r="2723" spans="2:15" x14ac:dyDescent="0.2">
      <c r="B2723" t="s">
        <v>1433</v>
      </c>
      <c r="C2723" t="s">
        <v>12898</v>
      </c>
      <c r="D2723" t="s">
        <v>621</v>
      </c>
      <c r="E2723" t="s">
        <v>9171</v>
      </c>
      <c r="F2723">
        <v>987.55</v>
      </c>
      <c r="H2723" t="s">
        <v>2122</v>
      </c>
      <c r="L2723" t="s">
        <v>1433</v>
      </c>
      <c r="M2723" t="s">
        <v>4077</v>
      </c>
      <c r="N2723" t="s">
        <v>4078</v>
      </c>
      <c r="O2723">
        <v>4000</v>
      </c>
    </row>
    <row r="2724" spans="2:15" x14ac:dyDescent="0.2">
      <c r="B2724" t="s">
        <v>1433</v>
      </c>
      <c r="C2724" t="s">
        <v>12898</v>
      </c>
      <c r="D2724" t="s">
        <v>621</v>
      </c>
      <c r="E2724" t="s">
        <v>9172</v>
      </c>
      <c r="F2724">
        <v>987.55</v>
      </c>
      <c r="H2724" t="s">
        <v>2123</v>
      </c>
      <c r="L2724" t="s">
        <v>1433</v>
      </c>
      <c r="M2724" t="s">
        <v>4079</v>
      </c>
      <c r="N2724" t="s">
        <v>4078</v>
      </c>
      <c r="O2724">
        <v>4096</v>
      </c>
    </row>
    <row r="2725" spans="2:15" x14ac:dyDescent="0.2">
      <c r="B2725" t="s">
        <v>1433</v>
      </c>
      <c r="C2725" t="s">
        <v>12898</v>
      </c>
      <c r="D2725" t="s">
        <v>621</v>
      </c>
      <c r="E2725" t="s">
        <v>9173</v>
      </c>
      <c r="F2725">
        <v>1627.72</v>
      </c>
      <c r="H2725" t="s">
        <v>2124</v>
      </c>
      <c r="L2725" t="s">
        <v>1433</v>
      </c>
      <c r="M2725" t="s">
        <v>4080</v>
      </c>
      <c r="N2725" t="s">
        <v>4081</v>
      </c>
      <c r="O2725">
        <v>1024</v>
      </c>
    </row>
    <row r="2726" spans="2:15" x14ac:dyDescent="0.2">
      <c r="B2726" t="s">
        <v>1433</v>
      </c>
      <c r="C2726" t="s">
        <v>12898</v>
      </c>
      <c r="D2726" t="s">
        <v>621</v>
      </c>
      <c r="E2726" t="s">
        <v>9174</v>
      </c>
      <c r="F2726">
        <v>332.64</v>
      </c>
      <c r="H2726" t="s">
        <v>2125</v>
      </c>
      <c r="L2726" t="s">
        <v>1433</v>
      </c>
      <c r="M2726" t="s">
        <v>1615</v>
      </c>
      <c r="N2726" t="s">
        <v>4082</v>
      </c>
      <c r="O2726">
        <v>50</v>
      </c>
    </row>
    <row r="2727" spans="2:15" x14ac:dyDescent="0.2">
      <c r="B2727" t="s">
        <v>1433</v>
      </c>
      <c r="C2727" t="s">
        <v>12898</v>
      </c>
      <c r="D2727" t="s">
        <v>621</v>
      </c>
      <c r="E2727" t="s">
        <v>9175</v>
      </c>
      <c r="F2727">
        <v>138</v>
      </c>
      <c r="H2727" t="s">
        <v>2126</v>
      </c>
      <c r="L2727" t="s">
        <v>1433</v>
      </c>
      <c r="M2727" t="s">
        <v>1860</v>
      </c>
      <c r="N2727" t="s">
        <v>4083</v>
      </c>
      <c r="O2727">
        <v>20</v>
      </c>
    </row>
    <row r="2728" spans="2:15" x14ac:dyDescent="0.2">
      <c r="B2728" t="s">
        <v>1433</v>
      </c>
      <c r="C2728" t="s">
        <v>12898</v>
      </c>
      <c r="D2728" t="s">
        <v>621</v>
      </c>
      <c r="E2728" t="s">
        <v>9176</v>
      </c>
      <c r="F2728">
        <v>154.56</v>
      </c>
      <c r="H2728" t="s">
        <v>2127</v>
      </c>
      <c r="L2728" t="s">
        <v>1433</v>
      </c>
      <c r="M2728" t="s">
        <v>4084</v>
      </c>
      <c r="N2728" t="s">
        <v>4085</v>
      </c>
      <c r="O2728">
        <v>1</v>
      </c>
    </row>
    <row r="2729" spans="2:15" x14ac:dyDescent="0.2">
      <c r="B2729" t="s">
        <v>1433</v>
      </c>
      <c r="C2729" t="s">
        <v>12898</v>
      </c>
      <c r="D2729" t="s">
        <v>621</v>
      </c>
      <c r="E2729" t="s">
        <v>9177</v>
      </c>
      <c r="F2729">
        <v>47.98</v>
      </c>
      <c r="H2729" t="s">
        <v>2128</v>
      </c>
      <c r="L2729" t="s">
        <v>1433</v>
      </c>
      <c r="M2729" t="s">
        <v>4086</v>
      </c>
      <c r="N2729" t="s">
        <v>4087</v>
      </c>
      <c r="O2729">
        <v>100</v>
      </c>
    </row>
    <row r="2730" spans="2:15" x14ac:dyDescent="0.2">
      <c r="B2730" t="s">
        <v>1433</v>
      </c>
      <c r="C2730" t="s">
        <v>12898</v>
      </c>
      <c r="D2730" t="s">
        <v>621</v>
      </c>
      <c r="E2730" t="s">
        <v>9178</v>
      </c>
      <c r="F2730">
        <v>-47.98</v>
      </c>
      <c r="H2730" t="s">
        <v>2128</v>
      </c>
      <c r="L2730" t="s">
        <v>1433</v>
      </c>
      <c r="M2730" t="s">
        <v>1391</v>
      </c>
      <c r="N2730" t="s">
        <v>4087</v>
      </c>
      <c r="O2730">
        <v>50</v>
      </c>
    </row>
    <row r="2731" spans="2:15" x14ac:dyDescent="0.2">
      <c r="B2731" t="s">
        <v>1433</v>
      </c>
      <c r="C2731" t="s">
        <v>12898</v>
      </c>
      <c r="D2731" t="s">
        <v>621</v>
      </c>
      <c r="E2731" t="s">
        <v>9179</v>
      </c>
      <c r="F2731">
        <v>95.96</v>
      </c>
      <c r="H2731" t="s">
        <v>2128</v>
      </c>
      <c r="L2731" t="s">
        <v>1433</v>
      </c>
      <c r="M2731" t="s">
        <v>4088</v>
      </c>
      <c r="N2731" t="s">
        <v>4089</v>
      </c>
      <c r="O2731">
        <v>1</v>
      </c>
    </row>
    <row r="2732" spans="2:15" x14ac:dyDescent="0.2">
      <c r="B2732" t="s">
        <v>1433</v>
      </c>
      <c r="C2732" t="s">
        <v>12898</v>
      </c>
      <c r="D2732" t="s">
        <v>621</v>
      </c>
      <c r="E2732" t="s">
        <v>9180</v>
      </c>
      <c r="F2732">
        <v>100.4</v>
      </c>
      <c r="H2732" t="s">
        <v>2129</v>
      </c>
      <c r="L2732" t="s">
        <v>1433</v>
      </c>
      <c r="M2732" t="s">
        <v>4090</v>
      </c>
      <c r="N2732" t="s">
        <v>4091</v>
      </c>
      <c r="O2732">
        <v>2</v>
      </c>
    </row>
    <row r="2733" spans="2:15" x14ac:dyDescent="0.2">
      <c r="B2733" t="s">
        <v>1433</v>
      </c>
      <c r="C2733" t="s">
        <v>12898</v>
      </c>
      <c r="D2733" t="s">
        <v>621</v>
      </c>
      <c r="E2733" t="s">
        <v>9181</v>
      </c>
      <c r="F2733">
        <v>163.04</v>
      </c>
      <c r="H2733" t="s">
        <v>2130</v>
      </c>
      <c r="L2733" t="s">
        <v>1433</v>
      </c>
      <c r="M2733" t="s">
        <v>4092</v>
      </c>
      <c r="N2733" t="s">
        <v>4091</v>
      </c>
      <c r="O2733">
        <v>2</v>
      </c>
    </row>
    <row r="2734" spans="2:15" x14ac:dyDescent="0.2">
      <c r="B2734" t="s">
        <v>1433</v>
      </c>
      <c r="C2734" t="s">
        <v>12898</v>
      </c>
      <c r="D2734" t="s">
        <v>621</v>
      </c>
      <c r="E2734" t="s">
        <v>9182</v>
      </c>
      <c r="F2734">
        <v>65.64</v>
      </c>
      <c r="H2734" t="s">
        <v>2131</v>
      </c>
      <c r="L2734" t="s">
        <v>1433</v>
      </c>
      <c r="M2734" t="s">
        <v>4093</v>
      </c>
      <c r="N2734" t="s">
        <v>4094</v>
      </c>
      <c r="O2734">
        <v>1</v>
      </c>
    </row>
    <row r="2735" spans="2:15" x14ac:dyDescent="0.2">
      <c r="B2735" t="s">
        <v>1433</v>
      </c>
      <c r="C2735" t="s">
        <v>12898</v>
      </c>
      <c r="D2735" t="s">
        <v>617</v>
      </c>
      <c r="E2735" t="s">
        <v>9183</v>
      </c>
      <c r="F2735">
        <v>197.2</v>
      </c>
      <c r="H2735" t="s">
        <v>2087</v>
      </c>
      <c r="L2735" t="s">
        <v>1433</v>
      </c>
      <c r="M2735" t="s">
        <v>4095</v>
      </c>
      <c r="N2735" t="s">
        <v>4094</v>
      </c>
      <c r="O2735">
        <v>1</v>
      </c>
    </row>
    <row r="2736" spans="2:15" x14ac:dyDescent="0.2">
      <c r="B2736" t="s">
        <v>1433</v>
      </c>
      <c r="C2736" t="s">
        <v>12898</v>
      </c>
      <c r="D2736" t="s">
        <v>617</v>
      </c>
      <c r="E2736" t="s">
        <v>9184</v>
      </c>
      <c r="F2736">
        <v>437.5</v>
      </c>
      <c r="H2736" t="s">
        <v>2296</v>
      </c>
      <c r="L2736" t="s">
        <v>1433</v>
      </c>
      <c r="M2736" t="s">
        <v>4096</v>
      </c>
      <c r="N2736" t="s">
        <v>4094</v>
      </c>
      <c r="O2736">
        <v>1</v>
      </c>
    </row>
    <row r="2737" spans="2:15" x14ac:dyDescent="0.2">
      <c r="B2737" t="s">
        <v>1433</v>
      </c>
      <c r="C2737" t="s">
        <v>12898</v>
      </c>
      <c r="D2737" t="s">
        <v>617</v>
      </c>
      <c r="E2737" t="s">
        <v>9185</v>
      </c>
      <c r="F2737">
        <v>72.3</v>
      </c>
      <c r="H2737" t="s">
        <v>1725</v>
      </c>
      <c r="L2737" t="s">
        <v>1433</v>
      </c>
      <c r="M2737" t="s">
        <v>1983</v>
      </c>
      <c r="N2737" t="s">
        <v>4097</v>
      </c>
      <c r="O2737">
        <v>300</v>
      </c>
    </row>
    <row r="2738" spans="2:15" x14ac:dyDescent="0.2">
      <c r="B2738" t="s">
        <v>1433</v>
      </c>
      <c r="C2738" t="s">
        <v>12898</v>
      </c>
      <c r="D2738" t="s">
        <v>617</v>
      </c>
      <c r="E2738" t="s">
        <v>9186</v>
      </c>
      <c r="F2738">
        <v>385.5</v>
      </c>
      <c r="H2738" t="s">
        <v>1585</v>
      </c>
      <c r="L2738" t="s">
        <v>1433</v>
      </c>
      <c r="M2738" t="s">
        <v>4098</v>
      </c>
      <c r="N2738" t="s">
        <v>4099</v>
      </c>
      <c r="O2738">
        <v>700</v>
      </c>
    </row>
    <row r="2739" spans="2:15" x14ac:dyDescent="0.2">
      <c r="B2739" t="s">
        <v>1433</v>
      </c>
      <c r="C2739" t="s">
        <v>12898</v>
      </c>
      <c r="D2739" t="s">
        <v>617</v>
      </c>
      <c r="E2739" t="s">
        <v>9187</v>
      </c>
      <c r="F2739">
        <v>41.21</v>
      </c>
      <c r="H2739" t="s">
        <v>1883</v>
      </c>
      <c r="L2739" t="s">
        <v>1433</v>
      </c>
      <c r="M2739" t="s">
        <v>1388</v>
      </c>
      <c r="N2739" t="s">
        <v>4099</v>
      </c>
      <c r="O2739">
        <v>400</v>
      </c>
    </row>
    <row r="2740" spans="2:15" x14ac:dyDescent="0.2">
      <c r="B2740" t="s">
        <v>1433</v>
      </c>
      <c r="C2740" t="s">
        <v>12898</v>
      </c>
      <c r="D2740" t="s">
        <v>613</v>
      </c>
      <c r="E2740" t="s">
        <v>9188</v>
      </c>
      <c r="F2740">
        <v>2.2000000000000002</v>
      </c>
      <c r="G2740" t="s">
        <v>9189</v>
      </c>
      <c r="L2740" t="s">
        <v>1433</v>
      </c>
      <c r="M2740" t="s">
        <v>2315</v>
      </c>
      <c r="N2740" t="s">
        <v>4099</v>
      </c>
      <c r="O2740">
        <v>300</v>
      </c>
    </row>
    <row r="2741" spans="2:15" x14ac:dyDescent="0.2">
      <c r="B2741" t="s">
        <v>1433</v>
      </c>
      <c r="C2741" t="s">
        <v>12898</v>
      </c>
      <c r="D2741" t="s">
        <v>613</v>
      </c>
      <c r="E2741" t="s">
        <v>9190</v>
      </c>
      <c r="F2741">
        <v>0.1</v>
      </c>
      <c r="G2741" t="s">
        <v>7823</v>
      </c>
      <c r="L2741" t="s">
        <v>1433</v>
      </c>
      <c r="M2741" t="s">
        <v>3362</v>
      </c>
      <c r="N2741" t="s">
        <v>4100</v>
      </c>
      <c r="O2741">
        <v>12</v>
      </c>
    </row>
    <row r="2742" spans="2:15" x14ac:dyDescent="0.2">
      <c r="B2742" t="s">
        <v>1433</v>
      </c>
      <c r="C2742" t="s">
        <v>12898</v>
      </c>
      <c r="D2742" t="s">
        <v>613</v>
      </c>
      <c r="E2742" t="s">
        <v>9191</v>
      </c>
      <c r="F2742">
        <v>0.06</v>
      </c>
      <c r="G2742" t="s">
        <v>6635</v>
      </c>
      <c r="L2742" t="s">
        <v>1433</v>
      </c>
      <c r="M2742" t="s">
        <v>3364</v>
      </c>
      <c r="N2742" t="s">
        <v>4100</v>
      </c>
      <c r="O2742">
        <v>20</v>
      </c>
    </row>
    <row r="2743" spans="2:15" x14ac:dyDescent="0.2">
      <c r="B2743" t="s">
        <v>1433</v>
      </c>
      <c r="C2743" t="s">
        <v>12898</v>
      </c>
      <c r="D2743" t="s">
        <v>617</v>
      </c>
      <c r="E2743" t="s">
        <v>9192</v>
      </c>
      <c r="F2743">
        <v>115</v>
      </c>
      <c r="H2743" t="s">
        <v>2281</v>
      </c>
      <c r="L2743" t="s">
        <v>1433</v>
      </c>
      <c r="M2743" t="s">
        <v>1624</v>
      </c>
      <c r="N2743" t="s">
        <v>4100</v>
      </c>
      <c r="O2743">
        <v>72</v>
      </c>
    </row>
    <row r="2744" spans="2:15" x14ac:dyDescent="0.2">
      <c r="B2744" t="s">
        <v>1433</v>
      </c>
      <c r="C2744" t="s">
        <v>12898</v>
      </c>
      <c r="D2744" t="s">
        <v>617</v>
      </c>
      <c r="E2744" t="s">
        <v>9193</v>
      </c>
      <c r="F2744">
        <v>75</v>
      </c>
      <c r="H2744" t="s">
        <v>1580</v>
      </c>
      <c r="L2744" t="s">
        <v>1433</v>
      </c>
      <c r="M2744" t="s">
        <v>1628</v>
      </c>
      <c r="N2744" t="s">
        <v>4100</v>
      </c>
      <c r="O2744">
        <v>80</v>
      </c>
    </row>
    <row r="2745" spans="2:15" x14ac:dyDescent="0.2">
      <c r="B2745" t="s">
        <v>1433</v>
      </c>
      <c r="C2745" t="s">
        <v>12898</v>
      </c>
      <c r="D2745" t="s">
        <v>617</v>
      </c>
      <c r="E2745" t="s">
        <v>9194</v>
      </c>
      <c r="F2745">
        <v>60.39</v>
      </c>
      <c r="H2745" t="s">
        <v>1613</v>
      </c>
      <c r="L2745" t="s">
        <v>1433</v>
      </c>
      <c r="M2745" t="s">
        <v>4101</v>
      </c>
      <c r="N2745" t="s">
        <v>4102</v>
      </c>
      <c r="O2745">
        <v>8</v>
      </c>
    </row>
    <row r="2746" spans="2:15" x14ac:dyDescent="0.2">
      <c r="B2746" t="s">
        <v>1433</v>
      </c>
      <c r="C2746" t="s">
        <v>12898</v>
      </c>
      <c r="D2746" t="s">
        <v>617</v>
      </c>
      <c r="E2746" t="s">
        <v>9195</v>
      </c>
      <c r="F2746">
        <v>16.100000000000001</v>
      </c>
      <c r="H2746" t="s">
        <v>1621</v>
      </c>
      <c r="L2746" t="s">
        <v>1433</v>
      </c>
      <c r="M2746" t="s">
        <v>4103</v>
      </c>
      <c r="N2746" t="s">
        <v>4102</v>
      </c>
      <c r="O2746">
        <v>4</v>
      </c>
    </row>
    <row r="2747" spans="2:15" x14ac:dyDescent="0.2">
      <c r="B2747" t="s">
        <v>1433</v>
      </c>
      <c r="C2747" t="s">
        <v>12898</v>
      </c>
      <c r="D2747" t="s">
        <v>617</v>
      </c>
      <c r="E2747" t="s">
        <v>9196</v>
      </c>
      <c r="F2747">
        <v>-16.100000000000001</v>
      </c>
      <c r="H2747" t="s">
        <v>1621</v>
      </c>
      <c r="L2747" t="s">
        <v>1433</v>
      </c>
      <c r="M2747" t="s">
        <v>4104</v>
      </c>
      <c r="N2747" t="s">
        <v>4105</v>
      </c>
      <c r="O2747">
        <v>1</v>
      </c>
    </row>
    <row r="2748" spans="2:15" x14ac:dyDescent="0.2">
      <c r="B2748" t="s">
        <v>1433</v>
      </c>
      <c r="C2748" t="s">
        <v>12898</v>
      </c>
      <c r="D2748" t="s">
        <v>617</v>
      </c>
      <c r="E2748" t="s">
        <v>9197</v>
      </c>
      <c r="F2748">
        <v>16.100000000000001</v>
      </c>
      <c r="H2748" t="s">
        <v>1621</v>
      </c>
      <c r="L2748" t="s">
        <v>1433</v>
      </c>
      <c r="M2748" t="s">
        <v>4106</v>
      </c>
      <c r="N2748" t="s">
        <v>4107</v>
      </c>
      <c r="O2748">
        <v>2</v>
      </c>
    </row>
    <row r="2749" spans="2:15" x14ac:dyDescent="0.2">
      <c r="B2749" t="s">
        <v>1433</v>
      </c>
      <c r="C2749" t="s">
        <v>12898</v>
      </c>
      <c r="D2749" t="s">
        <v>617</v>
      </c>
      <c r="E2749" t="s">
        <v>9198</v>
      </c>
      <c r="F2749">
        <v>-16.100000000000001</v>
      </c>
      <c r="H2749" t="s">
        <v>1621</v>
      </c>
      <c r="L2749" t="s">
        <v>1433</v>
      </c>
      <c r="M2749" t="s">
        <v>4108</v>
      </c>
      <c r="N2749" t="s">
        <v>4107</v>
      </c>
      <c r="O2749">
        <v>2</v>
      </c>
    </row>
    <row r="2750" spans="2:15" x14ac:dyDescent="0.2">
      <c r="B2750" t="s">
        <v>1433</v>
      </c>
      <c r="C2750" t="s">
        <v>12898</v>
      </c>
      <c r="D2750" t="s">
        <v>617</v>
      </c>
      <c r="E2750" t="s">
        <v>9199</v>
      </c>
      <c r="F2750">
        <v>16.100000000000001</v>
      </c>
      <c r="H2750" t="s">
        <v>1621</v>
      </c>
      <c r="L2750" t="s">
        <v>1433</v>
      </c>
      <c r="M2750" t="s">
        <v>4109</v>
      </c>
      <c r="N2750" t="s">
        <v>4110</v>
      </c>
      <c r="O2750">
        <v>1</v>
      </c>
    </row>
    <row r="2751" spans="2:15" x14ac:dyDescent="0.2">
      <c r="B2751" t="s">
        <v>1433</v>
      </c>
      <c r="C2751" t="s">
        <v>12898</v>
      </c>
      <c r="D2751" t="s">
        <v>617</v>
      </c>
      <c r="E2751" t="s">
        <v>9200</v>
      </c>
      <c r="F2751">
        <v>32.200000000000003</v>
      </c>
      <c r="H2751" t="s">
        <v>1621</v>
      </c>
      <c r="L2751" t="s">
        <v>1433</v>
      </c>
      <c r="M2751" t="s">
        <v>4111</v>
      </c>
      <c r="N2751" t="s">
        <v>4112</v>
      </c>
      <c r="O2751">
        <v>1</v>
      </c>
    </row>
    <row r="2752" spans="2:15" x14ac:dyDescent="0.2">
      <c r="B2752" t="s">
        <v>1433</v>
      </c>
      <c r="C2752" t="s">
        <v>12898</v>
      </c>
      <c r="D2752" t="s">
        <v>617</v>
      </c>
      <c r="E2752" t="s">
        <v>9201</v>
      </c>
      <c r="F2752">
        <v>408.24</v>
      </c>
      <c r="H2752" t="s">
        <v>1627</v>
      </c>
      <c r="L2752" t="s">
        <v>1433</v>
      </c>
      <c r="M2752" t="s">
        <v>4113</v>
      </c>
      <c r="N2752" t="s">
        <v>4114</v>
      </c>
      <c r="O2752">
        <v>1</v>
      </c>
    </row>
    <row r="2753" spans="2:15" x14ac:dyDescent="0.2">
      <c r="B2753" t="s">
        <v>1433</v>
      </c>
      <c r="C2753" t="s">
        <v>12898</v>
      </c>
      <c r="D2753" t="s">
        <v>617</v>
      </c>
      <c r="E2753" t="s">
        <v>9202</v>
      </c>
      <c r="F2753">
        <v>158.76</v>
      </c>
      <c r="H2753" t="s">
        <v>1627</v>
      </c>
      <c r="L2753" t="s">
        <v>1433</v>
      </c>
      <c r="M2753" t="s">
        <v>4115</v>
      </c>
      <c r="N2753" t="s">
        <v>4116</v>
      </c>
      <c r="O2753">
        <v>1</v>
      </c>
    </row>
    <row r="2754" spans="2:15" x14ac:dyDescent="0.2">
      <c r="B2754" t="s">
        <v>1433</v>
      </c>
      <c r="C2754" t="s">
        <v>12898</v>
      </c>
      <c r="D2754" t="s">
        <v>617</v>
      </c>
      <c r="E2754" t="s">
        <v>9203</v>
      </c>
      <c r="F2754">
        <v>21</v>
      </c>
      <c r="H2754" t="s">
        <v>1629</v>
      </c>
      <c r="L2754" t="s">
        <v>1433</v>
      </c>
      <c r="M2754" t="s">
        <v>4117</v>
      </c>
      <c r="N2754" t="s">
        <v>4118</v>
      </c>
      <c r="O2754">
        <v>288</v>
      </c>
    </row>
    <row r="2755" spans="2:15" x14ac:dyDescent="0.2">
      <c r="B2755" t="s">
        <v>1433</v>
      </c>
      <c r="C2755" t="s">
        <v>12898</v>
      </c>
      <c r="D2755" t="s">
        <v>617</v>
      </c>
      <c r="E2755" t="s">
        <v>9204</v>
      </c>
      <c r="F2755">
        <v>14</v>
      </c>
      <c r="H2755" t="s">
        <v>1629</v>
      </c>
      <c r="L2755" t="s">
        <v>1433</v>
      </c>
      <c r="M2755" t="s">
        <v>2683</v>
      </c>
      <c r="N2755" t="s">
        <v>4119</v>
      </c>
      <c r="O2755">
        <v>1</v>
      </c>
    </row>
    <row r="2756" spans="2:15" x14ac:dyDescent="0.2">
      <c r="B2756" t="s">
        <v>1433</v>
      </c>
      <c r="C2756" t="s">
        <v>12898</v>
      </c>
      <c r="D2756" t="s">
        <v>617</v>
      </c>
      <c r="E2756" t="s">
        <v>9205</v>
      </c>
      <c r="F2756">
        <v>133</v>
      </c>
      <c r="H2756" t="s">
        <v>1622</v>
      </c>
      <c r="L2756" t="s">
        <v>1433</v>
      </c>
      <c r="M2756" t="s">
        <v>4120</v>
      </c>
      <c r="N2756" t="s">
        <v>4121</v>
      </c>
      <c r="O2756">
        <v>1</v>
      </c>
    </row>
    <row r="2757" spans="2:15" x14ac:dyDescent="0.2">
      <c r="B2757" t="s">
        <v>1433</v>
      </c>
      <c r="C2757" t="s">
        <v>12898</v>
      </c>
      <c r="D2757" t="s">
        <v>617</v>
      </c>
      <c r="E2757" t="s">
        <v>9206</v>
      </c>
      <c r="F2757">
        <v>-133</v>
      </c>
      <c r="H2757" t="s">
        <v>1622</v>
      </c>
      <c r="L2757" t="s">
        <v>1433</v>
      </c>
      <c r="M2757" t="s">
        <v>4122</v>
      </c>
      <c r="N2757" t="s">
        <v>4123</v>
      </c>
      <c r="O2757">
        <v>1</v>
      </c>
    </row>
    <row r="2758" spans="2:15" x14ac:dyDescent="0.2">
      <c r="B2758" t="s">
        <v>1433</v>
      </c>
      <c r="C2758" t="s">
        <v>12898</v>
      </c>
      <c r="D2758" t="s">
        <v>617</v>
      </c>
      <c r="E2758" t="s">
        <v>9207</v>
      </c>
      <c r="F2758">
        <v>133</v>
      </c>
      <c r="H2758" t="s">
        <v>1622</v>
      </c>
      <c r="L2758" t="s">
        <v>1433</v>
      </c>
      <c r="M2758" t="s">
        <v>2330</v>
      </c>
      <c r="N2758" t="s">
        <v>4124</v>
      </c>
      <c r="O2758">
        <v>1</v>
      </c>
    </row>
    <row r="2759" spans="2:15" x14ac:dyDescent="0.2">
      <c r="B2759" t="s">
        <v>1433</v>
      </c>
      <c r="C2759" t="s">
        <v>12898</v>
      </c>
      <c r="D2759" t="s">
        <v>617</v>
      </c>
      <c r="E2759" t="s">
        <v>9208</v>
      </c>
      <c r="F2759">
        <v>190</v>
      </c>
      <c r="H2759" t="s">
        <v>1623</v>
      </c>
      <c r="L2759" t="s">
        <v>1433</v>
      </c>
      <c r="M2759" t="s">
        <v>4125</v>
      </c>
      <c r="N2759" t="s">
        <v>4126</v>
      </c>
      <c r="O2759">
        <v>1</v>
      </c>
    </row>
    <row r="2760" spans="2:15" x14ac:dyDescent="0.2">
      <c r="B2760" t="s">
        <v>1433</v>
      </c>
      <c r="C2760" t="s">
        <v>12898</v>
      </c>
      <c r="D2760" t="s">
        <v>617</v>
      </c>
      <c r="E2760" t="s">
        <v>9209</v>
      </c>
      <c r="F2760">
        <v>-190</v>
      </c>
      <c r="H2760" t="s">
        <v>1623</v>
      </c>
      <c r="L2760" t="s">
        <v>1433</v>
      </c>
      <c r="M2760" t="s">
        <v>4127</v>
      </c>
      <c r="N2760" t="s">
        <v>4128</v>
      </c>
      <c r="O2760">
        <v>13</v>
      </c>
    </row>
    <row r="2761" spans="2:15" x14ac:dyDescent="0.2">
      <c r="B2761" t="s">
        <v>1433</v>
      </c>
      <c r="C2761" t="s">
        <v>12898</v>
      </c>
      <c r="D2761" t="s">
        <v>617</v>
      </c>
      <c r="E2761" t="s">
        <v>9210</v>
      </c>
      <c r="F2761">
        <v>190</v>
      </c>
      <c r="H2761" t="s">
        <v>1623</v>
      </c>
      <c r="L2761" t="s">
        <v>1433</v>
      </c>
      <c r="M2761" t="s">
        <v>4129</v>
      </c>
      <c r="N2761" t="s">
        <v>4130</v>
      </c>
      <c r="O2761">
        <v>1</v>
      </c>
    </row>
    <row r="2762" spans="2:15" x14ac:dyDescent="0.2">
      <c r="B2762" t="s">
        <v>1433</v>
      </c>
      <c r="C2762" t="s">
        <v>12898</v>
      </c>
      <c r="D2762" t="s">
        <v>617</v>
      </c>
      <c r="E2762" t="s">
        <v>9211</v>
      </c>
      <c r="F2762">
        <v>71</v>
      </c>
      <c r="H2762" t="s">
        <v>2350</v>
      </c>
      <c r="L2762" t="s">
        <v>1433</v>
      </c>
      <c r="M2762" t="s">
        <v>4131</v>
      </c>
      <c r="N2762" t="s">
        <v>4130</v>
      </c>
      <c r="O2762">
        <v>1</v>
      </c>
    </row>
    <row r="2763" spans="2:15" x14ac:dyDescent="0.2">
      <c r="B2763" t="s">
        <v>1433</v>
      </c>
      <c r="C2763" t="s">
        <v>12898</v>
      </c>
      <c r="D2763" t="s">
        <v>617</v>
      </c>
      <c r="E2763" t="s">
        <v>9212</v>
      </c>
      <c r="F2763">
        <v>37.200000000000003</v>
      </c>
      <c r="H2763" t="s">
        <v>1593</v>
      </c>
      <c r="L2763" t="s">
        <v>1433</v>
      </c>
      <c r="M2763" t="s">
        <v>3493</v>
      </c>
      <c r="N2763" t="s">
        <v>4132</v>
      </c>
      <c r="O2763">
        <v>16</v>
      </c>
    </row>
    <row r="2764" spans="2:15" x14ac:dyDescent="0.2">
      <c r="B2764" t="s">
        <v>1433</v>
      </c>
      <c r="C2764" t="s">
        <v>12898</v>
      </c>
      <c r="D2764" t="s">
        <v>617</v>
      </c>
      <c r="E2764" t="s">
        <v>9213</v>
      </c>
      <c r="F2764">
        <v>29.36</v>
      </c>
      <c r="H2764" t="s">
        <v>2283</v>
      </c>
      <c r="L2764" t="s">
        <v>1433</v>
      </c>
      <c r="M2764" t="s">
        <v>4133</v>
      </c>
      <c r="N2764" t="s">
        <v>4134</v>
      </c>
      <c r="O2764">
        <v>1</v>
      </c>
    </row>
    <row r="2765" spans="2:15" x14ac:dyDescent="0.2">
      <c r="B2765" t="s">
        <v>1433</v>
      </c>
      <c r="C2765" t="s">
        <v>12898</v>
      </c>
      <c r="D2765" t="s">
        <v>617</v>
      </c>
      <c r="E2765" t="s">
        <v>9214</v>
      </c>
      <c r="F2765">
        <v>18.899999999999999</v>
      </c>
      <c r="H2765" t="s">
        <v>1458</v>
      </c>
      <c r="L2765" t="s">
        <v>1433</v>
      </c>
      <c r="M2765" t="s">
        <v>1403</v>
      </c>
      <c r="N2765" t="s">
        <v>4135</v>
      </c>
      <c r="O2765">
        <v>4</v>
      </c>
    </row>
    <row r="2766" spans="2:15" x14ac:dyDescent="0.2">
      <c r="B2766" t="s">
        <v>1433</v>
      </c>
      <c r="C2766" t="s">
        <v>12898</v>
      </c>
      <c r="D2766" t="s">
        <v>617</v>
      </c>
      <c r="E2766" t="s">
        <v>9215</v>
      </c>
      <c r="F2766">
        <v>13.37</v>
      </c>
      <c r="H2766" t="s">
        <v>1459</v>
      </c>
      <c r="L2766" t="s">
        <v>1433</v>
      </c>
      <c r="M2766" t="s">
        <v>1405</v>
      </c>
      <c r="N2766" t="s">
        <v>4135</v>
      </c>
      <c r="O2766">
        <v>4</v>
      </c>
    </row>
    <row r="2767" spans="2:15" x14ac:dyDescent="0.2">
      <c r="B2767" t="s">
        <v>1433</v>
      </c>
      <c r="C2767" t="s">
        <v>12898</v>
      </c>
      <c r="D2767" t="s">
        <v>617</v>
      </c>
      <c r="E2767" t="s">
        <v>9216</v>
      </c>
      <c r="F2767">
        <v>39.799999999999997</v>
      </c>
      <c r="H2767" t="s">
        <v>1642</v>
      </c>
      <c r="L2767" t="s">
        <v>1433</v>
      </c>
      <c r="M2767" t="s">
        <v>4136</v>
      </c>
      <c r="N2767" t="s">
        <v>4137</v>
      </c>
      <c r="O2767">
        <v>1</v>
      </c>
    </row>
    <row r="2768" spans="2:15" x14ac:dyDescent="0.2">
      <c r="B2768" t="s">
        <v>1433</v>
      </c>
      <c r="C2768" t="s">
        <v>12898</v>
      </c>
      <c r="D2768" t="s">
        <v>617</v>
      </c>
      <c r="E2768" t="s">
        <v>9217</v>
      </c>
      <c r="F2768">
        <v>7.98</v>
      </c>
      <c r="H2768" t="s">
        <v>1642</v>
      </c>
      <c r="L2768" t="s">
        <v>1433</v>
      </c>
      <c r="M2768" t="s">
        <v>4138</v>
      </c>
      <c r="N2768" t="s">
        <v>4139</v>
      </c>
      <c r="O2768">
        <v>40</v>
      </c>
    </row>
    <row r="2769" spans="2:15" x14ac:dyDescent="0.2">
      <c r="B2769" t="s">
        <v>1433</v>
      </c>
      <c r="C2769" t="s">
        <v>12898</v>
      </c>
      <c r="D2769" t="s">
        <v>617</v>
      </c>
      <c r="E2769" t="s">
        <v>9218</v>
      </c>
      <c r="F2769">
        <v>8.69</v>
      </c>
      <c r="H2769" t="s">
        <v>1642</v>
      </c>
      <c r="L2769" t="s">
        <v>1433</v>
      </c>
      <c r="M2769" t="s">
        <v>4140</v>
      </c>
      <c r="N2769" t="s">
        <v>4141</v>
      </c>
      <c r="O2769">
        <v>1</v>
      </c>
    </row>
    <row r="2770" spans="2:15" x14ac:dyDescent="0.2">
      <c r="B2770" t="s">
        <v>1433</v>
      </c>
      <c r="C2770" t="s">
        <v>12898</v>
      </c>
      <c r="D2770" t="s">
        <v>617</v>
      </c>
      <c r="E2770" t="s">
        <v>9219</v>
      </c>
      <c r="F2770">
        <v>25.6</v>
      </c>
      <c r="H2770" t="s">
        <v>1643</v>
      </c>
      <c r="L2770" t="s">
        <v>1433</v>
      </c>
      <c r="M2770" t="s">
        <v>4142</v>
      </c>
      <c r="N2770" t="s">
        <v>4143</v>
      </c>
      <c r="O2770">
        <v>8</v>
      </c>
    </row>
    <row r="2771" spans="2:15" x14ac:dyDescent="0.2">
      <c r="B2771" t="s">
        <v>1433</v>
      </c>
      <c r="C2771" t="s">
        <v>12898</v>
      </c>
      <c r="D2771" t="s">
        <v>617</v>
      </c>
      <c r="E2771" t="s">
        <v>9220</v>
      </c>
      <c r="F2771">
        <v>10.24</v>
      </c>
      <c r="H2771" t="s">
        <v>1643</v>
      </c>
      <c r="L2771" t="s">
        <v>1433</v>
      </c>
      <c r="M2771" t="s">
        <v>1243</v>
      </c>
      <c r="N2771" t="s">
        <v>4144</v>
      </c>
      <c r="O2771">
        <v>6</v>
      </c>
    </row>
    <row r="2772" spans="2:15" x14ac:dyDescent="0.2">
      <c r="B2772" t="s">
        <v>1433</v>
      </c>
      <c r="C2772" t="s">
        <v>12898</v>
      </c>
      <c r="D2772" t="s">
        <v>617</v>
      </c>
      <c r="E2772" t="s">
        <v>9221</v>
      </c>
      <c r="F2772">
        <v>121.56</v>
      </c>
      <c r="H2772" t="s">
        <v>1995</v>
      </c>
      <c r="L2772" t="s">
        <v>1433</v>
      </c>
      <c r="M2772" t="s">
        <v>1245</v>
      </c>
      <c r="N2772" t="s">
        <v>4144</v>
      </c>
      <c r="O2772">
        <v>6</v>
      </c>
    </row>
    <row r="2773" spans="2:15" x14ac:dyDescent="0.2">
      <c r="B2773" t="s">
        <v>1433</v>
      </c>
      <c r="C2773" t="s">
        <v>12898</v>
      </c>
      <c r="D2773" t="s">
        <v>621</v>
      </c>
      <c r="E2773" t="s">
        <v>9222</v>
      </c>
      <c r="F2773">
        <v>36.299999999999997</v>
      </c>
      <c r="H2773" t="s">
        <v>7776</v>
      </c>
      <c r="L2773" t="s">
        <v>1433</v>
      </c>
      <c r="M2773" t="s">
        <v>4129</v>
      </c>
      <c r="N2773" t="s">
        <v>4145</v>
      </c>
      <c r="O2773">
        <v>37</v>
      </c>
    </row>
    <row r="2774" spans="2:15" x14ac:dyDescent="0.2">
      <c r="B2774" t="s">
        <v>1433</v>
      </c>
      <c r="C2774" t="s">
        <v>12898</v>
      </c>
      <c r="D2774" t="s">
        <v>621</v>
      </c>
      <c r="E2774" t="s">
        <v>9223</v>
      </c>
      <c r="F2774">
        <v>22.2</v>
      </c>
      <c r="H2774" t="s">
        <v>8859</v>
      </c>
      <c r="L2774" t="s">
        <v>1433</v>
      </c>
      <c r="M2774" t="s">
        <v>4131</v>
      </c>
      <c r="N2774" t="s">
        <v>4145</v>
      </c>
      <c r="O2774">
        <v>37</v>
      </c>
    </row>
    <row r="2775" spans="2:15" x14ac:dyDescent="0.2">
      <c r="B2775" t="s">
        <v>1433</v>
      </c>
      <c r="C2775" t="s">
        <v>12898</v>
      </c>
      <c r="D2775" t="s">
        <v>621</v>
      </c>
      <c r="E2775" t="s">
        <v>9224</v>
      </c>
      <c r="F2775">
        <v>114.04</v>
      </c>
      <c r="H2775" t="s">
        <v>7774</v>
      </c>
      <c r="L2775" t="s">
        <v>4146</v>
      </c>
      <c r="M2775" t="s">
        <v>1358</v>
      </c>
      <c r="N2775" t="s">
        <v>4147</v>
      </c>
      <c r="O2775">
        <v>1</v>
      </c>
    </row>
    <row r="2776" spans="2:15" x14ac:dyDescent="0.2">
      <c r="B2776" t="s">
        <v>1433</v>
      </c>
      <c r="C2776" t="s">
        <v>12898</v>
      </c>
      <c r="D2776" t="s">
        <v>621</v>
      </c>
      <c r="E2776" t="s">
        <v>9225</v>
      </c>
      <c r="F2776">
        <v>21.96</v>
      </c>
      <c r="H2776" t="s">
        <v>7981</v>
      </c>
      <c r="L2776" t="s">
        <v>4146</v>
      </c>
      <c r="M2776" t="s">
        <v>1195</v>
      </c>
      <c r="N2776" t="s">
        <v>4148</v>
      </c>
      <c r="O2776">
        <v>1</v>
      </c>
    </row>
    <row r="2777" spans="2:15" x14ac:dyDescent="0.2">
      <c r="B2777" t="s">
        <v>1433</v>
      </c>
      <c r="C2777" t="s">
        <v>12898</v>
      </c>
      <c r="D2777" t="s">
        <v>621</v>
      </c>
      <c r="E2777" t="s">
        <v>9226</v>
      </c>
      <c r="F2777">
        <v>55.62</v>
      </c>
      <c r="H2777" t="s">
        <v>6563</v>
      </c>
      <c r="L2777" t="s">
        <v>4146</v>
      </c>
      <c r="M2777" t="s">
        <v>1267</v>
      </c>
      <c r="N2777" t="s">
        <v>4149</v>
      </c>
      <c r="O2777">
        <v>14</v>
      </c>
    </row>
    <row r="2778" spans="2:15" x14ac:dyDescent="0.2">
      <c r="B2778" t="s">
        <v>1433</v>
      </c>
      <c r="C2778" t="s">
        <v>12898</v>
      </c>
      <c r="D2778" t="s">
        <v>621</v>
      </c>
      <c r="E2778" t="s">
        <v>9227</v>
      </c>
      <c r="F2778">
        <v>73.680000000000007</v>
      </c>
      <c r="H2778" t="s">
        <v>8874</v>
      </c>
      <c r="L2778" t="s">
        <v>4146</v>
      </c>
      <c r="M2778" t="s">
        <v>1268</v>
      </c>
      <c r="N2778" t="s">
        <v>4149</v>
      </c>
      <c r="O2778">
        <v>14</v>
      </c>
    </row>
    <row r="2779" spans="2:15" x14ac:dyDescent="0.2">
      <c r="B2779" t="s">
        <v>1433</v>
      </c>
      <c r="C2779" t="s">
        <v>12898</v>
      </c>
      <c r="D2779" t="s">
        <v>621</v>
      </c>
      <c r="E2779" t="s">
        <v>9228</v>
      </c>
      <c r="F2779">
        <v>110.1</v>
      </c>
      <c r="H2779" t="s">
        <v>6963</v>
      </c>
      <c r="L2779" t="s">
        <v>4146</v>
      </c>
      <c r="M2779" t="s">
        <v>1269</v>
      </c>
      <c r="N2779" t="s">
        <v>4149</v>
      </c>
      <c r="O2779">
        <v>14</v>
      </c>
    </row>
    <row r="2780" spans="2:15" x14ac:dyDescent="0.2">
      <c r="B2780" t="s">
        <v>1433</v>
      </c>
      <c r="C2780" t="s">
        <v>12898</v>
      </c>
      <c r="D2780" t="s">
        <v>621</v>
      </c>
      <c r="E2780" t="s">
        <v>9229</v>
      </c>
      <c r="F2780">
        <v>63.48</v>
      </c>
      <c r="H2780" t="s">
        <v>1675</v>
      </c>
      <c r="L2780" t="s">
        <v>4146</v>
      </c>
      <c r="M2780" t="s">
        <v>1196</v>
      </c>
      <c r="N2780" t="s">
        <v>4150</v>
      </c>
      <c r="O2780">
        <v>1</v>
      </c>
    </row>
    <row r="2781" spans="2:15" x14ac:dyDescent="0.2">
      <c r="B2781" t="s">
        <v>1433</v>
      </c>
      <c r="C2781" t="s">
        <v>12898</v>
      </c>
      <c r="D2781" t="s">
        <v>621</v>
      </c>
      <c r="E2781" t="s">
        <v>9230</v>
      </c>
      <c r="F2781">
        <v>2400</v>
      </c>
      <c r="H2781" t="s">
        <v>1668</v>
      </c>
      <c r="L2781" t="s">
        <v>4146</v>
      </c>
      <c r="M2781" t="s">
        <v>1282</v>
      </c>
      <c r="N2781" t="s">
        <v>4147</v>
      </c>
      <c r="O2781">
        <v>2</v>
      </c>
    </row>
    <row r="2782" spans="2:15" x14ac:dyDescent="0.2">
      <c r="B2782" t="s">
        <v>1433</v>
      </c>
      <c r="C2782" t="s">
        <v>12898</v>
      </c>
      <c r="D2782" t="s">
        <v>621</v>
      </c>
      <c r="E2782" t="s">
        <v>9231</v>
      </c>
      <c r="F2782">
        <v>1920</v>
      </c>
      <c r="H2782" t="s">
        <v>1668</v>
      </c>
      <c r="L2782" t="s">
        <v>4146</v>
      </c>
      <c r="M2782" t="s">
        <v>1284</v>
      </c>
      <c r="N2782" t="s">
        <v>4147</v>
      </c>
      <c r="O2782">
        <v>2</v>
      </c>
    </row>
    <row r="2783" spans="2:15" x14ac:dyDescent="0.2">
      <c r="B2783" t="s">
        <v>1433</v>
      </c>
      <c r="C2783" t="s">
        <v>12898</v>
      </c>
      <c r="D2783" t="s">
        <v>621</v>
      </c>
      <c r="E2783" t="s">
        <v>9232</v>
      </c>
      <c r="F2783">
        <v>45.48</v>
      </c>
      <c r="H2783" t="s">
        <v>1763</v>
      </c>
      <c r="L2783" t="s">
        <v>4146</v>
      </c>
      <c r="M2783" t="s">
        <v>1298</v>
      </c>
      <c r="N2783" t="s">
        <v>4147</v>
      </c>
      <c r="O2783">
        <v>1</v>
      </c>
    </row>
    <row r="2784" spans="2:15" x14ac:dyDescent="0.2">
      <c r="B2784" t="s">
        <v>1433</v>
      </c>
      <c r="C2784" t="s">
        <v>12898</v>
      </c>
      <c r="D2784" t="s">
        <v>621</v>
      </c>
      <c r="E2784" t="s">
        <v>9233</v>
      </c>
      <c r="F2784">
        <v>205.5</v>
      </c>
      <c r="H2784" t="s">
        <v>1671</v>
      </c>
      <c r="L2784" t="s">
        <v>4146</v>
      </c>
      <c r="M2784" t="s">
        <v>1317</v>
      </c>
      <c r="N2784" t="s">
        <v>4147</v>
      </c>
      <c r="O2784">
        <v>2</v>
      </c>
    </row>
    <row r="2785" spans="2:15" x14ac:dyDescent="0.2">
      <c r="B2785" t="s">
        <v>1433</v>
      </c>
      <c r="C2785" t="s">
        <v>12898</v>
      </c>
      <c r="D2785" t="s">
        <v>621</v>
      </c>
      <c r="E2785" t="s">
        <v>9234</v>
      </c>
      <c r="F2785">
        <v>2725</v>
      </c>
      <c r="H2785" t="s">
        <v>1769</v>
      </c>
      <c r="L2785" t="s">
        <v>4146</v>
      </c>
      <c r="M2785" t="s">
        <v>1327</v>
      </c>
      <c r="N2785" t="s">
        <v>4147</v>
      </c>
      <c r="O2785">
        <v>1</v>
      </c>
    </row>
    <row r="2786" spans="2:15" x14ac:dyDescent="0.2">
      <c r="B2786" t="s">
        <v>1433</v>
      </c>
      <c r="C2786" t="s">
        <v>12898</v>
      </c>
      <c r="D2786" t="s">
        <v>621</v>
      </c>
      <c r="E2786" t="s">
        <v>9235</v>
      </c>
      <c r="F2786">
        <v>105.6</v>
      </c>
      <c r="H2786" t="s">
        <v>2366</v>
      </c>
      <c r="L2786" t="s">
        <v>4146</v>
      </c>
      <c r="M2786" t="s">
        <v>1325</v>
      </c>
      <c r="N2786" t="s">
        <v>4147</v>
      </c>
      <c r="O2786">
        <v>2</v>
      </c>
    </row>
    <row r="2787" spans="2:15" x14ac:dyDescent="0.2">
      <c r="B2787" t="s">
        <v>1433</v>
      </c>
      <c r="C2787" t="s">
        <v>12898</v>
      </c>
      <c r="D2787" t="s">
        <v>621</v>
      </c>
      <c r="E2787" t="s">
        <v>9236</v>
      </c>
      <c r="F2787">
        <v>103.8</v>
      </c>
      <c r="H2787" t="s">
        <v>2368</v>
      </c>
      <c r="L2787" t="s">
        <v>4146</v>
      </c>
      <c r="M2787" t="s">
        <v>1261</v>
      </c>
      <c r="N2787" t="s">
        <v>4151</v>
      </c>
      <c r="O2787">
        <v>21</v>
      </c>
    </row>
    <row r="2788" spans="2:15" x14ac:dyDescent="0.2">
      <c r="B2788" t="s">
        <v>1433</v>
      </c>
      <c r="C2788" t="s">
        <v>12898</v>
      </c>
      <c r="D2788" t="s">
        <v>621</v>
      </c>
      <c r="E2788" t="s">
        <v>9237</v>
      </c>
      <c r="F2788">
        <v>378</v>
      </c>
      <c r="H2788" t="s">
        <v>1751</v>
      </c>
      <c r="L2788" t="s">
        <v>4146</v>
      </c>
      <c r="M2788" t="s">
        <v>1263</v>
      </c>
      <c r="N2788" t="s">
        <v>4151</v>
      </c>
      <c r="O2788">
        <v>26</v>
      </c>
    </row>
    <row r="2789" spans="2:15" x14ac:dyDescent="0.2">
      <c r="B2789" t="s">
        <v>1433</v>
      </c>
      <c r="C2789" t="s">
        <v>12898</v>
      </c>
      <c r="D2789" t="s">
        <v>621</v>
      </c>
      <c r="E2789" t="s">
        <v>9238</v>
      </c>
      <c r="F2789">
        <v>103.32</v>
      </c>
      <c r="H2789" t="s">
        <v>1751</v>
      </c>
      <c r="L2789" t="s">
        <v>4146</v>
      </c>
      <c r="M2789" t="s">
        <v>1264</v>
      </c>
      <c r="N2789" t="s">
        <v>4151</v>
      </c>
      <c r="O2789">
        <v>26</v>
      </c>
    </row>
    <row r="2790" spans="2:15" x14ac:dyDescent="0.2">
      <c r="B2790" t="s">
        <v>1433</v>
      </c>
      <c r="C2790" t="s">
        <v>12898</v>
      </c>
      <c r="D2790" t="s">
        <v>621</v>
      </c>
      <c r="E2790" t="s">
        <v>9239</v>
      </c>
      <c r="F2790">
        <v>526.67999999999995</v>
      </c>
      <c r="H2790" t="s">
        <v>1751</v>
      </c>
      <c r="L2790" t="s">
        <v>4146</v>
      </c>
      <c r="M2790" t="s">
        <v>1265</v>
      </c>
      <c r="N2790" t="s">
        <v>4151</v>
      </c>
      <c r="O2790">
        <v>4</v>
      </c>
    </row>
    <row r="2791" spans="2:15" x14ac:dyDescent="0.2">
      <c r="B2791" t="s">
        <v>1433</v>
      </c>
      <c r="C2791" t="s">
        <v>12898</v>
      </c>
      <c r="D2791" t="s">
        <v>621</v>
      </c>
      <c r="E2791" t="s">
        <v>9240</v>
      </c>
      <c r="F2791">
        <v>64.8</v>
      </c>
      <c r="H2791" t="s">
        <v>1771</v>
      </c>
      <c r="L2791" t="s">
        <v>4146</v>
      </c>
      <c r="M2791" t="s">
        <v>1266</v>
      </c>
      <c r="N2791" t="s">
        <v>4151</v>
      </c>
      <c r="O2791">
        <v>25</v>
      </c>
    </row>
    <row r="2792" spans="2:15" x14ac:dyDescent="0.2">
      <c r="B2792" t="s">
        <v>1433</v>
      </c>
      <c r="C2792" t="s">
        <v>12898</v>
      </c>
      <c r="D2792" t="s">
        <v>621</v>
      </c>
      <c r="E2792" t="s">
        <v>9241</v>
      </c>
      <c r="F2792">
        <v>206.64</v>
      </c>
      <c r="H2792" t="s">
        <v>1771</v>
      </c>
      <c r="L2792" t="s">
        <v>4146</v>
      </c>
      <c r="M2792" t="s">
        <v>2385</v>
      </c>
      <c r="N2792" t="s">
        <v>4152</v>
      </c>
      <c r="O2792">
        <v>1</v>
      </c>
    </row>
    <row r="2793" spans="2:15" x14ac:dyDescent="0.2">
      <c r="B2793" t="s">
        <v>1433</v>
      </c>
      <c r="C2793" t="s">
        <v>12898</v>
      </c>
      <c r="D2793" t="s">
        <v>621</v>
      </c>
      <c r="E2793" t="s">
        <v>9242</v>
      </c>
      <c r="F2793">
        <v>480</v>
      </c>
      <c r="H2793" t="s">
        <v>1668</v>
      </c>
      <c r="L2793" t="s">
        <v>4146</v>
      </c>
      <c r="M2793" t="s">
        <v>1193</v>
      </c>
      <c r="N2793" t="s">
        <v>4152</v>
      </c>
      <c r="O2793">
        <v>1</v>
      </c>
    </row>
    <row r="2794" spans="2:15" x14ac:dyDescent="0.2">
      <c r="B2794" t="s">
        <v>1433</v>
      </c>
      <c r="C2794" t="s">
        <v>12898</v>
      </c>
      <c r="D2794" t="s">
        <v>621</v>
      </c>
      <c r="E2794" t="s">
        <v>9243</v>
      </c>
      <c r="F2794">
        <v>11.86</v>
      </c>
      <c r="H2794" t="s">
        <v>8417</v>
      </c>
      <c r="L2794" t="s">
        <v>4146</v>
      </c>
      <c r="M2794" t="s">
        <v>1199</v>
      </c>
      <c r="N2794" t="s">
        <v>4153</v>
      </c>
      <c r="O2794">
        <v>1</v>
      </c>
    </row>
    <row r="2795" spans="2:15" x14ac:dyDescent="0.2">
      <c r="B2795" t="s">
        <v>1433</v>
      </c>
      <c r="C2795" t="s">
        <v>12898</v>
      </c>
      <c r="D2795" t="s">
        <v>617</v>
      </c>
      <c r="E2795" t="s">
        <v>9244</v>
      </c>
      <c r="F2795">
        <v>10.5</v>
      </c>
      <c r="H2795" t="s">
        <v>1629</v>
      </c>
      <c r="L2795" t="s">
        <v>4146</v>
      </c>
      <c r="M2795" t="s">
        <v>1201</v>
      </c>
      <c r="N2795" t="s">
        <v>4154</v>
      </c>
      <c r="O2795">
        <v>1</v>
      </c>
    </row>
    <row r="2796" spans="2:15" x14ac:dyDescent="0.2">
      <c r="B2796" t="s">
        <v>1433</v>
      </c>
      <c r="C2796" t="s">
        <v>12898</v>
      </c>
      <c r="D2796" t="s">
        <v>613</v>
      </c>
      <c r="E2796" t="s">
        <v>9245</v>
      </c>
      <c r="F2796">
        <v>18.440000000000001</v>
      </c>
      <c r="G2796" t="s">
        <v>5242</v>
      </c>
      <c r="L2796" t="s">
        <v>19</v>
      </c>
      <c r="M2796" t="s">
        <v>2385</v>
      </c>
      <c r="N2796" t="s">
        <v>4155</v>
      </c>
      <c r="O2796">
        <v>1</v>
      </c>
    </row>
    <row r="2797" spans="2:15" x14ac:dyDescent="0.2">
      <c r="B2797" t="s">
        <v>1433</v>
      </c>
      <c r="C2797" t="s">
        <v>12898</v>
      </c>
      <c r="D2797" t="s">
        <v>621</v>
      </c>
      <c r="E2797" t="s">
        <v>9246</v>
      </c>
      <c r="F2797">
        <v>2448.79</v>
      </c>
      <c r="H2797" t="s">
        <v>2354</v>
      </c>
      <c r="L2797" t="s">
        <v>19</v>
      </c>
      <c r="M2797" t="s">
        <v>1193</v>
      </c>
      <c r="N2797" t="s">
        <v>4155</v>
      </c>
      <c r="O2797">
        <v>1</v>
      </c>
    </row>
    <row r="2798" spans="2:15" x14ac:dyDescent="0.2">
      <c r="B2798" t="s">
        <v>1433</v>
      </c>
      <c r="C2798" t="s">
        <v>12898</v>
      </c>
      <c r="D2798" t="s">
        <v>621</v>
      </c>
      <c r="E2798" t="s">
        <v>9247</v>
      </c>
      <c r="F2798">
        <v>35.61</v>
      </c>
      <c r="H2798" t="s">
        <v>2148</v>
      </c>
      <c r="L2798" t="s">
        <v>19</v>
      </c>
      <c r="M2798" t="s">
        <v>1196</v>
      </c>
      <c r="N2798" t="s">
        <v>4155</v>
      </c>
      <c r="O2798">
        <v>1</v>
      </c>
    </row>
    <row r="2799" spans="2:15" x14ac:dyDescent="0.2">
      <c r="B2799" t="s">
        <v>1433</v>
      </c>
      <c r="C2799" t="s">
        <v>12898</v>
      </c>
      <c r="D2799" t="s">
        <v>621</v>
      </c>
      <c r="E2799" t="s">
        <v>9248</v>
      </c>
      <c r="F2799">
        <v>35.61</v>
      </c>
      <c r="H2799" t="s">
        <v>2148</v>
      </c>
      <c r="L2799" t="s">
        <v>19</v>
      </c>
      <c r="M2799" t="s">
        <v>1288</v>
      </c>
      <c r="N2799" t="s">
        <v>3606</v>
      </c>
      <c r="O2799">
        <v>1</v>
      </c>
    </row>
    <row r="2800" spans="2:15" x14ac:dyDescent="0.2">
      <c r="B2800" t="s">
        <v>1433</v>
      </c>
      <c r="C2800" t="s">
        <v>12898</v>
      </c>
      <c r="D2800" t="s">
        <v>621</v>
      </c>
      <c r="E2800" t="s">
        <v>9249</v>
      </c>
      <c r="F2800">
        <v>127.5</v>
      </c>
      <c r="H2800" t="s">
        <v>2356</v>
      </c>
      <c r="L2800" t="s">
        <v>19</v>
      </c>
      <c r="M2800" t="s">
        <v>1290</v>
      </c>
      <c r="N2800" t="s">
        <v>3606</v>
      </c>
      <c r="O2800">
        <v>1</v>
      </c>
    </row>
    <row r="2801" spans="2:15" x14ac:dyDescent="0.2">
      <c r="B2801" t="s">
        <v>1433</v>
      </c>
      <c r="C2801" t="s">
        <v>12898</v>
      </c>
      <c r="D2801" t="s">
        <v>621</v>
      </c>
      <c r="E2801" t="s">
        <v>9250</v>
      </c>
      <c r="F2801">
        <v>127.5</v>
      </c>
      <c r="H2801" t="s">
        <v>2356</v>
      </c>
      <c r="L2801" t="s">
        <v>19</v>
      </c>
      <c r="M2801" t="s">
        <v>1305</v>
      </c>
      <c r="N2801" t="s">
        <v>3606</v>
      </c>
      <c r="O2801">
        <v>1</v>
      </c>
    </row>
    <row r="2802" spans="2:15" x14ac:dyDescent="0.2">
      <c r="B2802" t="s">
        <v>1433</v>
      </c>
      <c r="C2802" t="s">
        <v>12898</v>
      </c>
      <c r="D2802" t="s">
        <v>621</v>
      </c>
      <c r="E2802" t="s">
        <v>9251</v>
      </c>
      <c r="F2802">
        <v>25.5</v>
      </c>
      <c r="H2802" t="s">
        <v>2356</v>
      </c>
      <c r="L2802" t="s">
        <v>19</v>
      </c>
      <c r="M2802" t="s">
        <v>4156</v>
      </c>
      <c r="N2802" t="s">
        <v>4157</v>
      </c>
      <c r="O2802">
        <v>600</v>
      </c>
    </row>
    <row r="2803" spans="2:15" x14ac:dyDescent="0.2">
      <c r="B2803" t="s">
        <v>1433</v>
      </c>
      <c r="C2803" t="s">
        <v>12898</v>
      </c>
      <c r="D2803" t="s">
        <v>621</v>
      </c>
      <c r="E2803" t="s">
        <v>9252</v>
      </c>
      <c r="F2803">
        <v>355.92</v>
      </c>
      <c r="H2803" t="s">
        <v>2357</v>
      </c>
      <c r="L2803" t="s">
        <v>19</v>
      </c>
      <c r="M2803" t="s">
        <v>4158</v>
      </c>
      <c r="N2803" t="s">
        <v>4157</v>
      </c>
      <c r="O2803">
        <v>2</v>
      </c>
    </row>
    <row r="2804" spans="2:15" x14ac:dyDescent="0.2">
      <c r="B2804" t="s">
        <v>1433</v>
      </c>
      <c r="C2804" t="s">
        <v>12898</v>
      </c>
      <c r="D2804" t="s">
        <v>621</v>
      </c>
      <c r="E2804" t="s">
        <v>9253</v>
      </c>
      <c r="F2804">
        <v>114.6</v>
      </c>
      <c r="H2804" t="s">
        <v>2222</v>
      </c>
      <c r="L2804" t="s">
        <v>19</v>
      </c>
      <c r="M2804" t="s">
        <v>4159</v>
      </c>
      <c r="N2804" t="s">
        <v>4157</v>
      </c>
      <c r="O2804">
        <v>200</v>
      </c>
    </row>
    <row r="2805" spans="2:15" x14ac:dyDescent="0.2">
      <c r="B2805" t="s">
        <v>1433</v>
      </c>
      <c r="C2805" t="s">
        <v>12898</v>
      </c>
      <c r="D2805" t="s">
        <v>621</v>
      </c>
      <c r="E2805" t="s">
        <v>9254</v>
      </c>
      <c r="F2805">
        <v>1031.4000000000001</v>
      </c>
      <c r="H2805" t="s">
        <v>2222</v>
      </c>
      <c r="L2805" t="s">
        <v>19</v>
      </c>
      <c r="M2805" t="s">
        <v>4160</v>
      </c>
      <c r="N2805" t="s">
        <v>4157</v>
      </c>
      <c r="O2805">
        <v>350</v>
      </c>
    </row>
    <row r="2806" spans="2:15" x14ac:dyDescent="0.2">
      <c r="B2806" t="s">
        <v>1433</v>
      </c>
      <c r="C2806" t="s">
        <v>12898</v>
      </c>
      <c r="D2806" t="s">
        <v>621</v>
      </c>
      <c r="E2806" t="s">
        <v>9255</v>
      </c>
      <c r="F2806">
        <v>7855.95</v>
      </c>
      <c r="H2806" t="s">
        <v>2224</v>
      </c>
      <c r="L2806" t="s">
        <v>19</v>
      </c>
      <c r="M2806" t="s">
        <v>4161</v>
      </c>
      <c r="N2806" t="s">
        <v>4157</v>
      </c>
      <c r="O2806">
        <v>5</v>
      </c>
    </row>
    <row r="2807" spans="2:15" x14ac:dyDescent="0.2">
      <c r="B2807" t="s">
        <v>1433</v>
      </c>
      <c r="C2807" t="s">
        <v>12898</v>
      </c>
      <c r="D2807" t="s">
        <v>621</v>
      </c>
      <c r="E2807" t="s">
        <v>9256</v>
      </c>
      <c r="F2807">
        <v>4855.5</v>
      </c>
      <c r="H2807" t="s">
        <v>2225</v>
      </c>
      <c r="L2807" t="s">
        <v>19</v>
      </c>
      <c r="M2807" t="s">
        <v>4162</v>
      </c>
      <c r="N2807" t="s">
        <v>4157</v>
      </c>
      <c r="O2807">
        <v>40</v>
      </c>
    </row>
    <row r="2808" spans="2:15" x14ac:dyDescent="0.2">
      <c r="B2808" t="s">
        <v>1433</v>
      </c>
      <c r="C2808" t="s">
        <v>12898</v>
      </c>
      <c r="D2808" t="s">
        <v>621</v>
      </c>
      <c r="E2808" t="s">
        <v>9257</v>
      </c>
      <c r="F2808">
        <v>59.5</v>
      </c>
      <c r="H2808" t="s">
        <v>2226</v>
      </c>
      <c r="L2808" t="s">
        <v>19</v>
      </c>
      <c r="M2808" t="s">
        <v>4163</v>
      </c>
      <c r="N2808" t="s">
        <v>4157</v>
      </c>
      <c r="O2808">
        <v>1100</v>
      </c>
    </row>
    <row r="2809" spans="2:15" x14ac:dyDescent="0.2">
      <c r="B2809" t="s">
        <v>1433</v>
      </c>
      <c r="C2809" t="s">
        <v>12898</v>
      </c>
      <c r="D2809" t="s">
        <v>621</v>
      </c>
      <c r="E2809" t="s">
        <v>9258</v>
      </c>
      <c r="F2809">
        <v>925</v>
      </c>
      <c r="H2809" t="s">
        <v>2227</v>
      </c>
      <c r="L2809" t="s">
        <v>19</v>
      </c>
      <c r="M2809" t="s">
        <v>4164</v>
      </c>
      <c r="N2809" t="s">
        <v>4157</v>
      </c>
      <c r="O2809">
        <v>100</v>
      </c>
    </row>
    <row r="2810" spans="2:15" x14ac:dyDescent="0.2">
      <c r="B2810" t="s">
        <v>1433</v>
      </c>
      <c r="C2810" t="s">
        <v>12898</v>
      </c>
      <c r="D2810" t="s">
        <v>621</v>
      </c>
      <c r="E2810" t="s">
        <v>9259</v>
      </c>
      <c r="F2810">
        <v>593.4</v>
      </c>
      <c r="H2810" t="s">
        <v>2228</v>
      </c>
      <c r="L2810" t="s">
        <v>19</v>
      </c>
      <c r="M2810" t="s">
        <v>1434</v>
      </c>
      <c r="N2810" t="s">
        <v>4165</v>
      </c>
      <c r="O2810">
        <v>1051</v>
      </c>
    </row>
    <row r="2811" spans="2:15" x14ac:dyDescent="0.2">
      <c r="B2811" t="s">
        <v>1433</v>
      </c>
      <c r="C2811" t="s">
        <v>12898</v>
      </c>
      <c r="D2811" t="s">
        <v>621</v>
      </c>
      <c r="E2811" t="s">
        <v>9260</v>
      </c>
      <c r="F2811">
        <v>720</v>
      </c>
      <c r="H2811" t="s">
        <v>2229</v>
      </c>
      <c r="L2811" t="s">
        <v>19</v>
      </c>
      <c r="M2811" t="s">
        <v>4166</v>
      </c>
      <c r="N2811" t="s">
        <v>4157</v>
      </c>
      <c r="O2811">
        <v>300</v>
      </c>
    </row>
    <row r="2812" spans="2:15" x14ac:dyDescent="0.2">
      <c r="B2812" t="s">
        <v>1433</v>
      </c>
      <c r="C2812" t="s">
        <v>12898</v>
      </c>
      <c r="D2812" t="s">
        <v>621</v>
      </c>
      <c r="E2812" t="s">
        <v>9261</v>
      </c>
      <c r="F2812">
        <v>631</v>
      </c>
      <c r="H2812" t="s">
        <v>2230</v>
      </c>
      <c r="L2812" t="s">
        <v>19</v>
      </c>
      <c r="M2812" t="s">
        <v>4167</v>
      </c>
      <c r="N2812" t="s">
        <v>4157</v>
      </c>
      <c r="O2812">
        <v>50</v>
      </c>
    </row>
    <row r="2813" spans="2:15" x14ac:dyDescent="0.2">
      <c r="B2813" t="s">
        <v>1433</v>
      </c>
      <c r="C2813" t="s">
        <v>12898</v>
      </c>
      <c r="D2813" t="s">
        <v>621</v>
      </c>
      <c r="E2813" t="s">
        <v>9262</v>
      </c>
      <c r="F2813">
        <v>378</v>
      </c>
      <c r="H2813" t="s">
        <v>2231</v>
      </c>
      <c r="L2813" t="s">
        <v>19</v>
      </c>
      <c r="M2813" t="s">
        <v>4168</v>
      </c>
      <c r="N2813" t="s">
        <v>4157</v>
      </c>
      <c r="O2813">
        <v>400</v>
      </c>
    </row>
    <row r="2814" spans="2:15" x14ac:dyDescent="0.2">
      <c r="B2814" t="s">
        <v>1433</v>
      </c>
      <c r="C2814" t="s">
        <v>12898</v>
      </c>
      <c r="D2814" t="s">
        <v>621</v>
      </c>
      <c r="E2814" t="s">
        <v>9263</v>
      </c>
      <c r="F2814">
        <v>208.6</v>
      </c>
      <c r="H2814" t="s">
        <v>2232</v>
      </c>
      <c r="L2814" t="s">
        <v>19</v>
      </c>
      <c r="M2814" t="s">
        <v>1580</v>
      </c>
      <c r="N2814" t="s">
        <v>4169</v>
      </c>
      <c r="O2814">
        <v>300</v>
      </c>
    </row>
    <row r="2815" spans="2:15" x14ac:dyDescent="0.2">
      <c r="B2815" t="s">
        <v>1433</v>
      </c>
      <c r="C2815" t="s">
        <v>12898</v>
      </c>
      <c r="D2815" t="s">
        <v>621</v>
      </c>
      <c r="E2815" t="s">
        <v>9264</v>
      </c>
      <c r="F2815">
        <v>299.5</v>
      </c>
      <c r="H2815" t="s">
        <v>2233</v>
      </c>
      <c r="L2815" t="s">
        <v>19</v>
      </c>
      <c r="M2815" t="s">
        <v>4170</v>
      </c>
      <c r="N2815" t="s">
        <v>4171</v>
      </c>
      <c r="O2815">
        <v>10</v>
      </c>
    </row>
    <row r="2816" spans="2:15" x14ac:dyDescent="0.2">
      <c r="B2816" t="s">
        <v>1433</v>
      </c>
      <c r="C2816" t="s">
        <v>12898</v>
      </c>
      <c r="D2816" t="s">
        <v>621</v>
      </c>
      <c r="E2816" t="s">
        <v>9265</v>
      </c>
      <c r="F2816">
        <v>280</v>
      </c>
      <c r="H2816" t="s">
        <v>2234</v>
      </c>
      <c r="L2816" t="s">
        <v>19</v>
      </c>
      <c r="M2816" t="s">
        <v>1760</v>
      </c>
      <c r="N2816" t="s">
        <v>4172</v>
      </c>
      <c r="O2816">
        <v>40</v>
      </c>
    </row>
    <row r="2817" spans="2:15" x14ac:dyDescent="0.2">
      <c r="B2817" t="s">
        <v>1433</v>
      </c>
      <c r="C2817" t="s">
        <v>12898</v>
      </c>
      <c r="D2817" t="s">
        <v>621</v>
      </c>
      <c r="E2817" t="s">
        <v>9266</v>
      </c>
      <c r="F2817">
        <v>108.4</v>
      </c>
      <c r="H2817" t="s">
        <v>2235</v>
      </c>
      <c r="L2817" t="s">
        <v>19</v>
      </c>
      <c r="M2817" t="s">
        <v>4173</v>
      </c>
      <c r="N2817" t="s">
        <v>4174</v>
      </c>
      <c r="O2817">
        <v>50</v>
      </c>
    </row>
    <row r="2818" spans="2:15" x14ac:dyDescent="0.2">
      <c r="B2818" t="s">
        <v>1433</v>
      </c>
      <c r="C2818" t="s">
        <v>12898</v>
      </c>
      <c r="D2818" t="s">
        <v>621</v>
      </c>
      <c r="E2818" t="s">
        <v>9267</v>
      </c>
      <c r="F2818">
        <v>91.3</v>
      </c>
      <c r="H2818" t="s">
        <v>2236</v>
      </c>
      <c r="L2818" t="s">
        <v>19</v>
      </c>
      <c r="M2818" t="s">
        <v>1284</v>
      </c>
      <c r="N2818" t="s">
        <v>4175</v>
      </c>
      <c r="O2818">
        <v>2</v>
      </c>
    </row>
    <row r="2819" spans="2:15" x14ac:dyDescent="0.2">
      <c r="B2819" t="s">
        <v>1433</v>
      </c>
      <c r="C2819" t="s">
        <v>12898</v>
      </c>
      <c r="D2819" t="s">
        <v>621</v>
      </c>
      <c r="E2819" t="s">
        <v>9268</v>
      </c>
      <c r="F2819">
        <v>879</v>
      </c>
      <c r="H2819" t="s">
        <v>2237</v>
      </c>
      <c r="L2819" t="s">
        <v>19</v>
      </c>
      <c r="M2819" t="s">
        <v>1298</v>
      </c>
      <c r="N2819" t="s">
        <v>4175</v>
      </c>
      <c r="O2819">
        <v>2</v>
      </c>
    </row>
    <row r="2820" spans="2:15" x14ac:dyDescent="0.2">
      <c r="B2820" t="s">
        <v>1433</v>
      </c>
      <c r="C2820" t="s">
        <v>12898</v>
      </c>
      <c r="D2820" t="s">
        <v>621</v>
      </c>
      <c r="E2820" t="s">
        <v>9269</v>
      </c>
      <c r="F2820">
        <v>586.6</v>
      </c>
      <c r="H2820" t="s">
        <v>2238</v>
      </c>
      <c r="L2820" t="s">
        <v>19</v>
      </c>
      <c r="M2820" t="s">
        <v>1317</v>
      </c>
      <c r="N2820" t="s">
        <v>4175</v>
      </c>
      <c r="O2820">
        <v>2</v>
      </c>
    </row>
    <row r="2821" spans="2:15" x14ac:dyDescent="0.2">
      <c r="B2821" t="s">
        <v>1433</v>
      </c>
      <c r="C2821" t="s">
        <v>12898</v>
      </c>
      <c r="D2821" t="s">
        <v>621</v>
      </c>
      <c r="E2821" t="s">
        <v>9270</v>
      </c>
      <c r="F2821">
        <v>15.6</v>
      </c>
      <c r="H2821" t="s">
        <v>2239</v>
      </c>
      <c r="L2821" t="s">
        <v>19</v>
      </c>
      <c r="M2821" t="s">
        <v>1325</v>
      </c>
      <c r="N2821" t="s">
        <v>4175</v>
      </c>
      <c r="O2821">
        <v>2</v>
      </c>
    </row>
    <row r="2822" spans="2:15" x14ac:dyDescent="0.2">
      <c r="B2822" t="s">
        <v>1433</v>
      </c>
      <c r="C2822" t="s">
        <v>12898</v>
      </c>
      <c r="D2822" t="s">
        <v>621</v>
      </c>
      <c r="E2822" t="s">
        <v>9271</v>
      </c>
      <c r="F2822">
        <v>61</v>
      </c>
      <c r="H2822" t="s">
        <v>2240</v>
      </c>
      <c r="L2822" t="s">
        <v>19</v>
      </c>
      <c r="M2822" t="s">
        <v>1358</v>
      </c>
      <c r="N2822" t="s">
        <v>4175</v>
      </c>
      <c r="O2822">
        <v>2</v>
      </c>
    </row>
    <row r="2823" spans="2:15" x14ac:dyDescent="0.2">
      <c r="B2823" t="s">
        <v>1433</v>
      </c>
      <c r="C2823" t="s">
        <v>12898</v>
      </c>
      <c r="D2823" t="s">
        <v>621</v>
      </c>
      <c r="E2823" t="s">
        <v>9272</v>
      </c>
      <c r="F2823">
        <v>94</v>
      </c>
      <c r="H2823" t="s">
        <v>2241</v>
      </c>
      <c r="L2823" t="s">
        <v>19</v>
      </c>
      <c r="M2823" t="s">
        <v>1360</v>
      </c>
      <c r="N2823" t="s">
        <v>4175</v>
      </c>
      <c r="O2823">
        <v>2</v>
      </c>
    </row>
    <row r="2824" spans="2:15" x14ac:dyDescent="0.2">
      <c r="B2824" t="s">
        <v>1433</v>
      </c>
      <c r="C2824" t="s">
        <v>12898</v>
      </c>
      <c r="D2824" t="s">
        <v>621</v>
      </c>
      <c r="E2824" t="s">
        <v>9273</v>
      </c>
      <c r="F2824">
        <v>99.75</v>
      </c>
      <c r="H2824" t="s">
        <v>2242</v>
      </c>
      <c r="L2824" t="s">
        <v>19</v>
      </c>
      <c r="M2824" t="s">
        <v>1384</v>
      </c>
      <c r="N2824" t="s">
        <v>4175</v>
      </c>
      <c r="O2824">
        <v>2</v>
      </c>
    </row>
    <row r="2825" spans="2:15" x14ac:dyDescent="0.2">
      <c r="B2825" t="s">
        <v>1433</v>
      </c>
      <c r="C2825" t="s">
        <v>12898</v>
      </c>
      <c r="D2825" t="s">
        <v>621</v>
      </c>
      <c r="E2825" t="s">
        <v>9274</v>
      </c>
      <c r="F2825">
        <v>269.33</v>
      </c>
      <c r="H2825" t="s">
        <v>2242</v>
      </c>
      <c r="L2825" t="s">
        <v>19</v>
      </c>
      <c r="M2825" t="s">
        <v>1386</v>
      </c>
      <c r="N2825" t="s">
        <v>4175</v>
      </c>
      <c r="O2825">
        <v>4</v>
      </c>
    </row>
    <row r="2826" spans="2:15" x14ac:dyDescent="0.2">
      <c r="B2826" t="s">
        <v>1433</v>
      </c>
      <c r="C2826" t="s">
        <v>12898</v>
      </c>
      <c r="D2826" t="s">
        <v>621</v>
      </c>
      <c r="E2826" t="s">
        <v>9275</v>
      </c>
      <c r="F2826">
        <v>108.8</v>
      </c>
      <c r="H2826" t="s">
        <v>2242</v>
      </c>
      <c r="L2826" t="s">
        <v>19</v>
      </c>
      <c r="M2826" t="s">
        <v>4176</v>
      </c>
      <c r="N2826" t="s">
        <v>4177</v>
      </c>
      <c r="O2826">
        <v>2</v>
      </c>
    </row>
    <row r="2827" spans="2:15" x14ac:dyDescent="0.2">
      <c r="B2827" t="s">
        <v>1433</v>
      </c>
      <c r="C2827" t="s">
        <v>12898</v>
      </c>
      <c r="D2827" t="s">
        <v>621</v>
      </c>
      <c r="E2827" t="s">
        <v>9276</v>
      </c>
      <c r="F2827">
        <v>-108.8</v>
      </c>
      <c r="H2827" t="s">
        <v>2242</v>
      </c>
      <c r="L2827" t="s">
        <v>19</v>
      </c>
      <c r="M2827" t="s">
        <v>4178</v>
      </c>
      <c r="N2827" t="s">
        <v>4177</v>
      </c>
      <c r="O2827">
        <v>42</v>
      </c>
    </row>
    <row r="2828" spans="2:15" x14ac:dyDescent="0.2">
      <c r="B2828" t="s">
        <v>1433</v>
      </c>
      <c r="C2828" t="s">
        <v>12898</v>
      </c>
      <c r="D2828" t="s">
        <v>621</v>
      </c>
      <c r="E2828" t="s">
        <v>9277</v>
      </c>
      <c r="F2828">
        <v>108.8</v>
      </c>
      <c r="H2828" t="s">
        <v>2242</v>
      </c>
      <c r="L2828" t="s">
        <v>19</v>
      </c>
      <c r="M2828" t="s">
        <v>4179</v>
      </c>
      <c r="N2828" t="s">
        <v>4177</v>
      </c>
      <c r="O2828">
        <v>14</v>
      </c>
    </row>
    <row r="2829" spans="2:15" x14ac:dyDescent="0.2">
      <c r="B2829" t="s">
        <v>1433</v>
      </c>
      <c r="C2829" t="s">
        <v>12898</v>
      </c>
      <c r="D2829" t="s">
        <v>621</v>
      </c>
      <c r="E2829" t="s">
        <v>9278</v>
      </c>
      <c r="F2829">
        <v>69.83</v>
      </c>
      <c r="H2829" t="s">
        <v>2242</v>
      </c>
      <c r="L2829" t="s">
        <v>19</v>
      </c>
      <c r="M2829" t="s">
        <v>4180</v>
      </c>
      <c r="N2829" t="s">
        <v>4177</v>
      </c>
      <c r="O2829">
        <v>11</v>
      </c>
    </row>
    <row r="2830" spans="2:15" x14ac:dyDescent="0.2">
      <c r="B2830" t="s">
        <v>1433</v>
      </c>
      <c r="C2830" t="s">
        <v>12898</v>
      </c>
      <c r="D2830" t="s">
        <v>621</v>
      </c>
      <c r="E2830" t="s">
        <v>9279</v>
      </c>
      <c r="F2830">
        <v>192.5</v>
      </c>
      <c r="H2830" t="s">
        <v>2243</v>
      </c>
      <c r="L2830" t="s">
        <v>19</v>
      </c>
      <c r="M2830" t="s">
        <v>4181</v>
      </c>
      <c r="N2830" t="s">
        <v>4177</v>
      </c>
      <c r="O2830">
        <v>6</v>
      </c>
    </row>
    <row r="2831" spans="2:15" x14ac:dyDescent="0.2">
      <c r="B2831" t="s">
        <v>1433</v>
      </c>
      <c r="C2831" t="s">
        <v>12898</v>
      </c>
      <c r="D2831" t="s">
        <v>621</v>
      </c>
      <c r="E2831" t="s">
        <v>9280</v>
      </c>
      <c r="F2831">
        <v>45.12</v>
      </c>
      <c r="H2831" t="s">
        <v>2244</v>
      </c>
      <c r="L2831" t="s">
        <v>19</v>
      </c>
      <c r="M2831" t="s">
        <v>4182</v>
      </c>
      <c r="N2831" t="s">
        <v>4177</v>
      </c>
      <c r="O2831">
        <v>4</v>
      </c>
    </row>
    <row r="2832" spans="2:15" x14ac:dyDescent="0.2">
      <c r="B2832" t="s">
        <v>1433</v>
      </c>
      <c r="C2832" t="s">
        <v>12898</v>
      </c>
      <c r="D2832" t="s">
        <v>621</v>
      </c>
      <c r="E2832" t="s">
        <v>9281</v>
      </c>
      <c r="F2832">
        <v>360.96</v>
      </c>
      <c r="H2832" t="s">
        <v>2244</v>
      </c>
      <c r="L2832" t="s">
        <v>19</v>
      </c>
      <c r="M2832" t="s">
        <v>1268</v>
      </c>
      <c r="N2832" t="s">
        <v>4177</v>
      </c>
      <c r="O2832">
        <v>4</v>
      </c>
    </row>
    <row r="2833" spans="2:15" x14ac:dyDescent="0.2">
      <c r="B2833" t="s">
        <v>1433</v>
      </c>
      <c r="C2833" t="s">
        <v>12898</v>
      </c>
      <c r="D2833" t="s">
        <v>621</v>
      </c>
      <c r="E2833" t="s">
        <v>9282</v>
      </c>
      <c r="F2833">
        <v>337.73</v>
      </c>
      <c r="H2833" t="s">
        <v>2245</v>
      </c>
      <c r="L2833" t="s">
        <v>19</v>
      </c>
      <c r="M2833" t="s">
        <v>1269</v>
      </c>
      <c r="N2833" t="s">
        <v>4177</v>
      </c>
      <c r="O2833">
        <v>2</v>
      </c>
    </row>
    <row r="2834" spans="2:15" x14ac:dyDescent="0.2">
      <c r="B2834" t="s">
        <v>1433</v>
      </c>
      <c r="C2834" t="s">
        <v>12898</v>
      </c>
      <c r="D2834" t="s">
        <v>621</v>
      </c>
      <c r="E2834" t="s">
        <v>9283</v>
      </c>
      <c r="F2834">
        <v>22.2</v>
      </c>
      <c r="H2834" t="s">
        <v>2246</v>
      </c>
      <c r="L2834" t="s">
        <v>19</v>
      </c>
      <c r="M2834" t="s">
        <v>1282</v>
      </c>
      <c r="N2834" t="s">
        <v>4177</v>
      </c>
      <c r="O2834">
        <v>2</v>
      </c>
    </row>
    <row r="2835" spans="2:15" x14ac:dyDescent="0.2">
      <c r="B2835" t="s">
        <v>1433</v>
      </c>
      <c r="C2835" t="s">
        <v>12898</v>
      </c>
      <c r="D2835" t="s">
        <v>621</v>
      </c>
      <c r="E2835" t="s">
        <v>9284</v>
      </c>
      <c r="F2835">
        <v>164.7</v>
      </c>
      <c r="H2835" t="s">
        <v>2247</v>
      </c>
      <c r="L2835" t="s">
        <v>19</v>
      </c>
      <c r="M2835" t="s">
        <v>2516</v>
      </c>
      <c r="N2835" t="s">
        <v>4177</v>
      </c>
      <c r="O2835">
        <v>2</v>
      </c>
    </row>
    <row r="2836" spans="2:15" x14ac:dyDescent="0.2">
      <c r="B2836" t="s">
        <v>1433</v>
      </c>
      <c r="C2836" t="s">
        <v>12898</v>
      </c>
      <c r="D2836" t="s">
        <v>621</v>
      </c>
      <c r="E2836" t="s">
        <v>9285</v>
      </c>
      <c r="F2836">
        <v>76.14</v>
      </c>
      <c r="H2836" t="s">
        <v>2155</v>
      </c>
      <c r="L2836" t="s">
        <v>19</v>
      </c>
      <c r="M2836" t="s">
        <v>1514</v>
      </c>
      <c r="N2836" t="s">
        <v>4177</v>
      </c>
      <c r="O2836">
        <v>1</v>
      </c>
    </row>
    <row r="2837" spans="2:15" x14ac:dyDescent="0.2">
      <c r="B2837" t="s">
        <v>1433</v>
      </c>
      <c r="C2837" t="s">
        <v>12898</v>
      </c>
      <c r="D2837" t="s">
        <v>621</v>
      </c>
      <c r="E2837" t="s">
        <v>9286</v>
      </c>
      <c r="F2837">
        <v>353.93</v>
      </c>
      <c r="H2837" t="s">
        <v>2157</v>
      </c>
      <c r="L2837" t="s">
        <v>19</v>
      </c>
      <c r="M2837" t="s">
        <v>1516</v>
      </c>
      <c r="N2837" t="s">
        <v>4177</v>
      </c>
      <c r="O2837">
        <v>1</v>
      </c>
    </row>
    <row r="2838" spans="2:15" x14ac:dyDescent="0.2">
      <c r="B2838" t="s">
        <v>1433</v>
      </c>
      <c r="C2838" t="s">
        <v>12898</v>
      </c>
      <c r="D2838" t="s">
        <v>621</v>
      </c>
      <c r="E2838" t="s">
        <v>9287</v>
      </c>
      <c r="F2838">
        <v>272.25</v>
      </c>
      <c r="H2838" t="s">
        <v>2158</v>
      </c>
      <c r="L2838" t="s">
        <v>19</v>
      </c>
      <c r="M2838" t="s">
        <v>1517</v>
      </c>
      <c r="N2838" t="s">
        <v>4177</v>
      </c>
      <c r="O2838">
        <v>15</v>
      </c>
    </row>
    <row r="2839" spans="2:15" x14ac:dyDescent="0.2">
      <c r="B2839" t="s">
        <v>1433</v>
      </c>
      <c r="C2839" t="s">
        <v>12898</v>
      </c>
      <c r="D2839" t="s">
        <v>621</v>
      </c>
      <c r="E2839" t="s">
        <v>9288</v>
      </c>
      <c r="F2839">
        <v>57.6</v>
      </c>
      <c r="H2839" t="s">
        <v>2248</v>
      </c>
      <c r="L2839" t="s">
        <v>19</v>
      </c>
      <c r="M2839" t="s">
        <v>1518</v>
      </c>
      <c r="N2839" t="s">
        <v>4177</v>
      </c>
      <c r="O2839">
        <v>18</v>
      </c>
    </row>
    <row r="2840" spans="2:15" x14ac:dyDescent="0.2">
      <c r="B2840" t="s">
        <v>1433</v>
      </c>
      <c r="C2840" t="s">
        <v>12898</v>
      </c>
      <c r="D2840" t="s">
        <v>621</v>
      </c>
      <c r="E2840" t="s">
        <v>9289</v>
      </c>
      <c r="F2840">
        <v>41.55</v>
      </c>
      <c r="H2840" t="s">
        <v>8850</v>
      </c>
      <c r="L2840" t="s">
        <v>19</v>
      </c>
      <c r="M2840" t="s">
        <v>1519</v>
      </c>
      <c r="N2840" t="s">
        <v>4177</v>
      </c>
      <c r="O2840">
        <v>19</v>
      </c>
    </row>
    <row r="2841" spans="2:15" x14ac:dyDescent="0.2">
      <c r="B2841" t="s">
        <v>1433</v>
      </c>
      <c r="C2841" t="s">
        <v>12898</v>
      </c>
      <c r="D2841" t="s">
        <v>621</v>
      </c>
      <c r="E2841" t="s">
        <v>9290</v>
      </c>
      <c r="F2841">
        <v>15.87</v>
      </c>
      <c r="H2841" t="s">
        <v>1675</v>
      </c>
      <c r="L2841" t="s">
        <v>19</v>
      </c>
      <c r="M2841" t="s">
        <v>1493</v>
      </c>
      <c r="N2841" t="s">
        <v>4177</v>
      </c>
      <c r="O2841">
        <v>0</v>
      </c>
    </row>
    <row r="2842" spans="2:15" x14ac:dyDescent="0.2">
      <c r="B2842" t="s">
        <v>1433</v>
      </c>
      <c r="C2842" t="s">
        <v>12898</v>
      </c>
      <c r="D2842" t="s">
        <v>617</v>
      </c>
      <c r="E2842" t="s">
        <v>9291</v>
      </c>
      <c r="F2842">
        <v>7.04</v>
      </c>
      <c r="H2842" t="s">
        <v>5395</v>
      </c>
      <c r="L2842" t="s">
        <v>19</v>
      </c>
      <c r="M2842" t="s">
        <v>1684</v>
      </c>
      <c r="N2842" t="s">
        <v>4177</v>
      </c>
      <c r="O2842">
        <v>22</v>
      </c>
    </row>
    <row r="2843" spans="2:15" x14ac:dyDescent="0.2">
      <c r="B2843" t="s">
        <v>1433</v>
      </c>
      <c r="C2843" t="s">
        <v>12898</v>
      </c>
      <c r="D2843" t="s">
        <v>621</v>
      </c>
      <c r="E2843" t="s">
        <v>9292</v>
      </c>
      <c r="F2843">
        <v>22.46</v>
      </c>
      <c r="H2843" t="s">
        <v>6642</v>
      </c>
      <c r="L2843" t="s">
        <v>19</v>
      </c>
      <c r="M2843" t="s">
        <v>2106</v>
      </c>
      <c r="N2843" t="s">
        <v>4177</v>
      </c>
      <c r="O2843">
        <v>9</v>
      </c>
    </row>
    <row r="2844" spans="2:15" x14ac:dyDescent="0.2">
      <c r="B2844" t="s">
        <v>1433</v>
      </c>
      <c r="C2844" t="s">
        <v>12898</v>
      </c>
      <c r="D2844" t="s">
        <v>621</v>
      </c>
      <c r="E2844" t="s">
        <v>9293</v>
      </c>
      <c r="F2844">
        <v>13.5</v>
      </c>
      <c r="H2844" t="s">
        <v>9107</v>
      </c>
      <c r="L2844" t="s">
        <v>19</v>
      </c>
      <c r="M2844" t="s">
        <v>2104</v>
      </c>
      <c r="N2844" t="s">
        <v>4177</v>
      </c>
      <c r="O2844">
        <v>1</v>
      </c>
    </row>
    <row r="2845" spans="2:15" x14ac:dyDescent="0.2">
      <c r="B2845" t="s">
        <v>1433</v>
      </c>
      <c r="C2845" t="s">
        <v>12898</v>
      </c>
      <c r="D2845" t="s">
        <v>621</v>
      </c>
      <c r="E2845" t="s">
        <v>9294</v>
      </c>
      <c r="F2845">
        <v>89.29</v>
      </c>
      <c r="H2845" t="s">
        <v>1889</v>
      </c>
      <c r="L2845" t="s">
        <v>19</v>
      </c>
      <c r="M2845" t="s">
        <v>1812</v>
      </c>
      <c r="N2845" t="s">
        <v>4177</v>
      </c>
      <c r="O2845">
        <v>1</v>
      </c>
    </row>
    <row r="2846" spans="2:15" x14ac:dyDescent="0.2">
      <c r="B2846" t="s">
        <v>1433</v>
      </c>
      <c r="C2846" t="s">
        <v>12898</v>
      </c>
      <c r="D2846" t="s">
        <v>621</v>
      </c>
      <c r="E2846" t="s">
        <v>9295</v>
      </c>
      <c r="F2846">
        <v>20.7</v>
      </c>
      <c r="H2846" t="s">
        <v>9296</v>
      </c>
      <c r="L2846" t="s">
        <v>19</v>
      </c>
      <c r="M2846" t="s">
        <v>1885</v>
      </c>
      <c r="N2846" t="s">
        <v>4177</v>
      </c>
      <c r="O2846">
        <v>10</v>
      </c>
    </row>
    <row r="2847" spans="2:15" x14ac:dyDescent="0.2">
      <c r="B2847" t="s">
        <v>1433</v>
      </c>
      <c r="C2847" t="s">
        <v>12898</v>
      </c>
      <c r="D2847" t="s">
        <v>1144</v>
      </c>
      <c r="E2847" t="s">
        <v>9297</v>
      </c>
      <c r="F2847">
        <v>9450</v>
      </c>
      <c r="G2847" t="s">
        <v>1260</v>
      </c>
      <c r="L2847" t="s">
        <v>19</v>
      </c>
      <c r="M2847" t="s">
        <v>2009</v>
      </c>
      <c r="N2847" t="s">
        <v>4177</v>
      </c>
      <c r="O2847">
        <v>10</v>
      </c>
    </row>
    <row r="2848" spans="2:15" x14ac:dyDescent="0.2">
      <c r="B2848" t="s">
        <v>1433</v>
      </c>
      <c r="C2848" t="s">
        <v>12898</v>
      </c>
      <c r="D2848" t="s">
        <v>1144</v>
      </c>
      <c r="E2848" t="s">
        <v>9298</v>
      </c>
      <c r="F2848">
        <v>4725</v>
      </c>
      <c r="G2848" t="s">
        <v>1260</v>
      </c>
      <c r="L2848" t="s">
        <v>19</v>
      </c>
      <c r="M2848" t="s">
        <v>1263</v>
      </c>
      <c r="N2848" t="s">
        <v>4183</v>
      </c>
      <c r="O2848">
        <v>2</v>
      </c>
    </row>
    <row r="2849" spans="2:15" x14ac:dyDescent="0.2">
      <c r="B2849" t="s">
        <v>1433</v>
      </c>
      <c r="C2849" t="s">
        <v>12898</v>
      </c>
      <c r="D2849" t="s">
        <v>1144</v>
      </c>
      <c r="E2849" t="s">
        <v>9299</v>
      </c>
      <c r="F2849">
        <v>4725</v>
      </c>
      <c r="G2849" t="s">
        <v>1260</v>
      </c>
      <c r="L2849" t="s">
        <v>19</v>
      </c>
      <c r="M2849" t="s">
        <v>1264</v>
      </c>
      <c r="N2849" t="s">
        <v>4183</v>
      </c>
      <c r="O2849">
        <v>2</v>
      </c>
    </row>
    <row r="2850" spans="2:15" x14ac:dyDescent="0.2">
      <c r="B2850" t="s">
        <v>1433</v>
      </c>
      <c r="C2850" t="s">
        <v>12898</v>
      </c>
      <c r="D2850" t="s">
        <v>613</v>
      </c>
      <c r="E2850" t="s">
        <v>9300</v>
      </c>
      <c r="F2850">
        <v>2500</v>
      </c>
      <c r="G2850" t="s">
        <v>1279</v>
      </c>
      <c r="L2850" t="s">
        <v>19</v>
      </c>
      <c r="M2850" t="s">
        <v>1265</v>
      </c>
      <c r="N2850" t="s">
        <v>4183</v>
      </c>
      <c r="O2850">
        <v>24</v>
      </c>
    </row>
    <row r="2851" spans="2:15" x14ac:dyDescent="0.2">
      <c r="B2851" t="s">
        <v>1433</v>
      </c>
      <c r="C2851" t="s">
        <v>12898</v>
      </c>
      <c r="D2851" t="s">
        <v>1144</v>
      </c>
      <c r="E2851" t="s">
        <v>9301</v>
      </c>
      <c r="F2851">
        <v>2800</v>
      </c>
      <c r="G2851" t="s">
        <v>1290</v>
      </c>
      <c r="L2851" t="s">
        <v>19</v>
      </c>
      <c r="M2851" t="s">
        <v>1266</v>
      </c>
      <c r="N2851" t="s">
        <v>4183</v>
      </c>
      <c r="O2851">
        <v>4</v>
      </c>
    </row>
    <row r="2852" spans="2:15" x14ac:dyDescent="0.2">
      <c r="B2852" t="s">
        <v>1433</v>
      </c>
      <c r="C2852" t="s">
        <v>12898</v>
      </c>
      <c r="D2852" t="s">
        <v>613</v>
      </c>
      <c r="E2852" t="s">
        <v>9302</v>
      </c>
      <c r="F2852">
        <v>34.11</v>
      </c>
      <c r="G2852" t="s">
        <v>1313</v>
      </c>
      <c r="L2852" t="s">
        <v>19</v>
      </c>
      <c r="M2852" t="s">
        <v>1267</v>
      </c>
      <c r="N2852" t="s">
        <v>4183</v>
      </c>
      <c r="O2852">
        <v>8</v>
      </c>
    </row>
    <row r="2853" spans="2:15" x14ac:dyDescent="0.2">
      <c r="B2853" t="s">
        <v>1433</v>
      </c>
      <c r="C2853" t="s">
        <v>12898</v>
      </c>
      <c r="D2853" t="s">
        <v>613</v>
      </c>
      <c r="E2853" t="s">
        <v>9303</v>
      </c>
      <c r="F2853">
        <v>7.55</v>
      </c>
      <c r="G2853" t="s">
        <v>7661</v>
      </c>
      <c r="L2853" t="s">
        <v>19</v>
      </c>
      <c r="M2853" t="s">
        <v>4184</v>
      </c>
      <c r="N2853" t="s">
        <v>4185</v>
      </c>
      <c r="O2853">
        <v>40</v>
      </c>
    </row>
    <row r="2854" spans="2:15" x14ac:dyDescent="0.2">
      <c r="B2854" t="s">
        <v>1433</v>
      </c>
      <c r="C2854" t="s">
        <v>12898</v>
      </c>
      <c r="D2854" t="s">
        <v>613</v>
      </c>
      <c r="E2854" t="s">
        <v>9304</v>
      </c>
      <c r="F2854">
        <v>1.68</v>
      </c>
      <c r="G2854" t="s">
        <v>9305</v>
      </c>
      <c r="L2854" t="s">
        <v>19</v>
      </c>
      <c r="M2854" t="s">
        <v>4170</v>
      </c>
      <c r="N2854" t="s">
        <v>4185</v>
      </c>
      <c r="O2854">
        <v>40</v>
      </c>
    </row>
    <row r="2855" spans="2:15" x14ac:dyDescent="0.2">
      <c r="B2855" t="s">
        <v>1433</v>
      </c>
      <c r="C2855" t="s">
        <v>12898</v>
      </c>
      <c r="D2855" t="s">
        <v>613</v>
      </c>
      <c r="E2855" t="s">
        <v>9306</v>
      </c>
      <c r="F2855">
        <v>7.2</v>
      </c>
      <c r="G2855" t="s">
        <v>9307</v>
      </c>
      <c r="L2855" t="s">
        <v>19</v>
      </c>
      <c r="M2855" t="s">
        <v>4186</v>
      </c>
      <c r="N2855" t="s">
        <v>4185</v>
      </c>
      <c r="O2855">
        <v>20</v>
      </c>
    </row>
    <row r="2856" spans="2:15" x14ac:dyDescent="0.2">
      <c r="B2856" t="s">
        <v>1433</v>
      </c>
      <c r="C2856" t="s">
        <v>12898</v>
      </c>
      <c r="D2856" t="s">
        <v>613</v>
      </c>
      <c r="E2856" t="s">
        <v>9308</v>
      </c>
      <c r="F2856">
        <v>10</v>
      </c>
      <c r="G2856" t="s">
        <v>7659</v>
      </c>
      <c r="L2856" t="s">
        <v>19</v>
      </c>
      <c r="M2856" t="s">
        <v>1668</v>
      </c>
      <c r="N2856" t="s">
        <v>4185</v>
      </c>
      <c r="O2856">
        <v>100</v>
      </c>
    </row>
    <row r="2857" spans="2:15" x14ac:dyDescent="0.2">
      <c r="B2857" t="s">
        <v>1433</v>
      </c>
      <c r="C2857" t="s">
        <v>12898</v>
      </c>
      <c r="D2857" t="s">
        <v>613</v>
      </c>
      <c r="E2857" t="s">
        <v>9309</v>
      </c>
      <c r="F2857">
        <v>13.3</v>
      </c>
      <c r="G2857" t="s">
        <v>9310</v>
      </c>
      <c r="L2857" t="s">
        <v>19</v>
      </c>
      <c r="M2857" t="s">
        <v>4187</v>
      </c>
      <c r="N2857" t="s">
        <v>4188</v>
      </c>
      <c r="O2857">
        <v>20</v>
      </c>
    </row>
    <row r="2858" spans="2:15" x14ac:dyDescent="0.2">
      <c r="B2858" t="s">
        <v>1433</v>
      </c>
      <c r="C2858" t="s">
        <v>12898</v>
      </c>
      <c r="D2858" t="s">
        <v>613</v>
      </c>
      <c r="E2858" t="s">
        <v>9311</v>
      </c>
      <c r="F2858">
        <v>9</v>
      </c>
      <c r="G2858" t="s">
        <v>9312</v>
      </c>
      <c r="L2858" t="s">
        <v>19</v>
      </c>
      <c r="M2858" t="s">
        <v>2010</v>
      </c>
      <c r="N2858" t="s">
        <v>4189</v>
      </c>
      <c r="O2858">
        <v>8</v>
      </c>
    </row>
    <row r="2859" spans="2:15" x14ac:dyDescent="0.2">
      <c r="B2859" t="s">
        <v>1433</v>
      </c>
      <c r="C2859" t="s">
        <v>12898</v>
      </c>
      <c r="D2859" t="s">
        <v>613</v>
      </c>
      <c r="E2859" t="s">
        <v>9313</v>
      </c>
      <c r="F2859">
        <v>10</v>
      </c>
      <c r="G2859" t="s">
        <v>9314</v>
      </c>
      <c r="L2859" t="s">
        <v>19</v>
      </c>
      <c r="M2859" t="s">
        <v>1243</v>
      </c>
      <c r="N2859" t="s">
        <v>4189</v>
      </c>
      <c r="O2859">
        <v>8</v>
      </c>
    </row>
    <row r="2860" spans="2:15" x14ac:dyDescent="0.2">
      <c r="B2860" t="s">
        <v>1433</v>
      </c>
      <c r="C2860" t="s">
        <v>12898</v>
      </c>
      <c r="D2860" t="s">
        <v>613</v>
      </c>
      <c r="E2860" t="s">
        <v>9316</v>
      </c>
      <c r="F2860">
        <v>9.6</v>
      </c>
      <c r="G2860" t="s">
        <v>6752</v>
      </c>
      <c r="L2860" t="s">
        <v>19</v>
      </c>
      <c r="M2860" t="s">
        <v>1243</v>
      </c>
      <c r="N2860" t="s">
        <v>4190</v>
      </c>
      <c r="O2860">
        <v>4</v>
      </c>
    </row>
    <row r="2861" spans="2:15" x14ac:dyDescent="0.2">
      <c r="B2861" t="s">
        <v>1433</v>
      </c>
      <c r="C2861" t="s">
        <v>12898</v>
      </c>
      <c r="D2861" t="s">
        <v>613</v>
      </c>
      <c r="E2861" t="s">
        <v>9317</v>
      </c>
      <c r="F2861">
        <v>7</v>
      </c>
      <c r="G2861" t="s">
        <v>6635</v>
      </c>
      <c r="L2861" t="s">
        <v>19</v>
      </c>
      <c r="M2861" t="s">
        <v>4191</v>
      </c>
      <c r="N2861" t="s">
        <v>4192</v>
      </c>
      <c r="O2861">
        <v>150</v>
      </c>
    </row>
    <row r="2862" spans="2:15" x14ac:dyDescent="0.2">
      <c r="B2862" t="s">
        <v>1433</v>
      </c>
      <c r="C2862" t="s">
        <v>12898</v>
      </c>
      <c r="D2862" t="s">
        <v>613</v>
      </c>
      <c r="E2862" t="s">
        <v>9318</v>
      </c>
      <c r="F2862">
        <v>8.89</v>
      </c>
      <c r="G2862" t="s">
        <v>6884</v>
      </c>
      <c r="L2862" t="s">
        <v>19</v>
      </c>
      <c r="M2862" t="s">
        <v>4193</v>
      </c>
      <c r="N2862" t="s">
        <v>4192</v>
      </c>
      <c r="O2862">
        <v>180</v>
      </c>
    </row>
    <row r="2863" spans="2:15" x14ac:dyDescent="0.2">
      <c r="B2863" t="s">
        <v>1433</v>
      </c>
      <c r="C2863" t="s">
        <v>12898</v>
      </c>
      <c r="D2863" t="s">
        <v>613</v>
      </c>
      <c r="E2863" t="s">
        <v>9319</v>
      </c>
      <c r="F2863">
        <v>4.9000000000000004</v>
      </c>
      <c r="G2863" t="s">
        <v>7699</v>
      </c>
      <c r="L2863" t="s">
        <v>19</v>
      </c>
      <c r="M2863" t="s">
        <v>2052</v>
      </c>
      <c r="N2863" t="s">
        <v>4192</v>
      </c>
      <c r="O2863">
        <v>100</v>
      </c>
    </row>
    <row r="2864" spans="2:15" x14ac:dyDescent="0.2">
      <c r="B2864" t="s">
        <v>1433</v>
      </c>
      <c r="C2864" t="s">
        <v>12898</v>
      </c>
      <c r="D2864" t="s">
        <v>1169</v>
      </c>
      <c r="E2864" t="s">
        <v>9320</v>
      </c>
      <c r="F2864">
        <v>8800</v>
      </c>
      <c r="G2864" t="s">
        <v>1332</v>
      </c>
      <c r="L2864" t="s">
        <v>19</v>
      </c>
      <c r="M2864" t="s">
        <v>4194</v>
      </c>
      <c r="N2864" t="s">
        <v>4192</v>
      </c>
      <c r="O2864">
        <v>33</v>
      </c>
    </row>
    <row r="2865" spans="2:15" x14ac:dyDescent="0.2">
      <c r="B2865" t="s">
        <v>1433</v>
      </c>
      <c r="C2865" t="s">
        <v>12898</v>
      </c>
      <c r="D2865" t="s">
        <v>1169</v>
      </c>
      <c r="E2865" t="s">
        <v>9321</v>
      </c>
      <c r="F2865">
        <v>13200</v>
      </c>
      <c r="G2865" t="s">
        <v>1332</v>
      </c>
      <c r="L2865" t="s">
        <v>19</v>
      </c>
      <c r="M2865" t="s">
        <v>4184</v>
      </c>
      <c r="N2865" t="s">
        <v>4195</v>
      </c>
      <c r="O2865">
        <v>40</v>
      </c>
    </row>
    <row r="2866" spans="2:15" x14ac:dyDescent="0.2">
      <c r="B2866" t="s">
        <v>1433</v>
      </c>
      <c r="C2866" t="s">
        <v>12898</v>
      </c>
      <c r="D2866" t="s">
        <v>1169</v>
      </c>
      <c r="E2866" t="s">
        <v>9322</v>
      </c>
      <c r="F2866">
        <v>8800</v>
      </c>
      <c r="G2866" t="s">
        <v>1332</v>
      </c>
      <c r="L2866" t="s">
        <v>19</v>
      </c>
      <c r="M2866" t="s">
        <v>1327</v>
      </c>
      <c r="N2866" t="s">
        <v>4175</v>
      </c>
      <c r="O2866">
        <v>2</v>
      </c>
    </row>
    <row r="2867" spans="2:15" x14ac:dyDescent="0.2">
      <c r="B2867" t="s">
        <v>1433</v>
      </c>
      <c r="C2867" t="s">
        <v>12898</v>
      </c>
      <c r="D2867" t="s">
        <v>1169</v>
      </c>
      <c r="E2867" t="s">
        <v>9323</v>
      </c>
      <c r="F2867">
        <v>8800</v>
      </c>
      <c r="G2867" t="s">
        <v>1332</v>
      </c>
      <c r="L2867" t="s">
        <v>19</v>
      </c>
      <c r="M2867" t="s">
        <v>2012</v>
      </c>
      <c r="N2867" t="s">
        <v>4196</v>
      </c>
      <c r="O2867">
        <v>4</v>
      </c>
    </row>
    <row r="2868" spans="2:15" x14ac:dyDescent="0.2">
      <c r="B2868" t="s">
        <v>1433</v>
      </c>
      <c r="C2868" t="s">
        <v>12898</v>
      </c>
      <c r="D2868" t="s">
        <v>1169</v>
      </c>
      <c r="E2868" t="s">
        <v>9324</v>
      </c>
      <c r="F2868">
        <v>4400</v>
      </c>
      <c r="G2868" t="s">
        <v>1332</v>
      </c>
      <c r="L2868" t="s">
        <v>19</v>
      </c>
      <c r="M2868" t="s">
        <v>1845</v>
      </c>
      <c r="N2868" t="s">
        <v>4197</v>
      </c>
      <c r="O2868">
        <v>4</v>
      </c>
    </row>
    <row r="2869" spans="2:15" x14ac:dyDescent="0.2">
      <c r="B2869" t="s">
        <v>1433</v>
      </c>
      <c r="C2869" t="s">
        <v>12898</v>
      </c>
      <c r="D2869" t="s">
        <v>617</v>
      </c>
      <c r="E2869" t="s">
        <v>9325</v>
      </c>
      <c r="F2869">
        <v>760</v>
      </c>
      <c r="G2869" t="s">
        <v>1340</v>
      </c>
      <c r="L2869" t="s">
        <v>19</v>
      </c>
      <c r="M2869" t="s">
        <v>2019</v>
      </c>
      <c r="N2869" t="s">
        <v>4198</v>
      </c>
      <c r="O2869">
        <v>4</v>
      </c>
    </row>
    <row r="2870" spans="2:15" x14ac:dyDescent="0.2">
      <c r="B2870" t="s">
        <v>1433</v>
      </c>
      <c r="C2870" t="s">
        <v>12898</v>
      </c>
      <c r="D2870" t="s">
        <v>617</v>
      </c>
      <c r="E2870" t="s">
        <v>9326</v>
      </c>
      <c r="F2870">
        <v>1140</v>
      </c>
      <c r="G2870" t="s">
        <v>1340</v>
      </c>
      <c r="L2870" t="s">
        <v>19</v>
      </c>
      <c r="M2870" t="s">
        <v>1265</v>
      </c>
      <c r="N2870" t="s">
        <v>4198</v>
      </c>
      <c r="O2870">
        <v>8</v>
      </c>
    </row>
    <row r="2871" spans="2:15" x14ac:dyDescent="0.2">
      <c r="B2871" t="s">
        <v>1433</v>
      </c>
      <c r="C2871" t="s">
        <v>12898</v>
      </c>
      <c r="D2871" t="s">
        <v>617</v>
      </c>
      <c r="E2871" t="s">
        <v>9327</v>
      </c>
      <c r="F2871">
        <v>1140</v>
      </c>
      <c r="G2871" t="s">
        <v>1340</v>
      </c>
      <c r="L2871" t="s">
        <v>19</v>
      </c>
      <c r="M2871" t="s">
        <v>4161</v>
      </c>
      <c r="N2871" t="s">
        <v>4199</v>
      </c>
      <c r="O2871">
        <v>35</v>
      </c>
    </row>
    <row r="2872" spans="2:15" x14ac:dyDescent="0.2">
      <c r="B2872" t="s">
        <v>1433</v>
      </c>
      <c r="C2872" t="s">
        <v>12898</v>
      </c>
      <c r="D2872" t="s">
        <v>617</v>
      </c>
      <c r="E2872" t="s">
        <v>9328</v>
      </c>
      <c r="F2872">
        <v>380</v>
      </c>
      <c r="G2872" t="s">
        <v>1340</v>
      </c>
      <c r="L2872" t="s">
        <v>19</v>
      </c>
      <c r="M2872" t="s">
        <v>2011</v>
      </c>
      <c r="N2872" t="s">
        <v>4200</v>
      </c>
      <c r="O2872">
        <v>4</v>
      </c>
    </row>
    <row r="2873" spans="2:15" x14ac:dyDescent="0.2">
      <c r="B2873" t="s">
        <v>1433</v>
      </c>
      <c r="C2873" t="s">
        <v>12898</v>
      </c>
      <c r="D2873" t="s">
        <v>617</v>
      </c>
      <c r="E2873" t="s">
        <v>9329</v>
      </c>
      <c r="F2873">
        <v>380</v>
      </c>
      <c r="G2873" t="s">
        <v>1340</v>
      </c>
      <c r="L2873" t="s">
        <v>19</v>
      </c>
      <c r="M2873" t="s">
        <v>4201</v>
      </c>
      <c r="N2873" t="s">
        <v>4200</v>
      </c>
      <c r="O2873">
        <v>1</v>
      </c>
    </row>
    <row r="2874" spans="2:15" x14ac:dyDescent="0.2">
      <c r="B2874" t="s">
        <v>1433</v>
      </c>
      <c r="C2874" t="s">
        <v>12898</v>
      </c>
      <c r="D2874" t="s">
        <v>1169</v>
      </c>
      <c r="E2874" t="s">
        <v>9330</v>
      </c>
      <c r="F2874">
        <v>4200</v>
      </c>
      <c r="G2874" t="s">
        <v>1352</v>
      </c>
      <c r="L2874" t="s">
        <v>19</v>
      </c>
      <c r="M2874" t="s">
        <v>4187</v>
      </c>
      <c r="N2874" t="s">
        <v>4202</v>
      </c>
      <c r="O2874">
        <v>3</v>
      </c>
    </row>
    <row r="2875" spans="2:15" x14ac:dyDescent="0.2">
      <c r="B2875" t="s">
        <v>1433</v>
      </c>
      <c r="C2875" t="s">
        <v>12898</v>
      </c>
      <c r="D2875" t="s">
        <v>1169</v>
      </c>
      <c r="E2875" t="s">
        <v>9331</v>
      </c>
      <c r="F2875">
        <v>7000</v>
      </c>
      <c r="G2875" t="s">
        <v>1352</v>
      </c>
      <c r="L2875" t="s">
        <v>19</v>
      </c>
      <c r="M2875" t="s">
        <v>1597</v>
      </c>
      <c r="N2875" t="s">
        <v>4203</v>
      </c>
      <c r="O2875">
        <v>2</v>
      </c>
    </row>
    <row r="2876" spans="2:15" x14ac:dyDescent="0.2">
      <c r="B2876" t="s">
        <v>1433</v>
      </c>
      <c r="C2876" t="s">
        <v>12898</v>
      </c>
      <c r="D2876" t="s">
        <v>1169</v>
      </c>
      <c r="E2876" t="s">
        <v>9332</v>
      </c>
      <c r="F2876">
        <v>1400</v>
      </c>
      <c r="G2876" t="s">
        <v>1352</v>
      </c>
      <c r="L2876" t="s">
        <v>19</v>
      </c>
      <c r="M2876" t="s">
        <v>1598</v>
      </c>
      <c r="N2876" t="s">
        <v>4203</v>
      </c>
      <c r="O2876">
        <v>1</v>
      </c>
    </row>
    <row r="2877" spans="2:15" x14ac:dyDescent="0.2">
      <c r="B2877" t="s">
        <v>1433</v>
      </c>
      <c r="C2877" t="s">
        <v>12898</v>
      </c>
      <c r="D2877" t="s">
        <v>1169</v>
      </c>
      <c r="E2877" t="s">
        <v>9333</v>
      </c>
      <c r="F2877">
        <v>1400</v>
      </c>
      <c r="G2877" t="s">
        <v>1352</v>
      </c>
      <c r="L2877" t="s">
        <v>19</v>
      </c>
      <c r="M2877" t="s">
        <v>1599</v>
      </c>
      <c r="N2877" t="s">
        <v>4203</v>
      </c>
      <c r="O2877">
        <v>5</v>
      </c>
    </row>
    <row r="2878" spans="2:15" x14ac:dyDescent="0.2">
      <c r="B2878" t="s">
        <v>1433</v>
      </c>
      <c r="C2878" t="s">
        <v>12898</v>
      </c>
      <c r="D2878" t="s">
        <v>617</v>
      </c>
      <c r="E2878" t="s">
        <v>9334</v>
      </c>
      <c r="F2878">
        <v>600</v>
      </c>
      <c r="G2878" t="s">
        <v>1393</v>
      </c>
      <c r="L2878" t="s">
        <v>19</v>
      </c>
      <c r="M2878" t="s">
        <v>1600</v>
      </c>
      <c r="N2878" t="s">
        <v>4203</v>
      </c>
      <c r="O2878">
        <v>2</v>
      </c>
    </row>
    <row r="2879" spans="2:15" x14ac:dyDescent="0.2">
      <c r="B2879" t="s">
        <v>1433</v>
      </c>
      <c r="C2879" t="s">
        <v>12898</v>
      </c>
      <c r="D2879" t="s">
        <v>617</v>
      </c>
      <c r="E2879" t="s">
        <v>9335</v>
      </c>
      <c r="F2879">
        <v>300</v>
      </c>
      <c r="G2879" t="s">
        <v>1393</v>
      </c>
      <c r="L2879" t="s">
        <v>19</v>
      </c>
      <c r="M2879" t="s">
        <v>2343</v>
      </c>
      <c r="N2879" t="s">
        <v>4203</v>
      </c>
      <c r="O2879">
        <v>2</v>
      </c>
    </row>
    <row r="2880" spans="2:15" x14ac:dyDescent="0.2">
      <c r="B2880" t="s">
        <v>1433</v>
      </c>
      <c r="C2880" t="s">
        <v>12898</v>
      </c>
      <c r="D2880" t="s">
        <v>617</v>
      </c>
      <c r="E2880" t="s">
        <v>9336</v>
      </c>
      <c r="F2880">
        <v>300</v>
      </c>
      <c r="G2880" t="s">
        <v>1393</v>
      </c>
      <c r="L2880" t="s">
        <v>19</v>
      </c>
      <c r="M2880" t="s">
        <v>2345</v>
      </c>
      <c r="N2880" t="s">
        <v>4203</v>
      </c>
      <c r="O2880">
        <v>2</v>
      </c>
    </row>
    <row r="2881" spans="2:15" x14ac:dyDescent="0.2">
      <c r="B2881" t="s">
        <v>1433</v>
      </c>
      <c r="C2881" t="s">
        <v>12898</v>
      </c>
      <c r="D2881" t="s">
        <v>613</v>
      </c>
      <c r="E2881" t="s">
        <v>9337</v>
      </c>
      <c r="F2881">
        <v>30.03</v>
      </c>
      <c r="G2881" t="s">
        <v>2423</v>
      </c>
      <c r="L2881" t="s">
        <v>19</v>
      </c>
      <c r="M2881" t="s">
        <v>1983</v>
      </c>
      <c r="N2881" t="s">
        <v>4204</v>
      </c>
      <c r="O2881">
        <v>100</v>
      </c>
    </row>
    <row r="2882" spans="2:15" x14ac:dyDescent="0.2">
      <c r="B2882" t="s">
        <v>1433</v>
      </c>
      <c r="C2882" t="s">
        <v>12898</v>
      </c>
      <c r="D2882" t="s">
        <v>617</v>
      </c>
      <c r="E2882" t="s">
        <v>9338</v>
      </c>
      <c r="F2882">
        <v>694.4</v>
      </c>
      <c r="H2882" t="s">
        <v>1835</v>
      </c>
      <c r="L2882" t="s">
        <v>19</v>
      </c>
      <c r="M2882" t="s">
        <v>4205</v>
      </c>
      <c r="N2882" t="s">
        <v>4204</v>
      </c>
      <c r="O2882">
        <v>120</v>
      </c>
    </row>
    <row r="2883" spans="2:15" x14ac:dyDescent="0.2">
      <c r="B2883" t="s">
        <v>1433</v>
      </c>
      <c r="C2883" t="s">
        <v>12898</v>
      </c>
      <c r="D2883" t="s">
        <v>617</v>
      </c>
      <c r="E2883" t="s">
        <v>9339</v>
      </c>
      <c r="F2883">
        <v>162.44999999999999</v>
      </c>
      <c r="H2883" t="s">
        <v>1836</v>
      </c>
      <c r="L2883" t="s">
        <v>19</v>
      </c>
      <c r="M2883" t="s">
        <v>4206</v>
      </c>
      <c r="N2883" t="s">
        <v>4204</v>
      </c>
      <c r="O2883">
        <v>148</v>
      </c>
    </row>
    <row r="2884" spans="2:15" x14ac:dyDescent="0.2">
      <c r="B2884" t="s">
        <v>1433</v>
      </c>
      <c r="C2884" t="s">
        <v>12898</v>
      </c>
      <c r="D2884" t="s">
        <v>617</v>
      </c>
      <c r="E2884" t="s">
        <v>9340</v>
      </c>
      <c r="F2884">
        <v>85</v>
      </c>
      <c r="H2884" t="s">
        <v>2300</v>
      </c>
      <c r="L2884" t="s">
        <v>19</v>
      </c>
      <c r="M2884" t="s">
        <v>4207</v>
      </c>
      <c r="N2884" t="s">
        <v>4204</v>
      </c>
      <c r="O2884">
        <v>10</v>
      </c>
    </row>
    <row r="2885" spans="2:15" x14ac:dyDescent="0.2">
      <c r="B2885" t="s">
        <v>1433</v>
      </c>
      <c r="C2885" t="s">
        <v>12898</v>
      </c>
      <c r="D2885" t="s">
        <v>617</v>
      </c>
      <c r="E2885" t="s">
        <v>9341</v>
      </c>
      <c r="F2885">
        <v>51</v>
      </c>
      <c r="H2885" t="s">
        <v>2300</v>
      </c>
      <c r="L2885" t="s">
        <v>19</v>
      </c>
      <c r="M2885" t="s">
        <v>4208</v>
      </c>
      <c r="N2885" t="s">
        <v>4204</v>
      </c>
      <c r="O2885">
        <v>19</v>
      </c>
    </row>
    <row r="2886" spans="2:15" x14ac:dyDescent="0.2">
      <c r="B2886" t="s">
        <v>1433</v>
      </c>
      <c r="C2886" t="s">
        <v>12898</v>
      </c>
      <c r="D2886" t="s">
        <v>617</v>
      </c>
      <c r="E2886" t="s">
        <v>9342</v>
      </c>
      <c r="F2886">
        <v>87.75</v>
      </c>
      <c r="G2886" t="s">
        <v>2364</v>
      </c>
      <c r="L2886" t="s">
        <v>19</v>
      </c>
      <c r="M2886" t="s">
        <v>1590</v>
      </c>
      <c r="N2886" t="s">
        <v>4209</v>
      </c>
      <c r="O2886">
        <v>28</v>
      </c>
    </row>
    <row r="2887" spans="2:15" x14ac:dyDescent="0.2">
      <c r="B2887" t="s">
        <v>1433</v>
      </c>
      <c r="C2887" t="s">
        <v>12898</v>
      </c>
      <c r="D2887" t="s">
        <v>617</v>
      </c>
      <c r="E2887" t="s">
        <v>9343</v>
      </c>
      <c r="F2887">
        <v>27.45</v>
      </c>
      <c r="H2887" t="s">
        <v>2436</v>
      </c>
      <c r="L2887" t="s">
        <v>19</v>
      </c>
      <c r="M2887" t="s">
        <v>1389</v>
      </c>
      <c r="N2887" t="s">
        <v>4209</v>
      </c>
      <c r="O2887">
        <v>28</v>
      </c>
    </row>
    <row r="2888" spans="2:15" x14ac:dyDescent="0.2">
      <c r="B2888" t="s">
        <v>1433</v>
      </c>
      <c r="C2888" t="s">
        <v>12898</v>
      </c>
      <c r="D2888" t="s">
        <v>617</v>
      </c>
      <c r="E2888" t="s">
        <v>9344</v>
      </c>
      <c r="F2888">
        <v>117.13</v>
      </c>
      <c r="H2888" t="s">
        <v>2437</v>
      </c>
      <c r="L2888" t="s">
        <v>19</v>
      </c>
      <c r="M2888" t="s">
        <v>4210</v>
      </c>
      <c r="N2888" t="s">
        <v>4209</v>
      </c>
      <c r="O2888">
        <v>60</v>
      </c>
    </row>
    <row r="2889" spans="2:15" x14ac:dyDescent="0.2">
      <c r="B2889" t="s">
        <v>1433</v>
      </c>
      <c r="C2889" t="s">
        <v>12898</v>
      </c>
      <c r="D2889" t="s">
        <v>617</v>
      </c>
      <c r="E2889" t="s">
        <v>9345</v>
      </c>
      <c r="F2889">
        <v>349.59</v>
      </c>
      <c r="H2889" t="s">
        <v>2438</v>
      </c>
      <c r="L2889" t="s">
        <v>19</v>
      </c>
      <c r="M2889" t="s">
        <v>4211</v>
      </c>
      <c r="N2889" t="s">
        <v>4209</v>
      </c>
      <c r="O2889">
        <v>60</v>
      </c>
    </row>
    <row r="2890" spans="2:15" x14ac:dyDescent="0.2">
      <c r="B2890" t="s">
        <v>1433</v>
      </c>
      <c r="C2890" t="s">
        <v>12898</v>
      </c>
      <c r="D2890" t="s">
        <v>617</v>
      </c>
      <c r="E2890" t="s">
        <v>9346</v>
      </c>
      <c r="F2890">
        <v>84.98</v>
      </c>
      <c r="H2890" t="s">
        <v>2430</v>
      </c>
      <c r="L2890" t="s">
        <v>19</v>
      </c>
      <c r="M2890" t="s">
        <v>4212</v>
      </c>
      <c r="N2890" t="s">
        <v>4213</v>
      </c>
      <c r="O2890">
        <v>8</v>
      </c>
    </row>
    <row r="2891" spans="2:15" x14ac:dyDescent="0.2">
      <c r="B2891" t="s">
        <v>1433</v>
      </c>
      <c r="C2891" t="s">
        <v>12898</v>
      </c>
      <c r="D2891" t="s">
        <v>617</v>
      </c>
      <c r="E2891" t="s">
        <v>9347</v>
      </c>
      <c r="F2891">
        <v>33.36</v>
      </c>
      <c r="H2891" t="s">
        <v>2099</v>
      </c>
      <c r="L2891" t="s">
        <v>19</v>
      </c>
      <c r="M2891" t="s">
        <v>4207</v>
      </c>
      <c r="N2891" t="s">
        <v>4214</v>
      </c>
      <c r="O2891">
        <v>20</v>
      </c>
    </row>
    <row r="2892" spans="2:15" x14ac:dyDescent="0.2">
      <c r="B2892" t="s">
        <v>1433</v>
      </c>
      <c r="C2892" t="s">
        <v>12898</v>
      </c>
      <c r="D2892" t="s">
        <v>617</v>
      </c>
      <c r="E2892" t="s">
        <v>9348</v>
      </c>
      <c r="F2892">
        <v>50.04</v>
      </c>
      <c r="H2892" t="s">
        <v>2099</v>
      </c>
      <c r="L2892" t="s">
        <v>19</v>
      </c>
      <c r="M2892" t="s">
        <v>4208</v>
      </c>
      <c r="N2892" t="s">
        <v>4214</v>
      </c>
      <c r="O2892">
        <v>20</v>
      </c>
    </row>
    <row r="2893" spans="2:15" x14ac:dyDescent="0.2">
      <c r="B2893" t="s">
        <v>1433</v>
      </c>
      <c r="C2893" t="s">
        <v>12898</v>
      </c>
      <c r="D2893" t="s">
        <v>617</v>
      </c>
      <c r="E2893" t="s">
        <v>9349</v>
      </c>
      <c r="F2893">
        <v>225.47</v>
      </c>
      <c r="H2893" t="s">
        <v>2397</v>
      </c>
      <c r="L2893" t="s">
        <v>19</v>
      </c>
      <c r="M2893" t="s">
        <v>2346</v>
      </c>
      <c r="N2893" t="s">
        <v>4215</v>
      </c>
      <c r="O2893">
        <v>1</v>
      </c>
    </row>
    <row r="2894" spans="2:15" x14ac:dyDescent="0.2">
      <c r="B2894" t="s">
        <v>1433</v>
      </c>
      <c r="C2894" t="s">
        <v>12898</v>
      </c>
      <c r="D2894" t="s">
        <v>617</v>
      </c>
      <c r="E2894" t="s">
        <v>9350</v>
      </c>
      <c r="F2894">
        <v>112</v>
      </c>
      <c r="H2894" t="s">
        <v>1710</v>
      </c>
      <c r="L2894" t="s">
        <v>19</v>
      </c>
      <c r="M2894" t="s">
        <v>2347</v>
      </c>
      <c r="N2894" t="s">
        <v>4215</v>
      </c>
      <c r="O2894">
        <v>3</v>
      </c>
    </row>
    <row r="2895" spans="2:15" x14ac:dyDescent="0.2">
      <c r="B2895" t="s">
        <v>1433</v>
      </c>
      <c r="C2895" t="s">
        <v>12898</v>
      </c>
      <c r="D2895" t="s">
        <v>617</v>
      </c>
      <c r="E2895" t="s">
        <v>9351</v>
      </c>
      <c r="F2895">
        <v>184.08</v>
      </c>
      <c r="H2895" t="s">
        <v>1824</v>
      </c>
      <c r="L2895" t="s">
        <v>19</v>
      </c>
      <c r="M2895" t="s">
        <v>1598</v>
      </c>
      <c r="N2895" t="s">
        <v>4215</v>
      </c>
      <c r="O2895">
        <v>1</v>
      </c>
    </row>
    <row r="2896" spans="2:15" x14ac:dyDescent="0.2">
      <c r="B2896" t="s">
        <v>1433</v>
      </c>
      <c r="C2896" t="s">
        <v>12898</v>
      </c>
      <c r="D2896" t="s">
        <v>617</v>
      </c>
      <c r="E2896" t="s">
        <v>9352</v>
      </c>
      <c r="F2896">
        <v>387</v>
      </c>
      <c r="H2896" t="s">
        <v>1717</v>
      </c>
      <c r="L2896" t="s">
        <v>19</v>
      </c>
      <c r="M2896" t="s">
        <v>1600</v>
      </c>
      <c r="N2896" t="s">
        <v>4215</v>
      </c>
      <c r="O2896">
        <v>2</v>
      </c>
    </row>
    <row r="2897" spans="2:15" x14ac:dyDescent="0.2">
      <c r="B2897" t="s">
        <v>1433</v>
      </c>
      <c r="C2897" t="s">
        <v>12898</v>
      </c>
      <c r="D2897" t="s">
        <v>617</v>
      </c>
      <c r="E2897" t="s">
        <v>9353</v>
      </c>
      <c r="F2897">
        <v>222.75</v>
      </c>
      <c r="H2897" t="s">
        <v>1718</v>
      </c>
      <c r="L2897" t="s">
        <v>19</v>
      </c>
      <c r="M2897" t="s">
        <v>2343</v>
      </c>
      <c r="N2897" t="s">
        <v>4215</v>
      </c>
      <c r="O2897">
        <v>1</v>
      </c>
    </row>
    <row r="2898" spans="2:15" x14ac:dyDescent="0.2">
      <c r="B2898" t="s">
        <v>1433</v>
      </c>
      <c r="C2898" t="s">
        <v>12898</v>
      </c>
      <c r="D2898" t="s">
        <v>617</v>
      </c>
      <c r="E2898" t="s">
        <v>9354</v>
      </c>
      <c r="F2898">
        <v>35</v>
      </c>
      <c r="H2898" t="s">
        <v>1830</v>
      </c>
      <c r="L2898" t="s">
        <v>19</v>
      </c>
      <c r="M2898" t="s">
        <v>2015</v>
      </c>
      <c r="N2898" t="s">
        <v>4216</v>
      </c>
      <c r="O2898">
        <v>2</v>
      </c>
    </row>
    <row r="2899" spans="2:15" x14ac:dyDescent="0.2">
      <c r="B2899" t="s">
        <v>1433</v>
      </c>
      <c r="C2899" t="s">
        <v>12898</v>
      </c>
      <c r="D2899" t="s">
        <v>617</v>
      </c>
      <c r="E2899" t="s">
        <v>9355</v>
      </c>
      <c r="F2899">
        <v>174</v>
      </c>
      <c r="H2899" t="s">
        <v>1832</v>
      </c>
      <c r="L2899" t="s">
        <v>19</v>
      </c>
      <c r="M2899" t="s">
        <v>2016</v>
      </c>
      <c r="N2899" t="s">
        <v>4216</v>
      </c>
      <c r="O2899">
        <v>4</v>
      </c>
    </row>
    <row r="2900" spans="2:15" x14ac:dyDescent="0.2">
      <c r="B2900" t="s">
        <v>1433</v>
      </c>
      <c r="C2900" t="s">
        <v>12898</v>
      </c>
      <c r="D2900" t="s">
        <v>617</v>
      </c>
      <c r="E2900" t="s">
        <v>9356</v>
      </c>
      <c r="F2900">
        <v>124</v>
      </c>
      <c r="H2900" t="s">
        <v>1835</v>
      </c>
      <c r="L2900" t="s">
        <v>19</v>
      </c>
      <c r="M2900" t="s">
        <v>1243</v>
      </c>
      <c r="N2900" t="s">
        <v>4217</v>
      </c>
      <c r="O2900">
        <v>10</v>
      </c>
    </row>
    <row r="2901" spans="2:15" x14ac:dyDescent="0.2">
      <c r="B2901" t="s">
        <v>1433</v>
      </c>
      <c r="C2901" t="s">
        <v>12898</v>
      </c>
      <c r="D2901" t="s">
        <v>617</v>
      </c>
      <c r="E2901" t="s">
        <v>9357</v>
      </c>
      <c r="F2901">
        <v>150.25</v>
      </c>
      <c r="H2901" t="s">
        <v>1838</v>
      </c>
      <c r="L2901" t="s">
        <v>19</v>
      </c>
      <c r="M2901" t="s">
        <v>2014</v>
      </c>
      <c r="N2901" t="s">
        <v>4217</v>
      </c>
      <c r="O2901">
        <v>4</v>
      </c>
    </row>
    <row r="2902" spans="2:15" x14ac:dyDescent="0.2">
      <c r="B2902" t="s">
        <v>1433</v>
      </c>
      <c r="C2902" t="s">
        <v>12898</v>
      </c>
      <c r="D2902" t="s">
        <v>617</v>
      </c>
      <c r="E2902" t="s">
        <v>9358</v>
      </c>
      <c r="F2902">
        <v>309.89999999999998</v>
      </c>
      <c r="G2902" t="s">
        <v>1370</v>
      </c>
      <c r="L2902" t="s">
        <v>19</v>
      </c>
      <c r="M2902" t="s">
        <v>2010</v>
      </c>
      <c r="N2902" t="s">
        <v>4217</v>
      </c>
      <c r="O2902">
        <v>18</v>
      </c>
    </row>
    <row r="2903" spans="2:15" x14ac:dyDescent="0.2">
      <c r="B2903" t="s">
        <v>1433</v>
      </c>
      <c r="C2903" t="s">
        <v>12898</v>
      </c>
      <c r="D2903" t="s">
        <v>621</v>
      </c>
      <c r="E2903" t="s">
        <v>9359</v>
      </c>
      <c r="F2903">
        <v>378.9</v>
      </c>
      <c r="G2903" t="s">
        <v>2439</v>
      </c>
      <c r="L2903" t="s">
        <v>19</v>
      </c>
      <c r="M2903" t="s">
        <v>1514</v>
      </c>
      <c r="N2903" t="s">
        <v>4218</v>
      </c>
      <c r="O2903">
        <v>1</v>
      </c>
    </row>
    <row r="2904" spans="2:15" x14ac:dyDescent="0.2">
      <c r="B2904" t="s">
        <v>1433</v>
      </c>
      <c r="C2904" t="s">
        <v>12898</v>
      </c>
      <c r="D2904" t="s">
        <v>617</v>
      </c>
      <c r="E2904" t="s">
        <v>9360</v>
      </c>
      <c r="F2904">
        <v>274.68</v>
      </c>
      <c r="H2904" t="s">
        <v>1707</v>
      </c>
      <c r="L2904" t="s">
        <v>19</v>
      </c>
      <c r="M2904" t="s">
        <v>1516</v>
      </c>
      <c r="N2904" t="s">
        <v>4218</v>
      </c>
      <c r="O2904">
        <v>1</v>
      </c>
    </row>
    <row r="2905" spans="2:15" x14ac:dyDescent="0.2">
      <c r="B2905" t="s">
        <v>1433</v>
      </c>
      <c r="C2905" t="s">
        <v>12898</v>
      </c>
      <c r="D2905" t="s">
        <v>617</v>
      </c>
      <c r="E2905" t="s">
        <v>9361</v>
      </c>
      <c r="F2905">
        <v>76.5</v>
      </c>
      <c r="H2905" t="s">
        <v>1552</v>
      </c>
      <c r="L2905" t="s">
        <v>19</v>
      </c>
      <c r="M2905" t="s">
        <v>4176</v>
      </c>
      <c r="N2905" t="s">
        <v>4218</v>
      </c>
      <c r="O2905">
        <v>6</v>
      </c>
    </row>
    <row r="2906" spans="2:15" x14ac:dyDescent="0.2">
      <c r="B2906" t="s">
        <v>1433</v>
      </c>
      <c r="C2906" t="s">
        <v>12898</v>
      </c>
      <c r="D2906" t="s">
        <v>617</v>
      </c>
      <c r="E2906" t="s">
        <v>9362</v>
      </c>
      <c r="F2906">
        <v>229.5</v>
      </c>
      <c r="H2906" t="s">
        <v>1552</v>
      </c>
      <c r="L2906" t="s">
        <v>19</v>
      </c>
      <c r="M2906" t="s">
        <v>2516</v>
      </c>
      <c r="N2906" t="s">
        <v>4218</v>
      </c>
      <c r="O2906">
        <v>4</v>
      </c>
    </row>
    <row r="2907" spans="2:15" x14ac:dyDescent="0.2">
      <c r="B2907" t="s">
        <v>1433</v>
      </c>
      <c r="C2907" t="s">
        <v>12898</v>
      </c>
      <c r="D2907" t="s">
        <v>617</v>
      </c>
      <c r="E2907" t="s">
        <v>9363</v>
      </c>
      <c r="F2907">
        <v>202.82</v>
      </c>
      <c r="H2907" t="s">
        <v>1706</v>
      </c>
      <c r="L2907" t="s">
        <v>19</v>
      </c>
      <c r="M2907" t="s">
        <v>2013</v>
      </c>
      <c r="N2907" t="s">
        <v>4219</v>
      </c>
      <c r="O2907">
        <v>4</v>
      </c>
    </row>
    <row r="2908" spans="2:15" x14ac:dyDescent="0.2">
      <c r="B2908" t="s">
        <v>1433</v>
      </c>
      <c r="C2908" t="s">
        <v>12898</v>
      </c>
      <c r="D2908" t="s">
        <v>617</v>
      </c>
      <c r="E2908" t="s">
        <v>9364</v>
      </c>
      <c r="F2908">
        <v>86.92</v>
      </c>
      <c r="H2908" t="s">
        <v>1706</v>
      </c>
      <c r="L2908" t="s">
        <v>19</v>
      </c>
      <c r="M2908" t="s">
        <v>4220</v>
      </c>
      <c r="N2908" t="s">
        <v>4221</v>
      </c>
      <c r="O2908">
        <v>2</v>
      </c>
    </row>
    <row r="2909" spans="2:15" x14ac:dyDescent="0.2">
      <c r="B2909" t="s">
        <v>1433</v>
      </c>
      <c r="C2909" t="s">
        <v>12898</v>
      </c>
      <c r="D2909" t="s">
        <v>617</v>
      </c>
      <c r="E2909" t="s">
        <v>9365</v>
      </c>
      <c r="F2909">
        <v>14.49</v>
      </c>
      <c r="H2909" t="s">
        <v>1706</v>
      </c>
      <c r="L2909" t="s">
        <v>19</v>
      </c>
      <c r="M2909" t="s">
        <v>4222</v>
      </c>
      <c r="N2909" t="s">
        <v>4221</v>
      </c>
      <c r="O2909">
        <v>2</v>
      </c>
    </row>
    <row r="2910" spans="2:15" x14ac:dyDescent="0.2">
      <c r="B2910" t="s">
        <v>1433</v>
      </c>
      <c r="C2910" t="s">
        <v>12898</v>
      </c>
      <c r="D2910" t="s">
        <v>617</v>
      </c>
      <c r="E2910" t="s">
        <v>9366</v>
      </c>
      <c r="F2910">
        <v>3444.75</v>
      </c>
      <c r="H2910" t="s">
        <v>1812</v>
      </c>
      <c r="L2910" t="s">
        <v>19</v>
      </c>
      <c r="M2910" t="s">
        <v>4223</v>
      </c>
      <c r="N2910" t="s">
        <v>4224</v>
      </c>
      <c r="O2910">
        <v>2</v>
      </c>
    </row>
    <row r="2911" spans="2:15" x14ac:dyDescent="0.2">
      <c r="B2911" t="s">
        <v>1433</v>
      </c>
      <c r="C2911" t="s">
        <v>12898</v>
      </c>
      <c r="D2911" t="s">
        <v>617</v>
      </c>
      <c r="E2911" t="s">
        <v>9367</v>
      </c>
      <c r="F2911">
        <v>229.65</v>
      </c>
      <c r="H2911" t="s">
        <v>1812</v>
      </c>
      <c r="L2911" t="s">
        <v>19</v>
      </c>
      <c r="M2911" t="s">
        <v>4225</v>
      </c>
      <c r="N2911" t="s">
        <v>4224</v>
      </c>
      <c r="O2911">
        <v>1</v>
      </c>
    </row>
    <row r="2912" spans="2:15" x14ac:dyDescent="0.2">
      <c r="B2912" t="s">
        <v>1433</v>
      </c>
      <c r="C2912" t="s">
        <v>12898</v>
      </c>
      <c r="D2912" t="s">
        <v>617</v>
      </c>
      <c r="E2912" t="s">
        <v>9368</v>
      </c>
      <c r="F2912">
        <v>1148.25</v>
      </c>
      <c r="H2912" t="s">
        <v>1812</v>
      </c>
      <c r="L2912" t="s">
        <v>19</v>
      </c>
      <c r="M2912" t="s">
        <v>4226</v>
      </c>
      <c r="N2912" t="s">
        <v>4227</v>
      </c>
      <c r="O2912">
        <v>1</v>
      </c>
    </row>
    <row r="2913" spans="2:15" x14ac:dyDescent="0.2">
      <c r="B2913" t="s">
        <v>1433</v>
      </c>
      <c r="C2913" t="s">
        <v>12898</v>
      </c>
      <c r="D2913" t="s">
        <v>617</v>
      </c>
      <c r="E2913" t="s">
        <v>9369</v>
      </c>
      <c r="F2913">
        <v>10.5</v>
      </c>
      <c r="H2913" t="s">
        <v>2403</v>
      </c>
      <c r="L2913" t="s">
        <v>19</v>
      </c>
      <c r="M2913" t="s">
        <v>4228</v>
      </c>
      <c r="N2913" t="s">
        <v>4192</v>
      </c>
      <c r="O2913">
        <v>210</v>
      </c>
    </row>
    <row r="2914" spans="2:15" x14ac:dyDescent="0.2">
      <c r="B2914" t="s">
        <v>1433</v>
      </c>
      <c r="C2914" t="s">
        <v>12898</v>
      </c>
      <c r="D2914" t="s">
        <v>617</v>
      </c>
      <c r="E2914" t="s">
        <v>9370</v>
      </c>
      <c r="F2914">
        <v>32</v>
      </c>
      <c r="H2914" t="s">
        <v>2405</v>
      </c>
      <c r="L2914" t="s">
        <v>19</v>
      </c>
      <c r="M2914" t="s">
        <v>2012</v>
      </c>
      <c r="N2914" t="s">
        <v>4229</v>
      </c>
      <c r="O2914">
        <v>4</v>
      </c>
    </row>
    <row r="2915" spans="2:15" x14ac:dyDescent="0.2">
      <c r="B2915" t="s">
        <v>1433</v>
      </c>
      <c r="C2915" t="s">
        <v>12898</v>
      </c>
      <c r="D2915" t="s">
        <v>617</v>
      </c>
      <c r="E2915" t="s">
        <v>9371</v>
      </c>
      <c r="F2915">
        <v>28</v>
      </c>
      <c r="H2915" t="s">
        <v>2406</v>
      </c>
      <c r="L2915" t="s">
        <v>19</v>
      </c>
      <c r="M2915" t="s">
        <v>4230</v>
      </c>
      <c r="N2915" t="s">
        <v>4231</v>
      </c>
      <c r="O2915">
        <v>100</v>
      </c>
    </row>
    <row r="2916" spans="2:15" x14ac:dyDescent="0.2">
      <c r="B2916" t="s">
        <v>1433</v>
      </c>
      <c r="C2916" t="s">
        <v>12898</v>
      </c>
      <c r="D2916" t="s">
        <v>617</v>
      </c>
      <c r="E2916" t="s">
        <v>9372</v>
      </c>
      <c r="F2916">
        <v>385.5</v>
      </c>
      <c r="H2916" t="s">
        <v>2407</v>
      </c>
      <c r="L2916" t="s">
        <v>19</v>
      </c>
      <c r="M2916" t="s">
        <v>2644</v>
      </c>
      <c r="N2916" t="s">
        <v>4232</v>
      </c>
      <c r="O2916">
        <v>300</v>
      </c>
    </row>
    <row r="2917" spans="2:15" x14ac:dyDescent="0.2">
      <c r="B2917" t="s">
        <v>1433</v>
      </c>
      <c r="C2917" t="s">
        <v>12898</v>
      </c>
      <c r="D2917" t="s">
        <v>617</v>
      </c>
      <c r="E2917" t="s">
        <v>9373</v>
      </c>
      <c r="F2917">
        <v>665</v>
      </c>
      <c r="H2917" t="s">
        <v>2408</v>
      </c>
      <c r="L2917" t="s">
        <v>19</v>
      </c>
      <c r="M2917" t="s">
        <v>2098</v>
      </c>
      <c r="N2917" t="s">
        <v>4233</v>
      </c>
      <c r="O2917">
        <v>50</v>
      </c>
    </row>
    <row r="2918" spans="2:15" x14ac:dyDescent="0.2">
      <c r="B2918" t="s">
        <v>1433</v>
      </c>
      <c r="C2918" t="s">
        <v>12898</v>
      </c>
      <c r="D2918" t="s">
        <v>617</v>
      </c>
      <c r="E2918" t="s">
        <v>9374</v>
      </c>
      <c r="F2918">
        <v>197.83</v>
      </c>
      <c r="H2918" t="s">
        <v>2307</v>
      </c>
      <c r="L2918" t="s">
        <v>19</v>
      </c>
      <c r="M2918" t="s">
        <v>2516</v>
      </c>
      <c r="N2918" t="s">
        <v>4234</v>
      </c>
      <c r="O2918">
        <v>4</v>
      </c>
    </row>
    <row r="2919" spans="2:15" x14ac:dyDescent="0.2">
      <c r="B2919" t="s">
        <v>1433</v>
      </c>
      <c r="C2919" t="s">
        <v>12898</v>
      </c>
      <c r="D2919" t="s">
        <v>617</v>
      </c>
      <c r="E2919" t="s">
        <v>9375</v>
      </c>
      <c r="F2919">
        <v>391.21</v>
      </c>
      <c r="H2919" t="s">
        <v>2089</v>
      </c>
      <c r="L2919" t="s">
        <v>19</v>
      </c>
      <c r="M2919" t="s">
        <v>4235</v>
      </c>
      <c r="N2919" t="s">
        <v>4236</v>
      </c>
      <c r="O2919">
        <v>4</v>
      </c>
    </row>
    <row r="2920" spans="2:15" x14ac:dyDescent="0.2">
      <c r="B2920" t="s">
        <v>1433</v>
      </c>
      <c r="C2920" t="s">
        <v>12898</v>
      </c>
      <c r="D2920" t="s">
        <v>617</v>
      </c>
      <c r="E2920" t="s">
        <v>9376</v>
      </c>
      <c r="F2920">
        <v>-391.21</v>
      </c>
      <c r="H2920" t="s">
        <v>2089</v>
      </c>
      <c r="L2920" t="s">
        <v>19</v>
      </c>
      <c r="M2920" t="s">
        <v>4237</v>
      </c>
      <c r="N2920" t="s">
        <v>4236</v>
      </c>
      <c r="O2920">
        <v>18</v>
      </c>
    </row>
    <row r="2921" spans="2:15" x14ac:dyDescent="0.2">
      <c r="B2921" t="s">
        <v>1433</v>
      </c>
      <c r="C2921" t="s">
        <v>12898</v>
      </c>
      <c r="D2921" t="s">
        <v>617</v>
      </c>
      <c r="E2921" t="s">
        <v>9377</v>
      </c>
      <c r="F2921">
        <v>795</v>
      </c>
      <c r="H2921" t="s">
        <v>2089</v>
      </c>
      <c r="L2921" t="s">
        <v>19</v>
      </c>
      <c r="M2921" t="s">
        <v>4238</v>
      </c>
      <c r="N2921" t="s">
        <v>4239</v>
      </c>
      <c r="O2921">
        <v>20</v>
      </c>
    </row>
    <row r="2922" spans="2:15" x14ac:dyDescent="0.2">
      <c r="B2922" t="s">
        <v>1433</v>
      </c>
      <c r="C2922" t="s">
        <v>12898</v>
      </c>
      <c r="D2922" t="s">
        <v>617</v>
      </c>
      <c r="E2922" t="s">
        <v>9378</v>
      </c>
      <c r="F2922">
        <v>380.05</v>
      </c>
      <c r="H2922" t="s">
        <v>2311</v>
      </c>
      <c r="L2922" t="s">
        <v>19</v>
      </c>
      <c r="M2922" t="s">
        <v>2011</v>
      </c>
      <c r="N2922" t="s">
        <v>4240</v>
      </c>
      <c r="O2922">
        <v>4</v>
      </c>
    </row>
    <row r="2923" spans="2:15" x14ac:dyDescent="0.2">
      <c r="B2923" t="s">
        <v>1433</v>
      </c>
      <c r="C2923" t="s">
        <v>12898</v>
      </c>
      <c r="D2923" t="s">
        <v>617</v>
      </c>
      <c r="E2923" t="s">
        <v>9379</v>
      </c>
      <c r="F2923">
        <v>255.62</v>
      </c>
      <c r="H2923" t="s">
        <v>2313</v>
      </c>
      <c r="L2923" t="s">
        <v>19</v>
      </c>
      <c r="M2923" t="s">
        <v>1700</v>
      </c>
      <c r="N2923" t="s">
        <v>4240</v>
      </c>
      <c r="O2923">
        <v>2</v>
      </c>
    </row>
    <row r="2924" spans="2:15" x14ac:dyDescent="0.2">
      <c r="B2924" t="s">
        <v>1433</v>
      </c>
      <c r="C2924" t="s">
        <v>12898</v>
      </c>
      <c r="D2924" t="s">
        <v>617</v>
      </c>
      <c r="E2924" t="s">
        <v>9380</v>
      </c>
      <c r="F2924">
        <v>1668.36</v>
      </c>
      <c r="H2924" t="s">
        <v>2315</v>
      </c>
      <c r="L2924" t="s">
        <v>19</v>
      </c>
      <c r="M2924" t="s">
        <v>1597</v>
      </c>
      <c r="N2924" t="s">
        <v>4241</v>
      </c>
      <c r="O2924">
        <v>1</v>
      </c>
    </row>
    <row r="2925" spans="2:15" x14ac:dyDescent="0.2">
      <c r="B2925" t="s">
        <v>1433</v>
      </c>
      <c r="C2925" t="s">
        <v>12898</v>
      </c>
      <c r="D2925" t="s">
        <v>617</v>
      </c>
      <c r="E2925" t="s">
        <v>9381</v>
      </c>
      <c r="F2925">
        <v>5.39</v>
      </c>
      <c r="H2925" t="s">
        <v>4878</v>
      </c>
      <c r="L2925" t="s">
        <v>19</v>
      </c>
      <c r="M2925" t="s">
        <v>1598</v>
      </c>
      <c r="N2925" t="s">
        <v>4241</v>
      </c>
      <c r="O2925">
        <v>2</v>
      </c>
    </row>
    <row r="2926" spans="2:15" x14ac:dyDescent="0.2">
      <c r="B2926" t="s">
        <v>1433</v>
      </c>
      <c r="C2926" t="s">
        <v>12898</v>
      </c>
      <c r="D2926" t="s">
        <v>617</v>
      </c>
      <c r="E2926" t="s">
        <v>9382</v>
      </c>
      <c r="F2926">
        <v>0.45</v>
      </c>
      <c r="H2926" t="s">
        <v>8041</v>
      </c>
      <c r="L2926" t="s">
        <v>19</v>
      </c>
      <c r="M2926" t="s">
        <v>1600</v>
      </c>
      <c r="N2926" t="s">
        <v>4241</v>
      </c>
      <c r="O2926">
        <v>1</v>
      </c>
    </row>
    <row r="2927" spans="2:15" x14ac:dyDescent="0.2">
      <c r="B2927" t="s">
        <v>1433</v>
      </c>
      <c r="C2927" t="s">
        <v>12898</v>
      </c>
      <c r="D2927" t="s">
        <v>617</v>
      </c>
      <c r="E2927" t="s">
        <v>9383</v>
      </c>
      <c r="F2927">
        <v>8.8000000000000007</v>
      </c>
      <c r="G2927" t="s">
        <v>4878</v>
      </c>
      <c r="L2927" t="s">
        <v>19</v>
      </c>
      <c r="M2927" t="s">
        <v>2343</v>
      </c>
      <c r="N2927" t="s">
        <v>4241</v>
      </c>
      <c r="O2927">
        <v>1</v>
      </c>
    </row>
    <row r="2928" spans="2:15" x14ac:dyDescent="0.2">
      <c r="B2928" t="s">
        <v>1433</v>
      </c>
      <c r="C2928" t="s">
        <v>12898</v>
      </c>
      <c r="D2928" t="s">
        <v>617</v>
      </c>
      <c r="E2928" t="s">
        <v>9384</v>
      </c>
      <c r="F2928">
        <v>1.98</v>
      </c>
      <c r="G2928" t="s">
        <v>5897</v>
      </c>
      <c r="L2928" t="s">
        <v>19</v>
      </c>
      <c r="M2928" t="s">
        <v>2346</v>
      </c>
      <c r="N2928" t="s">
        <v>4241</v>
      </c>
      <c r="O2928">
        <v>1</v>
      </c>
    </row>
    <row r="2929" spans="2:15" x14ac:dyDescent="0.2">
      <c r="B2929" t="s">
        <v>1433</v>
      </c>
      <c r="C2929" t="s">
        <v>12898</v>
      </c>
      <c r="D2929" t="s">
        <v>613</v>
      </c>
      <c r="E2929" t="s">
        <v>9385</v>
      </c>
      <c r="F2929">
        <v>6.75</v>
      </c>
      <c r="G2929" t="s">
        <v>9386</v>
      </c>
      <c r="L2929" t="s">
        <v>19</v>
      </c>
      <c r="M2929" t="s">
        <v>2347</v>
      </c>
      <c r="N2929" t="s">
        <v>4241</v>
      </c>
      <c r="O2929">
        <v>1</v>
      </c>
    </row>
    <row r="2930" spans="2:15" x14ac:dyDescent="0.2">
      <c r="B2930" t="s">
        <v>1433</v>
      </c>
      <c r="C2930" t="s">
        <v>12898</v>
      </c>
      <c r="D2930" t="s">
        <v>617</v>
      </c>
      <c r="E2930" t="s">
        <v>9387</v>
      </c>
      <c r="F2930">
        <v>1.95</v>
      </c>
      <c r="G2930" t="s">
        <v>7619</v>
      </c>
      <c r="L2930" t="s">
        <v>19</v>
      </c>
      <c r="M2930" t="s">
        <v>1513</v>
      </c>
      <c r="N2930" t="s">
        <v>4241</v>
      </c>
      <c r="O2930">
        <v>2</v>
      </c>
    </row>
    <row r="2931" spans="2:15" x14ac:dyDescent="0.2">
      <c r="B2931" t="s">
        <v>1433</v>
      </c>
      <c r="C2931" t="s">
        <v>12898</v>
      </c>
      <c r="D2931" t="s">
        <v>52</v>
      </c>
      <c r="E2931" t="s">
        <v>9388</v>
      </c>
      <c r="F2931">
        <v>7.86</v>
      </c>
      <c r="G2931" t="s">
        <v>7583</v>
      </c>
      <c r="L2931" t="s">
        <v>19</v>
      </c>
      <c r="M2931" t="s">
        <v>4242</v>
      </c>
      <c r="N2931" t="s">
        <v>4224</v>
      </c>
      <c r="O2931">
        <v>1</v>
      </c>
    </row>
    <row r="2932" spans="2:15" x14ac:dyDescent="0.2">
      <c r="B2932" t="s">
        <v>1433</v>
      </c>
      <c r="C2932" t="s">
        <v>12898</v>
      </c>
      <c r="D2932" t="s">
        <v>617</v>
      </c>
      <c r="E2932" t="s">
        <v>9389</v>
      </c>
      <c r="F2932">
        <v>13.94</v>
      </c>
      <c r="G2932" t="s">
        <v>1626</v>
      </c>
      <c r="L2932" t="s">
        <v>19</v>
      </c>
      <c r="M2932" t="s">
        <v>4187</v>
      </c>
      <c r="N2932" t="s">
        <v>4243</v>
      </c>
      <c r="O2932">
        <v>1</v>
      </c>
    </row>
    <row r="2933" spans="2:15" x14ac:dyDescent="0.2">
      <c r="B2933" t="s">
        <v>1433</v>
      </c>
      <c r="C2933" t="s">
        <v>12898</v>
      </c>
      <c r="D2933" t="s">
        <v>613</v>
      </c>
      <c r="E2933" t="s">
        <v>9390</v>
      </c>
      <c r="F2933">
        <v>18.850000000000001</v>
      </c>
      <c r="G2933" t="s">
        <v>9391</v>
      </c>
      <c r="L2933" t="s">
        <v>19</v>
      </c>
      <c r="M2933" t="s">
        <v>1519</v>
      </c>
      <c r="N2933" t="s">
        <v>4244</v>
      </c>
      <c r="O2933">
        <v>5</v>
      </c>
    </row>
    <row r="2934" spans="2:15" x14ac:dyDescent="0.2">
      <c r="B2934" t="s">
        <v>1433</v>
      </c>
      <c r="C2934" t="s">
        <v>12898</v>
      </c>
      <c r="D2934" t="s">
        <v>613</v>
      </c>
      <c r="E2934" t="s">
        <v>9392</v>
      </c>
      <c r="F2934">
        <v>18.2</v>
      </c>
      <c r="G2934" t="s">
        <v>9393</v>
      </c>
      <c r="L2934" t="s">
        <v>19</v>
      </c>
      <c r="M2934" t="s">
        <v>2076</v>
      </c>
      <c r="N2934" t="s">
        <v>4245</v>
      </c>
      <c r="O2934">
        <v>2</v>
      </c>
    </row>
    <row r="2935" spans="2:15" x14ac:dyDescent="0.2">
      <c r="B2935" t="s">
        <v>1433</v>
      </c>
      <c r="C2935" t="s">
        <v>12898</v>
      </c>
      <c r="D2935" t="s">
        <v>613</v>
      </c>
      <c r="E2935" t="s">
        <v>9394</v>
      </c>
      <c r="F2935">
        <v>3.25</v>
      </c>
      <c r="G2935" t="s">
        <v>7665</v>
      </c>
      <c r="L2935" t="s">
        <v>19</v>
      </c>
      <c r="M2935" t="s">
        <v>3688</v>
      </c>
      <c r="N2935" t="s">
        <v>4246</v>
      </c>
      <c r="O2935">
        <v>4</v>
      </c>
    </row>
    <row r="2936" spans="2:15" x14ac:dyDescent="0.2">
      <c r="B2936" t="s">
        <v>1433</v>
      </c>
      <c r="C2936" t="s">
        <v>12898</v>
      </c>
      <c r="D2936" t="s">
        <v>613</v>
      </c>
      <c r="E2936" t="s">
        <v>9395</v>
      </c>
      <c r="F2936">
        <v>0.62</v>
      </c>
      <c r="G2936" t="s">
        <v>6752</v>
      </c>
      <c r="L2936" t="s">
        <v>19</v>
      </c>
      <c r="M2936" t="s">
        <v>1595</v>
      </c>
      <c r="N2936" t="s">
        <v>4247</v>
      </c>
      <c r="O2936">
        <v>4</v>
      </c>
    </row>
    <row r="2937" spans="2:15" x14ac:dyDescent="0.2">
      <c r="B2937" t="s">
        <v>1433</v>
      </c>
      <c r="C2937" t="s">
        <v>12898</v>
      </c>
      <c r="D2937" t="s">
        <v>613</v>
      </c>
      <c r="E2937" t="s">
        <v>9396</v>
      </c>
      <c r="F2937">
        <v>3.25</v>
      </c>
      <c r="G2937" t="s">
        <v>7665</v>
      </c>
      <c r="L2937" t="s">
        <v>19</v>
      </c>
      <c r="M2937" t="s">
        <v>4248</v>
      </c>
      <c r="N2937" t="s">
        <v>4249</v>
      </c>
      <c r="O2937">
        <v>4</v>
      </c>
    </row>
    <row r="2938" spans="2:15" x14ac:dyDescent="0.2">
      <c r="B2938" t="s">
        <v>1433</v>
      </c>
      <c r="C2938" t="s">
        <v>12898</v>
      </c>
      <c r="D2938" t="s">
        <v>613</v>
      </c>
      <c r="E2938" t="s">
        <v>9397</v>
      </c>
      <c r="F2938">
        <v>18.440000000000001</v>
      </c>
      <c r="G2938" t="s">
        <v>5242</v>
      </c>
      <c r="L2938" t="s">
        <v>19</v>
      </c>
      <c r="M2938" t="s">
        <v>4250</v>
      </c>
      <c r="N2938" t="s">
        <v>4251</v>
      </c>
      <c r="O2938">
        <v>4</v>
      </c>
    </row>
    <row r="2939" spans="2:15" x14ac:dyDescent="0.2">
      <c r="B2939" t="s">
        <v>1433</v>
      </c>
      <c r="C2939" t="s">
        <v>12898</v>
      </c>
      <c r="D2939" t="s">
        <v>613</v>
      </c>
      <c r="E2939" t="s">
        <v>9398</v>
      </c>
      <c r="F2939">
        <v>18.440000000000001</v>
      </c>
      <c r="G2939" t="s">
        <v>5242</v>
      </c>
      <c r="L2939" t="s">
        <v>19</v>
      </c>
      <c r="M2939" t="s">
        <v>1243</v>
      </c>
      <c r="N2939" t="s">
        <v>4251</v>
      </c>
      <c r="O2939">
        <v>6</v>
      </c>
    </row>
    <row r="2940" spans="2:15" x14ac:dyDescent="0.2">
      <c r="B2940" t="s">
        <v>1433</v>
      </c>
      <c r="C2940" t="s">
        <v>12898</v>
      </c>
      <c r="D2940" t="s">
        <v>617</v>
      </c>
      <c r="E2940" t="s">
        <v>9399</v>
      </c>
      <c r="F2940">
        <v>9.02</v>
      </c>
      <c r="G2940" t="s">
        <v>6103</v>
      </c>
      <c r="L2940" t="s">
        <v>19</v>
      </c>
      <c r="M2940" t="s">
        <v>2010</v>
      </c>
      <c r="N2940" t="s">
        <v>4252</v>
      </c>
      <c r="O2940">
        <v>4</v>
      </c>
    </row>
    <row r="2941" spans="2:15" x14ac:dyDescent="0.2">
      <c r="B2941" t="s">
        <v>1433</v>
      </c>
      <c r="C2941" t="s">
        <v>12898</v>
      </c>
      <c r="D2941" t="s">
        <v>613</v>
      </c>
      <c r="E2941" t="s">
        <v>9400</v>
      </c>
      <c r="F2941">
        <v>18.440000000000001</v>
      </c>
      <c r="G2941" t="s">
        <v>5242</v>
      </c>
      <c r="L2941" t="s">
        <v>19</v>
      </c>
      <c r="M2941" t="s">
        <v>2017</v>
      </c>
      <c r="N2941" t="s">
        <v>4253</v>
      </c>
      <c r="O2941">
        <v>2</v>
      </c>
    </row>
    <row r="2942" spans="2:15" x14ac:dyDescent="0.2">
      <c r="B2942" t="s">
        <v>1433</v>
      </c>
      <c r="C2942" t="s">
        <v>12898</v>
      </c>
      <c r="D2942" t="s">
        <v>617</v>
      </c>
      <c r="E2942" t="s">
        <v>9401</v>
      </c>
      <c r="F2942">
        <v>4.18</v>
      </c>
      <c r="G2942" t="s">
        <v>5075</v>
      </c>
      <c r="L2942" t="s">
        <v>19</v>
      </c>
      <c r="M2942" t="s">
        <v>2012</v>
      </c>
      <c r="N2942" t="s">
        <v>4254</v>
      </c>
      <c r="O2942">
        <v>12</v>
      </c>
    </row>
    <row r="2943" spans="2:15" x14ac:dyDescent="0.2">
      <c r="B2943" t="s">
        <v>1433</v>
      </c>
      <c r="C2943" t="s">
        <v>12898</v>
      </c>
      <c r="D2943" t="s">
        <v>617</v>
      </c>
      <c r="E2943" t="s">
        <v>9402</v>
      </c>
      <c r="F2943">
        <v>4.53</v>
      </c>
      <c r="G2943" t="s">
        <v>5251</v>
      </c>
      <c r="L2943" t="s">
        <v>19</v>
      </c>
      <c r="M2943" t="s">
        <v>1845</v>
      </c>
      <c r="N2943" t="s">
        <v>4255</v>
      </c>
      <c r="O2943">
        <v>8</v>
      </c>
    </row>
    <row r="2944" spans="2:15" x14ac:dyDescent="0.2">
      <c r="B2944" t="s">
        <v>1433</v>
      </c>
      <c r="C2944" t="s">
        <v>12898</v>
      </c>
      <c r="D2944" t="s">
        <v>613</v>
      </c>
      <c r="E2944" t="s">
        <v>9403</v>
      </c>
      <c r="F2944">
        <v>13.5</v>
      </c>
      <c r="G2944" t="s">
        <v>9404</v>
      </c>
      <c r="L2944" t="s">
        <v>19</v>
      </c>
      <c r="M2944" t="s">
        <v>1845</v>
      </c>
      <c r="N2944" t="s">
        <v>4256</v>
      </c>
      <c r="O2944">
        <v>4</v>
      </c>
    </row>
    <row r="2945" spans="2:15" x14ac:dyDescent="0.2">
      <c r="B2945" t="s">
        <v>1433</v>
      </c>
      <c r="C2945" t="s">
        <v>12898</v>
      </c>
      <c r="D2945" t="s">
        <v>613</v>
      </c>
      <c r="E2945" t="s">
        <v>9405</v>
      </c>
      <c r="F2945">
        <v>12.4</v>
      </c>
      <c r="G2945" t="s">
        <v>9406</v>
      </c>
      <c r="L2945" t="s">
        <v>19</v>
      </c>
      <c r="M2945" t="s">
        <v>1243</v>
      </c>
      <c r="N2945" t="s">
        <v>4257</v>
      </c>
      <c r="O2945">
        <v>8</v>
      </c>
    </row>
    <row r="2946" spans="2:15" x14ac:dyDescent="0.2">
      <c r="B2946" t="s">
        <v>1433</v>
      </c>
      <c r="C2946" t="s">
        <v>12898</v>
      </c>
      <c r="D2946" t="s">
        <v>613</v>
      </c>
      <c r="E2946" t="s">
        <v>9407</v>
      </c>
      <c r="F2946">
        <v>39.56</v>
      </c>
      <c r="G2946" t="s">
        <v>6832</v>
      </c>
      <c r="L2946" t="s">
        <v>19</v>
      </c>
      <c r="M2946" t="s">
        <v>2010</v>
      </c>
      <c r="N2946" t="s">
        <v>4257</v>
      </c>
      <c r="O2946">
        <v>2</v>
      </c>
    </row>
    <row r="2947" spans="2:15" x14ac:dyDescent="0.2">
      <c r="B2947" t="s">
        <v>1433</v>
      </c>
      <c r="C2947" t="s">
        <v>12898</v>
      </c>
      <c r="D2947" t="s">
        <v>613</v>
      </c>
      <c r="E2947" t="s">
        <v>9408</v>
      </c>
      <c r="F2947">
        <v>28</v>
      </c>
      <c r="G2947" t="s">
        <v>6886</v>
      </c>
      <c r="L2947" t="s">
        <v>19</v>
      </c>
      <c r="M2947" t="s">
        <v>1243</v>
      </c>
      <c r="N2947" t="s">
        <v>4258</v>
      </c>
      <c r="O2947">
        <v>6</v>
      </c>
    </row>
    <row r="2948" spans="2:15" x14ac:dyDescent="0.2">
      <c r="B2948" t="s">
        <v>1433</v>
      </c>
      <c r="C2948" t="s">
        <v>12898</v>
      </c>
      <c r="D2948" t="s">
        <v>613</v>
      </c>
      <c r="E2948" t="s">
        <v>9409</v>
      </c>
      <c r="F2948">
        <v>2.76</v>
      </c>
      <c r="G2948" t="s">
        <v>9410</v>
      </c>
      <c r="L2948" t="s">
        <v>19</v>
      </c>
      <c r="M2948" t="s">
        <v>2010</v>
      </c>
      <c r="N2948" t="s">
        <v>4259</v>
      </c>
      <c r="O2948">
        <v>2</v>
      </c>
    </row>
    <row r="2949" spans="2:15" x14ac:dyDescent="0.2">
      <c r="B2949" t="s">
        <v>1433</v>
      </c>
      <c r="C2949" t="s">
        <v>12898</v>
      </c>
      <c r="D2949" t="s">
        <v>613</v>
      </c>
      <c r="E2949" t="s">
        <v>9411</v>
      </c>
      <c r="F2949">
        <v>5.4</v>
      </c>
      <c r="G2949" t="s">
        <v>7823</v>
      </c>
      <c r="L2949" t="s">
        <v>19</v>
      </c>
      <c r="M2949" t="s">
        <v>1243</v>
      </c>
      <c r="N2949" t="s">
        <v>4259</v>
      </c>
      <c r="O2949">
        <v>5</v>
      </c>
    </row>
    <row r="2950" spans="2:15" x14ac:dyDescent="0.2">
      <c r="B2950" t="s">
        <v>1433</v>
      </c>
      <c r="C2950" t="s">
        <v>12898</v>
      </c>
      <c r="D2950" t="s">
        <v>613</v>
      </c>
      <c r="E2950" t="s">
        <v>9412</v>
      </c>
      <c r="F2950">
        <v>3.3</v>
      </c>
      <c r="G2950" t="s">
        <v>6183</v>
      </c>
      <c r="L2950" t="s">
        <v>19</v>
      </c>
      <c r="M2950" t="s">
        <v>4176</v>
      </c>
      <c r="N2950" t="s">
        <v>4234</v>
      </c>
      <c r="O2950">
        <v>8</v>
      </c>
    </row>
    <row r="2951" spans="2:15" x14ac:dyDescent="0.2">
      <c r="B2951" t="s">
        <v>1433</v>
      </c>
      <c r="C2951" t="s">
        <v>12898</v>
      </c>
      <c r="D2951" t="s">
        <v>613</v>
      </c>
      <c r="E2951" t="s">
        <v>9413</v>
      </c>
      <c r="F2951">
        <v>3.59</v>
      </c>
      <c r="G2951" t="s">
        <v>5263</v>
      </c>
      <c r="L2951" t="s">
        <v>19</v>
      </c>
      <c r="M2951" t="s">
        <v>4176</v>
      </c>
      <c r="N2951" t="s">
        <v>4260</v>
      </c>
      <c r="O2951">
        <v>12</v>
      </c>
    </row>
    <row r="2952" spans="2:15" x14ac:dyDescent="0.2">
      <c r="B2952" t="s">
        <v>1433</v>
      </c>
      <c r="C2952" t="s">
        <v>12898</v>
      </c>
      <c r="D2952" t="s">
        <v>613</v>
      </c>
      <c r="E2952" t="s">
        <v>9414</v>
      </c>
      <c r="F2952">
        <v>3.28</v>
      </c>
      <c r="G2952" t="s">
        <v>7668</v>
      </c>
      <c r="L2952" t="s">
        <v>19</v>
      </c>
      <c r="M2952" t="s">
        <v>2018</v>
      </c>
      <c r="N2952" t="s">
        <v>4260</v>
      </c>
      <c r="O2952">
        <v>6</v>
      </c>
    </row>
    <row r="2953" spans="2:15" x14ac:dyDescent="0.2">
      <c r="B2953" t="s">
        <v>1433</v>
      </c>
      <c r="C2953" t="s">
        <v>12898</v>
      </c>
      <c r="D2953" t="s">
        <v>613</v>
      </c>
      <c r="E2953" t="s">
        <v>9415</v>
      </c>
      <c r="F2953">
        <v>4.7300000000000004</v>
      </c>
      <c r="G2953" t="s">
        <v>9416</v>
      </c>
      <c r="L2953" t="s">
        <v>19</v>
      </c>
      <c r="M2953" t="s">
        <v>4176</v>
      </c>
      <c r="N2953" t="s">
        <v>4261</v>
      </c>
      <c r="O2953">
        <v>8</v>
      </c>
    </row>
    <row r="2954" spans="2:15" x14ac:dyDescent="0.2">
      <c r="B2954" t="s">
        <v>1433</v>
      </c>
      <c r="C2954" t="s">
        <v>12898</v>
      </c>
      <c r="D2954" t="s">
        <v>613</v>
      </c>
      <c r="E2954" t="s">
        <v>9417</v>
      </c>
      <c r="F2954">
        <v>9.6300000000000008</v>
      </c>
      <c r="G2954" t="s">
        <v>9418</v>
      </c>
      <c r="L2954" t="s">
        <v>19</v>
      </c>
      <c r="M2954" t="s">
        <v>2516</v>
      </c>
      <c r="N2954" t="s">
        <v>4261</v>
      </c>
      <c r="O2954">
        <v>4</v>
      </c>
    </row>
    <row r="2955" spans="2:15" x14ac:dyDescent="0.2">
      <c r="B2955" t="s">
        <v>1433</v>
      </c>
      <c r="C2955" t="s">
        <v>12898</v>
      </c>
      <c r="D2955" t="s">
        <v>613</v>
      </c>
      <c r="E2955" t="s">
        <v>9419</v>
      </c>
      <c r="F2955">
        <v>11.2</v>
      </c>
      <c r="G2955" t="s">
        <v>9420</v>
      </c>
      <c r="L2955" t="s">
        <v>19</v>
      </c>
      <c r="M2955" t="s">
        <v>2018</v>
      </c>
      <c r="N2955" t="s">
        <v>4261</v>
      </c>
      <c r="O2955">
        <v>4</v>
      </c>
    </row>
    <row r="2956" spans="2:15" x14ac:dyDescent="0.2">
      <c r="B2956" t="s">
        <v>1433</v>
      </c>
      <c r="C2956" t="s">
        <v>12898</v>
      </c>
      <c r="D2956" t="s">
        <v>613</v>
      </c>
      <c r="E2956" t="s">
        <v>9421</v>
      </c>
      <c r="F2956">
        <v>3.33</v>
      </c>
      <c r="G2956" t="s">
        <v>9422</v>
      </c>
      <c r="L2956" t="s">
        <v>19</v>
      </c>
      <c r="M2956" t="s">
        <v>4181</v>
      </c>
      <c r="N2956" t="s">
        <v>4261</v>
      </c>
      <c r="O2956">
        <v>2</v>
      </c>
    </row>
    <row r="2957" spans="2:15" x14ac:dyDescent="0.2">
      <c r="B2957" t="s">
        <v>1433</v>
      </c>
      <c r="C2957" t="s">
        <v>12898</v>
      </c>
      <c r="D2957" t="s">
        <v>621</v>
      </c>
      <c r="E2957" t="s">
        <v>9423</v>
      </c>
      <c r="F2957">
        <v>2725</v>
      </c>
      <c r="G2957" t="s">
        <v>1769</v>
      </c>
      <c r="L2957" t="s">
        <v>19</v>
      </c>
      <c r="M2957" t="s">
        <v>4262</v>
      </c>
      <c r="N2957" t="s">
        <v>4198</v>
      </c>
      <c r="O2957">
        <v>4</v>
      </c>
    </row>
    <row r="2958" spans="2:15" x14ac:dyDescent="0.2">
      <c r="B2958" t="s">
        <v>1433</v>
      </c>
      <c r="C2958" t="s">
        <v>12898</v>
      </c>
      <c r="D2958" t="s">
        <v>621</v>
      </c>
      <c r="E2958" t="s">
        <v>9424</v>
      </c>
      <c r="F2958">
        <v>545</v>
      </c>
      <c r="G2958" t="s">
        <v>1769</v>
      </c>
      <c r="L2958" t="s">
        <v>19</v>
      </c>
      <c r="M2958" t="s">
        <v>4263</v>
      </c>
      <c r="N2958" t="s">
        <v>4264</v>
      </c>
      <c r="O2958">
        <v>1</v>
      </c>
    </row>
    <row r="2959" spans="2:15" x14ac:dyDescent="0.2">
      <c r="B2959" t="s">
        <v>1433</v>
      </c>
      <c r="C2959" t="s">
        <v>12898</v>
      </c>
      <c r="D2959" t="s">
        <v>613</v>
      </c>
      <c r="E2959" t="s">
        <v>9425</v>
      </c>
      <c r="F2959">
        <v>4.8899999999999997</v>
      </c>
      <c r="G2959" t="s">
        <v>7825</v>
      </c>
      <c r="L2959" t="s">
        <v>19</v>
      </c>
      <c r="M2959" t="s">
        <v>4265</v>
      </c>
      <c r="N2959" t="s">
        <v>4264</v>
      </c>
      <c r="O2959">
        <v>1</v>
      </c>
    </row>
    <row r="2960" spans="2:15" x14ac:dyDescent="0.2">
      <c r="B2960" t="s">
        <v>1433</v>
      </c>
      <c r="C2960" t="s">
        <v>12898</v>
      </c>
      <c r="D2960" t="s">
        <v>617</v>
      </c>
      <c r="E2960" t="s">
        <v>9426</v>
      </c>
      <c r="F2960">
        <v>39.6</v>
      </c>
      <c r="G2960" t="s">
        <v>1624</v>
      </c>
      <c r="L2960" t="s">
        <v>19</v>
      </c>
      <c r="M2960" t="s">
        <v>4266</v>
      </c>
      <c r="N2960" t="s">
        <v>4267</v>
      </c>
      <c r="O2960">
        <v>1</v>
      </c>
    </row>
    <row r="2961" spans="2:15" x14ac:dyDescent="0.2">
      <c r="B2961" t="s">
        <v>1433</v>
      </c>
      <c r="C2961" t="s">
        <v>12898</v>
      </c>
      <c r="D2961" t="s">
        <v>617</v>
      </c>
      <c r="E2961" t="s">
        <v>9427</v>
      </c>
      <c r="F2961">
        <v>6</v>
      </c>
      <c r="G2961" t="s">
        <v>1628</v>
      </c>
      <c r="L2961" t="s">
        <v>19</v>
      </c>
      <c r="M2961" t="s">
        <v>4268</v>
      </c>
      <c r="N2961" t="s">
        <v>4267</v>
      </c>
      <c r="O2961">
        <v>1</v>
      </c>
    </row>
    <row r="2962" spans="2:15" x14ac:dyDescent="0.2">
      <c r="B2962" t="s">
        <v>1433</v>
      </c>
      <c r="C2962" t="s">
        <v>12898</v>
      </c>
      <c r="D2962" t="s">
        <v>613</v>
      </c>
      <c r="E2962" t="s">
        <v>9428</v>
      </c>
      <c r="F2962">
        <v>0.9</v>
      </c>
      <c r="G2962" t="s">
        <v>9429</v>
      </c>
      <c r="L2962" t="s">
        <v>19</v>
      </c>
      <c r="M2962" t="s">
        <v>2348</v>
      </c>
      <c r="N2962" t="s">
        <v>4269</v>
      </c>
      <c r="O2962">
        <v>4</v>
      </c>
    </row>
    <row r="2963" spans="2:15" x14ac:dyDescent="0.2">
      <c r="B2963" t="s">
        <v>1433</v>
      </c>
      <c r="C2963" t="s">
        <v>12898</v>
      </c>
      <c r="D2963" t="s">
        <v>613</v>
      </c>
      <c r="E2963" t="s">
        <v>9430</v>
      </c>
      <c r="F2963">
        <v>0.79</v>
      </c>
      <c r="G2963" t="s">
        <v>9431</v>
      </c>
      <c r="L2963" t="s">
        <v>19</v>
      </c>
      <c r="M2963" t="s">
        <v>2349</v>
      </c>
      <c r="N2963" t="s">
        <v>4269</v>
      </c>
      <c r="O2963">
        <v>4</v>
      </c>
    </row>
    <row r="2964" spans="2:15" x14ac:dyDescent="0.2">
      <c r="B2964" t="s">
        <v>1433</v>
      </c>
      <c r="C2964" t="s">
        <v>12898</v>
      </c>
      <c r="D2964" t="s">
        <v>617</v>
      </c>
      <c r="E2964" t="s">
        <v>9432</v>
      </c>
      <c r="F2964">
        <v>6.5</v>
      </c>
      <c r="G2964" t="s">
        <v>1628</v>
      </c>
      <c r="L2964" t="s">
        <v>19</v>
      </c>
      <c r="M2964" t="s">
        <v>2219</v>
      </c>
      <c r="N2964" t="s">
        <v>4269</v>
      </c>
      <c r="O2964">
        <v>2</v>
      </c>
    </row>
    <row r="2965" spans="2:15" x14ac:dyDescent="0.2">
      <c r="B2965" t="s">
        <v>1433</v>
      </c>
      <c r="C2965" t="s">
        <v>12898</v>
      </c>
      <c r="D2965" t="s">
        <v>617</v>
      </c>
      <c r="E2965" t="s">
        <v>9433</v>
      </c>
      <c r="F2965">
        <v>237.84</v>
      </c>
      <c r="H2965" t="s">
        <v>2579</v>
      </c>
      <c r="L2965" t="s">
        <v>19</v>
      </c>
      <c r="M2965" t="s">
        <v>1619</v>
      </c>
      <c r="N2965" t="s">
        <v>4270</v>
      </c>
      <c r="O2965">
        <v>4</v>
      </c>
    </row>
    <row r="2966" spans="2:15" x14ac:dyDescent="0.2">
      <c r="B2966" t="s">
        <v>1433</v>
      </c>
      <c r="C2966" t="s">
        <v>12898</v>
      </c>
      <c r="D2966" t="s">
        <v>617</v>
      </c>
      <c r="E2966" t="s">
        <v>9434</v>
      </c>
      <c r="F2966">
        <v>322.14</v>
      </c>
      <c r="H2966" t="s">
        <v>1824</v>
      </c>
      <c r="L2966" t="s">
        <v>19</v>
      </c>
      <c r="M2966" t="s">
        <v>1845</v>
      </c>
      <c r="N2966" t="s">
        <v>4271</v>
      </c>
      <c r="O2966">
        <v>12</v>
      </c>
    </row>
    <row r="2967" spans="2:15" x14ac:dyDescent="0.2">
      <c r="B2967" t="s">
        <v>1433</v>
      </c>
      <c r="C2967" t="s">
        <v>12898</v>
      </c>
      <c r="D2967" t="s">
        <v>617</v>
      </c>
      <c r="E2967" t="s">
        <v>9435</v>
      </c>
      <c r="F2967">
        <v>554.76</v>
      </c>
      <c r="H2967" t="s">
        <v>2578</v>
      </c>
      <c r="L2967" t="s">
        <v>19</v>
      </c>
      <c r="M2967" t="s">
        <v>2011</v>
      </c>
      <c r="N2967" t="s">
        <v>4272</v>
      </c>
      <c r="O2967">
        <v>2</v>
      </c>
    </row>
    <row r="2968" spans="2:15" x14ac:dyDescent="0.2">
      <c r="B2968" t="s">
        <v>1433</v>
      </c>
      <c r="C2968" t="s">
        <v>12898</v>
      </c>
      <c r="D2968" t="s">
        <v>617</v>
      </c>
      <c r="E2968" t="s">
        <v>9436</v>
      </c>
      <c r="F2968">
        <v>304.5</v>
      </c>
      <c r="H2968" t="s">
        <v>1832</v>
      </c>
      <c r="L2968" t="s">
        <v>19</v>
      </c>
      <c r="M2968" t="s">
        <v>1243</v>
      </c>
      <c r="N2968" t="s">
        <v>4273</v>
      </c>
      <c r="O2968">
        <v>2</v>
      </c>
    </row>
    <row r="2969" spans="2:15" x14ac:dyDescent="0.2">
      <c r="B2969" t="s">
        <v>1433</v>
      </c>
      <c r="C2969" t="s">
        <v>12898</v>
      </c>
      <c r="D2969" t="s">
        <v>617</v>
      </c>
      <c r="E2969" t="s">
        <v>9437</v>
      </c>
      <c r="F2969">
        <v>70.67</v>
      </c>
      <c r="H2969" t="s">
        <v>3959</v>
      </c>
      <c r="L2969" t="s">
        <v>19</v>
      </c>
      <c r="M2969" t="s">
        <v>2014</v>
      </c>
      <c r="N2969" t="s">
        <v>4273</v>
      </c>
      <c r="O2969">
        <v>2</v>
      </c>
    </row>
    <row r="2970" spans="2:15" x14ac:dyDescent="0.2">
      <c r="B2970" t="s">
        <v>1433</v>
      </c>
      <c r="C2970" t="s">
        <v>12898</v>
      </c>
      <c r="D2970" t="s">
        <v>617</v>
      </c>
      <c r="E2970" t="s">
        <v>9438</v>
      </c>
      <c r="F2970">
        <v>193.03</v>
      </c>
      <c r="H2970" t="s">
        <v>3961</v>
      </c>
      <c r="L2970" t="s">
        <v>19</v>
      </c>
      <c r="M2970" t="s">
        <v>2014</v>
      </c>
      <c r="N2970" t="s">
        <v>4274</v>
      </c>
      <c r="O2970">
        <v>2</v>
      </c>
    </row>
    <row r="2971" spans="2:15" x14ac:dyDescent="0.2">
      <c r="B2971" t="s">
        <v>1433</v>
      </c>
      <c r="C2971" t="s">
        <v>12898</v>
      </c>
      <c r="D2971" t="s">
        <v>1144</v>
      </c>
      <c r="E2971" t="s">
        <v>9439</v>
      </c>
      <c r="F2971">
        <v>276</v>
      </c>
      <c r="G2971" t="s">
        <v>1417</v>
      </c>
      <c r="L2971" t="s">
        <v>19</v>
      </c>
      <c r="M2971" t="s">
        <v>2221</v>
      </c>
      <c r="N2971" t="s">
        <v>4275</v>
      </c>
      <c r="O2971">
        <v>2</v>
      </c>
    </row>
    <row r="2972" spans="2:15" x14ac:dyDescent="0.2">
      <c r="B2972" t="s">
        <v>1433</v>
      </c>
      <c r="C2972" t="s">
        <v>12898</v>
      </c>
      <c r="D2972" t="s">
        <v>617</v>
      </c>
      <c r="E2972" t="s">
        <v>9440</v>
      </c>
      <c r="F2972">
        <v>45.84</v>
      </c>
      <c r="H2972" t="s">
        <v>1372</v>
      </c>
      <c r="L2972" t="s">
        <v>19</v>
      </c>
      <c r="M2972" t="s">
        <v>1261</v>
      </c>
      <c r="N2972" t="s">
        <v>4276</v>
      </c>
      <c r="O2972">
        <v>6</v>
      </c>
    </row>
    <row r="2973" spans="2:15" x14ac:dyDescent="0.2">
      <c r="B2973" t="s">
        <v>1433</v>
      </c>
      <c r="C2973" t="s">
        <v>12898</v>
      </c>
      <c r="D2973" t="s">
        <v>617</v>
      </c>
      <c r="E2973" t="s">
        <v>9441</v>
      </c>
      <c r="F2973">
        <v>16.2</v>
      </c>
      <c r="H2973" t="s">
        <v>1458</v>
      </c>
      <c r="L2973" t="s">
        <v>19</v>
      </c>
      <c r="M2973" t="s">
        <v>4277</v>
      </c>
      <c r="N2973" t="s">
        <v>4276</v>
      </c>
      <c r="O2973">
        <v>6</v>
      </c>
    </row>
    <row r="2974" spans="2:15" x14ac:dyDescent="0.2">
      <c r="B2974" t="s">
        <v>1433</v>
      </c>
      <c r="C2974" t="s">
        <v>12898</v>
      </c>
      <c r="D2974" t="s">
        <v>617</v>
      </c>
      <c r="E2974" t="s">
        <v>9442</v>
      </c>
      <c r="F2974">
        <v>43.75</v>
      </c>
      <c r="H2974" t="s">
        <v>1461</v>
      </c>
      <c r="L2974" t="s">
        <v>19</v>
      </c>
      <c r="M2974" t="s">
        <v>1598</v>
      </c>
      <c r="N2974" t="s">
        <v>4278</v>
      </c>
      <c r="O2974">
        <v>1</v>
      </c>
    </row>
    <row r="2975" spans="2:15" x14ac:dyDescent="0.2">
      <c r="B2975" t="s">
        <v>1433</v>
      </c>
      <c r="C2975" t="s">
        <v>12898</v>
      </c>
      <c r="D2975" t="s">
        <v>617</v>
      </c>
      <c r="E2975" t="s">
        <v>9443</v>
      </c>
      <c r="F2975">
        <v>20.07</v>
      </c>
      <c r="H2975" t="s">
        <v>1461</v>
      </c>
      <c r="L2975" t="s">
        <v>19</v>
      </c>
      <c r="M2975" t="s">
        <v>4279</v>
      </c>
      <c r="N2975" t="s">
        <v>4280</v>
      </c>
      <c r="O2975">
        <v>50</v>
      </c>
    </row>
    <row r="2976" spans="2:15" x14ac:dyDescent="0.2">
      <c r="B2976" t="s">
        <v>1433</v>
      </c>
      <c r="C2976" t="s">
        <v>12898</v>
      </c>
      <c r="D2976" t="s">
        <v>617</v>
      </c>
      <c r="E2976" t="s">
        <v>9444</v>
      </c>
      <c r="F2976">
        <v>50.2</v>
      </c>
      <c r="H2976" t="s">
        <v>1461</v>
      </c>
      <c r="L2976" t="s">
        <v>19</v>
      </c>
      <c r="M2976" t="s">
        <v>1511</v>
      </c>
      <c r="N2976" t="s">
        <v>4281</v>
      </c>
      <c r="O2976">
        <v>1</v>
      </c>
    </row>
    <row r="2977" spans="2:15" x14ac:dyDescent="0.2">
      <c r="B2977" t="s">
        <v>1433</v>
      </c>
      <c r="C2977" t="s">
        <v>12898</v>
      </c>
      <c r="D2977" t="s">
        <v>617</v>
      </c>
      <c r="E2977" t="s">
        <v>9445</v>
      </c>
      <c r="F2977">
        <v>10.039999999999999</v>
      </c>
      <c r="H2977" t="s">
        <v>1461</v>
      </c>
      <c r="L2977" t="s">
        <v>19</v>
      </c>
      <c r="M2977" t="s">
        <v>2011</v>
      </c>
      <c r="N2977" t="s">
        <v>4281</v>
      </c>
      <c r="O2977">
        <v>2</v>
      </c>
    </row>
    <row r="2978" spans="2:15" x14ac:dyDescent="0.2">
      <c r="B2978" t="s">
        <v>1433</v>
      </c>
      <c r="C2978" t="s">
        <v>12898</v>
      </c>
      <c r="D2978" t="s">
        <v>617</v>
      </c>
      <c r="E2978" t="s">
        <v>9446</v>
      </c>
      <c r="F2978">
        <v>66.59</v>
      </c>
      <c r="H2978" t="s">
        <v>1872</v>
      </c>
      <c r="L2978" t="s">
        <v>19</v>
      </c>
      <c r="M2978" t="s">
        <v>2345</v>
      </c>
      <c r="N2978" t="s">
        <v>4282</v>
      </c>
      <c r="O2978">
        <v>1</v>
      </c>
    </row>
    <row r="2979" spans="2:15" x14ac:dyDescent="0.2">
      <c r="B2979" t="s">
        <v>1433</v>
      </c>
      <c r="C2979" t="s">
        <v>12898</v>
      </c>
      <c r="D2979" t="s">
        <v>617</v>
      </c>
      <c r="E2979" t="s">
        <v>9447</v>
      </c>
      <c r="F2979">
        <v>137.62</v>
      </c>
      <c r="H2979" t="s">
        <v>1872</v>
      </c>
      <c r="L2979" t="s">
        <v>19</v>
      </c>
      <c r="M2979" t="s">
        <v>2347</v>
      </c>
      <c r="N2979" t="s">
        <v>4282</v>
      </c>
      <c r="O2979">
        <v>1</v>
      </c>
    </row>
    <row r="2980" spans="2:15" x14ac:dyDescent="0.2">
      <c r="B2980" t="s">
        <v>1433</v>
      </c>
      <c r="C2980" t="s">
        <v>12898</v>
      </c>
      <c r="D2980" t="s">
        <v>617</v>
      </c>
      <c r="E2980" t="s">
        <v>9448</v>
      </c>
      <c r="F2980">
        <v>32.72</v>
      </c>
      <c r="H2980" t="s">
        <v>9449</v>
      </c>
      <c r="L2980" t="s">
        <v>19</v>
      </c>
      <c r="M2980" t="s">
        <v>4283</v>
      </c>
      <c r="N2980" t="s">
        <v>4284</v>
      </c>
      <c r="O2980">
        <v>2</v>
      </c>
    </row>
    <row r="2981" spans="2:15" x14ac:dyDescent="0.2">
      <c r="B2981" t="s">
        <v>1433</v>
      </c>
      <c r="C2981" t="s">
        <v>12898</v>
      </c>
      <c r="D2981" t="s">
        <v>617</v>
      </c>
      <c r="E2981" t="s">
        <v>9450</v>
      </c>
      <c r="F2981">
        <v>84.55</v>
      </c>
      <c r="H2981" t="s">
        <v>1388</v>
      </c>
      <c r="L2981" t="s">
        <v>19</v>
      </c>
      <c r="M2981" t="s">
        <v>2528</v>
      </c>
      <c r="N2981" t="s">
        <v>4285</v>
      </c>
      <c r="O2981">
        <v>100</v>
      </c>
    </row>
    <row r="2982" spans="2:15" x14ac:dyDescent="0.2">
      <c r="B2982" t="s">
        <v>1433</v>
      </c>
      <c r="C2982" t="s">
        <v>12898</v>
      </c>
      <c r="D2982" t="s">
        <v>617</v>
      </c>
      <c r="E2982" t="s">
        <v>9451</v>
      </c>
      <c r="F2982">
        <v>101.32</v>
      </c>
      <c r="G2982" t="s">
        <v>2671</v>
      </c>
      <c r="L2982" t="s">
        <v>19</v>
      </c>
      <c r="M2982" t="s">
        <v>2012</v>
      </c>
      <c r="N2982" t="s">
        <v>4286</v>
      </c>
      <c r="O2982">
        <v>12</v>
      </c>
    </row>
    <row r="2983" spans="2:15" x14ac:dyDescent="0.2">
      <c r="B2983" t="s">
        <v>1433</v>
      </c>
      <c r="C2983" t="s">
        <v>12898</v>
      </c>
      <c r="D2983" t="s">
        <v>617</v>
      </c>
      <c r="E2983" t="s">
        <v>9452</v>
      </c>
      <c r="F2983">
        <v>136</v>
      </c>
      <c r="G2983" t="s">
        <v>2671</v>
      </c>
      <c r="L2983" t="s">
        <v>19</v>
      </c>
      <c r="M2983" t="s">
        <v>1845</v>
      </c>
      <c r="N2983" t="s">
        <v>4287</v>
      </c>
      <c r="O2983">
        <v>8</v>
      </c>
    </row>
    <row r="2984" spans="2:15" x14ac:dyDescent="0.2">
      <c r="B2984" t="s">
        <v>1433</v>
      </c>
      <c r="C2984" t="s">
        <v>12898</v>
      </c>
      <c r="D2984" t="s">
        <v>617</v>
      </c>
      <c r="E2984" t="s">
        <v>9453</v>
      </c>
      <c r="F2984">
        <v>-136</v>
      </c>
      <c r="G2984" t="s">
        <v>2671</v>
      </c>
      <c r="L2984" t="s">
        <v>19</v>
      </c>
      <c r="M2984" t="s">
        <v>4283</v>
      </c>
      <c r="N2984" t="s">
        <v>4215</v>
      </c>
      <c r="O2984">
        <v>2</v>
      </c>
    </row>
    <row r="2985" spans="2:15" x14ac:dyDescent="0.2">
      <c r="B2985" t="s">
        <v>1433</v>
      </c>
      <c r="C2985" t="s">
        <v>12898</v>
      </c>
      <c r="D2985" t="s">
        <v>617</v>
      </c>
      <c r="E2985" t="s">
        <v>9454</v>
      </c>
      <c r="F2985">
        <v>238.68</v>
      </c>
      <c r="G2985" t="s">
        <v>2671</v>
      </c>
      <c r="L2985" t="s">
        <v>19</v>
      </c>
      <c r="M2985" t="s">
        <v>1620</v>
      </c>
      <c r="N2985" t="s">
        <v>4288</v>
      </c>
      <c r="O2985">
        <v>4</v>
      </c>
    </row>
    <row r="2986" spans="2:15" x14ac:dyDescent="0.2">
      <c r="B2986" t="s">
        <v>1433</v>
      </c>
      <c r="C2986" t="s">
        <v>12898</v>
      </c>
      <c r="D2986" t="s">
        <v>617</v>
      </c>
      <c r="E2986" t="s">
        <v>9455</v>
      </c>
      <c r="F2986">
        <v>272.16000000000003</v>
      </c>
      <c r="H2986" t="s">
        <v>1627</v>
      </c>
      <c r="L2986" t="s">
        <v>19</v>
      </c>
      <c r="M2986" t="s">
        <v>4289</v>
      </c>
      <c r="N2986" t="s">
        <v>4290</v>
      </c>
      <c r="O2986">
        <v>2</v>
      </c>
    </row>
    <row r="2987" spans="2:15" x14ac:dyDescent="0.2">
      <c r="B2987" t="s">
        <v>1433</v>
      </c>
      <c r="C2987" t="s">
        <v>12898</v>
      </c>
      <c r="D2987" t="s">
        <v>617</v>
      </c>
      <c r="E2987" t="s">
        <v>9456</v>
      </c>
      <c r="F2987">
        <v>21</v>
      </c>
      <c r="H2987" t="s">
        <v>1629</v>
      </c>
      <c r="L2987" t="s">
        <v>19</v>
      </c>
      <c r="M2987" t="s">
        <v>1845</v>
      </c>
      <c r="N2987" t="s">
        <v>4291</v>
      </c>
      <c r="O2987">
        <v>4</v>
      </c>
    </row>
    <row r="2988" spans="2:15" x14ac:dyDescent="0.2">
      <c r="B2988" t="s">
        <v>1433</v>
      </c>
      <c r="C2988" t="s">
        <v>12898</v>
      </c>
      <c r="D2988" t="s">
        <v>617</v>
      </c>
      <c r="E2988" t="s">
        <v>9457</v>
      </c>
      <c r="F2988">
        <v>0.7</v>
      </c>
      <c r="H2988" t="s">
        <v>1629</v>
      </c>
      <c r="L2988" t="s">
        <v>19</v>
      </c>
      <c r="M2988" t="s">
        <v>1243</v>
      </c>
      <c r="N2988" t="s">
        <v>4274</v>
      </c>
      <c r="O2988">
        <v>6</v>
      </c>
    </row>
    <row r="2989" spans="2:15" x14ac:dyDescent="0.2">
      <c r="B2989" t="s">
        <v>1433</v>
      </c>
      <c r="C2989" t="s">
        <v>12898</v>
      </c>
      <c r="D2989" t="s">
        <v>617</v>
      </c>
      <c r="E2989" t="s">
        <v>9458</v>
      </c>
      <c r="F2989">
        <v>131.97999999999999</v>
      </c>
      <c r="H2989" t="s">
        <v>2304</v>
      </c>
      <c r="L2989" t="s">
        <v>19</v>
      </c>
      <c r="M2989" t="s">
        <v>1556</v>
      </c>
      <c r="N2989" t="s">
        <v>4292</v>
      </c>
      <c r="O2989">
        <v>2</v>
      </c>
    </row>
    <row r="2990" spans="2:15" x14ac:dyDescent="0.2">
      <c r="B2990" t="s">
        <v>1433</v>
      </c>
      <c r="C2990" t="s">
        <v>12898</v>
      </c>
      <c r="D2990" t="s">
        <v>617</v>
      </c>
      <c r="E2990" t="s">
        <v>9459</v>
      </c>
      <c r="F2990">
        <v>283.24</v>
      </c>
      <c r="H2990" t="s">
        <v>1388</v>
      </c>
      <c r="L2990" t="s">
        <v>19</v>
      </c>
      <c r="M2990" t="s">
        <v>1243</v>
      </c>
      <c r="N2990" t="s">
        <v>4293</v>
      </c>
      <c r="O2990">
        <v>4</v>
      </c>
    </row>
    <row r="2991" spans="2:15" x14ac:dyDescent="0.2">
      <c r="B2991" t="s">
        <v>1433</v>
      </c>
      <c r="C2991" t="s">
        <v>12898</v>
      </c>
      <c r="D2991" t="s">
        <v>617</v>
      </c>
      <c r="E2991" t="s">
        <v>9460</v>
      </c>
      <c r="F2991">
        <v>283.58999999999997</v>
      </c>
      <c r="H2991" t="s">
        <v>2306</v>
      </c>
      <c r="L2991" t="s">
        <v>19</v>
      </c>
      <c r="M2991" t="s">
        <v>4212</v>
      </c>
      <c r="N2991" t="s">
        <v>4260</v>
      </c>
      <c r="O2991">
        <v>1</v>
      </c>
    </row>
    <row r="2992" spans="2:15" x14ac:dyDescent="0.2">
      <c r="B2992" t="s">
        <v>1433</v>
      </c>
      <c r="C2992" t="s">
        <v>12898</v>
      </c>
      <c r="D2992" t="s">
        <v>617</v>
      </c>
      <c r="E2992" t="s">
        <v>9461</v>
      </c>
      <c r="F2992">
        <v>296.74</v>
      </c>
      <c r="H2992" t="s">
        <v>2307</v>
      </c>
      <c r="L2992" t="s">
        <v>19</v>
      </c>
      <c r="M2992" t="s">
        <v>1885</v>
      </c>
      <c r="N2992" t="s">
        <v>4260</v>
      </c>
      <c r="O2992">
        <v>1</v>
      </c>
    </row>
    <row r="2993" spans="2:15" x14ac:dyDescent="0.2">
      <c r="B2993" t="s">
        <v>1433</v>
      </c>
      <c r="C2993" t="s">
        <v>12898</v>
      </c>
      <c r="D2993" t="s">
        <v>617</v>
      </c>
      <c r="E2993" t="s">
        <v>9462</v>
      </c>
      <c r="F2993">
        <v>782.42</v>
      </c>
      <c r="H2993" t="s">
        <v>2089</v>
      </c>
      <c r="L2993" t="s">
        <v>19</v>
      </c>
      <c r="M2993" t="s">
        <v>2009</v>
      </c>
      <c r="N2993" t="s">
        <v>4260</v>
      </c>
      <c r="O2993">
        <v>1</v>
      </c>
    </row>
    <row r="2994" spans="2:15" x14ac:dyDescent="0.2">
      <c r="B2994" t="s">
        <v>1433</v>
      </c>
      <c r="C2994" t="s">
        <v>12898</v>
      </c>
      <c r="D2994" t="s">
        <v>617</v>
      </c>
      <c r="E2994" t="s">
        <v>9463</v>
      </c>
      <c r="F2994">
        <v>-782.42</v>
      </c>
      <c r="H2994" t="s">
        <v>2089</v>
      </c>
      <c r="L2994" t="s">
        <v>19</v>
      </c>
      <c r="M2994" t="s">
        <v>4178</v>
      </c>
      <c r="N2994" t="s">
        <v>4294</v>
      </c>
      <c r="O2994">
        <v>2</v>
      </c>
    </row>
    <row r="2995" spans="2:15" x14ac:dyDescent="0.2">
      <c r="B2995" t="s">
        <v>1433</v>
      </c>
      <c r="C2995" t="s">
        <v>12898</v>
      </c>
      <c r="D2995" t="s">
        <v>617</v>
      </c>
      <c r="E2995" t="s">
        <v>9464</v>
      </c>
      <c r="F2995">
        <v>810.9</v>
      </c>
      <c r="H2995" t="s">
        <v>2089</v>
      </c>
      <c r="L2995" t="s">
        <v>19</v>
      </c>
      <c r="M2995" t="s">
        <v>1519</v>
      </c>
      <c r="N2995" t="s">
        <v>4294</v>
      </c>
      <c r="O2995">
        <v>1</v>
      </c>
    </row>
    <row r="2996" spans="2:15" x14ac:dyDescent="0.2">
      <c r="B2996" t="s">
        <v>1433</v>
      </c>
      <c r="C2996" t="s">
        <v>12898</v>
      </c>
      <c r="D2996" t="s">
        <v>617</v>
      </c>
      <c r="E2996" t="s">
        <v>9465</v>
      </c>
      <c r="F2996">
        <v>250.94</v>
      </c>
      <c r="H2996" t="s">
        <v>2309</v>
      </c>
      <c r="L2996" t="s">
        <v>19</v>
      </c>
      <c r="M2996" t="s">
        <v>1885</v>
      </c>
      <c r="N2996" t="s">
        <v>4294</v>
      </c>
      <c r="O2996">
        <v>2</v>
      </c>
    </row>
    <row r="2997" spans="2:15" x14ac:dyDescent="0.2">
      <c r="B2997" t="s">
        <v>1433</v>
      </c>
      <c r="C2997" t="s">
        <v>12898</v>
      </c>
      <c r="D2997" t="s">
        <v>617</v>
      </c>
      <c r="E2997" t="s">
        <v>9466</v>
      </c>
      <c r="F2997">
        <v>465.86</v>
      </c>
      <c r="H2997" t="s">
        <v>2310</v>
      </c>
      <c r="L2997" t="s">
        <v>19</v>
      </c>
      <c r="M2997" t="s">
        <v>2009</v>
      </c>
      <c r="N2997" t="s">
        <v>4294</v>
      </c>
      <c r="O2997">
        <v>2</v>
      </c>
    </row>
    <row r="2998" spans="2:15" x14ac:dyDescent="0.2">
      <c r="B2998" t="s">
        <v>1433</v>
      </c>
      <c r="C2998" t="s">
        <v>12898</v>
      </c>
      <c r="D2998" t="s">
        <v>617</v>
      </c>
      <c r="E2998" t="s">
        <v>9467</v>
      </c>
      <c r="F2998">
        <v>349.64</v>
      </c>
      <c r="H2998" t="s">
        <v>2311</v>
      </c>
      <c r="L2998" t="s">
        <v>19</v>
      </c>
      <c r="M2998" t="s">
        <v>4178</v>
      </c>
      <c r="N2998" t="s">
        <v>4295</v>
      </c>
      <c r="O2998">
        <v>2</v>
      </c>
    </row>
    <row r="2999" spans="2:15" x14ac:dyDescent="0.2">
      <c r="B2999" t="s">
        <v>1433</v>
      </c>
      <c r="C2999" t="s">
        <v>12898</v>
      </c>
      <c r="D2999" t="s">
        <v>617</v>
      </c>
      <c r="E2999" t="s">
        <v>9468</v>
      </c>
      <c r="F2999">
        <v>440.16</v>
      </c>
      <c r="H2999" t="s">
        <v>2312</v>
      </c>
      <c r="L2999" t="s">
        <v>19</v>
      </c>
      <c r="M2999" t="s">
        <v>4212</v>
      </c>
      <c r="N2999" t="s">
        <v>4295</v>
      </c>
      <c r="O2999">
        <v>1</v>
      </c>
    </row>
    <row r="3000" spans="2:15" x14ac:dyDescent="0.2">
      <c r="B3000" t="s">
        <v>1433</v>
      </c>
      <c r="C3000" t="s">
        <v>12898</v>
      </c>
      <c r="D3000" t="s">
        <v>617</v>
      </c>
      <c r="E3000" t="s">
        <v>9469</v>
      </c>
      <c r="F3000">
        <v>351.05</v>
      </c>
      <c r="H3000" t="s">
        <v>2313</v>
      </c>
      <c r="L3000" t="s">
        <v>19</v>
      </c>
      <c r="M3000" t="s">
        <v>1519</v>
      </c>
      <c r="N3000" t="s">
        <v>4295</v>
      </c>
      <c r="O3000">
        <v>2</v>
      </c>
    </row>
    <row r="3001" spans="2:15" x14ac:dyDescent="0.2">
      <c r="B3001" t="s">
        <v>1433</v>
      </c>
      <c r="C3001" t="s">
        <v>12898</v>
      </c>
      <c r="D3001" t="s">
        <v>617</v>
      </c>
      <c r="E3001" t="s">
        <v>9470</v>
      </c>
      <c r="F3001">
        <v>70.16</v>
      </c>
      <c r="H3001" t="s">
        <v>2314</v>
      </c>
      <c r="L3001" t="s">
        <v>19</v>
      </c>
      <c r="M3001" t="s">
        <v>4296</v>
      </c>
      <c r="N3001" t="s">
        <v>4295</v>
      </c>
      <c r="O3001">
        <v>2</v>
      </c>
    </row>
    <row r="3002" spans="2:15" x14ac:dyDescent="0.2">
      <c r="B3002" t="s">
        <v>1433</v>
      </c>
      <c r="C3002" t="s">
        <v>12898</v>
      </c>
      <c r="D3002" t="s">
        <v>617</v>
      </c>
      <c r="E3002" t="s">
        <v>9471</v>
      </c>
      <c r="F3002">
        <v>1946.42</v>
      </c>
      <c r="H3002" t="s">
        <v>2315</v>
      </c>
      <c r="L3002" t="s">
        <v>19</v>
      </c>
      <c r="M3002" t="s">
        <v>4297</v>
      </c>
      <c r="N3002" t="s">
        <v>4295</v>
      </c>
      <c r="O3002">
        <v>1</v>
      </c>
    </row>
    <row r="3003" spans="2:15" x14ac:dyDescent="0.2">
      <c r="B3003" t="s">
        <v>1433</v>
      </c>
      <c r="C3003" t="s">
        <v>12898</v>
      </c>
      <c r="D3003" t="s">
        <v>617</v>
      </c>
      <c r="E3003" t="s">
        <v>9472</v>
      </c>
      <c r="F3003">
        <v>128.38999999999999</v>
      </c>
      <c r="H3003" t="s">
        <v>2216</v>
      </c>
      <c r="L3003" t="s">
        <v>19</v>
      </c>
      <c r="M3003" t="s">
        <v>4298</v>
      </c>
      <c r="N3003" t="s">
        <v>4295</v>
      </c>
      <c r="O3003">
        <v>1</v>
      </c>
    </row>
    <row r="3004" spans="2:15" x14ac:dyDescent="0.2">
      <c r="B3004" t="s">
        <v>1433</v>
      </c>
      <c r="C3004" t="s">
        <v>12898</v>
      </c>
      <c r="D3004" t="s">
        <v>617</v>
      </c>
      <c r="E3004" t="s">
        <v>9473</v>
      </c>
      <c r="F3004">
        <v>144.5</v>
      </c>
      <c r="H3004" t="s">
        <v>1406</v>
      </c>
      <c r="L3004" t="s">
        <v>19</v>
      </c>
      <c r="M3004" t="s">
        <v>4181</v>
      </c>
      <c r="N3004" t="s">
        <v>4295</v>
      </c>
      <c r="O3004">
        <v>4</v>
      </c>
    </row>
    <row r="3005" spans="2:15" x14ac:dyDescent="0.2">
      <c r="B3005" t="s">
        <v>1433</v>
      </c>
      <c r="C3005" t="s">
        <v>12898</v>
      </c>
      <c r="D3005" t="s">
        <v>617</v>
      </c>
      <c r="E3005" t="s">
        <v>9474</v>
      </c>
      <c r="F3005">
        <v>157.82</v>
      </c>
      <c r="H3005" t="s">
        <v>2316</v>
      </c>
      <c r="L3005" t="s">
        <v>19</v>
      </c>
      <c r="M3005" t="s">
        <v>4299</v>
      </c>
      <c r="N3005" t="s">
        <v>4300</v>
      </c>
      <c r="O3005">
        <v>4</v>
      </c>
    </row>
    <row r="3006" spans="2:15" x14ac:dyDescent="0.2">
      <c r="B3006" t="s">
        <v>1433</v>
      </c>
      <c r="C3006" t="s">
        <v>12898</v>
      </c>
      <c r="D3006" t="s">
        <v>617</v>
      </c>
      <c r="E3006" t="s">
        <v>9475</v>
      </c>
      <c r="F3006">
        <v>229.39</v>
      </c>
      <c r="H3006" t="s">
        <v>2092</v>
      </c>
      <c r="L3006" t="s">
        <v>19</v>
      </c>
      <c r="M3006" t="s">
        <v>4301</v>
      </c>
      <c r="N3006" t="s">
        <v>4300</v>
      </c>
      <c r="O3006">
        <v>2</v>
      </c>
    </row>
    <row r="3007" spans="2:15" x14ac:dyDescent="0.2">
      <c r="B3007" t="s">
        <v>1433</v>
      </c>
      <c r="C3007" t="s">
        <v>12898</v>
      </c>
      <c r="D3007" t="s">
        <v>617</v>
      </c>
      <c r="E3007" t="s">
        <v>9476</v>
      </c>
      <c r="F3007">
        <v>59.38</v>
      </c>
      <c r="H3007" t="s">
        <v>2092</v>
      </c>
      <c r="L3007" t="s">
        <v>19</v>
      </c>
      <c r="M3007" t="s">
        <v>4302</v>
      </c>
      <c r="N3007" t="s">
        <v>4300</v>
      </c>
      <c r="O3007">
        <v>2</v>
      </c>
    </row>
    <row r="3008" spans="2:15" x14ac:dyDescent="0.2">
      <c r="B3008" t="s">
        <v>1433</v>
      </c>
      <c r="C3008" t="s">
        <v>12898</v>
      </c>
      <c r="D3008" t="s">
        <v>617</v>
      </c>
      <c r="E3008" t="s">
        <v>9477</v>
      </c>
      <c r="F3008">
        <v>253.96</v>
      </c>
      <c r="H3008" t="s">
        <v>2308</v>
      </c>
      <c r="L3008" t="s">
        <v>19</v>
      </c>
      <c r="M3008" t="s">
        <v>4176</v>
      </c>
      <c r="N3008" t="s">
        <v>4300</v>
      </c>
      <c r="O3008">
        <v>8</v>
      </c>
    </row>
    <row r="3009" spans="2:15" x14ac:dyDescent="0.2">
      <c r="B3009" t="s">
        <v>1433</v>
      </c>
      <c r="C3009" t="s">
        <v>12898</v>
      </c>
      <c r="D3009" t="s">
        <v>617</v>
      </c>
      <c r="E3009" t="s">
        <v>9478</v>
      </c>
      <c r="F3009">
        <v>261.12</v>
      </c>
      <c r="H3009" t="s">
        <v>1983</v>
      </c>
      <c r="L3009" t="s">
        <v>19</v>
      </c>
      <c r="M3009" t="s">
        <v>1512</v>
      </c>
      <c r="N3009" t="s">
        <v>4303</v>
      </c>
      <c r="O3009">
        <v>4</v>
      </c>
    </row>
    <row r="3010" spans="2:15" x14ac:dyDescent="0.2">
      <c r="B3010" t="s">
        <v>1433</v>
      </c>
      <c r="C3010" t="s">
        <v>12898</v>
      </c>
      <c r="D3010" t="s">
        <v>617</v>
      </c>
      <c r="E3010" t="s">
        <v>9479</v>
      </c>
      <c r="F3010">
        <v>103.88</v>
      </c>
      <c r="H3010" t="s">
        <v>1983</v>
      </c>
      <c r="L3010" t="s">
        <v>19</v>
      </c>
      <c r="M3010" t="s">
        <v>1265</v>
      </c>
      <c r="N3010" t="s">
        <v>4303</v>
      </c>
      <c r="O3010">
        <v>2</v>
      </c>
    </row>
    <row r="3011" spans="2:15" x14ac:dyDescent="0.2">
      <c r="B3011" t="s">
        <v>1433</v>
      </c>
      <c r="C3011" t="s">
        <v>12898</v>
      </c>
      <c r="D3011" t="s">
        <v>617</v>
      </c>
      <c r="E3011" t="s">
        <v>9480</v>
      </c>
      <c r="F3011">
        <v>238.62</v>
      </c>
      <c r="H3011" t="s">
        <v>2320</v>
      </c>
      <c r="L3011" t="s">
        <v>19</v>
      </c>
      <c r="M3011" t="s">
        <v>1265</v>
      </c>
      <c r="N3011" t="s">
        <v>4304</v>
      </c>
      <c r="O3011">
        <v>8</v>
      </c>
    </row>
    <row r="3012" spans="2:15" x14ac:dyDescent="0.2">
      <c r="B3012" t="s">
        <v>1433</v>
      </c>
      <c r="C3012" t="s">
        <v>12898</v>
      </c>
      <c r="D3012" t="s">
        <v>617</v>
      </c>
      <c r="E3012" t="s">
        <v>9481</v>
      </c>
      <c r="F3012">
        <v>109.91</v>
      </c>
      <c r="H3012" t="s">
        <v>2321</v>
      </c>
      <c r="L3012" t="s">
        <v>19</v>
      </c>
      <c r="M3012" t="s">
        <v>1267</v>
      </c>
      <c r="N3012" t="s">
        <v>4304</v>
      </c>
      <c r="O3012">
        <v>2</v>
      </c>
    </row>
    <row r="3013" spans="2:15" x14ac:dyDescent="0.2">
      <c r="B3013" t="s">
        <v>1433</v>
      </c>
      <c r="C3013" t="s">
        <v>12898</v>
      </c>
      <c r="D3013" t="s">
        <v>1144</v>
      </c>
      <c r="E3013" t="s">
        <v>9482</v>
      </c>
      <c r="F3013">
        <v>189.75</v>
      </c>
      <c r="G3013" t="s">
        <v>1425</v>
      </c>
      <c r="L3013" t="s">
        <v>19</v>
      </c>
      <c r="M3013" t="s">
        <v>4194</v>
      </c>
      <c r="N3013" t="s">
        <v>4305</v>
      </c>
      <c r="O3013">
        <v>147</v>
      </c>
    </row>
    <row r="3014" spans="2:15" x14ac:dyDescent="0.2">
      <c r="B3014" t="s">
        <v>1433</v>
      </c>
      <c r="C3014" t="s">
        <v>12898</v>
      </c>
      <c r="D3014" t="s">
        <v>1144</v>
      </c>
      <c r="E3014" t="s">
        <v>9483</v>
      </c>
      <c r="F3014">
        <v>189.75</v>
      </c>
      <c r="G3014" t="s">
        <v>1431</v>
      </c>
      <c r="L3014" t="s">
        <v>19</v>
      </c>
      <c r="M3014" t="s">
        <v>1619</v>
      </c>
      <c r="N3014" t="s">
        <v>4306</v>
      </c>
      <c r="O3014">
        <v>4</v>
      </c>
    </row>
    <row r="3015" spans="2:15" x14ac:dyDescent="0.2">
      <c r="B3015" t="s">
        <v>1433</v>
      </c>
      <c r="C3015" t="s">
        <v>12898</v>
      </c>
      <c r="D3015" t="s">
        <v>1144</v>
      </c>
      <c r="E3015" t="s">
        <v>9484</v>
      </c>
      <c r="F3015">
        <v>189.75</v>
      </c>
      <c r="G3015" t="s">
        <v>2183</v>
      </c>
      <c r="L3015" t="s">
        <v>19</v>
      </c>
      <c r="M3015" t="s">
        <v>1243</v>
      </c>
      <c r="N3015" t="s">
        <v>4307</v>
      </c>
      <c r="O3015">
        <v>6</v>
      </c>
    </row>
    <row r="3016" spans="2:15" x14ac:dyDescent="0.2">
      <c r="B3016" t="s">
        <v>1433</v>
      </c>
      <c r="C3016" t="s">
        <v>12898</v>
      </c>
      <c r="D3016" t="s">
        <v>613</v>
      </c>
      <c r="E3016" t="s">
        <v>9485</v>
      </c>
      <c r="F3016">
        <v>8.0500000000000007</v>
      </c>
      <c r="G3016" t="s">
        <v>5259</v>
      </c>
      <c r="L3016" t="s">
        <v>19</v>
      </c>
      <c r="M3016" t="s">
        <v>2010</v>
      </c>
      <c r="N3016" t="s">
        <v>4307</v>
      </c>
      <c r="O3016">
        <v>2</v>
      </c>
    </row>
    <row r="3017" spans="2:15" x14ac:dyDescent="0.2">
      <c r="B3017" t="s">
        <v>1433</v>
      </c>
      <c r="C3017" t="s">
        <v>12898</v>
      </c>
      <c r="D3017" t="s">
        <v>613</v>
      </c>
      <c r="E3017" t="s">
        <v>9486</v>
      </c>
      <c r="F3017">
        <v>6.25</v>
      </c>
      <c r="G3017" t="s">
        <v>7659</v>
      </c>
      <c r="L3017" t="s">
        <v>19</v>
      </c>
      <c r="M3017" t="s">
        <v>2014</v>
      </c>
      <c r="N3017" t="s">
        <v>4307</v>
      </c>
      <c r="O3017">
        <v>2</v>
      </c>
    </row>
    <row r="3018" spans="2:15" x14ac:dyDescent="0.2">
      <c r="B3018" t="s">
        <v>1433</v>
      </c>
      <c r="C3018" t="s">
        <v>12898</v>
      </c>
      <c r="D3018" t="s">
        <v>613</v>
      </c>
      <c r="E3018" t="s">
        <v>9487</v>
      </c>
      <c r="F3018">
        <v>8.4</v>
      </c>
      <c r="G3018" t="s">
        <v>7674</v>
      </c>
      <c r="L3018" t="s">
        <v>19</v>
      </c>
      <c r="M3018" t="s">
        <v>2010</v>
      </c>
      <c r="N3018" t="s">
        <v>4292</v>
      </c>
      <c r="O3018">
        <v>2</v>
      </c>
    </row>
    <row r="3019" spans="2:15" x14ac:dyDescent="0.2">
      <c r="B3019" t="s">
        <v>1433</v>
      </c>
      <c r="C3019" t="s">
        <v>12898</v>
      </c>
      <c r="D3019" t="s">
        <v>613</v>
      </c>
      <c r="E3019" t="s">
        <v>9488</v>
      </c>
      <c r="F3019">
        <v>7</v>
      </c>
      <c r="G3019" t="s">
        <v>5072</v>
      </c>
      <c r="L3019" t="s">
        <v>19</v>
      </c>
      <c r="M3019" t="s">
        <v>4176</v>
      </c>
      <c r="N3019" t="s">
        <v>4308</v>
      </c>
      <c r="O3019">
        <v>6</v>
      </c>
    </row>
    <row r="3020" spans="2:15" x14ac:dyDescent="0.2">
      <c r="B3020" t="s">
        <v>1433</v>
      </c>
      <c r="C3020" t="s">
        <v>12898</v>
      </c>
      <c r="D3020" t="s">
        <v>613</v>
      </c>
      <c r="E3020" t="s">
        <v>9489</v>
      </c>
      <c r="F3020">
        <v>4.95</v>
      </c>
      <c r="G3020" t="s">
        <v>9490</v>
      </c>
      <c r="L3020" t="s">
        <v>19</v>
      </c>
      <c r="M3020" t="s">
        <v>2018</v>
      </c>
      <c r="N3020" t="s">
        <v>4308</v>
      </c>
      <c r="O3020">
        <v>6</v>
      </c>
    </row>
    <row r="3021" spans="2:15" x14ac:dyDescent="0.2">
      <c r="B3021" t="s">
        <v>1433</v>
      </c>
      <c r="C3021" t="s">
        <v>12898</v>
      </c>
      <c r="D3021" t="s">
        <v>613</v>
      </c>
      <c r="E3021" t="s">
        <v>9491</v>
      </c>
      <c r="F3021">
        <v>4</v>
      </c>
      <c r="G3021" t="s">
        <v>5249</v>
      </c>
      <c r="L3021" t="s">
        <v>19</v>
      </c>
      <c r="M3021" t="s">
        <v>2018</v>
      </c>
      <c r="N3021" t="s">
        <v>4309</v>
      </c>
      <c r="O3021">
        <v>4</v>
      </c>
    </row>
    <row r="3022" spans="2:15" x14ac:dyDescent="0.2">
      <c r="B3022" t="s">
        <v>1433</v>
      </c>
      <c r="C3022" t="s">
        <v>12898</v>
      </c>
      <c r="D3022" t="s">
        <v>613</v>
      </c>
      <c r="E3022" t="s">
        <v>9492</v>
      </c>
      <c r="F3022">
        <v>5.85</v>
      </c>
      <c r="G3022" t="s">
        <v>7734</v>
      </c>
      <c r="L3022" t="s">
        <v>19</v>
      </c>
      <c r="M3022" t="s">
        <v>1493</v>
      </c>
      <c r="N3022" t="s">
        <v>4309</v>
      </c>
      <c r="O3022">
        <v>2</v>
      </c>
    </row>
    <row r="3023" spans="2:15" x14ac:dyDescent="0.2">
      <c r="B3023" t="s">
        <v>1433</v>
      </c>
      <c r="C3023" t="s">
        <v>12898</v>
      </c>
      <c r="D3023" t="s">
        <v>613</v>
      </c>
      <c r="E3023" t="s">
        <v>9493</v>
      </c>
      <c r="F3023">
        <v>1.32</v>
      </c>
      <c r="G3023" t="s">
        <v>6752</v>
      </c>
      <c r="L3023" t="s">
        <v>19</v>
      </c>
      <c r="M3023" t="s">
        <v>4176</v>
      </c>
      <c r="N3023" t="s">
        <v>4309</v>
      </c>
      <c r="O3023">
        <v>2</v>
      </c>
    </row>
    <row r="3024" spans="2:15" x14ac:dyDescent="0.2">
      <c r="B3024" t="s">
        <v>1433</v>
      </c>
      <c r="C3024" t="s">
        <v>12898</v>
      </c>
      <c r="D3024" t="s">
        <v>613</v>
      </c>
      <c r="E3024" t="s">
        <v>9494</v>
      </c>
      <c r="F3024">
        <v>3</v>
      </c>
      <c r="G3024" t="s">
        <v>7823</v>
      </c>
      <c r="L3024" t="s">
        <v>19</v>
      </c>
      <c r="M3024" t="s">
        <v>1514</v>
      </c>
      <c r="N3024" t="s">
        <v>4309</v>
      </c>
      <c r="O3024">
        <v>1</v>
      </c>
    </row>
    <row r="3025" spans="2:15" x14ac:dyDescent="0.2">
      <c r="B3025" t="s">
        <v>1433</v>
      </c>
      <c r="C3025" t="s">
        <v>12898</v>
      </c>
      <c r="D3025" t="s">
        <v>617</v>
      </c>
      <c r="E3025" t="s">
        <v>9495</v>
      </c>
      <c r="F3025">
        <v>285.12</v>
      </c>
      <c r="H3025" t="s">
        <v>1624</v>
      </c>
      <c r="L3025" t="s">
        <v>19</v>
      </c>
      <c r="M3025" t="s">
        <v>1516</v>
      </c>
      <c r="N3025" t="s">
        <v>4309</v>
      </c>
      <c r="O3025">
        <v>1</v>
      </c>
    </row>
    <row r="3026" spans="2:15" x14ac:dyDescent="0.2">
      <c r="B3026" t="s">
        <v>1433</v>
      </c>
      <c r="C3026" t="s">
        <v>12898</v>
      </c>
      <c r="D3026" t="s">
        <v>617</v>
      </c>
      <c r="E3026" t="s">
        <v>9496</v>
      </c>
      <c r="F3026">
        <v>408.24</v>
      </c>
      <c r="H3026" t="s">
        <v>1627</v>
      </c>
      <c r="L3026" t="s">
        <v>19</v>
      </c>
      <c r="M3026" t="s">
        <v>1243</v>
      </c>
      <c r="N3026" t="s">
        <v>4310</v>
      </c>
      <c r="O3026">
        <v>6</v>
      </c>
    </row>
    <row r="3027" spans="2:15" x14ac:dyDescent="0.2">
      <c r="B3027" t="s">
        <v>1433</v>
      </c>
      <c r="C3027" t="s">
        <v>12898</v>
      </c>
      <c r="D3027" t="s">
        <v>617</v>
      </c>
      <c r="E3027" t="s">
        <v>9497</v>
      </c>
      <c r="F3027">
        <v>25</v>
      </c>
      <c r="H3027" t="s">
        <v>1628</v>
      </c>
      <c r="L3027" t="s">
        <v>19</v>
      </c>
      <c r="M3027" t="s">
        <v>2347</v>
      </c>
      <c r="N3027" t="s">
        <v>4311</v>
      </c>
      <c r="O3027">
        <v>1</v>
      </c>
    </row>
    <row r="3028" spans="2:15" x14ac:dyDescent="0.2">
      <c r="B3028" t="s">
        <v>1433</v>
      </c>
      <c r="C3028" t="s">
        <v>12898</v>
      </c>
      <c r="D3028" t="s">
        <v>617</v>
      </c>
      <c r="E3028" t="s">
        <v>9498</v>
      </c>
      <c r="F3028">
        <v>21</v>
      </c>
      <c r="H3028" t="s">
        <v>1629</v>
      </c>
      <c r="L3028" t="s">
        <v>19</v>
      </c>
      <c r="M3028" t="s">
        <v>1292</v>
      </c>
      <c r="N3028" t="s">
        <v>3789</v>
      </c>
      <c r="O3028">
        <v>1</v>
      </c>
    </row>
    <row r="3029" spans="2:15" x14ac:dyDescent="0.2">
      <c r="B3029" t="s">
        <v>1433</v>
      </c>
      <c r="C3029" t="s">
        <v>12898</v>
      </c>
      <c r="D3029" t="s">
        <v>617</v>
      </c>
      <c r="E3029" t="s">
        <v>9499</v>
      </c>
      <c r="F3029">
        <v>14</v>
      </c>
      <c r="H3029" t="s">
        <v>1629</v>
      </c>
      <c r="L3029" t="s">
        <v>19</v>
      </c>
      <c r="M3029" t="s">
        <v>2011</v>
      </c>
      <c r="N3029" t="s">
        <v>4312</v>
      </c>
      <c r="O3029">
        <v>2</v>
      </c>
    </row>
    <row r="3030" spans="2:15" x14ac:dyDescent="0.2">
      <c r="B3030" t="s">
        <v>1433</v>
      </c>
      <c r="C3030" t="s">
        <v>12898</v>
      </c>
      <c r="D3030" t="s">
        <v>617</v>
      </c>
      <c r="E3030" t="s">
        <v>9500</v>
      </c>
      <c r="F3030">
        <v>88</v>
      </c>
      <c r="H3030" t="s">
        <v>2644</v>
      </c>
      <c r="L3030" t="s">
        <v>19</v>
      </c>
      <c r="M3030" t="s">
        <v>1253</v>
      </c>
      <c r="N3030" t="s">
        <v>3791</v>
      </c>
      <c r="O3030">
        <v>1</v>
      </c>
    </row>
    <row r="3031" spans="2:15" x14ac:dyDescent="0.2">
      <c r="B3031" t="s">
        <v>1433</v>
      </c>
      <c r="C3031" t="s">
        <v>12898</v>
      </c>
      <c r="D3031" t="s">
        <v>617</v>
      </c>
      <c r="E3031" t="s">
        <v>9501</v>
      </c>
      <c r="F3031">
        <v>370</v>
      </c>
      <c r="H3031" t="s">
        <v>1633</v>
      </c>
      <c r="L3031" t="s">
        <v>19</v>
      </c>
      <c r="M3031" t="s">
        <v>1277</v>
      </c>
      <c r="N3031" t="s">
        <v>3791</v>
      </c>
      <c r="O3031">
        <v>1</v>
      </c>
    </row>
    <row r="3032" spans="2:15" x14ac:dyDescent="0.2">
      <c r="B3032" t="s">
        <v>1433</v>
      </c>
      <c r="C3032" t="s">
        <v>12898</v>
      </c>
      <c r="D3032" t="s">
        <v>617</v>
      </c>
      <c r="E3032" t="s">
        <v>9502</v>
      </c>
      <c r="F3032">
        <v>144</v>
      </c>
      <c r="H3032" t="s">
        <v>1636</v>
      </c>
      <c r="L3032" t="s">
        <v>19</v>
      </c>
      <c r="M3032" t="s">
        <v>1275</v>
      </c>
      <c r="N3032" t="s">
        <v>3791</v>
      </c>
      <c r="O3032">
        <v>1</v>
      </c>
    </row>
    <row r="3033" spans="2:15" x14ac:dyDescent="0.2">
      <c r="B3033" t="s">
        <v>1433</v>
      </c>
      <c r="C3033" t="s">
        <v>12898</v>
      </c>
      <c r="D3033" t="s">
        <v>617</v>
      </c>
      <c r="E3033" t="s">
        <v>9503</v>
      </c>
      <c r="F3033">
        <v>-144</v>
      </c>
      <c r="H3033" t="s">
        <v>1636</v>
      </c>
      <c r="L3033" t="s">
        <v>19</v>
      </c>
      <c r="M3033" t="s">
        <v>1845</v>
      </c>
      <c r="N3033" t="s">
        <v>4313</v>
      </c>
      <c r="O3033">
        <v>8</v>
      </c>
    </row>
    <row r="3034" spans="2:15" x14ac:dyDescent="0.2">
      <c r="B3034" t="s">
        <v>1433</v>
      </c>
      <c r="C3034" t="s">
        <v>12898</v>
      </c>
      <c r="D3034" t="s">
        <v>617</v>
      </c>
      <c r="E3034" t="s">
        <v>9504</v>
      </c>
      <c r="F3034">
        <v>864</v>
      </c>
      <c r="H3034" t="s">
        <v>1636</v>
      </c>
      <c r="L3034" t="s">
        <v>19</v>
      </c>
      <c r="M3034" t="s">
        <v>1219</v>
      </c>
      <c r="N3034" t="s">
        <v>3793</v>
      </c>
      <c r="O3034">
        <v>1</v>
      </c>
    </row>
    <row r="3035" spans="2:15" x14ac:dyDescent="0.2">
      <c r="B3035" t="s">
        <v>1433</v>
      </c>
      <c r="C3035" t="s">
        <v>12898</v>
      </c>
      <c r="D3035" t="s">
        <v>617</v>
      </c>
      <c r="E3035" t="s">
        <v>9505</v>
      </c>
      <c r="F3035">
        <v>144</v>
      </c>
      <c r="H3035" t="s">
        <v>1636</v>
      </c>
      <c r="L3035" t="s">
        <v>19</v>
      </c>
      <c r="M3035" t="s">
        <v>1301</v>
      </c>
      <c r="N3035" t="s">
        <v>4314</v>
      </c>
      <c r="O3035">
        <v>1</v>
      </c>
    </row>
    <row r="3036" spans="2:15" x14ac:dyDescent="0.2">
      <c r="B3036" t="s">
        <v>1433</v>
      </c>
      <c r="C3036" t="s">
        <v>12898</v>
      </c>
      <c r="D3036" t="s">
        <v>617</v>
      </c>
      <c r="E3036" t="s">
        <v>9506</v>
      </c>
      <c r="F3036">
        <v>181.4</v>
      </c>
      <c r="H3036" t="s">
        <v>1834</v>
      </c>
      <c r="L3036" t="s">
        <v>19</v>
      </c>
      <c r="M3036" t="s">
        <v>1294</v>
      </c>
      <c r="N3036" t="s">
        <v>4314</v>
      </c>
      <c r="O3036">
        <v>1</v>
      </c>
    </row>
    <row r="3037" spans="2:15" x14ac:dyDescent="0.2">
      <c r="B3037" t="s">
        <v>1433</v>
      </c>
      <c r="C3037" t="s">
        <v>12898</v>
      </c>
      <c r="D3037" t="s">
        <v>617</v>
      </c>
      <c r="E3037" t="s">
        <v>9507</v>
      </c>
      <c r="F3037">
        <v>4.53</v>
      </c>
      <c r="H3037" t="s">
        <v>5251</v>
      </c>
      <c r="L3037" t="s">
        <v>19</v>
      </c>
      <c r="M3037" t="s">
        <v>1203</v>
      </c>
      <c r="N3037" t="s">
        <v>4315</v>
      </c>
      <c r="O3037">
        <v>1</v>
      </c>
    </row>
    <row r="3038" spans="2:15" x14ac:dyDescent="0.2">
      <c r="B3038" t="s">
        <v>1433</v>
      </c>
      <c r="C3038" t="s">
        <v>12898</v>
      </c>
      <c r="D3038" t="s">
        <v>617</v>
      </c>
      <c r="E3038" t="s">
        <v>9508</v>
      </c>
      <c r="F3038">
        <v>7.87</v>
      </c>
      <c r="H3038" t="s">
        <v>7928</v>
      </c>
      <c r="L3038" t="s">
        <v>19</v>
      </c>
      <c r="M3038" t="s">
        <v>1205</v>
      </c>
      <c r="N3038" t="s">
        <v>4315</v>
      </c>
      <c r="O3038">
        <v>1</v>
      </c>
    </row>
    <row r="3039" spans="2:15" x14ac:dyDescent="0.2">
      <c r="B3039" t="s">
        <v>1433</v>
      </c>
      <c r="C3039" t="s">
        <v>12898</v>
      </c>
      <c r="D3039" t="s">
        <v>613</v>
      </c>
      <c r="E3039" t="s">
        <v>9509</v>
      </c>
      <c r="F3039">
        <v>78</v>
      </c>
      <c r="H3039" t="s">
        <v>1545</v>
      </c>
      <c r="L3039" t="s">
        <v>19</v>
      </c>
      <c r="M3039" t="s">
        <v>1207</v>
      </c>
      <c r="N3039" t="s">
        <v>4315</v>
      </c>
      <c r="O3039">
        <v>1</v>
      </c>
    </row>
    <row r="3040" spans="2:15" x14ac:dyDescent="0.2">
      <c r="B3040" t="s">
        <v>1433</v>
      </c>
      <c r="C3040" t="s">
        <v>12898</v>
      </c>
      <c r="D3040" t="s">
        <v>613</v>
      </c>
      <c r="E3040" t="s">
        <v>9510</v>
      </c>
      <c r="F3040">
        <v>24</v>
      </c>
      <c r="H3040" t="s">
        <v>1547</v>
      </c>
      <c r="L3040" t="s">
        <v>19</v>
      </c>
      <c r="M3040" t="s">
        <v>4316</v>
      </c>
      <c r="N3040" t="s">
        <v>4317</v>
      </c>
      <c r="O3040">
        <v>1</v>
      </c>
    </row>
    <row r="3041" spans="2:15" x14ac:dyDescent="0.2">
      <c r="B3041" t="s">
        <v>1433</v>
      </c>
      <c r="C3041" t="s">
        <v>12898</v>
      </c>
      <c r="D3041" t="s">
        <v>613</v>
      </c>
      <c r="E3041" t="s">
        <v>9511</v>
      </c>
      <c r="F3041">
        <v>3243</v>
      </c>
      <c r="H3041" t="s">
        <v>1549</v>
      </c>
      <c r="L3041" t="s">
        <v>19</v>
      </c>
      <c r="M3041" t="s">
        <v>4318</v>
      </c>
      <c r="N3041" t="s">
        <v>4317</v>
      </c>
      <c r="O3041">
        <v>1</v>
      </c>
    </row>
    <row r="3042" spans="2:15" x14ac:dyDescent="0.2">
      <c r="B3042" t="s">
        <v>1433</v>
      </c>
      <c r="C3042" t="s">
        <v>12898</v>
      </c>
      <c r="D3042" t="s">
        <v>613</v>
      </c>
      <c r="E3042" t="s">
        <v>9512</v>
      </c>
      <c r="F3042">
        <v>1603.62</v>
      </c>
      <c r="G3042" t="s">
        <v>2585</v>
      </c>
      <c r="L3042" t="s">
        <v>19</v>
      </c>
      <c r="M3042" t="s">
        <v>4319</v>
      </c>
      <c r="N3042" t="s">
        <v>4317</v>
      </c>
      <c r="O3042">
        <v>1</v>
      </c>
    </row>
    <row r="3043" spans="2:15" x14ac:dyDescent="0.2">
      <c r="B3043" t="s">
        <v>1433</v>
      </c>
      <c r="C3043" t="s">
        <v>12898</v>
      </c>
      <c r="D3043" t="s">
        <v>613</v>
      </c>
      <c r="E3043" t="s">
        <v>9513</v>
      </c>
      <c r="F3043">
        <v>5046.1000000000004</v>
      </c>
      <c r="G3043" t="s">
        <v>2637</v>
      </c>
      <c r="L3043" t="s">
        <v>19</v>
      </c>
      <c r="M3043" t="s">
        <v>4320</v>
      </c>
      <c r="N3043" t="s">
        <v>4321</v>
      </c>
      <c r="O3043">
        <v>1</v>
      </c>
    </row>
    <row r="3044" spans="2:15" x14ac:dyDescent="0.2">
      <c r="B3044" t="s">
        <v>1433</v>
      </c>
      <c r="C3044" t="s">
        <v>12898</v>
      </c>
      <c r="D3044" t="s">
        <v>613</v>
      </c>
      <c r="E3044" t="s">
        <v>9514</v>
      </c>
      <c r="F3044">
        <v>37.03</v>
      </c>
      <c r="G3044" t="s">
        <v>2639</v>
      </c>
      <c r="L3044" t="s">
        <v>19</v>
      </c>
      <c r="M3044" t="s">
        <v>4322</v>
      </c>
      <c r="N3044" t="s">
        <v>4321</v>
      </c>
      <c r="O3044">
        <v>1</v>
      </c>
    </row>
    <row r="3045" spans="2:15" x14ac:dyDescent="0.2">
      <c r="B3045" t="s">
        <v>1433</v>
      </c>
      <c r="C3045" t="s">
        <v>12898</v>
      </c>
      <c r="D3045" t="s">
        <v>613</v>
      </c>
      <c r="E3045" t="s">
        <v>9515</v>
      </c>
      <c r="F3045">
        <v>255.54</v>
      </c>
      <c r="G3045" t="s">
        <v>2640</v>
      </c>
      <c r="L3045" t="s">
        <v>19</v>
      </c>
      <c r="M3045" t="s">
        <v>4323</v>
      </c>
      <c r="N3045" t="s">
        <v>4321</v>
      </c>
      <c r="O3045">
        <v>2</v>
      </c>
    </row>
    <row r="3046" spans="2:15" x14ac:dyDescent="0.2">
      <c r="B3046" t="s">
        <v>1433</v>
      </c>
      <c r="C3046" t="s">
        <v>12898</v>
      </c>
      <c r="D3046" t="s">
        <v>613</v>
      </c>
      <c r="E3046" t="s">
        <v>9516</v>
      </c>
      <c r="F3046">
        <v>4476.29</v>
      </c>
      <c r="G3046" t="s">
        <v>2641</v>
      </c>
      <c r="L3046" t="s">
        <v>19</v>
      </c>
      <c r="M3046" t="s">
        <v>1243</v>
      </c>
      <c r="N3046" t="s">
        <v>4324</v>
      </c>
      <c r="O3046">
        <v>6</v>
      </c>
    </row>
    <row r="3047" spans="2:15" x14ac:dyDescent="0.2">
      <c r="B3047" t="s">
        <v>1433</v>
      </c>
      <c r="C3047" t="s">
        <v>12898</v>
      </c>
      <c r="D3047" t="s">
        <v>613</v>
      </c>
      <c r="E3047" t="s">
        <v>9517</v>
      </c>
      <c r="F3047">
        <v>5568</v>
      </c>
      <c r="G3047" t="s">
        <v>2642</v>
      </c>
      <c r="L3047" t="s">
        <v>19</v>
      </c>
      <c r="M3047" t="s">
        <v>4142</v>
      </c>
      <c r="N3047" t="s">
        <v>4325</v>
      </c>
      <c r="O3047">
        <v>40</v>
      </c>
    </row>
    <row r="3048" spans="2:15" x14ac:dyDescent="0.2">
      <c r="B3048" t="s">
        <v>1433</v>
      </c>
      <c r="C3048" t="s">
        <v>12898</v>
      </c>
      <c r="D3048" t="s">
        <v>617</v>
      </c>
      <c r="E3048" t="s">
        <v>9518</v>
      </c>
      <c r="F3048">
        <v>5961</v>
      </c>
      <c r="G3048" t="s">
        <v>2619</v>
      </c>
      <c r="L3048" t="s">
        <v>19</v>
      </c>
      <c r="M3048" t="s">
        <v>1201</v>
      </c>
      <c r="N3048" t="s">
        <v>3833</v>
      </c>
      <c r="O3048">
        <v>1</v>
      </c>
    </row>
    <row r="3049" spans="2:15" x14ac:dyDescent="0.2">
      <c r="B3049" t="s">
        <v>1433</v>
      </c>
      <c r="C3049" t="s">
        <v>12898</v>
      </c>
      <c r="D3049" t="s">
        <v>617</v>
      </c>
      <c r="E3049" t="s">
        <v>9519</v>
      </c>
      <c r="F3049">
        <v>168.06</v>
      </c>
      <c r="H3049" t="s">
        <v>2651</v>
      </c>
      <c r="L3049" t="s">
        <v>19</v>
      </c>
      <c r="M3049" t="s">
        <v>4326</v>
      </c>
      <c r="N3049" t="s">
        <v>4224</v>
      </c>
      <c r="O3049">
        <v>1</v>
      </c>
    </row>
    <row r="3050" spans="2:15" x14ac:dyDescent="0.2">
      <c r="B3050" t="s">
        <v>1433</v>
      </c>
      <c r="C3050" t="s">
        <v>12898</v>
      </c>
      <c r="D3050" t="s">
        <v>613</v>
      </c>
      <c r="E3050" t="s">
        <v>9520</v>
      </c>
      <c r="F3050">
        <v>37.33</v>
      </c>
      <c r="G3050" t="s">
        <v>5242</v>
      </c>
      <c r="L3050" t="s">
        <v>19</v>
      </c>
      <c r="M3050" t="s">
        <v>4327</v>
      </c>
      <c r="N3050" t="s">
        <v>4317</v>
      </c>
      <c r="O3050">
        <v>1</v>
      </c>
    </row>
    <row r="3051" spans="2:15" x14ac:dyDescent="0.2">
      <c r="B3051" t="s">
        <v>1433</v>
      </c>
      <c r="C3051" t="s">
        <v>12898</v>
      </c>
      <c r="D3051" t="s">
        <v>613</v>
      </c>
      <c r="E3051" t="s">
        <v>9521</v>
      </c>
      <c r="F3051">
        <v>5.51</v>
      </c>
      <c r="G3051" t="s">
        <v>3485</v>
      </c>
      <c r="L3051" t="s">
        <v>19</v>
      </c>
      <c r="M3051" t="s">
        <v>4328</v>
      </c>
      <c r="N3051" t="s">
        <v>4321</v>
      </c>
      <c r="O3051">
        <v>1</v>
      </c>
    </row>
    <row r="3052" spans="2:15" x14ac:dyDescent="0.2">
      <c r="B3052" t="s">
        <v>1433</v>
      </c>
      <c r="C3052" t="s">
        <v>12898</v>
      </c>
      <c r="D3052" t="s">
        <v>84</v>
      </c>
      <c r="E3052" t="s">
        <v>9522</v>
      </c>
      <c r="F3052">
        <v>202.5</v>
      </c>
      <c r="G3052" t="s">
        <v>9523</v>
      </c>
      <c r="L3052" t="s">
        <v>19</v>
      </c>
      <c r="M3052" t="s">
        <v>1309</v>
      </c>
      <c r="N3052" t="s">
        <v>3837</v>
      </c>
      <c r="O3052">
        <v>1</v>
      </c>
    </row>
    <row r="3053" spans="2:15" x14ac:dyDescent="0.2">
      <c r="B3053" t="s">
        <v>1433</v>
      </c>
      <c r="C3053" t="s">
        <v>12898</v>
      </c>
      <c r="D3053" t="s">
        <v>613</v>
      </c>
      <c r="E3053" t="s">
        <v>9524</v>
      </c>
      <c r="F3053">
        <v>0.3</v>
      </c>
      <c r="G3053" t="s">
        <v>9525</v>
      </c>
      <c r="L3053" t="s">
        <v>19</v>
      </c>
      <c r="M3053" t="s">
        <v>2074</v>
      </c>
      <c r="N3053" t="s">
        <v>4260</v>
      </c>
      <c r="O3053">
        <v>2</v>
      </c>
    </row>
    <row r="3054" spans="2:15" x14ac:dyDescent="0.2">
      <c r="B3054" t="s">
        <v>1433</v>
      </c>
      <c r="C3054" t="s">
        <v>12898</v>
      </c>
      <c r="D3054" t="s">
        <v>617</v>
      </c>
      <c r="E3054" t="s">
        <v>9526</v>
      </c>
      <c r="F3054">
        <v>723</v>
      </c>
      <c r="H3054" t="s">
        <v>1725</v>
      </c>
      <c r="L3054" t="s">
        <v>19</v>
      </c>
      <c r="M3054" t="s">
        <v>2075</v>
      </c>
      <c r="N3054" t="s">
        <v>4260</v>
      </c>
      <c r="O3054">
        <v>2</v>
      </c>
    </row>
    <row r="3055" spans="2:15" x14ac:dyDescent="0.2">
      <c r="B3055" t="s">
        <v>1433</v>
      </c>
      <c r="C3055" t="s">
        <v>12898</v>
      </c>
      <c r="D3055" t="s">
        <v>617</v>
      </c>
      <c r="E3055" t="s">
        <v>9527</v>
      </c>
      <c r="F3055">
        <v>144.6</v>
      </c>
      <c r="H3055" t="s">
        <v>1725</v>
      </c>
      <c r="L3055" t="s">
        <v>19</v>
      </c>
      <c r="M3055" t="s">
        <v>2020</v>
      </c>
      <c r="N3055" t="s">
        <v>4260</v>
      </c>
      <c r="O3055">
        <v>1</v>
      </c>
    </row>
    <row r="3056" spans="2:15" x14ac:dyDescent="0.2">
      <c r="B3056" t="s">
        <v>1433</v>
      </c>
      <c r="C3056" t="s">
        <v>12898</v>
      </c>
      <c r="D3056" t="s">
        <v>617</v>
      </c>
      <c r="E3056" t="s">
        <v>9528</v>
      </c>
      <c r="F3056">
        <v>1408</v>
      </c>
      <c r="H3056" t="s">
        <v>1722</v>
      </c>
      <c r="L3056" t="s">
        <v>19</v>
      </c>
      <c r="M3056" t="s">
        <v>4178</v>
      </c>
      <c r="N3056" t="s">
        <v>4329</v>
      </c>
      <c r="O3056">
        <v>1</v>
      </c>
    </row>
    <row r="3057" spans="2:15" x14ac:dyDescent="0.2">
      <c r="B3057" t="s">
        <v>1433</v>
      </c>
      <c r="C3057" t="s">
        <v>12898</v>
      </c>
      <c r="D3057" t="s">
        <v>617</v>
      </c>
      <c r="E3057" t="s">
        <v>9529</v>
      </c>
      <c r="F3057">
        <v>771</v>
      </c>
      <c r="H3057" t="s">
        <v>1585</v>
      </c>
      <c r="L3057" t="s">
        <v>19</v>
      </c>
      <c r="M3057" t="s">
        <v>1557</v>
      </c>
      <c r="N3057" t="s">
        <v>4330</v>
      </c>
      <c r="O3057">
        <v>1</v>
      </c>
    </row>
    <row r="3058" spans="2:15" x14ac:dyDescent="0.2">
      <c r="B3058" t="s">
        <v>1433</v>
      </c>
      <c r="C3058" t="s">
        <v>12898</v>
      </c>
      <c r="D3058" t="s">
        <v>617</v>
      </c>
      <c r="E3058" t="s">
        <v>9530</v>
      </c>
      <c r="F3058">
        <v>385.5</v>
      </c>
      <c r="H3058" t="s">
        <v>1585</v>
      </c>
      <c r="L3058" t="s">
        <v>19</v>
      </c>
      <c r="M3058" t="s">
        <v>4178</v>
      </c>
      <c r="N3058" t="s">
        <v>4330</v>
      </c>
      <c r="O3058">
        <v>2</v>
      </c>
    </row>
    <row r="3059" spans="2:15" x14ac:dyDescent="0.2">
      <c r="B3059" t="s">
        <v>1433</v>
      </c>
      <c r="C3059" t="s">
        <v>12898</v>
      </c>
      <c r="D3059" t="s">
        <v>617</v>
      </c>
      <c r="E3059" t="s">
        <v>9531</v>
      </c>
      <c r="F3059">
        <v>1252.5</v>
      </c>
      <c r="H3059" t="s">
        <v>1723</v>
      </c>
      <c r="L3059" t="s">
        <v>19</v>
      </c>
      <c r="M3059" t="s">
        <v>1684</v>
      </c>
      <c r="N3059" t="s">
        <v>4330</v>
      </c>
      <c r="O3059">
        <v>1</v>
      </c>
    </row>
    <row r="3060" spans="2:15" x14ac:dyDescent="0.2">
      <c r="B3060" t="s">
        <v>1433</v>
      </c>
      <c r="C3060" t="s">
        <v>12898</v>
      </c>
      <c r="D3060" t="s">
        <v>617</v>
      </c>
      <c r="E3060" t="s">
        <v>9532</v>
      </c>
      <c r="F3060">
        <v>264.75</v>
      </c>
      <c r="H3060" t="s">
        <v>1588</v>
      </c>
      <c r="L3060" t="s">
        <v>19</v>
      </c>
      <c r="M3060" t="s">
        <v>1307</v>
      </c>
      <c r="N3060" t="s">
        <v>4331</v>
      </c>
      <c r="O3060">
        <v>1</v>
      </c>
    </row>
    <row r="3061" spans="2:15" x14ac:dyDescent="0.2">
      <c r="B3061" t="s">
        <v>1433</v>
      </c>
      <c r="C3061" t="s">
        <v>12898</v>
      </c>
      <c r="D3061" t="s">
        <v>617</v>
      </c>
      <c r="E3061" t="s">
        <v>9533</v>
      </c>
      <c r="F3061">
        <v>14</v>
      </c>
      <c r="H3061" t="s">
        <v>1629</v>
      </c>
      <c r="L3061" t="s">
        <v>19</v>
      </c>
      <c r="M3061" t="s">
        <v>4332</v>
      </c>
      <c r="N3061" t="s">
        <v>4321</v>
      </c>
      <c r="O3061">
        <v>1</v>
      </c>
    </row>
    <row r="3062" spans="2:15" x14ac:dyDescent="0.2">
      <c r="B3062" t="s">
        <v>1433</v>
      </c>
      <c r="C3062" t="s">
        <v>12898</v>
      </c>
      <c r="D3062" t="s">
        <v>617</v>
      </c>
      <c r="E3062" t="s">
        <v>9534</v>
      </c>
      <c r="F3062">
        <v>3.6</v>
      </c>
      <c r="H3062" t="s">
        <v>8359</v>
      </c>
      <c r="L3062" t="s">
        <v>19</v>
      </c>
      <c r="M3062" t="s">
        <v>4333</v>
      </c>
      <c r="N3062" t="s">
        <v>4321</v>
      </c>
      <c r="O3062">
        <v>2</v>
      </c>
    </row>
    <row r="3063" spans="2:15" x14ac:dyDescent="0.2">
      <c r="B3063" t="s">
        <v>1433</v>
      </c>
      <c r="C3063" t="s">
        <v>12898</v>
      </c>
      <c r="D3063" t="s">
        <v>617</v>
      </c>
      <c r="E3063" t="s">
        <v>9535</v>
      </c>
      <c r="F3063">
        <v>4.8</v>
      </c>
      <c r="H3063" t="s">
        <v>7948</v>
      </c>
      <c r="L3063" t="s">
        <v>19</v>
      </c>
      <c r="M3063" t="s">
        <v>4334</v>
      </c>
      <c r="N3063" t="s">
        <v>4321</v>
      </c>
      <c r="O3063">
        <v>1</v>
      </c>
    </row>
    <row r="3064" spans="2:15" x14ac:dyDescent="0.2">
      <c r="B3064" t="s">
        <v>1433</v>
      </c>
      <c r="C3064" t="s">
        <v>12898</v>
      </c>
      <c r="D3064" t="s">
        <v>617</v>
      </c>
      <c r="E3064" t="s">
        <v>9536</v>
      </c>
      <c r="F3064">
        <v>8.1</v>
      </c>
      <c r="H3064" t="s">
        <v>6107</v>
      </c>
      <c r="L3064" t="s">
        <v>19</v>
      </c>
      <c r="M3064" t="s">
        <v>4335</v>
      </c>
      <c r="N3064" t="s">
        <v>4336</v>
      </c>
      <c r="O3064">
        <v>1</v>
      </c>
    </row>
    <row r="3065" spans="2:15" x14ac:dyDescent="0.2">
      <c r="B3065" t="s">
        <v>1433</v>
      </c>
      <c r="C3065" t="s">
        <v>12898</v>
      </c>
      <c r="D3065" t="s">
        <v>613</v>
      </c>
      <c r="E3065" t="s">
        <v>9537</v>
      </c>
      <c r="F3065">
        <v>9.08</v>
      </c>
      <c r="H3065" t="s">
        <v>6939</v>
      </c>
      <c r="L3065" t="s">
        <v>19</v>
      </c>
      <c r="M3065" t="s">
        <v>1243</v>
      </c>
      <c r="N3065" t="s">
        <v>4337</v>
      </c>
      <c r="O3065">
        <v>3</v>
      </c>
    </row>
    <row r="3066" spans="2:15" x14ac:dyDescent="0.2">
      <c r="B3066" t="s">
        <v>1433</v>
      </c>
      <c r="C3066" t="s">
        <v>12898</v>
      </c>
      <c r="D3066" t="s">
        <v>621</v>
      </c>
      <c r="E3066" t="s">
        <v>9538</v>
      </c>
      <c r="F3066">
        <v>13.99</v>
      </c>
      <c r="H3066" t="s">
        <v>9539</v>
      </c>
      <c r="L3066" t="s">
        <v>19</v>
      </c>
      <c r="M3066" t="s">
        <v>1212</v>
      </c>
      <c r="N3066" t="s">
        <v>3859</v>
      </c>
      <c r="O3066">
        <v>1</v>
      </c>
    </row>
    <row r="3067" spans="2:15" x14ac:dyDescent="0.2">
      <c r="B3067" t="s">
        <v>1433</v>
      </c>
      <c r="C3067" t="s">
        <v>12898</v>
      </c>
      <c r="D3067" t="s">
        <v>621</v>
      </c>
      <c r="E3067" t="s">
        <v>9540</v>
      </c>
      <c r="F3067">
        <v>37.67</v>
      </c>
      <c r="H3067" t="s">
        <v>7995</v>
      </c>
      <c r="L3067" t="s">
        <v>19</v>
      </c>
      <c r="M3067" t="s">
        <v>1216</v>
      </c>
      <c r="N3067" t="s">
        <v>3859</v>
      </c>
      <c r="O3067">
        <v>1</v>
      </c>
    </row>
    <row r="3068" spans="2:15" x14ac:dyDescent="0.2">
      <c r="B3068" t="s">
        <v>1433</v>
      </c>
      <c r="C3068" t="s">
        <v>12898</v>
      </c>
      <c r="D3068" t="s">
        <v>617</v>
      </c>
      <c r="E3068" t="s">
        <v>9541</v>
      </c>
      <c r="F3068">
        <v>7.69</v>
      </c>
      <c r="H3068" t="s">
        <v>1485</v>
      </c>
      <c r="L3068" t="s">
        <v>19</v>
      </c>
      <c r="M3068" t="s">
        <v>1214</v>
      </c>
      <c r="N3068" t="s">
        <v>3859</v>
      </c>
      <c r="O3068">
        <v>1</v>
      </c>
    </row>
    <row r="3069" spans="2:15" x14ac:dyDescent="0.2">
      <c r="B3069" t="s">
        <v>1433</v>
      </c>
      <c r="C3069" t="s">
        <v>12898</v>
      </c>
      <c r="D3069" t="s">
        <v>617</v>
      </c>
      <c r="E3069" t="s">
        <v>9542</v>
      </c>
      <c r="F3069">
        <v>8.23</v>
      </c>
      <c r="H3069" t="s">
        <v>4490</v>
      </c>
      <c r="L3069" t="s">
        <v>19</v>
      </c>
      <c r="M3069" t="s">
        <v>2516</v>
      </c>
      <c r="N3069" t="s">
        <v>4260</v>
      </c>
      <c r="O3069">
        <v>4</v>
      </c>
    </row>
    <row r="3070" spans="2:15" x14ac:dyDescent="0.2">
      <c r="B3070" t="s">
        <v>1433</v>
      </c>
      <c r="C3070" t="s">
        <v>12898</v>
      </c>
      <c r="D3070" t="s">
        <v>617</v>
      </c>
      <c r="E3070" t="s">
        <v>9543</v>
      </c>
      <c r="F3070">
        <v>2.2200000000000002</v>
      </c>
      <c r="H3070" t="s">
        <v>8354</v>
      </c>
      <c r="L3070" t="s">
        <v>19</v>
      </c>
      <c r="M3070" t="s">
        <v>2073</v>
      </c>
      <c r="N3070" t="s">
        <v>4260</v>
      </c>
      <c r="O3070">
        <v>1</v>
      </c>
    </row>
    <row r="3071" spans="2:15" x14ac:dyDescent="0.2">
      <c r="B3071" t="s">
        <v>1433</v>
      </c>
      <c r="C3071" t="s">
        <v>12898</v>
      </c>
      <c r="D3071" t="s">
        <v>613</v>
      </c>
      <c r="E3071" t="s">
        <v>9544</v>
      </c>
      <c r="F3071">
        <v>37.33</v>
      </c>
      <c r="G3071" t="s">
        <v>5242</v>
      </c>
      <c r="L3071" t="s">
        <v>19</v>
      </c>
      <c r="M3071" t="s">
        <v>4338</v>
      </c>
      <c r="N3071" t="s">
        <v>4321</v>
      </c>
      <c r="O3071">
        <v>1</v>
      </c>
    </row>
    <row r="3072" spans="2:15" x14ac:dyDescent="0.2">
      <c r="B3072" t="s">
        <v>1433</v>
      </c>
      <c r="C3072" t="s">
        <v>12898</v>
      </c>
      <c r="D3072" t="s">
        <v>617</v>
      </c>
      <c r="E3072" t="s">
        <v>9545</v>
      </c>
      <c r="F3072">
        <v>10.199999999999999</v>
      </c>
      <c r="H3072" t="s">
        <v>2684</v>
      </c>
      <c r="L3072" t="s">
        <v>19</v>
      </c>
      <c r="M3072" t="s">
        <v>4339</v>
      </c>
      <c r="N3072" t="s">
        <v>4336</v>
      </c>
      <c r="O3072">
        <v>1</v>
      </c>
    </row>
    <row r="3073" spans="2:15" x14ac:dyDescent="0.2">
      <c r="B3073" t="s">
        <v>1433</v>
      </c>
      <c r="C3073" t="s">
        <v>12898</v>
      </c>
      <c r="D3073" t="s">
        <v>617</v>
      </c>
      <c r="E3073" t="s">
        <v>9546</v>
      </c>
      <c r="F3073">
        <v>44.8</v>
      </c>
      <c r="H3073" t="s">
        <v>2686</v>
      </c>
      <c r="L3073" t="s">
        <v>19</v>
      </c>
      <c r="M3073" t="s">
        <v>4340</v>
      </c>
      <c r="N3073" t="s">
        <v>4336</v>
      </c>
      <c r="O3073">
        <v>12</v>
      </c>
    </row>
    <row r="3074" spans="2:15" x14ac:dyDescent="0.2">
      <c r="B3074" t="s">
        <v>1433</v>
      </c>
      <c r="C3074" t="s">
        <v>12898</v>
      </c>
      <c r="D3074" t="s">
        <v>617</v>
      </c>
      <c r="E3074" t="s">
        <v>9547</v>
      </c>
      <c r="F3074">
        <v>34.4</v>
      </c>
      <c r="H3074" t="s">
        <v>2687</v>
      </c>
      <c r="L3074" t="s">
        <v>19</v>
      </c>
      <c r="M3074" t="s">
        <v>2683</v>
      </c>
      <c r="N3074" t="s">
        <v>4341</v>
      </c>
      <c r="O3074">
        <v>1</v>
      </c>
    </row>
    <row r="3075" spans="2:15" x14ac:dyDescent="0.2">
      <c r="B3075" t="s">
        <v>1433</v>
      </c>
      <c r="C3075" t="s">
        <v>12898</v>
      </c>
      <c r="D3075" t="s">
        <v>617</v>
      </c>
      <c r="E3075" t="s">
        <v>9548</v>
      </c>
      <c r="F3075">
        <v>21</v>
      </c>
      <c r="H3075" t="s">
        <v>2403</v>
      </c>
      <c r="L3075" t="s">
        <v>19</v>
      </c>
      <c r="M3075" t="s">
        <v>1558</v>
      </c>
      <c r="N3075" t="s">
        <v>4342</v>
      </c>
      <c r="O3075">
        <v>4</v>
      </c>
    </row>
    <row r="3076" spans="2:15" x14ac:dyDescent="0.2">
      <c r="B3076" t="s">
        <v>1433</v>
      </c>
      <c r="C3076" t="s">
        <v>12898</v>
      </c>
      <c r="D3076" t="s">
        <v>617</v>
      </c>
      <c r="E3076" t="s">
        <v>9549</v>
      </c>
      <c r="F3076">
        <v>273</v>
      </c>
      <c r="H3076" t="s">
        <v>2403</v>
      </c>
      <c r="L3076" t="s">
        <v>19</v>
      </c>
      <c r="M3076" t="s">
        <v>1321</v>
      </c>
      <c r="N3076" t="s">
        <v>4343</v>
      </c>
      <c r="O3076">
        <v>1</v>
      </c>
    </row>
    <row r="3077" spans="2:15" x14ac:dyDescent="0.2">
      <c r="B3077" t="s">
        <v>1433</v>
      </c>
      <c r="C3077" t="s">
        <v>12898</v>
      </c>
      <c r="D3077" t="s">
        <v>617</v>
      </c>
      <c r="E3077" t="s">
        <v>9550</v>
      </c>
      <c r="F3077">
        <v>64</v>
      </c>
      <c r="H3077" t="s">
        <v>2405</v>
      </c>
      <c r="L3077" t="s">
        <v>19</v>
      </c>
      <c r="M3077" t="s">
        <v>1342</v>
      </c>
      <c r="N3077" t="s">
        <v>4344</v>
      </c>
      <c r="O3077">
        <v>1</v>
      </c>
    </row>
    <row r="3078" spans="2:15" x14ac:dyDescent="0.2">
      <c r="B3078" t="s">
        <v>1433</v>
      </c>
      <c r="C3078" t="s">
        <v>12898</v>
      </c>
      <c r="D3078" t="s">
        <v>617</v>
      </c>
      <c r="E3078" t="s">
        <v>9551</v>
      </c>
      <c r="F3078">
        <v>832</v>
      </c>
      <c r="H3078" t="s">
        <v>2405</v>
      </c>
      <c r="L3078" t="s">
        <v>19</v>
      </c>
      <c r="M3078" t="s">
        <v>1366</v>
      </c>
      <c r="N3078" t="s">
        <v>4344</v>
      </c>
      <c r="O3078">
        <v>1</v>
      </c>
    </row>
    <row r="3079" spans="2:15" x14ac:dyDescent="0.2">
      <c r="B3079" t="s">
        <v>1433</v>
      </c>
      <c r="C3079" t="s">
        <v>12898</v>
      </c>
      <c r="D3079" t="s">
        <v>617</v>
      </c>
      <c r="E3079" t="s">
        <v>9552</v>
      </c>
      <c r="F3079">
        <v>56</v>
      </c>
      <c r="H3079" t="s">
        <v>2406</v>
      </c>
      <c r="L3079" t="s">
        <v>19</v>
      </c>
      <c r="M3079" t="s">
        <v>1413</v>
      </c>
      <c r="N3079" t="s">
        <v>4344</v>
      </c>
      <c r="O3079">
        <v>1</v>
      </c>
    </row>
    <row r="3080" spans="2:15" x14ac:dyDescent="0.2">
      <c r="B3080" t="s">
        <v>1433</v>
      </c>
      <c r="C3080" t="s">
        <v>12898</v>
      </c>
      <c r="D3080" t="s">
        <v>617</v>
      </c>
      <c r="E3080" t="s">
        <v>9553</v>
      </c>
      <c r="F3080">
        <v>728</v>
      </c>
      <c r="H3080" t="s">
        <v>2406</v>
      </c>
      <c r="L3080" t="s">
        <v>19</v>
      </c>
      <c r="M3080" t="s">
        <v>4238</v>
      </c>
      <c r="N3080" t="s">
        <v>4345</v>
      </c>
      <c r="O3080">
        <v>2</v>
      </c>
    </row>
    <row r="3081" spans="2:15" x14ac:dyDescent="0.2">
      <c r="B3081" t="s">
        <v>1433</v>
      </c>
      <c r="C3081" t="s">
        <v>12898</v>
      </c>
      <c r="D3081" t="s">
        <v>617</v>
      </c>
      <c r="E3081" t="s">
        <v>9554</v>
      </c>
      <c r="F3081">
        <v>771</v>
      </c>
      <c r="H3081" t="s">
        <v>2407</v>
      </c>
      <c r="L3081" t="s">
        <v>19</v>
      </c>
      <c r="M3081" t="s">
        <v>4346</v>
      </c>
      <c r="N3081" t="s">
        <v>4347</v>
      </c>
      <c r="O3081">
        <v>1</v>
      </c>
    </row>
    <row r="3082" spans="2:15" x14ac:dyDescent="0.2">
      <c r="B3082" t="s">
        <v>1433</v>
      </c>
      <c r="C3082" t="s">
        <v>12898</v>
      </c>
      <c r="D3082" t="s">
        <v>617</v>
      </c>
      <c r="E3082" t="s">
        <v>9555</v>
      </c>
      <c r="F3082">
        <v>10023</v>
      </c>
      <c r="H3082" t="s">
        <v>2407</v>
      </c>
      <c r="L3082" t="s">
        <v>19</v>
      </c>
      <c r="M3082" t="s">
        <v>4178</v>
      </c>
      <c r="N3082" t="s">
        <v>4348</v>
      </c>
      <c r="O3082">
        <v>1</v>
      </c>
    </row>
    <row r="3083" spans="2:15" x14ac:dyDescent="0.2">
      <c r="B3083" t="s">
        <v>1433</v>
      </c>
      <c r="C3083" t="s">
        <v>12898</v>
      </c>
      <c r="D3083" t="s">
        <v>617</v>
      </c>
      <c r="E3083" t="s">
        <v>9556</v>
      </c>
      <c r="F3083">
        <v>1330</v>
      </c>
      <c r="H3083" t="s">
        <v>2408</v>
      </c>
      <c r="L3083" t="s">
        <v>19</v>
      </c>
      <c r="M3083" t="s">
        <v>1557</v>
      </c>
      <c r="N3083" t="s">
        <v>4348</v>
      </c>
      <c r="O3083">
        <v>1</v>
      </c>
    </row>
    <row r="3084" spans="2:15" x14ac:dyDescent="0.2">
      <c r="B3084" t="s">
        <v>1433</v>
      </c>
      <c r="C3084" t="s">
        <v>12898</v>
      </c>
      <c r="D3084" t="s">
        <v>617</v>
      </c>
      <c r="E3084" t="s">
        <v>9557</v>
      </c>
      <c r="F3084">
        <v>12635</v>
      </c>
      <c r="H3084" t="s">
        <v>2408</v>
      </c>
      <c r="L3084" t="s">
        <v>19</v>
      </c>
      <c r="M3084" t="s">
        <v>1619</v>
      </c>
      <c r="N3084" t="s">
        <v>4349</v>
      </c>
      <c r="O3084">
        <v>4</v>
      </c>
    </row>
    <row r="3085" spans="2:15" x14ac:dyDescent="0.2">
      <c r="B3085" t="s">
        <v>1433</v>
      </c>
      <c r="C3085" t="s">
        <v>12898</v>
      </c>
      <c r="D3085" t="s">
        <v>613</v>
      </c>
      <c r="E3085" t="s">
        <v>9558</v>
      </c>
      <c r="F3085">
        <v>4.4000000000000004</v>
      </c>
      <c r="G3085" t="s">
        <v>9559</v>
      </c>
      <c r="L3085" t="s">
        <v>19</v>
      </c>
      <c r="M3085" t="s">
        <v>1845</v>
      </c>
      <c r="N3085" t="s">
        <v>4350</v>
      </c>
      <c r="O3085">
        <v>4</v>
      </c>
    </row>
    <row r="3086" spans="2:15" x14ac:dyDescent="0.2">
      <c r="B3086" t="s">
        <v>1433</v>
      </c>
      <c r="C3086" t="s">
        <v>12898</v>
      </c>
      <c r="D3086" t="s">
        <v>617</v>
      </c>
      <c r="E3086" t="s">
        <v>9560</v>
      </c>
      <c r="F3086">
        <v>228.03</v>
      </c>
      <c r="H3086" t="s">
        <v>2311</v>
      </c>
      <c r="L3086" t="s">
        <v>19</v>
      </c>
      <c r="M3086" t="s">
        <v>4212</v>
      </c>
      <c r="N3086" t="s">
        <v>4351</v>
      </c>
      <c r="O3086">
        <v>5</v>
      </c>
    </row>
    <row r="3087" spans="2:15" x14ac:dyDescent="0.2">
      <c r="B3087" t="s">
        <v>1433</v>
      </c>
      <c r="C3087" t="s">
        <v>12898</v>
      </c>
      <c r="D3087" t="s">
        <v>617</v>
      </c>
      <c r="E3087" t="s">
        <v>9561</v>
      </c>
      <c r="F3087">
        <v>229.39</v>
      </c>
      <c r="H3087" t="s">
        <v>2092</v>
      </c>
      <c r="L3087" t="s">
        <v>19</v>
      </c>
      <c r="M3087" t="s">
        <v>4352</v>
      </c>
      <c r="N3087" t="s">
        <v>4347</v>
      </c>
      <c r="O3087">
        <v>12</v>
      </c>
    </row>
    <row r="3088" spans="2:15" x14ac:dyDescent="0.2">
      <c r="B3088" t="s">
        <v>1433</v>
      </c>
      <c r="C3088" t="s">
        <v>12898</v>
      </c>
      <c r="D3088" t="s">
        <v>617</v>
      </c>
      <c r="E3088" t="s">
        <v>9562</v>
      </c>
      <c r="F3088">
        <v>83.13</v>
      </c>
      <c r="H3088" t="s">
        <v>2092</v>
      </c>
      <c r="L3088" t="s">
        <v>19</v>
      </c>
      <c r="M3088" t="s">
        <v>4353</v>
      </c>
      <c r="N3088" t="s">
        <v>4347</v>
      </c>
      <c r="O3088">
        <v>12</v>
      </c>
    </row>
    <row r="3089" spans="2:15" x14ac:dyDescent="0.2">
      <c r="B3089" t="s">
        <v>1433</v>
      </c>
      <c r="C3089" t="s">
        <v>12898</v>
      </c>
      <c r="D3089" t="s">
        <v>613</v>
      </c>
      <c r="E3089" t="s">
        <v>9563</v>
      </c>
      <c r="F3089">
        <v>255.6</v>
      </c>
      <c r="G3089" t="s">
        <v>2669</v>
      </c>
      <c r="L3089" t="s">
        <v>19</v>
      </c>
      <c r="M3089" t="s">
        <v>4354</v>
      </c>
      <c r="N3089" t="s">
        <v>4347</v>
      </c>
      <c r="O3089">
        <v>1</v>
      </c>
    </row>
    <row r="3090" spans="2:15" x14ac:dyDescent="0.2">
      <c r="B3090" t="s">
        <v>1433</v>
      </c>
      <c r="C3090" t="s">
        <v>12898</v>
      </c>
      <c r="D3090" t="s">
        <v>1144</v>
      </c>
      <c r="E3090" t="s">
        <v>9564</v>
      </c>
      <c r="F3090">
        <v>648</v>
      </c>
      <c r="G3090" t="s">
        <v>2709</v>
      </c>
      <c r="L3090" t="s">
        <v>19</v>
      </c>
      <c r="M3090" t="s">
        <v>4355</v>
      </c>
      <c r="N3090" t="s">
        <v>4356</v>
      </c>
      <c r="O3090">
        <v>1</v>
      </c>
    </row>
    <row r="3091" spans="2:15" x14ac:dyDescent="0.2">
      <c r="B3091" t="s">
        <v>1433</v>
      </c>
      <c r="C3091" t="s">
        <v>12898</v>
      </c>
      <c r="D3091" t="s">
        <v>1144</v>
      </c>
      <c r="E3091" t="s">
        <v>9565</v>
      </c>
      <c r="F3091">
        <v>480</v>
      </c>
      <c r="G3091" t="s">
        <v>2712</v>
      </c>
      <c r="L3091" t="s">
        <v>19</v>
      </c>
      <c r="M3091" t="s">
        <v>4357</v>
      </c>
      <c r="N3091" t="s">
        <v>4356</v>
      </c>
      <c r="O3091">
        <v>1</v>
      </c>
    </row>
    <row r="3092" spans="2:15" x14ac:dyDescent="0.2">
      <c r="B3092" t="s">
        <v>1433</v>
      </c>
      <c r="C3092" t="s">
        <v>12898</v>
      </c>
      <c r="D3092" t="s">
        <v>617</v>
      </c>
      <c r="E3092" t="s">
        <v>9566</v>
      </c>
      <c r="F3092">
        <v>98.91</v>
      </c>
      <c r="H3092" t="s">
        <v>2307</v>
      </c>
      <c r="L3092" t="s">
        <v>19</v>
      </c>
      <c r="M3092" t="s">
        <v>1421</v>
      </c>
      <c r="N3092" t="s">
        <v>4358</v>
      </c>
      <c r="O3092">
        <v>1</v>
      </c>
    </row>
    <row r="3093" spans="2:15" x14ac:dyDescent="0.2">
      <c r="B3093" t="s">
        <v>1433</v>
      </c>
      <c r="C3093" t="s">
        <v>12898</v>
      </c>
      <c r="D3093" t="s">
        <v>617</v>
      </c>
      <c r="E3093" t="s">
        <v>9567</v>
      </c>
      <c r="F3093">
        <v>90.7</v>
      </c>
      <c r="H3093" t="s">
        <v>1834</v>
      </c>
      <c r="L3093" t="s">
        <v>19</v>
      </c>
      <c r="M3093" t="s">
        <v>2447</v>
      </c>
      <c r="N3093" t="s">
        <v>4359</v>
      </c>
      <c r="O3093">
        <v>1</v>
      </c>
    </row>
    <row r="3094" spans="2:15" x14ac:dyDescent="0.2">
      <c r="B3094" t="s">
        <v>1433</v>
      </c>
      <c r="C3094" t="s">
        <v>12898</v>
      </c>
      <c r="D3094" t="s">
        <v>84</v>
      </c>
      <c r="E3094" t="s">
        <v>9568</v>
      </c>
      <c r="F3094">
        <v>35.450000000000003</v>
      </c>
      <c r="H3094" t="s">
        <v>6484</v>
      </c>
      <c r="L3094" t="s">
        <v>19</v>
      </c>
      <c r="M3094" t="s">
        <v>2479</v>
      </c>
      <c r="N3094" t="s">
        <v>4359</v>
      </c>
      <c r="O3094">
        <v>1</v>
      </c>
    </row>
    <row r="3095" spans="2:15" x14ac:dyDescent="0.2">
      <c r="B3095" t="s">
        <v>1433</v>
      </c>
      <c r="C3095" t="s">
        <v>12898</v>
      </c>
      <c r="D3095" t="s">
        <v>613</v>
      </c>
      <c r="E3095" t="s">
        <v>9569</v>
      </c>
      <c r="F3095">
        <v>6.05</v>
      </c>
      <c r="H3095" t="s">
        <v>2513</v>
      </c>
      <c r="L3095" t="s">
        <v>19</v>
      </c>
      <c r="M3095" t="s">
        <v>4162</v>
      </c>
      <c r="N3095" t="s">
        <v>4360</v>
      </c>
      <c r="O3095">
        <v>100</v>
      </c>
    </row>
    <row r="3096" spans="2:15" x14ac:dyDescent="0.2">
      <c r="B3096" t="s">
        <v>1433</v>
      </c>
      <c r="C3096" t="s">
        <v>12898</v>
      </c>
      <c r="D3096" t="s">
        <v>617</v>
      </c>
      <c r="E3096" t="s">
        <v>9570</v>
      </c>
      <c r="F3096">
        <v>2.2000000000000002</v>
      </c>
      <c r="H3096" t="s">
        <v>4878</v>
      </c>
      <c r="L3096" t="s">
        <v>19</v>
      </c>
      <c r="M3096" t="s">
        <v>4361</v>
      </c>
      <c r="N3096" t="s">
        <v>4362</v>
      </c>
      <c r="O3096">
        <v>20</v>
      </c>
    </row>
    <row r="3097" spans="2:15" x14ac:dyDescent="0.2">
      <c r="B3097" t="s">
        <v>1433</v>
      </c>
      <c r="C3097" t="s">
        <v>12898</v>
      </c>
      <c r="D3097" t="s">
        <v>617</v>
      </c>
      <c r="E3097" t="s">
        <v>9571</v>
      </c>
      <c r="F3097">
        <v>11.2</v>
      </c>
      <c r="H3097" t="s">
        <v>8494</v>
      </c>
      <c r="L3097" t="s">
        <v>19</v>
      </c>
      <c r="M3097" t="s">
        <v>2954</v>
      </c>
      <c r="N3097" t="s">
        <v>4363</v>
      </c>
      <c r="O3097">
        <v>5</v>
      </c>
    </row>
    <row r="3098" spans="2:15" x14ac:dyDescent="0.2">
      <c r="B3098" t="s">
        <v>1433</v>
      </c>
      <c r="C3098" t="s">
        <v>12898</v>
      </c>
      <c r="D3098" t="s">
        <v>617</v>
      </c>
      <c r="E3098" t="s">
        <v>9572</v>
      </c>
      <c r="F3098">
        <v>40.700000000000003</v>
      </c>
      <c r="G3098" t="s">
        <v>2773</v>
      </c>
      <c r="L3098" t="s">
        <v>19</v>
      </c>
      <c r="M3098" t="s">
        <v>4184</v>
      </c>
      <c r="N3098" t="s">
        <v>4364</v>
      </c>
      <c r="O3098">
        <v>100</v>
      </c>
    </row>
    <row r="3099" spans="2:15" x14ac:dyDescent="0.2">
      <c r="B3099" t="s">
        <v>1433</v>
      </c>
      <c r="C3099" t="s">
        <v>12898</v>
      </c>
      <c r="D3099" t="s">
        <v>621</v>
      </c>
      <c r="E3099" t="s">
        <v>9573</v>
      </c>
      <c r="F3099">
        <v>301.5</v>
      </c>
      <c r="G3099" t="s">
        <v>2705</v>
      </c>
      <c r="L3099" t="s">
        <v>19</v>
      </c>
      <c r="M3099" t="s">
        <v>4365</v>
      </c>
      <c r="N3099" t="s">
        <v>4356</v>
      </c>
      <c r="O3099">
        <v>1</v>
      </c>
    </row>
    <row r="3100" spans="2:15" x14ac:dyDescent="0.2">
      <c r="B3100" t="s">
        <v>1433</v>
      </c>
      <c r="C3100" t="s">
        <v>12898</v>
      </c>
      <c r="D3100" t="s">
        <v>613</v>
      </c>
      <c r="E3100" t="s">
        <v>9574</v>
      </c>
      <c r="F3100">
        <v>10.35</v>
      </c>
      <c r="G3100" t="s">
        <v>5259</v>
      </c>
      <c r="L3100" t="s">
        <v>19</v>
      </c>
      <c r="M3100" t="s">
        <v>2014</v>
      </c>
      <c r="N3100" t="s">
        <v>4366</v>
      </c>
      <c r="O3100">
        <v>1</v>
      </c>
    </row>
    <row r="3101" spans="2:15" x14ac:dyDescent="0.2">
      <c r="B3101" t="s">
        <v>1433</v>
      </c>
      <c r="C3101" t="s">
        <v>12898</v>
      </c>
      <c r="D3101" t="s">
        <v>613</v>
      </c>
      <c r="E3101" t="s">
        <v>9575</v>
      </c>
      <c r="F3101">
        <v>12.5</v>
      </c>
      <c r="G3101" t="s">
        <v>7807</v>
      </c>
      <c r="L3101" t="s">
        <v>19</v>
      </c>
      <c r="M3101" t="s">
        <v>2484</v>
      </c>
      <c r="N3101" t="s">
        <v>3890</v>
      </c>
      <c r="O3101">
        <v>1</v>
      </c>
    </row>
    <row r="3102" spans="2:15" x14ac:dyDescent="0.2">
      <c r="B3102" t="s">
        <v>1433</v>
      </c>
      <c r="C3102" t="s">
        <v>12898</v>
      </c>
      <c r="D3102" t="s">
        <v>613</v>
      </c>
      <c r="E3102" t="s">
        <v>9576</v>
      </c>
      <c r="F3102">
        <v>11.2</v>
      </c>
      <c r="G3102" t="s">
        <v>7678</v>
      </c>
      <c r="L3102" t="s">
        <v>19</v>
      </c>
      <c r="M3102" t="s">
        <v>1218</v>
      </c>
      <c r="N3102" t="s">
        <v>4367</v>
      </c>
      <c r="O3102">
        <v>1</v>
      </c>
    </row>
    <row r="3103" spans="2:15" x14ac:dyDescent="0.2">
      <c r="B3103" t="s">
        <v>1433</v>
      </c>
      <c r="C3103" t="s">
        <v>12898</v>
      </c>
      <c r="D3103" t="s">
        <v>613</v>
      </c>
      <c r="E3103" t="s">
        <v>9577</v>
      </c>
      <c r="F3103">
        <v>6.75</v>
      </c>
      <c r="G3103" t="s">
        <v>7705</v>
      </c>
      <c r="L3103" t="s">
        <v>19</v>
      </c>
      <c r="M3103" t="s">
        <v>1221</v>
      </c>
      <c r="N3103" t="s">
        <v>4367</v>
      </c>
      <c r="O3103">
        <v>1</v>
      </c>
    </row>
    <row r="3104" spans="2:15" x14ac:dyDescent="0.2">
      <c r="B3104" t="s">
        <v>1433</v>
      </c>
      <c r="C3104" t="s">
        <v>12898</v>
      </c>
      <c r="D3104" t="s">
        <v>613</v>
      </c>
      <c r="E3104" t="s">
        <v>9578</v>
      </c>
      <c r="F3104">
        <v>13.77</v>
      </c>
      <c r="G3104" t="s">
        <v>7814</v>
      </c>
      <c r="L3104" t="s">
        <v>19</v>
      </c>
      <c r="M3104" t="s">
        <v>1235</v>
      </c>
      <c r="N3104" t="s">
        <v>4368</v>
      </c>
      <c r="O3104">
        <v>1</v>
      </c>
    </row>
    <row r="3105" spans="2:15" x14ac:dyDescent="0.2">
      <c r="B3105" t="s">
        <v>1433</v>
      </c>
      <c r="C3105" t="s">
        <v>12898</v>
      </c>
      <c r="D3105" t="s">
        <v>613</v>
      </c>
      <c r="E3105" t="s">
        <v>9579</v>
      </c>
      <c r="F3105">
        <v>14.71</v>
      </c>
      <c r="G3105" t="s">
        <v>6882</v>
      </c>
      <c r="L3105" t="s">
        <v>19</v>
      </c>
      <c r="M3105" t="s">
        <v>1239</v>
      </c>
      <c r="N3105" t="s">
        <v>4368</v>
      </c>
      <c r="O3105">
        <v>1</v>
      </c>
    </row>
    <row r="3106" spans="2:15" x14ac:dyDescent="0.2">
      <c r="B3106" t="s">
        <v>1433</v>
      </c>
      <c r="C3106" t="s">
        <v>12898</v>
      </c>
      <c r="D3106" t="s">
        <v>613</v>
      </c>
      <c r="E3106" t="s">
        <v>9580</v>
      </c>
      <c r="F3106">
        <v>6.76</v>
      </c>
      <c r="G3106" t="s">
        <v>7811</v>
      </c>
      <c r="L3106" t="s">
        <v>19</v>
      </c>
      <c r="M3106" t="s">
        <v>2481</v>
      </c>
      <c r="N3106" t="s">
        <v>4369</v>
      </c>
      <c r="O3106">
        <v>1</v>
      </c>
    </row>
    <row r="3107" spans="2:15" x14ac:dyDescent="0.2">
      <c r="B3107" t="s">
        <v>1433</v>
      </c>
      <c r="C3107" t="s">
        <v>12898</v>
      </c>
      <c r="D3107" t="s">
        <v>613</v>
      </c>
      <c r="E3107" t="s">
        <v>9581</v>
      </c>
      <c r="F3107">
        <v>10.5</v>
      </c>
      <c r="G3107" t="s">
        <v>9305</v>
      </c>
      <c r="L3107" t="s">
        <v>19</v>
      </c>
      <c r="M3107" t="s">
        <v>2477</v>
      </c>
      <c r="N3107" t="s">
        <v>4370</v>
      </c>
      <c r="O3107">
        <v>1</v>
      </c>
    </row>
    <row r="3108" spans="2:15" x14ac:dyDescent="0.2">
      <c r="B3108" t="s">
        <v>1433</v>
      </c>
      <c r="C3108" t="s">
        <v>12898</v>
      </c>
      <c r="D3108" t="s">
        <v>613</v>
      </c>
      <c r="E3108" t="s">
        <v>9582</v>
      </c>
      <c r="F3108">
        <v>7.28</v>
      </c>
      <c r="G3108" t="s">
        <v>9583</v>
      </c>
      <c r="L3108" t="s">
        <v>19</v>
      </c>
      <c r="M3108" t="s">
        <v>2534</v>
      </c>
      <c r="N3108" t="s">
        <v>4370</v>
      </c>
      <c r="O3108">
        <v>1</v>
      </c>
    </row>
    <row r="3109" spans="2:15" x14ac:dyDescent="0.2">
      <c r="B3109" t="s">
        <v>1433</v>
      </c>
      <c r="C3109" t="s">
        <v>12898</v>
      </c>
      <c r="D3109" t="s">
        <v>613</v>
      </c>
      <c r="E3109" t="s">
        <v>9584</v>
      </c>
      <c r="F3109">
        <v>6.45</v>
      </c>
      <c r="G3109" t="s">
        <v>9585</v>
      </c>
      <c r="L3109" t="s">
        <v>19</v>
      </c>
      <c r="M3109" t="s">
        <v>2537</v>
      </c>
      <c r="N3109" t="s">
        <v>4370</v>
      </c>
      <c r="O3109">
        <v>1</v>
      </c>
    </row>
    <row r="3110" spans="2:15" x14ac:dyDescent="0.2">
      <c r="B3110" t="s">
        <v>1433</v>
      </c>
      <c r="C3110" t="s">
        <v>12898</v>
      </c>
      <c r="D3110" t="s">
        <v>613</v>
      </c>
      <c r="E3110" t="s">
        <v>9586</v>
      </c>
      <c r="F3110">
        <v>8.1300000000000008</v>
      </c>
      <c r="G3110" t="s">
        <v>9587</v>
      </c>
      <c r="L3110" t="s">
        <v>19</v>
      </c>
      <c r="M3110" t="s">
        <v>4371</v>
      </c>
      <c r="N3110" t="s">
        <v>4372</v>
      </c>
      <c r="O3110">
        <v>2</v>
      </c>
    </row>
    <row r="3111" spans="2:15" x14ac:dyDescent="0.2">
      <c r="B3111" t="s">
        <v>1433</v>
      </c>
      <c r="C3111" t="s">
        <v>12898</v>
      </c>
      <c r="D3111" t="s">
        <v>613</v>
      </c>
      <c r="E3111" t="s">
        <v>9588</v>
      </c>
      <c r="F3111">
        <v>14</v>
      </c>
      <c r="G3111" t="s">
        <v>6635</v>
      </c>
      <c r="L3111" t="s">
        <v>19</v>
      </c>
      <c r="M3111" t="s">
        <v>1241</v>
      </c>
      <c r="N3111" t="s">
        <v>4373</v>
      </c>
      <c r="O3111">
        <v>1</v>
      </c>
    </row>
    <row r="3112" spans="2:15" x14ac:dyDescent="0.2">
      <c r="B3112" t="s">
        <v>1433</v>
      </c>
      <c r="C3112" t="s">
        <v>12898</v>
      </c>
      <c r="D3112" t="s">
        <v>613</v>
      </c>
      <c r="E3112" t="s">
        <v>9589</v>
      </c>
      <c r="F3112">
        <v>12.7</v>
      </c>
      <c r="G3112" t="s">
        <v>6884</v>
      </c>
      <c r="L3112" t="s">
        <v>19</v>
      </c>
      <c r="M3112" t="s">
        <v>1270</v>
      </c>
      <c r="N3112" t="s">
        <v>4373</v>
      </c>
      <c r="O3112">
        <v>1</v>
      </c>
    </row>
    <row r="3113" spans="2:15" x14ac:dyDescent="0.2">
      <c r="B3113" t="s">
        <v>1433</v>
      </c>
      <c r="C3113" t="s">
        <v>12898</v>
      </c>
      <c r="D3113" t="s">
        <v>613</v>
      </c>
      <c r="E3113" t="s">
        <v>9590</v>
      </c>
      <c r="F3113">
        <v>70</v>
      </c>
      <c r="G3113" t="s">
        <v>6830</v>
      </c>
      <c r="L3113" t="s">
        <v>19</v>
      </c>
      <c r="M3113" t="s">
        <v>1272</v>
      </c>
      <c r="N3113" t="s">
        <v>4373</v>
      </c>
      <c r="O3113">
        <v>1</v>
      </c>
    </row>
    <row r="3114" spans="2:15" x14ac:dyDescent="0.2">
      <c r="B3114" t="s">
        <v>1433</v>
      </c>
      <c r="C3114" t="s">
        <v>12898</v>
      </c>
      <c r="D3114" t="s">
        <v>613</v>
      </c>
      <c r="E3114" t="s">
        <v>9591</v>
      </c>
      <c r="F3114">
        <v>10.56</v>
      </c>
      <c r="G3114" t="s">
        <v>9592</v>
      </c>
      <c r="L3114" t="s">
        <v>19</v>
      </c>
      <c r="M3114" t="s">
        <v>1209</v>
      </c>
      <c r="N3114" t="s">
        <v>3903</v>
      </c>
      <c r="O3114">
        <v>1</v>
      </c>
    </row>
    <row r="3115" spans="2:15" x14ac:dyDescent="0.2">
      <c r="B3115" t="s">
        <v>1433</v>
      </c>
      <c r="C3115" t="s">
        <v>12898</v>
      </c>
      <c r="D3115" t="s">
        <v>613</v>
      </c>
      <c r="E3115" t="s">
        <v>9593</v>
      </c>
      <c r="F3115">
        <v>35</v>
      </c>
      <c r="G3115" t="s">
        <v>5072</v>
      </c>
      <c r="L3115" t="s">
        <v>19</v>
      </c>
      <c r="M3115" t="s">
        <v>1210</v>
      </c>
      <c r="N3115" t="s">
        <v>3903</v>
      </c>
      <c r="O3115">
        <v>1</v>
      </c>
    </row>
    <row r="3116" spans="2:15" x14ac:dyDescent="0.2">
      <c r="B3116" t="s">
        <v>1433</v>
      </c>
      <c r="C3116" t="s">
        <v>12898</v>
      </c>
      <c r="D3116" t="s">
        <v>613</v>
      </c>
      <c r="E3116" t="s">
        <v>9594</v>
      </c>
      <c r="F3116">
        <v>11.5</v>
      </c>
      <c r="G3116" t="s">
        <v>7809</v>
      </c>
      <c r="L3116" t="s">
        <v>19</v>
      </c>
      <c r="M3116" t="s">
        <v>1223</v>
      </c>
      <c r="N3116" t="s">
        <v>3903</v>
      </c>
      <c r="O3116">
        <v>1</v>
      </c>
    </row>
    <row r="3117" spans="2:15" x14ac:dyDescent="0.2">
      <c r="B3117" t="s">
        <v>1433</v>
      </c>
      <c r="C3117" t="s">
        <v>12898</v>
      </c>
      <c r="D3117" t="s">
        <v>613</v>
      </c>
      <c r="E3117" t="s">
        <v>9595</v>
      </c>
      <c r="F3117">
        <v>16</v>
      </c>
      <c r="G3117" t="s">
        <v>9420</v>
      </c>
      <c r="L3117" t="s">
        <v>19</v>
      </c>
      <c r="M3117" t="s">
        <v>1225</v>
      </c>
      <c r="N3117" t="s">
        <v>3903</v>
      </c>
      <c r="O3117">
        <v>1</v>
      </c>
    </row>
    <row r="3118" spans="2:15" x14ac:dyDescent="0.2">
      <c r="B3118" t="s">
        <v>1433</v>
      </c>
      <c r="C3118" t="s">
        <v>12898</v>
      </c>
      <c r="D3118" t="s">
        <v>613</v>
      </c>
      <c r="E3118" t="s">
        <v>9596</v>
      </c>
      <c r="F3118">
        <v>3.6</v>
      </c>
      <c r="G3118" t="s">
        <v>9597</v>
      </c>
      <c r="L3118" t="s">
        <v>19</v>
      </c>
      <c r="M3118" t="s">
        <v>1237</v>
      </c>
      <c r="N3118" t="s">
        <v>3903</v>
      </c>
      <c r="O3118">
        <v>1</v>
      </c>
    </row>
    <row r="3119" spans="2:15" x14ac:dyDescent="0.2">
      <c r="B3119" t="s">
        <v>1433</v>
      </c>
      <c r="C3119" t="s">
        <v>12898</v>
      </c>
      <c r="D3119" t="s">
        <v>613</v>
      </c>
      <c r="E3119" t="s">
        <v>9598</v>
      </c>
      <c r="F3119">
        <v>2.7</v>
      </c>
      <c r="G3119" t="s">
        <v>9314</v>
      </c>
      <c r="L3119" t="s">
        <v>19</v>
      </c>
      <c r="M3119" t="s">
        <v>1226</v>
      </c>
      <c r="N3119" t="s">
        <v>3903</v>
      </c>
      <c r="O3119">
        <v>1</v>
      </c>
    </row>
    <row r="3120" spans="2:15" x14ac:dyDescent="0.2">
      <c r="B3120" t="s">
        <v>1433</v>
      </c>
      <c r="C3120" t="s">
        <v>12898</v>
      </c>
      <c r="D3120" t="s">
        <v>613</v>
      </c>
      <c r="E3120" t="s">
        <v>9599</v>
      </c>
      <c r="F3120">
        <v>15</v>
      </c>
      <c r="G3120" t="s">
        <v>5267</v>
      </c>
      <c r="L3120" t="s">
        <v>19</v>
      </c>
      <c r="M3120" t="s">
        <v>1228</v>
      </c>
      <c r="N3120" t="s">
        <v>3903</v>
      </c>
      <c r="O3120">
        <v>1</v>
      </c>
    </row>
    <row r="3121" spans="2:15" x14ac:dyDescent="0.2">
      <c r="B3121" t="s">
        <v>1433</v>
      </c>
      <c r="C3121" t="s">
        <v>12898</v>
      </c>
      <c r="D3121" t="s">
        <v>613</v>
      </c>
      <c r="E3121" t="s">
        <v>9600</v>
      </c>
      <c r="F3121">
        <v>8.4499999999999993</v>
      </c>
      <c r="G3121" t="s">
        <v>9601</v>
      </c>
      <c r="L3121" t="s">
        <v>19</v>
      </c>
      <c r="M3121" t="s">
        <v>1232</v>
      </c>
      <c r="N3121" t="s">
        <v>3903</v>
      </c>
      <c r="O3121">
        <v>1</v>
      </c>
    </row>
    <row r="3122" spans="2:15" x14ac:dyDescent="0.2">
      <c r="B3122" t="s">
        <v>1433</v>
      </c>
      <c r="C3122" t="s">
        <v>12898</v>
      </c>
      <c r="D3122" t="s">
        <v>613</v>
      </c>
      <c r="E3122" t="s">
        <v>9602</v>
      </c>
      <c r="F3122">
        <v>19.399999999999999</v>
      </c>
      <c r="G3122" t="s">
        <v>7717</v>
      </c>
      <c r="L3122" t="s">
        <v>19</v>
      </c>
      <c r="M3122" t="s">
        <v>1234</v>
      </c>
      <c r="N3122" t="s">
        <v>3903</v>
      </c>
      <c r="O3122">
        <v>1</v>
      </c>
    </row>
    <row r="3123" spans="2:15" x14ac:dyDescent="0.2">
      <c r="B3123" t="s">
        <v>1433</v>
      </c>
      <c r="C3123" t="s">
        <v>12898</v>
      </c>
      <c r="D3123" t="s">
        <v>613</v>
      </c>
      <c r="E3123" t="s">
        <v>9603</v>
      </c>
      <c r="F3123">
        <v>9</v>
      </c>
      <c r="G3123" t="s">
        <v>7714</v>
      </c>
      <c r="L3123" t="s">
        <v>19</v>
      </c>
      <c r="M3123" t="s">
        <v>1229</v>
      </c>
      <c r="N3123" t="s">
        <v>3903</v>
      </c>
      <c r="O3123">
        <v>1</v>
      </c>
    </row>
    <row r="3124" spans="2:15" x14ac:dyDescent="0.2">
      <c r="B3124" t="s">
        <v>1433</v>
      </c>
      <c r="C3124" t="s">
        <v>12898</v>
      </c>
      <c r="D3124" t="s">
        <v>613</v>
      </c>
      <c r="E3124" t="s">
        <v>9604</v>
      </c>
      <c r="F3124">
        <v>2.63</v>
      </c>
      <c r="G3124" t="s">
        <v>9605</v>
      </c>
      <c r="L3124" t="s">
        <v>19</v>
      </c>
      <c r="M3124" t="s">
        <v>1231</v>
      </c>
      <c r="N3124" t="s">
        <v>3903</v>
      </c>
      <c r="O3124">
        <v>1</v>
      </c>
    </row>
    <row r="3125" spans="2:15" x14ac:dyDescent="0.2">
      <c r="B3125" t="s">
        <v>1433</v>
      </c>
      <c r="C3125" t="s">
        <v>12898</v>
      </c>
      <c r="D3125" t="s">
        <v>613</v>
      </c>
      <c r="E3125" t="s">
        <v>9606</v>
      </c>
      <c r="F3125">
        <v>0.66</v>
      </c>
      <c r="G3125" t="s">
        <v>9607</v>
      </c>
      <c r="L3125" t="s">
        <v>19</v>
      </c>
      <c r="M3125" t="s">
        <v>1249</v>
      </c>
      <c r="N3125" t="s">
        <v>3903</v>
      </c>
      <c r="O3125">
        <v>1</v>
      </c>
    </row>
    <row r="3126" spans="2:15" x14ac:dyDescent="0.2">
      <c r="B3126" t="s">
        <v>1433</v>
      </c>
      <c r="C3126" t="s">
        <v>12898</v>
      </c>
      <c r="D3126" t="s">
        <v>613</v>
      </c>
      <c r="E3126" t="s">
        <v>9608</v>
      </c>
      <c r="F3126">
        <v>37.33</v>
      </c>
      <c r="G3126" t="s">
        <v>5242</v>
      </c>
      <c r="L3126" t="s">
        <v>19</v>
      </c>
      <c r="M3126" t="s">
        <v>1246</v>
      </c>
      <c r="N3126" t="s">
        <v>3903</v>
      </c>
      <c r="O3126">
        <v>1</v>
      </c>
    </row>
    <row r="3127" spans="2:15" x14ac:dyDescent="0.2">
      <c r="B3127" t="s">
        <v>1433</v>
      </c>
      <c r="C3127" t="s">
        <v>12898</v>
      </c>
      <c r="D3127" t="s">
        <v>613</v>
      </c>
      <c r="E3127" t="s">
        <v>9609</v>
      </c>
      <c r="F3127">
        <v>25.5</v>
      </c>
      <c r="G3127" t="s">
        <v>5244</v>
      </c>
      <c r="L3127" t="s">
        <v>19</v>
      </c>
      <c r="M3127" t="s">
        <v>1248</v>
      </c>
      <c r="N3127" t="s">
        <v>3903</v>
      </c>
      <c r="O3127">
        <v>1</v>
      </c>
    </row>
    <row r="3128" spans="2:15" x14ac:dyDescent="0.2">
      <c r="B3128" t="s">
        <v>1433</v>
      </c>
      <c r="C3128" t="s">
        <v>12898</v>
      </c>
      <c r="D3128" t="s">
        <v>621</v>
      </c>
      <c r="E3128" t="s">
        <v>9610</v>
      </c>
      <c r="F3128">
        <v>47.54</v>
      </c>
      <c r="G3128" t="s">
        <v>2827</v>
      </c>
      <c r="L3128" t="s">
        <v>19</v>
      </c>
      <c r="M3128" t="s">
        <v>1429</v>
      </c>
      <c r="N3128" t="s">
        <v>3903</v>
      </c>
      <c r="O3128">
        <v>1</v>
      </c>
    </row>
    <row r="3129" spans="2:15" x14ac:dyDescent="0.2">
      <c r="B3129" t="s">
        <v>1433</v>
      </c>
      <c r="C3129" t="s">
        <v>12898</v>
      </c>
      <c r="D3129" t="s">
        <v>613</v>
      </c>
      <c r="E3129" t="s">
        <v>9611</v>
      </c>
      <c r="F3129">
        <v>14</v>
      </c>
      <c r="G3129" t="s">
        <v>6747</v>
      </c>
      <c r="L3129" t="s">
        <v>19</v>
      </c>
      <c r="M3129" t="s">
        <v>1257</v>
      </c>
      <c r="N3129" t="s">
        <v>3903</v>
      </c>
      <c r="O3129">
        <v>1</v>
      </c>
    </row>
    <row r="3130" spans="2:15" x14ac:dyDescent="0.2">
      <c r="B3130" t="s">
        <v>1433</v>
      </c>
      <c r="C3130" t="s">
        <v>12898</v>
      </c>
      <c r="D3130" t="s">
        <v>613</v>
      </c>
      <c r="E3130" t="s">
        <v>9612</v>
      </c>
      <c r="F3130">
        <v>8.16</v>
      </c>
      <c r="G3130" t="s">
        <v>9420</v>
      </c>
      <c r="L3130" t="s">
        <v>19</v>
      </c>
      <c r="M3130" t="s">
        <v>1259</v>
      </c>
      <c r="N3130" t="s">
        <v>3903</v>
      </c>
      <c r="O3130">
        <v>1</v>
      </c>
    </row>
    <row r="3131" spans="2:15" x14ac:dyDescent="0.2">
      <c r="B3131" t="s">
        <v>1433</v>
      </c>
      <c r="C3131" t="s">
        <v>12898</v>
      </c>
      <c r="D3131" t="s">
        <v>613</v>
      </c>
      <c r="E3131" t="s">
        <v>9613</v>
      </c>
      <c r="F3131">
        <v>8.25</v>
      </c>
      <c r="G3131" t="s">
        <v>7705</v>
      </c>
      <c r="L3131" t="s">
        <v>19</v>
      </c>
      <c r="M3131" t="s">
        <v>1260</v>
      </c>
      <c r="N3131" t="s">
        <v>3903</v>
      </c>
      <c r="O3131">
        <v>1</v>
      </c>
    </row>
    <row r="3132" spans="2:15" x14ac:dyDescent="0.2">
      <c r="B3132" t="s">
        <v>1433</v>
      </c>
      <c r="C3132" t="s">
        <v>12898</v>
      </c>
      <c r="D3132" t="s">
        <v>613</v>
      </c>
      <c r="E3132" t="s">
        <v>9614</v>
      </c>
      <c r="F3132">
        <v>24</v>
      </c>
      <c r="G3132" t="s">
        <v>6752</v>
      </c>
      <c r="L3132" t="s">
        <v>19</v>
      </c>
      <c r="M3132" t="s">
        <v>1255</v>
      </c>
      <c r="N3132" t="s">
        <v>3903</v>
      </c>
      <c r="O3132">
        <v>1</v>
      </c>
    </row>
    <row r="3133" spans="2:15" x14ac:dyDescent="0.2">
      <c r="B3133" t="s">
        <v>1433</v>
      </c>
      <c r="C3133" t="s">
        <v>12898</v>
      </c>
      <c r="D3133" t="s">
        <v>84</v>
      </c>
      <c r="E3133" t="s">
        <v>9615</v>
      </c>
      <c r="F3133">
        <v>40</v>
      </c>
      <c r="G3133" t="s">
        <v>9616</v>
      </c>
      <c r="L3133" t="s">
        <v>19</v>
      </c>
      <c r="M3133" t="s">
        <v>1243</v>
      </c>
      <c r="N3133" t="s">
        <v>4374</v>
      </c>
      <c r="O3133">
        <v>4</v>
      </c>
    </row>
    <row r="3134" spans="2:15" x14ac:dyDescent="0.2">
      <c r="B3134" t="s">
        <v>1433</v>
      </c>
      <c r="C3134" t="s">
        <v>12898</v>
      </c>
      <c r="D3134" t="s">
        <v>84</v>
      </c>
      <c r="E3134" t="s">
        <v>9617</v>
      </c>
      <c r="F3134">
        <v>30</v>
      </c>
      <c r="G3134" t="s">
        <v>9618</v>
      </c>
      <c r="L3134" t="s">
        <v>19</v>
      </c>
      <c r="M3134" t="s">
        <v>1274</v>
      </c>
      <c r="N3134" t="s">
        <v>4375</v>
      </c>
      <c r="O3134">
        <v>1</v>
      </c>
    </row>
    <row r="3135" spans="2:15" x14ac:dyDescent="0.2">
      <c r="B3135" t="s">
        <v>1433</v>
      </c>
      <c r="C3135" t="s">
        <v>12898</v>
      </c>
      <c r="D3135" t="s">
        <v>84</v>
      </c>
      <c r="E3135" t="s">
        <v>9619</v>
      </c>
      <c r="F3135">
        <v>25</v>
      </c>
      <c r="G3135" t="s">
        <v>9620</v>
      </c>
      <c r="L3135" t="s">
        <v>19</v>
      </c>
      <c r="M3135" t="s">
        <v>2539</v>
      </c>
      <c r="N3135" t="s">
        <v>4376</v>
      </c>
      <c r="O3135">
        <v>1</v>
      </c>
    </row>
    <row r="3136" spans="2:15" x14ac:dyDescent="0.2">
      <c r="B3136" t="s">
        <v>1433</v>
      </c>
      <c r="C3136" t="s">
        <v>12898</v>
      </c>
      <c r="D3136" t="s">
        <v>613</v>
      </c>
      <c r="E3136" t="s">
        <v>9621</v>
      </c>
      <c r="F3136">
        <v>4.6500000000000004</v>
      </c>
      <c r="G3136" t="s">
        <v>9622</v>
      </c>
      <c r="L3136" t="s">
        <v>19</v>
      </c>
      <c r="M3136" t="s">
        <v>2540</v>
      </c>
      <c r="N3136" t="s">
        <v>4376</v>
      </c>
      <c r="O3136">
        <v>1</v>
      </c>
    </row>
    <row r="3137" spans="2:15" x14ac:dyDescent="0.2">
      <c r="B3137" t="s">
        <v>1433</v>
      </c>
      <c r="C3137" t="s">
        <v>12898</v>
      </c>
      <c r="D3137" t="s">
        <v>613</v>
      </c>
      <c r="E3137" t="s">
        <v>9623</v>
      </c>
      <c r="F3137">
        <v>4.5</v>
      </c>
      <c r="G3137" t="s">
        <v>9624</v>
      </c>
      <c r="L3137" t="s">
        <v>19</v>
      </c>
      <c r="M3137" t="s">
        <v>1561</v>
      </c>
      <c r="N3137" t="s">
        <v>4377</v>
      </c>
      <c r="O3137">
        <v>2</v>
      </c>
    </row>
    <row r="3138" spans="2:15" x14ac:dyDescent="0.2">
      <c r="B3138" t="s">
        <v>1433</v>
      </c>
      <c r="C3138" t="s">
        <v>12898</v>
      </c>
      <c r="D3138" t="s">
        <v>613</v>
      </c>
      <c r="E3138" t="s">
        <v>9625</v>
      </c>
      <c r="F3138">
        <v>2.21</v>
      </c>
      <c r="G3138" t="s">
        <v>7909</v>
      </c>
      <c r="L3138" t="s">
        <v>19</v>
      </c>
      <c r="M3138" t="s">
        <v>4378</v>
      </c>
      <c r="N3138" t="s">
        <v>4377</v>
      </c>
      <c r="O3138">
        <v>2</v>
      </c>
    </row>
    <row r="3139" spans="2:15" x14ac:dyDescent="0.2">
      <c r="B3139" t="s">
        <v>1433</v>
      </c>
      <c r="C3139" t="s">
        <v>12898</v>
      </c>
      <c r="D3139" t="s">
        <v>613</v>
      </c>
      <c r="E3139" t="s">
        <v>9626</v>
      </c>
      <c r="F3139">
        <v>1.08</v>
      </c>
      <c r="G3139" t="s">
        <v>9627</v>
      </c>
      <c r="L3139" t="s">
        <v>19</v>
      </c>
      <c r="M3139" t="s">
        <v>1559</v>
      </c>
      <c r="N3139" t="s">
        <v>4342</v>
      </c>
      <c r="O3139">
        <v>2</v>
      </c>
    </row>
    <row r="3140" spans="2:15" x14ac:dyDescent="0.2">
      <c r="B3140" t="s">
        <v>1433</v>
      </c>
      <c r="C3140" t="s">
        <v>12898</v>
      </c>
      <c r="D3140" t="s">
        <v>617</v>
      </c>
      <c r="E3140" t="s">
        <v>9628</v>
      </c>
      <c r="F3140">
        <v>144.22</v>
      </c>
      <c r="H3140" t="s">
        <v>1883</v>
      </c>
      <c r="L3140" t="s">
        <v>19</v>
      </c>
      <c r="M3140" t="s">
        <v>2330</v>
      </c>
      <c r="N3140" t="s">
        <v>4379</v>
      </c>
      <c r="O3140">
        <v>1</v>
      </c>
    </row>
    <row r="3141" spans="2:15" x14ac:dyDescent="0.2">
      <c r="B3141" t="s">
        <v>1433</v>
      </c>
      <c r="C3141" t="s">
        <v>12898</v>
      </c>
      <c r="D3141" t="s">
        <v>617</v>
      </c>
      <c r="E3141" t="s">
        <v>9629</v>
      </c>
      <c r="F3141">
        <v>42.44</v>
      </c>
      <c r="H3141" t="s">
        <v>1883</v>
      </c>
      <c r="L3141" t="s">
        <v>19</v>
      </c>
      <c r="M3141" t="s">
        <v>1281</v>
      </c>
      <c r="N3141" t="s">
        <v>4380</v>
      </c>
      <c r="O3141">
        <v>1</v>
      </c>
    </row>
    <row r="3142" spans="2:15" x14ac:dyDescent="0.2">
      <c r="B3142" t="s">
        <v>1433</v>
      </c>
      <c r="C3142" t="s">
        <v>12898</v>
      </c>
      <c r="D3142" t="s">
        <v>617</v>
      </c>
      <c r="E3142" t="s">
        <v>9630</v>
      </c>
      <c r="F3142">
        <v>134.4</v>
      </c>
      <c r="H3142" t="s">
        <v>1983</v>
      </c>
      <c r="L3142" t="s">
        <v>19</v>
      </c>
      <c r="M3142" t="s">
        <v>2623</v>
      </c>
      <c r="N3142" t="s">
        <v>4381</v>
      </c>
      <c r="O3142">
        <v>1</v>
      </c>
    </row>
    <row r="3143" spans="2:15" x14ac:dyDescent="0.2">
      <c r="B3143" t="s">
        <v>1433</v>
      </c>
      <c r="C3143" t="s">
        <v>12898</v>
      </c>
      <c r="D3143" t="s">
        <v>613</v>
      </c>
      <c r="E3143" t="s">
        <v>9631</v>
      </c>
      <c r="F3143">
        <v>6.75</v>
      </c>
      <c r="G3143" t="s">
        <v>9632</v>
      </c>
      <c r="L3143" t="s">
        <v>19</v>
      </c>
      <c r="M3143" t="s">
        <v>4382</v>
      </c>
      <c r="N3143" t="s">
        <v>4383</v>
      </c>
      <c r="O3143">
        <v>1</v>
      </c>
    </row>
    <row r="3144" spans="2:15" x14ac:dyDescent="0.2">
      <c r="B3144" t="s">
        <v>1433</v>
      </c>
      <c r="C3144" t="s">
        <v>12898</v>
      </c>
      <c r="D3144" t="s">
        <v>617</v>
      </c>
      <c r="E3144" t="s">
        <v>9633</v>
      </c>
      <c r="F3144">
        <v>1022.4</v>
      </c>
      <c r="H3144" t="s">
        <v>2885</v>
      </c>
      <c r="L3144" t="s">
        <v>19</v>
      </c>
      <c r="M3144" t="s">
        <v>1560</v>
      </c>
      <c r="N3144" t="s">
        <v>4384</v>
      </c>
      <c r="O3144">
        <v>20</v>
      </c>
    </row>
    <row r="3145" spans="2:15" x14ac:dyDescent="0.2">
      <c r="B3145" t="s">
        <v>1433</v>
      </c>
      <c r="C3145" t="s">
        <v>12898</v>
      </c>
      <c r="D3145" t="s">
        <v>617</v>
      </c>
      <c r="E3145" t="s">
        <v>9634</v>
      </c>
      <c r="F3145">
        <v>1439</v>
      </c>
      <c r="H3145" t="s">
        <v>2886</v>
      </c>
      <c r="L3145" t="s">
        <v>19</v>
      </c>
      <c r="M3145" t="s">
        <v>3270</v>
      </c>
      <c r="N3145" t="s">
        <v>3927</v>
      </c>
      <c r="O3145">
        <v>1</v>
      </c>
    </row>
    <row r="3146" spans="2:15" x14ac:dyDescent="0.2">
      <c r="B3146" t="s">
        <v>1433</v>
      </c>
      <c r="C3146" t="s">
        <v>12898</v>
      </c>
      <c r="D3146" t="s">
        <v>617</v>
      </c>
      <c r="E3146" t="s">
        <v>9635</v>
      </c>
      <c r="F3146">
        <v>2044.8</v>
      </c>
      <c r="H3146" t="s">
        <v>2887</v>
      </c>
      <c r="L3146" t="s">
        <v>19</v>
      </c>
      <c r="M3146" t="s">
        <v>1279</v>
      </c>
      <c r="N3146" t="s">
        <v>3927</v>
      </c>
      <c r="O3146">
        <v>1</v>
      </c>
    </row>
    <row r="3147" spans="2:15" x14ac:dyDescent="0.2">
      <c r="B3147" t="s">
        <v>1433</v>
      </c>
      <c r="C3147" t="s">
        <v>12898</v>
      </c>
      <c r="D3147" t="s">
        <v>617</v>
      </c>
      <c r="E3147" t="s">
        <v>9636</v>
      </c>
      <c r="F3147">
        <v>775</v>
      </c>
      <c r="H3147" t="s">
        <v>2888</v>
      </c>
      <c r="L3147" t="s">
        <v>19</v>
      </c>
      <c r="M3147" t="s">
        <v>1286</v>
      </c>
      <c r="N3147" t="s">
        <v>4385</v>
      </c>
      <c r="O3147">
        <v>1</v>
      </c>
    </row>
    <row r="3148" spans="2:15" x14ac:dyDescent="0.2">
      <c r="B3148" t="s">
        <v>1433</v>
      </c>
      <c r="C3148" t="s">
        <v>12898</v>
      </c>
      <c r="D3148" t="s">
        <v>617</v>
      </c>
      <c r="E3148" t="s">
        <v>9637</v>
      </c>
      <c r="F3148">
        <v>775</v>
      </c>
      <c r="H3148" t="s">
        <v>2883</v>
      </c>
      <c r="L3148" t="s">
        <v>19</v>
      </c>
      <c r="M3148" t="s">
        <v>2625</v>
      </c>
      <c r="N3148" t="s">
        <v>3929</v>
      </c>
      <c r="O3148">
        <v>1</v>
      </c>
    </row>
    <row r="3149" spans="2:15" x14ac:dyDescent="0.2">
      <c r="B3149" t="s">
        <v>1433</v>
      </c>
      <c r="C3149" t="s">
        <v>12898</v>
      </c>
      <c r="D3149" t="s">
        <v>617</v>
      </c>
      <c r="E3149" t="s">
        <v>9638</v>
      </c>
      <c r="F3149">
        <v>152.80000000000001</v>
      </c>
      <c r="H3149" t="s">
        <v>2853</v>
      </c>
      <c r="L3149" t="s">
        <v>19</v>
      </c>
      <c r="M3149" t="s">
        <v>2629</v>
      </c>
      <c r="N3149" t="s">
        <v>3929</v>
      </c>
      <c r="O3149">
        <v>1</v>
      </c>
    </row>
    <row r="3150" spans="2:15" x14ac:dyDescent="0.2">
      <c r="B3150" t="s">
        <v>1433</v>
      </c>
      <c r="C3150" t="s">
        <v>12898</v>
      </c>
      <c r="D3150" t="s">
        <v>617</v>
      </c>
      <c r="E3150" t="s">
        <v>9639</v>
      </c>
      <c r="F3150">
        <v>1.1200000000000001</v>
      </c>
      <c r="H3150" t="s">
        <v>2850</v>
      </c>
      <c r="L3150" t="s">
        <v>19</v>
      </c>
      <c r="M3150" t="s">
        <v>4386</v>
      </c>
      <c r="N3150" t="s">
        <v>4387</v>
      </c>
      <c r="O3150">
        <v>4</v>
      </c>
    </row>
    <row r="3151" spans="2:15" x14ac:dyDescent="0.2">
      <c r="B3151" t="s">
        <v>1433</v>
      </c>
      <c r="C3151" t="s">
        <v>12898</v>
      </c>
      <c r="D3151" t="s">
        <v>617</v>
      </c>
      <c r="E3151" t="s">
        <v>9640</v>
      </c>
      <c r="F3151">
        <v>4.6399999999999997</v>
      </c>
      <c r="H3151" t="s">
        <v>2852</v>
      </c>
      <c r="L3151" t="s">
        <v>19</v>
      </c>
      <c r="M3151" t="s">
        <v>1251</v>
      </c>
      <c r="N3151" t="s">
        <v>4375</v>
      </c>
      <c r="O3151">
        <v>1</v>
      </c>
    </row>
    <row r="3152" spans="2:15" x14ac:dyDescent="0.2">
      <c r="B3152" t="s">
        <v>1433</v>
      </c>
      <c r="C3152" t="s">
        <v>12898</v>
      </c>
      <c r="D3152" t="s">
        <v>617</v>
      </c>
      <c r="E3152" t="s">
        <v>9641</v>
      </c>
      <c r="F3152">
        <v>148.80000000000001</v>
      </c>
      <c r="H3152" t="s">
        <v>1633</v>
      </c>
      <c r="L3152" t="s">
        <v>19</v>
      </c>
      <c r="M3152" t="s">
        <v>1197</v>
      </c>
      <c r="N3152" t="s">
        <v>4388</v>
      </c>
      <c r="O3152">
        <v>1</v>
      </c>
    </row>
    <row r="3153" spans="2:15" x14ac:dyDescent="0.2">
      <c r="B3153" t="s">
        <v>1433</v>
      </c>
      <c r="C3153" t="s">
        <v>12898</v>
      </c>
      <c r="D3153" t="s">
        <v>617</v>
      </c>
      <c r="E3153" t="s">
        <v>9642</v>
      </c>
      <c r="F3153">
        <v>202</v>
      </c>
      <c r="G3153" t="s">
        <v>2895</v>
      </c>
      <c r="L3153" t="s">
        <v>19</v>
      </c>
      <c r="M3153" t="s">
        <v>1199</v>
      </c>
      <c r="N3153" t="s">
        <v>4388</v>
      </c>
      <c r="O3153">
        <v>1</v>
      </c>
    </row>
    <row r="3154" spans="2:15" x14ac:dyDescent="0.2">
      <c r="B3154" t="s">
        <v>1433</v>
      </c>
      <c r="C3154" t="s">
        <v>12898</v>
      </c>
      <c r="D3154" t="s">
        <v>621</v>
      </c>
      <c r="E3154" t="s">
        <v>9643</v>
      </c>
      <c r="F3154">
        <v>54.72</v>
      </c>
      <c r="G3154" t="s">
        <v>1907</v>
      </c>
      <c r="L3154" t="s">
        <v>19</v>
      </c>
      <c r="M3154" t="s">
        <v>2631</v>
      </c>
      <c r="N3154" t="s">
        <v>3931</v>
      </c>
      <c r="O3154">
        <v>1</v>
      </c>
    </row>
    <row r="3155" spans="2:15" x14ac:dyDescent="0.2">
      <c r="B3155" t="s">
        <v>1433</v>
      </c>
      <c r="C3155" t="s">
        <v>12898</v>
      </c>
      <c r="D3155" t="s">
        <v>613</v>
      </c>
      <c r="E3155" t="s">
        <v>9644</v>
      </c>
      <c r="F3155">
        <v>10.1</v>
      </c>
      <c r="G3155" t="s">
        <v>7661</v>
      </c>
      <c r="L3155" t="s">
        <v>19</v>
      </c>
      <c r="M3155" t="s">
        <v>4238</v>
      </c>
      <c r="N3155" t="s">
        <v>4389</v>
      </c>
      <c r="O3155">
        <v>4</v>
      </c>
    </row>
    <row r="3156" spans="2:15" x14ac:dyDescent="0.2">
      <c r="B3156" t="s">
        <v>1433</v>
      </c>
      <c r="C3156" t="s">
        <v>12898</v>
      </c>
      <c r="D3156" t="s">
        <v>613</v>
      </c>
      <c r="E3156" t="s">
        <v>9645</v>
      </c>
      <c r="F3156">
        <v>10.08</v>
      </c>
      <c r="G3156" t="s">
        <v>9305</v>
      </c>
      <c r="L3156" t="s">
        <v>19</v>
      </c>
      <c r="M3156" t="s">
        <v>2632</v>
      </c>
      <c r="N3156" t="s">
        <v>4390</v>
      </c>
      <c r="O3156">
        <v>1</v>
      </c>
    </row>
    <row r="3157" spans="2:15" x14ac:dyDescent="0.2">
      <c r="B3157" t="s">
        <v>1433</v>
      </c>
      <c r="C3157" t="s">
        <v>12898</v>
      </c>
      <c r="D3157" t="s">
        <v>613</v>
      </c>
      <c r="E3157" t="s">
        <v>9646</v>
      </c>
      <c r="F3157">
        <v>26.3</v>
      </c>
      <c r="G3157" t="s">
        <v>8605</v>
      </c>
      <c r="L3157" t="s">
        <v>19</v>
      </c>
      <c r="M3157" t="s">
        <v>1303</v>
      </c>
      <c r="N3157" t="s">
        <v>4391</v>
      </c>
      <c r="O3157">
        <v>1</v>
      </c>
    </row>
    <row r="3158" spans="2:15" x14ac:dyDescent="0.2">
      <c r="B3158" t="s">
        <v>1433</v>
      </c>
      <c r="C3158" t="s">
        <v>12898</v>
      </c>
      <c r="D3158" t="s">
        <v>613</v>
      </c>
      <c r="E3158" t="s">
        <v>9647</v>
      </c>
      <c r="F3158">
        <v>3.3</v>
      </c>
      <c r="G3158" t="s">
        <v>9410</v>
      </c>
      <c r="L3158" t="s">
        <v>19</v>
      </c>
      <c r="M3158" t="s">
        <v>4392</v>
      </c>
      <c r="N3158" t="s">
        <v>4393</v>
      </c>
      <c r="O3158">
        <v>1</v>
      </c>
    </row>
    <row r="3159" spans="2:15" x14ac:dyDescent="0.2">
      <c r="B3159" t="s">
        <v>1433</v>
      </c>
      <c r="C3159" t="s">
        <v>12898</v>
      </c>
      <c r="D3159" t="s">
        <v>613</v>
      </c>
      <c r="E3159" t="s">
        <v>9648</v>
      </c>
      <c r="F3159">
        <v>1.26</v>
      </c>
      <c r="G3159" t="s">
        <v>7699</v>
      </c>
      <c r="L3159" t="s">
        <v>19</v>
      </c>
      <c r="M3159" t="s">
        <v>1319</v>
      </c>
      <c r="N3159" t="s">
        <v>4394</v>
      </c>
      <c r="O3159">
        <v>1</v>
      </c>
    </row>
    <row r="3160" spans="2:15" x14ac:dyDescent="0.2">
      <c r="B3160" t="s">
        <v>1433</v>
      </c>
      <c r="C3160" t="s">
        <v>12898</v>
      </c>
      <c r="D3160" t="s">
        <v>613</v>
      </c>
      <c r="E3160" t="s">
        <v>9649</v>
      </c>
      <c r="F3160">
        <v>4.45</v>
      </c>
      <c r="G3160" t="s">
        <v>6884</v>
      </c>
      <c r="L3160" t="s">
        <v>19</v>
      </c>
      <c r="M3160" t="s">
        <v>1311</v>
      </c>
      <c r="N3160" t="s">
        <v>4395</v>
      </c>
      <c r="O3160">
        <v>1</v>
      </c>
    </row>
    <row r="3161" spans="2:15" x14ac:dyDescent="0.2">
      <c r="B3161" t="s">
        <v>1433</v>
      </c>
      <c r="C3161" t="s">
        <v>12898</v>
      </c>
      <c r="D3161" t="s">
        <v>613</v>
      </c>
      <c r="E3161" t="s">
        <v>9650</v>
      </c>
      <c r="F3161">
        <v>2.12</v>
      </c>
      <c r="G3161" t="s">
        <v>5263</v>
      </c>
      <c r="L3161" t="s">
        <v>19</v>
      </c>
      <c r="M3161" t="s">
        <v>1315</v>
      </c>
      <c r="N3161" t="s">
        <v>4395</v>
      </c>
      <c r="O3161">
        <v>1</v>
      </c>
    </row>
    <row r="3162" spans="2:15" x14ac:dyDescent="0.2">
      <c r="B3162" t="s">
        <v>1433</v>
      </c>
      <c r="C3162" t="s">
        <v>12898</v>
      </c>
      <c r="D3162" t="s">
        <v>613</v>
      </c>
      <c r="E3162" t="s">
        <v>9651</v>
      </c>
      <c r="F3162">
        <v>4.8</v>
      </c>
      <c r="G3162" t="s">
        <v>6752</v>
      </c>
      <c r="L3162" t="s">
        <v>19</v>
      </c>
      <c r="M3162" t="s">
        <v>1323</v>
      </c>
      <c r="N3162" t="s">
        <v>3946</v>
      </c>
      <c r="O3162">
        <v>1</v>
      </c>
    </row>
    <row r="3163" spans="2:15" x14ac:dyDescent="0.2">
      <c r="B3163" t="s">
        <v>1433</v>
      </c>
      <c r="C3163" t="s">
        <v>12898</v>
      </c>
      <c r="D3163" t="s">
        <v>613</v>
      </c>
      <c r="E3163" t="s">
        <v>9652</v>
      </c>
      <c r="F3163">
        <v>10</v>
      </c>
      <c r="G3163" t="s">
        <v>9314</v>
      </c>
      <c r="L3163" t="s">
        <v>19</v>
      </c>
      <c r="M3163" t="s">
        <v>1332</v>
      </c>
      <c r="N3163" t="s">
        <v>4396</v>
      </c>
      <c r="O3163">
        <v>1</v>
      </c>
    </row>
    <row r="3164" spans="2:15" x14ac:dyDescent="0.2">
      <c r="B3164" t="s">
        <v>1433</v>
      </c>
      <c r="C3164" t="s">
        <v>12898</v>
      </c>
      <c r="D3164" t="s">
        <v>613</v>
      </c>
      <c r="E3164" t="s">
        <v>9653</v>
      </c>
      <c r="F3164">
        <v>11</v>
      </c>
      <c r="G3164" t="s">
        <v>9315</v>
      </c>
      <c r="L3164" t="s">
        <v>19</v>
      </c>
      <c r="M3164" t="s">
        <v>1334</v>
      </c>
      <c r="N3164" t="s">
        <v>4396</v>
      </c>
      <c r="O3164">
        <v>1</v>
      </c>
    </row>
    <row r="3165" spans="2:15" x14ac:dyDescent="0.2">
      <c r="B3165" t="s">
        <v>1433</v>
      </c>
      <c r="C3165" t="s">
        <v>12898</v>
      </c>
      <c r="D3165" t="s">
        <v>617</v>
      </c>
      <c r="E3165" t="s">
        <v>9655</v>
      </c>
      <c r="F3165">
        <v>75.3</v>
      </c>
      <c r="G3165" t="s">
        <v>3426</v>
      </c>
      <c r="L3165" t="s">
        <v>19</v>
      </c>
      <c r="M3165" t="s">
        <v>1338</v>
      </c>
      <c r="N3165" t="s">
        <v>4396</v>
      </c>
      <c r="O3165">
        <v>1</v>
      </c>
    </row>
    <row r="3166" spans="2:15" x14ac:dyDescent="0.2">
      <c r="B3166" t="s">
        <v>1433</v>
      </c>
      <c r="C3166" t="s">
        <v>12898</v>
      </c>
      <c r="D3166" t="s">
        <v>613</v>
      </c>
      <c r="E3166" t="s">
        <v>9656</v>
      </c>
      <c r="F3166">
        <v>37.33</v>
      </c>
      <c r="G3166" t="s">
        <v>5242</v>
      </c>
      <c r="L3166" t="s">
        <v>19</v>
      </c>
      <c r="M3166" t="s">
        <v>1340</v>
      </c>
      <c r="N3166" t="s">
        <v>4396</v>
      </c>
      <c r="O3166">
        <v>1</v>
      </c>
    </row>
    <row r="3167" spans="2:15" x14ac:dyDescent="0.2">
      <c r="B3167" t="s">
        <v>1433</v>
      </c>
      <c r="C3167" t="s">
        <v>12898</v>
      </c>
      <c r="D3167" t="s">
        <v>613</v>
      </c>
      <c r="E3167" t="s">
        <v>9657</v>
      </c>
      <c r="F3167">
        <v>17</v>
      </c>
      <c r="G3167" t="s">
        <v>5244</v>
      </c>
      <c r="L3167" t="s">
        <v>19</v>
      </c>
      <c r="M3167" t="s">
        <v>1336</v>
      </c>
      <c r="N3167" t="s">
        <v>4396</v>
      </c>
      <c r="O3167">
        <v>1</v>
      </c>
    </row>
    <row r="3168" spans="2:15" x14ac:dyDescent="0.2">
      <c r="B3168" t="s">
        <v>1433</v>
      </c>
      <c r="C3168" t="s">
        <v>12898</v>
      </c>
      <c r="D3168" t="s">
        <v>84</v>
      </c>
      <c r="E3168" t="s">
        <v>9658</v>
      </c>
      <c r="F3168">
        <v>90.4</v>
      </c>
      <c r="G3168" t="s">
        <v>9659</v>
      </c>
      <c r="L3168" t="s">
        <v>19</v>
      </c>
      <c r="M3168" t="s">
        <v>2347</v>
      </c>
      <c r="N3168" t="s">
        <v>4397</v>
      </c>
      <c r="O3168">
        <v>1</v>
      </c>
    </row>
    <row r="3169" spans="2:15" x14ac:dyDescent="0.2">
      <c r="B3169" t="s">
        <v>1433</v>
      </c>
      <c r="C3169" t="s">
        <v>12898</v>
      </c>
      <c r="D3169" t="s">
        <v>84</v>
      </c>
      <c r="E3169" t="s">
        <v>9660</v>
      </c>
      <c r="F3169">
        <v>68</v>
      </c>
      <c r="G3169" t="s">
        <v>9661</v>
      </c>
      <c r="L3169" t="s">
        <v>19</v>
      </c>
      <c r="M3169" t="s">
        <v>1344</v>
      </c>
      <c r="N3169" t="s">
        <v>4398</v>
      </c>
      <c r="O3169">
        <v>1</v>
      </c>
    </row>
    <row r="3170" spans="2:15" x14ac:dyDescent="0.2">
      <c r="B3170" t="s">
        <v>1433</v>
      </c>
      <c r="C3170" t="s">
        <v>12898</v>
      </c>
      <c r="D3170" t="s">
        <v>84</v>
      </c>
      <c r="E3170" t="s">
        <v>9662</v>
      </c>
      <c r="F3170">
        <v>35</v>
      </c>
      <c r="G3170" t="s">
        <v>9663</v>
      </c>
      <c r="L3170" t="s">
        <v>19</v>
      </c>
      <c r="M3170" t="s">
        <v>2330</v>
      </c>
      <c r="N3170" t="s">
        <v>4399</v>
      </c>
      <c r="O3170">
        <v>2</v>
      </c>
    </row>
    <row r="3171" spans="2:15" x14ac:dyDescent="0.2">
      <c r="B3171" t="s">
        <v>1433</v>
      </c>
      <c r="C3171" t="s">
        <v>12898</v>
      </c>
      <c r="D3171" t="s">
        <v>84</v>
      </c>
      <c r="E3171" t="s">
        <v>9664</v>
      </c>
      <c r="F3171">
        <v>52.5</v>
      </c>
      <c r="G3171" t="s">
        <v>9665</v>
      </c>
      <c r="L3171" t="s">
        <v>19</v>
      </c>
      <c r="M3171" t="s">
        <v>1243</v>
      </c>
      <c r="N3171" t="s">
        <v>4400</v>
      </c>
      <c r="O3171">
        <v>10</v>
      </c>
    </row>
    <row r="3172" spans="2:15" x14ac:dyDescent="0.2">
      <c r="B3172" t="s">
        <v>1433</v>
      </c>
      <c r="C3172" t="s">
        <v>12898</v>
      </c>
      <c r="D3172" t="s">
        <v>84</v>
      </c>
      <c r="E3172" t="s">
        <v>9666</v>
      </c>
      <c r="F3172">
        <v>48</v>
      </c>
      <c r="G3172" t="s">
        <v>9667</v>
      </c>
      <c r="L3172" t="s">
        <v>19</v>
      </c>
      <c r="M3172" t="s">
        <v>4401</v>
      </c>
      <c r="N3172" t="s">
        <v>4402</v>
      </c>
      <c r="O3172">
        <v>2</v>
      </c>
    </row>
    <row r="3173" spans="2:15" x14ac:dyDescent="0.2">
      <c r="B3173" t="s">
        <v>1433</v>
      </c>
      <c r="C3173" t="s">
        <v>12898</v>
      </c>
      <c r="D3173" t="s">
        <v>84</v>
      </c>
      <c r="E3173" t="s">
        <v>9668</v>
      </c>
      <c r="F3173">
        <v>32</v>
      </c>
      <c r="G3173" t="s">
        <v>9669</v>
      </c>
      <c r="L3173" t="s">
        <v>19</v>
      </c>
      <c r="M3173" t="s">
        <v>4176</v>
      </c>
      <c r="N3173" t="s">
        <v>4403</v>
      </c>
      <c r="O3173">
        <v>6</v>
      </c>
    </row>
    <row r="3174" spans="2:15" x14ac:dyDescent="0.2">
      <c r="B3174" t="s">
        <v>1433</v>
      </c>
      <c r="C3174" t="s">
        <v>12898</v>
      </c>
      <c r="D3174" t="s">
        <v>84</v>
      </c>
      <c r="E3174" t="s">
        <v>9670</v>
      </c>
      <c r="F3174">
        <v>85</v>
      </c>
      <c r="G3174" t="s">
        <v>9671</v>
      </c>
      <c r="L3174" t="s">
        <v>19</v>
      </c>
      <c r="M3174" t="s">
        <v>2179</v>
      </c>
      <c r="N3174" t="s">
        <v>4404</v>
      </c>
      <c r="O3174">
        <v>1</v>
      </c>
    </row>
    <row r="3175" spans="2:15" x14ac:dyDescent="0.2">
      <c r="B3175" t="s">
        <v>1433</v>
      </c>
      <c r="C3175" t="s">
        <v>12898</v>
      </c>
      <c r="D3175" t="s">
        <v>84</v>
      </c>
      <c r="E3175" t="s">
        <v>9672</v>
      </c>
      <c r="F3175">
        <v>60</v>
      </c>
      <c r="G3175" t="s">
        <v>9673</v>
      </c>
      <c r="L3175" t="s">
        <v>19</v>
      </c>
      <c r="M3175" t="s">
        <v>1356</v>
      </c>
      <c r="N3175" t="s">
        <v>4405</v>
      </c>
      <c r="O3175">
        <v>1</v>
      </c>
    </row>
    <row r="3176" spans="2:15" x14ac:dyDescent="0.2">
      <c r="B3176" t="s">
        <v>1433</v>
      </c>
      <c r="C3176" t="s">
        <v>12898</v>
      </c>
      <c r="D3176" t="s">
        <v>84</v>
      </c>
      <c r="E3176" t="s">
        <v>9674</v>
      </c>
      <c r="F3176">
        <v>52.5</v>
      </c>
      <c r="G3176" t="s">
        <v>9675</v>
      </c>
      <c r="L3176" t="s">
        <v>19</v>
      </c>
      <c r="M3176" t="s">
        <v>2018</v>
      </c>
      <c r="N3176" t="s">
        <v>4403</v>
      </c>
      <c r="O3176">
        <v>6</v>
      </c>
    </row>
    <row r="3177" spans="2:15" x14ac:dyDescent="0.2">
      <c r="B3177" t="s">
        <v>1433</v>
      </c>
      <c r="C3177" t="s">
        <v>12898</v>
      </c>
      <c r="D3177" t="s">
        <v>613</v>
      </c>
      <c r="E3177" t="s">
        <v>9676</v>
      </c>
      <c r="F3177">
        <v>6.84</v>
      </c>
      <c r="G3177" t="s">
        <v>9622</v>
      </c>
      <c r="L3177" t="s">
        <v>19</v>
      </c>
      <c r="M3177" t="s">
        <v>4406</v>
      </c>
      <c r="N3177" t="s">
        <v>4407</v>
      </c>
      <c r="O3177">
        <v>60</v>
      </c>
    </row>
    <row r="3178" spans="2:15" x14ac:dyDescent="0.2">
      <c r="B3178" t="s">
        <v>1433</v>
      </c>
      <c r="C3178" t="s">
        <v>12898</v>
      </c>
      <c r="D3178" t="s">
        <v>613</v>
      </c>
      <c r="E3178" t="s">
        <v>9677</v>
      </c>
      <c r="F3178">
        <v>7.76</v>
      </c>
      <c r="G3178" t="s">
        <v>9678</v>
      </c>
      <c r="L3178" t="s">
        <v>19</v>
      </c>
      <c r="M3178" t="s">
        <v>4408</v>
      </c>
      <c r="N3178" t="s">
        <v>4409</v>
      </c>
      <c r="O3178">
        <v>1</v>
      </c>
    </row>
    <row r="3179" spans="2:15" x14ac:dyDescent="0.2">
      <c r="B3179" t="s">
        <v>1433</v>
      </c>
      <c r="C3179" t="s">
        <v>12898</v>
      </c>
      <c r="D3179" t="s">
        <v>613</v>
      </c>
      <c r="E3179" t="s">
        <v>9679</v>
      </c>
      <c r="F3179">
        <v>3.14</v>
      </c>
      <c r="G3179" t="s">
        <v>7020</v>
      </c>
      <c r="L3179" t="s">
        <v>19</v>
      </c>
      <c r="M3179" t="s">
        <v>4339</v>
      </c>
      <c r="N3179" t="s">
        <v>4409</v>
      </c>
      <c r="O3179">
        <v>1</v>
      </c>
    </row>
    <row r="3180" spans="2:15" x14ac:dyDescent="0.2">
      <c r="B3180" t="s">
        <v>1433</v>
      </c>
      <c r="C3180" t="s">
        <v>12898</v>
      </c>
      <c r="D3180" t="s">
        <v>613</v>
      </c>
      <c r="E3180" t="s">
        <v>9680</v>
      </c>
      <c r="F3180">
        <v>8.1</v>
      </c>
      <c r="G3180" t="s">
        <v>9632</v>
      </c>
      <c r="L3180" t="s">
        <v>19</v>
      </c>
      <c r="M3180" t="s">
        <v>2330</v>
      </c>
      <c r="N3180" t="s">
        <v>4410</v>
      </c>
      <c r="O3180">
        <v>2</v>
      </c>
    </row>
    <row r="3181" spans="2:15" x14ac:dyDescent="0.2">
      <c r="B3181" t="s">
        <v>1433</v>
      </c>
      <c r="C3181" t="s">
        <v>12898</v>
      </c>
      <c r="D3181" t="s">
        <v>613</v>
      </c>
      <c r="E3181" t="s">
        <v>9681</v>
      </c>
      <c r="F3181">
        <v>9.3000000000000007</v>
      </c>
      <c r="G3181" t="s">
        <v>6865</v>
      </c>
      <c r="L3181" t="s">
        <v>19</v>
      </c>
      <c r="M3181" t="s">
        <v>1370</v>
      </c>
      <c r="N3181" t="s">
        <v>4411</v>
      </c>
      <c r="O3181">
        <v>1</v>
      </c>
    </row>
    <row r="3182" spans="2:15" x14ac:dyDescent="0.2">
      <c r="B3182" t="s">
        <v>1433</v>
      </c>
      <c r="C3182" t="s">
        <v>12898</v>
      </c>
      <c r="D3182" t="s">
        <v>613</v>
      </c>
      <c r="E3182" t="s">
        <v>9682</v>
      </c>
      <c r="F3182">
        <v>8.25</v>
      </c>
      <c r="G3182" t="s">
        <v>9683</v>
      </c>
      <c r="L3182" t="s">
        <v>19</v>
      </c>
      <c r="M3182" t="s">
        <v>4412</v>
      </c>
      <c r="N3182" t="s">
        <v>4413</v>
      </c>
      <c r="O3182">
        <v>8</v>
      </c>
    </row>
    <row r="3183" spans="2:15" x14ac:dyDescent="0.2">
      <c r="B3183" t="s">
        <v>1433</v>
      </c>
      <c r="C3183" t="s">
        <v>12898</v>
      </c>
      <c r="D3183" t="s">
        <v>613</v>
      </c>
      <c r="E3183" t="s">
        <v>9684</v>
      </c>
      <c r="F3183">
        <v>2.8</v>
      </c>
      <c r="G3183" t="s">
        <v>6192</v>
      </c>
      <c r="L3183" t="s">
        <v>19</v>
      </c>
      <c r="M3183" t="s">
        <v>1564</v>
      </c>
      <c r="N3183" t="s">
        <v>4414</v>
      </c>
      <c r="O3183">
        <v>2</v>
      </c>
    </row>
    <row r="3184" spans="2:15" x14ac:dyDescent="0.2">
      <c r="B3184" t="s">
        <v>1433</v>
      </c>
      <c r="C3184" t="s">
        <v>12898</v>
      </c>
      <c r="D3184" t="s">
        <v>613</v>
      </c>
      <c r="E3184" t="s">
        <v>9685</v>
      </c>
      <c r="F3184">
        <v>3.9</v>
      </c>
      <c r="G3184" t="s">
        <v>8916</v>
      </c>
      <c r="L3184" t="s">
        <v>19</v>
      </c>
      <c r="M3184" t="s">
        <v>4415</v>
      </c>
      <c r="N3184" t="s">
        <v>4416</v>
      </c>
      <c r="O3184">
        <v>1</v>
      </c>
    </row>
    <row r="3185" spans="2:15" x14ac:dyDescent="0.2">
      <c r="B3185" t="s">
        <v>1433</v>
      </c>
      <c r="C3185" t="s">
        <v>12898</v>
      </c>
      <c r="D3185" t="s">
        <v>613</v>
      </c>
      <c r="E3185" t="s">
        <v>9686</v>
      </c>
      <c r="F3185">
        <v>4</v>
      </c>
      <c r="G3185" t="s">
        <v>9687</v>
      </c>
      <c r="L3185" t="s">
        <v>19</v>
      </c>
      <c r="M3185" t="s">
        <v>4178</v>
      </c>
      <c r="N3185" t="s">
        <v>4416</v>
      </c>
      <c r="O3185">
        <v>1</v>
      </c>
    </row>
    <row r="3186" spans="2:15" x14ac:dyDescent="0.2">
      <c r="B3186" t="s">
        <v>1433</v>
      </c>
      <c r="C3186" t="s">
        <v>12898</v>
      </c>
      <c r="D3186" t="s">
        <v>613</v>
      </c>
      <c r="E3186" t="s">
        <v>9688</v>
      </c>
      <c r="F3186">
        <v>2.35</v>
      </c>
      <c r="G3186" t="s">
        <v>9689</v>
      </c>
      <c r="L3186" t="s">
        <v>19</v>
      </c>
      <c r="M3186" t="s">
        <v>1364</v>
      </c>
      <c r="N3186" t="s">
        <v>4417</v>
      </c>
      <c r="O3186">
        <v>1</v>
      </c>
    </row>
    <row r="3187" spans="2:15" x14ac:dyDescent="0.2">
      <c r="B3187" t="s">
        <v>1433</v>
      </c>
      <c r="C3187" t="s">
        <v>12898</v>
      </c>
      <c r="D3187" t="s">
        <v>613</v>
      </c>
      <c r="E3187" t="s">
        <v>9690</v>
      </c>
      <c r="F3187">
        <v>6.45</v>
      </c>
      <c r="G3187" t="s">
        <v>9691</v>
      </c>
      <c r="L3187" t="s">
        <v>19</v>
      </c>
      <c r="M3187" t="s">
        <v>4238</v>
      </c>
      <c r="N3187" t="s">
        <v>4418</v>
      </c>
      <c r="O3187">
        <v>2</v>
      </c>
    </row>
    <row r="3188" spans="2:15" x14ac:dyDescent="0.2">
      <c r="B3188" t="s">
        <v>1433</v>
      </c>
      <c r="C3188" t="s">
        <v>12898</v>
      </c>
      <c r="D3188" t="s">
        <v>613</v>
      </c>
      <c r="E3188" t="s">
        <v>9692</v>
      </c>
      <c r="F3188">
        <v>14.78</v>
      </c>
      <c r="G3188" t="s">
        <v>7701</v>
      </c>
      <c r="L3188" t="s">
        <v>19</v>
      </c>
      <c r="M3188" t="s">
        <v>2633</v>
      </c>
      <c r="N3188" t="s">
        <v>4419</v>
      </c>
      <c r="O3188">
        <v>1</v>
      </c>
    </row>
    <row r="3189" spans="2:15" x14ac:dyDescent="0.2">
      <c r="B3189" t="s">
        <v>1433</v>
      </c>
      <c r="C3189" t="s">
        <v>12898</v>
      </c>
      <c r="D3189" t="s">
        <v>613</v>
      </c>
      <c r="E3189" t="s">
        <v>9693</v>
      </c>
      <c r="F3189">
        <v>26.3</v>
      </c>
      <c r="G3189" t="s">
        <v>8605</v>
      </c>
      <c r="L3189" t="s">
        <v>19</v>
      </c>
      <c r="M3189" t="s">
        <v>2634</v>
      </c>
      <c r="N3189" t="s">
        <v>4419</v>
      </c>
      <c r="O3189">
        <v>1</v>
      </c>
    </row>
    <row r="3190" spans="2:15" x14ac:dyDescent="0.2">
      <c r="B3190" t="s">
        <v>1433</v>
      </c>
      <c r="C3190" t="s">
        <v>12898</v>
      </c>
      <c r="D3190" t="s">
        <v>613</v>
      </c>
      <c r="E3190" t="s">
        <v>9694</v>
      </c>
      <c r="F3190">
        <v>24</v>
      </c>
      <c r="G3190" t="s">
        <v>9654</v>
      </c>
      <c r="L3190" t="s">
        <v>19</v>
      </c>
      <c r="M3190" t="s">
        <v>2635</v>
      </c>
      <c r="N3190" t="s">
        <v>4419</v>
      </c>
      <c r="O3190">
        <v>1</v>
      </c>
    </row>
    <row r="3191" spans="2:15" x14ac:dyDescent="0.2">
      <c r="B3191" t="s">
        <v>1433</v>
      </c>
      <c r="C3191" t="s">
        <v>12898</v>
      </c>
      <c r="D3191" t="s">
        <v>613</v>
      </c>
      <c r="E3191" t="s">
        <v>9695</v>
      </c>
      <c r="F3191">
        <v>28</v>
      </c>
      <c r="G3191" t="s">
        <v>6747</v>
      </c>
      <c r="L3191" t="s">
        <v>19</v>
      </c>
      <c r="M3191" t="s">
        <v>2636</v>
      </c>
      <c r="N3191" t="s">
        <v>4419</v>
      </c>
      <c r="O3191">
        <v>1</v>
      </c>
    </row>
    <row r="3192" spans="2:15" x14ac:dyDescent="0.2">
      <c r="B3192" t="s">
        <v>1433</v>
      </c>
      <c r="C3192" t="s">
        <v>12898</v>
      </c>
      <c r="D3192" t="s">
        <v>613</v>
      </c>
      <c r="E3192" t="s">
        <v>9696</v>
      </c>
      <c r="F3192">
        <v>8.8000000000000007</v>
      </c>
      <c r="G3192" t="s">
        <v>9559</v>
      </c>
      <c r="L3192" t="s">
        <v>19</v>
      </c>
      <c r="M3192" t="s">
        <v>2680</v>
      </c>
      <c r="N3192" t="s">
        <v>4419</v>
      </c>
      <c r="O3192">
        <v>1</v>
      </c>
    </row>
    <row r="3193" spans="2:15" x14ac:dyDescent="0.2">
      <c r="B3193" t="s">
        <v>1433</v>
      </c>
      <c r="C3193" t="s">
        <v>12898</v>
      </c>
      <c r="D3193" t="s">
        <v>617</v>
      </c>
      <c r="E3193" t="s">
        <v>9697</v>
      </c>
      <c r="F3193">
        <v>2005.7</v>
      </c>
      <c r="H3193" t="s">
        <v>2904</v>
      </c>
      <c r="L3193" t="s">
        <v>19</v>
      </c>
      <c r="M3193" t="s">
        <v>2682</v>
      </c>
      <c r="N3193" t="s">
        <v>4419</v>
      </c>
      <c r="O3193">
        <v>1</v>
      </c>
    </row>
    <row r="3194" spans="2:15" x14ac:dyDescent="0.2">
      <c r="B3194" t="s">
        <v>1433</v>
      </c>
      <c r="C3194" t="s">
        <v>12898</v>
      </c>
      <c r="D3194" t="s">
        <v>621</v>
      </c>
      <c r="E3194" t="s">
        <v>9698</v>
      </c>
      <c r="F3194">
        <v>18</v>
      </c>
      <c r="G3194" t="s">
        <v>2857</v>
      </c>
      <c r="L3194" t="s">
        <v>19</v>
      </c>
      <c r="M3194" t="s">
        <v>4420</v>
      </c>
      <c r="N3194" t="s">
        <v>4421</v>
      </c>
      <c r="O3194">
        <v>2</v>
      </c>
    </row>
    <row r="3195" spans="2:15" x14ac:dyDescent="0.2">
      <c r="B3195" t="s">
        <v>1433</v>
      </c>
      <c r="C3195" t="s">
        <v>12898</v>
      </c>
      <c r="D3195" t="s">
        <v>613</v>
      </c>
      <c r="E3195" t="s">
        <v>9699</v>
      </c>
      <c r="F3195">
        <v>18.670000000000002</v>
      </c>
      <c r="G3195" t="s">
        <v>5242</v>
      </c>
      <c r="L3195" t="s">
        <v>19</v>
      </c>
      <c r="M3195" t="s">
        <v>1565</v>
      </c>
      <c r="N3195" t="s">
        <v>4422</v>
      </c>
      <c r="O3195">
        <v>2</v>
      </c>
    </row>
    <row r="3196" spans="2:15" x14ac:dyDescent="0.2">
      <c r="B3196" t="s">
        <v>1433</v>
      </c>
      <c r="C3196" t="s">
        <v>12898</v>
      </c>
      <c r="D3196" t="s">
        <v>613</v>
      </c>
      <c r="E3196" t="s">
        <v>9700</v>
      </c>
      <c r="F3196">
        <v>8.5</v>
      </c>
      <c r="G3196" t="s">
        <v>5244</v>
      </c>
      <c r="L3196" t="s">
        <v>19</v>
      </c>
      <c r="M3196" t="s">
        <v>1566</v>
      </c>
      <c r="N3196" t="s">
        <v>4422</v>
      </c>
      <c r="O3196">
        <v>2</v>
      </c>
    </row>
    <row r="3197" spans="2:15" x14ac:dyDescent="0.2">
      <c r="B3197" t="s">
        <v>1433</v>
      </c>
      <c r="C3197" t="s">
        <v>12898</v>
      </c>
      <c r="D3197" t="s">
        <v>613</v>
      </c>
      <c r="E3197" t="s">
        <v>9701</v>
      </c>
      <c r="F3197">
        <v>2.8</v>
      </c>
      <c r="G3197" t="s">
        <v>8114</v>
      </c>
      <c r="L3197" t="s">
        <v>19</v>
      </c>
      <c r="M3197" t="s">
        <v>2010</v>
      </c>
      <c r="N3197" t="s">
        <v>4423</v>
      </c>
      <c r="O3197">
        <v>4</v>
      </c>
    </row>
    <row r="3198" spans="2:15" x14ac:dyDescent="0.2">
      <c r="B3198" t="s">
        <v>1433</v>
      </c>
      <c r="C3198" t="s">
        <v>12898</v>
      </c>
      <c r="D3198" t="s">
        <v>613</v>
      </c>
      <c r="E3198" t="s">
        <v>9702</v>
      </c>
      <c r="F3198">
        <v>0.77</v>
      </c>
      <c r="G3198" t="s">
        <v>5271</v>
      </c>
      <c r="L3198" t="s">
        <v>19</v>
      </c>
      <c r="M3198" t="s">
        <v>2695</v>
      </c>
      <c r="N3198" t="s">
        <v>4424</v>
      </c>
      <c r="O3198">
        <v>1</v>
      </c>
    </row>
    <row r="3199" spans="2:15" x14ac:dyDescent="0.2">
      <c r="B3199" t="s">
        <v>1433</v>
      </c>
      <c r="C3199" t="s">
        <v>12898</v>
      </c>
      <c r="D3199" t="s">
        <v>613</v>
      </c>
      <c r="E3199" t="s">
        <v>9703</v>
      </c>
      <c r="F3199">
        <v>1.17</v>
      </c>
      <c r="G3199" t="s">
        <v>7009</v>
      </c>
      <c r="L3199" t="s">
        <v>19</v>
      </c>
      <c r="M3199" t="s">
        <v>1313</v>
      </c>
      <c r="N3199" t="s">
        <v>4425</v>
      </c>
      <c r="O3199">
        <v>1</v>
      </c>
    </row>
    <row r="3200" spans="2:15" x14ac:dyDescent="0.2">
      <c r="B3200" t="s">
        <v>1433</v>
      </c>
      <c r="C3200" t="s">
        <v>12898</v>
      </c>
      <c r="D3200" t="s">
        <v>84</v>
      </c>
      <c r="E3200" t="s">
        <v>9704</v>
      </c>
      <c r="F3200">
        <v>32.82</v>
      </c>
      <c r="G3200" t="s">
        <v>9705</v>
      </c>
      <c r="L3200" t="s">
        <v>19</v>
      </c>
      <c r="M3200" t="s">
        <v>1348</v>
      </c>
      <c r="N3200" t="s">
        <v>4425</v>
      </c>
      <c r="O3200">
        <v>1</v>
      </c>
    </row>
    <row r="3201" spans="2:15" x14ac:dyDescent="0.2">
      <c r="B3201" t="s">
        <v>1433</v>
      </c>
      <c r="C3201" t="s">
        <v>12898</v>
      </c>
      <c r="D3201" t="s">
        <v>617</v>
      </c>
      <c r="E3201" t="s">
        <v>9706</v>
      </c>
      <c r="F3201">
        <v>144</v>
      </c>
      <c r="H3201" t="s">
        <v>1636</v>
      </c>
      <c r="L3201" t="s">
        <v>19</v>
      </c>
      <c r="M3201" t="s">
        <v>1350</v>
      </c>
      <c r="N3201" t="s">
        <v>4425</v>
      </c>
      <c r="O3201">
        <v>1</v>
      </c>
    </row>
    <row r="3202" spans="2:15" x14ac:dyDescent="0.2">
      <c r="B3202" t="s">
        <v>1433</v>
      </c>
      <c r="C3202" t="s">
        <v>12898</v>
      </c>
      <c r="D3202" t="s">
        <v>617</v>
      </c>
      <c r="E3202" t="s">
        <v>9707</v>
      </c>
      <c r="F3202">
        <v>-144</v>
      </c>
      <c r="H3202" t="s">
        <v>1636</v>
      </c>
      <c r="L3202" t="s">
        <v>19</v>
      </c>
      <c r="M3202" t="s">
        <v>1352</v>
      </c>
      <c r="N3202" t="s">
        <v>4425</v>
      </c>
      <c r="O3202">
        <v>1</v>
      </c>
    </row>
    <row r="3203" spans="2:15" x14ac:dyDescent="0.2">
      <c r="B3203" t="s">
        <v>1433</v>
      </c>
      <c r="C3203" t="s">
        <v>12898</v>
      </c>
      <c r="D3203" t="s">
        <v>617</v>
      </c>
      <c r="E3203" t="s">
        <v>9708</v>
      </c>
      <c r="F3203">
        <v>720</v>
      </c>
      <c r="H3203" t="s">
        <v>1636</v>
      </c>
      <c r="L3203" t="s">
        <v>19</v>
      </c>
      <c r="M3203" t="s">
        <v>1354</v>
      </c>
      <c r="N3203" t="s">
        <v>4425</v>
      </c>
      <c r="O3203">
        <v>1</v>
      </c>
    </row>
    <row r="3204" spans="2:15" x14ac:dyDescent="0.2">
      <c r="B3204" t="s">
        <v>1433</v>
      </c>
      <c r="C3204" t="s">
        <v>12898</v>
      </c>
      <c r="D3204" t="s">
        <v>617</v>
      </c>
      <c r="E3204" t="s">
        <v>9709</v>
      </c>
      <c r="F3204">
        <v>19.8</v>
      </c>
      <c r="H3204" t="s">
        <v>9710</v>
      </c>
      <c r="L3204" t="s">
        <v>19</v>
      </c>
      <c r="M3204" t="s">
        <v>1368</v>
      </c>
      <c r="N3204" t="s">
        <v>4425</v>
      </c>
      <c r="O3204">
        <v>1</v>
      </c>
    </row>
    <row r="3205" spans="2:15" x14ac:dyDescent="0.2">
      <c r="B3205" t="s">
        <v>1433</v>
      </c>
      <c r="C3205" t="s">
        <v>12898</v>
      </c>
      <c r="D3205" t="s">
        <v>617</v>
      </c>
      <c r="E3205" t="s">
        <v>9711</v>
      </c>
      <c r="F3205">
        <v>25.6</v>
      </c>
      <c r="H3205" t="s">
        <v>9712</v>
      </c>
      <c r="L3205" t="s">
        <v>19</v>
      </c>
      <c r="M3205" t="s">
        <v>1393</v>
      </c>
      <c r="N3205" t="s">
        <v>4425</v>
      </c>
      <c r="O3205">
        <v>1</v>
      </c>
    </row>
    <row r="3206" spans="2:15" x14ac:dyDescent="0.2">
      <c r="B3206" t="s">
        <v>1433</v>
      </c>
      <c r="C3206" t="s">
        <v>12898</v>
      </c>
      <c r="D3206" t="s">
        <v>617</v>
      </c>
      <c r="E3206" t="s">
        <v>9713</v>
      </c>
      <c r="F3206">
        <v>610</v>
      </c>
      <c r="H3206" t="s">
        <v>1391</v>
      </c>
      <c r="L3206" t="s">
        <v>19</v>
      </c>
      <c r="M3206" t="s">
        <v>1362</v>
      </c>
      <c r="N3206" t="s">
        <v>4425</v>
      </c>
      <c r="O3206">
        <v>1</v>
      </c>
    </row>
    <row r="3207" spans="2:15" x14ac:dyDescent="0.2">
      <c r="B3207" t="s">
        <v>1433</v>
      </c>
      <c r="C3207" t="s">
        <v>12898</v>
      </c>
      <c r="D3207" t="s">
        <v>617</v>
      </c>
      <c r="E3207" t="s">
        <v>9714</v>
      </c>
      <c r="F3207">
        <v>97</v>
      </c>
      <c r="H3207" t="s">
        <v>2947</v>
      </c>
      <c r="L3207" t="s">
        <v>19</v>
      </c>
      <c r="M3207" t="s">
        <v>2885</v>
      </c>
      <c r="N3207" t="s">
        <v>4426</v>
      </c>
      <c r="O3207">
        <v>2</v>
      </c>
    </row>
    <row r="3208" spans="2:15" x14ac:dyDescent="0.2">
      <c r="B3208" t="s">
        <v>1433</v>
      </c>
      <c r="C3208" t="s">
        <v>12898</v>
      </c>
      <c r="D3208" t="s">
        <v>617</v>
      </c>
      <c r="E3208" t="s">
        <v>9715</v>
      </c>
      <c r="F3208">
        <v>109.75</v>
      </c>
      <c r="H3208" t="s">
        <v>9716</v>
      </c>
      <c r="L3208" t="s">
        <v>19</v>
      </c>
      <c r="M3208" t="s">
        <v>2886</v>
      </c>
      <c r="N3208" t="s">
        <v>4426</v>
      </c>
      <c r="O3208">
        <v>4</v>
      </c>
    </row>
    <row r="3209" spans="2:15" x14ac:dyDescent="0.2">
      <c r="B3209" t="s">
        <v>1433</v>
      </c>
      <c r="C3209" t="s">
        <v>12898</v>
      </c>
      <c r="D3209" t="s">
        <v>617</v>
      </c>
      <c r="E3209" t="s">
        <v>9717</v>
      </c>
      <c r="F3209">
        <v>13.5</v>
      </c>
      <c r="H3209" t="s">
        <v>2933</v>
      </c>
      <c r="L3209" t="s">
        <v>19</v>
      </c>
      <c r="M3209" t="s">
        <v>4427</v>
      </c>
      <c r="N3209" t="s">
        <v>4426</v>
      </c>
      <c r="O3209">
        <v>2</v>
      </c>
    </row>
    <row r="3210" spans="2:15" x14ac:dyDescent="0.2">
      <c r="B3210" t="s">
        <v>1433</v>
      </c>
      <c r="C3210" t="s">
        <v>12898</v>
      </c>
      <c r="D3210" t="s">
        <v>617</v>
      </c>
      <c r="E3210" t="s">
        <v>9718</v>
      </c>
      <c r="F3210">
        <v>24.38</v>
      </c>
      <c r="H3210" t="s">
        <v>2935</v>
      </c>
      <c r="L3210" t="s">
        <v>19</v>
      </c>
      <c r="M3210" t="s">
        <v>2887</v>
      </c>
      <c r="N3210" t="s">
        <v>4426</v>
      </c>
      <c r="O3210">
        <v>2</v>
      </c>
    </row>
    <row r="3211" spans="2:15" x14ac:dyDescent="0.2">
      <c r="B3211" t="s">
        <v>1433</v>
      </c>
      <c r="C3211" t="s">
        <v>12898</v>
      </c>
      <c r="D3211" t="s">
        <v>617</v>
      </c>
      <c r="E3211" t="s">
        <v>9719</v>
      </c>
      <c r="F3211">
        <v>68.150000000000006</v>
      </c>
      <c r="H3211" t="s">
        <v>2936</v>
      </c>
      <c r="L3211" t="s">
        <v>4428</v>
      </c>
      <c r="M3211" t="s">
        <v>4429</v>
      </c>
      <c r="N3211" t="s">
        <v>4430</v>
      </c>
      <c r="O3211">
        <v>10</v>
      </c>
    </row>
    <row r="3212" spans="2:15" x14ac:dyDescent="0.2">
      <c r="B3212" t="s">
        <v>1433</v>
      </c>
      <c r="C3212" t="s">
        <v>12898</v>
      </c>
      <c r="D3212" t="s">
        <v>617</v>
      </c>
      <c r="E3212" t="s">
        <v>9720</v>
      </c>
      <c r="F3212">
        <v>-68.150000000000006</v>
      </c>
      <c r="H3212" t="s">
        <v>2936</v>
      </c>
      <c r="L3212" t="s">
        <v>4428</v>
      </c>
      <c r="M3212" t="s">
        <v>4431</v>
      </c>
      <c r="N3212" t="s">
        <v>4432</v>
      </c>
      <c r="O3212">
        <v>0</v>
      </c>
    </row>
    <row r="3213" spans="2:15" x14ac:dyDescent="0.2">
      <c r="B3213" t="s">
        <v>1433</v>
      </c>
      <c r="C3213" t="s">
        <v>12898</v>
      </c>
      <c r="D3213" t="s">
        <v>617</v>
      </c>
      <c r="E3213" t="s">
        <v>9721</v>
      </c>
      <c r="F3213">
        <v>72.5</v>
      </c>
      <c r="H3213" t="s">
        <v>2936</v>
      </c>
      <c r="L3213" t="s">
        <v>4428</v>
      </c>
      <c r="M3213" t="s">
        <v>2073</v>
      </c>
      <c r="N3213" t="s">
        <v>4432</v>
      </c>
      <c r="O3213">
        <v>6</v>
      </c>
    </row>
    <row r="3214" spans="2:15" x14ac:dyDescent="0.2">
      <c r="B3214" t="s">
        <v>1433</v>
      </c>
      <c r="C3214" t="s">
        <v>12898</v>
      </c>
      <c r="D3214" t="s">
        <v>617</v>
      </c>
      <c r="E3214" t="s">
        <v>9722</v>
      </c>
      <c r="F3214">
        <v>1095</v>
      </c>
      <c r="H3214" t="s">
        <v>2948</v>
      </c>
      <c r="L3214" t="s">
        <v>4428</v>
      </c>
      <c r="M3214" t="s">
        <v>1264</v>
      </c>
      <c r="N3214" t="s">
        <v>4433</v>
      </c>
      <c r="O3214">
        <v>45</v>
      </c>
    </row>
    <row r="3215" spans="2:15" x14ac:dyDescent="0.2">
      <c r="B3215" t="s">
        <v>1433</v>
      </c>
      <c r="C3215" t="s">
        <v>12898</v>
      </c>
      <c r="D3215" t="s">
        <v>617</v>
      </c>
      <c r="E3215" t="s">
        <v>9723</v>
      </c>
      <c r="F3215">
        <v>79</v>
      </c>
      <c r="H3215" t="s">
        <v>2937</v>
      </c>
      <c r="L3215" t="s">
        <v>4428</v>
      </c>
      <c r="M3215" t="s">
        <v>1261</v>
      </c>
      <c r="N3215" t="s">
        <v>4434</v>
      </c>
      <c r="O3215">
        <v>8</v>
      </c>
    </row>
    <row r="3216" spans="2:15" x14ac:dyDescent="0.2">
      <c r="B3216" t="s">
        <v>1433</v>
      </c>
      <c r="C3216" t="s">
        <v>12898</v>
      </c>
      <c r="D3216" t="s">
        <v>617</v>
      </c>
      <c r="E3216" t="s">
        <v>9724</v>
      </c>
      <c r="F3216">
        <v>33</v>
      </c>
      <c r="H3216" t="s">
        <v>6105</v>
      </c>
      <c r="L3216" t="s">
        <v>4428</v>
      </c>
      <c r="M3216" t="s">
        <v>4435</v>
      </c>
      <c r="N3216" t="s">
        <v>4436</v>
      </c>
      <c r="O3216">
        <v>37</v>
      </c>
    </row>
    <row r="3217" spans="2:15" x14ac:dyDescent="0.2">
      <c r="B3217" t="s">
        <v>1433</v>
      </c>
      <c r="C3217" t="s">
        <v>12898</v>
      </c>
      <c r="D3217" t="s">
        <v>617</v>
      </c>
      <c r="E3217" t="s">
        <v>9725</v>
      </c>
      <c r="F3217">
        <v>70.08</v>
      </c>
      <c r="H3217" t="s">
        <v>3207</v>
      </c>
      <c r="L3217" t="s">
        <v>4428</v>
      </c>
      <c r="M3217" t="s">
        <v>4437</v>
      </c>
      <c r="N3217" t="s">
        <v>4436</v>
      </c>
      <c r="O3217">
        <v>27</v>
      </c>
    </row>
    <row r="3218" spans="2:15" x14ac:dyDescent="0.2">
      <c r="B3218" t="s">
        <v>1433</v>
      </c>
      <c r="C3218" t="s">
        <v>12898</v>
      </c>
      <c r="D3218" t="s">
        <v>617</v>
      </c>
      <c r="E3218" t="s">
        <v>9726</v>
      </c>
      <c r="F3218">
        <v>627.48</v>
      </c>
      <c r="G3218" t="s">
        <v>1705</v>
      </c>
      <c r="L3218" t="s">
        <v>4428</v>
      </c>
      <c r="M3218" t="s">
        <v>1265</v>
      </c>
      <c r="N3218" t="s">
        <v>4438</v>
      </c>
      <c r="O3218">
        <v>200</v>
      </c>
    </row>
    <row r="3219" spans="2:15" x14ac:dyDescent="0.2">
      <c r="B3219" t="s">
        <v>1433</v>
      </c>
      <c r="C3219" t="s">
        <v>12898</v>
      </c>
      <c r="D3219" t="s">
        <v>617</v>
      </c>
      <c r="E3219" t="s">
        <v>9727</v>
      </c>
      <c r="F3219">
        <v>364.2</v>
      </c>
      <c r="H3219" t="s">
        <v>1822</v>
      </c>
      <c r="L3219" t="s">
        <v>4428</v>
      </c>
      <c r="M3219" t="s">
        <v>1266</v>
      </c>
      <c r="N3219" t="s">
        <v>4438</v>
      </c>
      <c r="O3219">
        <v>200</v>
      </c>
    </row>
    <row r="3220" spans="2:15" x14ac:dyDescent="0.2">
      <c r="B3220" t="s">
        <v>1433</v>
      </c>
      <c r="C3220" t="s">
        <v>12898</v>
      </c>
      <c r="D3220" t="s">
        <v>617</v>
      </c>
      <c r="E3220" t="s">
        <v>9728</v>
      </c>
      <c r="F3220">
        <v>736.32</v>
      </c>
      <c r="H3220" t="s">
        <v>1824</v>
      </c>
      <c r="L3220" t="s">
        <v>4428</v>
      </c>
      <c r="M3220" t="s">
        <v>4439</v>
      </c>
      <c r="N3220" t="s">
        <v>4440</v>
      </c>
      <c r="O3220">
        <v>4</v>
      </c>
    </row>
    <row r="3221" spans="2:15" x14ac:dyDescent="0.2">
      <c r="B3221" t="s">
        <v>1433</v>
      </c>
      <c r="C3221" t="s">
        <v>12898</v>
      </c>
      <c r="D3221" t="s">
        <v>617</v>
      </c>
      <c r="E3221" t="s">
        <v>9729</v>
      </c>
      <c r="F3221">
        <v>288.3</v>
      </c>
      <c r="H3221" t="s">
        <v>1831</v>
      </c>
      <c r="L3221" t="s">
        <v>4428</v>
      </c>
      <c r="M3221" t="s">
        <v>4441</v>
      </c>
      <c r="N3221" t="s">
        <v>4440</v>
      </c>
      <c r="O3221">
        <v>36</v>
      </c>
    </row>
    <row r="3222" spans="2:15" x14ac:dyDescent="0.2">
      <c r="B3222" t="s">
        <v>1433</v>
      </c>
      <c r="C3222" t="s">
        <v>12898</v>
      </c>
      <c r="D3222" t="s">
        <v>617</v>
      </c>
      <c r="E3222" t="s">
        <v>9730</v>
      </c>
      <c r="F3222">
        <v>696</v>
      </c>
      <c r="H3222" t="s">
        <v>1832</v>
      </c>
      <c r="L3222" t="s">
        <v>4428</v>
      </c>
      <c r="M3222" t="s">
        <v>4442</v>
      </c>
      <c r="N3222" t="s">
        <v>4440</v>
      </c>
      <c r="O3222">
        <v>9</v>
      </c>
    </row>
    <row r="3223" spans="2:15" x14ac:dyDescent="0.2">
      <c r="B3223" t="s">
        <v>1433</v>
      </c>
      <c r="C3223" t="s">
        <v>12898</v>
      </c>
      <c r="D3223" t="s">
        <v>617</v>
      </c>
      <c r="E3223" t="s">
        <v>9731</v>
      </c>
      <c r="F3223">
        <v>272.10000000000002</v>
      </c>
      <c r="H3223" t="s">
        <v>1834</v>
      </c>
      <c r="L3223" t="s">
        <v>4428</v>
      </c>
      <c r="M3223" t="s">
        <v>4443</v>
      </c>
      <c r="N3223" t="s">
        <v>4440</v>
      </c>
      <c r="O3223">
        <v>41</v>
      </c>
    </row>
    <row r="3224" spans="2:15" x14ac:dyDescent="0.2">
      <c r="B3224" t="s">
        <v>1433</v>
      </c>
      <c r="C3224" t="s">
        <v>12898</v>
      </c>
      <c r="D3224" t="s">
        <v>617</v>
      </c>
      <c r="E3224" t="s">
        <v>9732</v>
      </c>
      <c r="F3224">
        <v>396.8</v>
      </c>
      <c r="H3224" t="s">
        <v>1835</v>
      </c>
      <c r="L3224" t="s">
        <v>4428</v>
      </c>
      <c r="M3224" t="s">
        <v>4444</v>
      </c>
      <c r="N3224" t="s">
        <v>4440</v>
      </c>
      <c r="O3224">
        <v>8</v>
      </c>
    </row>
    <row r="3225" spans="2:15" x14ac:dyDescent="0.2">
      <c r="B3225" t="s">
        <v>1433</v>
      </c>
      <c r="C3225" t="s">
        <v>12898</v>
      </c>
      <c r="D3225" t="s">
        <v>617</v>
      </c>
      <c r="E3225" t="s">
        <v>9733</v>
      </c>
      <c r="F3225">
        <v>34.799999999999997</v>
      </c>
      <c r="G3225" t="s">
        <v>3021</v>
      </c>
      <c r="L3225" t="s">
        <v>4428</v>
      </c>
      <c r="M3225" t="s">
        <v>4445</v>
      </c>
      <c r="N3225" t="s">
        <v>4440</v>
      </c>
      <c r="O3225">
        <v>2</v>
      </c>
    </row>
    <row r="3226" spans="2:15" x14ac:dyDescent="0.2">
      <c r="B3226" t="s">
        <v>1433</v>
      </c>
      <c r="C3226" t="s">
        <v>12898</v>
      </c>
      <c r="D3226" t="s">
        <v>621</v>
      </c>
      <c r="E3226" t="s">
        <v>9734</v>
      </c>
      <c r="F3226">
        <v>35.61</v>
      </c>
      <c r="H3226" t="s">
        <v>2148</v>
      </c>
      <c r="L3226" t="s">
        <v>4428</v>
      </c>
      <c r="M3226" t="s">
        <v>4446</v>
      </c>
      <c r="N3226" t="s">
        <v>4440</v>
      </c>
      <c r="O3226">
        <v>60</v>
      </c>
    </row>
    <row r="3227" spans="2:15" x14ac:dyDescent="0.2">
      <c r="B3227" t="s">
        <v>1433</v>
      </c>
      <c r="C3227" t="s">
        <v>12898</v>
      </c>
      <c r="D3227" t="s">
        <v>621</v>
      </c>
      <c r="E3227" t="s">
        <v>9735</v>
      </c>
      <c r="F3227">
        <v>7.12</v>
      </c>
      <c r="H3227" t="s">
        <v>2148</v>
      </c>
      <c r="L3227" t="s">
        <v>4428</v>
      </c>
      <c r="M3227" t="s">
        <v>4447</v>
      </c>
      <c r="N3227" t="s">
        <v>4440</v>
      </c>
      <c r="O3227">
        <v>6</v>
      </c>
    </row>
    <row r="3228" spans="2:15" x14ac:dyDescent="0.2">
      <c r="B3228" t="s">
        <v>1433</v>
      </c>
      <c r="C3228" t="s">
        <v>12898</v>
      </c>
      <c r="D3228" t="s">
        <v>621</v>
      </c>
      <c r="E3228" t="s">
        <v>9736</v>
      </c>
      <c r="F3228">
        <v>615</v>
      </c>
      <c r="H3228" t="s">
        <v>2981</v>
      </c>
      <c r="L3228" t="s">
        <v>4428</v>
      </c>
      <c r="M3228" t="s">
        <v>4448</v>
      </c>
      <c r="N3228" t="s">
        <v>4449</v>
      </c>
      <c r="O3228">
        <v>16</v>
      </c>
    </row>
    <row r="3229" spans="2:15" x14ac:dyDescent="0.2">
      <c r="B3229" t="s">
        <v>1433</v>
      </c>
      <c r="C3229" t="s">
        <v>12898</v>
      </c>
      <c r="D3229" t="s">
        <v>621</v>
      </c>
      <c r="E3229" t="s">
        <v>9737</v>
      </c>
      <c r="F3229">
        <v>835</v>
      </c>
      <c r="H3229" t="s">
        <v>2983</v>
      </c>
      <c r="L3229" t="s">
        <v>4428</v>
      </c>
      <c r="M3229" t="s">
        <v>2009</v>
      </c>
      <c r="N3229" t="s">
        <v>4449</v>
      </c>
      <c r="O3229">
        <v>8</v>
      </c>
    </row>
    <row r="3230" spans="2:15" x14ac:dyDescent="0.2">
      <c r="B3230" t="s">
        <v>1433</v>
      </c>
      <c r="C3230" t="s">
        <v>12898</v>
      </c>
      <c r="D3230" t="s">
        <v>621</v>
      </c>
      <c r="E3230" t="s">
        <v>9738</v>
      </c>
      <c r="F3230">
        <v>917.5</v>
      </c>
      <c r="H3230" t="s">
        <v>2984</v>
      </c>
      <c r="L3230" t="s">
        <v>4428</v>
      </c>
      <c r="M3230" t="s">
        <v>1434</v>
      </c>
      <c r="N3230" t="s">
        <v>4450</v>
      </c>
      <c r="O3230">
        <v>1538</v>
      </c>
    </row>
    <row r="3231" spans="2:15" x14ac:dyDescent="0.2">
      <c r="B3231" t="s">
        <v>1433</v>
      </c>
      <c r="C3231" t="s">
        <v>12898</v>
      </c>
      <c r="D3231" t="s">
        <v>621</v>
      </c>
      <c r="E3231" t="s">
        <v>9739</v>
      </c>
      <c r="F3231">
        <v>105.8</v>
      </c>
      <c r="H3231" t="s">
        <v>2985</v>
      </c>
      <c r="L3231" t="s">
        <v>4428</v>
      </c>
      <c r="M3231" t="s">
        <v>1267</v>
      </c>
      <c r="N3231" t="s">
        <v>4451</v>
      </c>
      <c r="O3231">
        <v>10</v>
      </c>
    </row>
    <row r="3232" spans="2:15" x14ac:dyDescent="0.2">
      <c r="B3232" t="s">
        <v>1433</v>
      </c>
      <c r="C3232" t="s">
        <v>12898</v>
      </c>
      <c r="D3232" t="s">
        <v>621</v>
      </c>
      <c r="E3232" t="s">
        <v>9740</v>
      </c>
      <c r="F3232">
        <v>317.39999999999998</v>
      </c>
      <c r="H3232" t="s">
        <v>2985</v>
      </c>
      <c r="L3232" t="s">
        <v>4428</v>
      </c>
      <c r="M3232" t="s">
        <v>4452</v>
      </c>
      <c r="N3232" t="s">
        <v>4451</v>
      </c>
      <c r="O3232">
        <v>10</v>
      </c>
    </row>
    <row r="3233" spans="2:15" x14ac:dyDescent="0.2">
      <c r="B3233" t="s">
        <v>1433</v>
      </c>
      <c r="C3233" t="s">
        <v>12898</v>
      </c>
      <c r="D3233" t="s">
        <v>621</v>
      </c>
      <c r="E3233" t="s">
        <v>9741</v>
      </c>
      <c r="F3233">
        <v>129.49</v>
      </c>
      <c r="H3233" t="s">
        <v>8021</v>
      </c>
      <c r="L3233" t="s">
        <v>4428</v>
      </c>
      <c r="M3233" t="s">
        <v>4453</v>
      </c>
      <c r="N3233" t="s">
        <v>4454</v>
      </c>
      <c r="O3233">
        <v>10</v>
      </c>
    </row>
    <row r="3234" spans="2:15" x14ac:dyDescent="0.2">
      <c r="B3234" t="s">
        <v>1433</v>
      </c>
      <c r="C3234" t="s">
        <v>12898</v>
      </c>
      <c r="D3234" t="s">
        <v>621</v>
      </c>
      <c r="E3234" t="s">
        <v>9742</v>
      </c>
      <c r="F3234">
        <v>35.76</v>
      </c>
      <c r="H3234" t="s">
        <v>1675</v>
      </c>
      <c r="L3234" t="s">
        <v>4428</v>
      </c>
      <c r="M3234" t="s">
        <v>4455</v>
      </c>
      <c r="N3234" t="s">
        <v>4454</v>
      </c>
      <c r="O3234">
        <v>10</v>
      </c>
    </row>
    <row r="3235" spans="2:15" x14ac:dyDescent="0.2">
      <c r="B3235" t="s">
        <v>1433</v>
      </c>
      <c r="C3235" t="s">
        <v>12898</v>
      </c>
      <c r="D3235" t="s">
        <v>621</v>
      </c>
      <c r="E3235" t="s">
        <v>9743</v>
      </c>
      <c r="F3235">
        <v>9.2200000000000006</v>
      </c>
      <c r="H3235" t="s">
        <v>7610</v>
      </c>
      <c r="L3235" t="s">
        <v>4428</v>
      </c>
      <c r="M3235" t="s">
        <v>4456</v>
      </c>
      <c r="N3235" t="s">
        <v>4457</v>
      </c>
      <c r="O3235">
        <v>10</v>
      </c>
    </row>
    <row r="3236" spans="2:15" x14ac:dyDescent="0.2">
      <c r="B3236" t="s">
        <v>1433</v>
      </c>
      <c r="C3236" t="s">
        <v>12898</v>
      </c>
      <c r="D3236" t="s">
        <v>621</v>
      </c>
      <c r="E3236" t="s">
        <v>9744</v>
      </c>
      <c r="F3236">
        <v>3.94</v>
      </c>
      <c r="H3236" t="s">
        <v>1677</v>
      </c>
      <c r="L3236" t="s">
        <v>4428</v>
      </c>
      <c r="M3236" t="s">
        <v>4458</v>
      </c>
      <c r="N3236" t="s">
        <v>4457</v>
      </c>
      <c r="O3236">
        <v>20</v>
      </c>
    </row>
    <row r="3237" spans="2:15" x14ac:dyDescent="0.2">
      <c r="B3237" t="s">
        <v>1433</v>
      </c>
      <c r="C3237" t="s">
        <v>12898</v>
      </c>
      <c r="D3237" t="s">
        <v>621</v>
      </c>
      <c r="E3237" t="s">
        <v>9745</v>
      </c>
      <c r="F3237">
        <v>729</v>
      </c>
      <c r="G3237" t="s">
        <v>2958</v>
      </c>
      <c r="L3237" t="s">
        <v>4428</v>
      </c>
      <c r="M3237" t="s">
        <v>4459</v>
      </c>
      <c r="N3237" t="s">
        <v>4457</v>
      </c>
      <c r="O3237">
        <v>10</v>
      </c>
    </row>
    <row r="3238" spans="2:15" x14ac:dyDescent="0.2">
      <c r="B3238" t="s">
        <v>1433</v>
      </c>
      <c r="C3238" t="s">
        <v>12898</v>
      </c>
      <c r="D3238" t="s">
        <v>617</v>
      </c>
      <c r="E3238" t="s">
        <v>9746</v>
      </c>
      <c r="F3238">
        <v>145.68</v>
      </c>
      <c r="H3238" t="s">
        <v>1822</v>
      </c>
      <c r="L3238" t="s">
        <v>4428</v>
      </c>
      <c r="M3238" t="s">
        <v>4460</v>
      </c>
      <c r="N3238" t="s">
        <v>4457</v>
      </c>
      <c r="O3238">
        <v>20</v>
      </c>
    </row>
    <row r="3239" spans="2:15" x14ac:dyDescent="0.2">
      <c r="B3239" t="s">
        <v>1433</v>
      </c>
      <c r="C3239" t="s">
        <v>12898</v>
      </c>
      <c r="D3239" t="s">
        <v>617</v>
      </c>
      <c r="E3239" t="s">
        <v>9747</v>
      </c>
      <c r="F3239">
        <v>115.32</v>
      </c>
      <c r="H3239" t="s">
        <v>1831</v>
      </c>
      <c r="L3239" t="s">
        <v>4428</v>
      </c>
      <c r="M3239" t="s">
        <v>4461</v>
      </c>
      <c r="N3239" t="s">
        <v>4457</v>
      </c>
      <c r="O3239">
        <v>20</v>
      </c>
    </row>
    <row r="3240" spans="2:15" x14ac:dyDescent="0.2">
      <c r="B3240" t="s">
        <v>1433</v>
      </c>
      <c r="C3240" t="s">
        <v>12898</v>
      </c>
      <c r="D3240" t="s">
        <v>617</v>
      </c>
      <c r="E3240" t="s">
        <v>9748</v>
      </c>
      <c r="F3240">
        <v>77.040000000000006</v>
      </c>
      <c r="H3240" t="s">
        <v>9749</v>
      </c>
      <c r="L3240" t="s">
        <v>4428</v>
      </c>
      <c r="M3240" t="s">
        <v>4462</v>
      </c>
      <c r="N3240" t="s">
        <v>4457</v>
      </c>
      <c r="O3240">
        <v>10</v>
      </c>
    </row>
    <row r="3241" spans="2:15" x14ac:dyDescent="0.2">
      <c r="B3241" t="s">
        <v>1433</v>
      </c>
      <c r="C3241" t="s">
        <v>12898</v>
      </c>
      <c r="D3241" t="s">
        <v>617</v>
      </c>
      <c r="E3241" t="s">
        <v>9750</v>
      </c>
      <c r="F3241">
        <v>243.96</v>
      </c>
      <c r="H3241" t="s">
        <v>9751</v>
      </c>
      <c r="L3241" t="s">
        <v>4428</v>
      </c>
      <c r="M3241" t="s">
        <v>4463</v>
      </c>
      <c r="N3241" t="s">
        <v>4457</v>
      </c>
      <c r="O3241">
        <v>10</v>
      </c>
    </row>
    <row r="3242" spans="2:15" x14ac:dyDescent="0.2">
      <c r="B3242" t="s">
        <v>1433</v>
      </c>
      <c r="C3242" t="s">
        <v>12898</v>
      </c>
      <c r="D3242" t="s">
        <v>621</v>
      </c>
      <c r="E3242" t="s">
        <v>9752</v>
      </c>
      <c r="F3242">
        <v>73.05</v>
      </c>
      <c r="H3242" t="s">
        <v>6442</v>
      </c>
      <c r="L3242" t="s">
        <v>4428</v>
      </c>
      <c r="M3242" t="s">
        <v>4464</v>
      </c>
      <c r="N3242" t="s">
        <v>4457</v>
      </c>
      <c r="O3242">
        <v>10</v>
      </c>
    </row>
    <row r="3243" spans="2:15" x14ac:dyDescent="0.2">
      <c r="B3243" t="s">
        <v>1433</v>
      </c>
      <c r="C3243" t="s">
        <v>12898</v>
      </c>
      <c r="D3243" t="s">
        <v>617</v>
      </c>
      <c r="E3243" t="s">
        <v>9753</v>
      </c>
      <c r="F3243">
        <v>5.13</v>
      </c>
      <c r="H3243" t="s">
        <v>7921</v>
      </c>
      <c r="L3243" t="s">
        <v>4428</v>
      </c>
      <c r="M3243" t="s">
        <v>4465</v>
      </c>
      <c r="N3243" t="s">
        <v>4457</v>
      </c>
      <c r="O3243">
        <v>20</v>
      </c>
    </row>
    <row r="3244" spans="2:15" x14ac:dyDescent="0.2">
      <c r="B3244" t="s">
        <v>1433</v>
      </c>
      <c r="C3244" t="s">
        <v>12898</v>
      </c>
      <c r="D3244" t="s">
        <v>617</v>
      </c>
      <c r="E3244" t="s">
        <v>9754</v>
      </c>
      <c r="F3244">
        <v>389.6</v>
      </c>
      <c r="H3244" t="s">
        <v>3027</v>
      </c>
      <c r="L3244" t="s">
        <v>4428</v>
      </c>
      <c r="M3244" t="s">
        <v>4466</v>
      </c>
      <c r="N3244" t="s">
        <v>4457</v>
      </c>
      <c r="O3244">
        <v>10</v>
      </c>
    </row>
    <row r="3245" spans="2:15" x14ac:dyDescent="0.2">
      <c r="B3245" t="s">
        <v>1433</v>
      </c>
      <c r="C3245" t="s">
        <v>12898</v>
      </c>
      <c r="D3245" t="s">
        <v>617</v>
      </c>
      <c r="E3245" t="s">
        <v>9755</v>
      </c>
      <c r="F3245">
        <v>261.12</v>
      </c>
      <c r="H3245" t="s">
        <v>1983</v>
      </c>
      <c r="L3245" t="s">
        <v>4428</v>
      </c>
      <c r="M3245" t="s">
        <v>4467</v>
      </c>
      <c r="N3245" t="s">
        <v>4457</v>
      </c>
      <c r="O3245">
        <v>20</v>
      </c>
    </row>
    <row r="3246" spans="2:15" x14ac:dyDescent="0.2">
      <c r="B3246" t="s">
        <v>1433</v>
      </c>
      <c r="C3246" t="s">
        <v>12898</v>
      </c>
      <c r="D3246" t="s">
        <v>617</v>
      </c>
      <c r="E3246" t="s">
        <v>9756</v>
      </c>
      <c r="F3246">
        <v>1087.97</v>
      </c>
      <c r="H3246" t="s">
        <v>1983</v>
      </c>
      <c r="L3246" t="s">
        <v>4428</v>
      </c>
      <c r="M3246" t="s">
        <v>4468</v>
      </c>
      <c r="N3246" t="s">
        <v>4457</v>
      </c>
      <c r="O3246">
        <v>10</v>
      </c>
    </row>
    <row r="3247" spans="2:15" x14ac:dyDescent="0.2">
      <c r="B3247" t="s">
        <v>1433</v>
      </c>
      <c r="C3247" t="s">
        <v>12898</v>
      </c>
      <c r="D3247" t="s">
        <v>617</v>
      </c>
      <c r="E3247" t="s">
        <v>9757</v>
      </c>
      <c r="F3247">
        <v>114.7</v>
      </c>
      <c r="H3247" t="s">
        <v>2092</v>
      </c>
      <c r="L3247" t="s">
        <v>4428</v>
      </c>
      <c r="M3247" t="s">
        <v>4469</v>
      </c>
      <c r="N3247" t="s">
        <v>4457</v>
      </c>
      <c r="O3247">
        <v>10</v>
      </c>
    </row>
    <row r="3248" spans="2:15" x14ac:dyDescent="0.2">
      <c r="B3248" t="s">
        <v>1433</v>
      </c>
      <c r="C3248" t="s">
        <v>12898</v>
      </c>
      <c r="D3248" t="s">
        <v>617</v>
      </c>
      <c r="E3248" t="s">
        <v>9758</v>
      </c>
      <c r="F3248">
        <v>22.8</v>
      </c>
      <c r="H3248" t="s">
        <v>3358</v>
      </c>
      <c r="L3248" t="s">
        <v>4428</v>
      </c>
      <c r="M3248" t="s">
        <v>1209</v>
      </c>
      <c r="N3248" t="s">
        <v>4470</v>
      </c>
      <c r="O3248">
        <v>1</v>
      </c>
    </row>
    <row r="3249" spans="2:15" x14ac:dyDescent="0.2">
      <c r="B3249" t="s">
        <v>1433</v>
      </c>
      <c r="C3249" t="s">
        <v>12898</v>
      </c>
      <c r="D3249" t="s">
        <v>617</v>
      </c>
      <c r="E3249" t="s">
        <v>9759</v>
      </c>
      <c r="F3249">
        <v>-22.8</v>
      </c>
      <c r="H3249" t="s">
        <v>3358</v>
      </c>
      <c r="L3249" t="s">
        <v>4428</v>
      </c>
      <c r="M3249" t="s">
        <v>1270</v>
      </c>
      <c r="N3249" t="s">
        <v>4470</v>
      </c>
      <c r="O3249">
        <v>1</v>
      </c>
    </row>
    <row r="3250" spans="2:15" x14ac:dyDescent="0.2">
      <c r="B3250" t="s">
        <v>1433</v>
      </c>
      <c r="C3250" t="s">
        <v>12898</v>
      </c>
      <c r="D3250" t="s">
        <v>617</v>
      </c>
      <c r="E3250" t="s">
        <v>9760</v>
      </c>
      <c r="F3250">
        <v>22.8</v>
      </c>
      <c r="H3250" t="s">
        <v>3358</v>
      </c>
      <c r="L3250" t="s">
        <v>4428</v>
      </c>
      <c r="M3250" t="s">
        <v>1544</v>
      </c>
      <c r="N3250" t="s">
        <v>3764</v>
      </c>
      <c r="O3250">
        <v>48</v>
      </c>
    </row>
    <row r="3251" spans="2:15" x14ac:dyDescent="0.2">
      <c r="B3251" t="s">
        <v>1433</v>
      </c>
      <c r="C3251" t="s">
        <v>12898</v>
      </c>
      <c r="D3251" t="s">
        <v>617</v>
      </c>
      <c r="E3251" t="s">
        <v>9761</v>
      </c>
      <c r="F3251">
        <v>2.06</v>
      </c>
      <c r="H3251" t="s">
        <v>3358</v>
      </c>
      <c r="L3251" t="s">
        <v>4428</v>
      </c>
      <c r="M3251" t="s">
        <v>4471</v>
      </c>
      <c r="N3251" t="s">
        <v>3764</v>
      </c>
      <c r="O3251">
        <v>16</v>
      </c>
    </row>
    <row r="3252" spans="2:15" x14ac:dyDescent="0.2">
      <c r="B3252" t="s">
        <v>1433</v>
      </c>
      <c r="C3252" t="s">
        <v>12898</v>
      </c>
      <c r="D3252" t="s">
        <v>617</v>
      </c>
      <c r="E3252" t="s">
        <v>9762</v>
      </c>
      <c r="F3252">
        <v>2.69</v>
      </c>
      <c r="H3252" t="s">
        <v>3358</v>
      </c>
      <c r="L3252" t="s">
        <v>4428</v>
      </c>
      <c r="M3252" t="s">
        <v>4472</v>
      </c>
      <c r="N3252" t="s">
        <v>3764</v>
      </c>
      <c r="O3252">
        <v>80</v>
      </c>
    </row>
    <row r="3253" spans="2:15" x14ac:dyDescent="0.2">
      <c r="B3253" t="s">
        <v>1433</v>
      </c>
      <c r="C3253" t="s">
        <v>12898</v>
      </c>
      <c r="D3253" t="s">
        <v>1144</v>
      </c>
      <c r="E3253" t="s">
        <v>9763</v>
      </c>
      <c r="F3253">
        <v>351</v>
      </c>
      <c r="G3253" t="s">
        <v>2990</v>
      </c>
      <c r="L3253" t="s">
        <v>4428</v>
      </c>
      <c r="M3253" t="s">
        <v>4473</v>
      </c>
      <c r="N3253" t="s">
        <v>3764</v>
      </c>
      <c r="O3253">
        <v>40</v>
      </c>
    </row>
    <row r="3254" spans="2:15" x14ac:dyDescent="0.2">
      <c r="B3254" t="s">
        <v>1433</v>
      </c>
      <c r="C3254" t="s">
        <v>12898</v>
      </c>
      <c r="D3254" t="s">
        <v>1144</v>
      </c>
      <c r="E3254" t="s">
        <v>9764</v>
      </c>
      <c r="F3254">
        <v>810</v>
      </c>
      <c r="G3254" t="s">
        <v>2992</v>
      </c>
      <c r="L3254" t="s">
        <v>4428</v>
      </c>
      <c r="M3254" t="s">
        <v>4474</v>
      </c>
      <c r="N3254" t="s">
        <v>3764</v>
      </c>
      <c r="O3254">
        <v>8</v>
      </c>
    </row>
    <row r="3255" spans="2:15" x14ac:dyDescent="0.2">
      <c r="B3255" t="s">
        <v>1433</v>
      </c>
      <c r="C3255" t="s">
        <v>12898</v>
      </c>
      <c r="D3255" t="s">
        <v>621</v>
      </c>
      <c r="E3255" t="s">
        <v>9765</v>
      </c>
      <c r="F3255">
        <v>675</v>
      </c>
      <c r="G3255" t="s">
        <v>3018</v>
      </c>
      <c r="L3255" t="s">
        <v>4428</v>
      </c>
      <c r="M3255" t="s">
        <v>4475</v>
      </c>
      <c r="N3255" t="s">
        <v>3764</v>
      </c>
      <c r="O3255">
        <v>8</v>
      </c>
    </row>
    <row r="3256" spans="2:15" x14ac:dyDescent="0.2">
      <c r="B3256" t="s">
        <v>1433</v>
      </c>
      <c r="C3256" t="s">
        <v>12898</v>
      </c>
      <c r="D3256" t="s">
        <v>621</v>
      </c>
      <c r="E3256" t="s">
        <v>9766</v>
      </c>
      <c r="F3256">
        <v>186.54</v>
      </c>
      <c r="H3256" t="s">
        <v>3016</v>
      </c>
      <c r="L3256" t="s">
        <v>4428</v>
      </c>
      <c r="M3256" t="s">
        <v>4476</v>
      </c>
      <c r="N3256" t="s">
        <v>3764</v>
      </c>
      <c r="O3256">
        <v>8</v>
      </c>
    </row>
    <row r="3257" spans="2:15" x14ac:dyDescent="0.2">
      <c r="B3257" t="s">
        <v>1433</v>
      </c>
      <c r="C3257" t="s">
        <v>12898</v>
      </c>
      <c r="D3257" t="s">
        <v>613</v>
      </c>
      <c r="E3257" t="s">
        <v>9767</v>
      </c>
      <c r="F3257">
        <v>28</v>
      </c>
      <c r="G3257" t="s">
        <v>6747</v>
      </c>
      <c r="L3257" t="s">
        <v>4428</v>
      </c>
      <c r="M3257" t="s">
        <v>1358</v>
      </c>
      <c r="N3257" t="s">
        <v>4477</v>
      </c>
      <c r="O3257">
        <v>8</v>
      </c>
    </row>
    <row r="3258" spans="2:15" x14ac:dyDescent="0.2">
      <c r="B3258" t="s">
        <v>1433</v>
      </c>
      <c r="C3258" t="s">
        <v>12898</v>
      </c>
      <c r="D3258" t="s">
        <v>613</v>
      </c>
      <c r="E3258" t="s">
        <v>9768</v>
      </c>
      <c r="F3258">
        <v>32</v>
      </c>
      <c r="G3258" t="s">
        <v>9420</v>
      </c>
      <c r="L3258" t="s">
        <v>4428</v>
      </c>
      <c r="M3258" t="s">
        <v>2261</v>
      </c>
      <c r="N3258" t="s">
        <v>4477</v>
      </c>
      <c r="O3258">
        <v>8</v>
      </c>
    </row>
    <row r="3259" spans="2:15" x14ac:dyDescent="0.2">
      <c r="B3259" t="s">
        <v>1433</v>
      </c>
      <c r="C3259" t="s">
        <v>12898</v>
      </c>
      <c r="D3259" t="s">
        <v>613</v>
      </c>
      <c r="E3259" t="s">
        <v>9769</v>
      </c>
      <c r="F3259">
        <v>15</v>
      </c>
      <c r="G3259" t="s">
        <v>7705</v>
      </c>
      <c r="L3259" t="s">
        <v>4428</v>
      </c>
      <c r="M3259" t="s">
        <v>1842</v>
      </c>
      <c r="N3259" t="s">
        <v>4477</v>
      </c>
      <c r="O3259">
        <v>28</v>
      </c>
    </row>
    <row r="3260" spans="2:15" x14ac:dyDescent="0.2">
      <c r="B3260" t="s">
        <v>1433</v>
      </c>
      <c r="C3260" t="s">
        <v>12898</v>
      </c>
      <c r="D3260" t="s">
        <v>84</v>
      </c>
      <c r="E3260" t="s">
        <v>9770</v>
      </c>
      <c r="F3260">
        <v>39.200000000000003</v>
      </c>
      <c r="G3260" t="s">
        <v>9771</v>
      </c>
      <c r="L3260" t="s">
        <v>4428</v>
      </c>
      <c r="M3260" t="s">
        <v>2040</v>
      </c>
      <c r="N3260" t="s">
        <v>4478</v>
      </c>
      <c r="O3260">
        <v>1</v>
      </c>
    </row>
    <row r="3261" spans="2:15" x14ac:dyDescent="0.2">
      <c r="B3261" t="s">
        <v>1433</v>
      </c>
      <c r="C3261" t="s">
        <v>12898</v>
      </c>
      <c r="D3261" t="s">
        <v>84</v>
      </c>
      <c r="E3261" t="s">
        <v>9772</v>
      </c>
      <c r="F3261">
        <v>17.55</v>
      </c>
      <c r="G3261" t="s">
        <v>7310</v>
      </c>
      <c r="L3261" t="s">
        <v>4428</v>
      </c>
      <c r="M3261" t="s">
        <v>2041</v>
      </c>
      <c r="N3261" t="s">
        <v>4478</v>
      </c>
      <c r="O3261">
        <v>4</v>
      </c>
    </row>
    <row r="3262" spans="2:15" x14ac:dyDescent="0.2">
      <c r="B3262" t="s">
        <v>1433</v>
      </c>
      <c r="C3262" t="s">
        <v>12898</v>
      </c>
      <c r="D3262" t="s">
        <v>84</v>
      </c>
      <c r="E3262" t="s">
        <v>9773</v>
      </c>
      <c r="F3262">
        <v>19.5</v>
      </c>
      <c r="G3262" t="s">
        <v>9774</v>
      </c>
      <c r="L3262" t="s">
        <v>4428</v>
      </c>
      <c r="M3262" t="s">
        <v>1479</v>
      </c>
      <c r="N3262" t="s">
        <v>4478</v>
      </c>
      <c r="O3262">
        <v>4</v>
      </c>
    </row>
    <row r="3263" spans="2:15" x14ac:dyDescent="0.2">
      <c r="B3263" t="s">
        <v>1433</v>
      </c>
      <c r="C3263" t="s">
        <v>12898</v>
      </c>
      <c r="D3263" t="s">
        <v>84</v>
      </c>
      <c r="E3263" t="s">
        <v>9775</v>
      </c>
      <c r="F3263">
        <v>16.5</v>
      </c>
      <c r="G3263" t="s">
        <v>7304</v>
      </c>
      <c r="L3263" t="s">
        <v>4428</v>
      </c>
      <c r="M3263" t="s">
        <v>2364</v>
      </c>
      <c r="N3263" t="s">
        <v>4478</v>
      </c>
      <c r="O3263">
        <v>8</v>
      </c>
    </row>
    <row r="3264" spans="2:15" x14ac:dyDescent="0.2">
      <c r="B3264" t="s">
        <v>1433</v>
      </c>
      <c r="C3264" t="s">
        <v>12898</v>
      </c>
      <c r="D3264" t="s">
        <v>84</v>
      </c>
      <c r="E3264" t="s">
        <v>9776</v>
      </c>
      <c r="F3264">
        <v>18</v>
      </c>
      <c r="G3264" t="s">
        <v>9667</v>
      </c>
      <c r="L3264" t="s">
        <v>4428</v>
      </c>
      <c r="M3264" t="s">
        <v>4479</v>
      </c>
      <c r="N3264" t="s">
        <v>4478</v>
      </c>
      <c r="O3264">
        <v>4</v>
      </c>
    </row>
    <row r="3265" spans="2:15" x14ac:dyDescent="0.2">
      <c r="B3265" t="s">
        <v>1433</v>
      </c>
      <c r="C3265" t="s">
        <v>12898</v>
      </c>
      <c r="D3265" t="s">
        <v>84</v>
      </c>
      <c r="E3265" t="s">
        <v>9777</v>
      </c>
      <c r="F3265">
        <v>16</v>
      </c>
      <c r="G3265" t="s">
        <v>7302</v>
      </c>
      <c r="L3265" t="s">
        <v>4428</v>
      </c>
      <c r="M3265" t="s">
        <v>4480</v>
      </c>
      <c r="N3265" t="s">
        <v>4478</v>
      </c>
      <c r="O3265">
        <v>3</v>
      </c>
    </row>
    <row r="3266" spans="2:15" x14ac:dyDescent="0.2">
      <c r="B3266" t="s">
        <v>1433</v>
      </c>
      <c r="C3266" t="s">
        <v>12898</v>
      </c>
      <c r="D3266" t="s">
        <v>84</v>
      </c>
      <c r="E3266" t="s">
        <v>9778</v>
      </c>
      <c r="F3266">
        <v>15.9</v>
      </c>
      <c r="G3266" t="s">
        <v>9779</v>
      </c>
      <c r="L3266" t="s">
        <v>4428</v>
      </c>
      <c r="M3266" t="s">
        <v>4481</v>
      </c>
      <c r="N3266" t="s">
        <v>4478</v>
      </c>
      <c r="O3266">
        <v>10</v>
      </c>
    </row>
    <row r="3267" spans="2:15" x14ac:dyDescent="0.2">
      <c r="B3267" t="s">
        <v>1433</v>
      </c>
      <c r="C3267" t="s">
        <v>12898</v>
      </c>
      <c r="D3267" t="s">
        <v>84</v>
      </c>
      <c r="E3267" t="s">
        <v>9780</v>
      </c>
      <c r="F3267">
        <v>15</v>
      </c>
      <c r="G3267" t="s">
        <v>9781</v>
      </c>
      <c r="L3267" t="s">
        <v>4428</v>
      </c>
      <c r="M3267" t="s">
        <v>4482</v>
      </c>
      <c r="N3267" t="s">
        <v>4478</v>
      </c>
      <c r="O3267">
        <v>8</v>
      </c>
    </row>
    <row r="3268" spans="2:15" x14ac:dyDescent="0.2">
      <c r="B3268" t="s">
        <v>1433</v>
      </c>
      <c r="C3268" t="s">
        <v>12898</v>
      </c>
      <c r="D3268" t="s">
        <v>84</v>
      </c>
      <c r="E3268" t="s">
        <v>9782</v>
      </c>
      <c r="F3268">
        <v>18</v>
      </c>
      <c r="G3268" t="s">
        <v>9783</v>
      </c>
      <c r="L3268" t="s">
        <v>4428</v>
      </c>
      <c r="M3268" t="s">
        <v>2026</v>
      </c>
      <c r="N3268" t="s">
        <v>4478</v>
      </c>
      <c r="O3268">
        <v>8</v>
      </c>
    </row>
    <row r="3269" spans="2:15" x14ac:dyDescent="0.2">
      <c r="B3269" t="s">
        <v>1433</v>
      </c>
      <c r="C3269" t="s">
        <v>12898</v>
      </c>
      <c r="D3269" t="s">
        <v>84</v>
      </c>
      <c r="E3269" t="s">
        <v>9784</v>
      </c>
      <c r="F3269">
        <v>16</v>
      </c>
      <c r="G3269" t="s">
        <v>7299</v>
      </c>
      <c r="L3269" t="s">
        <v>4428</v>
      </c>
      <c r="M3269" t="s">
        <v>1472</v>
      </c>
      <c r="N3269" t="s">
        <v>4478</v>
      </c>
      <c r="O3269">
        <v>8</v>
      </c>
    </row>
    <row r="3270" spans="2:15" x14ac:dyDescent="0.2">
      <c r="B3270" t="s">
        <v>1433</v>
      </c>
      <c r="C3270" t="s">
        <v>12898</v>
      </c>
      <c r="D3270" t="s">
        <v>84</v>
      </c>
      <c r="E3270" t="s">
        <v>9785</v>
      </c>
      <c r="F3270">
        <v>15</v>
      </c>
      <c r="G3270" t="s">
        <v>5048</v>
      </c>
      <c r="L3270" t="s">
        <v>4428</v>
      </c>
      <c r="M3270" t="s">
        <v>4483</v>
      </c>
      <c r="N3270" t="s">
        <v>4478</v>
      </c>
      <c r="O3270">
        <v>16</v>
      </c>
    </row>
    <row r="3271" spans="2:15" x14ac:dyDescent="0.2">
      <c r="B3271" t="s">
        <v>1433</v>
      </c>
      <c r="C3271" t="s">
        <v>12898</v>
      </c>
      <c r="D3271" t="s">
        <v>84</v>
      </c>
      <c r="E3271" t="s">
        <v>9786</v>
      </c>
      <c r="F3271">
        <v>160</v>
      </c>
      <c r="G3271" t="s">
        <v>9787</v>
      </c>
      <c r="L3271" t="s">
        <v>4428</v>
      </c>
      <c r="M3271" t="s">
        <v>4484</v>
      </c>
      <c r="N3271" t="s">
        <v>4478</v>
      </c>
      <c r="O3271">
        <v>8</v>
      </c>
    </row>
    <row r="3272" spans="2:15" x14ac:dyDescent="0.2">
      <c r="B3272" t="s">
        <v>1433</v>
      </c>
      <c r="C3272" t="s">
        <v>12898</v>
      </c>
      <c r="D3272" t="s">
        <v>84</v>
      </c>
      <c r="E3272" t="s">
        <v>9788</v>
      </c>
      <c r="F3272">
        <v>18</v>
      </c>
      <c r="G3272" t="s">
        <v>5045</v>
      </c>
      <c r="L3272" t="s">
        <v>4428</v>
      </c>
      <c r="M3272" t="s">
        <v>4485</v>
      </c>
      <c r="N3272" t="s">
        <v>4478</v>
      </c>
      <c r="O3272">
        <v>8</v>
      </c>
    </row>
    <row r="3273" spans="2:15" x14ac:dyDescent="0.2">
      <c r="B3273" t="s">
        <v>1433</v>
      </c>
      <c r="C3273" t="s">
        <v>12898</v>
      </c>
      <c r="D3273" t="s">
        <v>84</v>
      </c>
      <c r="E3273" t="s">
        <v>9789</v>
      </c>
      <c r="F3273">
        <v>16</v>
      </c>
      <c r="G3273" t="s">
        <v>5042</v>
      </c>
      <c r="L3273" t="s">
        <v>4428</v>
      </c>
      <c r="M3273" t="s">
        <v>2046</v>
      </c>
      <c r="N3273" t="s">
        <v>4478</v>
      </c>
      <c r="O3273">
        <v>8</v>
      </c>
    </row>
    <row r="3274" spans="2:15" x14ac:dyDescent="0.2">
      <c r="B3274" t="s">
        <v>1433</v>
      </c>
      <c r="C3274" t="s">
        <v>12898</v>
      </c>
      <c r="D3274" t="s">
        <v>84</v>
      </c>
      <c r="E3274" t="s">
        <v>9790</v>
      </c>
      <c r="F3274">
        <v>20.25</v>
      </c>
      <c r="G3274" t="s">
        <v>9523</v>
      </c>
      <c r="L3274" t="s">
        <v>4428</v>
      </c>
      <c r="M3274" t="s">
        <v>1471</v>
      </c>
      <c r="N3274" t="s">
        <v>4478</v>
      </c>
      <c r="O3274">
        <v>8</v>
      </c>
    </row>
    <row r="3275" spans="2:15" x14ac:dyDescent="0.2">
      <c r="B3275" t="s">
        <v>1433</v>
      </c>
      <c r="C3275" t="s">
        <v>12898</v>
      </c>
      <c r="D3275" t="s">
        <v>84</v>
      </c>
      <c r="E3275" t="s">
        <v>9791</v>
      </c>
      <c r="F3275">
        <v>15</v>
      </c>
      <c r="G3275" t="s">
        <v>9620</v>
      </c>
      <c r="L3275" t="s">
        <v>4428</v>
      </c>
      <c r="M3275" t="s">
        <v>4486</v>
      </c>
      <c r="N3275" t="s">
        <v>4478</v>
      </c>
      <c r="O3275">
        <v>8</v>
      </c>
    </row>
    <row r="3276" spans="2:15" x14ac:dyDescent="0.2">
      <c r="B3276" t="s">
        <v>1433</v>
      </c>
      <c r="C3276" t="s">
        <v>12898</v>
      </c>
      <c r="D3276" t="s">
        <v>84</v>
      </c>
      <c r="E3276" t="s">
        <v>9792</v>
      </c>
      <c r="F3276">
        <v>18</v>
      </c>
      <c r="G3276" t="s">
        <v>9618</v>
      </c>
      <c r="L3276" t="s">
        <v>4428</v>
      </c>
      <c r="M3276" t="s">
        <v>4487</v>
      </c>
      <c r="N3276" t="s">
        <v>4488</v>
      </c>
      <c r="O3276">
        <v>13</v>
      </c>
    </row>
    <row r="3277" spans="2:15" x14ac:dyDescent="0.2">
      <c r="B3277" t="s">
        <v>1433</v>
      </c>
      <c r="C3277" t="s">
        <v>12898</v>
      </c>
      <c r="D3277" t="s">
        <v>84</v>
      </c>
      <c r="E3277" t="s">
        <v>9793</v>
      </c>
      <c r="F3277">
        <v>13.5</v>
      </c>
      <c r="G3277" t="s">
        <v>9523</v>
      </c>
      <c r="L3277" t="s">
        <v>4428</v>
      </c>
      <c r="M3277" t="s">
        <v>2933</v>
      </c>
      <c r="N3277" t="s">
        <v>4488</v>
      </c>
      <c r="O3277">
        <v>3</v>
      </c>
    </row>
    <row r="3278" spans="2:15" x14ac:dyDescent="0.2">
      <c r="B3278" t="s">
        <v>1433</v>
      </c>
      <c r="C3278" t="s">
        <v>12898</v>
      </c>
      <c r="D3278" t="s">
        <v>84</v>
      </c>
      <c r="E3278" t="s">
        <v>9794</v>
      </c>
      <c r="F3278">
        <v>24</v>
      </c>
      <c r="G3278" t="s">
        <v>9616</v>
      </c>
      <c r="L3278" t="s">
        <v>4428</v>
      </c>
      <c r="M3278" t="s">
        <v>2935</v>
      </c>
      <c r="N3278" t="s">
        <v>4488</v>
      </c>
      <c r="O3278">
        <v>3</v>
      </c>
    </row>
    <row r="3279" spans="2:15" x14ac:dyDescent="0.2">
      <c r="B3279" t="s">
        <v>1433</v>
      </c>
      <c r="C3279" t="s">
        <v>12898</v>
      </c>
      <c r="D3279" t="s">
        <v>84</v>
      </c>
      <c r="E3279" t="s">
        <v>9795</v>
      </c>
      <c r="F3279">
        <v>8.6999999999999993</v>
      </c>
      <c r="G3279" t="s">
        <v>7307</v>
      </c>
      <c r="L3279" t="s">
        <v>4428</v>
      </c>
      <c r="M3279" t="s">
        <v>4489</v>
      </c>
      <c r="N3279" t="s">
        <v>4488</v>
      </c>
      <c r="O3279">
        <v>24</v>
      </c>
    </row>
    <row r="3280" spans="2:15" x14ac:dyDescent="0.2">
      <c r="B3280" t="s">
        <v>1433</v>
      </c>
      <c r="C3280" t="s">
        <v>12898</v>
      </c>
      <c r="D3280" t="s">
        <v>84</v>
      </c>
      <c r="E3280" t="s">
        <v>9796</v>
      </c>
      <c r="F3280">
        <v>11.7</v>
      </c>
      <c r="G3280" t="s">
        <v>7317</v>
      </c>
      <c r="L3280" t="s">
        <v>4428</v>
      </c>
      <c r="M3280" t="s">
        <v>4490</v>
      </c>
      <c r="N3280" t="s">
        <v>4488</v>
      </c>
      <c r="O3280">
        <v>32</v>
      </c>
    </row>
    <row r="3281" spans="2:15" x14ac:dyDescent="0.2">
      <c r="B3281" t="s">
        <v>1433</v>
      </c>
      <c r="C3281" t="s">
        <v>12898</v>
      </c>
      <c r="D3281" t="s">
        <v>621</v>
      </c>
      <c r="E3281" t="s">
        <v>9797</v>
      </c>
      <c r="F3281">
        <v>788.72</v>
      </c>
      <c r="G3281" t="s">
        <v>2761</v>
      </c>
      <c r="L3281" t="s">
        <v>4428</v>
      </c>
      <c r="M3281" t="s">
        <v>4491</v>
      </c>
      <c r="N3281" t="s">
        <v>4488</v>
      </c>
      <c r="O3281">
        <v>13</v>
      </c>
    </row>
    <row r="3282" spans="2:15" x14ac:dyDescent="0.2">
      <c r="B3282" t="s">
        <v>1433</v>
      </c>
      <c r="C3282" t="s">
        <v>12898</v>
      </c>
      <c r="D3282" t="s">
        <v>613</v>
      </c>
      <c r="E3282" t="s">
        <v>9798</v>
      </c>
      <c r="F3282">
        <v>14.7</v>
      </c>
      <c r="G3282" t="s">
        <v>9307</v>
      </c>
      <c r="L3282" t="s">
        <v>4428</v>
      </c>
      <c r="M3282" t="s">
        <v>4492</v>
      </c>
      <c r="N3282" t="s">
        <v>4488</v>
      </c>
      <c r="O3282">
        <v>46</v>
      </c>
    </row>
    <row r="3283" spans="2:15" x14ac:dyDescent="0.2">
      <c r="B3283" t="s">
        <v>1433</v>
      </c>
      <c r="C3283" t="s">
        <v>12898</v>
      </c>
      <c r="D3283" t="s">
        <v>613</v>
      </c>
      <c r="E3283" t="s">
        <v>9799</v>
      </c>
      <c r="F3283">
        <v>14.7</v>
      </c>
      <c r="G3283" t="s">
        <v>9305</v>
      </c>
      <c r="L3283" t="s">
        <v>4428</v>
      </c>
      <c r="M3283" t="s">
        <v>4493</v>
      </c>
      <c r="N3283" t="s">
        <v>4488</v>
      </c>
      <c r="O3283">
        <v>46</v>
      </c>
    </row>
    <row r="3284" spans="2:15" x14ac:dyDescent="0.2">
      <c r="B3284" t="s">
        <v>1433</v>
      </c>
      <c r="C3284" t="s">
        <v>12898</v>
      </c>
      <c r="D3284" t="s">
        <v>613</v>
      </c>
      <c r="E3284" t="s">
        <v>9800</v>
      </c>
      <c r="F3284">
        <v>35</v>
      </c>
      <c r="G3284" t="s">
        <v>5072</v>
      </c>
      <c r="L3284" t="s">
        <v>4428</v>
      </c>
      <c r="M3284" t="s">
        <v>4492</v>
      </c>
      <c r="N3284" t="s">
        <v>4494</v>
      </c>
      <c r="O3284">
        <v>25</v>
      </c>
    </row>
    <row r="3285" spans="2:15" x14ac:dyDescent="0.2">
      <c r="B3285" t="s">
        <v>1433</v>
      </c>
      <c r="C3285" t="s">
        <v>12898</v>
      </c>
      <c r="D3285" t="s">
        <v>613</v>
      </c>
      <c r="E3285" t="s">
        <v>9801</v>
      </c>
      <c r="F3285">
        <v>11.1</v>
      </c>
      <c r="G3285" t="s">
        <v>7701</v>
      </c>
      <c r="L3285" t="s">
        <v>4428</v>
      </c>
      <c r="M3285" t="s">
        <v>4495</v>
      </c>
      <c r="N3285" t="s">
        <v>4496</v>
      </c>
      <c r="O3285">
        <v>160</v>
      </c>
    </row>
    <row r="3286" spans="2:15" x14ac:dyDescent="0.2">
      <c r="B3286" t="s">
        <v>1433</v>
      </c>
      <c r="C3286" t="s">
        <v>12898</v>
      </c>
      <c r="D3286" t="s">
        <v>613</v>
      </c>
      <c r="E3286" t="s">
        <v>9802</v>
      </c>
      <c r="F3286">
        <v>32</v>
      </c>
      <c r="G3286" t="s">
        <v>9420</v>
      </c>
      <c r="L3286" t="s">
        <v>4428</v>
      </c>
      <c r="M3286" t="s">
        <v>4497</v>
      </c>
      <c r="N3286" t="s">
        <v>4496</v>
      </c>
      <c r="O3286">
        <v>120</v>
      </c>
    </row>
    <row r="3287" spans="2:15" x14ac:dyDescent="0.2">
      <c r="B3287" t="s">
        <v>1433</v>
      </c>
      <c r="C3287" t="s">
        <v>12898</v>
      </c>
      <c r="D3287" t="s">
        <v>613</v>
      </c>
      <c r="E3287" t="s">
        <v>9803</v>
      </c>
      <c r="F3287">
        <v>14.67</v>
      </c>
      <c r="G3287" t="s">
        <v>9804</v>
      </c>
      <c r="L3287" t="s">
        <v>4428</v>
      </c>
      <c r="M3287" t="s">
        <v>4498</v>
      </c>
      <c r="N3287" t="s">
        <v>4496</v>
      </c>
      <c r="O3287">
        <v>800</v>
      </c>
    </row>
    <row r="3288" spans="2:15" x14ac:dyDescent="0.2">
      <c r="B3288" t="s">
        <v>1433</v>
      </c>
      <c r="C3288" t="s">
        <v>12898</v>
      </c>
      <c r="D3288" t="s">
        <v>613</v>
      </c>
      <c r="E3288" t="s">
        <v>9805</v>
      </c>
      <c r="F3288">
        <v>64</v>
      </c>
      <c r="G3288" t="s">
        <v>6886</v>
      </c>
      <c r="L3288" t="s">
        <v>4428</v>
      </c>
      <c r="M3288" t="s">
        <v>1806</v>
      </c>
      <c r="N3288" t="s">
        <v>4496</v>
      </c>
      <c r="O3288">
        <v>160</v>
      </c>
    </row>
    <row r="3289" spans="2:15" x14ac:dyDescent="0.2">
      <c r="B3289" t="s">
        <v>1433</v>
      </c>
      <c r="C3289" t="s">
        <v>12898</v>
      </c>
      <c r="D3289" t="s">
        <v>613</v>
      </c>
      <c r="E3289" t="s">
        <v>9806</v>
      </c>
      <c r="F3289">
        <v>16.5</v>
      </c>
      <c r="G3289" t="s">
        <v>2510</v>
      </c>
      <c r="L3289" t="s">
        <v>4428</v>
      </c>
      <c r="M3289" t="s">
        <v>4429</v>
      </c>
      <c r="N3289" t="s">
        <v>4496</v>
      </c>
      <c r="O3289">
        <v>40</v>
      </c>
    </row>
    <row r="3290" spans="2:15" x14ac:dyDescent="0.2">
      <c r="B3290" t="s">
        <v>1433</v>
      </c>
      <c r="C3290" t="s">
        <v>12898</v>
      </c>
      <c r="D3290" t="s">
        <v>613</v>
      </c>
      <c r="E3290" t="s">
        <v>9807</v>
      </c>
      <c r="F3290">
        <v>14.8</v>
      </c>
      <c r="G3290" t="s">
        <v>7816</v>
      </c>
      <c r="L3290" t="s">
        <v>4428</v>
      </c>
      <c r="M3290" t="s">
        <v>4499</v>
      </c>
      <c r="N3290" t="s">
        <v>4496</v>
      </c>
      <c r="O3290">
        <v>80</v>
      </c>
    </row>
    <row r="3291" spans="2:15" x14ac:dyDescent="0.2">
      <c r="B3291" t="s">
        <v>1433</v>
      </c>
      <c r="C3291" t="s">
        <v>12898</v>
      </c>
      <c r="D3291" t="s">
        <v>617</v>
      </c>
      <c r="E3291" t="s">
        <v>9808</v>
      </c>
      <c r="F3291">
        <v>229.39</v>
      </c>
      <c r="G3291" t="s">
        <v>2092</v>
      </c>
      <c r="L3291" t="s">
        <v>4428</v>
      </c>
      <c r="M3291" t="s">
        <v>4500</v>
      </c>
      <c r="N3291" t="s">
        <v>4496</v>
      </c>
      <c r="O3291">
        <v>32</v>
      </c>
    </row>
    <row r="3292" spans="2:15" x14ac:dyDescent="0.2">
      <c r="B3292" t="s">
        <v>1433</v>
      </c>
      <c r="C3292" t="s">
        <v>12898</v>
      </c>
      <c r="D3292" t="s">
        <v>617</v>
      </c>
      <c r="E3292" t="s">
        <v>9809</v>
      </c>
      <c r="F3292">
        <v>83.13</v>
      </c>
      <c r="G3292" t="s">
        <v>2092</v>
      </c>
      <c r="L3292" t="s">
        <v>4428</v>
      </c>
      <c r="M3292" t="s">
        <v>4501</v>
      </c>
      <c r="N3292" t="s">
        <v>4496</v>
      </c>
      <c r="O3292">
        <v>200</v>
      </c>
    </row>
    <row r="3293" spans="2:15" x14ac:dyDescent="0.2">
      <c r="B3293" t="s">
        <v>1433</v>
      </c>
      <c r="C3293" t="s">
        <v>12898</v>
      </c>
      <c r="D3293" t="s">
        <v>621</v>
      </c>
      <c r="E3293" t="s">
        <v>9810</v>
      </c>
      <c r="F3293">
        <v>537.72</v>
      </c>
      <c r="H3293" t="s">
        <v>3047</v>
      </c>
      <c r="L3293" t="s">
        <v>4428</v>
      </c>
      <c r="M3293" t="s">
        <v>4502</v>
      </c>
      <c r="N3293" t="s">
        <v>4496</v>
      </c>
      <c r="O3293">
        <v>8</v>
      </c>
    </row>
    <row r="3294" spans="2:15" x14ac:dyDescent="0.2">
      <c r="B3294" t="s">
        <v>1433</v>
      </c>
      <c r="C3294" t="s">
        <v>12898</v>
      </c>
      <c r="D3294" t="s">
        <v>621</v>
      </c>
      <c r="E3294" t="s">
        <v>9811</v>
      </c>
      <c r="F3294">
        <v>82.2</v>
      </c>
      <c r="H3294" t="s">
        <v>1671</v>
      </c>
      <c r="L3294" t="s">
        <v>4428</v>
      </c>
      <c r="M3294" t="s">
        <v>4495</v>
      </c>
      <c r="N3294" t="s">
        <v>4503</v>
      </c>
      <c r="O3294">
        <v>50</v>
      </c>
    </row>
    <row r="3295" spans="2:15" x14ac:dyDescent="0.2">
      <c r="B3295" t="s">
        <v>1433</v>
      </c>
      <c r="C3295" t="s">
        <v>12898</v>
      </c>
      <c r="D3295" t="s">
        <v>621</v>
      </c>
      <c r="E3295" t="s">
        <v>9812</v>
      </c>
      <c r="F3295">
        <v>15.45</v>
      </c>
      <c r="H3295" t="s">
        <v>7985</v>
      </c>
      <c r="L3295" t="s">
        <v>4428</v>
      </c>
      <c r="M3295" t="s">
        <v>4498</v>
      </c>
      <c r="N3295" t="s">
        <v>4503</v>
      </c>
      <c r="O3295">
        <v>650</v>
      </c>
    </row>
    <row r="3296" spans="2:15" x14ac:dyDescent="0.2">
      <c r="B3296" t="s">
        <v>1433</v>
      </c>
      <c r="C3296" t="s">
        <v>12898</v>
      </c>
      <c r="D3296" t="s">
        <v>617</v>
      </c>
      <c r="E3296" t="s">
        <v>9813</v>
      </c>
      <c r="F3296">
        <v>1.52</v>
      </c>
      <c r="H3296" t="s">
        <v>7595</v>
      </c>
      <c r="L3296" t="s">
        <v>4428</v>
      </c>
      <c r="M3296" t="s">
        <v>1806</v>
      </c>
      <c r="N3296" t="s">
        <v>4503</v>
      </c>
      <c r="O3296">
        <v>90</v>
      </c>
    </row>
    <row r="3297" spans="2:15" x14ac:dyDescent="0.2">
      <c r="B3297" t="s">
        <v>1433</v>
      </c>
      <c r="C3297" t="s">
        <v>12898</v>
      </c>
      <c r="D3297" t="s">
        <v>621</v>
      </c>
      <c r="E3297" t="s">
        <v>9814</v>
      </c>
      <c r="F3297">
        <v>80.489999999999995</v>
      </c>
      <c r="H3297" t="s">
        <v>8043</v>
      </c>
      <c r="L3297" t="s">
        <v>4428</v>
      </c>
      <c r="M3297" t="s">
        <v>4429</v>
      </c>
      <c r="N3297" t="s">
        <v>4503</v>
      </c>
      <c r="O3297">
        <v>100</v>
      </c>
    </row>
    <row r="3298" spans="2:15" x14ac:dyDescent="0.2">
      <c r="B3298" t="s">
        <v>1433</v>
      </c>
      <c r="C3298" t="s">
        <v>12898</v>
      </c>
      <c r="D3298" t="s">
        <v>621</v>
      </c>
      <c r="E3298" t="s">
        <v>9815</v>
      </c>
      <c r="F3298">
        <v>57.5</v>
      </c>
      <c r="H3298" t="s">
        <v>9816</v>
      </c>
      <c r="L3298" t="s">
        <v>4428</v>
      </c>
      <c r="M3298" t="s">
        <v>4504</v>
      </c>
      <c r="N3298" t="s">
        <v>4505</v>
      </c>
      <c r="O3298">
        <v>16</v>
      </c>
    </row>
    <row r="3299" spans="2:15" x14ac:dyDescent="0.2">
      <c r="B3299" t="s">
        <v>1433</v>
      </c>
      <c r="C3299" t="s">
        <v>12898</v>
      </c>
      <c r="D3299" t="s">
        <v>613</v>
      </c>
      <c r="E3299" t="s">
        <v>9817</v>
      </c>
      <c r="F3299">
        <v>5136</v>
      </c>
      <c r="G3299" t="s">
        <v>2643</v>
      </c>
      <c r="L3299" t="s">
        <v>4428</v>
      </c>
      <c r="M3299" t="s">
        <v>2080</v>
      </c>
      <c r="N3299" t="s">
        <v>4505</v>
      </c>
      <c r="O3299">
        <v>200</v>
      </c>
    </row>
    <row r="3300" spans="2:15" x14ac:dyDescent="0.2">
      <c r="B3300" t="s">
        <v>1433</v>
      </c>
      <c r="C3300" t="s">
        <v>12898</v>
      </c>
      <c r="D3300" t="s">
        <v>613</v>
      </c>
      <c r="E3300" t="s">
        <v>9818</v>
      </c>
      <c r="F3300">
        <v>4.18</v>
      </c>
      <c r="G3300" t="s">
        <v>9819</v>
      </c>
      <c r="L3300" t="s">
        <v>4428</v>
      </c>
      <c r="M3300" t="s">
        <v>2078</v>
      </c>
      <c r="N3300" t="s">
        <v>4505</v>
      </c>
      <c r="O3300">
        <v>48</v>
      </c>
    </row>
    <row r="3301" spans="2:15" x14ac:dyDescent="0.2">
      <c r="B3301" t="s">
        <v>1433</v>
      </c>
      <c r="C3301" t="s">
        <v>12898</v>
      </c>
      <c r="D3301" t="s">
        <v>613</v>
      </c>
      <c r="E3301" t="s">
        <v>9820</v>
      </c>
      <c r="F3301">
        <v>3.45</v>
      </c>
      <c r="G3301" t="s">
        <v>7022</v>
      </c>
      <c r="L3301" t="s">
        <v>4428</v>
      </c>
      <c r="M3301" t="s">
        <v>4506</v>
      </c>
      <c r="N3301" t="s">
        <v>4507</v>
      </c>
      <c r="O3301">
        <v>8</v>
      </c>
    </row>
    <row r="3302" spans="2:15" x14ac:dyDescent="0.2">
      <c r="B3302" t="s">
        <v>1433</v>
      </c>
      <c r="C3302" t="s">
        <v>12898</v>
      </c>
      <c r="D3302" t="s">
        <v>613</v>
      </c>
      <c r="E3302" t="s">
        <v>9821</v>
      </c>
      <c r="F3302">
        <v>0.45</v>
      </c>
      <c r="G3302" t="s">
        <v>6992</v>
      </c>
      <c r="L3302" t="s">
        <v>4428</v>
      </c>
      <c r="M3302" t="s">
        <v>2084</v>
      </c>
      <c r="N3302" t="s">
        <v>4507</v>
      </c>
      <c r="O3302">
        <v>8</v>
      </c>
    </row>
    <row r="3303" spans="2:15" x14ac:dyDescent="0.2">
      <c r="B3303" t="s">
        <v>1433</v>
      </c>
      <c r="C3303" t="s">
        <v>12898</v>
      </c>
      <c r="D3303" t="s">
        <v>613</v>
      </c>
      <c r="E3303" t="s">
        <v>9822</v>
      </c>
      <c r="F3303">
        <v>2.8</v>
      </c>
      <c r="G3303" t="s">
        <v>6155</v>
      </c>
      <c r="L3303" t="s">
        <v>4428</v>
      </c>
      <c r="M3303" t="s">
        <v>2086</v>
      </c>
      <c r="N3303" t="s">
        <v>4507</v>
      </c>
      <c r="O3303">
        <v>8</v>
      </c>
    </row>
    <row r="3304" spans="2:15" x14ac:dyDescent="0.2">
      <c r="B3304" t="s">
        <v>1433</v>
      </c>
      <c r="C3304" t="s">
        <v>12898</v>
      </c>
      <c r="D3304" t="s">
        <v>613</v>
      </c>
      <c r="E3304" t="s">
        <v>9823</v>
      </c>
      <c r="F3304">
        <v>1.07</v>
      </c>
      <c r="G3304" t="s">
        <v>6862</v>
      </c>
      <c r="L3304" t="s">
        <v>4428</v>
      </c>
      <c r="M3304" t="s">
        <v>4508</v>
      </c>
      <c r="N3304" t="s">
        <v>4509</v>
      </c>
      <c r="O3304">
        <v>50</v>
      </c>
    </row>
    <row r="3305" spans="2:15" x14ac:dyDescent="0.2">
      <c r="B3305" t="s">
        <v>1433</v>
      </c>
      <c r="C3305" t="s">
        <v>12898</v>
      </c>
      <c r="D3305" t="s">
        <v>613</v>
      </c>
      <c r="E3305" t="s">
        <v>9824</v>
      </c>
      <c r="F3305">
        <v>3.92</v>
      </c>
      <c r="G3305" t="s">
        <v>7873</v>
      </c>
      <c r="L3305" t="s">
        <v>4428</v>
      </c>
      <c r="M3305" t="s">
        <v>4510</v>
      </c>
      <c r="N3305" t="s">
        <v>4511</v>
      </c>
      <c r="O3305">
        <v>8</v>
      </c>
    </row>
    <row r="3306" spans="2:15" x14ac:dyDescent="0.2">
      <c r="B3306" t="s">
        <v>1433</v>
      </c>
      <c r="C3306" t="s">
        <v>12898</v>
      </c>
      <c r="D3306" t="s">
        <v>613</v>
      </c>
      <c r="E3306" t="s">
        <v>9825</v>
      </c>
      <c r="F3306">
        <v>45.6</v>
      </c>
      <c r="G3306" t="s">
        <v>7001</v>
      </c>
      <c r="L3306" t="s">
        <v>4428</v>
      </c>
      <c r="M3306" t="s">
        <v>4512</v>
      </c>
      <c r="N3306" t="s">
        <v>4511</v>
      </c>
      <c r="O3306">
        <v>16</v>
      </c>
    </row>
    <row r="3307" spans="2:15" x14ac:dyDescent="0.2">
      <c r="B3307" t="s">
        <v>1433</v>
      </c>
      <c r="C3307" t="s">
        <v>12898</v>
      </c>
      <c r="D3307" t="s">
        <v>617</v>
      </c>
      <c r="E3307" t="s">
        <v>9826</v>
      </c>
      <c r="F3307">
        <v>8.34</v>
      </c>
      <c r="H3307" t="s">
        <v>2099</v>
      </c>
      <c r="L3307" t="s">
        <v>4428</v>
      </c>
      <c r="M3307" t="s">
        <v>4513</v>
      </c>
      <c r="N3307" t="s">
        <v>4511</v>
      </c>
      <c r="O3307">
        <v>8</v>
      </c>
    </row>
    <row r="3308" spans="2:15" x14ac:dyDescent="0.2">
      <c r="B3308" t="s">
        <v>1433</v>
      </c>
      <c r="C3308" t="s">
        <v>12898</v>
      </c>
      <c r="D3308" t="s">
        <v>617</v>
      </c>
      <c r="E3308" t="s">
        <v>9827</v>
      </c>
      <c r="F3308">
        <v>112.74</v>
      </c>
      <c r="H3308" t="s">
        <v>2397</v>
      </c>
      <c r="L3308" t="s">
        <v>4428</v>
      </c>
      <c r="M3308" t="s">
        <v>4514</v>
      </c>
      <c r="N3308" t="s">
        <v>4511</v>
      </c>
      <c r="O3308">
        <v>8</v>
      </c>
    </row>
    <row r="3309" spans="2:15" x14ac:dyDescent="0.2">
      <c r="B3309" t="s">
        <v>1433</v>
      </c>
      <c r="C3309" t="s">
        <v>12898</v>
      </c>
      <c r="D3309" t="s">
        <v>617</v>
      </c>
      <c r="E3309" t="s">
        <v>9828</v>
      </c>
      <c r="F3309">
        <v>1002</v>
      </c>
      <c r="H3309" t="s">
        <v>3111</v>
      </c>
      <c r="L3309" t="s">
        <v>4428</v>
      </c>
      <c r="M3309" t="s">
        <v>4515</v>
      </c>
      <c r="N3309" t="s">
        <v>4516</v>
      </c>
      <c r="O3309">
        <v>8</v>
      </c>
    </row>
    <row r="3310" spans="2:15" x14ac:dyDescent="0.2">
      <c r="B3310" t="s">
        <v>1433</v>
      </c>
      <c r="C3310" t="s">
        <v>12898</v>
      </c>
      <c r="D3310" t="s">
        <v>617</v>
      </c>
      <c r="E3310" t="s">
        <v>9829</v>
      </c>
      <c r="F3310">
        <v>5</v>
      </c>
      <c r="H3310" t="s">
        <v>1628</v>
      </c>
      <c r="L3310" t="s">
        <v>4428</v>
      </c>
      <c r="M3310" t="s">
        <v>4517</v>
      </c>
      <c r="N3310" t="s">
        <v>4516</v>
      </c>
      <c r="O3310">
        <v>36</v>
      </c>
    </row>
    <row r="3311" spans="2:15" x14ac:dyDescent="0.2">
      <c r="B3311" t="s">
        <v>1433</v>
      </c>
      <c r="C3311" t="s">
        <v>12898</v>
      </c>
      <c r="D3311" t="s">
        <v>617</v>
      </c>
      <c r="E3311" t="s">
        <v>9830</v>
      </c>
      <c r="F3311">
        <v>7.2</v>
      </c>
      <c r="H3311" t="s">
        <v>1629</v>
      </c>
      <c r="L3311" t="s">
        <v>4428</v>
      </c>
      <c r="M3311" t="s">
        <v>2397</v>
      </c>
      <c r="N3311" t="s">
        <v>4516</v>
      </c>
      <c r="O3311">
        <v>16</v>
      </c>
    </row>
    <row r="3312" spans="2:15" x14ac:dyDescent="0.2">
      <c r="B3312" t="s">
        <v>1433</v>
      </c>
      <c r="C3312" t="s">
        <v>12898</v>
      </c>
      <c r="D3312" t="s">
        <v>554</v>
      </c>
      <c r="E3312" t="s">
        <v>9831</v>
      </c>
      <c r="F3312">
        <v>79</v>
      </c>
      <c r="H3312" t="s">
        <v>7958</v>
      </c>
      <c r="L3312" t="s">
        <v>4428</v>
      </c>
      <c r="M3312" t="s">
        <v>1842</v>
      </c>
      <c r="N3312" t="s">
        <v>4518</v>
      </c>
      <c r="O3312">
        <v>8</v>
      </c>
    </row>
    <row r="3313" spans="2:15" x14ac:dyDescent="0.2">
      <c r="B3313" t="s">
        <v>1433</v>
      </c>
      <c r="C3313" t="s">
        <v>12898</v>
      </c>
      <c r="D3313" t="s">
        <v>617</v>
      </c>
      <c r="E3313" t="s">
        <v>9832</v>
      </c>
      <c r="F3313">
        <v>212.4</v>
      </c>
      <c r="H3313" t="s">
        <v>3362</v>
      </c>
      <c r="L3313" t="s">
        <v>4428</v>
      </c>
      <c r="M3313" t="s">
        <v>4519</v>
      </c>
      <c r="N3313" t="s">
        <v>4520</v>
      </c>
      <c r="O3313">
        <v>100</v>
      </c>
    </row>
    <row r="3314" spans="2:15" x14ac:dyDescent="0.2">
      <c r="B3314" t="s">
        <v>1433</v>
      </c>
      <c r="C3314" t="s">
        <v>12898</v>
      </c>
      <c r="D3314" t="s">
        <v>617</v>
      </c>
      <c r="E3314" t="s">
        <v>9833</v>
      </c>
      <c r="F3314">
        <v>136.08000000000001</v>
      </c>
      <c r="H3314" t="s">
        <v>1627</v>
      </c>
      <c r="L3314" t="s">
        <v>4428</v>
      </c>
      <c r="M3314" t="s">
        <v>1261</v>
      </c>
      <c r="N3314" t="s">
        <v>4521</v>
      </c>
      <c r="O3314">
        <v>8</v>
      </c>
    </row>
    <row r="3315" spans="2:15" x14ac:dyDescent="0.2">
      <c r="B3315" t="s">
        <v>1433</v>
      </c>
      <c r="C3315" t="s">
        <v>12898</v>
      </c>
      <c r="D3315" t="s">
        <v>613</v>
      </c>
      <c r="E3315" t="s">
        <v>9834</v>
      </c>
      <c r="F3315">
        <v>1.8</v>
      </c>
      <c r="H3315" t="s">
        <v>9835</v>
      </c>
      <c r="L3315" t="s">
        <v>4428</v>
      </c>
      <c r="M3315" t="s">
        <v>1263</v>
      </c>
      <c r="N3315" t="s">
        <v>4522</v>
      </c>
      <c r="O3315">
        <v>12</v>
      </c>
    </row>
    <row r="3316" spans="2:15" x14ac:dyDescent="0.2">
      <c r="B3316" t="s">
        <v>1433</v>
      </c>
      <c r="C3316" t="s">
        <v>12898</v>
      </c>
      <c r="D3316" t="s">
        <v>621</v>
      </c>
      <c r="E3316" t="s">
        <v>9836</v>
      </c>
      <c r="F3316">
        <v>12.33</v>
      </c>
      <c r="H3316" t="s">
        <v>4361</v>
      </c>
      <c r="L3316" t="s">
        <v>4428</v>
      </c>
      <c r="M3316" t="s">
        <v>4523</v>
      </c>
      <c r="N3316" t="s">
        <v>4524</v>
      </c>
      <c r="O3316">
        <v>30</v>
      </c>
    </row>
    <row r="3317" spans="2:15" x14ac:dyDescent="0.2">
      <c r="B3317" t="s">
        <v>1433</v>
      </c>
      <c r="C3317" t="s">
        <v>12898</v>
      </c>
      <c r="D3317" t="s">
        <v>617</v>
      </c>
      <c r="E3317" t="s">
        <v>9837</v>
      </c>
      <c r="F3317">
        <v>3.08</v>
      </c>
      <c r="H3317" t="s">
        <v>9838</v>
      </c>
      <c r="L3317" t="s">
        <v>4428</v>
      </c>
      <c r="M3317" t="s">
        <v>2078</v>
      </c>
      <c r="N3317" t="s">
        <v>4525</v>
      </c>
      <c r="O3317">
        <v>6</v>
      </c>
    </row>
    <row r="3318" spans="2:15" x14ac:dyDescent="0.2">
      <c r="B3318" t="s">
        <v>1433</v>
      </c>
      <c r="C3318" t="s">
        <v>12898</v>
      </c>
      <c r="D3318" t="s">
        <v>617</v>
      </c>
      <c r="E3318" t="s">
        <v>9839</v>
      </c>
      <c r="F3318">
        <v>3.02</v>
      </c>
      <c r="H3318" t="s">
        <v>8283</v>
      </c>
      <c r="L3318" t="s">
        <v>4428</v>
      </c>
      <c r="M3318" t="s">
        <v>4526</v>
      </c>
      <c r="N3318" t="s">
        <v>4527</v>
      </c>
      <c r="O3318">
        <v>0</v>
      </c>
    </row>
    <row r="3319" spans="2:15" x14ac:dyDescent="0.2">
      <c r="B3319" t="s">
        <v>1433</v>
      </c>
      <c r="C3319" t="s">
        <v>12898</v>
      </c>
      <c r="D3319" t="s">
        <v>617</v>
      </c>
      <c r="E3319" t="s">
        <v>9840</v>
      </c>
      <c r="F3319">
        <v>0.75</v>
      </c>
      <c r="H3319" t="s">
        <v>8187</v>
      </c>
      <c r="L3319" t="s">
        <v>4428</v>
      </c>
      <c r="M3319" t="s">
        <v>1760</v>
      </c>
      <c r="N3319" t="s">
        <v>4528</v>
      </c>
      <c r="O3319">
        <v>90</v>
      </c>
    </row>
    <row r="3320" spans="2:15" x14ac:dyDescent="0.2">
      <c r="B3320" t="s">
        <v>1433</v>
      </c>
      <c r="C3320" t="s">
        <v>12898</v>
      </c>
      <c r="D3320" t="s">
        <v>613</v>
      </c>
      <c r="E3320" t="s">
        <v>9841</v>
      </c>
      <c r="F3320">
        <v>1.1000000000000001</v>
      </c>
      <c r="G3320" t="s">
        <v>9842</v>
      </c>
      <c r="L3320" t="s">
        <v>4428</v>
      </c>
      <c r="M3320" t="s">
        <v>4529</v>
      </c>
      <c r="N3320" t="s">
        <v>4530</v>
      </c>
      <c r="O3320">
        <v>230</v>
      </c>
    </row>
    <row r="3321" spans="2:15" x14ac:dyDescent="0.2">
      <c r="B3321" t="s">
        <v>1433</v>
      </c>
      <c r="C3321" t="s">
        <v>12898</v>
      </c>
      <c r="D3321" t="s">
        <v>617</v>
      </c>
      <c r="E3321" t="s">
        <v>9843</v>
      </c>
      <c r="F3321">
        <v>28.26</v>
      </c>
      <c r="G3321" t="s">
        <v>9844</v>
      </c>
      <c r="L3321" t="s">
        <v>4428</v>
      </c>
      <c r="M3321" t="s">
        <v>1384</v>
      </c>
      <c r="N3321" t="s">
        <v>4531</v>
      </c>
      <c r="O3321">
        <v>8</v>
      </c>
    </row>
    <row r="3322" spans="2:15" x14ac:dyDescent="0.2">
      <c r="B3322" t="s">
        <v>1433</v>
      </c>
      <c r="C3322" t="s">
        <v>12898</v>
      </c>
      <c r="D3322" t="s">
        <v>613</v>
      </c>
      <c r="E3322" t="s">
        <v>9845</v>
      </c>
      <c r="F3322">
        <v>90</v>
      </c>
      <c r="G3322" t="s">
        <v>7670</v>
      </c>
      <c r="L3322" t="s">
        <v>4428</v>
      </c>
      <c r="M3322" t="s">
        <v>1516</v>
      </c>
      <c r="N3322" t="s">
        <v>4531</v>
      </c>
      <c r="O3322">
        <v>42</v>
      </c>
    </row>
    <row r="3323" spans="2:15" x14ac:dyDescent="0.2">
      <c r="B3323" t="s">
        <v>1433</v>
      </c>
      <c r="C3323" t="s">
        <v>12898</v>
      </c>
      <c r="D3323" t="s">
        <v>613</v>
      </c>
      <c r="E3323" t="s">
        <v>9846</v>
      </c>
      <c r="F3323">
        <v>20</v>
      </c>
      <c r="G3323" t="s">
        <v>7665</v>
      </c>
      <c r="L3323" t="s">
        <v>4428</v>
      </c>
      <c r="M3323" t="s">
        <v>1517</v>
      </c>
      <c r="N3323" t="s">
        <v>4531</v>
      </c>
      <c r="O3323">
        <v>30</v>
      </c>
    </row>
    <row r="3324" spans="2:15" x14ac:dyDescent="0.2">
      <c r="B3324" t="s">
        <v>1433</v>
      </c>
      <c r="C3324" t="s">
        <v>12898</v>
      </c>
      <c r="D3324" t="s">
        <v>613</v>
      </c>
      <c r="E3324" t="s">
        <v>9847</v>
      </c>
      <c r="F3324">
        <v>12.7</v>
      </c>
      <c r="G3324" t="s">
        <v>6884</v>
      </c>
      <c r="L3324" t="s">
        <v>4428</v>
      </c>
      <c r="M3324" t="s">
        <v>1768</v>
      </c>
      <c r="N3324" t="s">
        <v>4531</v>
      </c>
      <c r="O3324">
        <v>40</v>
      </c>
    </row>
    <row r="3325" spans="2:15" x14ac:dyDescent="0.2">
      <c r="B3325" t="s">
        <v>1433</v>
      </c>
      <c r="C3325" t="s">
        <v>12898</v>
      </c>
      <c r="D3325" t="s">
        <v>613</v>
      </c>
      <c r="E3325" t="s">
        <v>9848</v>
      </c>
      <c r="F3325">
        <v>19.559999999999999</v>
      </c>
      <c r="G3325" t="s">
        <v>7825</v>
      </c>
      <c r="L3325" t="s">
        <v>4428</v>
      </c>
      <c r="M3325" t="s">
        <v>1668</v>
      </c>
      <c r="N3325" t="s">
        <v>4531</v>
      </c>
      <c r="O3325">
        <v>1000</v>
      </c>
    </row>
    <row r="3326" spans="2:15" x14ac:dyDescent="0.2">
      <c r="B3326" t="s">
        <v>1433</v>
      </c>
      <c r="C3326" t="s">
        <v>12898</v>
      </c>
      <c r="D3326" t="s">
        <v>613</v>
      </c>
      <c r="E3326" t="s">
        <v>9849</v>
      </c>
      <c r="F3326">
        <v>3.5</v>
      </c>
      <c r="G3326" t="s">
        <v>7699</v>
      </c>
      <c r="L3326" t="s">
        <v>4428</v>
      </c>
      <c r="M3326" t="s">
        <v>1769</v>
      </c>
      <c r="N3326" t="s">
        <v>4531</v>
      </c>
      <c r="O3326">
        <v>300</v>
      </c>
    </row>
    <row r="3327" spans="2:15" x14ac:dyDescent="0.2">
      <c r="B3327" t="s">
        <v>1433</v>
      </c>
      <c r="C3327" t="s">
        <v>12898</v>
      </c>
      <c r="D3327" t="s">
        <v>613</v>
      </c>
      <c r="E3327" t="s">
        <v>9850</v>
      </c>
      <c r="F3327">
        <v>4.8</v>
      </c>
      <c r="G3327" t="s">
        <v>7823</v>
      </c>
      <c r="L3327" t="s">
        <v>4428</v>
      </c>
      <c r="M3327" t="s">
        <v>4186</v>
      </c>
      <c r="N3327" t="s">
        <v>4531</v>
      </c>
      <c r="O3327">
        <v>40</v>
      </c>
    </row>
    <row r="3328" spans="2:15" x14ac:dyDescent="0.2">
      <c r="B3328" t="s">
        <v>1433</v>
      </c>
      <c r="C3328" t="s">
        <v>12898</v>
      </c>
      <c r="D3328" t="s">
        <v>613</v>
      </c>
      <c r="E3328" t="s">
        <v>9851</v>
      </c>
      <c r="F3328">
        <v>12.5</v>
      </c>
      <c r="G3328" t="s">
        <v>7659</v>
      </c>
      <c r="L3328" t="s">
        <v>4428</v>
      </c>
      <c r="M3328" t="s">
        <v>4532</v>
      </c>
      <c r="N3328" t="s">
        <v>4531</v>
      </c>
      <c r="O3328">
        <v>28</v>
      </c>
    </row>
    <row r="3329" spans="2:15" x14ac:dyDescent="0.2">
      <c r="B3329" t="s">
        <v>1433</v>
      </c>
      <c r="C3329" t="s">
        <v>12898</v>
      </c>
      <c r="D3329" t="s">
        <v>613</v>
      </c>
      <c r="E3329" t="s">
        <v>9852</v>
      </c>
      <c r="F3329">
        <v>21.5</v>
      </c>
      <c r="G3329" t="s">
        <v>7802</v>
      </c>
      <c r="L3329" t="s">
        <v>4428</v>
      </c>
      <c r="M3329" t="s">
        <v>4533</v>
      </c>
      <c r="N3329" t="s">
        <v>4531</v>
      </c>
      <c r="O3329">
        <v>7</v>
      </c>
    </row>
    <row r="3330" spans="2:15" x14ac:dyDescent="0.2">
      <c r="B3330" t="s">
        <v>1433</v>
      </c>
      <c r="C3330" t="s">
        <v>12898</v>
      </c>
      <c r="D3330" t="s">
        <v>613</v>
      </c>
      <c r="E3330" t="s">
        <v>9853</v>
      </c>
      <c r="F3330">
        <v>12.88</v>
      </c>
      <c r="G3330" t="s">
        <v>7678</v>
      </c>
      <c r="L3330" t="s">
        <v>4428</v>
      </c>
      <c r="M3330" t="s">
        <v>4534</v>
      </c>
      <c r="N3330" t="s">
        <v>4531</v>
      </c>
      <c r="O3330">
        <v>8</v>
      </c>
    </row>
    <row r="3331" spans="2:15" x14ac:dyDescent="0.2">
      <c r="B3331" t="s">
        <v>1433</v>
      </c>
      <c r="C3331" t="s">
        <v>12898</v>
      </c>
      <c r="D3331" t="s">
        <v>613</v>
      </c>
      <c r="E3331" t="s">
        <v>9854</v>
      </c>
      <c r="F3331">
        <v>8</v>
      </c>
      <c r="G3331" t="s">
        <v>5249</v>
      </c>
      <c r="L3331" t="s">
        <v>4428</v>
      </c>
      <c r="M3331" t="s">
        <v>4535</v>
      </c>
      <c r="N3331" t="s">
        <v>4531</v>
      </c>
      <c r="O3331">
        <v>10</v>
      </c>
    </row>
    <row r="3332" spans="2:15" x14ac:dyDescent="0.2">
      <c r="B3332" t="s">
        <v>1433</v>
      </c>
      <c r="C3332" t="s">
        <v>12898</v>
      </c>
      <c r="D3332" t="s">
        <v>613</v>
      </c>
      <c r="E3332" t="s">
        <v>9855</v>
      </c>
      <c r="F3332">
        <v>4.16</v>
      </c>
      <c r="G3332" t="s">
        <v>9856</v>
      </c>
      <c r="L3332" t="s">
        <v>4428</v>
      </c>
      <c r="M3332" t="s">
        <v>4536</v>
      </c>
      <c r="N3332" t="s">
        <v>4531</v>
      </c>
      <c r="O3332">
        <v>10</v>
      </c>
    </row>
    <row r="3333" spans="2:15" x14ac:dyDescent="0.2">
      <c r="B3333" t="s">
        <v>1433</v>
      </c>
      <c r="C3333" t="s">
        <v>12898</v>
      </c>
      <c r="D3333" t="s">
        <v>613</v>
      </c>
      <c r="E3333" t="s">
        <v>9857</v>
      </c>
      <c r="F3333">
        <v>3.67</v>
      </c>
      <c r="G3333" t="s">
        <v>9842</v>
      </c>
      <c r="L3333" t="s">
        <v>4428</v>
      </c>
      <c r="M3333" t="s">
        <v>4537</v>
      </c>
      <c r="N3333" t="s">
        <v>4531</v>
      </c>
      <c r="O3333">
        <v>10</v>
      </c>
    </row>
    <row r="3334" spans="2:15" x14ac:dyDescent="0.2">
      <c r="B3334" t="s">
        <v>1433</v>
      </c>
      <c r="C3334" t="s">
        <v>12898</v>
      </c>
      <c r="D3334" t="s">
        <v>613</v>
      </c>
      <c r="E3334" t="s">
        <v>9858</v>
      </c>
      <c r="F3334">
        <v>14.7</v>
      </c>
      <c r="G3334" t="s">
        <v>9305</v>
      </c>
      <c r="L3334" t="s">
        <v>4428</v>
      </c>
      <c r="M3334" t="s">
        <v>1665</v>
      </c>
      <c r="N3334" t="s">
        <v>4531</v>
      </c>
      <c r="O3334">
        <v>60</v>
      </c>
    </row>
    <row r="3335" spans="2:15" x14ac:dyDescent="0.2">
      <c r="B3335" t="s">
        <v>1433</v>
      </c>
      <c r="C3335" t="s">
        <v>12898</v>
      </c>
      <c r="D3335" t="s">
        <v>613</v>
      </c>
      <c r="E3335" t="s">
        <v>9859</v>
      </c>
      <c r="F3335">
        <v>5.13</v>
      </c>
      <c r="G3335" t="s">
        <v>9624</v>
      </c>
      <c r="L3335" t="s">
        <v>4428</v>
      </c>
      <c r="M3335" t="s">
        <v>4538</v>
      </c>
      <c r="N3335" t="s">
        <v>4531</v>
      </c>
      <c r="O3335">
        <v>30</v>
      </c>
    </row>
    <row r="3336" spans="2:15" x14ac:dyDescent="0.2">
      <c r="B3336" t="s">
        <v>1433</v>
      </c>
      <c r="C3336" t="s">
        <v>12898</v>
      </c>
      <c r="D3336" t="s">
        <v>613</v>
      </c>
      <c r="E3336" t="s">
        <v>9860</v>
      </c>
      <c r="F3336">
        <v>4.09</v>
      </c>
      <c r="G3336" t="s">
        <v>9861</v>
      </c>
      <c r="L3336" t="s">
        <v>4428</v>
      </c>
      <c r="M3336" t="s">
        <v>4539</v>
      </c>
      <c r="N3336" t="s">
        <v>4531</v>
      </c>
      <c r="O3336">
        <v>30</v>
      </c>
    </row>
    <row r="3337" spans="2:15" x14ac:dyDescent="0.2">
      <c r="B3337" t="s">
        <v>1433</v>
      </c>
      <c r="C3337" t="s">
        <v>12898</v>
      </c>
      <c r="D3337" t="s">
        <v>613</v>
      </c>
      <c r="E3337" t="s">
        <v>9862</v>
      </c>
      <c r="F3337">
        <v>4.3</v>
      </c>
      <c r="G3337" t="s">
        <v>9632</v>
      </c>
      <c r="L3337" t="s">
        <v>4428</v>
      </c>
      <c r="M3337" t="s">
        <v>4184</v>
      </c>
      <c r="N3337" t="s">
        <v>4531</v>
      </c>
      <c r="O3337">
        <v>100</v>
      </c>
    </row>
    <row r="3338" spans="2:15" x14ac:dyDescent="0.2">
      <c r="B3338" t="s">
        <v>1433</v>
      </c>
      <c r="C3338" t="s">
        <v>12898</v>
      </c>
      <c r="D3338" t="s">
        <v>613</v>
      </c>
      <c r="E3338" t="s">
        <v>9863</v>
      </c>
      <c r="F3338">
        <v>4.3499999999999996</v>
      </c>
      <c r="G3338" t="s">
        <v>9864</v>
      </c>
      <c r="L3338" t="s">
        <v>4428</v>
      </c>
      <c r="M3338" t="s">
        <v>1670</v>
      </c>
      <c r="N3338" t="s">
        <v>4540</v>
      </c>
      <c r="O3338">
        <v>400</v>
      </c>
    </row>
    <row r="3339" spans="2:15" x14ac:dyDescent="0.2">
      <c r="B3339" t="s">
        <v>1433</v>
      </c>
      <c r="C3339" t="s">
        <v>12898</v>
      </c>
      <c r="D3339" t="s">
        <v>613</v>
      </c>
      <c r="E3339" t="s">
        <v>9865</v>
      </c>
      <c r="F3339">
        <v>16.100000000000001</v>
      </c>
      <c r="G3339" t="s">
        <v>5259</v>
      </c>
      <c r="L3339" t="s">
        <v>4428</v>
      </c>
      <c r="M3339" t="s">
        <v>4541</v>
      </c>
      <c r="N3339" t="s">
        <v>4540</v>
      </c>
      <c r="O3339">
        <v>400</v>
      </c>
    </row>
    <row r="3340" spans="2:15" x14ac:dyDescent="0.2">
      <c r="B3340" t="s">
        <v>1433</v>
      </c>
      <c r="C3340" t="s">
        <v>12898</v>
      </c>
      <c r="D3340" t="s">
        <v>613</v>
      </c>
      <c r="E3340" t="s">
        <v>9866</v>
      </c>
      <c r="F3340">
        <v>24.25</v>
      </c>
      <c r="G3340" t="s">
        <v>9583</v>
      </c>
      <c r="L3340" t="s">
        <v>4428</v>
      </c>
      <c r="M3340" t="s">
        <v>4542</v>
      </c>
      <c r="N3340" t="s">
        <v>4543</v>
      </c>
      <c r="O3340">
        <v>14</v>
      </c>
    </row>
    <row r="3341" spans="2:15" x14ac:dyDescent="0.2">
      <c r="B3341" t="s">
        <v>1433</v>
      </c>
      <c r="C3341" t="s">
        <v>12898</v>
      </c>
      <c r="D3341" t="s">
        <v>613</v>
      </c>
      <c r="E3341" t="s">
        <v>9867</v>
      </c>
      <c r="F3341">
        <v>16</v>
      </c>
      <c r="G3341" t="s">
        <v>7674</v>
      </c>
      <c r="L3341" t="s">
        <v>4428</v>
      </c>
      <c r="M3341" t="s">
        <v>4187</v>
      </c>
      <c r="N3341" t="s">
        <v>4544</v>
      </c>
      <c r="O3341">
        <v>24</v>
      </c>
    </row>
    <row r="3342" spans="2:15" x14ac:dyDescent="0.2">
      <c r="B3342" t="s">
        <v>1433</v>
      </c>
      <c r="C3342" t="s">
        <v>12898</v>
      </c>
      <c r="D3342" t="s">
        <v>613</v>
      </c>
      <c r="E3342" t="s">
        <v>9868</v>
      </c>
      <c r="F3342">
        <v>7.5</v>
      </c>
      <c r="G3342" t="s">
        <v>9312</v>
      </c>
      <c r="L3342" t="s">
        <v>4428</v>
      </c>
      <c r="M3342" t="s">
        <v>4455</v>
      </c>
      <c r="N3342" t="s">
        <v>4545</v>
      </c>
      <c r="O3342">
        <v>5</v>
      </c>
    </row>
    <row r="3343" spans="2:15" x14ac:dyDescent="0.2">
      <c r="B3343" t="s">
        <v>1433</v>
      </c>
      <c r="C3343" t="s">
        <v>12898</v>
      </c>
      <c r="D3343" t="s">
        <v>613</v>
      </c>
      <c r="E3343" t="s">
        <v>9869</v>
      </c>
      <c r="F3343">
        <v>8.8000000000000007</v>
      </c>
      <c r="G3343" t="s">
        <v>9559</v>
      </c>
      <c r="L3343" t="s">
        <v>4428</v>
      </c>
      <c r="M3343" t="s">
        <v>4173</v>
      </c>
      <c r="N3343" t="s">
        <v>4546</v>
      </c>
      <c r="O3343">
        <v>90</v>
      </c>
    </row>
    <row r="3344" spans="2:15" x14ac:dyDescent="0.2">
      <c r="B3344" t="s">
        <v>1433</v>
      </c>
      <c r="C3344" t="s">
        <v>12898</v>
      </c>
      <c r="D3344" t="s">
        <v>617</v>
      </c>
      <c r="E3344" t="s">
        <v>9870</v>
      </c>
      <c r="F3344">
        <v>76.900000000000006</v>
      </c>
      <c r="H3344" t="s">
        <v>3143</v>
      </c>
      <c r="L3344" t="s">
        <v>4428</v>
      </c>
      <c r="M3344" t="s">
        <v>4547</v>
      </c>
      <c r="N3344" t="s">
        <v>4548</v>
      </c>
      <c r="O3344">
        <v>15</v>
      </c>
    </row>
    <row r="3345" spans="2:15" x14ac:dyDescent="0.2">
      <c r="B3345" t="s">
        <v>1433</v>
      </c>
      <c r="C3345" t="s">
        <v>12898</v>
      </c>
      <c r="D3345" t="s">
        <v>617</v>
      </c>
      <c r="E3345" t="s">
        <v>9871</v>
      </c>
      <c r="F3345">
        <v>83.4</v>
      </c>
      <c r="H3345" t="s">
        <v>3145</v>
      </c>
      <c r="L3345" t="s">
        <v>4428</v>
      </c>
      <c r="M3345" t="s">
        <v>4549</v>
      </c>
      <c r="N3345" t="s">
        <v>4550</v>
      </c>
      <c r="O3345">
        <v>15</v>
      </c>
    </row>
    <row r="3346" spans="2:15" x14ac:dyDescent="0.2">
      <c r="B3346" t="s">
        <v>1433</v>
      </c>
      <c r="C3346" t="s">
        <v>12898</v>
      </c>
      <c r="D3346" t="s">
        <v>621</v>
      </c>
      <c r="E3346" t="s">
        <v>9872</v>
      </c>
      <c r="F3346">
        <v>16.8</v>
      </c>
      <c r="H3346" t="s">
        <v>5276</v>
      </c>
      <c r="L3346" t="s">
        <v>4428</v>
      </c>
      <c r="M3346" t="s">
        <v>4551</v>
      </c>
      <c r="N3346" t="s">
        <v>4494</v>
      </c>
      <c r="O3346">
        <v>14</v>
      </c>
    </row>
    <row r="3347" spans="2:15" x14ac:dyDescent="0.2">
      <c r="B3347" t="s">
        <v>1433</v>
      </c>
      <c r="C3347" t="s">
        <v>12898</v>
      </c>
      <c r="D3347" t="s">
        <v>617</v>
      </c>
      <c r="E3347" t="s">
        <v>9873</v>
      </c>
      <c r="F3347">
        <v>18.600000000000001</v>
      </c>
      <c r="H3347" t="s">
        <v>6570</v>
      </c>
      <c r="L3347" t="s">
        <v>4428</v>
      </c>
      <c r="M3347" t="s">
        <v>4552</v>
      </c>
      <c r="N3347" t="s">
        <v>4494</v>
      </c>
      <c r="O3347">
        <v>27</v>
      </c>
    </row>
    <row r="3348" spans="2:15" x14ac:dyDescent="0.2">
      <c r="B3348" t="s">
        <v>1433</v>
      </c>
      <c r="C3348" t="s">
        <v>12898</v>
      </c>
      <c r="D3348" t="s">
        <v>617</v>
      </c>
      <c r="E3348" t="s">
        <v>9874</v>
      </c>
      <c r="F3348">
        <v>6.8</v>
      </c>
      <c r="H3348" t="s">
        <v>8711</v>
      </c>
      <c r="L3348" t="s">
        <v>4428</v>
      </c>
      <c r="M3348" t="s">
        <v>4553</v>
      </c>
      <c r="N3348" t="s">
        <v>4494</v>
      </c>
      <c r="O3348">
        <v>40</v>
      </c>
    </row>
    <row r="3349" spans="2:15" x14ac:dyDescent="0.2">
      <c r="B3349" t="s">
        <v>1433</v>
      </c>
      <c r="C3349" t="s">
        <v>12898</v>
      </c>
      <c r="D3349" t="s">
        <v>617</v>
      </c>
      <c r="E3349" t="s">
        <v>9875</v>
      </c>
      <c r="F3349">
        <v>9.6</v>
      </c>
      <c r="H3349" t="s">
        <v>9876</v>
      </c>
      <c r="L3349" t="s">
        <v>4428</v>
      </c>
      <c r="M3349" t="s">
        <v>1481</v>
      </c>
      <c r="N3349" t="s">
        <v>4494</v>
      </c>
      <c r="O3349">
        <v>32</v>
      </c>
    </row>
    <row r="3350" spans="2:15" x14ac:dyDescent="0.2">
      <c r="B3350" t="s">
        <v>1433</v>
      </c>
      <c r="C3350" t="s">
        <v>12898</v>
      </c>
      <c r="D3350" t="s">
        <v>617</v>
      </c>
      <c r="E3350" t="s">
        <v>9877</v>
      </c>
      <c r="F3350">
        <v>3.02</v>
      </c>
      <c r="H3350" t="s">
        <v>7931</v>
      </c>
      <c r="L3350" t="s">
        <v>4428</v>
      </c>
      <c r="M3350" t="s">
        <v>4491</v>
      </c>
      <c r="N3350" t="s">
        <v>4494</v>
      </c>
      <c r="O3350">
        <v>14</v>
      </c>
    </row>
    <row r="3351" spans="2:15" x14ac:dyDescent="0.2">
      <c r="B3351" t="s">
        <v>1433</v>
      </c>
      <c r="C3351" t="s">
        <v>12898</v>
      </c>
      <c r="D3351" t="s">
        <v>617</v>
      </c>
      <c r="E3351" t="s">
        <v>9878</v>
      </c>
      <c r="F3351">
        <v>2.2000000000000002</v>
      </c>
      <c r="H3351" t="s">
        <v>4878</v>
      </c>
      <c r="L3351" t="s">
        <v>4428</v>
      </c>
      <c r="M3351" t="s">
        <v>4455</v>
      </c>
      <c r="N3351" t="s">
        <v>4494</v>
      </c>
      <c r="O3351">
        <v>96</v>
      </c>
    </row>
    <row r="3352" spans="2:15" x14ac:dyDescent="0.2">
      <c r="B3352" t="s">
        <v>1433</v>
      </c>
      <c r="C3352" t="s">
        <v>12898</v>
      </c>
      <c r="D3352" t="s">
        <v>621</v>
      </c>
      <c r="E3352" t="s">
        <v>9879</v>
      </c>
      <c r="F3352">
        <v>448.1</v>
      </c>
      <c r="H3352" t="s">
        <v>3047</v>
      </c>
      <c r="L3352" t="s">
        <v>4428</v>
      </c>
      <c r="M3352" t="s">
        <v>4493</v>
      </c>
      <c r="N3352" t="s">
        <v>4494</v>
      </c>
      <c r="O3352">
        <v>65</v>
      </c>
    </row>
    <row r="3353" spans="2:15" x14ac:dyDescent="0.2">
      <c r="B3353" t="s">
        <v>1433</v>
      </c>
      <c r="C3353" t="s">
        <v>12898</v>
      </c>
      <c r="D3353" t="s">
        <v>617</v>
      </c>
      <c r="E3353" t="s">
        <v>9880</v>
      </c>
      <c r="F3353">
        <v>1.23</v>
      </c>
      <c r="H3353" t="s">
        <v>1630</v>
      </c>
      <c r="L3353" t="s">
        <v>4428</v>
      </c>
      <c r="M3353" t="s">
        <v>4490</v>
      </c>
      <c r="N3353" t="s">
        <v>4494</v>
      </c>
      <c r="O3353">
        <v>31</v>
      </c>
    </row>
    <row r="3354" spans="2:15" x14ac:dyDescent="0.2">
      <c r="B3354" t="s">
        <v>1433</v>
      </c>
      <c r="C3354" t="s">
        <v>12898</v>
      </c>
      <c r="D3354" t="s">
        <v>617</v>
      </c>
      <c r="E3354" t="s">
        <v>9881</v>
      </c>
      <c r="F3354">
        <v>48.36</v>
      </c>
      <c r="G3354" t="s">
        <v>3124</v>
      </c>
      <c r="L3354" t="s">
        <v>4428</v>
      </c>
      <c r="M3354" t="s">
        <v>4453</v>
      </c>
      <c r="N3354" t="s">
        <v>4494</v>
      </c>
      <c r="O3354">
        <v>101</v>
      </c>
    </row>
    <row r="3355" spans="2:15" x14ac:dyDescent="0.2">
      <c r="B3355" t="s">
        <v>1433</v>
      </c>
      <c r="C3355" t="s">
        <v>12898</v>
      </c>
      <c r="D3355" t="s">
        <v>613</v>
      </c>
      <c r="E3355" t="s">
        <v>9882</v>
      </c>
      <c r="F3355">
        <v>0.38</v>
      </c>
      <c r="G3355" t="s">
        <v>7909</v>
      </c>
      <c r="L3355" t="s">
        <v>4428</v>
      </c>
      <c r="M3355" t="s">
        <v>2933</v>
      </c>
      <c r="N3355" t="s">
        <v>4494</v>
      </c>
      <c r="O3355">
        <v>2</v>
      </c>
    </row>
    <row r="3356" spans="2:15" x14ac:dyDescent="0.2">
      <c r="B3356" t="s">
        <v>1433</v>
      </c>
      <c r="C3356" t="s">
        <v>12898</v>
      </c>
      <c r="D3356" t="s">
        <v>621</v>
      </c>
      <c r="E3356" t="s">
        <v>9883</v>
      </c>
      <c r="F3356">
        <v>29.43</v>
      </c>
      <c r="G3356" t="s">
        <v>9884</v>
      </c>
      <c r="L3356" t="s">
        <v>4428</v>
      </c>
      <c r="M3356" t="s">
        <v>2935</v>
      </c>
      <c r="N3356" t="s">
        <v>4494</v>
      </c>
      <c r="O3356">
        <v>2</v>
      </c>
    </row>
    <row r="3357" spans="2:15" x14ac:dyDescent="0.2">
      <c r="B3357" t="s">
        <v>1433</v>
      </c>
      <c r="C3357" t="s">
        <v>12898</v>
      </c>
      <c r="D3357" t="s">
        <v>617</v>
      </c>
      <c r="E3357" t="s">
        <v>9885</v>
      </c>
      <c r="F3357">
        <v>33.82</v>
      </c>
      <c r="H3357" t="s">
        <v>1388</v>
      </c>
      <c r="L3357" t="s">
        <v>4428</v>
      </c>
      <c r="M3357" t="s">
        <v>4554</v>
      </c>
      <c r="N3357" t="s">
        <v>4494</v>
      </c>
      <c r="O3357">
        <v>64</v>
      </c>
    </row>
    <row r="3358" spans="2:15" x14ac:dyDescent="0.2">
      <c r="B3358" t="s">
        <v>1433</v>
      </c>
      <c r="C3358" t="s">
        <v>12898</v>
      </c>
      <c r="D3358" t="s">
        <v>617</v>
      </c>
      <c r="E3358" t="s">
        <v>9886</v>
      </c>
      <c r="F3358">
        <v>66.5</v>
      </c>
      <c r="H3358" t="s">
        <v>1457</v>
      </c>
      <c r="L3358" t="s">
        <v>4428</v>
      </c>
      <c r="M3358" t="s">
        <v>1485</v>
      </c>
      <c r="N3358" t="s">
        <v>4494</v>
      </c>
      <c r="O3358">
        <v>64</v>
      </c>
    </row>
    <row r="3359" spans="2:15" x14ac:dyDescent="0.2">
      <c r="B3359" t="s">
        <v>1433</v>
      </c>
      <c r="C3359" t="s">
        <v>12898</v>
      </c>
      <c r="D3359" t="s">
        <v>617</v>
      </c>
      <c r="E3359" t="s">
        <v>9887</v>
      </c>
      <c r="F3359">
        <v>6.75</v>
      </c>
      <c r="H3359" t="s">
        <v>1458</v>
      </c>
      <c r="L3359" t="s">
        <v>4428</v>
      </c>
      <c r="M3359" t="s">
        <v>4555</v>
      </c>
      <c r="N3359" t="s">
        <v>4494</v>
      </c>
      <c r="O3359">
        <v>27</v>
      </c>
    </row>
    <row r="3360" spans="2:15" x14ac:dyDescent="0.2">
      <c r="B3360" t="s">
        <v>1433</v>
      </c>
      <c r="C3360" t="s">
        <v>12898</v>
      </c>
      <c r="D3360" t="s">
        <v>617</v>
      </c>
      <c r="E3360" t="s">
        <v>9888</v>
      </c>
      <c r="F3360">
        <v>9.5500000000000007</v>
      </c>
      <c r="H3360" t="s">
        <v>1459</v>
      </c>
      <c r="L3360" t="s">
        <v>4428</v>
      </c>
      <c r="M3360" t="s">
        <v>4490</v>
      </c>
      <c r="N3360" t="s">
        <v>4556</v>
      </c>
      <c r="O3360">
        <v>1</v>
      </c>
    </row>
    <row r="3361" spans="2:15" x14ac:dyDescent="0.2">
      <c r="B3361" t="s">
        <v>1433</v>
      </c>
      <c r="C3361" t="s">
        <v>12898</v>
      </c>
      <c r="D3361" t="s">
        <v>617</v>
      </c>
      <c r="E3361" t="s">
        <v>9889</v>
      </c>
      <c r="F3361">
        <v>13.94</v>
      </c>
      <c r="H3361" t="s">
        <v>1376</v>
      </c>
      <c r="L3361" t="s">
        <v>4428</v>
      </c>
      <c r="M3361" t="s">
        <v>4161</v>
      </c>
      <c r="N3361" t="s">
        <v>4342</v>
      </c>
      <c r="O3361">
        <v>35</v>
      </c>
    </row>
    <row r="3362" spans="2:15" x14ac:dyDescent="0.2">
      <c r="B3362" t="s">
        <v>1433</v>
      </c>
      <c r="C3362" t="s">
        <v>12898</v>
      </c>
      <c r="D3362" t="s">
        <v>613</v>
      </c>
      <c r="E3362" t="s">
        <v>9890</v>
      </c>
      <c r="F3362">
        <v>2.25</v>
      </c>
      <c r="G3362" t="s">
        <v>7659</v>
      </c>
      <c r="L3362" t="s">
        <v>4428</v>
      </c>
      <c r="M3362" t="s">
        <v>4497</v>
      </c>
      <c r="N3362" t="s">
        <v>4503</v>
      </c>
      <c r="O3362">
        <v>25</v>
      </c>
    </row>
    <row r="3363" spans="2:15" x14ac:dyDescent="0.2">
      <c r="B3363" t="s">
        <v>1433</v>
      </c>
      <c r="C3363" t="s">
        <v>12898</v>
      </c>
      <c r="D3363" t="s">
        <v>613</v>
      </c>
      <c r="E3363" t="s">
        <v>9891</v>
      </c>
      <c r="F3363">
        <v>6.58</v>
      </c>
      <c r="G3363" t="s">
        <v>8605</v>
      </c>
      <c r="L3363" t="s">
        <v>4428</v>
      </c>
      <c r="M3363" t="s">
        <v>2020</v>
      </c>
      <c r="N3363" t="s">
        <v>4557</v>
      </c>
      <c r="O3363">
        <v>8</v>
      </c>
    </row>
    <row r="3364" spans="2:15" x14ac:dyDescent="0.2">
      <c r="B3364" t="s">
        <v>1433</v>
      </c>
      <c r="C3364" t="s">
        <v>12898</v>
      </c>
      <c r="D3364" t="s">
        <v>613</v>
      </c>
      <c r="E3364" t="s">
        <v>9892</v>
      </c>
      <c r="F3364">
        <v>13.4</v>
      </c>
      <c r="G3364" t="s">
        <v>9893</v>
      </c>
      <c r="L3364" t="s">
        <v>4428</v>
      </c>
      <c r="M3364" t="s">
        <v>2080</v>
      </c>
      <c r="N3364" t="s">
        <v>4558</v>
      </c>
      <c r="O3364">
        <v>10</v>
      </c>
    </row>
    <row r="3365" spans="2:15" x14ac:dyDescent="0.2">
      <c r="B3365" t="s">
        <v>1433</v>
      </c>
      <c r="C3365" t="s">
        <v>12898</v>
      </c>
      <c r="D3365" t="s">
        <v>613</v>
      </c>
      <c r="E3365" t="s">
        <v>9894</v>
      </c>
      <c r="F3365">
        <v>4.5999999999999996</v>
      </c>
      <c r="G3365" t="s">
        <v>7805</v>
      </c>
      <c r="L3365" t="s">
        <v>4428</v>
      </c>
      <c r="M3365" t="s">
        <v>2862</v>
      </c>
      <c r="N3365" t="s">
        <v>4559</v>
      </c>
      <c r="O3365">
        <v>30</v>
      </c>
    </row>
    <row r="3366" spans="2:15" x14ac:dyDescent="0.2">
      <c r="B3366" t="s">
        <v>1433</v>
      </c>
      <c r="C3366" t="s">
        <v>12898</v>
      </c>
      <c r="D3366" t="s">
        <v>613</v>
      </c>
      <c r="E3366" t="s">
        <v>9895</v>
      </c>
      <c r="F3366">
        <v>6.72</v>
      </c>
      <c r="G3366" t="s">
        <v>6752</v>
      </c>
      <c r="L3366" t="s">
        <v>4428</v>
      </c>
      <c r="M3366" t="s">
        <v>1317</v>
      </c>
      <c r="N3366" t="s">
        <v>4560</v>
      </c>
      <c r="O3366">
        <v>1548</v>
      </c>
    </row>
    <row r="3367" spans="2:15" x14ac:dyDescent="0.2">
      <c r="B3367" t="s">
        <v>1433</v>
      </c>
      <c r="C3367" t="s">
        <v>12898</v>
      </c>
      <c r="D3367" t="s">
        <v>613</v>
      </c>
      <c r="E3367" t="s">
        <v>9896</v>
      </c>
      <c r="F3367">
        <v>7</v>
      </c>
      <c r="G3367" t="s">
        <v>6635</v>
      </c>
      <c r="L3367" t="s">
        <v>4428</v>
      </c>
      <c r="M3367" t="s">
        <v>1327</v>
      </c>
      <c r="N3367" t="s">
        <v>4560</v>
      </c>
      <c r="O3367">
        <v>110</v>
      </c>
    </row>
    <row r="3368" spans="2:15" x14ac:dyDescent="0.2">
      <c r="B3368" t="s">
        <v>1433</v>
      </c>
      <c r="C3368" t="s">
        <v>12898</v>
      </c>
      <c r="D3368" t="s">
        <v>613</v>
      </c>
      <c r="E3368" t="s">
        <v>9897</v>
      </c>
      <c r="F3368">
        <v>7.4</v>
      </c>
      <c r="G3368" t="s">
        <v>7816</v>
      </c>
      <c r="L3368" t="s">
        <v>4428</v>
      </c>
      <c r="M3368" t="s">
        <v>1325</v>
      </c>
      <c r="N3368" t="s">
        <v>4560</v>
      </c>
      <c r="O3368">
        <v>500</v>
      </c>
    </row>
    <row r="3369" spans="2:15" x14ac:dyDescent="0.2">
      <c r="B3369" t="s">
        <v>1433</v>
      </c>
      <c r="C3369" t="s">
        <v>12898</v>
      </c>
      <c r="D3369" t="s">
        <v>613</v>
      </c>
      <c r="E3369" t="s">
        <v>9898</v>
      </c>
      <c r="F3369">
        <v>66</v>
      </c>
      <c r="G3369" t="s">
        <v>7013</v>
      </c>
      <c r="L3369" t="s">
        <v>4428</v>
      </c>
      <c r="M3369" t="s">
        <v>4561</v>
      </c>
      <c r="N3369" t="s">
        <v>4560</v>
      </c>
      <c r="O3369">
        <v>300</v>
      </c>
    </row>
    <row r="3370" spans="2:15" x14ac:dyDescent="0.2">
      <c r="B3370" t="s">
        <v>1433</v>
      </c>
      <c r="C3370" t="s">
        <v>12898</v>
      </c>
      <c r="D3370" t="s">
        <v>613</v>
      </c>
      <c r="E3370" t="s">
        <v>9899</v>
      </c>
      <c r="F3370">
        <v>3.2</v>
      </c>
      <c r="G3370" t="s">
        <v>9410</v>
      </c>
      <c r="L3370" t="s">
        <v>4428</v>
      </c>
      <c r="M3370" t="s">
        <v>2314</v>
      </c>
      <c r="N3370" t="s">
        <v>4560</v>
      </c>
      <c r="O3370">
        <v>100</v>
      </c>
    </row>
    <row r="3371" spans="2:15" x14ac:dyDescent="0.2">
      <c r="B3371" t="s">
        <v>1433</v>
      </c>
      <c r="C3371" t="s">
        <v>12898</v>
      </c>
      <c r="D3371" t="s">
        <v>613</v>
      </c>
      <c r="E3371" t="s">
        <v>9900</v>
      </c>
      <c r="F3371">
        <v>2.4</v>
      </c>
      <c r="G3371" t="s">
        <v>7823</v>
      </c>
      <c r="L3371" t="s">
        <v>4428</v>
      </c>
      <c r="M3371" t="s">
        <v>4562</v>
      </c>
      <c r="N3371" t="s">
        <v>4560</v>
      </c>
      <c r="O3371">
        <v>200</v>
      </c>
    </row>
    <row r="3372" spans="2:15" x14ac:dyDescent="0.2">
      <c r="B3372" t="s">
        <v>1433</v>
      </c>
      <c r="C3372" t="s">
        <v>12898</v>
      </c>
      <c r="D3372" t="s">
        <v>621</v>
      </c>
      <c r="E3372" t="s">
        <v>9901</v>
      </c>
      <c r="F3372">
        <v>65.64</v>
      </c>
      <c r="H3372" t="s">
        <v>2131</v>
      </c>
      <c r="L3372" t="s">
        <v>4428</v>
      </c>
      <c r="M3372" t="s">
        <v>2216</v>
      </c>
      <c r="N3372" t="s">
        <v>4560</v>
      </c>
      <c r="O3372">
        <v>800</v>
      </c>
    </row>
    <row r="3373" spans="2:15" x14ac:dyDescent="0.2">
      <c r="B3373" t="s">
        <v>1433</v>
      </c>
      <c r="C3373" t="s">
        <v>12898</v>
      </c>
      <c r="D3373" t="s">
        <v>621</v>
      </c>
      <c r="E3373" t="s">
        <v>9902</v>
      </c>
      <c r="F3373">
        <v>163.52000000000001</v>
      </c>
      <c r="H3373" t="s">
        <v>2457</v>
      </c>
      <c r="L3373" t="s">
        <v>4428</v>
      </c>
      <c r="M3373" t="s">
        <v>4563</v>
      </c>
      <c r="N3373" t="s">
        <v>4560</v>
      </c>
      <c r="O3373">
        <v>1000</v>
      </c>
    </row>
    <row r="3374" spans="2:15" x14ac:dyDescent="0.2">
      <c r="B3374" t="s">
        <v>1433</v>
      </c>
      <c r="C3374" t="s">
        <v>12898</v>
      </c>
      <c r="D3374" t="s">
        <v>621</v>
      </c>
      <c r="E3374" t="s">
        <v>9903</v>
      </c>
      <c r="F3374">
        <v>82.2</v>
      </c>
      <c r="H3374" t="s">
        <v>1671</v>
      </c>
      <c r="L3374" t="s">
        <v>4428</v>
      </c>
      <c r="M3374" t="s">
        <v>4564</v>
      </c>
      <c r="N3374" t="s">
        <v>4560</v>
      </c>
      <c r="O3374">
        <v>300</v>
      </c>
    </row>
    <row r="3375" spans="2:15" x14ac:dyDescent="0.2">
      <c r="B3375" t="s">
        <v>1433</v>
      </c>
      <c r="C3375" t="s">
        <v>12898</v>
      </c>
      <c r="D3375" t="s">
        <v>617</v>
      </c>
      <c r="E3375" t="s">
        <v>9905</v>
      </c>
      <c r="F3375">
        <v>0.16</v>
      </c>
      <c r="H3375" t="s">
        <v>8505</v>
      </c>
      <c r="L3375" t="s">
        <v>4428</v>
      </c>
      <c r="M3375" t="s">
        <v>4565</v>
      </c>
      <c r="N3375" t="s">
        <v>4560</v>
      </c>
      <c r="O3375">
        <v>600</v>
      </c>
    </row>
    <row r="3376" spans="2:15" x14ac:dyDescent="0.2">
      <c r="B3376" t="s">
        <v>1433</v>
      </c>
      <c r="C3376" t="s">
        <v>12898</v>
      </c>
      <c r="D3376" t="s">
        <v>617</v>
      </c>
      <c r="E3376" t="s">
        <v>9906</v>
      </c>
      <c r="F3376">
        <v>0.09</v>
      </c>
      <c r="H3376" t="s">
        <v>9907</v>
      </c>
      <c r="L3376" t="s">
        <v>4428</v>
      </c>
      <c r="M3376" t="s">
        <v>4566</v>
      </c>
      <c r="N3376" t="s">
        <v>4560</v>
      </c>
      <c r="O3376">
        <v>300</v>
      </c>
    </row>
    <row r="3377" spans="2:15" x14ac:dyDescent="0.2">
      <c r="B3377" t="s">
        <v>1433</v>
      </c>
      <c r="C3377" t="s">
        <v>12898</v>
      </c>
      <c r="D3377" t="s">
        <v>617</v>
      </c>
      <c r="E3377" t="s">
        <v>9908</v>
      </c>
      <c r="F3377">
        <v>10.94</v>
      </c>
      <c r="H3377" t="s">
        <v>1616</v>
      </c>
      <c r="L3377" t="s">
        <v>4428</v>
      </c>
      <c r="M3377" t="s">
        <v>3671</v>
      </c>
      <c r="N3377" t="s">
        <v>4560</v>
      </c>
      <c r="O3377">
        <v>100</v>
      </c>
    </row>
    <row r="3378" spans="2:15" x14ac:dyDescent="0.2">
      <c r="B3378" t="s">
        <v>1433</v>
      </c>
      <c r="C3378" t="s">
        <v>12898</v>
      </c>
      <c r="D3378" t="s">
        <v>613</v>
      </c>
      <c r="E3378" t="s">
        <v>9909</v>
      </c>
      <c r="F3378">
        <v>1.4</v>
      </c>
      <c r="H3378" t="s">
        <v>6511</v>
      </c>
      <c r="L3378" t="s">
        <v>4428</v>
      </c>
      <c r="M3378" t="s">
        <v>2307</v>
      </c>
      <c r="N3378" t="s">
        <v>4560</v>
      </c>
      <c r="O3378">
        <v>100</v>
      </c>
    </row>
    <row r="3379" spans="2:15" x14ac:dyDescent="0.2">
      <c r="B3379" t="s">
        <v>1433</v>
      </c>
      <c r="C3379" t="s">
        <v>12898</v>
      </c>
      <c r="D3379" t="s">
        <v>621</v>
      </c>
      <c r="E3379" t="s">
        <v>9910</v>
      </c>
      <c r="F3379">
        <v>9.89</v>
      </c>
      <c r="H3379" t="s">
        <v>7736</v>
      </c>
      <c r="L3379" t="s">
        <v>4428</v>
      </c>
      <c r="M3379" t="s">
        <v>2089</v>
      </c>
      <c r="N3379" t="s">
        <v>4560</v>
      </c>
      <c r="O3379">
        <v>400</v>
      </c>
    </row>
    <row r="3380" spans="2:15" x14ac:dyDescent="0.2">
      <c r="B3380" t="s">
        <v>1433</v>
      </c>
      <c r="C3380" t="s">
        <v>12898</v>
      </c>
      <c r="D3380" t="s">
        <v>621</v>
      </c>
      <c r="E3380" t="s">
        <v>9911</v>
      </c>
      <c r="F3380">
        <v>17.670000000000002</v>
      </c>
      <c r="H3380" t="s">
        <v>7613</v>
      </c>
      <c r="L3380" t="s">
        <v>4428</v>
      </c>
      <c r="M3380" t="s">
        <v>4469</v>
      </c>
      <c r="N3380" t="s">
        <v>4432</v>
      </c>
      <c r="O3380">
        <v>18</v>
      </c>
    </row>
    <row r="3381" spans="2:15" x14ac:dyDescent="0.2">
      <c r="B3381" t="s">
        <v>1433</v>
      </c>
      <c r="C3381" t="s">
        <v>12898</v>
      </c>
      <c r="D3381" t="s">
        <v>621</v>
      </c>
      <c r="E3381" t="s">
        <v>9912</v>
      </c>
      <c r="F3381">
        <v>23.26</v>
      </c>
      <c r="H3381" t="s">
        <v>9913</v>
      </c>
      <c r="L3381" t="s">
        <v>4428</v>
      </c>
      <c r="M3381" t="s">
        <v>4567</v>
      </c>
      <c r="N3381" t="s">
        <v>4432</v>
      </c>
      <c r="O3381">
        <v>27</v>
      </c>
    </row>
    <row r="3382" spans="2:15" x14ac:dyDescent="0.2">
      <c r="B3382" t="s">
        <v>1433</v>
      </c>
      <c r="C3382" t="s">
        <v>12898</v>
      </c>
      <c r="D3382" t="s">
        <v>621</v>
      </c>
      <c r="E3382" t="s">
        <v>9914</v>
      </c>
      <c r="F3382">
        <v>26.68</v>
      </c>
      <c r="H3382" t="s">
        <v>8898</v>
      </c>
      <c r="L3382" t="s">
        <v>4428</v>
      </c>
      <c r="M3382" t="s">
        <v>3366</v>
      </c>
      <c r="N3382" t="s">
        <v>4432</v>
      </c>
      <c r="O3382">
        <v>3</v>
      </c>
    </row>
    <row r="3383" spans="2:15" x14ac:dyDescent="0.2">
      <c r="B3383" t="s">
        <v>1433</v>
      </c>
      <c r="C3383" t="s">
        <v>12898</v>
      </c>
      <c r="D3383" t="s">
        <v>621</v>
      </c>
      <c r="E3383" t="s">
        <v>9915</v>
      </c>
      <c r="F3383">
        <v>13.21</v>
      </c>
      <c r="H3383" t="s">
        <v>8034</v>
      </c>
      <c r="L3383" t="s">
        <v>4428</v>
      </c>
      <c r="M3383" t="s">
        <v>4568</v>
      </c>
      <c r="N3383" t="s">
        <v>4432</v>
      </c>
      <c r="O3383">
        <v>25</v>
      </c>
    </row>
    <row r="3384" spans="2:15" x14ac:dyDescent="0.2">
      <c r="B3384" t="s">
        <v>1433</v>
      </c>
      <c r="C3384" t="s">
        <v>12898</v>
      </c>
      <c r="D3384" t="s">
        <v>621</v>
      </c>
      <c r="E3384" t="s">
        <v>9916</v>
      </c>
      <c r="F3384">
        <v>33.799999999999997</v>
      </c>
      <c r="H3384" t="s">
        <v>8838</v>
      </c>
      <c r="L3384" t="s">
        <v>4428</v>
      </c>
      <c r="M3384" t="s">
        <v>4569</v>
      </c>
      <c r="N3384" t="s">
        <v>4432</v>
      </c>
      <c r="O3384">
        <v>11</v>
      </c>
    </row>
    <row r="3385" spans="2:15" x14ac:dyDescent="0.2">
      <c r="B3385" t="s">
        <v>1433</v>
      </c>
      <c r="C3385" t="s">
        <v>12898</v>
      </c>
      <c r="D3385" t="s">
        <v>613</v>
      </c>
      <c r="E3385" t="s">
        <v>9917</v>
      </c>
      <c r="F3385">
        <v>1.64</v>
      </c>
      <c r="H3385" t="s">
        <v>8214</v>
      </c>
      <c r="L3385" t="s">
        <v>4428</v>
      </c>
      <c r="M3385" t="s">
        <v>4570</v>
      </c>
      <c r="N3385" t="s">
        <v>4432</v>
      </c>
      <c r="O3385">
        <v>15</v>
      </c>
    </row>
    <row r="3386" spans="2:15" x14ac:dyDescent="0.2">
      <c r="B3386" t="s">
        <v>1433</v>
      </c>
      <c r="C3386" t="s">
        <v>12898</v>
      </c>
      <c r="D3386" t="s">
        <v>621</v>
      </c>
      <c r="E3386" t="s">
        <v>9918</v>
      </c>
      <c r="F3386">
        <v>2.13</v>
      </c>
      <c r="H3386" t="s">
        <v>6440</v>
      </c>
      <c r="L3386" t="s">
        <v>4428</v>
      </c>
      <c r="M3386" t="s">
        <v>4571</v>
      </c>
      <c r="N3386" t="s">
        <v>4432</v>
      </c>
      <c r="O3386">
        <v>15</v>
      </c>
    </row>
    <row r="3387" spans="2:15" x14ac:dyDescent="0.2">
      <c r="B3387" t="s">
        <v>1433</v>
      </c>
      <c r="C3387" t="s">
        <v>12898</v>
      </c>
      <c r="D3387" t="s">
        <v>621</v>
      </c>
      <c r="E3387" t="s">
        <v>9919</v>
      </c>
      <c r="F3387">
        <v>9.5</v>
      </c>
      <c r="G3387" t="s">
        <v>3237</v>
      </c>
      <c r="L3387" t="s">
        <v>4428</v>
      </c>
      <c r="M3387" t="s">
        <v>4572</v>
      </c>
      <c r="N3387" t="s">
        <v>4432</v>
      </c>
      <c r="O3387">
        <v>15</v>
      </c>
    </row>
    <row r="3388" spans="2:15" x14ac:dyDescent="0.2">
      <c r="B3388" t="s">
        <v>1433</v>
      </c>
      <c r="C3388" t="s">
        <v>12898</v>
      </c>
      <c r="D3388" t="s">
        <v>613</v>
      </c>
      <c r="E3388" t="s">
        <v>9920</v>
      </c>
      <c r="F3388">
        <v>24.81</v>
      </c>
      <c r="G3388" t="s">
        <v>9921</v>
      </c>
      <c r="L3388" t="s">
        <v>4428</v>
      </c>
      <c r="M3388" t="s">
        <v>4573</v>
      </c>
      <c r="N3388" t="s">
        <v>4432</v>
      </c>
      <c r="O3388">
        <v>15</v>
      </c>
    </row>
    <row r="3389" spans="2:15" x14ac:dyDescent="0.2">
      <c r="B3389" t="s">
        <v>1433</v>
      </c>
      <c r="C3389" t="s">
        <v>12898</v>
      </c>
      <c r="D3389" t="s">
        <v>613</v>
      </c>
      <c r="E3389" t="s">
        <v>9922</v>
      </c>
      <c r="F3389">
        <v>24</v>
      </c>
      <c r="G3389" t="s">
        <v>9654</v>
      </c>
      <c r="L3389" t="s">
        <v>4428</v>
      </c>
      <c r="M3389" t="s">
        <v>4574</v>
      </c>
      <c r="N3389" t="s">
        <v>4432</v>
      </c>
      <c r="O3389">
        <v>28</v>
      </c>
    </row>
    <row r="3390" spans="2:15" x14ac:dyDescent="0.2">
      <c r="B3390" t="s">
        <v>1433</v>
      </c>
      <c r="C3390" t="s">
        <v>12898</v>
      </c>
      <c r="D3390" t="s">
        <v>613</v>
      </c>
      <c r="E3390" t="s">
        <v>9923</v>
      </c>
      <c r="F3390">
        <v>18.5</v>
      </c>
      <c r="G3390" t="s">
        <v>7701</v>
      </c>
      <c r="L3390" t="s">
        <v>4428</v>
      </c>
      <c r="M3390" t="s">
        <v>4458</v>
      </c>
      <c r="N3390" t="s">
        <v>4432</v>
      </c>
      <c r="O3390">
        <v>6</v>
      </c>
    </row>
    <row r="3391" spans="2:15" x14ac:dyDescent="0.2">
      <c r="B3391" t="s">
        <v>1433</v>
      </c>
      <c r="C3391" t="s">
        <v>12898</v>
      </c>
      <c r="D3391" t="s">
        <v>613</v>
      </c>
      <c r="E3391" t="s">
        <v>9924</v>
      </c>
      <c r="F3391">
        <v>23</v>
      </c>
      <c r="G3391" t="s">
        <v>7809</v>
      </c>
      <c r="L3391" t="s">
        <v>4428</v>
      </c>
      <c r="M3391" t="s">
        <v>4460</v>
      </c>
      <c r="N3391" t="s">
        <v>4432</v>
      </c>
      <c r="O3391">
        <v>30</v>
      </c>
    </row>
    <row r="3392" spans="2:15" x14ac:dyDescent="0.2">
      <c r="B3392" t="s">
        <v>1433</v>
      </c>
      <c r="C3392" t="s">
        <v>12898</v>
      </c>
      <c r="D3392" t="s">
        <v>613</v>
      </c>
      <c r="E3392" t="s">
        <v>9925</v>
      </c>
      <c r="F3392">
        <v>25</v>
      </c>
      <c r="G3392" t="s">
        <v>7807</v>
      </c>
      <c r="L3392" t="s">
        <v>4428</v>
      </c>
      <c r="M3392" t="s">
        <v>4461</v>
      </c>
      <c r="N3392" t="s">
        <v>4432</v>
      </c>
      <c r="O3392">
        <v>60</v>
      </c>
    </row>
    <row r="3393" spans="2:15" x14ac:dyDescent="0.2">
      <c r="B3393" t="s">
        <v>1433</v>
      </c>
      <c r="C3393" t="s">
        <v>12898</v>
      </c>
      <c r="D3393" t="s">
        <v>613</v>
      </c>
      <c r="E3393" t="s">
        <v>9926</v>
      </c>
      <c r="F3393">
        <v>17.32</v>
      </c>
      <c r="G3393" t="s">
        <v>9927</v>
      </c>
      <c r="L3393" t="s">
        <v>4428</v>
      </c>
      <c r="M3393" t="s">
        <v>4462</v>
      </c>
      <c r="N3393" t="s">
        <v>4432</v>
      </c>
      <c r="O3393">
        <v>42</v>
      </c>
    </row>
    <row r="3394" spans="2:15" x14ac:dyDescent="0.2">
      <c r="B3394" t="s">
        <v>1433</v>
      </c>
      <c r="C3394" t="s">
        <v>12898</v>
      </c>
      <c r="D3394" t="s">
        <v>613</v>
      </c>
      <c r="E3394" t="s">
        <v>9928</v>
      </c>
      <c r="F3394">
        <v>20</v>
      </c>
      <c r="G3394" t="s">
        <v>7665</v>
      </c>
      <c r="L3394" t="s">
        <v>4428</v>
      </c>
      <c r="M3394" t="s">
        <v>4463</v>
      </c>
      <c r="N3394" t="s">
        <v>4432</v>
      </c>
      <c r="O3394">
        <v>21</v>
      </c>
    </row>
    <row r="3395" spans="2:15" x14ac:dyDescent="0.2">
      <c r="B3395" t="s">
        <v>1433</v>
      </c>
      <c r="C3395" t="s">
        <v>12898</v>
      </c>
      <c r="D3395" t="s">
        <v>613</v>
      </c>
      <c r="E3395" t="s">
        <v>9929</v>
      </c>
      <c r="F3395">
        <v>3.48</v>
      </c>
      <c r="G3395" t="s">
        <v>7823</v>
      </c>
      <c r="L3395" t="s">
        <v>4428</v>
      </c>
      <c r="M3395" t="s">
        <v>4575</v>
      </c>
      <c r="N3395" t="s">
        <v>4432</v>
      </c>
      <c r="O3395">
        <v>28</v>
      </c>
    </row>
    <row r="3396" spans="2:15" x14ac:dyDescent="0.2">
      <c r="B3396" t="s">
        <v>1433</v>
      </c>
      <c r="C3396" t="s">
        <v>12898</v>
      </c>
      <c r="D3396" t="s">
        <v>613</v>
      </c>
      <c r="E3396" t="s">
        <v>9930</v>
      </c>
      <c r="F3396">
        <v>13.5</v>
      </c>
      <c r="G3396" t="s">
        <v>6884</v>
      </c>
      <c r="L3396" t="s">
        <v>4428</v>
      </c>
      <c r="M3396" t="s">
        <v>4576</v>
      </c>
      <c r="N3396" t="s">
        <v>4432</v>
      </c>
      <c r="O3396">
        <v>30</v>
      </c>
    </row>
    <row r="3397" spans="2:15" x14ac:dyDescent="0.2">
      <c r="B3397" t="s">
        <v>1433</v>
      </c>
      <c r="C3397" t="s">
        <v>12898</v>
      </c>
      <c r="D3397" t="s">
        <v>1169</v>
      </c>
      <c r="E3397" t="s">
        <v>9931</v>
      </c>
      <c r="F3397">
        <v>2880</v>
      </c>
      <c r="G3397" t="s">
        <v>3170</v>
      </c>
      <c r="L3397" t="s">
        <v>4428</v>
      </c>
      <c r="M3397" t="s">
        <v>4577</v>
      </c>
      <c r="N3397" t="s">
        <v>4432</v>
      </c>
      <c r="O3397">
        <v>14</v>
      </c>
    </row>
    <row r="3398" spans="2:15" x14ac:dyDescent="0.2">
      <c r="B3398" t="s">
        <v>1433</v>
      </c>
      <c r="C3398" t="s">
        <v>12898</v>
      </c>
      <c r="D3398" t="s">
        <v>1169</v>
      </c>
      <c r="E3398" t="s">
        <v>9932</v>
      </c>
      <c r="F3398">
        <v>432</v>
      </c>
      <c r="G3398" t="s">
        <v>3172</v>
      </c>
      <c r="L3398" t="s">
        <v>4428</v>
      </c>
      <c r="M3398" t="s">
        <v>4468</v>
      </c>
      <c r="N3398" t="s">
        <v>4432</v>
      </c>
      <c r="O3398">
        <v>15</v>
      </c>
    </row>
    <row r="3399" spans="2:15" x14ac:dyDescent="0.2">
      <c r="B3399" t="s">
        <v>1433</v>
      </c>
      <c r="C3399" t="s">
        <v>12898</v>
      </c>
      <c r="D3399" t="s">
        <v>1169</v>
      </c>
      <c r="E3399" t="s">
        <v>9933</v>
      </c>
      <c r="F3399">
        <v>960</v>
      </c>
      <c r="G3399" t="s">
        <v>3173</v>
      </c>
      <c r="L3399" t="s">
        <v>4428</v>
      </c>
      <c r="M3399" t="s">
        <v>1268</v>
      </c>
      <c r="N3399" t="s">
        <v>4578</v>
      </c>
      <c r="O3399">
        <v>20</v>
      </c>
    </row>
    <row r="3400" spans="2:15" x14ac:dyDescent="0.2">
      <c r="B3400" t="s">
        <v>1433</v>
      </c>
      <c r="C3400" t="s">
        <v>12898</v>
      </c>
      <c r="D3400" t="s">
        <v>613</v>
      </c>
      <c r="E3400" t="s">
        <v>9934</v>
      </c>
      <c r="F3400">
        <v>10.65</v>
      </c>
      <c r="G3400" t="s">
        <v>9935</v>
      </c>
      <c r="L3400" t="s">
        <v>4428</v>
      </c>
      <c r="M3400" t="s">
        <v>1269</v>
      </c>
      <c r="N3400" t="s">
        <v>4578</v>
      </c>
      <c r="O3400">
        <v>100</v>
      </c>
    </row>
    <row r="3401" spans="2:15" x14ac:dyDescent="0.2">
      <c r="B3401" t="s">
        <v>1433</v>
      </c>
      <c r="C3401" t="s">
        <v>12898</v>
      </c>
      <c r="D3401" t="s">
        <v>613</v>
      </c>
      <c r="E3401" t="s">
        <v>9936</v>
      </c>
      <c r="F3401">
        <v>224</v>
      </c>
      <c r="G3401" t="s">
        <v>3168</v>
      </c>
      <c r="L3401" t="s">
        <v>4428</v>
      </c>
      <c r="M3401" t="s">
        <v>1282</v>
      </c>
      <c r="N3401" t="s">
        <v>4578</v>
      </c>
      <c r="O3401">
        <v>2</v>
      </c>
    </row>
    <row r="3402" spans="2:15" x14ac:dyDescent="0.2">
      <c r="B3402" t="s">
        <v>1433</v>
      </c>
      <c r="C3402" t="s">
        <v>12898</v>
      </c>
      <c r="D3402" t="s">
        <v>613</v>
      </c>
      <c r="E3402" t="s">
        <v>9937</v>
      </c>
      <c r="F3402">
        <v>12.95</v>
      </c>
      <c r="G3402" t="s">
        <v>7701</v>
      </c>
      <c r="L3402" t="s">
        <v>4428</v>
      </c>
      <c r="M3402" t="s">
        <v>1284</v>
      </c>
      <c r="N3402" t="s">
        <v>4578</v>
      </c>
      <c r="O3402">
        <v>17</v>
      </c>
    </row>
    <row r="3403" spans="2:15" x14ac:dyDescent="0.2">
      <c r="B3403" t="s">
        <v>1433</v>
      </c>
      <c r="C3403" t="s">
        <v>12898</v>
      </c>
      <c r="D3403" t="s">
        <v>617</v>
      </c>
      <c r="E3403" t="s">
        <v>9938</v>
      </c>
      <c r="F3403">
        <v>1117.4000000000001</v>
      </c>
      <c r="H3403" t="s">
        <v>1387</v>
      </c>
      <c r="L3403" t="s">
        <v>4428</v>
      </c>
      <c r="M3403" t="s">
        <v>1298</v>
      </c>
      <c r="N3403" t="s">
        <v>4578</v>
      </c>
      <c r="O3403">
        <v>17</v>
      </c>
    </row>
    <row r="3404" spans="2:15" x14ac:dyDescent="0.2">
      <c r="B3404" t="s">
        <v>1433</v>
      </c>
      <c r="C3404" t="s">
        <v>12898</v>
      </c>
      <c r="D3404" t="s">
        <v>613</v>
      </c>
      <c r="E3404" t="s">
        <v>9939</v>
      </c>
      <c r="F3404">
        <v>78</v>
      </c>
      <c r="H3404" t="s">
        <v>1545</v>
      </c>
      <c r="L3404" t="s">
        <v>4428</v>
      </c>
      <c r="M3404" t="s">
        <v>1212</v>
      </c>
      <c r="N3404" t="s">
        <v>4579</v>
      </c>
      <c r="O3404">
        <v>1</v>
      </c>
    </row>
    <row r="3405" spans="2:15" x14ac:dyDescent="0.2">
      <c r="B3405" t="s">
        <v>1433</v>
      </c>
      <c r="C3405" t="s">
        <v>12898</v>
      </c>
      <c r="D3405" t="s">
        <v>613</v>
      </c>
      <c r="E3405" t="s">
        <v>9940</v>
      </c>
      <c r="F3405">
        <v>24</v>
      </c>
      <c r="H3405" t="s">
        <v>1547</v>
      </c>
      <c r="L3405" t="s">
        <v>4428</v>
      </c>
      <c r="M3405" t="s">
        <v>1216</v>
      </c>
      <c r="N3405" t="s">
        <v>4579</v>
      </c>
      <c r="O3405">
        <v>1</v>
      </c>
    </row>
    <row r="3406" spans="2:15" x14ac:dyDescent="0.2">
      <c r="B3406" t="s">
        <v>1433</v>
      </c>
      <c r="C3406" t="s">
        <v>12898</v>
      </c>
      <c r="D3406" t="s">
        <v>613</v>
      </c>
      <c r="E3406" t="s">
        <v>9941</v>
      </c>
      <c r="F3406">
        <v>1689.5</v>
      </c>
      <c r="H3406" t="s">
        <v>1548</v>
      </c>
      <c r="L3406" t="s">
        <v>4428</v>
      </c>
      <c r="M3406" t="s">
        <v>1214</v>
      </c>
      <c r="N3406" t="s">
        <v>4579</v>
      </c>
      <c r="O3406">
        <v>1</v>
      </c>
    </row>
    <row r="3407" spans="2:15" x14ac:dyDescent="0.2">
      <c r="B3407" t="s">
        <v>1433</v>
      </c>
      <c r="C3407" t="s">
        <v>12898</v>
      </c>
      <c r="D3407" t="s">
        <v>613</v>
      </c>
      <c r="E3407" t="s">
        <v>9942</v>
      </c>
      <c r="F3407">
        <v>0.79</v>
      </c>
      <c r="G3407" t="s">
        <v>9943</v>
      </c>
      <c r="L3407" t="s">
        <v>4428</v>
      </c>
      <c r="M3407" t="s">
        <v>4439</v>
      </c>
      <c r="N3407" t="s">
        <v>4580</v>
      </c>
      <c r="O3407">
        <v>2</v>
      </c>
    </row>
    <row r="3408" spans="2:15" x14ac:dyDescent="0.2">
      <c r="B3408" t="s">
        <v>1433</v>
      </c>
      <c r="C3408" t="s">
        <v>12898</v>
      </c>
      <c r="D3408" t="s">
        <v>613</v>
      </c>
      <c r="E3408" t="s">
        <v>9944</v>
      </c>
      <c r="F3408">
        <v>16.8</v>
      </c>
      <c r="G3408" t="s">
        <v>9305</v>
      </c>
      <c r="L3408" t="s">
        <v>4428</v>
      </c>
      <c r="M3408" t="s">
        <v>4443</v>
      </c>
      <c r="N3408" t="s">
        <v>4580</v>
      </c>
      <c r="O3408">
        <v>4</v>
      </c>
    </row>
    <row r="3409" spans="2:15" x14ac:dyDescent="0.2">
      <c r="B3409" t="s">
        <v>1433</v>
      </c>
      <c r="C3409" t="s">
        <v>12898</v>
      </c>
      <c r="D3409" t="s">
        <v>613</v>
      </c>
      <c r="E3409" t="s">
        <v>9945</v>
      </c>
      <c r="F3409">
        <v>12.69</v>
      </c>
      <c r="G3409" t="s">
        <v>7811</v>
      </c>
      <c r="L3409" t="s">
        <v>4428</v>
      </c>
      <c r="M3409" t="s">
        <v>1360</v>
      </c>
      <c r="N3409" t="s">
        <v>4581</v>
      </c>
      <c r="O3409">
        <v>40</v>
      </c>
    </row>
    <row r="3410" spans="2:15" x14ac:dyDescent="0.2">
      <c r="B3410" t="s">
        <v>1433</v>
      </c>
      <c r="C3410" t="s">
        <v>12898</v>
      </c>
      <c r="D3410" t="s">
        <v>613</v>
      </c>
      <c r="E3410" t="s">
        <v>9946</v>
      </c>
      <c r="F3410">
        <v>18.399999999999999</v>
      </c>
      <c r="G3410" t="s">
        <v>7805</v>
      </c>
      <c r="L3410" t="s">
        <v>4428</v>
      </c>
      <c r="M3410" t="s">
        <v>1386</v>
      </c>
      <c r="N3410" t="s">
        <v>4581</v>
      </c>
      <c r="O3410">
        <v>8</v>
      </c>
    </row>
    <row r="3411" spans="2:15" x14ac:dyDescent="0.2">
      <c r="B3411" t="s">
        <v>1433</v>
      </c>
      <c r="C3411" t="s">
        <v>12898</v>
      </c>
      <c r="D3411" t="s">
        <v>613</v>
      </c>
      <c r="E3411" t="s">
        <v>9947</v>
      </c>
      <c r="F3411">
        <v>66</v>
      </c>
      <c r="G3411" t="s">
        <v>7013</v>
      </c>
      <c r="L3411" t="s">
        <v>4428</v>
      </c>
      <c r="M3411" t="s">
        <v>2562</v>
      </c>
      <c r="N3411" t="s">
        <v>4581</v>
      </c>
      <c r="O3411">
        <v>7</v>
      </c>
    </row>
    <row r="3412" spans="2:15" x14ac:dyDescent="0.2">
      <c r="B3412" t="s">
        <v>1433</v>
      </c>
      <c r="C3412" t="s">
        <v>12898</v>
      </c>
      <c r="D3412" t="s">
        <v>613</v>
      </c>
      <c r="E3412" t="s">
        <v>9948</v>
      </c>
      <c r="F3412">
        <v>31</v>
      </c>
      <c r="G3412" t="s">
        <v>9406</v>
      </c>
      <c r="L3412" t="s">
        <v>4428</v>
      </c>
      <c r="M3412" t="s">
        <v>1518</v>
      </c>
      <c r="N3412" t="s">
        <v>4581</v>
      </c>
      <c r="O3412">
        <v>17</v>
      </c>
    </row>
    <row r="3413" spans="2:15" x14ac:dyDescent="0.2">
      <c r="B3413" t="s">
        <v>1433</v>
      </c>
      <c r="C3413" t="s">
        <v>12898</v>
      </c>
      <c r="D3413" t="s">
        <v>613</v>
      </c>
      <c r="E3413" t="s">
        <v>9949</v>
      </c>
      <c r="F3413">
        <v>7.25</v>
      </c>
      <c r="G3413" t="s">
        <v>9950</v>
      </c>
      <c r="L3413" t="s">
        <v>4428</v>
      </c>
      <c r="M3413" t="s">
        <v>4163</v>
      </c>
      <c r="N3413" t="s">
        <v>4581</v>
      </c>
      <c r="O3413">
        <v>1200</v>
      </c>
    </row>
    <row r="3414" spans="2:15" x14ac:dyDescent="0.2">
      <c r="B3414" t="s">
        <v>1433</v>
      </c>
      <c r="C3414" t="s">
        <v>12898</v>
      </c>
      <c r="D3414" t="s">
        <v>613</v>
      </c>
      <c r="E3414" t="s">
        <v>9951</v>
      </c>
      <c r="F3414">
        <v>2.66</v>
      </c>
      <c r="G3414" t="s">
        <v>9310</v>
      </c>
      <c r="L3414" t="s">
        <v>4428</v>
      </c>
      <c r="M3414" t="s">
        <v>4164</v>
      </c>
      <c r="N3414" t="s">
        <v>4581</v>
      </c>
      <c r="O3414">
        <v>200</v>
      </c>
    </row>
    <row r="3415" spans="2:15" x14ac:dyDescent="0.2">
      <c r="B3415" t="s">
        <v>1433</v>
      </c>
      <c r="C3415" t="s">
        <v>12898</v>
      </c>
      <c r="D3415" t="s">
        <v>613</v>
      </c>
      <c r="E3415" t="s">
        <v>9952</v>
      </c>
      <c r="F3415">
        <v>4.4000000000000004</v>
      </c>
      <c r="G3415" t="s">
        <v>9559</v>
      </c>
      <c r="L3415" t="s">
        <v>4428</v>
      </c>
      <c r="M3415" t="s">
        <v>4156</v>
      </c>
      <c r="N3415" t="s">
        <v>4581</v>
      </c>
      <c r="O3415">
        <v>700</v>
      </c>
    </row>
    <row r="3416" spans="2:15" x14ac:dyDescent="0.2">
      <c r="B3416" t="s">
        <v>1433</v>
      </c>
      <c r="C3416" t="s">
        <v>12898</v>
      </c>
      <c r="D3416" t="s">
        <v>613</v>
      </c>
      <c r="E3416" t="s">
        <v>9953</v>
      </c>
      <c r="F3416">
        <v>7.5</v>
      </c>
      <c r="G3416" t="s">
        <v>9314</v>
      </c>
      <c r="L3416" t="s">
        <v>4428</v>
      </c>
      <c r="M3416" t="s">
        <v>4158</v>
      </c>
      <c r="N3416" t="s">
        <v>4581</v>
      </c>
      <c r="O3416">
        <v>7</v>
      </c>
    </row>
    <row r="3417" spans="2:15" x14ac:dyDescent="0.2">
      <c r="B3417" t="s">
        <v>1433</v>
      </c>
      <c r="C3417" t="s">
        <v>12898</v>
      </c>
      <c r="D3417" t="s">
        <v>613</v>
      </c>
      <c r="E3417" t="s">
        <v>9954</v>
      </c>
      <c r="F3417">
        <v>0.57999999999999996</v>
      </c>
      <c r="G3417" t="s">
        <v>9955</v>
      </c>
      <c r="L3417" t="s">
        <v>4428</v>
      </c>
      <c r="M3417" t="s">
        <v>4159</v>
      </c>
      <c r="N3417" t="s">
        <v>4581</v>
      </c>
      <c r="O3417">
        <v>175</v>
      </c>
    </row>
    <row r="3418" spans="2:15" x14ac:dyDescent="0.2">
      <c r="B3418" t="s">
        <v>1433</v>
      </c>
      <c r="C3418" t="s">
        <v>12898</v>
      </c>
      <c r="D3418" t="s">
        <v>617</v>
      </c>
      <c r="E3418" t="s">
        <v>9956</v>
      </c>
      <c r="F3418">
        <v>31.95</v>
      </c>
      <c r="H3418" t="s">
        <v>3245</v>
      </c>
      <c r="L3418" t="s">
        <v>4428</v>
      </c>
      <c r="M3418" t="s">
        <v>4160</v>
      </c>
      <c r="N3418" t="s">
        <v>4581</v>
      </c>
      <c r="O3418">
        <v>400</v>
      </c>
    </row>
    <row r="3419" spans="2:15" x14ac:dyDescent="0.2">
      <c r="B3419" t="s">
        <v>1433</v>
      </c>
      <c r="C3419" t="s">
        <v>12898</v>
      </c>
      <c r="D3419" t="s">
        <v>617</v>
      </c>
      <c r="E3419" t="s">
        <v>9957</v>
      </c>
      <c r="F3419">
        <v>68.39</v>
      </c>
      <c r="H3419" t="s">
        <v>3329</v>
      </c>
      <c r="L3419" t="s">
        <v>4428</v>
      </c>
      <c r="M3419" t="s">
        <v>4582</v>
      </c>
      <c r="N3419" t="s">
        <v>4581</v>
      </c>
      <c r="O3419">
        <v>80</v>
      </c>
    </row>
    <row r="3420" spans="2:15" x14ac:dyDescent="0.2">
      <c r="B3420" t="s">
        <v>1433</v>
      </c>
      <c r="C3420" t="s">
        <v>12898</v>
      </c>
      <c r="D3420" t="s">
        <v>617</v>
      </c>
      <c r="E3420" t="s">
        <v>9958</v>
      </c>
      <c r="F3420">
        <v>13.68</v>
      </c>
      <c r="H3420" t="s">
        <v>3329</v>
      </c>
      <c r="L3420" t="s">
        <v>4428</v>
      </c>
      <c r="M3420" t="s">
        <v>4161</v>
      </c>
      <c r="N3420" t="s">
        <v>4581</v>
      </c>
      <c r="O3420">
        <v>5</v>
      </c>
    </row>
    <row r="3421" spans="2:15" x14ac:dyDescent="0.2">
      <c r="B3421" t="s">
        <v>1433</v>
      </c>
      <c r="C3421" t="s">
        <v>12898</v>
      </c>
      <c r="D3421" t="s">
        <v>617</v>
      </c>
      <c r="E3421" t="s">
        <v>9959</v>
      </c>
      <c r="F3421">
        <v>285.12</v>
      </c>
      <c r="H3421" t="s">
        <v>1624</v>
      </c>
      <c r="L3421" t="s">
        <v>4428</v>
      </c>
      <c r="M3421" t="s">
        <v>4167</v>
      </c>
      <c r="N3421" t="s">
        <v>4581</v>
      </c>
      <c r="O3421">
        <v>30</v>
      </c>
    </row>
    <row r="3422" spans="2:15" x14ac:dyDescent="0.2">
      <c r="B3422" t="s">
        <v>1433</v>
      </c>
      <c r="C3422" t="s">
        <v>12898</v>
      </c>
      <c r="D3422" t="s">
        <v>617</v>
      </c>
      <c r="E3422" t="s">
        <v>9960</v>
      </c>
      <c r="F3422">
        <v>334.56</v>
      </c>
      <c r="H3422" t="s">
        <v>1626</v>
      </c>
      <c r="L3422" t="s">
        <v>4428</v>
      </c>
      <c r="M3422" t="s">
        <v>4583</v>
      </c>
      <c r="N3422" t="s">
        <v>4581</v>
      </c>
      <c r="O3422">
        <v>330</v>
      </c>
    </row>
    <row r="3423" spans="2:15" x14ac:dyDescent="0.2">
      <c r="B3423" t="s">
        <v>1433</v>
      </c>
      <c r="C3423" t="s">
        <v>12898</v>
      </c>
      <c r="D3423" t="s">
        <v>617</v>
      </c>
      <c r="E3423" t="s">
        <v>9961</v>
      </c>
      <c r="F3423">
        <v>90.72</v>
      </c>
      <c r="H3423" t="s">
        <v>1627</v>
      </c>
      <c r="L3423" t="s">
        <v>4428</v>
      </c>
      <c r="M3423" t="s">
        <v>4162</v>
      </c>
      <c r="N3423" t="s">
        <v>4581</v>
      </c>
      <c r="O3423">
        <v>50</v>
      </c>
    </row>
    <row r="3424" spans="2:15" x14ac:dyDescent="0.2">
      <c r="B3424" t="s">
        <v>1433</v>
      </c>
      <c r="C3424" t="s">
        <v>12898</v>
      </c>
      <c r="D3424" t="s">
        <v>617</v>
      </c>
      <c r="E3424" t="s">
        <v>9962</v>
      </c>
      <c r="F3424">
        <v>25</v>
      </c>
      <c r="H3424" t="s">
        <v>1628</v>
      </c>
      <c r="L3424" t="s">
        <v>4428</v>
      </c>
      <c r="M3424" t="s">
        <v>4168</v>
      </c>
      <c r="N3424" t="s">
        <v>4581</v>
      </c>
      <c r="O3424">
        <v>500</v>
      </c>
    </row>
    <row r="3425" spans="2:15" x14ac:dyDescent="0.2">
      <c r="B3425" t="s">
        <v>1433</v>
      </c>
      <c r="C3425" t="s">
        <v>12898</v>
      </c>
      <c r="D3425" t="s">
        <v>617</v>
      </c>
      <c r="E3425" t="s">
        <v>9963</v>
      </c>
      <c r="F3425">
        <v>15</v>
      </c>
      <c r="H3425" t="s">
        <v>1628</v>
      </c>
      <c r="L3425" t="s">
        <v>4428</v>
      </c>
      <c r="M3425" t="s">
        <v>4283</v>
      </c>
      <c r="N3425" t="s">
        <v>4584</v>
      </c>
      <c r="O3425">
        <v>18</v>
      </c>
    </row>
    <row r="3426" spans="2:15" x14ac:dyDescent="0.2">
      <c r="B3426" t="s">
        <v>1433</v>
      </c>
      <c r="C3426" t="s">
        <v>12898</v>
      </c>
      <c r="D3426" t="s">
        <v>617</v>
      </c>
      <c r="E3426" t="s">
        <v>9964</v>
      </c>
      <c r="F3426">
        <v>21</v>
      </c>
      <c r="H3426" t="s">
        <v>1630</v>
      </c>
      <c r="L3426" t="s">
        <v>4428</v>
      </c>
      <c r="M3426" t="s">
        <v>2516</v>
      </c>
      <c r="N3426" t="s">
        <v>4581</v>
      </c>
      <c r="O3426">
        <v>9</v>
      </c>
    </row>
    <row r="3427" spans="2:15" x14ac:dyDescent="0.2">
      <c r="B3427" t="s">
        <v>1433</v>
      </c>
      <c r="C3427" t="s">
        <v>12898</v>
      </c>
      <c r="D3427" t="s">
        <v>617</v>
      </c>
      <c r="E3427" t="s">
        <v>9965</v>
      </c>
      <c r="F3427">
        <v>17.5</v>
      </c>
      <c r="H3427" t="s">
        <v>1629</v>
      </c>
      <c r="L3427" t="s">
        <v>4428</v>
      </c>
      <c r="M3427" t="s">
        <v>1514</v>
      </c>
      <c r="N3427" t="s">
        <v>4581</v>
      </c>
      <c r="O3427">
        <v>5</v>
      </c>
    </row>
    <row r="3428" spans="2:15" x14ac:dyDescent="0.2">
      <c r="B3428" t="s">
        <v>1433</v>
      </c>
      <c r="C3428" t="s">
        <v>12898</v>
      </c>
      <c r="D3428" t="s">
        <v>613</v>
      </c>
      <c r="E3428" t="s">
        <v>9966</v>
      </c>
      <c r="F3428">
        <v>17.78</v>
      </c>
      <c r="H3428" t="s">
        <v>3280</v>
      </c>
      <c r="L3428" t="s">
        <v>4428</v>
      </c>
      <c r="M3428" t="s">
        <v>1210</v>
      </c>
      <c r="N3428" t="s">
        <v>4585</v>
      </c>
      <c r="O3428">
        <v>1</v>
      </c>
    </row>
    <row r="3429" spans="2:15" x14ac:dyDescent="0.2">
      <c r="B3429" t="s">
        <v>1433</v>
      </c>
      <c r="C3429" t="s">
        <v>12898</v>
      </c>
      <c r="D3429" t="s">
        <v>617</v>
      </c>
      <c r="E3429" t="s">
        <v>9967</v>
      </c>
      <c r="F3429">
        <v>1027.08</v>
      </c>
      <c r="H3429" t="s">
        <v>3278</v>
      </c>
      <c r="L3429" t="s">
        <v>4428</v>
      </c>
      <c r="M3429" t="s">
        <v>1566</v>
      </c>
      <c r="N3429" t="s">
        <v>4586</v>
      </c>
      <c r="O3429">
        <v>9</v>
      </c>
    </row>
    <row r="3430" spans="2:15" x14ac:dyDescent="0.2">
      <c r="B3430" t="s">
        <v>1433</v>
      </c>
      <c r="C3430" t="s">
        <v>12898</v>
      </c>
      <c r="D3430" t="s">
        <v>617</v>
      </c>
      <c r="E3430" t="s">
        <v>9968</v>
      </c>
      <c r="F3430">
        <v>134.68</v>
      </c>
      <c r="H3430" t="s">
        <v>1713</v>
      </c>
      <c r="L3430" t="s">
        <v>4428</v>
      </c>
      <c r="M3430" t="s">
        <v>2016</v>
      </c>
      <c r="N3430" t="s">
        <v>4587</v>
      </c>
      <c r="O3430">
        <v>12</v>
      </c>
    </row>
    <row r="3431" spans="2:15" x14ac:dyDescent="0.2">
      <c r="B3431" t="s">
        <v>1433</v>
      </c>
      <c r="C3431" t="s">
        <v>12898</v>
      </c>
      <c r="D3431" t="s">
        <v>617</v>
      </c>
      <c r="E3431" t="s">
        <v>9969</v>
      </c>
      <c r="F3431">
        <v>129.6</v>
      </c>
      <c r="H3431" t="s">
        <v>1603</v>
      </c>
      <c r="L3431" t="s">
        <v>4428</v>
      </c>
      <c r="M3431" t="s">
        <v>4588</v>
      </c>
      <c r="N3431" t="s">
        <v>4589</v>
      </c>
      <c r="O3431">
        <v>50</v>
      </c>
    </row>
    <row r="3432" spans="2:15" x14ac:dyDescent="0.2">
      <c r="B3432" t="s">
        <v>1433</v>
      </c>
      <c r="C3432" t="s">
        <v>12898</v>
      </c>
      <c r="D3432" t="s">
        <v>617</v>
      </c>
      <c r="E3432" t="s">
        <v>9970</v>
      </c>
      <c r="F3432">
        <v>61.07</v>
      </c>
      <c r="H3432" t="s">
        <v>1605</v>
      </c>
      <c r="L3432" t="s">
        <v>4428</v>
      </c>
      <c r="M3432" t="s">
        <v>4590</v>
      </c>
      <c r="N3432" t="s">
        <v>4581</v>
      </c>
      <c r="O3432">
        <v>4</v>
      </c>
    </row>
    <row r="3433" spans="2:15" x14ac:dyDescent="0.2">
      <c r="B3433" t="s">
        <v>1433</v>
      </c>
      <c r="C3433" t="s">
        <v>12898</v>
      </c>
      <c r="D3433" t="s">
        <v>617</v>
      </c>
      <c r="E3433" t="s">
        <v>9971</v>
      </c>
      <c r="F3433">
        <v>35.4</v>
      </c>
      <c r="H3433" t="s">
        <v>1606</v>
      </c>
      <c r="L3433" t="s">
        <v>4428</v>
      </c>
      <c r="M3433" t="s">
        <v>1218</v>
      </c>
      <c r="N3433" t="s">
        <v>4375</v>
      </c>
      <c r="O3433">
        <v>1</v>
      </c>
    </row>
    <row r="3434" spans="2:15" x14ac:dyDescent="0.2">
      <c r="B3434" t="s">
        <v>1433</v>
      </c>
      <c r="C3434" t="s">
        <v>12898</v>
      </c>
      <c r="D3434" t="s">
        <v>617</v>
      </c>
      <c r="E3434" t="s">
        <v>9972</v>
      </c>
      <c r="F3434">
        <v>66.12</v>
      </c>
      <c r="H3434" t="s">
        <v>3277</v>
      </c>
      <c r="L3434" t="s">
        <v>4428</v>
      </c>
      <c r="M3434" t="s">
        <v>4591</v>
      </c>
      <c r="N3434" t="s">
        <v>4592</v>
      </c>
      <c r="O3434">
        <v>2</v>
      </c>
    </row>
    <row r="3435" spans="2:15" x14ac:dyDescent="0.2">
      <c r="B3435" t="s">
        <v>1433</v>
      </c>
      <c r="C3435" t="s">
        <v>12898</v>
      </c>
      <c r="D3435" t="s">
        <v>613</v>
      </c>
      <c r="E3435" t="s">
        <v>9973</v>
      </c>
      <c r="F3435">
        <v>5.69</v>
      </c>
      <c r="G3435" t="s">
        <v>9683</v>
      </c>
      <c r="L3435" t="s">
        <v>4428</v>
      </c>
      <c r="M3435" t="s">
        <v>4593</v>
      </c>
      <c r="N3435" t="s">
        <v>4592</v>
      </c>
      <c r="O3435">
        <v>6</v>
      </c>
    </row>
    <row r="3436" spans="2:15" x14ac:dyDescent="0.2">
      <c r="B3436" t="s">
        <v>1433</v>
      </c>
      <c r="C3436" t="s">
        <v>12898</v>
      </c>
      <c r="D3436" t="s">
        <v>613</v>
      </c>
      <c r="E3436" t="s">
        <v>9974</v>
      </c>
      <c r="F3436">
        <v>8.65</v>
      </c>
      <c r="G3436" t="s">
        <v>9861</v>
      </c>
      <c r="L3436" t="s">
        <v>4428</v>
      </c>
      <c r="M3436" t="s">
        <v>4594</v>
      </c>
      <c r="N3436" t="s">
        <v>4595</v>
      </c>
      <c r="O3436">
        <v>300</v>
      </c>
    </row>
    <row r="3437" spans="2:15" x14ac:dyDescent="0.2">
      <c r="B3437" t="s">
        <v>1433</v>
      </c>
      <c r="C3437" t="s">
        <v>12898</v>
      </c>
      <c r="D3437" t="s">
        <v>613</v>
      </c>
      <c r="E3437" t="s">
        <v>9975</v>
      </c>
      <c r="F3437">
        <v>5.13</v>
      </c>
      <c r="G3437" t="s">
        <v>6880</v>
      </c>
      <c r="L3437" t="s">
        <v>4428</v>
      </c>
      <c r="M3437" t="s">
        <v>1437</v>
      </c>
      <c r="N3437" t="s">
        <v>4596</v>
      </c>
      <c r="O3437">
        <v>100</v>
      </c>
    </row>
    <row r="3438" spans="2:15" x14ac:dyDescent="0.2">
      <c r="B3438" t="s">
        <v>1433</v>
      </c>
      <c r="C3438" t="s">
        <v>12898</v>
      </c>
      <c r="D3438" t="s">
        <v>613</v>
      </c>
      <c r="E3438" t="s">
        <v>9976</v>
      </c>
      <c r="F3438">
        <v>5.92</v>
      </c>
      <c r="G3438" t="s">
        <v>5114</v>
      </c>
      <c r="L3438" t="s">
        <v>4428</v>
      </c>
      <c r="M3438" t="s">
        <v>2017</v>
      </c>
      <c r="N3438" t="s">
        <v>4597</v>
      </c>
      <c r="O3438">
        <v>8</v>
      </c>
    </row>
    <row r="3439" spans="2:15" x14ac:dyDescent="0.2">
      <c r="B3439" t="s">
        <v>1433</v>
      </c>
      <c r="C3439" t="s">
        <v>12898</v>
      </c>
      <c r="D3439" t="s">
        <v>613</v>
      </c>
      <c r="E3439" t="s">
        <v>9977</v>
      </c>
      <c r="F3439">
        <v>7</v>
      </c>
      <c r="G3439" t="s">
        <v>6635</v>
      </c>
      <c r="L3439" t="s">
        <v>4428</v>
      </c>
      <c r="M3439" t="s">
        <v>2018</v>
      </c>
      <c r="N3439" t="s">
        <v>4597</v>
      </c>
      <c r="O3439">
        <v>8</v>
      </c>
    </row>
    <row r="3440" spans="2:15" x14ac:dyDescent="0.2">
      <c r="B3440" t="s">
        <v>1433</v>
      </c>
      <c r="C3440" t="s">
        <v>12898</v>
      </c>
      <c r="D3440" t="s">
        <v>613</v>
      </c>
      <c r="E3440" t="s">
        <v>9978</v>
      </c>
      <c r="F3440">
        <v>4.8</v>
      </c>
      <c r="G3440" t="s">
        <v>6752</v>
      </c>
      <c r="L3440" t="s">
        <v>4428</v>
      </c>
      <c r="M3440" t="s">
        <v>4598</v>
      </c>
      <c r="N3440" t="s">
        <v>4599</v>
      </c>
      <c r="O3440">
        <v>3</v>
      </c>
    </row>
    <row r="3441" spans="2:15" x14ac:dyDescent="0.2">
      <c r="B3441" t="s">
        <v>1433</v>
      </c>
      <c r="C3441" t="s">
        <v>12898</v>
      </c>
      <c r="D3441" t="s">
        <v>613</v>
      </c>
      <c r="E3441" t="s">
        <v>9979</v>
      </c>
      <c r="F3441">
        <v>4.9800000000000004</v>
      </c>
      <c r="G3441" t="s">
        <v>5263</v>
      </c>
      <c r="L3441" t="s">
        <v>4428</v>
      </c>
      <c r="M3441" t="s">
        <v>4600</v>
      </c>
      <c r="N3441" t="s">
        <v>4601</v>
      </c>
      <c r="O3441">
        <v>8</v>
      </c>
    </row>
    <row r="3442" spans="2:15" x14ac:dyDescent="0.2">
      <c r="B3442" t="s">
        <v>1433</v>
      </c>
      <c r="C3442" t="s">
        <v>12898</v>
      </c>
      <c r="D3442" t="s">
        <v>613</v>
      </c>
      <c r="E3442" t="s">
        <v>9980</v>
      </c>
      <c r="F3442">
        <v>11.2</v>
      </c>
      <c r="G3442" t="s">
        <v>7678</v>
      </c>
      <c r="L3442" t="s">
        <v>4428</v>
      </c>
      <c r="M3442" t="s">
        <v>2219</v>
      </c>
      <c r="N3442" t="s">
        <v>4602</v>
      </c>
      <c r="O3442">
        <v>0</v>
      </c>
    </row>
    <row r="3443" spans="2:15" x14ac:dyDescent="0.2">
      <c r="B3443" t="s">
        <v>1433</v>
      </c>
      <c r="C3443" t="s">
        <v>12898</v>
      </c>
      <c r="D3443" t="s">
        <v>613</v>
      </c>
      <c r="E3443" t="s">
        <v>9981</v>
      </c>
      <c r="F3443">
        <v>28</v>
      </c>
      <c r="G3443" t="s">
        <v>6747</v>
      </c>
      <c r="L3443" t="s">
        <v>4428</v>
      </c>
      <c r="M3443" t="s">
        <v>2221</v>
      </c>
      <c r="N3443" t="s">
        <v>4602</v>
      </c>
      <c r="O3443">
        <v>0</v>
      </c>
    </row>
    <row r="3444" spans="2:15" x14ac:dyDescent="0.2">
      <c r="B3444" t="s">
        <v>1433</v>
      </c>
      <c r="C3444" t="s">
        <v>12898</v>
      </c>
      <c r="D3444" t="s">
        <v>613</v>
      </c>
      <c r="E3444" t="s">
        <v>9982</v>
      </c>
      <c r="F3444">
        <v>6.74</v>
      </c>
      <c r="G3444" t="s">
        <v>9418</v>
      </c>
      <c r="L3444" t="s">
        <v>4428</v>
      </c>
      <c r="M3444" t="s">
        <v>1511</v>
      </c>
      <c r="N3444" t="s">
        <v>4602</v>
      </c>
      <c r="O3444">
        <v>0</v>
      </c>
    </row>
    <row r="3445" spans="2:15" x14ac:dyDescent="0.2">
      <c r="B3445" t="s">
        <v>1433</v>
      </c>
      <c r="C3445" t="s">
        <v>12898</v>
      </c>
      <c r="D3445" t="s">
        <v>613</v>
      </c>
      <c r="E3445" t="s">
        <v>9983</v>
      </c>
      <c r="F3445">
        <v>2</v>
      </c>
      <c r="G3445" t="s">
        <v>9984</v>
      </c>
      <c r="L3445" t="s">
        <v>4428</v>
      </c>
      <c r="M3445" t="s">
        <v>1512</v>
      </c>
      <c r="N3445" t="s">
        <v>4602</v>
      </c>
      <c r="O3445">
        <v>0</v>
      </c>
    </row>
    <row r="3446" spans="2:15" x14ac:dyDescent="0.2">
      <c r="B3446" t="s">
        <v>1433</v>
      </c>
      <c r="C3446" t="s">
        <v>12898</v>
      </c>
      <c r="D3446" t="s">
        <v>613</v>
      </c>
      <c r="E3446" t="s">
        <v>9985</v>
      </c>
      <c r="F3446">
        <v>13.43</v>
      </c>
      <c r="G3446" t="s">
        <v>7020</v>
      </c>
      <c r="L3446" t="s">
        <v>4428</v>
      </c>
      <c r="M3446" t="s">
        <v>4262</v>
      </c>
      <c r="N3446" t="s">
        <v>4602</v>
      </c>
      <c r="O3446">
        <v>0</v>
      </c>
    </row>
    <row r="3447" spans="2:15" x14ac:dyDescent="0.2">
      <c r="B3447" t="s">
        <v>1433</v>
      </c>
      <c r="C3447" t="s">
        <v>12898</v>
      </c>
      <c r="D3447" t="s">
        <v>613</v>
      </c>
      <c r="E3447" t="s">
        <v>9986</v>
      </c>
      <c r="F3447">
        <v>4.04</v>
      </c>
      <c r="G3447" t="s">
        <v>9987</v>
      </c>
      <c r="L3447" t="s">
        <v>4428</v>
      </c>
      <c r="M3447" t="s">
        <v>1513</v>
      </c>
      <c r="N3447" t="s">
        <v>4602</v>
      </c>
      <c r="O3447">
        <v>0</v>
      </c>
    </row>
    <row r="3448" spans="2:15" x14ac:dyDescent="0.2">
      <c r="B3448" t="s">
        <v>1433</v>
      </c>
      <c r="C3448" t="s">
        <v>12898</v>
      </c>
      <c r="D3448" t="s">
        <v>613</v>
      </c>
      <c r="E3448" t="s">
        <v>9988</v>
      </c>
      <c r="F3448">
        <v>4.3</v>
      </c>
      <c r="G3448" t="s">
        <v>9632</v>
      </c>
      <c r="L3448" t="s">
        <v>4428</v>
      </c>
      <c r="M3448" t="s">
        <v>1556</v>
      </c>
      <c r="N3448" t="s">
        <v>4602</v>
      </c>
      <c r="O3448">
        <v>1</v>
      </c>
    </row>
    <row r="3449" spans="2:15" x14ac:dyDescent="0.2">
      <c r="B3449" t="s">
        <v>1433</v>
      </c>
      <c r="C3449" t="s">
        <v>12898</v>
      </c>
      <c r="D3449" t="s">
        <v>613</v>
      </c>
      <c r="E3449" t="s">
        <v>9989</v>
      </c>
      <c r="F3449">
        <v>130.27000000000001</v>
      </c>
      <c r="G3449" t="s">
        <v>3187</v>
      </c>
      <c r="L3449" t="s">
        <v>4428</v>
      </c>
      <c r="M3449" t="s">
        <v>1557</v>
      </c>
      <c r="N3449" t="s">
        <v>4602</v>
      </c>
      <c r="O3449">
        <v>18</v>
      </c>
    </row>
    <row r="3450" spans="2:15" x14ac:dyDescent="0.2">
      <c r="B3450" t="s">
        <v>1433</v>
      </c>
      <c r="C3450" t="s">
        <v>12898</v>
      </c>
      <c r="D3450" t="s">
        <v>554</v>
      </c>
      <c r="E3450" t="s">
        <v>9990</v>
      </c>
      <c r="F3450">
        <v>420</v>
      </c>
      <c r="G3450" t="s">
        <v>3264</v>
      </c>
      <c r="L3450" t="s">
        <v>4428</v>
      </c>
      <c r="M3450" t="s">
        <v>1558</v>
      </c>
      <c r="N3450" t="s">
        <v>4602</v>
      </c>
      <c r="O3450">
        <v>0</v>
      </c>
    </row>
    <row r="3451" spans="2:15" x14ac:dyDescent="0.2">
      <c r="B3451" t="s">
        <v>1433</v>
      </c>
      <c r="C3451" t="s">
        <v>12898</v>
      </c>
      <c r="D3451" t="s">
        <v>554</v>
      </c>
      <c r="E3451" t="s">
        <v>9991</v>
      </c>
      <c r="F3451">
        <v>420</v>
      </c>
      <c r="G3451" t="s">
        <v>3264</v>
      </c>
      <c r="L3451" t="s">
        <v>4428</v>
      </c>
      <c r="M3451" t="s">
        <v>1559</v>
      </c>
      <c r="N3451" t="s">
        <v>4602</v>
      </c>
      <c r="O3451">
        <v>0</v>
      </c>
    </row>
    <row r="3452" spans="2:15" x14ac:dyDescent="0.2">
      <c r="B3452" t="s">
        <v>1433</v>
      </c>
      <c r="C3452" t="s">
        <v>12898</v>
      </c>
      <c r="D3452" t="s">
        <v>621</v>
      </c>
      <c r="E3452" t="s">
        <v>9992</v>
      </c>
      <c r="F3452">
        <v>68.040000000000006</v>
      </c>
      <c r="G3452" t="s">
        <v>3320</v>
      </c>
      <c r="L3452" t="s">
        <v>4428</v>
      </c>
      <c r="M3452" t="s">
        <v>1560</v>
      </c>
      <c r="N3452" t="s">
        <v>4602</v>
      </c>
      <c r="O3452">
        <v>22</v>
      </c>
    </row>
    <row r="3453" spans="2:15" x14ac:dyDescent="0.2">
      <c r="B3453" t="s">
        <v>1433</v>
      </c>
      <c r="C3453" t="s">
        <v>12898</v>
      </c>
      <c r="D3453" t="s">
        <v>613</v>
      </c>
      <c r="E3453" t="s">
        <v>9993</v>
      </c>
      <c r="F3453">
        <v>0.61</v>
      </c>
      <c r="G3453" t="s">
        <v>9927</v>
      </c>
      <c r="L3453" t="s">
        <v>4428</v>
      </c>
      <c r="M3453" t="s">
        <v>4603</v>
      </c>
      <c r="N3453" t="s">
        <v>4602</v>
      </c>
      <c r="O3453">
        <v>22</v>
      </c>
    </row>
    <row r="3454" spans="2:15" x14ac:dyDescent="0.2">
      <c r="B3454" t="s">
        <v>1433</v>
      </c>
      <c r="C3454" t="s">
        <v>12898</v>
      </c>
      <c r="D3454" t="s">
        <v>613</v>
      </c>
      <c r="E3454" t="s">
        <v>9994</v>
      </c>
      <c r="F3454">
        <v>8.5500000000000007</v>
      </c>
      <c r="G3454" t="s">
        <v>9624</v>
      </c>
      <c r="L3454" t="s">
        <v>4428</v>
      </c>
      <c r="M3454" t="s">
        <v>4604</v>
      </c>
      <c r="N3454" t="s">
        <v>4602</v>
      </c>
      <c r="O3454">
        <v>2</v>
      </c>
    </row>
    <row r="3455" spans="2:15" x14ac:dyDescent="0.2">
      <c r="B3455" t="s">
        <v>1433</v>
      </c>
      <c r="C3455" t="s">
        <v>12898</v>
      </c>
      <c r="D3455" t="s">
        <v>613</v>
      </c>
      <c r="E3455" t="s">
        <v>9995</v>
      </c>
      <c r="F3455">
        <v>8.5500000000000007</v>
      </c>
      <c r="G3455" t="s">
        <v>9622</v>
      </c>
      <c r="L3455" t="s">
        <v>4428</v>
      </c>
      <c r="M3455" t="s">
        <v>2015</v>
      </c>
      <c r="N3455" t="s">
        <v>4602</v>
      </c>
      <c r="O3455">
        <v>188</v>
      </c>
    </row>
    <row r="3456" spans="2:15" x14ac:dyDescent="0.2">
      <c r="B3456" t="s">
        <v>1433</v>
      </c>
      <c r="C3456" t="s">
        <v>12898</v>
      </c>
      <c r="D3456" t="s">
        <v>613</v>
      </c>
      <c r="E3456" t="s">
        <v>9996</v>
      </c>
      <c r="F3456">
        <v>8.5500000000000007</v>
      </c>
      <c r="G3456" t="s">
        <v>6880</v>
      </c>
      <c r="L3456" t="s">
        <v>4428</v>
      </c>
      <c r="M3456" t="s">
        <v>4605</v>
      </c>
      <c r="N3456" t="s">
        <v>4602</v>
      </c>
      <c r="O3456">
        <v>-2</v>
      </c>
    </row>
    <row r="3457" spans="2:15" x14ac:dyDescent="0.2">
      <c r="B3457" t="s">
        <v>1433</v>
      </c>
      <c r="C3457" t="s">
        <v>12898</v>
      </c>
      <c r="D3457" t="s">
        <v>613</v>
      </c>
      <c r="E3457" t="s">
        <v>9997</v>
      </c>
      <c r="F3457">
        <v>8.39</v>
      </c>
      <c r="G3457" t="s">
        <v>7020</v>
      </c>
      <c r="L3457" t="s">
        <v>4428</v>
      </c>
      <c r="M3457" t="s">
        <v>1722</v>
      </c>
      <c r="N3457" t="s">
        <v>4606</v>
      </c>
      <c r="O3457">
        <v>300</v>
      </c>
    </row>
    <row r="3458" spans="2:15" x14ac:dyDescent="0.2">
      <c r="B3458" t="s">
        <v>1433</v>
      </c>
      <c r="C3458" t="s">
        <v>12898</v>
      </c>
      <c r="D3458" t="s">
        <v>613</v>
      </c>
      <c r="E3458" t="s">
        <v>9998</v>
      </c>
      <c r="F3458">
        <v>7.16</v>
      </c>
      <c r="G3458" t="s">
        <v>9632</v>
      </c>
      <c r="L3458" t="s">
        <v>4428</v>
      </c>
      <c r="M3458" t="s">
        <v>1567</v>
      </c>
      <c r="N3458" t="s">
        <v>4607</v>
      </c>
      <c r="O3458">
        <v>92</v>
      </c>
    </row>
    <row r="3459" spans="2:15" x14ac:dyDescent="0.2">
      <c r="B3459" t="s">
        <v>1433</v>
      </c>
      <c r="C3459" t="s">
        <v>12898</v>
      </c>
      <c r="D3459" t="s">
        <v>613</v>
      </c>
      <c r="E3459" t="s">
        <v>9999</v>
      </c>
      <c r="F3459">
        <v>19.260000000000002</v>
      </c>
      <c r="G3459" t="s">
        <v>8916</v>
      </c>
      <c r="L3459" t="s">
        <v>4428</v>
      </c>
      <c r="M3459" t="s">
        <v>1228</v>
      </c>
      <c r="N3459" t="s">
        <v>4608</v>
      </c>
      <c r="O3459">
        <v>1</v>
      </c>
    </row>
    <row r="3460" spans="2:15" x14ac:dyDescent="0.2">
      <c r="B3460" t="s">
        <v>1433</v>
      </c>
      <c r="C3460" t="s">
        <v>12898</v>
      </c>
      <c r="D3460" t="s">
        <v>613</v>
      </c>
      <c r="E3460" t="s">
        <v>10000</v>
      </c>
      <c r="F3460">
        <v>26.3</v>
      </c>
      <c r="G3460" t="s">
        <v>6749</v>
      </c>
      <c r="L3460" t="s">
        <v>4428</v>
      </c>
      <c r="M3460" t="s">
        <v>1570</v>
      </c>
      <c r="N3460" t="s">
        <v>4609</v>
      </c>
      <c r="O3460">
        <v>8</v>
      </c>
    </row>
    <row r="3461" spans="2:15" x14ac:dyDescent="0.2">
      <c r="B3461" t="s">
        <v>1433</v>
      </c>
      <c r="C3461" t="s">
        <v>12898</v>
      </c>
      <c r="D3461" t="s">
        <v>613</v>
      </c>
      <c r="E3461" t="s">
        <v>10001</v>
      </c>
      <c r="F3461">
        <v>17.100000000000001</v>
      </c>
      <c r="G3461" t="s">
        <v>8605</v>
      </c>
      <c r="L3461" t="s">
        <v>4428</v>
      </c>
      <c r="M3461" t="s">
        <v>4508</v>
      </c>
      <c r="N3461" t="s">
        <v>4610</v>
      </c>
      <c r="O3461">
        <v>100</v>
      </c>
    </row>
    <row r="3462" spans="2:15" x14ac:dyDescent="0.2">
      <c r="B3462" t="s">
        <v>1433</v>
      </c>
      <c r="C3462" t="s">
        <v>12898</v>
      </c>
      <c r="D3462" t="s">
        <v>613</v>
      </c>
      <c r="E3462" t="s">
        <v>10002</v>
      </c>
      <c r="F3462">
        <v>13.5</v>
      </c>
      <c r="G3462" t="s">
        <v>7707</v>
      </c>
      <c r="L3462" t="s">
        <v>4428</v>
      </c>
      <c r="M3462" t="s">
        <v>2016</v>
      </c>
      <c r="N3462" t="s">
        <v>4611</v>
      </c>
      <c r="O3462">
        <v>12</v>
      </c>
    </row>
    <row r="3463" spans="2:15" x14ac:dyDescent="0.2">
      <c r="B3463" t="s">
        <v>1433</v>
      </c>
      <c r="C3463" t="s">
        <v>12898</v>
      </c>
      <c r="D3463" t="s">
        <v>613</v>
      </c>
      <c r="E3463" t="s">
        <v>10003</v>
      </c>
      <c r="F3463">
        <v>13.4</v>
      </c>
      <c r="G3463" t="s">
        <v>10004</v>
      </c>
      <c r="L3463" t="s">
        <v>4428</v>
      </c>
      <c r="M3463" t="s">
        <v>4612</v>
      </c>
      <c r="N3463" t="s">
        <v>4613</v>
      </c>
      <c r="O3463">
        <v>16</v>
      </c>
    </row>
    <row r="3464" spans="2:15" x14ac:dyDescent="0.2">
      <c r="B3464" t="s">
        <v>1433</v>
      </c>
      <c r="C3464" t="s">
        <v>12898</v>
      </c>
      <c r="D3464" t="s">
        <v>613</v>
      </c>
      <c r="E3464" t="s">
        <v>10005</v>
      </c>
      <c r="F3464">
        <v>3.84</v>
      </c>
      <c r="G3464" t="s">
        <v>10006</v>
      </c>
      <c r="L3464" t="s">
        <v>4428</v>
      </c>
      <c r="M3464" t="s">
        <v>4248</v>
      </c>
      <c r="N3464" t="s">
        <v>4613</v>
      </c>
      <c r="O3464">
        <v>4</v>
      </c>
    </row>
    <row r="3465" spans="2:15" x14ac:dyDescent="0.2">
      <c r="B3465" t="s">
        <v>1433</v>
      </c>
      <c r="C3465" t="s">
        <v>12898</v>
      </c>
      <c r="D3465" t="s">
        <v>613</v>
      </c>
      <c r="E3465" t="s">
        <v>10007</v>
      </c>
      <c r="F3465">
        <v>2.85</v>
      </c>
      <c r="G3465" t="s">
        <v>9314</v>
      </c>
      <c r="L3465" t="s">
        <v>4428</v>
      </c>
      <c r="M3465" t="s">
        <v>1562</v>
      </c>
      <c r="N3465" t="s">
        <v>4614</v>
      </c>
      <c r="O3465">
        <v>4</v>
      </c>
    </row>
    <row r="3466" spans="2:15" x14ac:dyDescent="0.2">
      <c r="B3466" t="s">
        <v>1433</v>
      </c>
      <c r="C3466" t="s">
        <v>12898</v>
      </c>
      <c r="D3466" t="s">
        <v>613</v>
      </c>
      <c r="E3466" t="s">
        <v>10008</v>
      </c>
      <c r="F3466">
        <v>6.5</v>
      </c>
      <c r="G3466" t="s">
        <v>9601</v>
      </c>
      <c r="L3466" t="s">
        <v>4428</v>
      </c>
      <c r="M3466" t="s">
        <v>1563</v>
      </c>
      <c r="N3466" t="s">
        <v>4614</v>
      </c>
      <c r="O3466">
        <v>24</v>
      </c>
    </row>
    <row r="3467" spans="2:15" x14ac:dyDescent="0.2">
      <c r="B3467" t="s">
        <v>1433</v>
      </c>
      <c r="C3467" t="s">
        <v>12898</v>
      </c>
      <c r="D3467" t="s">
        <v>613</v>
      </c>
      <c r="E3467" t="s">
        <v>10009</v>
      </c>
      <c r="F3467">
        <v>4.8</v>
      </c>
      <c r="G3467" t="s">
        <v>7823</v>
      </c>
      <c r="L3467" t="s">
        <v>4428</v>
      </c>
      <c r="M3467" t="s">
        <v>1565</v>
      </c>
      <c r="N3467" t="s">
        <v>4614</v>
      </c>
      <c r="O3467">
        <v>16</v>
      </c>
    </row>
    <row r="3468" spans="2:15" x14ac:dyDescent="0.2">
      <c r="B3468" t="s">
        <v>1433</v>
      </c>
      <c r="C3468" t="s">
        <v>12898</v>
      </c>
      <c r="D3468" t="s">
        <v>613</v>
      </c>
      <c r="E3468" t="s">
        <v>10010</v>
      </c>
      <c r="F3468">
        <v>4.2</v>
      </c>
      <c r="G3468" t="s">
        <v>7699</v>
      </c>
      <c r="L3468" t="s">
        <v>4428</v>
      </c>
      <c r="M3468" t="s">
        <v>4142</v>
      </c>
      <c r="N3468" t="s">
        <v>4615</v>
      </c>
      <c r="O3468">
        <v>44</v>
      </c>
    </row>
    <row r="3469" spans="2:15" x14ac:dyDescent="0.2">
      <c r="B3469" t="s">
        <v>1433</v>
      </c>
      <c r="C3469" t="s">
        <v>12898</v>
      </c>
      <c r="D3469" t="s">
        <v>617</v>
      </c>
      <c r="E3469" t="s">
        <v>10011</v>
      </c>
      <c r="F3469">
        <v>204</v>
      </c>
      <c r="G3469" t="s">
        <v>1550</v>
      </c>
      <c r="L3469" t="s">
        <v>4428</v>
      </c>
      <c r="M3469" t="s">
        <v>4616</v>
      </c>
      <c r="N3469" t="s">
        <v>4615</v>
      </c>
      <c r="O3469">
        <v>175</v>
      </c>
    </row>
    <row r="3470" spans="2:15" x14ac:dyDescent="0.2">
      <c r="B3470" t="s">
        <v>1433</v>
      </c>
      <c r="C3470" t="s">
        <v>12898</v>
      </c>
      <c r="D3470" t="s">
        <v>617</v>
      </c>
      <c r="E3470" t="s">
        <v>10012</v>
      </c>
      <c r="F3470">
        <v>16.09</v>
      </c>
      <c r="G3470" t="s">
        <v>3366</v>
      </c>
      <c r="L3470" t="s">
        <v>4428</v>
      </c>
      <c r="M3470" t="s">
        <v>2347</v>
      </c>
      <c r="N3470" t="s">
        <v>4366</v>
      </c>
      <c r="O3470">
        <v>26</v>
      </c>
    </row>
    <row r="3471" spans="2:15" x14ac:dyDescent="0.2">
      <c r="B3471" t="s">
        <v>1433</v>
      </c>
      <c r="C3471" t="s">
        <v>12898</v>
      </c>
      <c r="D3471" t="s">
        <v>617</v>
      </c>
      <c r="E3471" t="s">
        <v>10013</v>
      </c>
      <c r="F3471">
        <v>300.7</v>
      </c>
      <c r="H3471" t="s">
        <v>2307</v>
      </c>
      <c r="L3471" t="s">
        <v>4428</v>
      </c>
      <c r="M3471" t="s">
        <v>4617</v>
      </c>
      <c r="N3471" t="s">
        <v>4618</v>
      </c>
      <c r="O3471">
        <v>18</v>
      </c>
    </row>
    <row r="3472" spans="2:15" x14ac:dyDescent="0.2">
      <c r="B3472" t="s">
        <v>1433</v>
      </c>
      <c r="C3472" t="s">
        <v>12898</v>
      </c>
      <c r="D3472" t="s">
        <v>617</v>
      </c>
      <c r="E3472" t="s">
        <v>10014</v>
      </c>
      <c r="F3472">
        <v>261.12</v>
      </c>
      <c r="H3472" t="s">
        <v>1983</v>
      </c>
      <c r="L3472" t="s">
        <v>4428</v>
      </c>
      <c r="M3472" t="s">
        <v>4180</v>
      </c>
      <c r="N3472" t="s">
        <v>4618</v>
      </c>
      <c r="O3472">
        <v>46</v>
      </c>
    </row>
    <row r="3473" spans="2:15" x14ac:dyDescent="0.2">
      <c r="B3473" t="s">
        <v>1433</v>
      </c>
      <c r="C3473" t="s">
        <v>12898</v>
      </c>
      <c r="D3473" t="s">
        <v>617</v>
      </c>
      <c r="E3473" t="s">
        <v>10015</v>
      </c>
      <c r="F3473">
        <v>1087.97</v>
      </c>
      <c r="H3473" t="s">
        <v>1983</v>
      </c>
      <c r="L3473" t="s">
        <v>4428</v>
      </c>
      <c r="M3473" t="s">
        <v>4619</v>
      </c>
      <c r="N3473" t="s">
        <v>4618</v>
      </c>
      <c r="O3473">
        <v>24</v>
      </c>
    </row>
    <row r="3474" spans="2:15" x14ac:dyDescent="0.2">
      <c r="B3474" t="s">
        <v>1433</v>
      </c>
      <c r="C3474" t="s">
        <v>12898</v>
      </c>
      <c r="D3474" t="s">
        <v>617</v>
      </c>
      <c r="E3474" t="s">
        <v>10016</v>
      </c>
      <c r="F3474">
        <v>413.97</v>
      </c>
      <c r="H3474" t="s">
        <v>3309</v>
      </c>
      <c r="L3474" t="s">
        <v>4428</v>
      </c>
      <c r="M3474" t="s">
        <v>4176</v>
      </c>
      <c r="N3474" t="s">
        <v>4618</v>
      </c>
      <c r="O3474">
        <v>69</v>
      </c>
    </row>
    <row r="3475" spans="2:15" x14ac:dyDescent="0.2">
      <c r="B3475" t="s">
        <v>1433</v>
      </c>
      <c r="C3475" t="s">
        <v>12898</v>
      </c>
      <c r="D3475" t="s">
        <v>613</v>
      </c>
      <c r="E3475" t="s">
        <v>10017</v>
      </c>
      <c r="F3475">
        <v>4.0999999999999996</v>
      </c>
      <c r="G3475" t="s">
        <v>5354</v>
      </c>
      <c r="L3475" t="s">
        <v>4428</v>
      </c>
      <c r="M3475" t="s">
        <v>4181</v>
      </c>
      <c r="N3475" t="s">
        <v>4618</v>
      </c>
      <c r="O3475">
        <v>4</v>
      </c>
    </row>
    <row r="3476" spans="2:15" x14ac:dyDescent="0.2">
      <c r="B3476" t="s">
        <v>1433</v>
      </c>
      <c r="C3476" t="s">
        <v>12898</v>
      </c>
      <c r="D3476" t="s">
        <v>613</v>
      </c>
      <c r="E3476" t="s">
        <v>10018</v>
      </c>
      <c r="F3476">
        <v>0.4</v>
      </c>
      <c r="G3476" t="s">
        <v>7016</v>
      </c>
      <c r="L3476" t="s">
        <v>4428</v>
      </c>
      <c r="M3476" t="s">
        <v>4620</v>
      </c>
      <c r="N3476" t="s">
        <v>4618</v>
      </c>
      <c r="O3476">
        <v>6</v>
      </c>
    </row>
    <row r="3477" spans="2:15" x14ac:dyDescent="0.2">
      <c r="B3477" t="s">
        <v>1433</v>
      </c>
      <c r="C3477" t="s">
        <v>12898</v>
      </c>
      <c r="D3477" t="s">
        <v>1169</v>
      </c>
      <c r="E3477" t="s">
        <v>10019</v>
      </c>
      <c r="F3477">
        <v>648</v>
      </c>
      <c r="G3477" t="s">
        <v>3292</v>
      </c>
      <c r="L3477" t="s">
        <v>4428</v>
      </c>
      <c r="M3477" t="s">
        <v>4621</v>
      </c>
      <c r="N3477" t="s">
        <v>4618</v>
      </c>
      <c r="O3477">
        <v>22</v>
      </c>
    </row>
    <row r="3478" spans="2:15" x14ac:dyDescent="0.2">
      <c r="B3478" t="s">
        <v>1433</v>
      </c>
      <c r="C3478" t="s">
        <v>12898</v>
      </c>
      <c r="D3478" t="s">
        <v>613</v>
      </c>
      <c r="E3478" t="s">
        <v>10020</v>
      </c>
      <c r="F3478">
        <v>13</v>
      </c>
      <c r="G3478" t="s">
        <v>7760</v>
      </c>
      <c r="L3478" t="s">
        <v>4428</v>
      </c>
      <c r="M3478" t="s">
        <v>2074</v>
      </c>
      <c r="N3478" t="s">
        <v>4618</v>
      </c>
      <c r="O3478">
        <v>4</v>
      </c>
    </row>
    <row r="3479" spans="2:15" x14ac:dyDescent="0.2">
      <c r="B3479" t="s">
        <v>1433</v>
      </c>
      <c r="C3479" t="s">
        <v>12898</v>
      </c>
      <c r="D3479" t="s">
        <v>617</v>
      </c>
      <c r="E3479" t="s">
        <v>10021</v>
      </c>
      <c r="F3479">
        <v>142.56</v>
      </c>
      <c r="H3479" t="s">
        <v>1624</v>
      </c>
      <c r="L3479" t="s">
        <v>4428</v>
      </c>
      <c r="M3479" t="s">
        <v>2075</v>
      </c>
      <c r="N3479" t="s">
        <v>4618</v>
      </c>
      <c r="O3479">
        <v>4</v>
      </c>
    </row>
    <row r="3480" spans="2:15" x14ac:dyDescent="0.2">
      <c r="B3480" t="s">
        <v>1433</v>
      </c>
      <c r="C3480" t="s">
        <v>12898</v>
      </c>
      <c r="D3480" t="s">
        <v>617</v>
      </c>
      <c r="E3480" t="s">
        <v>10022</v>
      </c>
      <c r="F3480">
        <v>758.52</v>
      </c>
      <c r="H3480" t="s">
        <v>3362</v>
      </c>
      <c r="L3480" t="s">
        <v>4428</v>
      </c>
      <c r="M3480" t="s">
        <v>4622</v>
      </c>
      <c r="N3480" t="s">
        <v>4618</v>
      </c>
      <c r="O3480">
        <v>2</v>
      </c>
    </row>
    <row r="3481" spans="2:15" x14ac:dyDescent="0.2">
      <c r="B3481" t="s">
        <v>1433</v>
      </c>
      <c r="C3481" t="s">
        <v>12898</v>
      </c>
      <c r="D3481" t="s">
        <v>617</v>
      </c>
      <c r="E3481" t="s">
        <v>10023</v>
      </c>
      <c r="F3481">
        <v>39.6</v>
      </c>
      <c r="H3481" t="s">
        <v>3364</v>
      </c>
      <c r="L3481" t="s">
        <v>4428</v>
      </c>
      <c r="M3481" t="s">
        <v>1595</v>
      </c>
      <c r="N3481" t="s">
        <v>4618</v>
      </c>
      <c r="O3481">
        <v>4</v>
      </c>
    </row>
    <row r="3482" spans="2:15" x14ac:dyDescent="0.2">
      <c r="B3482" t="s">
        <v>1433</v>
      </c>
      <c r="C3482" t="s">
        <v>12898</v>
      </c>
      <c r="D3482" t="s">
        <v>617</v>
      </c>
      <c r="E3482" t="s">
        <v>10024</v>
      </c>
      <c r="F3482">
        <v>22.91</v>
      </c>
      <c r="H3482" t="s">
        <v>1594</v>
      </c>
      <c r="L3482" t="s">
        <v>4428</v>
      </c>
      <c r="M3482" t="s">
        <v>4212</v>
      </c>
      <c r="N3482" t="s">
        <v>4618</v>
      </c>
      <c r="O3482">
        <v>4</v>
      </c>
    </row>
    <row r="3483" spans="2:15" x14ac:dyDescent="0.2">
      <c r="B3483" t="s">
        <v>1433</v>
      </c>
      <c r="C3483" t="s">
        <v>12898</v>
      </c>
      <c r="D3483" t="s">
        <v>617</v>
      </c>
      <c r="E3483" t="s">
        <v>10025</v>
      </c>
      <c r="F3483">
        <v>22.91</v>
      </c>
      <c r="H3483" t="s">
        <v>1594</v>
      </c>
      <c r="L3483" t="s">
        <v>4428</v>
      </c>
      <c r="M3483" t="s">
        <v>2019</v>
      </c>
      <c r="N3483" t="s">
        <v>4602</v>
      </c>
      <c r="O3483">
        <v>4</v>
      </c>
    </row>
    <row r="3484" spans="2:15" x14ac:dyDescent="0.2">
      <c r="B3484" t="s">
        <v>1433</v>
      </c>
      <c r="C3484" t="s">
        <v>12898</v>
      </c>
      <c r="D3484" t="s">
        <v>617</v>
      </c>
      <c r="E3484" t="s">
        <v>10026</v>
      </c>
      <c r="F3484">
        <v>29.36</v>
      </c>
      <c r="H3484" t="s">
        <v>2283</v>
      </c>
      <c r="L3484" t="s">
        <v>4428</v>
      </c>
      <c r="M3484" t="s">
        <v>3362</v>
      </c>
      <c r="N3484" t="s">
        <v>4623</v>
      </c>
      <c r="O3484">
        <v>36</v>
      </c>
    </row>
    <row r="3485" spans="2:15" x14ac:dyDescent="0.2">
      <c r="B3485" t="s">
        <v>1433</v>
      </c>
      <c r="C3485" t="s">
        <v>12898</v>
      </c>
      <c r="D3485" t="s">
        <v>617</v>
      </c>
      <c r="E3485" t="s">
        <v>10027</v>
      </c>
      <c r="F3485">
        <v>58.72</v>
      </c>
      <c r="H3485" t="s">
        <v>2283</v>
      </c>
      <c r="L3485" t="s">
        <v>4428</v>
      </c>
      <c r="M3485" t="s">
        <v>3364</v>
      </c>
      <c r="N3485" t="s">
        <v>4623</v>
      </c>
      <c r="O3485">
        <v>140</v>
      </c>
    </row>
    <row r="3486" spans="2:15" x14ac:dyDescent="0.2">
      <c r="B3486" t="s">
        <v>1433</v>
      </c>
      <c r="C3486" t="s">
        <v>12898</v>
      </c>
      <c r="D3486" t="s">
        <v>617</v>
      </c>
      <c r="E3486" t="s">
        <v>10028</v>
      </c>
      <c r="F3486">
        <v>22.8</v>
      </c>
      <c r="H3486" t="s">
        <v>3358</v>
      </c>
      <c r="L3486" t="s">
        <v>4428</v>
      </c>
      <c r="M3486" t="s">
        <v>1629</v>
      </c>
      <c r="N3486" t="s">
        <v>4623</v>
      </c>
      <c r="O3486">
        <v>120</v>
      </c>
    </row>
    <row r="3487" spans="2:15" x14ac:dyDescent="0.2">
      <c r="B3487" t="s">
        <v>1433</v>
      </c>
      <c r="C3487" t="s">
        <v>12898</v>
      </c>
      <c r="D3487" t="s">
        <v>617</v>
      </c>
      <c r="E3487" t="s">
        <v>10029</v>
      </c>
      <c r="F3487">
        <v>151.07</v>
      </c>
      <c r="H3487" t="s">
        <v>3368</v>
      </c>
      <c r="L3487" t="s">
        <v>4428</v>
      </c>
      <c r="M3487" t="s">
        <v>1564</v>
      </c>
      <c r="N3487" t="s">
        <v>4624</v>
      </c>
      <c r="O3487">
        <v>8</v>
      </c>
    </row>
    <row r="3488" spans="2:15" x14ac:dyDescent="0.2">
      <c r="B3488" t="s">
        <v>1433</v>
      </c>
      <c r="C3488" t="s">
        <v>12898</v>
      </c>
      <c r="D3488" t="s">
        <v>617</v>
      </c>
      <c r="E3488" t="s">
        <v>10030</v>
      </c>
      <c r="F3488">
        <v>68.39</v>
      </c>
      <c r="H3488" t="s">
        <v>3329</v>
      </c>
      <c r="L3488" t="s">
        <v>4428</v>
      </c>
      <c r="M3488" t="s">
        <v>4625</v>
      </c>
      <c r="N3488" t="s">
        <v>4626</v>
      </c>
      <c r="O3488">
        <v>4</v>
      </c>
    </row>
    <row r="3489" spans="2:15" x14ac:dyDescent="0.2">
      <c r="B3489" t="s">
        <v>1433</v>
      </c>
      <c r="C3489" t="s">
        <v>12898</v>
      </c>
      <c r="D3489" t="s">
        <v>617</v>
      </c>
      <c r="E3489" t="s">
        <v>10031</v>
      </c>
      <c r="F3489">
        <v>68.39</v>
      </c>
      <c r="H3489" t="s">
        <v>3329</v>
      </c>
      <c r="L3489" t="s">
        <v>4428</v>
      </c>
      <c r="M3489" t="s">
        <v>4627</v>
      </c>
      <c r="N3489" t="s">
        <v>4628</v>
      </c>
      <c r="O3489">
        <v>80</v>
      </c>
    </row>
    <row r="3490" spans="2:15" x14ac:dyDescent="0.2">
      <c r="B3490" t="s">
        <v>1433</v>
      </c>
      <c r="C3490" t="s">
        <v>12898</v>
      </c>
      <c r="D3490" t="s">
        <v>617</v>
      </c>
      <c r="E3490" t="s">
        <v>10032</v>
      </c>
      <c r="F3490">
        <v>772.2</v>
      </c>
      <c r="H3490" t="s">
        <v>3370</v>
      </c>
      <c r="L3490" t="s">
        <v>4428</v>
      </c>
      <c r="M3490" t="s">
        <v>4629</v>
      </c>
      <c r="N3490" t="s">
        <v>4628</v>
      </c>
      <c r="O3490">
        <v>14</v>
      </c>
    </row>
    <row r="3491" spans="2:15" x14ac:dyDescent="0.2">
      <c r="B3491" t="s">
        <v>1433</v>
      </c>
      <c r="C3491" t="s">
        <v>12898</v>
      </c>
      <c r="D3491" t="s">
        <v>617</v>
      </c>
      <c r="E3491" t="s">
        <v>10033</v>
      </c>
      <c r="F3491">
        <v>364.2</v>
      </c>
      <c r="H3491" t="s">
        <v>1822</v>
      </c>
      <c r="L3491" t="s">
        <v>4428</v>
      </c>
      <c r="M3491" t="s">
        <v>1710</v>
      </c>
      <c r="N3491" t="s">
        <v>4630</v>
      </c>
      <c r="O3491">
        <v>400</v>
      </c>
    </row>
    <row r="3492" spans="2:15" x14ac:dyDescent="0.2">
      <c r="B3492" t="s">
        <v>1433</v>
      </c>
      <c r="C3492" t="s">
        <v>12898</v>
      </c>
      <c r="D3492" t="s">
        <v>617</v>
      </c>
      <c r="E3492" t="s">
        <v>10034</v>
      </c>
      <c r="F3492">
        <v>345.96</v>
      </c>
      <c r="H3492" t="s">
        <v>1831</v>
      </c>
      <c r="L3492" t="s">
        <v>4428</v>
      </c>
      <c r="M3492" t="s">
        <v>4631</v>
      </c>
      <c r="N3492" t="s">
        <v>4630</v>
      </c>
      <c r="O3492">
        <v>4</v>
      </c>
    </row>
    <row r="3493" spans="2:15" x14ac:dyDescent="0.2">
      <c r="B3493" t="s">
        <v>1433</v>
      </c>
      <c r="C3493" t="s">
        <v>12898</v>
      </c>
      <c r="D3493" t="s">
        <v>617</v>
      </c>
      <c r="E3493" t="s">
        <v>10035</v>
      </c>
      <c r="F3493">
        <v>362.8</v>
      </c>
      <c r="H3493" t="s">
        <v>1834</v>
      </c>
      <c r="L3493" t="s">
        <v>4428</v>
      </c>
      <c r="M3493" t="s">
        <v>4632</v>
      </c>
      <c r="N3493" t="s">
        <v>4633</v>
      </c>
      <c r="O3493">
        <v>33</v>
      </c>
    </row>
    <row r="3494" spans="2:15" x14ac:dyDescent="0.2">
      <c r="B3494" t="s">
        <v>1433</v>
      </c>
      <c r="C3494" t="s">
        <v>12898</v>
      </c>
      <c r="D3494" t="s">
        <v>617</v>
      </c>
      <c r="E3494" t="s">
        <v>10036</v>
      </c>
      <c r="F3494">
        <v>10.94</v>
      </c>
      <c r="H3494" t="s">
        <v>1616</v>
      </c>
      <c r="L3494" t="s">
        <v>4428</v>
      </c>
      <c r="M3494" t="s">
        <v>4634</v>
      </c>
      <c r="N3494" t="s">
        <v>4633</v>
      </c>
      <c r="O3494">
        <v>1</v>
      </c>
    </row>
    <row r="3495" spans="2:15" x14ac:dyDescent="0.2">
      <c r="B3495" t="s">
        <v>1433</v>
      </c>
      <c r="C3495" t="s">
        <v>12898</v>
      </c>
      <c r="D3495" t="s">
        <v>613</v>
      </c>
      <c r="E3495" t="s">
        <v>10037</v>
      </c>
      <c r="F3495">
        <v>172.25</v>
      </c>
      <c r="G3495" t="s">
        <v>10038</v>
      </c>
      <c r="L3495" t="s">
        <v>4428</v>
      </c>
      <c r="M3495" t="s">
        <v>1219</v>
      </c>
      <c r="N3495" t="s">
        <v>3931</v>
      </c>
      <c r="O3495">
        <v>1</v>
      </c>
    </row>
    <row r="3496" spans="2:15" x14ac:dyDescent="0.2">
      <c r="B3496" t="s">
        <v>1433</v>
      </c>
      <c r="C3496" t="s">
        <v>12898</v>
      </c>
      <c r="D3496" t="s">
        <v>613</v>
      </c>
      <c r="E3496" t="s">
        <v>10039</v>
      </c>
      <c r="F3496">
        <v>0.2</v>
      </c>
      <c r="G3496" t="s">
        <v>7016</v>
      </c>
      <c r="L3496" t="s">
        <v>4428</v>
      </c>
      <c r="M3496" t="s">
        <v>1983</v>
      </c>
      <c r="N3496" t="s">
        <v>4635</v>
      </c>
      <c r="O3496">
        <v>130</v>
      </c>
    </row>
    <row r="3497" spans="2:15" x14ac:dyDescent="0.2">
      <c r="B3497" t="s">
        <v>1433</v>
      </c>
      <c r="C3497" t="s">
        <v>12898</v>
      </c>
      <c r="D3497" t="s">
        <v>613</v>
      </c>
      <c r="E3497" t="s">
        <v>10040</v>
      </c>
      <c r="F3497">
        <v>0.2</v>
      </c>
      <c r="G3497" t="s">
        <v>10041</v>
      </c>
      <c r="L3497" t="s">
        <v>4428</v>
      </c>
      <c r="M3497" t="s">
        <v>4205</v>
      </c>
      <c r="N3497" t="s">
        <v>4635</v>
      </c>
      <c r="O3497">
        <v>160</v>
      </c>
    </row>
    <row r="3498" spans="2:15" x14ac:dyDescent="0.2">
      <c r="B3498" t="s">
        <v>1433</v>
      </c>
      <c r="C3498" t="s">
        <v>12898</v>
      </c>
      <c r="D3498" t="s">
        <v>613</v>
      </c>
      <c r="E3498" t="s">
        <v>10042</v>
      </c>
      <c r="F3498">
        <v>0.16</v>
      </c>
      <c r="G3498" t="s">
        <v>10043</v>
      </c>
      <c r="L3498" t="s">
        <v>4428</v>
      </c>
      <c r="M3498" t="s">
        <v>4206</v>
      </c>
      <c r="N3498" t="s">
        <v>4635</v>
      </c>
      <c r="O3498">
        <v>188</v>
      </c>
    </row>
    <row r="3499" spans="2:15" x14ac:dyDescent="0.2">
      <c r="B3499" t="s">
        <v>1433</v>
      </c>
      <c r="C3499" t="s">
        <v>12898</v>
      </c>
      <c r="D3499" t="s">
        <v>613</v>
      </c>
      <c r="E3499" t="s">
        <v>10044</v>
      </c>
      <c r="F3499">
        <v>1.4</v>
      </c>
      <c r="G3499" t="s">
        <v>7699</v>
      </c>
      <c r="L3499" t="s">
        <v>4428</v>
      </c>
      <c r="M3499" t="s">
        <v>4208</v>
      </c>
      <c r="N3499" t="s">
        <v>4635</v>
      </c>
      <c r="O3499">
        <v>10</v>
      </c>
    </row>
    <row r="3500" spans="2:15" x14ac:dyDescent="0.2">
      <c r="B3500" t="s">
        <v>1433</v>
      </c>
      <c r="C3500" t="s">
        <v>12898</v>
      </c>
      <c r="D3500" t="s">
        <v>613</v>
      </c>
      <c r="E3500" t="s">
        <v>10045</v>
      </c>
      <c r="F3500">
        <v>3.13</v>
      </c>
      <c r="G3500" t="s">
        <v>6183</v>
      </c>
      <c r="L3500" t="s">
        <v>4428</v>
      </c>
      <c r="M3500" t="s">
        <v>1699</v>
      </c>
      <c r="N3500" t="s">
        <v>4636</v>
      </c>
      <c r="O3500">
        <v>200</v>
      </c>
    </row>
    <row r="3501" spans="2:15" x14ac:dyDescent="0.2">
      <c r="B3501" t="s">
        <v>1433</v>
      </c>
      <c r="C3501" t="s">
        <v>12898</v>
      </c>
      <c r="D3501" t="s">
        <v>613</v>
      </c>
      <c r="E3501" t="s">
        <v>10046</v>
      </c>
      <c r="F3501">
        <v>0.65</v>
      </c>
      <c r="G3501" t="s">
        <v>6752</v>
      </c>
      <c r="L3501" t="s">
        <v>4428</v>
      </c>
      <c r="M3501" t="s">
        <v>4637</v>
      </c>
      <c r="N3501" t="s">
        <v>4638</v>
      </c>
      <c r="O3501">
        <v>2</v>
      </c>
    </row>
    <row r="3502" spans="2:15" x14ac:dyDescent="0.2">
      <c r="B3502" t="s">
        <v>1433</v>
      </c>
      <c r="C3502" t="s">
        <v>12898</v>
      </c>
      <c r="D3502" t="s">
        <v>613</v>
      </c>
      <c r="E3502" t="s">
        <v>10047</v>
      </c>
      <c r="F3502">
        <v>9.25</v>
      </c>
      <c r="G3502" t="s">
        <v>7816</v>
      </c>
      <c r="L3502" t="s">
        <v>4428</v>
      </c>
      <c r="M3502" t="s">
        <v>4639</v>
      </c>
      <c r="N3502" t="s">
        <v>4638</v>
      </c>
      <c r="O3502">
        <v>6</v>
      </c>
    </row>
    <row r="3503" spans="2:15" x14ac:dyDescent="0.2">
      <c r="B3503" t="s">
        <v>1433</v>
      </c>
      <c r="C3503" t="s">
        <v>12898</v>
      </c>
      <c r="D3503" t="s">
        <v>613</v>
      </c>
      <c r="E3503" t="s">
        <v>10048</v>
      </c>
      <c r="F3503">
        <v>27</v>
      </c>
      <c r="G3503" t="s">
        <v>7670</v>
      </c>
      <c r="L3503" t="s">
        <v>4428</v>
      </c>
      <c r="M3503" t="s">
        <v>1694</v>
      </c>
      <c r="N3503" t="s">
        <v>4640</v>
      </c>
      <c r="O3503">
        <v>3</v>
      </c>
    </row>
    <row r="3504" spans="2:15" x14ac:dyDescent="0.2">
      <c r="B3504" t="s">
        <v>1433</v>
      </c>
      <c r="C3504" t="s">
        <v>12898</v>
      </c>
      <c r="D3504" t="s">
        <v>613</v>
      </c>
      <c r="E3504" t="s">
        <v>10049</v>
      </c>
      <c r="F3504">
        <v>9.89</v>
      </c>
      <c r="G3504" t="s">
        <v>6832</v>
      </c>
      <c r="L3504" t="s">
        <v>4428</v>
      </c>
      <c r="M3504" t="s">
        <v>4193</v>
      </c>
      <c r="N3504" t="s">
        <v>4641</v>
      </c>
      <c r="O3504">
        <v>125</v>
      </c>
    </row>
    <row r="3505" spans="2:15" x14ac:dyDescent="0.2">
      <c r="B3505" t="s">
        <v>1433</v>
      </c>
      <c r="C3505" t="s">
        <v>12898</v>
      </c>
      <c r="D3505" t="s">
        <v>613</v>
      </c>
      <c r="E3505" t="s">
        <v>10050</v>
      </c>
      <c r="F3505">
        <v>3.91</v>
      </c>
      <c r="G3505" t="s">
        <v>9305</v>
      </c>
      <c r="L3505" t="s">
        <v>4428</v>
      </c>
      <c r="M3505" t="s">
        <v>4194</v>
      </c>
      <c r="N3505" t="s">
        <v>4641</v>
      </c>
      <c r="O3505">
        <v>275</v>
      </c>
    </row>
    <row r="3506" spans="2:15" x14ac:dyDescent="0.2">
      <c r="B3506" t="s">
        <v>1433</v>
      </c>
      <c r="C3506" t="s">
        <v>12898</v>
      </c>
      <c r="D3506" t="s">
        <v>613</v>
      </c>
      <c r="E3506" t="s">
        <v>10051</v>
      </c>
      <c r="F3506">
        <v>43.79</v>
      </c>
      <c r="G3506" t="s">
        <v>5259</v>
      </c>
      <c r="L3506" t="s">
        <v>4428</v>
      </c>
      <c r="M3506" t="s">
        <v>4191</v>
      </c>
      <c r="N3506" t="s">
        <v>4641</v>
      </c>
      <c r="O3506">
        <v>250</v>
      </c>
    </row>
    <row r="3507" spans="2:15" x14ac:dyDescent="0.2">
      <c r="B3507" t="s">
        <v>1433</v>
      </c>
      <c r="C3507" t="s">
        <v>12898</v>
      </c>
      <c r="D3507" t="s">
        <v>613</v>
      </c>
      <c r="E3507" t="s">
        <v>10052</v>
      </c>
      <c r="F3507">
        <v>12.95</v>
      </c>
      <c r="G3507" t="s">
        <v>7701</v>
      </c>
      <c r="L3507" t="s">
        <v>4428</v>
      </c>
      <c r="M3507" t="s">
        <v>2052</v>
      </c>
      <c r="N3507" t="s">
        <v>4641</v>
      </c>
      <c r="O3507">
        <v>200</v>
      </c>
    </row>
    <row r="3508" spans="2:15" x14ac:dyDescent="0.2">
      <c r="B3508" t="s">
        <v>1433</v>
      </c>
      <c r="C3508" t="s">
        <v>12898</v>
      </c>
      <c r="D3508" t="s">
        <v>613</v>
      </c>
      <c r="E3508" t="s">
        <v>10053</v>
      </c>
      <c r="F3508">
        <v>5.63</v>
      </c>
      <c r="G3508" t="s">
        <v>7659</v>
      </c>
      <c r="L3508" t="s">
        <v>4428</v>
      </c>
      <c r="M3508" t="s">
        <v>4228</v>
      </c>
      <c r="N3508" t="s">
        <v>4641</v>
      </c>
      <c r="O3508">
        <v>300</v>
      </c>
    </row>
    <row r="3509" spans="2:15" x14ac:dyDescent="0.2">
      <c r="B3509" t="s">
        <v>1433</v>
      </c>
      <c r="C3509" t="s">
        <v>12898</v>
      </c>
      <c r="D3509" t="s">
        <v>613</v>
      </c>
      <c r="E3509" t="s">
        <v>10054</v>
      </c>
      <c r="F3509">
        <v>4.8499999999999996</v>
      </c>
      <c r="G3509" t="s">
        <v>9583</v>
      </c>
      <c r="L3509" t="s">
        <v>4428</v>
      </c>
      <c r="M3509" t="s">
        <v>1580</v>
      </c>
      <c r="N3509" t="s">
        <v>4642</v>
      </c>
      <c r="O3509">
        <v>500</v>
      </c>
    </row>
    <row r="3510" spans="2:15" x14ac:dyDescent="0.2">
      <c r="B3510" t="s">
        <v>1433</v>
      </c>
      <c r="C3510" t="s">
        <v>12898</v>
      </c>
      <c r="D3510" t="s">
        <v>613</v>
      </c>
      <c r="E3510" t="s">
        <v>10055</v>
      </c>
      <c r="F3510">
        <v>12</v>
      </c>
      <c r="G3510" t="s">
        <v>9654</v>
      </c>
      <c r="L3510" t="s">
        <v>4428</v>
      </c>
      <c r="M3510" t="s">
        <v>1388</v>
      </c>
      <c r="N3510" t="s">
        <v>4643</v>
      </c>
      <c r="O3510">
        <v>130</v>
      </c>
    </row>
    <row r="3511" spans="2:15" x14ac:dyDescent="0.2">
      <c r="B3511" t="s">
        <v>1433</v>
      </c>
      <c r="C3511" t="s">
        <v>12898</v>
      </c>
      <c r="D3511" t="s">
        <v>613</v>
      </c>
      <c r="E3511" t="s">
        <v>10056</v>
      </c>
      <c r="F3511">
        <v>4.9000000000000004</v>
      </c>
      <c r="G3511" t="s">
        <v>10057</v>
      </c>
      <c r="L3511" t="s">
        <v>4428</v>
      </c>
      <c r="M3511" t="s">
        <v>4210</v>
      </c>
      <c r="N3511" t="s">
        <v>4644</v>
      </c>
      <c r="O3511">
        <v>25</v>
      </c>
    </row>
    <row r="3512" spans="2:15" x14ac:dyDescent="0.2">
      <c r="B3512" t="s">
        <v>1433</v>
      </c>
      <c r="C3512" t="s">
        <v>12898</v>
      </c>
      <c r="D3512" t="s">
        <v>613</v>
      </c>
      <c r="E3512" t="s">
        <v>10058</v>
      </c>
      <c r="F3512">
        <v>7.4</v>
      </c>
      <c r="G3512" t="s">
        <v>10059</v>
      </c>
      <c r="L3512" t="s">
        <v>4428</v>
      </c>
      <c r="M3512" t="s">
        <v>4211</v>
      </c>
      <c r="N3512" t="s">
        <v>4644</v>
      </c>
      <c r="O3512">
        <v>25</v>
      </c>
    </row>
    <row r="3513" spans="2:15" x14ac:dyDescent="0.2">
      <c r="B3513" t="s">
        <v>1433</v>
      </c>
      <c r="C3513" t="s">
        <v>12898</v>
      </c>
      <c r="D3513" t="s">
        <v>613</v>
      </c>
      <c r="E3513" t="s">
        <v>10060</v>
      </c>
      <c r="F3513">
        <v>6.6</v>
      </c>
      <c r="G3513" t="s">
        <v>9559</v>
      </c>
      <c r="L3513" t="s">
        <v>4428</v>
      </c>
      <c r="M3513" t="s">
        <v>4645</v>
      </c>
      <c r="N3513" t="s">
        <v>4646</v>
      </c>
      <c r="O3513">
        <v>24</v>
      </c>
    </row>
    <row r="3514" spans="2:15" x14ac:dyDescent="0.2">
      <c r="B3514" t="s">
        <v>1433</v>
      </c>
      <c r="C3514" t="s">
        <v>12898</v>
      </c>
      <c r="D3514" t="s">
        <v>613</v>
      </c>
      <c r="E3514" t="s">
        <v>10061</v>
      </c>
      <c r="F3514">
        <v>7.35</v>
      </c>
      <c r="G3514" t="s">
        <v>7695</v>
      </c>
      <c r="L3514" t="s">
        <v>4428</v>
      </c>
      <c r="M3514" t="s">
        <v>4176</v>
      </c>
      <c r="N3514" t="s">
        <v>4647</v>
      </c>
      <c r="O3514">
        <v>4</v>
      </c>
    </row>
    <row r="3515" spans="2:15" x14ac:dyDescent="0.2">
      <c r="B3515" t="s">
        <v>1433</v>
      </c>
      <c r="C3515" t="s">
        <v>12898</v>
      </c>
      <c r="D3515" t="s">
        <v>613</v>
      </c>
      <c r="E3515" t="s">
        <v>10062</v>
      </c>
      <c r="F3515">
        <v>2.5299999999999998</v>
      </c>
      <c r="G3515" t="s">
        <v>10063</v>
      </c>
      <c r="L3515" t="s">
        <v>4428</v>
      </c>
      <c r="M3515" t="s">
        <v>4648</v>
      </c>
      <c r="N3515" t="s">
        <v>4647</v>
      </c>
      <c r="O3515">
        <v>4</v>
      </c>
    </row>
    <row r="3516" spans="2:15" x14ac:dyDescent="0.2">
      <c r="B3516" t="s">
        <v>1433</v>
      </c>
      <c r="C3516" t="s">
        <v>12898</v>
      </c>
      <c r="D3516" t="s">
        <v>613</v>
      </c>
      <c r="E3516" t="s">
        <v>10064</v>
      </c>
      <c r="F3516">
        <v>7.5</v>
      </c>
      <c r="G3516" t="s">
        <v>10065</v>
      </c>
      <c r="L3516" t="s">
        <v>4428</v>
      </c>
      <c r="M3516" t="s">
        <v>4649</v>
      </c>
      <c r="N3516" t="s">
        <v>4650</v>
      </c>
      <c r="O3516">
        <v>6</v>
      </c>
    </row>
    <row r="3517" spans="2:15" x14ac:dyDescent="0.2">
      <c r="B3517" t="s">
        <v>1433</v>
      </c>
      <c r="C3517" t="s">
        <v>12898</v>
      </c>
      <c r="D3517" t="s">
        <v>613</v>
      </c>
      <c r="E3517" t="s">
        <v>10066</v>
      </c>
      <c r="F3517">
        <v>8.5500000000000007</v>
      </c>
      <c r="G3517" t="s">
        <v>9624</v>
      </c>
      <c r="L3517" t="s">
        <v>4428</v>
      </c>
      <c r="M3517" t="s">
        <v>1253</v>
      </c>
      <c r="N3517" t="s">
        <v>4390</v>
      </c>
      <c r="O3517">
        <v>1</v>
      </c>
    </row>
    <row r="3518" spans="2:15" x14ac:dyDescent="0.2">
      <c r="B3518" t="s">
        <v>1433</v>
      </c>
      <c r="C3518" t="s">
        <v>12898</v>
      </c>
      <c r="D3518" t="s">
        <v>613</v>
      </c>
      <c r="E3518" t="s">
        <v>10067</v>
      </c>
      <c r="F3518">
        <v>9.48</v>
      </c>
      <c r="G3518" t="s">
        <v>9683</v>
      </c>
      <c r="L3518" t="s">
        <v>4428</v>
      </c>
      <c r="M3518" t="s">
        <v>1719</v>
      </c>
      <c r="N3518" t="s">
        <v>4651</v>
      </c>
      <c r="O3518">
        <v>2</v>
      </c>
    </row>
    <row r="3519" spans="2:15" x14ac:dyDescent="0.2">
      <c r="B3519" t="s">
        <v>1433</v>
      </c>
      <c r="C3519" t="s">
        <v>12898</v>
      </c>
      <c r="D3519" t="s">
        <v>613</v>
      </c>
      <c r="E3519" t="s">
        <v>10068</v>
      </c>
      <c r="F3519">
        <v>8.15</v>
      </c>
      <c r="G3519" t="s">
        <v>6192</v>
      </c>
      <c r="L3519" t="s">
        <v>4428</v>
      </c>
      <c r="M3519" t="s">
        <v>1727</v>
      </c>
      <c r="N3519" t="s">
        <v>4651</v>
      </c>
      <c r="O3519">
        <v>2</v>
      </c>
    </row>
    <row r="3520" spans="2:15" x14ac:dyDescent="0.2">
      <c r="B3520" t="s">
        <v>1433</v>
      </c>
      <c r="C3520" t="s">
        <v>12898</v>
      </c>
      <c r="D3520" t="s">
        <v>613</v>
      </c>
      <c r="E3520" t="s">
        <v>10069</v>
      </c>
      <c r="F3520">
        <v>8.39</v>
      </c>
      <c r="G3520" t="s">
        <v>7020</v>
      </c>
      <c r="L3520" t="s">
        <v>4428</v>
      </c>
      <c r="M3520" t="s">
        <v>1720</v>
      </c>
      <c r="N3520" t="s">
        <v>4651</v>
      </c>
      <c r="O3520">
        <v>2</v>
      </c>
    </row>
    <row r="3521" spans="2:15" x14ac:dyDescent="0.2">
      <c r="B3521" t="s">
        <v>1433</v>
      </c>
      <c r="C3521" t="s">
        <v>12898</v>
      </c>
      <c r="D3521" t="s">
        <v>613</v>
      </c>
      <c r="E3521" t="s">
        <v>10070</v>
      </c>
      <c r="F3521">
        <v>5.13</v>
      </c>
      <c r="G3521" t="s">
        <v>9622</v>
      </c>
      <c r="L3521" t="s">
        <v>4428</v>
      </c>
      <c r="M3521" t="s">
        <v>1728</v>
      </c>
      <c r="N3521" t="s">
        <v>4651</v>
      </c>
      <c r="O3521">
        <v>2</v>
      </c>
    </row>
    <row r="3522" spans="2:15" x14ac:dyDescent="0.2">
      <c r="B3522" t="s">
        <v>1433</v>
      </c>
      <c r="C3522" t="s">
        <v>12898</v>
      </c>
      <c r="D3522" t="s">
        <v>621</v>
      </c>
      <c r="E3522" t="s">
        <v>10071</v>
      </c>
      <c r="F3522">
        <v>278.49</v>
      </c>
      <c r="G3522" t="s">
        <v>3333</v>
      </c>
      <c r="L3522" t="s">
        <v>4428</v>
      </c>
      <c r="M3522" t="s">
        <v>1721</v>
      </c>
      <c r="N3522" t="s">
        <v>4651</v>
      </c>
      <c r="O3522">
        <v>2</v>
      </c>
    </row>
    <row r="3523" spans="2:15" x14ac:dyDescent="0.2">
      <c r="B3523" t="s">
        <v>1433</v>
      </c>
      <c r="C3523" t="s">
        <v>12898</v>
      </c>
      <c r="D3523" t="s">
        <v>617</v>
      </c>
      <c r="E3523" t="s">
        <v>10072</v>
      </c>
      <c r="F3523">
        <v>13.72</v>
      </c>
      <c r="H3523" t="s">
        <v>2862</v>
      </c>
      <c r="L3523" t="s">
        <v>4428</v>
      </c>
      <c r="M3523" t="s">
        <v>1908</v>
      </c>
      <c r="N3523" t="s">
        <v>4651</v>
      </c>
      <c r="O3523">
        <v>2</v>
      </c>
    </row>
    <row r="3524" spans="2:15" x14ac:dyDescent="0.2">
      <c r="B3524" t="s">
        <v>1433</v>
      </c>
      <c r="C3524" t="s">
        <v>12898</v>
      </c>
      <c r="D3524" t="s">
        <v>617</v>
      </c>
      <c r="E3524" t="s">
        <v>10073</v>
      </c>
      <c r="F3524">
        <v>24.24</v>
      </c>
      <c r="H3524" t="s">
        <v>1590</v>
      </c>
      <c r="L3524" t="s">
        <v>4428</v>
      </c>
      <c r="M3524" t="s">
        <v>1678</v>
      </c>
      <c r="N3524" t="s">
        <v>4651</v>
      </c>
      <c r="O3524">
        <v>2</v>
      </c>
    </row>
    <row r="3525" spans="2:15" x14ac:dyDescent="0.2">
      <c r="B3525" t="s">
        <v>1433</v>
      </c>
      <c r="C3525" t="s">
        <v>12898</v>
      </c>
      <c r="D3525" t="s">
        <v>613</v>
      </c>
      <c r="E3525" t="s">
        <v>10074</v>
      </c>
      <c r="F3525">
        <v>156</v>
      </c>
      <c r="H3525" t="s">
        <v>1545</v>
      </c>
      <c r="L3525" t="s">
        <v>4428</v>
      </c>
      <c r="M3525" t="s">
        <v>1680</v>
      </c>
      <c r="N3525" t="s">
        <v>4651</v>
      </c>
      <c r="O3525">
        <v>2</v>
      </c>
    </row>
    <row r="3526" spans="2:15" x14ac:dyDescent="0.2">
      <c r="B3526" t="s">
        <v>1433</v>
      </c>
      <c r="C3526" t="s">
        <v>12898</v>
      </c>
      <c r="D3526" t="s">
        <v>613</v>
      </c>
      <c r="E3526" t="s">
        <v>10075</v>
      </c>
      <c r="F3526">
        <v>48</v>
      </c>
      <c r="H3526" t="s">
        <v>1547</v>
      </c>
      <c r="L3526" t="s">
        <v>4428</v>
      </c>
      <c r="M3526" t="s">
        <v>1819</v>
      </c>
      <c r="N3526" t="s">
        <v>4651</v>
      </c>
      <c r="O3526">
        <v>1</v>
      </c>
    </row>
    <row r="3527" spans="2:15" x14ac:dyDescent="0.2">
      <c r="B3527" t="s">
        <v>1433</v>
      </c>
      <c r="C3527" t="s">
        <v>12898</v>
      </c>
      <c r="D3527" t="s">
        <v>613</v>
      </c>
      <c r="E3527" t="s">
        <v>10076</v>
      </c>
      <c r="F3527">
        <v>6486</v>
      </c>
      <c r="H3527" t="s">
        <v>1549</v>
      </c>
      <c r="L3527" t="s">
        <v>4428</v>
      </c>
      <c r="M3527" t="s">
        <v>1507</v>
      </c>
      <c r="N3527" t="s">
        <v>4651</v>
      </c>
      <c r="O3527">
        <v>2</v>
      </c>
    </row>
    <row r="3528" spans="2:15" x14ac:dyDescent="0.2">
      <c r="B3528" t="s">
        <v>1433</v>
      </c>
      <c r="C3528" t="s">
        <v>12898</v>
      </c>
      <c r="D3528" t="s">
        <v>617</v>
      </c>
      <c r="E3528" t="s">
        <v>10077</v>
      </c>
      <c r="F3528">
        <v>1035</v>
      </c>
      <c r="H3528" t="s">
        <v>3376</v>
      </c>
      <c r="L3528" t="s">
        <v>4428</v>
      </c>
      <c r="M3528" t="s">
        <v>1509</v>
      </c>
      <c r="N3528" t="s">
        <v>4651</v>
      </c>
      <c r="O3528">
        <v>2</v>
      </c>
    </row>
    <row r="3529" spans="2:15" x14ac:dyDescent="0.2">
      <c r="B3529" t="s">
        <v>1433</v>
      </c>
      <c r="C3529" t="s">
        <v>12898</v>
      </c>
      <c r="D3529" t="s">
        <v>617</v>
      </c>
      <c r="E3529" t="s">
        <v>10078</v>
      </c>
      <c r="F3529">
        <v>81</v>
      </c>
      <c r="H3529" t="s">
        <v>3378</v>
      </c>
      <c r="L3529" t="s">
        <v>4428</v>
      </c>
      <c r="M3529" t="s">
        <v>1591</v>
      </c>
      <c r="N3529" t="s">
        <v>4651</v>
      </c>
      <c r="O3529">
        <v>1</v>
      </c>
    </row>
    <row r="3530" spans="2:15" x14ac:dyDescent="0.2">
      <c r="B3530" t="s">
        <v>1433</v>
      </c>
      <c r="C3530" t="s">
        <v>12898</v>
      </c>
      <c r="D3530" t="s">
        <v>617</v>
      </c>
      <c r="E3530" t="s">
        <v>10079</v>
      </c>
      <c r="F3530">
        <v>2250</v>
      </c>
      <c r="H3530" t="s">
        <v>3379</v>
      </c>
      <c r="L3530" t="s">
        <v>4428</v>
      </c>
      <c r="M3530" t="s">
        <v>1501</v>
      </c>
      <c r="N3530" t="s">
        <v>4651</v>
      </c>
      <c r="O3530">
        <v>2</v>
      </c>
    </row>
    <row r="3531" spans="2:15" x14ac:dyDescent="0.2">
      <c r="B3531" t="s">
        <v>1433</v>
      </c>
      <c r="C3531" t="s">
        <v>12898</v>
      </c>
      <c r="D3531" t="s">
        <v>617</v>
      </c>
      <c r="E3531" t="s">
        <v>10080</v>
      </c>
      <c r="F3531">
        <v>660</v>
      </c>
      <c r="H3531" t="s">
        <v>3380</v>
      </c>
      <c r="L3531" t="s">
        <v>4428</v>
      </c>
      <c r="M3531" t="s">
        <v>1608</v>
      </c>
      <c r="N3531" t="s">
        <v>4651</v>
      </c>
      <c r="O3531">
        <v>1</v>
      </c>
    </row>
    <row r="3532" spans="2:15" x14ac:dyDescent="0.2">
      <c r="B3532" t="s">
        <v>1433</v>
      </c>
      <c r="C3532" t="s">
        <v>12898</v>
      </c>
      <c r="D3532" t="s">
        <v>617</v>
      </c>
      <c r="E3532" t="s">
        <v>10081</v>
      </c>
      <c r="F3532">
        <v>42.3</v>
      </c>
      <c r="H3532" t="s">
        <v>3381</v>
      </c>
      <c r="L3532" t="s">
        <v>4428</v>
      </c>
      <c r="M3532" t="s">
        <v>4652</v>
      </c>
      <c r="N3532" t="s">
        <v>4651</v>
      </c>
      <c r="O3532">
        <v>5</v>
      </c>
    </row>
    <row r="3533" spans="2:15" x14ac:dyDescent="0.2">
      <c r="B3533" t="s">
        <v>1433</v>
      </c>
      <c r="C3533" t="s">
        <v>12898</v>
      </c>
      <c r="D3533" t="s">
        <v>617</v>
      </c>
      <c r="E3533" t="s">
        <v>10082</v>
      </c>
      <c r="F3533">
        <v>209.54</v>
      </c>
      <c r="G3533" t="s">
        <v>2658</v>
      </c>
      <c r="L3533" t="s">
        <v>4428</v>
      </c>
      <c r="M3533" t="s">
        <v>4235</v>
      </c>
      <c r="N3533" t="s">
        <v>4651</v>
      </c>
      <c r="O3533">
        <v>6</v>
      </c>
    </row>
    <row r="3534" spans="2:15" x14ac:dyDescent="0.2">
      <c r="B3534" t="s">
        <v>1433</v>
      </c>
      <c r="C3534" t="s">
        <v>12898</v>
      </c>
      <c r="D3534" t="s">
        <v>613</v>
      </c>
      <c r="E3534" t="s">
        <v>10083</v>
      </c>
      <c r="F3534">
        <v>1604</v>
      </c>
      <c r="G3534" t="s">
        <v>3424</v>
      </c>
      <c r="L3534" t="s">
        <v>4428</v>
      </c>
      <c r="M3534" t="s">
        <v>4653</v>
      </c>
      <c r="N3534" t="s">
        <v>4651</v>
      </c>
      <c r="O3534">
        <v>8</v>
      </c>
    </row>
    <row r="3535" spans="2:15" x14ac:dyDescent="0.2">
      <c r="B3535" t="s">
        <v>1433</v>
      </c>
      <c r="C3535" t="s">
        <v>12898</v>
      </c>
      <c r="D3535" t="s">
        <v>617</v>
      </c>
      <c r="E3535" t="s">
        <v>10084</v>
      </c>
      <c r="F3535">
        <v>17.37</v>
      </c>
      <c r="G3535" t="s">
        <v>1995</v>
      </c>
      <c r="L3535" t="s">
        <v>4428</v>
      </c>
      <c r="M3535" t="s">
        <v>4163</v>
      </c>
      <c r="N3535" t="s">
        <v>4651</v>
      </c>
      <c r="O3535">
        <v>300</v>
      </c>
    </row>
    <row r="3536" spans="2:15" x14ac:dyDescent="0.2">
      <c r="B3536" t="s">
        <v>1433</v>
      </c>
      <c r="C3536" t="s">
        <v>12898</v>
      </c>
      <c r="D3536" t="s">
        <v>621</v>
      </c>
      <c r="E3536" t="s">
        <v>10085</v>
      </c>
      <c r="F3536">
        <v>433.76</v>
      </c>
      <c r="G3536" t="s">
        <v>3517</v>
      </c>
      <c r="L3536" t="s">
        <v>4428</v>
      </c>
      <c r="M3536" t="s">
        <v>4156</v>
      </c>
      <c r="N3536" t="s">
        <v>4651</v>
      </c>
      <c r="O3536">
        <v>500</v>
      </c>
    </row>
    <row r="3537" spans="2:15" x14ac:dyDescent="0.2">
      <c r="B3537" t="s">
        <v>1433</v>
      </c>
      <c r="C3537" t="s">
        <v>12898</v>
      </c>
      <c r="D3537" t="s">
        <v>617</v>
      </c>
      <c r="E3537" t="s">
        <v>10086</v>
      </c>
      <c r="F3537">
        <v>526.19000000000005</v>
      </c>
      <c r="G3537" t="s">
        <v>3506</v>
      </c>
      <c r="L3537" t="s">
        <v>4428</v>
      </c>
      <c r="M3537" t="s">
        <v>4158</v>
      </c>
      <c r="N3537" t="s">
        <v>4651</v>
      </c>
      <c r="O3537">
        <v>1</v>
      </c>
    </row>
    <row r="3538" spans="2:15" x14ac:dyDescent="0.2">
      <c r="B3538" t="s">
        <v>1433</v>
      </c>
      <c r="C3538" t="s">
        <v>12898</v>
      </c>
      <c r="D3538" t="s">
        <v>621</v>
      </c>
      <c r="E3538" t="s">
        <v>10087</v>
      </c>
      <c r="F3538">
        <v>243.92</v>
      </c>
      <c r="G3538" t="s">
        <v>3473</v>
      </c>
      <c r="L3538" t="s">
        <v>4428</v>
      </c>
      <c r="M3538" t="s">
        <v>4159</v>
      </c>
      <c r="N3538" t="s">
        <v>4651</v>
      </c>
      <c r="O3538">
        <v>175</v>
      </c>
    </row>
    <row r="3539" spans="2:15" x14ac:dyDescent="0.2">
      <c r="B3539" t="s">
        <v>1433</v>
      </c>
      <c r="C3539" t="s">
        <v>12898</v>
      </c>
      <c r="D3539" t="s">
        <v>613</v>
      </c>
      <c r="E3539" t="s">
        <v>10088</v>
      </c>
      <c r="F3539">
        <v>48.24</v>
      </c>
      <c r="G3539" t="s">
        <v>3493</v>
      </c>
      <c r="L3539" t="s">
        <v>4428</v>
      </c>
      <c r="M3539" t="s">
        <v>4160</v>
      </c>
      <c r="N3539" t="s">
        <v>4651</v>
      </c>
      <c r="O3539">
        <v>225</v>
      </c>
    </row>
    <row r="3540" spans="2:15" x14ac:dyDescent="0.2">
      <c r="B3540" t="s">
        <v>1433</v>
      </c>
      <c r="C3540" t="s">
        <v>12898</v>
      </c>
      <c r="D3540" t="s">
        <v>613</v>
      </c>
      <c r="E3540" t="s">
        <v>10089</v>
      </c>
      <c r="F3540">
        <v>9.75</v>
      </c>
      <c r="G3540" t="s">
        <v>7705</v>
      </c>
      <c r="L3540" t="s">
        <v>4428</v>
      </c>
      <c r="M3540" t="s">
        <v>4168</v>
      </c>
      <c r="N3540" t="s">
        <v>4651</v>
      </c>
      <c r="O3540">
        <v>100</v>
      </c>
    </row>
    <row r="3541" spans="2:15" x14ac:dyDescent="0.2">
      <c r="B3541" t="s">
        <v>1433</v>
      </c>
      <c r="C3541" t="s">
        <v>12898</v>
      </c>
      <c r="D3541" t="s">
        <v>613</v>
      </c>
      <c r="E3541" t="s">
        <v>10090</v>
      </c>
      <c r="F3541">
        <v>8</v>
      </c>
      <c r="G3541" t="s">
        <v>7814</v>
      </c>
      <c r="L3541" t="s">
        <v>4428</v>
      </c>
      <c r="M3541" t="s">
        <v>1518</v>
      </c>
      <c r="N3541" t="s">
        <v>4651</v>
      </c>
      <c r="O3541">
        <v>3</v>
      </c>
    </row>
    <row r="3542" spans="2:15" x14ac:dyDescent="0.2">
      <c r="B3542" t="s">
        <v>1433</v>
      </c>
      <c r="C3542" t="s">
        <v>12898</v>
      </c>
      <c r="D3542" t="s">
        <v>613</v>
      </c>
      <c r="E3542" t="s">
        <v>10091</v>
      </c>
      <c r="F3542">
        <v>7</v>
      </c>
      <c r="G3542" t="s">
        <v>10057</v>
      </c>
      <c r="L3542" t="s">
        <v>4428</v>
      </c>
      <c r="M3542" t="s">
        <v>4161</v>
      </c>
      <c r="N3542" t="s">
        <v>4654</v>
      </c>
      <c r="O3542">
        <v>25</v>
      </c>
    </row>
    <row r="3543" spans="2:15" x14ac:dyDescent="0.2">
      <c r="B3543" t="s">
        <v>1433</v>
      </c>
      <c r="C3543" t="s">
        <v>12898</v>
      </c>
      <c r="D3543" t="s">
        <v>613</v>
      </c>
      <c r="E3543" t="s">
        <v>10092</v>
      </c>
      <c r="F3543">
        <v>12</v>
      </c>
      <c r="G3543" t="s">
        <v>6886</v>
      </c>
      <c r="L3543" t="s">
        <v>4428</v>
      </c>
      <c r="M3543" t="s">
        <v>4652</v>
      </c>
      <c r="N3543" t="s">
        <v>4654</v>
      </c>
      <c r="O3543">
        <v>20</v>
      </c>
    </row>
    <row r="3544" spans="2:15" x14ac:dyDescent="0.2">
      <c r="B3544" t="s">
        <v>1433</v>
      </c>
      <c r="C3544" t="s">
        <v>12898</v>
      </c>
      <c r="D3544" t="s">
        <v>613</v>
      </c>
      <c r="E3544" t="s">
        <v>10093</v>
      </c>
      <c r="F3544">
        <v>2.7</v>
      </c>
      <c r="G3544" t="s">
        <v>9490</v>
      </c>
      <c r="L3544" t="s">
        <v>4428</v>
      </c>
      <c r="M3544" t="s">
        <v>4655</v>
      </c>
      <c r="N3544" t="s">
        <v>4633</v>
      </c>
      <c r="O3544">
        <v>8</v>
      </c>
    </row>
    <row r="3545" spans="2:15" x14ac:dyDescent="0.2">
      <c r="B3545" t="s">
        <v>1433</v>
      </c>
      <c r="C3545" t="s">
        <v>12898</v>
      </c>
      <c r="D3545" t="s">
        <v>1169</v>
      </c>
      <c r="E3545" t="s">
        <v>10094</v>
      </c>
      <c r="F3545">
        <v>3388</v>
      </c>
      <c r="G3545" t="s">
        <v>3499</v>
      </c>
      <c r="L3545" t="s">
        <v>4428</v>
      </c>
      <c r="M3545" t="s">
        <v>4656</v>
      </c>
      <c r="N3545" t="s">
        <v>4657</v>
      </c>
      <c r="O3545">
        <v>4</v>
      </c>
    </row>
    <row r="3546" spans="2:15" x14ac:dyDescent="0.2">
      <c r="B3546" t="s">
        <v>1433</v>
      </c>
      <c r="C3546" t="s">
        <v>12898</v>
      </c>
      <c r="D3546" t="s">
        <v>617</v>
      </c>
      <c r="E3546" t="s">
        <v>10095</v>
      </c>
      <c r="F3546">
        <v>650</v>
      </c>
      <c r="G3546" t="s">
        <v>3501</v>
      </c>
      <c r="L3546" t="s">
        <v>4428</v>
      </c>
      <c r="M3546" t="s">
        <v>4658</v>
      </c>
      <c r="N3546" t="s">
        <v>4657</v>
      </c>
      <c r="O3546">
        <v>30</v>
      </c>
    </row>
    <row r="3547" spans="2:15" x14ac:dyDescent="0.2">
      <c r="B3547" t="s">
        <v>1433</v>
      </c>
      <c r="C3547" t="s">
        <v>12898</v>
      </c>
      <c r="D3547" t="s">
        <v>617</v>
      </c>
      <c r="E3547" t="s">
        <v>10096</v>
      </c>
      <c r="F3547">
        <v>27</v>
      </c>
      <c r="G3547" t="s">
        <v>3378</v>
      </c>
      <c r="L3547" t="s">
        <v>4428</v>
      </c>
      <c r="M3547" t="s">
        <v>1636</v>
      </c>
      <c r="N3547" t="s">
        <v>4659</v>
      </c>
      <c r="O3547">
        <v>100</v>
      </c>
    </row>
    <row r="3548" spans="2:15" x14ac:dyDescent="0.2">
      <c r="B3548" t="s">
        <v>1433</v>
      </c>
      <c r="C3548" t="s">
        <v>12898</v>
      </c>
      <c r="D3548" t="s">
        <v>613</v>
      </c>
      <c r="E3548" t="s">
        <v>10097</v>
      </c>
      <c r="F3548">
        <v>7810</v>
      </c>
      <c r="G3548" t="s">
        <v>3578</v>
      </c>
      <c r="L3548" t="s">
        <v>4428</v>
      </c>
      <c r="M3548" t="s">
        <v>1619</v>
      </c>
      <c r="N3548" t="s">
        <v>4660</v>
      </c>
      <c r="O3548">
        <v>4</v>
      </c>
    </row>
    <row r="3549" spans="2:15" x14ac:dyDescent="0.2">
      <c r="B3549" t="s">
        <v>1433</v>
      </c>
      <c r="C3549" t="s">
        <v>12898</v>
      </c>
      <c r="D3549" t="s">
        <v>613</v>
      </c>
      <c r="E3549" t="s">
        <v>10098</v>
      </c>
      <c r="F3549">
        <v>6.6</v>
      </c>
      <c r="G3549" t="s">
        <v>3602</v>
      </c>
      <c r="L3549" t="s">
        <v>4428</v>
      </c>
      <c r="M3549" t="s">
        <v>4661</v>
      </c>
      <c r="N3549" t="s">
        <v>4660</v>
      </c>
      <c r="O3549">
        <v>8</v>
      </c>
    </row>
    <row r="3550" spans="2:15" x14ac:dyDescent="0.2">
      <c r="B3550" t="s">
        <v>1433</v>
      </c>
      <c r="C3550" t="s">
        <v>12898</v>
      </c>
      <c r="D3550" t="s">
        <v>617</v>
      </c>
      <c r="E3550" t="s">
        <v>10099</v>
      </c>
      <c r="F3550">
        <v>29.6</v>
      </c>
      <c r="H3550" t="s">
        <v>3620</v>
      </c>
      <c r="L3550" t="s">
        <v>4428</v>
      </c>
      <c r="M3550" t="s">
        <v>2016</v>
      </c>
      <c r="N3550" t="s">
        <v>4662</v>
      </c>
      <c r="O3550">
        <v>52</v>
      </c>
    </row>
    <row r="3551" spans="2:15" x14ac:dyDescent="0.2">
      <c r="B3551" t="s">
        <v>1433</v>
      </c>
      <c r="C3551" t="s">
        <v>12898</v>
      </c>
      <c r="D3551" t="s">
        <v>617</v>
      </c>
      <c r="E3551" t="s">
        <v>10100</v>
      </c>
      <c r="F3551">
        <v>43.62</v>
      </c>
      <c r="H3551" t="s">
        <v>3622</v>
      </c>
      <c r="L3551" t="s">
        <v>4428</v>
      </c>
      <c r="M3551" t="s">
        <v>1572</v>
      </c>
      <c r="N3551" t="s">
        <v>4662</v>
      </c>
      <c r="O3551">
        <v>8</v>
      </c>
    </row>
    <row r="3552" spans="2:15" x14ac:dyDescent="0.2">
      <c r="B3552" t="s">
        <v>1433</v>
      </c>
      <c r="C3552" t="s">
        <v>12898</v>
      </c>
      <c r="D3552" t="s">
        <v>617</v>
      </c>
      <c r="E3552" t="s">
        <v>10101</v>
      </c>
      <c r="F3552">
        <v>24</v>
      </c>
      <c r="H3552" t="s">
        <v>3630</v>
      </c>
      <c r="L3552" t="s">
        <v>4428</v>
      </c>
      <c r="M3552" t="s">
        <v>2016</v>
      </c>
      <c r="N3552" t="s">
        <v>4663</v>
      </c>
      <c r="O3552">
        <v>12</v>
      </c>
    </row>
    <row r="3553" spans="2:15" x14ac:dyDescent="0.2">
      <c r="B3553" t="s">
        <v>1433</v>
      </c>
      <c r="C3553" t="s">
        <v>12898</v>
      </c>
      <c r="D3553" t="s">
        <v>617</v>
      </c>
      <c r="E3553" t="s">
        <v>10102</v>
      </c>
      <c r="F3553">
        <v>133.19999999999999</v>
      </c>
      <c r="H3553" t="s">
        <v>3627</v>
      </c>
      <c r="L3553" t="s">
        <v>4428</v>
      </c>
      <c r="M3553" t="s">
        <v>4612</v>
      </c>
      <c r="N3553" t="s">
        <v>4664</v>
      </c>
      <c r="O3553">
        <v>16</v>
      </c>
    </row>
    <row r="3554" spans="2:15" x14ac:dyDescent="0.2">
      <c r="B3554" t="s">
        <v>1433</v>
      </c>
      <c r="C3554" t="s">
        <v>12898</v>
      </c>
      <c r="D3554" t="s">
        <v>617</v>
      </c>
      <c r="E3554" t="s">
        <v>10103</v>
      </c>
      <c r="F3554">
        <v>1220</v>
      </c>
      <c r="H3554" t="s">
        <v>3629</v>
      </c>
      <c r="L3554" t="s">
        <v>4428</v>
      </c>
      <c r="M3554" t="s">
        <v>4248</v>
      </c>
      <c r="N3554" t="s">
        <v>4664</v>
      </c>
      <c r="O3554">
        <v>4</v>
      </c>
    </row>
    <row r="3555" spans="2:15" x14ac:dyDescent="0.2">
      <c r="B3555" t="s">
        <v>1433</v>
      </c>
      <c r="C3555" t="s">
        <v>12898</v>
      </c>
      <c r="D3555" t="s">
        <v>613</v>
      </c>
      <c r="E3555" t="s">
        <v>10104</v>
      </c>
      <c r="F3555">
        <v>6</v>
      </c>
      <c r="G3555" t="s">
        <v>5131</v>
      </c>
      <c r="L3555" t="s">
        <v>4428</v>
      </c>
      <c r="M3555" t="s">
        <v>4665</v>
      </c>
      <c r="N3555" t="s">
        <v>4666</v>
      </c>
      <c r="O3555">
        <v>8</v>
      </c>
    </row>
    <row r="3556" spans="2:15" x14ac:dyDescent="0.2">
      <c r="B3556" t="s">
        <v>1433</v>
      </c>
      <c r="C3556" t="s">
        <v>12898</v>
      </c>
      <c r="D3556" t="s">
        <v>613</v>
      </c>
      <c r="E3556" t="s">
        <v>10105</v>
      </c>
      <c r="F3556">
        <v>0.28999999999999998</v>
      </c>
      <c r="G3556" t="s">
        <v>10106</v>
      </c>
      <c r="L3556" t="s">
        <v>4428</v>
      </c>
      <c r="M3556" t="s">
        <v>4142</v>
      </c>
      <c r="N3556" t="s">
        <v>4667</v>
      </c>
      <c r="O3556">
        <v>12</v>
      </c>
    </row>
    <row r="3557" spans="2:15" x14ac:dyDescent="0.2">
      <c r="B3557" t="s">
        <v>1433</v>
      </c>
      <c r="C3557" t="s">
        <v>12898</v>
      </c>
      <c r="D3557" t="s">
        <v>617</v>
      </c>
      <c r="E3557" t="s">
        <v>10107</v>
      </c>
      <c r="F3557">
        <v>170.2</v>
      </c>
      <c r="G3557" t="s">
        <v>3683</v>
      </c>
      <c r="L3557" t="s">
        <v>4428</v>
      </c>
      <c r="M3557" t="s">
        <v>4616</v>
      </c>
      <c r="N3557" t="s">
        <v>4667</v>
      </c>
      <c r="O3557">
        <v>4</v>
      </c>
    </row>
    <row r="3558" spans="2:15" x14ac:dyDescent="0.2">
      <c r="B3558" t="s">
        <v>1433</v>
      </c>
      <c r="C3558" t="s">
        <v>12898</v>
      </c>
      <c r="D3558" t="s">
        <v>1048</v>
      </c>
      <c r="E3558" t="s">
        <v>10108</v>
      </c>
      <c r="F3558">
        <v>793</v>
      </c>
      <c r="G3558" t="s">
        <v>3917</v>
      </c>
      <c r="L3558" t="s">
        <v>4428</v>
      </c>
      <c r="M3558" t="s">
        <v>2347</v>
      </c>
      <c r="N3558" t="s">
        <v>4667</v>
      </c>
      <c r="O3558">
        <v>4</v>
      </c>
    </row>
    <row r="3559" spans="2:15" x14ac:dyDescent="0.2">
      <c r="B3559" t="s">
        <v>1433</v>
      </c>
      <c r="C3559" t="s">
        <v>12898</v>
      </c>
      <c r="D3559" t="s">
        <v>1144</v>
      </c>
      <c r="E3559" t="s">
        <v>10109</v>
      </c>
      <c r="F3559">
        <v>718.35</v>
      </c>
      <c r="G3559" t="s">
        <v>3918</v>
      </c>
      <c r="L3559" t="s">
        <v>4428</v>
      </c>
      <c r="M3559" t="s">
        <v>4620</v>
      </c>
      <c r="N3559" t="s">
        <v>4668</v>
      </c>
      <c r="O3559">
        <v>2</v>
      </c>
    </row>
    <row r="3560" spans="2:15" x14ac:dyDescent="0.2">
      <c r="B3560" t="s">
        <v>1433</v>
      </c>
      <c r="C3560" t="s">
        <v>12898</v>
      </c>
      <c r="D3560" t="s">
        <v>1144</v>
      </c>
      <c r="E3560" t="s">
        <v>10110</v>
      </c>
      <c r="F3560">
        <v>979</v>
      </c>
      <c r="G3560" t="s">
        <v>3919</v>
      </c>
      <c r="L3560" t="s">
        <v>4428</v>
      </c>
      <c r="M3560" t="s">
        <v>1568</v>
      </c>
      <c r="N3560" t="s">
        <v>4669</v>
      </c>
      <c r="O3560">
        <v>8</v>
      </c>
    </row>
    <row r="3561" spans="2:15" x14ac:dyDescent="0.2">
      <c r="B3561" t="s">
        <v>1433</v>
      </c>
      <c r="C3561" t="s">
        <v>12898</v>
      </c>
      <c r="D3561" t="s">
        <v>617</v>
      </c>
      <c r="E3561" t="s">
        <v>10111</v>
      </c>
      <c r="F3561">
        <v>610</v>
      </c>
      <c r="H3561" t="s">
        <v>3629</v>
      </c>
      <c r="L3561" t="s">
        <v>4428</v>
      </c>
      <c r="M3561" t="s">
        <v>1569</v>
      </c>
      <c r="N3561" t="s">
        <v>4669</v>
      </c>
      <c r="O3561">
        <v>8</v>
      </c>
    </row>
    <row r="3562" spans="2:15" x14ac:dyDescent="0.2">
      <c r="B3562" t="s">
        <v>1433</v>
      </c>
      <c r="C3562" t="s">
        <v>12898</v>
      </c>
      <c r="D3562" t="s">
        <v>617</v>
      </c>
      <c r="E3562" t="s">
        <v>10112</v>
      </c>
      <c r="F3562">
        <v>13.8</v>
      </c>
      <c r="H3562" t="s">
        <v>3777</v>
      </c>
      <c r="L3562" t="s">
        <v>4428</v>
      </c>
      <c r="M3562" t="s">
        <v>1571</v>
      </c>
      <c r="N3562" t="s">
        <v>4669</v>
      </c>
      <c r="O3562">
        <v>8</v>
      </c>
    </row>
    <row r="3563" spans="2:15" x14ac:dyDescent="0.2">
      <c r="B3563" t="s">
        <v>1433</v>
      </c>
      <c r="C3563" t="s">
        <v>12898</v>
      </c>
      <c r="D3563" t="s">
        <v>617</v>
      </c>
      <c r="E3563" t="s">
        <v>10113</v>
      </c>
      <c r="F3563">
        <v>13.2</v>
      </c>
      <c r="H3563" t="s">
        <v>3779</v>
      </c>
      <c r="L3563" t="s">
        <v>4428</v>
      </c>
      <c r="M3563" t="s">
        <v>1563</v>
      </c>
      <c r="N3563" t="s">
        <v>4669</v>
      </c>
      <c r="O3563">
        <v>32</v>
      </c>
    </row>
    <row r="3564" spans="2:15" x14ac:dyDescent="0.2">
      <c r="B3564" t="s">
        <v>1433</v>
      </c>
      <c r="C3564" t="s">
        <v>12898</v>
      </c>
      <c r="D3564" t="s">
        <v>617</v>
      </c>
      <c r="E3564" t="s">
        <v>10114</v>
      </c>
      <c r="F3564">
        <v>261.12</v>
      </c>
      <c r="H3564" t="s">
        <v>1983</v>
      </c>
      <c r="L3564" t="s">
        <v>4428</v>
      </c>
      <c r="M3564" t="s">
        <v>1573</v>
      </c>
      <c r="N3564" t="s">
        <v>4669</v>
      </c>
      <c r="O3564">
        <v>8</v>
      </c>
    </row>
    <row r="3565" spans="2:15" x14ac:dyDescent="0.2">
      <c r="B3565" t="s">
        <v>1433</v>
      </c>
      <c r="C3565" t="s">
        <v>12898</v>
      </c>
      <c r="D3565" t="s">
        <v>617</v>
      </c>
      <c r="E3565" t="s">
        <v>10115</v>
      </c>
      <c r="F3565">
        <v>199.55</v>
      </c>
      <c r="H3565" t="s">
        <v>1983</v>
      </c>
      <c r="L3565" t="s">
        <v>4428</v>
      </c>
      <c r="M3565" t="s">
        <v>1574</v>
      </c>
      <c r="N3565" t="s">
        <v>4669</v>
      </c>
      <c r="O3565">
        <v>4</v>
      </c>
    </row>
    <row r="3566" spans="2:15" x14ac:dyDescent="0.2">
      <c r="B3566" t="s">
        <v>1433</v>
      </c>
      <c r="C3566" t="s">
        <v>12898</v>
      </c>
      <c r="D3566" t="s">
        <v>613</v>
      </c>
      <c r="E3566" t="s">
        <v>10116</v>
      </c>
      <c r="F3566">
        <v>51</v>
      </c>
      <c r="G3566" t="s">
        <v>3780</v>
      </c>
      <c r="L3566" t="s">
        <v>4428</v>
      </c>
      <c r="M3566" t="s">
        <v>2017</v>
      </c>
      <c r="N3566" t="s">
        <v>4670</v>
      </c>
      <c r="O3566">
        <v>4</v>
      </c>
    </row>
    <row r="3567" spans="2:15" x14ac:dyDescent="0.2">
      <c r="B3567" t="s">
        <v>1433</v>
      </c>
      <c r="C3567" t="s">
        <v>12898</v>
      </c>
      <c r="D3567" t="s">
        <v>613</v>
      </c>
      <c r="E3567" t="s">
        <v>10117</v>
      </c>
      <c r="F3567">
        <v>73</v>
      </c>
      <c r="G3567" t="s">
        <v>3786</v>
      </c>
      <c r="L3567" t="s">
        <v>4428</v>
      </c>
      <c r="M3567" t="s">
        <v>1563</v>
      </c>
      <c r="N3567" t="s">
        <v>4670</v>
      </c>
      <c r="O3567">
        <v>4</v>
      </c>
    </row>
    <row r="3568" spans="2:15" x14ac:dyDescent="0.2">
      <c r="B3568" t="s">
        <v>1433</v>
      </c>
      <c r="C3568" t="s">
        <v>12898</v>
      </c>
      <c r="D3568" t="s">
        <v>613</v>
      </c>
      <c r="E3568" t="s">
        <v>10118</v>
      </c>
      <c r="F3568">
        <v>30</v>
      </c>
      <c r="G3568" t="s">
        <v>3784</v>
      </c>
      <c r="L3568" t="s">
        <v>4428</v>
      </c>
      <c r="M3568" t="s">
        <v>4268</v>
      </c>
      <c r="N3568" t="s">
        <v>4671</v>
      </c>
      <c r="O3568">
        <v>2</v>
      </c>
    </row>
    <row r="3569" spans="2:15" x14ac:dyDescent="0.2">
      <c r="B3569" t="s">
        <v>1433</v>
      </c>
      <c r="C3569" t="s">
        <v>12898</v>
      </c>
      <c r="D3569" t="s">
        <v>613</v>
      </c>
      <c r="E3569" t="s">
        <v>10119</v>
      </c>
      <c r="F3569">
        <v>774.29</v>
      </c>
      <c r="G3569" t="s">
        <v>3809</v>
      </c>
      <c r="L3569" t="s">
        <v>4428</v>
      </c>
      <c r="M3569" t="s">
        <v>4480</v>
      </c>
      <c r="N3569" t="s">
        <v>4672</v>
      </c>
      <c r="O3569">
        <v>6</v>
      </c>
    </row>
    <row r="3570" spans="2:15" x14ac:dyDescent="0.2">
      <c r="B3570" t="s">
        <v>1433</v>
      </c>
      <c r="C3570" t="s">
        <v>12898</v>
      </c>
      <c r="D3570" t="s">
        <v>617</v>
      </c>
      <c r="E3570" t="s">
        <v>10120</v>
      </c>
      <c r="F3570">
        <v>1390.3</v>
      </c>
      <c r="G3570" t="s">
        <v>2315</v>
      </c>
      <c r="L3570" t="s">
        <v>4428</v>
      </c>
      <c r="M3570" t="s">
        <v>4481</v>
      </c>
      <c r="N3570" t="s">
        <v>4672</v>
      </c>
      <c r="O3570">
        <v>7</v>
      </c>
    </row>
    <row r="3571" spans="2:15" x14ac:dyDescent="0.2">
      <c r="B3571" t="s">
        <v>1433</v>
      </c>
      <c r="C3571" t="s">
        <v>12898</v>
      </c>
      <c r="D3571" t="s">
        <v>1169</v>
      </c>
      <c r="E3571" t="s">
        <v>10121</v>
      </c>
      <c r="F3571">
        <v>1281.5999999999999</v>
      </c>
      <c r="G3571" t="s">
        <v>3803</v>
      </c>
      <c r="L3571" t="s">
        <v>4428</v>
      </c>
      <c r="M3571" t="s">
        <v>4491</v>
      </c>
      <c r="N3571" t="s">
        <v>4673</v>
      </c>
      <c r="O3571">
        <v>30</v>
      </c>
    </row>
    <row r="3572" spans="2:15" x14ac:dyDescent="0.2">
      <c r="B3572" t="s">
        <v>1433</v>
      </c>
      <c r="C3572" t="s">
        <v>12898</v>
      </c>
      <c r="D3572" t="s">
        <v>613</v>
      </c>
      <c r="E3572" t="s">
        <v>10122</v>
      </c>
      <c r="F3572">
        <v>447.6</v>
      </c>
      <c r="G3572" t="s">
        <v>3766</v>
      </c>
      <c r="L3572" t="s">
        <v>4428</v>
      </c>
      <c r="M3572" t="s">
        <v>4493</v>
      </c>
      <c r="N3572" t="s">
        <v>4673</v>
      </c>
      <c r="O3572">
        <v>35</v>
      </c>
    </row>
    <row r="3573" spans="2:15" x14ac:dyDescent="0.2">
      <c r="B3573" t="s">
        <v>1433</v>
      </c>
      <c r="C3573" t="s">
        <v>12898</v>
      </c>
      <c r="D3573" t="s">
        <v>613</v>
      </c>
      <c r="E3573" t="s">
        <v>10123</v>
      </c>
      <c r="F3573">
        <v>1178.55</v>
      </c>
      <c r="G3573" t="s">
        <v>3761</v>
      </c>
      <c r="L3573" t="s">
        <v>4428</v>
      </c>
      <c r="M3573" t="s">
        <v>4487</v>
      </c>
      <c r="N3573" t="s">
        <v>4673</v>
      </c>
      <c r="O3573">
        <v>30</v>
      </c>
    </row>
    <row r="3574" spans="2:15" x14ac:dyDescent="0.2">
      <c r="B3574" t="s">
        <v>1433</v>
      </c>
      <c r="C3574" t="s">
        <v>12898</v>
      </c>
      <c r="D3574" t="s">
        <v>1144</v>
      </c>
      <c r="E3574" t="s">
        <v>10124</v>
      </c>
      <c r="F3574">
        <v>198.25</v>
      </c>
      <c r="G3574" t="s">
        <v>3920</v>
      </c>
      <c r="L3574" t="s">
        <v>4428</v>
      </c>
      <c r="M3574" t="s">
        <v>4492</v>
      </c>
      <c r="N3574" t="s">
        <v>4673</v>
      </c>
      <c r="O3574">
        <v>35</v>
      </c>
    </row>
    <row r="3575" spans="2:15" x14ac:dyDescent="0.2">
      <c r="B3575" t="s">
        <v>1433</v>
      </c>
      <c r="C3575" t="s">
        <v>12898</v>
      </c>
      <c r="D3575" t="s">
        <v>613</v>
      </c>
      <c r="E3575" t="s">
        <v>10125</v>
      </c>
      <c r="F3575">
        <v>35</v>
      </c>
      <c r="G3575" t="s">
        <v>3922</v>
      </c>
      <c r="L3575" t="s">
        <v>4428</v>
      </c>
      <c r="M3575" t="s">
        <v>4674</v>
      </c>
      <c r="N3575" t="s">
        <v>4675</v>
      </c>
      <c r="O3575">
        <v>100</v>
      </c>
    </row>
    <row r="3576" spans="2:15" x14ac:dyDescent="0.2">
      <c r="B3576" t="s">
        <v>1433</v>
      </c>
      <c r="C3576" t="s">
        <v>12898</v>
      </c>
      <c r="D3576" t="s">
        <v>613</v>
      </c>
      <c r="E3576" t="s">
        <v>10126</v>
      </c>
      <c r="F3576">
        <v>248.5</v>
      </c>
      <c r="G3576" t="s">
        <v>3936</v>
      </c>
      <c r="L3576" t="s">
        <v>4428</v>
      </c>
      <c r="M3576" t="s">
        <v>1603</v>
      </c>
      <c r="N3576" t="s">
        <v>4675</v>
      </c>
      <c r="O3576">
        <v>20</v>
      </c>
    </row>
    <row r="3577" spans="2:15" x14ac:dyDescent="0.2">
      <c r="B3577" t="s">
        <v>1433</v>
      </c>
      <c r="C3577" t="s">
        <v>12898</v>
      </c>
      <c r="D3577" t="s">
        <v>613</v>
      </c>
      <c r="E3577" t="s">
        <v>10127</v>
      </c>
      <c r="F3577">
        <v>960</v>
      </c>
      <c r="G3577" t="s">
        <v>3675</v>
      </c>
      <c r="L3577" t="s">
        <v>4428</v>
      </c>
      <c r="M3577" t="s">
        <v>1605</v>
      </c>
      <c r="N3577" t="s">
        <v>4675</v>
      </c>
      <c r="O3577">
        <v>24</v>
      </c>
    </row>
    <row r="3578" spans="2:15" x14ac:dyDescent="0.2">
      <c r="B3578" t="s">
        <v>1433</v>
      </c>
      <c r="C3578" t="s">
        <v>12898</v>
      </c>
      <c r="D3578" t="s">
        <v>617</v>
      </c>
      <c r="E3578" t="s">
        <v>10128</v>
      </c>
      <c r="F3578">
        <v>610</v>
      </c>
      <c r="H3578" t="s">
        <v>3629</v>
      </c>
      <c r="L3578" t="s">
        <v>4428</v>
      </c>
      <c r="M3578" t="s">
        <v>1606</v>
      </c>
      <c r="N3578" t="s">
        <v>4675</v>
      </c>
      <c r="O3578">
        <v>12</v>
      </c>
    </row>
    <row r="3579" spans="2:15" x14ac:dyDescent="0.2">
      <c r="B3579" t="s">
        <v>1433</v>
      </c>
      <c r="C3579" t="s">
        <v>12898</v>
      </c>
      <c r="D3579" t="s">
        <v>617</v>
      </c>
      <c r="E3579" t="s">
        <v>10129</v>
      </c>
      <c r="F3579">
        <v>13.8</v>
      </c>
      <c r="H3579" t="s">
        <v>3777</v>
      </c>
      <c r="L3579" t="s">
        <v>4428</v>
      </c>
      <c r="M3579" t="s">
        <v>4283</v>
      </c>
      <c r="N3579" t="s">
        <v>4676</v>
      </c>
      <c r="O3579">
        <v>4</v>
      </c>
    </row>
    <row r="3580" spans="2:15" x14ac:dyDescent="0.2">
      <c r="B3580" t="s">
        <v>1433</v>
      </c>
      <c r="C3580" t="s">
        <v>12898</v>
      </c>
      <c r="D3580" t="s">
        <v>617</v>
      </c>
      <c r="E3580" t="s">
        <v>10130</v>
      </c>
      <c r="F3580">
        <v>13.2</v>
      </c>
      <c r="H3580" t="s">
        <v>3779</v>
      </c>
      <c r="L3580" t="s">
        <v>4428</v>
      </c>
      <c r="M3580" t="s">
        <v>4677</v>
      </c>
      <c r="N3580" t="s">
        <v>4678</v>
      </c>
      <c r="O3580">
        <v>50</v>
      </c>
    </row>
    <row r="3581" spans="2:15" x14ac:dyDescent="0.2">
      <c r="B3581" t="s">
        <v>1433</v>
      </c>
      <c r="C3581" t="s">
        <v>12898</v>
      </c>
      <c r="D3581" t="s">
        <v>613</v>
      </c>
      <c r="E3581" t="s">
        <v>10131</v>
      </c>
      <c r="F3581">
        <v>432</v>
      </c>
      <c r="G3581" t="s">
        <v>3945</v>
      </c>
      <c r="L3581" t="s">
        <v>4428</v>
      </c>
      <c r="M3581" t="s">
        <v>1713</v>
      </c>
      <c r="N3581" t="s">
        <v>4678</v>
      </c>
      <c r="O3581">
        <v>100</v>
      </c>
    </row>
    <row r="3582" spans="2:15" x14ac:dyDescent="0.2">
      <c r="B3582" t="s">
        <v>1433</v>
      </c>
      <c r="C3582" t="s">
        <v>12898</v>
      </c>
      <c r="D3582" t="s">
        <v>617</v>
      </c>
      <c r="E3582" t="s">
        <v>10132</v>
      </c>
      <c r="F3582">
        <v>308.11</v>
      </c>
      <c r="H3582" t="s">
        <v>3959</v>
      </c>
      <c r="L3582" t="s">
        <v>4428</v>
      </c>
      <c r="M3582" t="s">
        <v>2578</v>
      </c>
      <c r="N3582" t="s">
        <v>4678</v>
      </c>
      <c r="O3582">
        <v>24</v>
      </c>
    </row>
    <row r="3583" spans="2:15" x14ac:dyDescent="0.2">
      <c r="B3583" t="s">
        <v>1433</v>
      </c>
      <c r="C3583" t="s">
        <v>12898</v>
      </c>
      <c r="D3583" t="s">
        <v>617</v>
      </c>
      <c r="E3583" t="s">
        <v>10133</v>
      </c>
      <c r="F3583">
        <v>260.06</v>
      </c>
      <c r="H3583" t="s">
        <v>3961</v>
      </c>
      <c r="L3583" t="s">
        <v>4428</v>
      </c>
      <c r="M3583" t="s">
        <v>4679</v>
      </c>
      <c r="N3583" t="s">
        <v>4678</v>
      </c>
      <c r="O3583">
        <v>54</v>
      </c>
    </row>
    <row r="3584" spans="2:15" x14ac:dyDescent="0.2">
      <c r="B3584" t="s">
        <v>1433</v>
      </c>
      <c r="C3584" t="s">
        <v>12898</v>
      </c>
      <c r="D3584" t="s">
        <v>617</v>
      </c>
      <c r="E3584" t="s">
        <v>10134</v>
      </c>
      <c r="F3584">
        <v>70.08</v>
      </c>
      <c r="H3584" t="s">
        <v>3207</v>
      </c>
      <c r="L3584" t="s">
        <v>4428</v>
      </c>
      <c r="M3584" t="s">
        <v>2579</v>
      </c>
      <c r="N3584" t="s">
        <v>4678</v>
      </c>
      <c r="O3584">
        <v>24</v>
      </c>
    </row>
    <row r="3585" spans="2:15" x14ac:dyDescent="0.2">
      <c r="B3585" t="s">
        <v>1433</v>
      </c>
      <c r="C3585" t="s">
        <v>12898</v>
      </c>
      <c r="D3585" t="s">
        <v>617</v>
      </c>
      <c r="E3585" t="s">
        <v>10135</v>
      </c>
      <c r="F3585">
        <v>8.6</v>
      </c>
      <c r="H3585" t="s">
        <v>3967</v>
      </c>
      <c r="L3585" t="s">
        <v>4428</v>
      </c>
      <c r="M3585" t="s">
        <v>4665</v>
      </c>
      <c r="N3585" t="s">
        <v>4680</v>
      </c>
      <c r="O3585">
        <v>24</v>
      </c>
    </row>
    <row r="3586" spans="2:15" x14ac:dyDescent="0.2">
      <c r="B3586" t="s">
        <v>1433</v>
      </c>
      <c r="C3586" t="s">
        <v>12898</v>
      </c>
      <c r="D3586" t="s">
        <v>617</v>
      </c>
      <c r="E3586" t="s">
        <v>10136</v>
      </c>
      <c r="F3586">
        <v>8.6</v>
      </c>
      <c r="H3586" t="s">
        <v>3969</v>
      </c>
      <c r="L3586" t="s">
        <v>4428</v>
      </c>
      <c r="M3586" t="s">
        <v>1693</v>
      </c>
      <c r="N3586" t="s">
        <v>4680</v>
      </c>
      <c r="O3586">
        <v>8</v>
      </c>
    </row>
    <row r="3587" spans="2:15" x14ac:dyDescent="0.2">
      <c r="B3587" t="s">
        <v>1433</v>
      </c>
      <c r="C3587" t="s">
        <v>12898</v>
      </c>
      <c r="D3587" t="s">
        <v>613</v>
      </c>
      <c r="E3587" t="s">
        <v>10137</v>
      </c>
      <c r="F3587">
        <v>327.44</v>
      </c>
      <c r="G3587" t="s">
        <v>3989</v>
      </c>
      <c r="L3587" t="s">
        <v>4428</v>
      </c>
      <c r="M3587" t="s">
        <v>4612</v>
      </c>
      <c r="N3587" t="s">
        <v>4680</v>
      </c>
      <c r="O3587">
        <v>16</v>
      </c>
    </row>
    <row r="3588" spans="2:15" x14ac:dyDescent="0.2">
      <c r="B3588" t="s">
        <v>1433</v>
      </c>
      <c r="C3588" t="s">
        <v>12898</v>
      </c>
      <c r="D3588" t="s">
        <v>617</v>
      </c>
      <c r="E3588" t="s">
        <v>10138</v>
      </c>
      <c r="F3588">
        <v>84.55</v>
      </c>
      <c r="H3588" t="s">
        <v>1388</v>
      </c>
      <c r="L3588" t="s">
        <v>4428</v>
      </c>
      <c r="M3588" t="s">
        <v>4248</v>
      </c>
      <c r="N3588" t="s">
        <v>4680</v>
      </c>
      <c r="O3588">
        <v>4</v>
      </c>
    </row>
    <row r="3589" spans="2:15" x14ac:dyDescent="0.2">
      <c r="B3589" t="s">
        <v>1433</v>
      </c>
      <c r="C3589" t="s">
        <v>12898</v>
      </c>
      <c r="D3589" t="s">
        <v>617</v>
      </c>
      <c r="E3589" t="s">
        <v>10139</v>
      </c>
      <c r="F3589">
        <v>507</v>
      </c>
      <c r="H3589" t="s">
        <v>1984</v>
      </c>
      <c r="L3589" t="s">
        <v>4428</v>
      </c>
      <c r="M3589" t="s">
        <v>4248</v>
      </c>
      <c r="N3589" t="s">
        <v>4681</v>
      </c>
      <c r="O3589">
        <v>16</v>
      </c>
    </row>
    <row r="3590" spans="2:15" x14ac:dyDescent="0.2">
      <c r="B3590" t="s">
        <v>1433</v>
      </c>
      <c r="C3590" t="s">
        <v>12898</v>
      </c>
      <c r="D3590" t="s">
        <v>617</v>
      </c>
      <c r="E3590" t="s">
        <v>10140</v>
      </c>
      <c r="F3590">
        <v>40.799999999999997</v>
      </c>
      <c r="H3590" t="s">
        <v>1552</v>
      </c>
      <c r="L3590" t="s">
        <v>4428</v>
      </c>
      <c r="M3590" t="s">
        <v>1869</v>
      </c>
      <c r="N3590" t="s">
        <v>4682</v>
      </c>
      <c r="O3590">
        <v>50</v>
      </c>
    </row>
    <row r="3591" spans="2:15" x14ac:dyDescent="0.2">
      <c r="B3591" t="s">
        <v>1433</v>
      </c>
      <c r="C3591" t="s">
        <v>12898</v>
      </c>
      <c r="D3591" t="s">
        <v>617</v>
      </c>
      <c r="E3591" t="s">
        <v>10141</v>
      </c>
      <c r="F3591">
        <v>115.9</v>
      </c>
      <c r="H3591" t="s">
        <v>1706</v>
      </c>
      <c r="L3591" t="s">
        <v>4428</v>
      </c>
      <c r="M3591" t="s">
        <v>1610</v>
      </c>
      <c r="N3591" t="s">
        <v>4682</v>
      </c>
      <c r="O3591">
        <v>30</v>
      </c>
    </row>
    <row r="3592" spans="2:15" x14ac:dyDescent="0.2">
      <c r="B3592" t="s">
        <v>1433</v>
      </c>
      <c r="C3592" t="s">
        <v>12898</v>
      </c>
      <c r="D3592" t="s">
        <v>617</v>
      </c>
      <c r="E3592" t="s">
        <v>10142</v>
      </c>
      <c r="F3592">
        <v>1837.2</v>
      </c>
      <c r="H3592" t="s">
        <v>1812</v>
      </c>
      <c r="L3592" t="s">
        <v>4428</v>
      </c>
      <c r="M3592" t="s">
        <v>3362</v>
      </c>
      <c r="N3592" t="s">
        <v>4682</v>
      </c>
      <c r="O3592">
        <v>132</v>
      </c>
    </row>
    <row r="3593" spans="2:15" x14ac:dyDescent="0.2">
      <c r="B3593" t="s">
        <v>1433</v>
      </c>
      <c r="C3593" t="s">
        <v>12898</v>
      </c>
      <c r="D3593" t="s">
        <v>617</v>
      </c>
      <c r="E3593" t="s">
        <v>10143</v>
      </c>
      <c r="F3593">
        <v>119.2</v>
      </c>
      <c r="H3593" t="s">
        <v>3987</v>
      </c>
      <c r="L3593" t="s">
        <v>4428</v>
      </c>
      <c r="M3593" t="s">
        <v>3364</v>
      </c>
      <c r="N3593" t="s">
        <v>4682</v>
      </c>
      <c r="O3593">
        <v>100</v>
      </c>
    </row>
    <row r="3594" spans="2:15" x14ac:dyDescent="0.2">
      <c r="B3594" t="s">
        <v>1433</v>
      </c>
      <c r="C3594" t="s">
        <v>12898</v>
      </c>
      <c r="D3594" t="s">
        <v>617</v>
      </c>
      <c r="E3594" t="s">
        <v>10144</v>
      </c>
      <c r="F3594">
        <v>256</v>
      </c>
      <c r="G3594" t="s">
        <v>1983</v>
      </c>
      <c r="L3594" t="s">
        <v>4428</v>
      </c>
      <c r="M3594" t="s">
        <v>1629</v>
      </c>
      <c r="N3594" t="s">
        <v>4682</v>
      </c>
      <c r="O3594">
        <v>10</v>
      </c>
    </row>
    <row r="3595" spans="2:15" x14ac:dyDescent="0.2">
      <c r="B3595" t="s">
        <v>1433</v>
      </c>
      <c r="C3595" t="s">
        <v>12898</v>
      </c>
      <c r="D3595" t="s">
        <v>617</v>
      </c>
      <c r="E3595" t="s">
        <v>10145</v>
      </c>
      <c r="F3595">
        <v>28.93</v>
      </c>
      <c r="H3595" t="s">
        <v>1380</v>
      </c>
      <c r="L3595" t="s">
        <v>4428</v>
      </c>
      <c r="M3595" t="s">
        <v>1822</v>
      </c>
      <c r="N3595" t="s">
        <v>4682</v>
      </c>
      <c r="O3595">
        <v>120</v>
      </c>
    </row>
    <row r="3596" spans="2:15" x14ac:dyDescent="0.2">
      <c r="B3596" t="s">
        <v>1433</v>
      </c>
      <c r="C3596" t="s">
        <v>12898</v>
      </c>
      <c r="D3596" t="s">
        <v>617</v>
      </c>
      <c r="E3596" t="s">
        <v>10146</v>
      </c>
      <c r="F3596">
        <v>105.18</v>
      </c>
      <c r="H3596" t="s">
        <v>1380</v>
      </c>
      <c r="L3596" t="s">
        <v>4428</v>
      </c>
      <c r="M3596" t="s">
        <v>1824</v>
      </c>
      <c r="N3596" t="s">
        <v>4682</v>
      </c>
      <c r="O3596">
        <v>138</v>
      </c>
    </row>
    <row r="3597" spans="2:15" x14ac:dyDescent="0.2">
      <c r="B3597" t="s">
        <v>1433</v>
      </c>
      <c r="C3597" t="s">
        <v>12898</v>
      </c>
      <c r="D3597" t="s">
        <v>617</v>
      </c>
      <c r="E3597" t="s">
        <v>10147</v>
      </c>
      <c r="F3597">
        <v>5.3</v>
      </c>
      <c r="H3597" t="s">
        <v>1806</v>
      </c>
      <c r="L3597" t="s">
        <v>4428</v>
      </c>
      <c r="M3597" t="s">
        <v>1825</v>
      </c>
      <c r="N3597" t="s">
        <v>4682</v>
      </c>
      <c r="O3597">
        <v>156</v>
      </c>
    </row>
    <row r="3598" spans="2:15" x14ac:dyDescent="0.2">
      <c r="B3598" t="s">
        <v>1433</v>
      </c>
      <c r="C3598" t="s">
        <v>12898</v>
      </c>
      <c r="D3598" t="s">
        <v>617</v>
      </c>
      <c r="E3598" t="s">
        <v>10148</v>
      </c>
      <c r="F3598">
        <v>16.149999999999999</v>
      </c>
      <c r="H3598" t="s">
        <v>4053</v>
      </c>
      <c r="L3598" t="s">
        <v>4428</v>
      </c>
      <c r="M3598" t="s">
        <v>1826</v>
      </c>
      <c r="N3598" t="s">
        <v>4682</v>
      </c>
      <c r="O3598">
        <v>111</v>
      </c>
    </row>
    <row r="3599" spans="2:15" x14ac:dyDescent="0.2">
      <c r="B3599" t="s">
        <v>1433</v>
      </c>
      <c r="C3599" t="s">
        <v>12898</v>
      </c>
      <c r="D3599" t="s">
        <v>617</v>
      </c>
      <c r="E3599" t="s">
        <v>10149</v>
      </c>
      <c r="F3599">
        <v>383.4</v>
      </c>
      <c r="H3599" t="s">
        <v>3245</v>
      </c>
      <c r="L3599" t="s">
        <v>4428</v>
      </c>
      <c r="M3599" t="s">
        <v>4683</v>
      </c>
      <c r="N3599" t="s">
        <v>4682</v>
      </c>
      <c r="O3599">
        <v>12</v>
      </c>
    </row>
    <row r="3600" spans="2:15" x14ac:dyDescent="0.2">
      <c r="B3600" t="s">
        <v>1433</v>
      </c>
      <c r="C3600" t="s">
        <v>12898</v>
      </c>
      <c r="D3600" t="s">
        <v>617</v>
      </c>
      <c r="E3600" t="s">
        <v>10150</v>
      </c>
      <c r="F3600">
        <v>172.9</v>
      </c>
      <c r="H3600" t="s">
        <v>1457</v>
      </c>
      <c r="L3600" t="s">
        <v>4428</v>
      </c>
      <c r="M3600" t="s">
        <v>4684</v>
      </c>
      <c r="N3600" t="s">
        <v>4682</v>
      </c>
      <c r="O3600">
        <v>27</v>
      </c>
    </row>
    <row r="3601" spans="2:15" x14ac:dyDescent="0.2">
      <c r="B3601" t="s">
        <v>1433</v>
      </c>
      <c r="C3601" t="s">
        <v>12898</v>
      </c>
      <c r="D3601" t="s">
        <v>617</v>
      </c>
      <c r="E3601" t="s">
        <v>10151</v>
      </c>
      <c r="F3601">
        <v>39.9</v>
      </c>
      <c r="H3601" t="s">
        <v>1457</v>
      </c>
      <c r="L3601" t="s">
        <v>4428</v>
      </c>
      <c r="M3601" t="s">
        <v>1827</v>
      </c>
      <c r="N3601" t="s">
        <v>4682</v>
      </c>
      <c r="O3601">
        <v>1110</v>
      </c>
    </row>
    <row r="3602" spans="2:15" x14ac:dyDescent="0.2">
      <c r="B3602" t="s">
        <v>1433</v>
      </c>
      <c r="C3602" t="s">
        <v>12898</v>
      </c>
      <c r="D3602" t="s">
        <v>617</v>
      </c>
      <c r="E3602" t="s">
        <v>10152</v>
      </c>
      <c r="F3602">
        <v>76.400000000000006</v>
      </c>
      <c r="H3602" t="s">
        <v>1459</v>
      </c>
      <c r="L3602" t="s">
        <v>4428</v>
      </c>
      <c r="M3602" t="s">
        <v>1828</v>
      </c>
      <c r="N3602" t="s">
        <v>4682</v>
      </c>
      <c r="O3602">
        <v>900</v>
      </c>
    </row>
    <row r="3603" spans="2:15" x14ac:dyDescent="0.2">
      <c r="B3603" t="s">
        <v>1433</v>
      </c>
      <c r="C3603" t="s">
        <v>12898</v>
      </c>
      <c r="D3603" t="s">
        <v>617</v>
      </c>
      <c r="E3603" t="s">
        <v>10153</v>
      </c>
      <c r="F3603">
        <v>15.92</v>
      </c>
      <c r="H3603" t="s">
        <v>1460</v>
      </c>
      <c r="L3603" t="s">
        <v>4428</v>
      </c>
      <c r="M3603" t="s">
        <v>1631</v>
      </c>
      <c r="N3603" t="s">
        <v>4682</v>
      </c>
      <c r="O3603">
        <v>100</v>
      </c>
    </row>
    <row r="3604" spans="2:15" x14ac:dyDescent="0.2">
      <c r="B3604" t="s">
        <v>1433</v>
      </c>
      <c r="C3604" t="s">
        <v>12898</v>
      </c>
      <c r="D3604" t="s">
        <v>617</v>
      </c>
      <c r="E3604" t="s">
        <v>10154</v>
      </c>
      <c r="F3604">
        <v>69.459999999999994</v>
      </c>
      <c r="H3604" t="s">
        <v>1995</v>
      </c>
      <c r="L3604" t="s">
        <v>4428</v>
      </c>
      <c r="M3604" t="s">
        <v>1632</v>
      </c>
      <c r="N3604" t="s">
        <v>4682</v>
      </c>
      <c r="O3604">
        <v>80</v>
      </c>
    </row>
    <row r="3605" spans="2:15" x14ac:dyDescent="0.2">
      <c r="B3605" t="s">
        <v>1433</v>
      </c>
      <c r="C3605" t="s">
        <v>12898</v>
      </c>
      <c r="D3605" t="s">
        <v>617</v>
      </c>
      <c r="E3605" t="s">
        <v>10155</v>
      </c>
      <c r="F3605">
        <v>13.94</v>
      </c>
      <c r="H3605" t="s">
        <v>1376</v>
      </c>
      <c r="L3605" t="s">
        <v>4428</v>
      </c>
      <c r="M3605" t="s">
        <v>4685</v>
      </c>
      <c r="N3605" t="s">
        <v>4682</v>
      </c>
      <c r="O3605">
        <v>48</v>
      </c>
    </row>
    <row r="3606" spans="2:15" x14ac:dyDescent="0.2">
      <c r="B3606" t="s">
        <v>1433</v>
      </c>
      <c r="C3606" t="s">
        <v>12898</v>
      </c>
      <c r="D3606" t="s">
        <v>617</v>
      </c>
      <c r="E3606" t="s">
        <v>10156</v>
      </c>
      <c r="F3606">
        <v>503.07</v>
      </c>
      <c r="H3606" t="s">
        <v>1388</v>
      </c>
      <c r="L3606" t="s">
        <v>4428</v>
      </c>
      <c r="M3606" t="s">
        <v>1830</v>
      </c>
      <c r="N3606" t="s">
        <v>4682</v>
      </c>
      <c r="O3606">
        <v>1000</v>
      </c>
    </row>
    <row r="3607" spans="2:15" x14ac:dyDescent="0.2">
      <c r="B3607" t="s">
        <v>1433</v>
      </c>
      <c r="C3607" t="s">
        <v>12898</v>
      </c>
      <c r="D3607" t="s">
        <v>617</v>
      </c>
      <c r="E3607" t="s">
        <v>10157</v>
      </c>
      <c r="F3607">
        <v>1807.39</v>
      </c>
      <c r="H3607" t="s">
        <v>2315</v>
      </c>
      <c r="L3607" t="s">
        <v>4428</v>
      </c>
      <c r="M3607" t="s">
        <v>1831</v>
      </c>
      <c r="N3607" t="s">
        <v>4682</v>
      </c>
      <c r="O3607">
        <v>120</v>
      </c>
    </row>
    <row r="3608" spans="2:15" x14ac:dyDescent="0.2">
      <c r="B3608" t="s">
        <v>1433</v>
      </c>
      <c r="C3608" t="s">
        <v>12898</v>
      </c>
      <c r="D3608" t="s">
        <v>617</v>
      </c>
      <c r="E3608" t="s">
        <v>10158</v>
      </c>
      <c r="F3608">
        <v>178</v>
      </c>
      <c r="H3608" t="s">
        <v>1540</v>
      </c>
      <c r="L3608" t="s">
        <v>4428</v>
      </c>
      <c r="M3608" t="s">
        <v>1832</v>
      </c>
      <c r="N3608" t="s">
        <v>4682</v>
      </c>
      <c r="O3608">
        <v>138</v>
      </c>
    </row>
    <row r="3609" spans="2:15" x14ac:dyDescent="0.2">
      <c r="B3609" t="s">
        <v>1433</v>
      </c>
      <c r="C3609" t="s">
        <v>12898</v>
      </c>
      <c r="D3609" t="s">
        <v>617</v>
      </c>
      <c r="E3609" t="s">
        <v>10159</v>
      </c>
      <c r="F3609">
        <v>1580</v>
      </c>
      <c r="H3609" t="s">
        <v>4090</v>
      </c>
      <c r="L3609" t="s">
        <v>4428</v>
      </c>
      <c r="M3609" t="s">
        <v>1833</v>
      </c>
      <c r="N3609" t="s">
        <v>4682</v>
      </c>
      <c r="O3609">
        <v>96</v>
      </c>
    </row>
    <row r="3610" spans="2:15" x14ac:dyDescent="0.2">
      <c r="B3610" t="s">
        <v>1433</v>
      </c>
      <c r="C3610" t="s">
        <v>12898</v>
      </c>
      <c r="D3610" t="s">
        <v>617</v>
      </c>
      <c r="E3610" t="s">
        <v>10160</v>
      </c>
      <c r="F3610">
        <v>1580</v>
      </c>
      <c r="H3610" t="s">
        <v>4092</v>
      </c>
      <c r="L3610" t="s">
        <v>4428</v>
      </c>
      <c r="M3610" t="s">
        <v>1835</v>
      </c>
      <c r="N3610" t="s">
        <v>4682</v>
      </c>
      <c r="O3610">
        <v>30</v>
      </c>
    </row>
    <row r="3611" spans="2:15" x14ac:dyDescent="0.2">
      <c r="B3611" t="s">
        <v>1433</v>
      </c>
      <c r="C3611" t="s">
        <v>12898</v>
      </c>
      <c r="D3611" t="s">
        <v>617</v>
      </c>
      <c r="E3611" t="s">
        <v>10161</v>
      </c>
      <c r="F3611">
        <v>1811.64</v>
      </c>
      <c r="H3611" t="s">
        <v>4055</v>
      </c>
      <c r="L3611" t="s">
        <v>4428</v>
      </c>
      <c r="M3611" t="s">
        <v>1836</v>
      </c>
      <c r="N3611" t="s">
        <v>4682</v>
      </c>
      <c r="O3611">
        <v>20</v>
      </c>
    </row>
    <row r="3612" spans="2:15" x14ac:dyDescent="0.2">
      <c r="B3612" t="s">
        <v>1433</v>
      </c>
      <c r="C3612" t="s">
        <v>12898</v>
      </c>
      <c r="D3612" t="s">
        <v>617</v>
      </c>
      <c r="E3612" t="s">
        <v>10162</v>
      </c>
      <c r="F3612">
        <v>37.4</v>
      </c>
      <c r="H3612" t="s">
        <v>1724</v>
      </c>
      <c r="L3612" t="s">
        <v>4428</v>
      </c>
      <c r="M3612" t="s">
        <v>1837</v>
      </c>
      <c r="N3612" t="s">
        <v>4682</v>
      </c>
      <c r="O3612">
        <v>156</v>
      </c>
    </row>
    <row r="3613" spans="2:15" x14ac:dyDescent="0.2">
      <c r="B3613" t="s">
        <v>1433</v>
      </c>
      <c r="C3613" t="s">
        <v>12898</v>
      </c>
      <c r="D3613" t="s">
        <v>617</v>
      </c>
      <c r="E3613" t="s">
        <v>10163</v>
      </c>
      <c r="F3613">
        <v>89.4</v>
      </c>
      <c r="H3613" t="s">
        <v>2726</v>
      </c>
      <c r="L3613" t="s">
        <v>4428</v>
      </c>
      <c r="M3613" t="s">
        <v>1624</v>
      </c>
      <c r="N3613" t="s">
        <v>4682</v>
      </c>
      <c r="O3613">
        <v>288</v>
      </c>
    </row>
    <row r="3614" spans="2:15" x14ac:dyDescent="0.2">
      <c r="B3614" t="s">
        <v>1433</v>
      </c>
      <c r="C3614" t="s">
        <v>12898</v>
      </c>
      <c r="D3614" t="s">
        <v>617</v>
      </c>
      <c r="E3614" t="s">
        <v>10164</v>
      </c>
      <c r="F3614">
        <v>290.52</v>
      </c>
      <c r="G3614" t="s">
        <v>4059</v>
      </c>
      <c r="L3614" t="s">
        <v>4428</v>
      </c>
      <c r="M3614" t="s">
        <v>1626</v>
      </c>
      <c r="N3614" t="s">
        <v>4682</v>
      </c>
      <c r="O3614">
        <v>144</v>
      </c>
    </row>
    <row r="3615" spans="2:15" x14ac:dyDescent="0.2">
      <c r="B3615" t="s">
        <v>1433</v>
      </c>
      <c r="C3615" t="s">
        <v>12898</v>
      </c>
      <c r="D3615" t="s">
        <v>617</v>
      </c>
      <c r="E3615" t="s">
        <v>10165</v>
      </c>
      <c r="F3615">
        <v>128.86000000000001</v>
      </c>
      <c r="H3615" t="s">
        <v>1453</v>
      </c>
      <c r="L3615" t="s">
        <v>4428</v>
      </c>
      <c r="M3615" t="s">
        <v>1627</v>
      </c>
      <c r="N3615" t="s">
        <v>4682</v>
      </c>
      <c r="O3615">
        <v>84</v>
      </c>
    </row>
    <row r="3616" spans="2:15" x14ac:dyDescent="0.2">
      <c r="B3616" t="s">
        <v>1433</v>
      </c>
      <c r="C3616" t="s">
        <v>12898</v>
      </c>
      <c r="D3616" t="s">
        <v>617</v>
      </c>
      <c r="E3616" t="s">
        <v>10166</v>
      </c>
      <c r="F3616">
        <v>143.26</v>
      </c>
      <c r="H3616" t="s">
        <v>2904</v>
      </c>
      <c r="L3616" t="s">
        <v>4428</v>
      </c>
      <c r="M3616" t="s">
        <v>1628</v>
      </c>
      <c r="N3616" t="s">
        <v>4682</v>
      </c>
      <c r="O3616">
        <v>160</v>
      </c>
    </row>
    <row r="3617" spans="2:15" x14ac:dyDescent="0.2">
      <c r="B3617" t="s">
        <v>1433</v>
      </c>
      <c r="C3617" t="s">
        <v>12898</v>
      </c>
      <c r="D3617" t="s">
        <v>617</v>
      </c>
      <c r="E3617" t="s">
        <v>10167</v>
      </c>
      <c r="F3617">
        <v>183.43</v>
      </c>
      <c r="H3617" t="s">
        <v>1451</v>
      </c>
      <c r="L3617" t="s">
        <v>4428</v>
      </c>
      <c r="M3617" t="s">
        <v>1630</v>
      </c>
      <c r="N3617" t="s">
        <v>4682</v>
      </c>
      <c r="O3617">
        <v>200</v>
      </c>
    </row>
    <row r="3618" spans="2:15" x14ac:dyDescent="0.2">
      <c r="B3618" t="s">
        <v>1433</v>
      </c>
      <c r="C3618" t="s">
        <v>12898</v>
      </c>
      <c r="D3618" t="s">
        <v>617</v>
      </c>
      <c r="E3618" t="s">
        <v>10168</v>
      </c>
      <c r="F3618">
        <v>207.06</v>
      </c>
      <c r="H3618" t="s">
        <v>1452</v>
      </c>
      <c r="L3618" t="s">
        <v>4428</v>
      </c>
      <c r="M3618" t="s">
        <v>1503</v>
      </c>
      <c r="N3618" t="s">
        <v>4686</v>
      </c>
      <c r="O3618">
        <v>1</v>
      </c>
    </row>
    <row r="3619" spans="2:15" x14ac:dyDescent="0.2">
      <c r="B3619" t="s">
        <v>1433</v>
      </c>
      <c r="C3619" t="s">
        <v>12898</v>
      </c>
      <c r="D3619" t="s">
        <v>617</v>
      </c>
      <c r="E3619" t="s">
        <v>10169</v>
      </c>
      <c r="F3619">
        <v>350.88</v>
      </c>
      <c r="H3619" t="s">
        <v>1980</v>
      </c>
      <c r="L3619" t="s">
        <v>4428</v>
      </c>
      <c r="M3619" t="s">
        <v>1360</v>
      </c>
      <c r="N3619" t="s">
        <v>4686</v>
      </c>
      <c r="O3619">
        <v>38</v>
      </c>
    </row>
    <row r="3620" spans="2:15" x14ac:dyDescent="0.2">
      <c r="B3620" t="s">
        <v>1433</v>
      </c>
      <c r="C3620" t="s">
        <v>12898</v>
      </c>
      <c r="D3620" t="s">
        <v>617</v>
      </c>
      <c r="E3620" t="s">
        <v>10170</v>
      </c>
      <c r="F3620">
        <v>82.56</v>
      </c>
      <c r="H3620" t="s">
        <v>1981</v>
      </c>
      <c r="L3620" t="s">
        <v>4428</v>
      </c>
      <c r="M3620" t="s">
        <v>1386</v>
      </c>
      <c r="N3620" t="s">
        <v>4686</v>
      </c>
      <c r="O3620">
        <v>2</v>
      </c>
    </row>
    <row r="3621" spans="2:15" x14ac:dyDescent="0.2">
      <c r="B3621" t="s">
        <v>1433</v>
      </c>
      <c r="C3621" t="s">
        <v>12898</v>
      </c>
      <c r="D3621" t="s">
        <v>617</v>
      </c>
      <c r="E3621" t="s">
        <v>10171</v>
      </c>
      <c r="F3621">
        <v>82.56</v>
      </c>
      <c r="H3621" t="s">
        <v>1454</v>
      </c>
      <c r="L3621" t="s">
        <v>4428</v>
      </c>
      <c r="M3621" t="s">
        <v>4590</v>
      </c>
      <c r="N3621" t="s">
        <v>4686</v>
      </c>
      <c r="O3621">
        <v>1</v>
      </c>
    </row>
    <row r="3622" spans="2:15" x14ac:dyDescent="0.2">
      <c r="B3622" t="s">
        <v>1433</v>
      </c>
      <c r="C3622" t="s">
        <v>12898</v>
      </c>
      <c r="D3622" t="s">
        <v>617</v>
      </c>
      <c r="E3622" t="s">
        <v>10172</v>
      </c>
      <c r="F3622">
        <v>86</v>
      </c>
      <c r="H3622" t="s">
        <v>1776</v>
      </c>
      <c r="L3622" t="s">
        <v>4428</v>
      </c>
      <c r="M3622" t="s">
        <v>1728</v>
      </c>
      <c r="N3622" t="s">
        <v>4686</v>
      </c>
      <c r="O3622">
        <v>4</v>
      </c>
    </row>
    <row r="3623" spans="2:15" x14ac:dyDescent="0.2">
      <c r="B3623" t="s">
        <v>1433</v>
      </c>
      <c r="C3623" t="s">
        <v>12898</v>
      </c>
      <c r="D3623" t="s">
        <v>617</v>
      </c>
      <c r="E3623" t="s">
        <v>10173</v>
      </c>
      <c r="F3623">
        <v>122.43</v>
      </c>
      <c r="H3623" t="s">
        <v>4044</v>
      </c>
      <c r="L3623" t="s">
        <v>4428</v>
      </c>
      <c r="M3623" t="s">
        <v>4533</v>
      </c>
      <c r="N3623" t="s">
        <v>4687</v>
      </c>
      <c r="O3623">
        <v>1</v>
      </c>
    </row>
    <row r="3624" spans="2:15" x14ac:dyDescent="0.2">
      <c r="B3624" t="s">
        <v>1433</v>
      </c>
      <c r="C3624" t="s">
        <v>12898</v>
      </c>
      <c r="D3624" t="s">
        <v>617</v>
      </c>
      <c r="E3624" t="s">
        <v>10174</v>
      </c>
      <c r="F3624">
        <v>338.2</v>
      </c>
      <c r="H3624" t="s">
        <v>1388</v>
      </c>
      <c r="L3624" t="s">
        <v>4428</v>
      </c>
      <c r="M3624" t="s">
        <v>1384</v>
      </c>
      <c r="N3624" t="s">
        <v>4687</v>
      </c>
      <c r="O3624">
        <v>2</v>
      </c>
    </row>
    <row r="3625" spans="2:15" x14ac:dyDescent="0.2">
      <c r="B3625" t="s">
        <v>1433</v>
      </c>
      <c r="C3625" t="s">
        <v>12898</v>
      </c>
      <c r="D3625" t="s">
        <v>617</v>
      </c>
      <c r="E3625" t="s">
        <v>10175</v>
      </c>
      <c r="F3625">
        <v>1668.36</v>
      </c>
      <c r="H3625" t="s">
        <v>2315</v>
      </c>
      <c r="L3625" t="s">
        <v>4428</v>
      </c>
      <c r="M3625" t="s">
        <v>1434</v>
      </c>
      <c r="N3625" t="s">
        <v>4688</v>
      </c>
      <c r="O3625">
        <v>221</v>
      </c>
    </row>
    <row r="3626" spans="2:15" x14ac:dyDescent="0.2">
      <c r="B3626" t="s">
        <v>1433</v>
      </c>
      <c r="C3626" t="s">
        <v>12898</v>
      </c>
      <c r="D3626" t="s">
        <v>617</v>
      </c>
      <c r="E3626" t="s">
        <v>10176</v>
      </c>
      <c r="F3626">
        <v>305</v>
      </c>
      <c r="H3626" t="s">
        <v>1391</v>
      </c>
      <c r="L3626" t="s">
        <v>4428</v>
      </c>
      <c r="M3626" t="s">
        <v>4332</v>
      </c>
      <c r="N3626" t="s">
        <v>4689</v>
      </c>
      <c r="O3626">
        <v>2</v>
      </c>
    </row>
    <row r="3627" spans="2:15" x14ac:dyDescent="0.2">
      <c r="B3627" t="s">
        <v>1433</v>
      </c>
      <c r="C3627" t="s">
        <v>12898</v>
      </c>
      <c r="D3627" t="s">
        <v>617</v>
      </c>
      <c r="E3627" t="s">
        <v>10177</v>
      </c>
      <c r="F3627">
        <v>261.12</v>
      </c>
      <c r="H3627" t="s">
        <v>1983</v>
      </c>
      <c r="L3627" t="s">
        <v>4428</v>
      </c>
      <c r="M3627" t="s">
        <v>2348</v>
      </c>
      <c r="N3627" t="s">
        <v>4690</v>
      </c>
      <c r="O3627">
        <v>6</v>
      </c>
    </row>
    <row r="3628" spans="2:15" x14ac:dyDescent="0.2">
      <c r="B3628" t="s">
        <v>1433</v>
      </c>
      <c r="C3628" t="s">
        <v>12898</v>
      </c>
      <c r="D3628" t="s">
        <v>617</v>
      </c>
      <c r="E3628" t="s">
        <v>10178</v>
      </c>
      <c r="F3628">
        <v>131.21</v>
      </c>
      <c r="H3628" t="s">
        <v>1983</v>
      </c>
      <c r="L3628" t="s">
        <v>4428</v>
      </c>
      <c r="M3628" t="s">
        <v>2349</v>
      </c>
      <c r="N3628" t="s">
        <v>4690</v>
      </c>
      <c r="O3628">
        <v>6</v>
      </c>
    </row>
    <row r="3629" spans="2:15" x14ac:dyDescent="0.2">
      <c r="B3629" t="s">
        <v>1433</v>
      </c>
      <c r="C3629" t="s">
        <v>12898</v>
      </c>
      <c r="D3629" t="s">
        <v>617</v>
      </c>
      <c r="E3629" t="s">
        <v>10179</v>
      </c>
      <c r="F3629">
        <v>459</v>
      </c>
      <c r="H3629" t="s">
        <v>4086</v>
      </c>
      <c r="L3629" t="s">
        <v>4428</v>
      </c>
      <c r="M3629" t="s">
        <v>4691</v>
      </c>
      <c r="N3629" t="s">
        <v>4692</v>
      </c>
      <c r="O3629">
        <v>3</v>
      </c>
    </row>
    <row r="3630" spans="2:15" x14ac:dyDescent="0.2">
      <c r="B3630" t="s">
        <v>1433</v>
      </c>
      <c r="C3630" t="s">
        <v>12898</v>
      </c>
      <c r="D3630" t="s">
        <v>617</v>
      </c>
      <c r="E3630" t="s">
        <v>10180</v>
      </c>
      <c r="F3630">
        <v>42.5</v>
      </c>
      <c r="H3630" t="s">
        <v>1615</v>
      </c>
      <c r="L3630" t="s">
        <v>4428</v>
      </c>
      <c r="M3630" t="s">
        <v>4473</v>
      </c>
      <c r="N3630" t="s">
        <v>4640</v>
      </c>
      <c r="O3630">
        <v>6</v>
      </c>
    </row>
    <row r="3631" spans="2:15" x14ac:dyDescent="0.2">
      <c r="B3631" t="s">
        <v>1433</v>
      </c>
      <c r="C3631" t="s">
        <v>12898</v>
      </c>
      <c r="D3631" t="s">
        <v>617</v>
      </c>
      <c r="E3631" t="s">
        <v>10181</v>
      </c>
      <c r="F3631">
        <v>277.39999999999998</v>
      </c>
      <c r="H3631" t="s">
        <v>1860</v>
      </c>
      <c r="L3631" t="s">
        <v>4428</v>
      </c>
      <c r="M3631" t="s">
        <v>4471</v>
      </c>
      <c r="N3631" t="s">
        <v>4640</v>
      </c>
      <c r="O3631">
        <v>6</v>
      </c>
    </row>
    <row r="3632" spans="2:15" x14ac:dyDescent="0.2">
      <c r="B3632" t="s">
        <v>1433</v>
      </c>
      <c r="C3632" t="s">
        <v>12898</v>
      </c>
      <c r="D3632" t="s">
        <v>617</v>
      </c>
      <c r="E3632" t="s">
        <v>10182</v>
      </c>
      <c r="F3632">
        <v>285.12</v>
      </c>
      <c r="H3632" t="s">
        <v>1624</v>
      </c>
      <c r="L3632" t="s">
        <v>4428</v>
      </c>
      <c r="M3632" t="s">
        <v>1613</v>
      </c>
      <c r="N3632" t="s">
        <v>4693</v>
      </c>
      <c r="O3632">
        <v>50</v>
      </c>
    </row>
    <row r="3633" spans="2:15" x14ac:dyDescent="0.2">
      <c r="B3633" t="s">
        <v>1433</v>
      </c>
      <c r="C3633" t="s">
        <v>12898</v>
      </c>
      <c r="D3633" t="s">
        <v>617</v>
      </c>
      <c r="E3633" t="s">
        <v>10183</v>
      </c>
      <c r="F3633">
        <v>108.36</v>
      </c>
      <c r="H3633" t="s">
        <v>3362</v>
      </c>
      <c r="L3633" t="s">
        <v>4428</v>
      </c>
      <c r="M3633" t="s">
        <v>1615</v>
      </c>
      <c r="N3633" t="s">
        <v>4693</v>
      </c>
      <c r="O3633">
        <v>50</v>
      </c>
    </row>
    <row r="3634" spans="2:15" x14ac:dyDescent="0.2">
      <c r="B3634" t="s">
        <v>1433</v>
      </c>
      <c r="C3634" t="s">
        <v>12898</v>
      </c>
      <c r="D3634" t="s">
        <v>617</v>
      </c>
      <c r="E3634" t="s">
        <v>10184</v>
      </c>
      <c r="F3634">
        <v>20</v>
      </c>
      <c r="H3634" t="s">
        <v>1628</v>
      </c>
      <c r="L3634" t="s">
        <v>4428</v>
      </c>
      <c r="M3634" t="s">
        <v>1878</v>
      </c>
      <c r="N3634" t="s">
        <v>4694</v>
      </c>
      <c r="O3634">
        <v>1</v>
      </c>
    </row>
    <row r="3635" spans="2:15" x14ac:dyDescent="0.2">
      <c r="B3635" t="s">
        <v>1433</v>
      </c>
      <c r="C3635" t="s">
        <v>12898</v>
      </c>
      <c r="D3635" t="s">
        <v>617</v>
      </c>
      <c r="E3635" t="s">
        <v>10185</v>
      </c>
      <c r="F3635">
        <v>6.6</v>
      </c>
      <c r="H3635" t="s">
        <v>3364</v>
      </c>
      <c r="L3635" t="s">
        <v>4428</v>
      </c>
      <c r="M3635" t="s">
        <v>4178</v>
      </c>
      <c r="N3635" t="s">
        <v>4618</v>
      </c>
      <c r="O3635">
        <v>56</v>
      </c>
    </row>
    <row r="3636" spans="2:15" x14ac:dyDescent="0.2">
      <c r="B3636" t="s">
        <v>1433</v>
      </c>
      <c r="C3636" t="s">
        <v>12898</v>
      </c>
      <c r="D3636" t="s">
        <v>617</v>
      </c>
      <c r="E3636" t="s">
        <v>10186</v>
      </c>
      <c r="F3636">
        <v>52.8</v>
      </c>
      <c r="H3636" t="s">
        <v>4077</v>
      </c>
      <c r="L3636" t="s">
        <v>4428</v>
      </c>
      <c r="M3636" t="s">
        <v>4182</v>
      </c>
      <c r="N3636" t="s">
        <v>4618</v>
      </c>
      <c r="O3636">
        <v>48</v>
      </c>
    </row>
    <row r="3637" spans="2:15" x14ac:dyDescent="0.2">
      <c r="B3637" t="s">
        <v>1433</v>
      </c>
      <c r="C3637" t="s">
        <v>12898</v>
      </c>
      <c r="D3637" t="s">
        <v>617</v>
      </c>
      <c r="E3637" t="s">
        <v>10187</v>
      </c>
      <c r="F3637">
        <v>182.27</v>
      </c>
      <c r="H3637" t="s">
        <v>4079</v>
      </c>
      <c r="L3637" t="s">
        <v>4428</v>
      </c>
      <c r="M3637" t="s">
        <v>4695</v>
      </c>
      <c r="N3637" t="s">
        <v>4618</v>
      </c>
      <c r="O3637">
        <v>6</v>
      </c>
    </row>
    <row r="3638" spans="2:15" x14ac:dyDescent="0.2">
      <c r="B3638" t="s">
        <v>1433</v>
      </c>
      <c r="C3638" t="s">
        <v>12898</v>
      </c>
      <c r="D3638" t="s">
        <v>613</v>
      </c>
      <c r="E3638" t="s">
        <v>10188</v>
      </c>
      <c r="F3638">
        <v>17.71</v>
      </c>
      <c r="G3638" t="s">
        <v>4109</v>
      </c>
      <c r="L3638" t="s">
        <v>4428</v>
      </c>
      <c r="M3638" t="s">
        <v>4696</v>
      </c>
      <c r="N3638" t="s">
        <v>4618</v>
      </c>
      <c r="O3638">
        <v>6</v>
      </c>
    </row>
    <row r="3639" spans="2:15" x14ac:dyDescent="0.2">
      <c r="B3639" t="s">
        <v>1433</v>
      </c>
      <c r="C3639" t="s">
        <v>12898</v>
      </c>
      <c r="D3639" t="s">
        <v>613</v>
      </c>
      <c r="E3639" t="s">
        <v>10189</v>
      </c>
      <c r="F3639">
        <v>42.5</v>
      </c>
      <c r="G3639" t="s">
        <v>4111</v>
      </c>
      <c r="L3639" t="s">
        <v>4428</v>
      </c>
      <c r="M3639" t="s">
        <v>4415</v>
      </c>
      <c r="N3639" t="s">
        <v>4618</v>
      </c>
      <c r="O3639">
        <v>78</v>
      </c>
    </row>
    <row r="3640" spans="2:15" x14ac:dyDescent="0.2">
      <c r="B3640" t="s">
        <v>1433</v>
      </c>
      <c r="C3640" t="s">
        <v>12898</v>
      </c>
      <c r="D3640" t="s">
        <v>613</v>
      </c>
      <c r="E3640" t="s">
        <v>10190</v>
      </c>
      <c r="F3640">
        <v>600.87</v>
      </c>
      <c r="G3640" t="s">
        <v>4104</v>
      </c>
      <c r="L3640" t="s">
        <v>4428</v>
      </c>
      <c r="M3640" t="s">
        <v>2076</v>
      </c>
      <c r="N3640" t="s">
        <v>4618</v>
      </c>
      <c r="O3640">
        <v>24</v>
      </c>
    </row>
    <row r="3641" spans="2:15" x14ac:dyDescent="0.2">
      <c r="B3641" t="s">
        <v>1433</v>
      </c>
      <c r="C3641" t="s">
        <v>12898</v>
      </c>
      <c r="D3641" t="s">
        <v>617</v>
      </c>
      <c r="E3641" t="s">
        <v>10191</v>
      </c>
      <c r="F3641">
        <v>102.67</v>
      </c>
      <c r="G3641" t="s">
        <v>4129</v>
      </c>
      <c r="L3641" t="s">
        <v>4428</v>
      </c>
      <c r="M3641" t="s">
        <v>4697</v>
      </c>
      <c r="N3641" t="s">
        <v>4618</v>
      </c>
      <c r="O3641">
        <v>2</v>
      </c>
    </row>
    <row r="3642" spans="2:15" x14ac:dyDescent="0.2">
      <c r="B3642" t="s">
        <v>1433</v>
      </c>
      <c r="C3642" t="s">
        <v>12898</v>
      </c>
      <c r="D3642" t="s">
        <v>617</v>
      </c>
      <c r="E3642" t="s">
        <v>10192</v>
      </c>
      <c r="F3642">
        <v>13.52</v>
      </c>
      <c r="G3642" t="s">
        <v>4131</v>
      </c>
      <c r="L3642" t="s">
        <v>4428</v>
      </c>
      <c r="M3642" t="s">
        <v>4648</v>
      </c>
      <c r="N3642" t="s">
        <v>4618</v>
      </c>
      <c r="O3642">
        <v>83</v>
      </c>
    </row>
    <row r="3643" spans="2:15" x14ac:dyDescent="0.2">
      <c r="B3643" t="s">
        <v>1433</v>
      </c>
      <c r="C3643" t="s">
        <v>12898</v>
      </c>
      <c r="D3643" t="s">
        <v>466</v>
      </c>
      <c r="E3643" t="s">
        <v>10193</v>
      </c>
      <c r="F3643">
        <v>32043.89</v>
      </c>
      <c r="G3643" t="s">
        <v>10194</v>
      </c>
      <c r="L3643" t="s">
        <v>4428</v>
      </c>
      <c r="M3643" t="s">
        <v>1597</v>
      </c>
      <c r="N3643" t="s">
        <v>4618</v>
      </c>
      <c r="O3643">
        <v>4</v>
      </c>
    </row>
    <row r="3644" spans="2:15" x14ac:dyDescent="0.2">
      <c r="B3644" t="s">
        <v>1433</v>
      </c>
      <c r="C3644" t="s">
        <v>12898</v>
      </c>
      <c r="D3644" t="s">
        <v>423</v>
      </c>
      <c r="E3644" t="s">
        <v>10195</v>
      </c>
      <c r="F3644">
        <v>19820.169999999998</v>
      </c>
      <c r="G3644" t="s">
        <v>10196</v>
      </c>
      <c r="L3644" t="s">
        <v>4428</v>
      </c>
      <c r="M3644" t="s">
        <v>1598</v>
      </c>
      <c r="N3644" t="s">
        <v>4618</v>
      </c>
      <c r="O3644">
        <v>4</v>
      </c>
    </row>
    <row r="3645" spans="2:15" x14ac:dyDescent="0.2">
      <c r="B3645" t="s">
        <v>1433</v>
      </c>
      <c r="C3645" t="s">
        <v>12899</v>
      </c>
      <c r="D3645" t="s">
        <v>617</v>
      </c>
      <c r="E3645" t="s">
        <v>10197</v>
      </c>
      <c r="F3645">
        <v>168</v>
      </c>
      <c r="H3645" t="s">
        <v>2138</v>
      </c>
      <c r="L3645" t="s">
        <v>4428</v>
      </c>
      <c r="M3645" t="s">
        <v>1599</v>
      </c>
      <c r="N3645" t="s">
        <v>4618</v>
      </c>
      <c r="O3645">
        <v>8</v>
      </c>
    </row>
    <row r="3646" spans="2:15" x14ac:dyDescent="0.2">
      <c r="B3646" t="s">
        <v>1433</v>
      </c>
      <c r="C3646" t="s">
        <v>12899</v>
      </c>
      <c r="D3646" t="s">
        <v>617</v>
      </c>
      <c r="E3646" t="s">
        <v>10198</v>
      </c>
      <c r="F3646">
        <v>175</v>
      </c>
      <c r="H3646" t="s">
        <v>2140</v>
      </c>
      <c r="L3646" t="s">
        <v>4428</v>
      </c>
      <c r="M3646" t="s">
        <v>1600</v>
      </c>
      <c r="N3646" t="s">
        <v>4618</v>
      </c>
      <c r="O3646">
        <v>6</v>
      </c>
    </row>
    <row r="3647" spans="2:15" x14ac:dyDescent="0.2">
      <c r="B3647" t="s">
        <v>1433</v>
      </c>
      <c r="C3647" t="s">
        <v>12899</v>
      </c>
      <c r="D3647" t="s">
        <v>617</v>
      </c>
      <c r="E3647" t="s">
        <v>10199</v>
      </c>
      <c r="F3647">
        <v>66</v>
      </c>
      <c r="H3647" t="s">
        <v>2141</v>
      </c>
      <c r="L3647" t="s">
        <v>4428</v>
      </c>
      <c r="M3647" t="s">
        <v>2343</v>
      </c>
      <c r="N3647" t="s">
        <v>4618</v>
      </c>
      <c r="O3647">
        <v>6</v>
      </c>
    </row>
    <row r="3648" spans="2:15" x14ac:dyDescent="0.2">
      <c r="B3648" t="s">
        <v>1433</v>
      </c>
      <c r="C3648" t="s">
        <v>12899</v>
      </c>
      <c r="D3648" t="s">
        <v>617</v>
      </c>
      <c r="E3648" t="s">
        <v>10200</v>
      </c>
      <c r="F3648">
        <v>39</v>
      </c>
      <c r="H3648" t="s">
        <v>2142</v>
      </c>
      <c r="L3648" t="s">
        <v>4428</v>
      </c>
      <c r="M3648" t="s">
        <v>2345</v>
      </c>
      <c r="N3648" t="s">
        <v>4618</v>
      </c>
      <c r="O3648">
        <v>8</v>
      </c>
    </row>
    <row r="3649" spans="2:15" x14ac:dyDescent="0.2">
      <c r="B3649" t="s">
        <v>1433</v>
      </c>
      <c r="C3649" t="s">
        <v>12899</v>
      </c>
      <c r="D3649" t="s">
        <v>617</v>
      </c>
      <c r="E3649" t="s">
        <v>10201</v>
      </c>
      <c r="F3649">
        <v>26</v>
      </c>
      <c r="H3649" t="s">
        <v>2142</v>
      </c>
      <c r="L3649" t="s">
        <v>4428</v>
      </c>
      <c r="M3649" t="s">
        <v>2346</v>
      </c>
      <c r="N3649" t="s">
        <v>4618</v>
      </c>
      <c r="O3649">
        <v>12</v>
      </c>
    </row>
    <row r="3650" spans="2:15" x14ac:dyDescent="0.2">
      <c r="B3650" t="s">
        <v>1433</v>
      </c>
      <c r="C3650" t="s">
        <v>12899</v>
      </c>
      <c r="D3650" t="s">
        <v>617</v>
      </c>
      <c r="E3650" t="s">
        <v>10202</v>
      </c>
      <c r="F3650">
        <v>36.24</v>
      </c>
      <c r="H3650" t="s">
        <v>2143</v>
      </c>
      <c r="L3650" t="s">
        <v>4428</v>
      </c>
      <c r="M3650" t="s">
        <v>1636</v>
      </c>
      <c r="N3650" t="s">
        <v>4698</v>
      </c>
      <c r="O3650">
        <v>500</v>
      </c>
    </row>
    <row r="3651" spans="2:15" x14ac:dyDescent="0.2">
      <c r="B3651" t="s">
        <v>1433</v>
      </c>
      <c r="C3651" t="s">
        <v>12899</v>
      </c>
      <c r="D3651" t="s">
        <v>617</v>
      </c>
      <c r="E3651" t="s">
        <v>10203</v>
      </c>
      <c r="F3651">
        <v>144.96</v>
      </c>
      <c r="H3651" t="s">
        <v>2143</v>
      </c>
      <c r="L3651" t="s">
        <v>4428</v>
      </c>
      <c r="M3651" t="s">
        <v>4699</v>
      </c>
      <c r="N3651" t="s">
        <v>4698</v>
      </c>
      <c r="O3651">
        <v>60</v>
      </c>
    </row>
    <row r="3652" spans="2:15" x14ac:dyDescent="0.2">
      <c r="B3652" t="s">
        <v>1433</v>
      </c>
      <c r="C3652" t="s">
        <v>12899</v>
      </c>
      <c r="D3652" t="s">
        <v>617</v>
      </c>
      <c r="E3652" t="s">
        <v>10204</v>
      </c>
      <c r="F3652">
        <v>1722.06</v>
      </c>
      <c r="H3652" t="s">
        <v>2144</v>
      </c>
      <c r="L3652" t="s">
        <v>4428</v>
      </c>
      <c r="M3652" t="s">
        <v>1391</v>
      </c>
      <c r="N3652" t="s">
        <v>4698</v>
      </c>
      <c r="O3652">
        <v>200</v>
      </c>
    </row>
    <row r="3653" spans="2:15" x14ac:dyDescent="0.2">
      <c r="B3653" t="s">
        <v>1433</v>
      </c>
      <c r="C3653" t="s">
        <v>12899</v>
      </c>
      <c r="D3653" t="s">
        <v>617</v>
      </c>
      <c r="E3653" t="s">
        <v>10205</v>
      </c>
      <c r="F3653">
        <v>72.06</v>
      </c>
      <c r="H3653" t="s">
        <v>2145</v>
      </c>
      <c r="L3653" t="s">
        <v>4428</v>
      </c>
      <c r="M3653" t="s">
        <v>3370</v>
      </c>
      <c r="N3653" t="s">
        <v>4698</v>
      </c>
      <c r="O3653">
        <v>120</v>
      </c>
    </row>
    <row r="3654" spans="2:15" x14ac:dyDescent="0.2">
      <c r="B3654" t="s">
        <v>1433</v>
      </c>
      <c r="C3654" t="s">
        <v>12899</v>
      </c>
      <c r="D3654" t="s">
        <v>617</v>
      </c>
      <c r="E3654" t="s">
        <v>10206</v>
      </c>
      <c r="F3654">
        <v>691.2</v>
      </c>
      <c r="H3654" t="s">
        <v>2146</v>
      </c>
      <c r="L3654" t="s">
        <v>4428</v>
      </c>
      <c r="M3654" t="s">
        <v>4086</v>
      </c>
      <c r="N3654" t="s">
        <v>4698</v>
      </c>
      <c r="O3654">
        <v>100</v>
      </c>
    </row>
    <row r="3655" spans="2:15" x14ac:dyDescent="0.2">
      <c r="B3655" t="s">
        <v>1433</v>
      </c>
      <c r="C3655" t="s">
        <v>12899</v>
      </c>
      <c r="D3655" t="s">
        <v>617</v>
      </c>
      <c r="E3655" t="s">
        <v>10207</v>
      </c>
      <c r="F3655">
        <v>119.73</v>
      </c>
      <c r="H3655" t="s">
        <v>2147</v>
      </c>
      <c r="L3655" t="s">
        <v>4428</v>
      </c>
      <c r="M3655" t="s">
        <v>2101</v>
      </c>
      <c r="N3655" t="s">
        <v>4698</v>
      </c>
      <c r="O3655">
        <v>12</v>
      </c>
    </row>
    <row r="3656" spans="2:15" x14ac:dyDescent="0.2">
      <c r="B3656" t="s">
        <v>1433</v>
      </c>
      <c r="C3656" t="s">
        <v>12899</v>
      </c>
      <c r="D3656" t="s">
        <v>1144</v>
      </c>
      <c r="E3656" t="s">
        <v>10218</v>
      </c>
      <c r="F3656">
        <v>4000</v>
      </c>
      <c r="G3656" t="s">
        <v>1281</v>
      </c>
      <c r="L3656" t="s">
        <v>4428</v>
      </c>
      <c r="M3656" t="s">
        <v>4517</v>
      </c>
      <c r="N3656" t="s">
        <v>4698</v>
      </c>
      <c r="O3656">
        <v>36</v>
      </c>
    </row>
    <row r="3657" spans="2:15" x14ac:dyDescent="0.2">
      <c r="B3657" t="s">
        <v>1433</v>
      </c>
      <c r="C3657" t="s">
        <v>12899</v>
      </c>
      <c r="D3657" t="s">
        <v>1144</v>
      </c>
      <c r="E3657" t="s">
        <v>10221</v>
      </c>
      <c r="F3657">
        <v>4000</v>
      </c>
      <c r="G3657" t="s">
        <v>1281</v>
      </c>
      <c r="L3657" t="s">
        <v>4428</v>
      </c>
      <c r="M3657" t="s">
        <v>2397</v>
      </c>
      <c r="N3657" t="s">
        <v>4698</v>
      </c>
      <c r="O3657">
        <v>18</v>
      </c>
    </row>
    <row r="3658" spans="2:15" x14ac:dyDescent="0.2">
      <c r="B3658" t="s">
        <v>1433</v>
      </c>
      <c r="C3658" t="s">
        <v>12899</v>
      </c>
      <c r="D3658" t="s">
        <v>1144</v>
      </c>
      <c r="E3658" t="s">
        <v>10253</v>
      </c>
      <c r="F3658">
        <v>2800</v>
      </c>
      <c r="G3658" t="s">
        <v>1290</v>
      </c>
      <c r="L3658" t="s">
        <v>4428</v>
      </c>
      <c r="M3658" t="s">
        <v>4700</v>
      </c>
      <c r="N3658" t="s">
        <v>4698</v>
      </c>
      <c r="O3658">
        <v>300</v>
      </c>
    </row>
    <row r="3659" spans="2:15" x14ac:dyDescent="0.2">
      <c r="B3659" t="s">
        <v>1433</v>
      </c>
      <c r="C3659" t="s">
        <v>12899</v>
      </c>
      <c r="D3659" t="s">
        <v>1169</v>
      </c>
      <c r="E3659" t="s">
        <v>10282</v>
      </c>
      <c r="F3659">
        <v>18170</v>
      </c>
      <c r="G3659" t="s">
        <v>1323</v>
      </c>
      <c r="L3659" t="s">
        <v>4428</v>
      </c>
      <c r="M3659" t="s">
        <v>1633</v>
      </c>
      <c r="N3659" t="s">
        <v>4698</v>
      </c>
      <c r="O3659">
        <v>1000</v>
      </c>
    </row>
    <row r="3660" spans="2:15" x14ac:dyDescent="0.2">
      <c r="B3660" t="s">
        <v>1433</v>
      </c>
      <c r="C3660" t="s">
        <v>12899</v>
      </c>
      <c r="D3660" t="s">
        <v>613</v>
      </c>
      <c r="E3660" t="s">
        <v>10289</v>
      </c>
      <c r="F3660">
        <v>30.03</v>
      </c>
      <c r="G3660" t="s">
        <v>2423</v>
      </c>
      <c r="L3660" t="s">
        <v>4428</v>
      </c>
      <c r="M3660" t="s">
        <v>4701</v>
      </c>
      <c r="N3660" t="s">
        <v>4702</v>
      </c>
      <c r="O3660">
        <v>16</v>
      </c>
    </row>
    <row r="3661" spans="2:15" x14ac:dyDescent="0.2">
      <c r="B3661" t="s">
        <v>1433</v>
      </c>
      <c r="C3661" t="s">
        <v>12899</v>
      </c>
      <c r="D3661" t="s">
        <v>617</v>
      </c>
      <c r="E3661" t="s">
        <v>10299</v>
      </c>
      <c r="F3661">
        <v>694.4</v>
      </c>
      <c r="H3661" t="s">
        <v>1835</v>
      </c>
      <c r="L3661" t="s">
        <v>4428</v>
      </c>
      <c r="M3661" t="s">
        <v>4703</v>
      </c>
      <c r="N3661" t="s">
        <v>4702</v>
      </c>
      <c r="O3661">
        <v>7</v>
      </c>
    </row>
    <row r="3662" spans="2:15" x14ac:dyDescent="0.2">
      <c r="B3662" t="s">
        <v>1433</v>
      </c>
      <c r="C3662" t="s">
        <v>12899</v>
      </c>
      <c r="D3662" t="s">
        <v>617</v>
      </c>
      <c r="E3662" t="s">
        <v>10300</v>
      </c>
      <c r="F3662">
        <v>162.44999999999999</v>
      </c>
      <c r="H3662" t="s">
        <v>1836</v>
      </c>
      <c r="L3662" t="s">
        <v>4428</v>
      </c>
      <c r="M3662" t="s">
        <v>4704</v>
      </c>
      <c r="N3662" t="s">
        <v>4705</v>
      </c>
      <c r="O3662">
        <v>100</v>
      </c>
    </row>
    <row r="3663" spans="2:15" x14ac:dyDescent="0.2">
      <c r="B3663" t="s">
        <v>1433</v>
      </c>
      <c r="C3663" t="s">
        <v>12899</v>
      </c>
      <c r="D3663" t="s">
        <v>617</v>
      </c>
      <c r="E3663" t="s">
        <v>10301</v>
      </c>
      <c r="F3663">
        <v>85</v>
      </c>
      <c r="H3663" t="s">
        <v>2300</v>
      </c>
      <c r="L3663" t="s">
        <v>4428</v>
      </c>
      <c r="M3663" t="s">
        <v>1595</v>
      </c>
      <c r="N3663" t="s">
        <v>4706</v>
      </c>
      <c r="O3663">
        <v>2</v>
      </c>
    </row>
    <row r="3664" spans="2:15" x14ac:dyDescent="0.2">
      <c r="B3664" t="s">
        <v>1433</v>
      </c>
      <c r="C3664" t="s">
        <v>12899</v>
      </c>
      <c r="D3664" t="s">
        <v>617</v>
      </c>
      <c r="E3664" t="s">
        <v>10302</v>
      </c>
      <c r="F3664">
        <v>51</v>
      </c>
      <c r="H3664" t="s">
        <v>2300</v>
      </c>
      <c r="L3664" t="s">
        <v>4428</v>
      </c>
      <c r="M3664" t="s">
        <v>1597</v>
      </c>
      <c r="N3664" t="s">
        <v>4706</v>
      </c>
      <c r="O3664">
        <v>2</v>
      </c>
    </row>
    <row r="3665" spans="2:15" x14ac:dyDescent="0.2">
      <c r="B3665" t="s">
        <v>1433</v>
      </c>
      <c r="C3665" t="s">
        <v>12899</v>
      </c>
      <c r="D3665" t="s">
        <v>617</v>
      </c>
      <c r="E3665" t="s">
        <v>10312</v>
      </c>
      <c r="F3665">
        <v>87.75</v>
      </c>
      <c r="G3665" t="s">
        <v>2364</v>
      </c>
      <c r="L3665" t="s">
        <v>4428</v>
      </c>
      <c r="M3665" t="s">
        <v>4707</v>
      </c>
      <c r="N3665" t="s">
        <v>4671</v>
      </c>
      <c r="O3665">
        <v>2</v>
      </c>
    </row>
    <row r="3666" spans="2:15" x14ac:dyDescent="0.2">
      <c r="B3666" t="s">
        <v>1433</v>
      </c>
      <c r="C3666" t="s">
        <v>12899</v>
      </c>
      <c r="D3666" t="s">
        <v>617</v>
      </c>
      <c r="E3666" t="s">
        <v>10357</v>
      </c>
      <c r="F3666">
        <v>27.45</v>
      </c>
      <c r="H3666" t="s">
        <v>2436</v>
      </c>
      <c r="L3666" t="s">
        <v>4428</v>
      </c>
      <c r="M3666" t="s">
        <v>4708</v>
      </c>
      <c r="N3666" t="s">
        <v>4671</v>
      </c>
      <c r="O3666">
        <v>1</v>
      </c>
    </row>
    <row r="3667" spans="2:15" x14ac:dyDescent="0.2">
      <c r="B3667" t="s">
        <v>1433</v>
      </c>
      <c r="C3667" t="s">
        <v>12899</v>
      </c>
      <c r="D3667" t="s">
        <v>617</v>
      </c>
      <c r="E3667" t="s">
        <v>10358</v>
      </c>
      <c r="F3667">
        <v>117.13</v>
      </c>
      <c r="H3667" t="s">
        <v>2437</v>
      </c>
      <c r="L3667" t="s">
        <v>4428</v>
      </c>
      <c r="M3667" t="s">
        <v>4709</v>
      </c>
      <c r="N3667" t="s">
        <v>4671</v>
      </c>
      <c r="O3667">
        <v>2</v>
      </c>
    </row>
    <row r="3668" spans="2:15" x14ac:dyDescent="0.2">
      <c r="B3668" t="s">
        <v>1433</v>
      </c>
      <c r="C3668" t="s">
        <v>12899</v>
      </c>
      <c r="D3668" t="s">
        <v>617</v>
      </c>
      <c r="E3668" t="s">
        <v>10359</v>
      </c>
      <c r="F3668">
        <v>349.59</v>
      </c>
      <c r="H3668" t="s">
        <v>2438</v>
      </c>
      <c r="L3668" t="s">
        <v>4428</v>
      </c>
      <c r="M3668" t="s">
        <v>4237</v>
      </c>
      <c r="N3668" t="s">
        <v>4710</v>
      </c>
      <c r="O3668">
        <v>4</v>
      </c>
    </row>
    <row r="3669" spans="2:15" x14ac:dyDescent="0.2">
      <c r="B3669" t="s">
        <v>1433</v>
      </c>
      <c r="C3669" t="s">
        <v>12899</v>
      </c>
      <c r="D3669" t="s">
        <v>617</v>
      </c>
      <c r="E3669" t="s">
        <v>10402</v>
      </c>
      <c r="F3669">
        <v>84.98</v>
      </c>
      <c r="H3669" t="s">
        <v>2430</v>
      </c>
      <c r="L3669" t="s">
        <v>4428</v>
      </c>
      <c r="M3669" t="s">
        <v>1439</v>
      </c>
      <c r="N3669" t="s">
        <v>4711</v>
      </c>
      <c r="O3669">
        <v>8</v>
      </c>
    </row>
    <row r="3670" spans="2:15" x14ac:dyDescent="0.2">
      <c r="B3670" t="s">
        <v>1433</v>
      </c>
      <c r="C3670" t="s">
        <v>12899</v>
      </c>
      <c r="D3670" t="s">
        <v>617</v>
      </c>
      <c r="E3670" t="s">
        <v>10418</v>
      </c>
      <c r="F3670">
        <v>33.36</v>
      </c>
      <c r="H3670" t="s">
        <v>2099</v>
      </c>
      <c r="L3670" t="s">
        <v>4428</v>
      </c>
      <c r="M3670" t="s">
        <v>1545</v>
      </c>
      <c r="N3670" t="s">
        <v>4711</v>
      </c>
      <c r="O3670">
        <v>4</v>
      </c>
    </row>
    <row r="3671" spans="2:15" x14ac:dyDescent="0.2">
      <c r="B3671" t="s">
        <v>1433</v>
      </c>
      <c r="C3671" t="s">
        <v>12899</v>
      </c>
      <c r="D3671" t="s">
        <v>617</v>
      </c>
      <c r="E3671" t="s">
        <v>10419</v>
      </c>
      <c r="F3671">
        <v>50.04</v>
      </c>
      <c r="H3671" t="s">
        <v>2099</v>
      </c>
      <c r="L3671" t="s">
        <v>4428</v>
      </c>
      <c r="M3671" t="s">
        <v>1558</v>
      </c>
      <c r="N3671" t="s">
        <v>4711</v>
      </c>
      <c r="O3671">
        <v>4</v>
      </c>
    </row>
    <row r="3672" spans="2:15" x14ac:dyDescent="0.2">
      <c r="B3672" t="s">
        <v>1433</v>
      </c>
      <c r="C3672" t="s">
        <v>12899</v>
      </c>
      <c r="D3672" t="s">
        <v>617</v>
      </c>
      <c r="E3672" t="s">
        <v>10420</v>
      </c>
      <c r="F3672">
        <v>225.47</v>
      </c>
      <c r="H3672" t="s">
        <v>2397</v>
      </c>
      <c r="L3672" t="s">
        <v>4428</v>
      </c>
      <c r="M3672" t="s">
        <v>4338</v>
      </c>
      <c r="N3672" t="s">
        <v>4712</v>
      </c>
      <c r="O3672">
        <v>2</v>
      </c>
    </row>
    <row r="3673" spans="2:15" x14ac:dyDescent="0.2">
      <c r="B3673" t="s">
        <v>1433</v>
      </c>
      <c r="C3673" t="s">
        <v>12899</v>
      </c>
      <c r="D3673" t="s">
        <v>617</v>
      </c>
      <c r="E3673" t="s">
        <v>10432</v>
      </c>
      <c r="F3673">
        <v>112</v>
      </c>
      <c r="H3673" t="s">
        <v>1710</v>
      </c>
      <c r="L3673" t="s">
        <v>4428</v>
      </c>
      <c r="M3673" t="s">
        <v>4713</v>
      </c>
      <c r="N3673" t="s">
        <v>4671</v>
      </c>
      <c r="O3673">
        <v>2</v>
      </c>
    </row>
    <row r="3674" spans="2:15" x14ac:dyDescent="0.2">
      <c r="B3674" t="s">
        <v>1433</v>
      </c>
      <c r="C3674" t="s">
        <v>12899</v>
      </c>
      <c r="D3674" t="s">
        <v>617</v>
      </c>
      <c r="E3674" t="s">
        <v>10433</v>
      </c>
      <c r="F3674">
        <v>184.08</v>
      </c>
      <c r="H3674" t="s">
        <v>1824</v>
      </c>
      <c r="L3674" t="s">
        <v>4428</v>
      </c>
      <c r="M3674" t="s">
        <v>1880</v>
      </c>
      <c r="N3674" t="s">
        <v>4714</v>
      </c>
      <c r="O3674">
        <v>1</v>
      </c>
    </row>
    <row r="3675" spans="2:15" x14ac:dyDescent="0.2">
      <c r="B3675" t="s">
        <v>1433</v>
      </c>
      <c r="C3675" t="s">
        <v>12899</v>
      </c>
      <c r="D3675" t="s">
        <v>617</v>
      </c>
      <c r="E3675" t="s">
        <v>10434</v>
      </c>
      <c r="F3675">
        <v>387</v>
      </c>
      <c r="H3675" t="s">
        <v>1717</v>
      </c>
      <c r="L3675" t="s">
        <v>4428</v>
      </c>
      <c r="M3675" t="s">
        <v>1881</v>
      </c>
      <c r="N3675" t="s">
        <v>4714</v>
      </c>
      <c r="O3675">
        <v>4</v>
      </c>
    </row>
    <row r="3676" spans="2:15" x14ac:dyDescent="0.2">
      <c r="B3676" t="s">
        <v>1433</v>
      </c>
      <c r="C3676" t="s">
        <v>12899</v>
      </c>
      <c r="D3676" t="s">
        <v>617</v>
      </c>
      <c r="E3676" t="s">
        <v>10435</v>
      </c>
      <c r="F3676">
        <v>222.75</v>
      </c>
      <c r="H3676" t="s">
        <v>1718</v>
      </c>
      <c r="L3676" t="s">
        <v>4428</v>
      </c>
      <c r="M3676" t="s">
        <v>1487</v>
      </c>
      <c r="N3676" t="s">
        <v>4714</v>
      </c>
      <c r="O3676">
        <v>4</v>
      </c>
    </row>
    <row r="3677" spans="2:15" x14ac:dyDescent="0.2">
      <c r="B3677" t="s">
        <v>1433</v>
      </c>
      <c r="C3677" t="s">
        <v>12899</v>
      </c>
      <c r="D3677" t="s">
        <v>617</v>
      </c>
      <c r="E3677" t="s">
        <v>10436</v>
      </c>
      <c r="F3677">
        <v>35</v>
      </c>
      <c r="H3677" t="s">
        <v>1830</v>
      </c>
      <c r="L3677" t="s">
        <v>4428</v>
      </c>
      <c r="M3677" t="s">
        <v>1465</v>
      </c>
      <c r="N3677" t="s">
        <v>4714</v>
      </c>
      <c r="O3677">
        <v>4</v>
      </c>
    </row>
    <row r="3678" spans="2:15" x14ac:dyDescent="0.2">
      <c r="B3678" t="s">
        <v>1433</v>
      </c>
      <c r="C3678" t="s">
        <v>12899</v>
      </c>
      <c r="D3678" t="s">
        <v>617</v>
      </c>
      <c r="E3678" t="s">
        <v>10437</v>
      </c>
      <c r="F3678">
        <v>174</v>
      </c>
      <c r="H3678" t="s">
        <v>1832</v>
      </c>
      <c r="L3678" t="s">
        <v>4428</v>
      </c>
      <c r="M3678" t="s">
        <v>3016</v>
      </c>
      <c r="N3678" t="s">
        <v>4714</v>
      </c>
      <c r="O3678">
        <v>2</v>
      </c>
    </row>
    <row r="3679" spans="2:15" x14ac:dyDescent="0.2">
      <c r="B3679" t="s">
        <v>1433</v>
      </c>
      <c r="C3679" t="s">
        <v>12899</v>
      </c>
      <c r="D3679" t="s">
        <v>617</v>
      </c>
      <c r="E3679" t="s">
        <v>10438</v>
      </c>
      <c r="F3679">
        <v>124</v>
      </c>
      <c r="H3679" t="s">
        <v>1835</v>
      </c>
      <c r="L3679" t="s">
        <v>4428</v>
      </c>
      <c r="M3679" t="s">
        <v>1728</v>
      </c>
      <c r="N3679" t="s">
        <v>4714</v>
      </c>
      <c r="O3679">
        <v>4</v>
      </c>
    </row>
    <row r="3680" spans="2:15" x14ac:dyDescent="0.2">
      <c r="B3680" t="s">
        <v>1433</v>
      </c>
      <c r="C3680" t="s">
        <v>12899</v>
      </c>
      <c r="D3680" t="s">
        <v>617</v>
      </c>
      <c r="E3680" t="s">
        <v>10439</v>
      </c>
      <c r="F3680">
        <v>150.25</v>
      </c>
      <c r="H3680" t="s">
        <v>1838</v>
      </c>
      <c r="L3680" t="s">
        <v>4428</v>
      </c>
      <c r="M3680" t="s">
        <v>4715</v>
      </c>
      <c r="N3680" t="s">
        <v>4716</v>
      </c>
      <c r="O3680">
        <v>12</v>
      </c>
    </row>
    <row r="3681" spans="2:15" x14ac:dyDescent="0.2">
      <c r="B3681" t="s">
        <v>1433</v>
      </c>
      <c r="C3681" t="s">
        <v>12899</v>
      </c>
      <c r="D3681" t="s">
        <v>617</v>
      </c>
      <c r="E3681" t="s">
        <v>10440</v>
      </c>
      <c r="F3681">
        <v>309.89999999999998</v>
      </c>
      <c r="G3681" t="s">
        <v>1370</v>
      </c>
      <c r="L3681" t="s">
        <v>4428</v>
      </c>
      <c r="M3681" t="s">
        <v>4717</v>
      </c>
      <c r="N3681" t="s">
        <v>4718</v>
      </c>
      <c r="O3681">
        <v>2</v>
      </c>
    </row>
    <row r="3682" spans="2:15" x14ac:dyDescent="0.2">
      <c r="B3682" t="s">
        <v>1433</v>
      </c>
      <c r="C3682" t="s">
        <v>12899</v>
      </c>
      <c r="D3682" t="s">
        <v>621</v>
      </c>
      <c r="E3682" t="s">
        <v>10451</v>
      </c>
      <c r="F3682">
        <v>378.9</v>
      </c>
      <c r="G3682" t="s">
        <v>2439</v>
      </c>
      <c r="L3682" t="s">
        <v>4428</v>
      </c>
      <c r="M3682" t="s">
        <v>1578</v>
      </c>
      <c r="N3682" t="s">
        <v>4719</v>
      </c>
      <c r="O3682">
        <v>4</v>
      </c>
    </row>
    <row r="3683" spans="2:15" x14ac:dyDescent="0.2">
      <c r="B3683" t="s">
        <v>1433</v>
      </c>
      <c r="C3683" t="s">
        <v>12899</v>
      </c>
      <c r="D3683" t="s">
        <v>617</v>
      </c>
      <c r="E3683" t="s">
        <v>10461</v>
      </c>
      <c r="F3683">
        <v>274.68</v>
      </c>
      <c r="H3683" t="s">
        <v>1707</v>
      </c>
      <c r="L3683" t="s">
        <v>4428</v>
      </c>
      <c r="M3683" t="s">
        <v>1579</v>
      </c>
      <c r="N3683" t="s">
        <v>4719</v>
      </c>
      <c r="O3683">
        <v>4</v>
      </c>
    </row>
    <row r="3684" spans="2:15" x14ac:dyDescent="0.2">
      <c r="B3684" t="s">
        <v>1433</v>
      </c>
      <c r="C3684" t="s">
        <v>12899</v>
      </c>
      <c r="D3684" t="s">
        <v>617</v>
      </c>
      <c r="E3684" t="s">
        <v>10462</v>
      </c>
      <c r="F3684">
        <v>76.5</v>
      </c>
      <c r="H3684" t="s">
        <v>1552</v>
      </c>
      <c r="L3684" t="s">
        <v>4428</v>
      </c>
      <c r="M3684" t="s">
        <v>1377</v>
      </c>
      <c r="N3684" t="s">
        <v>4638</v>
      </c>
      <c r="O3684">
        <v>2</v>
      </c>
    </row>
    <row r="3685" spans="2:15" x14ac:dyDescent="0.2">
      <c r="B3685" t="s">
        <v>1433</v>
      </c>
      <c r="C3685" t="s">
        <v>12899</v>
      </c>
      <c r="D3685" t="s">
        <v>617</v>
      </c>
      <c r="E3685" t="s">
        <v>10463</v>
      </c>
      <c r="F3685">
        <v>229.5</v>
      </c>
      <c r="H3685" t="s">
        <v>1552</v>
      </c>
      <c r="L3685" t="s">
        <v>4428</v>
      </c>
      <c r="M3685" t="s">
        <v>4720</v>
      </c>
      <c r="N3685" t="s">
        <v>4638</v>
      </c>
      <c r="O3685">
        <v>10</v>
      </c>
    </row>
    <row r="3686" spans="2:15" x14ac:dyDescent="0.2">
      <c r="B3686" t="s">
        <v>1433</v>
      </c>
      <c r="C3686" t="s">
        <v>12899</v>
      </c>
      <c r="D3686" t="s">
        <v>617</v>
      </c>
      <c r="E3686" t="s">
        <v>10464</v>
      </c>
      <c r="F3686">
        <v>202.82</v>
      </c>
      <c r="H3686" t="s">
        <v>1706</v>
      </c>
      <c r="L3686" t="s">
        <v>4428</v>
      </c>
      <c r="M3686" t="s">
        <v>4721</v>
      </c>
      <c r="N3686" t="s">
        <v>4722</v>
      </c>
      <c r="O3686">
        <v>3</v>
      </c>
    </row>
    <row r="3687" spans="2:15" x14ac:dyDescent="0.2">
      <c r="B3687" t="s">
        <v>1433</v>
      </c>
      <c r="C3687" t="s">
        <v>12899</v>
      </c>
      <c r="D3687" t="s">
        <v>617</v>
      </c>
      <c r="E3687" t="s">
        <v>10465</v>
      </c>
      <c r="F3687">
        <v>86.92</v>
      </c>
      <c r="H3687" t="s">
        <v>1706</v>
      </c>
      <c r="L3687" t="s">
        <v>4428</v>
      </c>
      <c r="M3687" t="s">
        <v>1585</v>
      </c>
      <c r="N3687" t="s">
        <v>4723</v>
      </c>
      <c r="O3687">
        <v>72</v>
      </c>
    </row>
    <row r="3688" spans="2:15" x14ac:dyDescent="0.2">
      <c r="B3688" t="s">
        <v>1433</v>
      </c>
      <c r="C3688" t="s">
        <v>12899</v>
      </c>
      <c r="D3688" t="s">
        <v>617</v>
      </c>
      <c r="E3688" t="s">
        <v>10466</v>
      </c>
      <c r="F3688">
        <v>14.49</v>
      </c>
      <c r="H3688" t="s">
        <v>1706</v>
      </c>
      <c r="L3688" t="s">
        <v>4428</v>
      </c>
      <c r="M3688" t="s">
        <v>1587</v>
      </c>
      <c r="N3688" t="s">
        <v>4723</v>
      </c>
      <c r="O3688">
        <v>144</v>
      </c>
    </row>
    <row r="3689" spans="2:15" x14ac:dyDescent="0.2">
      <c r="B3689" t="s">
        <v>1433</v>
      </c>
      <c r="C3689" t="s">
        <v>12899</v>
      </c>
      <c r="D3689" t="s">
        <v>617</v>
      </c>
      <c r="E3689" t="s">
        <v>10467</v>
      </c>
      <c r="F3689">
        <v>3444.75</v>
      </c>
      <c r="H3689" t="s">
        <v>1812</v>
      </c>
      <c r="L3689" t="s">
        <v>4428</v>
      </c>
      <c r="M3689" t="s">
        <v>4724</v>
      </c>
      <c r="N3689" t="s">
        <v>4725</v>
      </c>
      <c r="O3689">
        <v>10</v>
      </c>
    </row>
    <row r="3690" spans="2:15" x14ac:dyDescent="0.2">
      <c r="B3690" t="s">
        <v>1433</v>
      </c>
      <c r="C3690" t="s">
        <v>12899</v>
      </c>
      <c r="D3690" t="s">
        <v>617</v>
      </c>
      <c r="E3690" t="s">
        <v>10468</v>
      </c>
      <c r="F3690">
        <v>229.65</v>
      </c>
      <c r="H3690" t="s">
        <v>1812</v>
      </c>
      <c r="L3690" t="s">
        <v>4428</v>
      </c>
      <c r="M3690" t="s">
        <v>4726</v>
      </c>
      <c r="N3690" t="s">
        <v>4725</v>
      </c>
      <c r="O3690">
        <v>3</v>
      </c>
    </row>
    <row r="3691" spans="2:15" x14ac:dyDescent="0.2">
      <c r="B3691" t="s">
        <v>1433</v>
      </c>
      <c r="C3691" t="s">
        <v>12899</v>
      </c>
      <c r="D3691" t="s">
        <v>617</v>
      </c>
      <c r="E3691" t="s">
        <v>10469</v>
      </c>
      <c r="F3691">
        <v>1148.25</v>
      </c>
      <c r="H3691" t="s">
        <v>1812</v>
      </c>
      <c r="L3691" t="s">
        <v>4428</v>
      </c>
      <c r="M3691" t="s">
        <v>2501</v>
      </c>
      <c r="N3691" t="s">
        <v>4727</v>
      </c>
      <c r="O3691">
        <v>12</v>
      </c>
    </row>
    <row r="3692" spans="2:15" x14ac:dyDescent="0.2">
      <c r="B3692" t="s">
        <v>1433</v>
      </c>
      <c r="C3692" t="s">
        <v>12899</v>
      </c>
      <c r="D3692" t="s">
        <v>617</v>
      </c>
      <c r="E3692" t="s">
        <v>10471</v>
      </c>
      <c r="F3692">
        <v>10.5</v>
      </c>
      <c r="H3692" t="s">
        <v>2403</v>
      </c>
      <c r="L3692" t="s">
        <v>4428</v>
      </c>
      <c r="M3692" t="s">
        <v>2505</v>
      </c>
      <c r="N3692" t="s">
        <v>4727</v>
      </c>
      <c r="O3692">
        <v>4</v>
      </c>
    </row>
    <row r="3693" spans="2:15" x14ac:dyDescent="0.2">
      <c r="B3693" t="s">
        <v>1433</v>
      </c>
      <c r="C3693" t="s">
        <v>12899</v>
      </c>
      <c r="D3693" t="s">
        <v>617</v>
      </c>
      <c r="E3693" t="s">
        <v>10472</v>
      </c>
      <c r="F3693">
        <v>32</v>
      </c>
      <c r="H3693" t="s">
        <v>2405</v>
      </c>
      <c r="L3693" t="s">
        <v>4428</v>
      </c>
      <c r="M3693" t="s">
        <v>2506</v>
      </c>
      <c r="N3693" t="s">
        <v>4727</v>
      </c>
      <c r="O3693">
        <v>4</v>
      </c>
    </row>
    <row r="3694" spans="2:15" x14ac:dyDescent="0.2">
      <c r="B3694" t="s">
        <v>1433</v>
      </c>
      <c r="C3694" t="s">
        <v>12899</v>
      </c>
      <c r="D3694" t="s">
        <v>617</v>
      </c>
      <c r="E3694" t="s">
        <v>10473</v>
      </c>
      <c r="F3694">
        <v>28</v>
      </c>
      <c r="H3694" t="s">
        <v>2406</v>
      </c>
      <c r="L3694" t="s">
        <v>4428</v>
      </c>
      <c r="M3694" t="s">
        <v>1536</v>
      </c>
      <c r="N3694" t="s">
        <v>4727</v>
      </c>
      <c r="O3694">
        <v>4</v>
      </c>
    </row>
    <row r="3695" spans="2:15" x14ac:dyDescent="0.2">
      <c r="B3695" t="s">
        <v>1433</v>
      </c>
      <c r="C3695" t="s">
        <v>12899</v>
      </c>
      <c r="D3695" t="s">
        <v>617</v>
      </c>
      <c r="E3695" t="s">
        <v>10474</v>
      </c>
      <c r="F3695">
        <v>385.5</v>
      </c>
      <c r="H3695" t="s">
        <v>2407</v>
      </c>
      <c r="L3695" t="s">
        <v>4428</v>
      </c>
      <c r="M3695" t="s">
        <v>1701</v>
      </c>
      <c r="N3695" t="s">
        <v>4727</v>
      </c>
      <c r="O3695">
        <v>22</v>
      </c>
    </row>
    <row r="3696" spans="2:15" x14ac:dyDescent="0.2">
      <c r="B3696" t="s">
        <v>1433</v>
      </c>
      <c r="C3696" t="s">
        <v>12899</v>
      </c>
      <c r="D3696" t="s">
        <v>617</v>
      </c>
      <c r="E3696" t="s">
        <v>10475</v>
      </c>
      <c r="F3696">
        <v>665</v>
      </c>
      <c r="H3696" t="s">
        <v>2408</v>
      </c>
      <c r="L3696" t="s">
        <v>4428</v>
      </c>
      <c r="M3696" t="s">
        <v>4180</v>
      </c>
      <c r="N3696" t="s">
        <v>4728</v>
      </c>
      <c r="O3696">
        <v>4</v>
      </c>
    </row>
    <row r="3697" spans="2:15" x14ac:dyDescent="0.2">
      <c r="B3697" t="s">
        <v>1433</v>
      </c>
      <c r="C3697" t="s">
        <v>12899</v>
      </c>
      <c r="D3697" t="s">
        <v>617</v>
      </c>
      <c r="E3697" t="s">
        <v>10476</v>
      </c>
      <c r="F3697">
        <v>197.83</v>
      </c>
      <c r="H3697" t="s">
        <v>2307</v>
      </c>
      <c r="L3697" t="s">
        <v>4428</v>
      </c>
      <c r="M3697" t="s">
        <v>4695</v>
      </c>
      <c r="N3697" t="s">
        <v>4728</v>
      </c>
      <c r="O3697">
        <v>2</v>
      </c>
    </row>
    <row r="3698" spans="2:15" x14ac:dyDescent="0.2">
      <c r="B3698" t="s">
        <v>1433</v>
      </c>
      <c r="C3698" t="s">
        <v>12899</v>
      </c>
      <c r="D3698" t="s">
        <v>617</v>
      </c>
      <c r="E3698" t="s">
        <v>10477</v>
      </c>
      <c r="F3698">
        <v>391.21</v>
      </c>
      <c r="H3698" t="s">
        <v>2089</v>
      </c>
      <c r="L3698" t="s">
        <v>4428</v>
      </c>
      <c r="M3698" t="s">
        <v>4696</v>
      </c>
      <c r="N3698" t="s">
        <v>4728</v>
      </c>
      <c r="O3698">
        <v>2</v>
      </c>
    </row>
    <row r="3699" spans="2:15" x14ac:dyDescent="0.2">
      <c r="B3699" t="s">
        <v>1433</v>
      </c>
      <c r="C3699" t="s">
        <v>12899</v>
      </c>
      <c r="D3699" t="s">
        <v>617</v>
      </c>
      <c r="E3699" t="s">
        <v>10478</v>
      </c>
      <c r="F3699">
        <v>-391.21</v>
      </c>
      <c r="H3699" t="s">
        <v>2089</v>
      </c>
      <c r="L3699" t="s">
        <v>4428</v>
      </c>
      <c r="M3699" t="s">
        <v>4621</v>
      </c>
      <c r="N3699" t="s">
        <v>4728</v>
      </c>
      <c r="O3699">
        <v>8</v>
      </c>
    </row>
    <row r="3700" spans="2:15" x14ac:dyDescent="0.2">
      <c r="B3700" t="s">
        <v>1433</v>
      </c>
      <c r="C3700" t="s">
        <v>12899</v>
      </c>
      <c r="D3700" t="s">
        <v>617</v>
      </c>
      <c r="E3700" t="s">
        <v>10479</v>
      </c>
      <c r="F3700">
        <v>795</v>
      </c>
      <c r="H3700" t="s">
        <v>2089</v>
      </c>
      <c r="L3700" t="s">
        <v>4428</v>
      </c>
      <c r="M3700" t="s">
        <v>2259</v>
      </c>
      <c r="N3700" t="s">
        <v>4729</v>
      </c>
      <c r="O3700">
        <v>1</v>
      </c>
    </row>
    <row r="3701" spans="2:15" x14ac:dyDescent="0.2">
      <c r="B3701" t="s">
        <v>1433</v>
      </c>
      <c r="C3701" t="s">
        <v>12899</v>
      </c>
      <c r="D3701" t="s">
        <v>617</v>
      </c>
      <c r="E3701" t="s">
        <v>10480</v>
      </c>
      <c r="F3701">
        <v>380.05</v>
      </c>
      <c r="H3701" t="s">
        <v>2311</v>
      </c>
      <c r="L3701" t="s">
        <v>4428</v>
      </c>
      <c r="M3701" t="s">
        <v>1460</v>
      </c>
      <c r="N3701" t="s">
        <v>4729</v>
      </c>
      <c r="O3701">
        <v>1</v>
      </c>
    </row>
    <row r="3702" spans="2:15" x14ac:dyDescent="0.2">
      <c r="B3702" t="s">
        <v>1433</v>
      </c>
      <c r="C3702" t="s">
        <v>12899</v>
      </c>
      <c r="D3702" t="s">
        <v>617</v>
      </c>
      <c r="E3702" t="s">
        <v>10481</v>
      </c>
      <c r="F3702">
        <v>255.62</v>
      </c>
      <c r="H3702" t="s">
        <v>2313</v>
      </c>
      <c r="L3702" t="s">
        <v>4428</v>
      </c>
      <c r="M3702" t="s">
        <v>1963</v>
      </c>
      <c r="N3702" t="s">
        <v>4729</v>
      </c>
      <c r="O3702">
        <v>1</v>
      </c>
    </row>
    <row r="3703" spans="2:15" x14ac:dyDescent="0.2">
      <c r="B3703" t="s">
        <v>1433</v>
      </c>
      <c r="C3703" t="s">
        <v>12899</v>
      </c>
      <c r="D3703" t="s">
        <v>617</v>
      </c>
      <c r="E3703" t="s">
        <v>10482</v>
      </c>
      <c r="F3703">
        <v>1668.36</v>
      </c>
      <c r="H3703" t="s">
        <v>2315</v>
      </c>
      <c r="L3703" t="s">
        <v>4428</v>
      </c>
      <c r="M3703" t="s">
        <v>2266</v>
      </c>
      <c r="N3703" t="s">
        <v>4729</v>
      </c>
      <c r="O3703">
        <v>1</v>
      </c>
    </row>
    <row r="3704" spans="2:15" x14ac:dyDescent="0.2">
      <c r="B3704" t="s">
        <v>1433</v>
      </c>
      <c r="C3704" t="s">
        <v>12899</v>
      </c>
      <c r="D3704" t="s">
        <v>617</v>
      </c>
      <c r="E3704" t="s">
        <v>10483</v>
      </c>
      <c r="F3704">
        <v>5.39</v>
      </c>
      <c r="H3704" t="s">
        <v>4878</v>
      </c>
      <c r="L3704" t="s">
        <v>4428</v>
      </c>
      <c r="M3704" t="s">
        <v>1462</v>
      </c>
      <c r="N3704" t="s">
        <v>4729</v>
      </c>
      <c r="O3704">
        <v>1</v>
      </c>
    </row>
    <row r="3705" spans="2:15" x14ac:dyDescent="0.2">
      <c r="B3705" t="s">
        <v>1433</v>
      </c>
      <c r="C3705" t="s">
        <v>12899</v>
      </c>
      <c r="D3705" t="s">
        <v>617</v>
      </c>
      <c r="E3705" t="s">
        <v>10484</v>
      </c>
      <c r="F3705">
        <v>0.45</v>
      </c>
      <c r="H3705" t="s">
        <v>8041</v>
      </c>
      <c r="L3705" t="s">
        <v>4428</v>
      </c>
      <c r="M3705" t="s">
        <v>2275</v>
      </c>
      <c r="N3705" t="s">
        <v>4729</v>
      </c>
      <c r="O3705">
        <v>3</v>
      </c>
    </row>
    <row r="3706" spans="2:15" x14ac:dyDescent="0.2">
      <c r="B3706" t="s">
        <v>1433</v>
      </c>
      <c r="C3706" t="s">
        <v>12899</v>
      </c>
      <c r="D3706" t="s">
        <v>617</v>
      </c>
      <c r="E3706" t="s">
        <v>10493</v>
      </c>
      <c r="F3706">
        <v>96.46</v>
      </c>
      <c r="H3706" t="s">
        <v>1850</v>
      </c>
      <c r="L3706" t="s">
        <v>4428</v>
      </c>
      <c r="M3706" t="s">
        <v>2276</v>
      </c>
      <c r="N3706" t="s">
        <v>4729</v>
      </c>
      <c r="O3706">
        <v>12</v>
      </c>
    </row>
    <row r="3707" spans="2:15" x14ac:dyDescent="0.2">
      <c r="B3707" t="s">
        <v>1433</v>
      </c>
      <c r="C3707" t="s">
        <v>12899</v>
      </c>
      <c r="D3707" t="s">
        <v>617</v>
      </c>
      <c r="E3707" t="s">
        <v>10494</v>
      </c>
      <c r="F3707">
        <v>35.76</v>
      </c>
      <c r="H3707" t="s">
        <v>2434</v>
      </c>
      <c r="L3707" t="s">
        <v>4428</v>
      </c>
      <c r="M3707" t="s">
        <v>1448</v>
      </c>
      <c r="N3707" t="s">
        <v>4729</v>
      </c>
      <c r="O3707">
        <v>1</v>
      </c>
    </row>
    <row r="3708" spans="2:15" x14ac:dyDescent="0.2">
      <c r="B3708" t="s">
        <v>1433</v>
      </c>
      <c r="C3708" t="s">
        <v>12899</v>
      </c>
      <c r="D3708" t="s">
        <v>617</v>
      </c>
      <c r="E3708" t="s">
        <v>10497</v>
      </c>
      <c r="F3708">
        <v>1861.85</v>
      </c>
      <c r="H3708" t="s">
        <v>2728</v>
      </c>
      <c r="L3708" t="s">
        <v>4428</v>
      </c>
      <c r="M3708" t="s">
        <v>1467</v>
      </c>
      <c r="N3708" t="s">
        <v>4730</v>
      </c>
      <c r="O3708">
        <v>1</v>
      </c>
    </row>
    <row r="3709" spans="2:15" x14ac:dyDescent="0.2">
      <c r="B3709" t="s">
        <v>1433</v>
      </c>
      <c r="C3709" t="s">
        <v>12899</v>
      </c>
      <c r="D3709" t="s">
        <v>617</v>
      </c>
      <c r="E3709" t="s">
        <v>10498</v>
      </c>
      <c r="F3709">
        <v>197.2</v>
      </c>
      <c r="H3709" t="s">
        <v>2087</v>
      </c>
      <c r="L3709" t="s">
        <v>4428</v>
      </c>
      <c r="M3709" t="s">
        <v>2782</v>
      </c>
      <c r="N3709" t="s">
        <v>4730</v>
      </c>
      <c r="O3709">
        <v>1</v>
      </c>
    </row>
    <row r="3710" spans="2:15" x14ac:dyDescent="0.2">
      <c r="B3710" t="s">
        <v>1433</v>
      </c>
      <c r="C3710" t="s">
        <v>12899</v>
      </c>
      <c r="D3710" t="s">
        <v>617</v>
      </c>
      <c r="E3710" t="s">
        <v>10499</v>
      </c>
      <c r="F3710">
        <v>-197.2</v>
      </c>
      <c r="H3710" t="s">
        <v>2087</v>
      </c>
      <c r="L3710" t="s">
        <v>4428</v>
      </c>
      <c r="M3710" t="s">
        <v>4731</v>
      </c>
      <c r="N3710" t="s">
        <v>4730</v>
      </c>
      <c r="O3710">
        <v>1</v>
      </c>
    </row>
    <row r="3711" spans="2:15" x14ac:dyDescent="0.2">
      <c r="B3711" t="s">
        <v>1433</v>
      </c>
      <c r="C3711" t="s">
        <v>12899</v>
      </c>
      <c r="D3711" t="s">
        <v>617</v>
      </c>
      <c r="E3711" t="s">
        <v>10500</v>
      </c>
      <c r="F3711">
        <v>197.2</v>
      </c>
      <c r="H3711" t="s">
        <v>2087</v>
      </c>
      <c r="L3711" t="s">
        <v>4428</v>
      </c>
      <c r="M3711" t="s">
        <v>4732</v>
      </c>
      <c r="N3711" t="s">
        <v>4730</v>
      </c>
      <c r="O3711">
        <v>1</v>
      </c>
    </row>
    <row r="3712" spans="2:15" x14ac:dyDescent="0.2">
      <c r="B3712" t="s">
        <v>1433</v>
      </c>
      <c r="C3712" t="s">
        <v>12899</v>
      </c>
      <c r="D3712" t="s">
        <v>617</v>
      </c>
      <c r="E3712" t="s">
        <v>10501</v>
      </c>
      <c r="F3712">
        <v>483.14</v>
      </c>
      <c r="H3712" t="s">
        <v>2087</v>
      </c>
      <c r="L3712" t="s">
        <v>4428</v>
      </c>
      <c r="M3712" t="s">
        <v>4733</v>
      </c>
      <c r="N3712" t="s">
        <v>4730</v>
      </c>
      <c r="O3712">
        <v>1</v>
      </c>
    </row>
    <row r="3713" spans="2:15" x14ac:dyDescent="0.2">
      <c r="B3713" t="s">
        <v>1433</v>
      </c>
      <c r="C3713" t="s">
        <v>12899</v>
      </c>
      <c r="D3713" t="s">
        <v>617</v>
      </c>
      <c r="E3713" t="s">
        <v>10502</v>
      </c>
      <c r="F3713">
        <v>166.29</v>
      </c>
      <c r="H3713" t="s">
        <v>1725</v>
      </c>
      <c r="L3713" t="s">
        <v>4428</v>
      </c>
      <c r="M3713" t="s">
        <v>4734</v>
      </c>
      <c r="N3713" t="s">
        <v>4730</v>
      </c>
      <c r="O3713">
        <v>2</v>
      </c>
    </row>
    <row r="3714" spans="2:15" x14ac:dyDescent="0.2">
      <c r="B3714" t="s">
        <v>1433</v>
      </c>
      <c r="C3714" t="s">
        <v>12899</v>
      </c>
      <c r="D3714" t="s">
        <v>617</v>
      </c>
      <c r="E3714" t="s">
        <v>10503</v>
      </c>
      <c r="F3714">
        <v>459.3</v>
      </c>
      <c r="H3714" t="s">
        <v>1812</v>
      </c>
      <c r="L3714" t="s">
        <v>4428</v>
      </c>
      <c r="M3714" t="s">
        <v>1471</v>
      </c>
      <c r="N3714" t="s">
        <v>4730</v>
      </c>
      <c r="O3714">
        <v>1</v>
      </c>
    </row>
    <row r="3715" spans="2:15" x14ac:dyDescent="0.2">
      <c r="B3715" t="s">
        <v>1433</v>
      </c>
      <c r="C3715" t="s">
        <v>12899</v>
      </c>
      <c r="D3715" t="s">
        <v>617</v>
      </c>
      <c r="E3715" t="s">
        <v>10504</v>
      </c>
      <c r="F3715">
        <v>215.05</v>
      </c>
      <c r="H3715" t="s">
        <v>1724</v>
      </c>
      <c r="L3715" t="s">
        <v>4428</v>
      </c>
      <c r="M3715" t="s">
        <v>1472</v>
      </c>
      <c r="N3715" t="s">
        <v>4730</v>
      </c>
      <c r="O3715">
        <v>1</v>
      </c>
    </row>
    <row r="3716" spans="2:15" x14ac:dyDescent="0.2">
      <c r="B3716" t="s">
        <v>1433</v>
      </c>
      <c r="C3716" t="s">
        <v>12899</v>
      </c>
      <c r="D3716" t="s">
        <v>617</v>
      </c>
      <c r="E3716" t="s">
        <v>10505</v>
      </c>
      <c r="F3716">
        <v>342.7</v>
      </c>
      <c r="H3716" t="s">
        <v>2726</v>
      </c>
      <c r="L3716" t="s">
        <v>4428</v>
      </c>
      <c r="M3716" t="s">
        <v>2041</v>
      </c>
      <c r="N3716" t="s">
        <v>4730</v>
      </c>
      <c r="O3716">
        <v>1</v>
      </c>
    </row>
    <row r="3717" spans="2:15" x14ac:dyDescent="0.2">
      <c r="B3717" t="s">
        <v>1433</v>
      </c>
      <c r="C3717" t="s">
        <v>12899</v>
      </c>
      <c r="D3717" t="s">
        <v>1169</v>
      </c>
      <c r="E3717" t="s">
        <v>10506</v>
      </c>
      <c r="F3717">
        <v>18400</v>
      </c>
      <c r="G3717" t="s">
        <v>2421</v>
      </c>
      <c r="L3717" t="s">
        <v>4428</v>
      </c>
      <c r="M3717" t="s">
        <v>1479</v>
      </c>
      <c r="N3717" t="s">
        <v>4730</v>
      </c>
      <c r="O3717">
        <v>1</v>
      </c>
    </row>
    <row r="3718" spans="2:15" x14ac:dyDescent="0.2">
      <c r="B3718" t="s">
        <v>1433</v>
      </c>
      <c r="C3718" t="s">
        <v>12899</v>
      </c>
      <c r="D3718" t="s">
        <v>617</v>
      </c>
      <c r="E3718" t="s">
        <v>10508</v>
      </c>
      <c r="F3718">
        <v>16.100000000000001</v>
      </c>
      <c r="H3718" t="s">
        <v>1621</v>
      </c>
      <c r="L3718" t="s">
        <v>4428</v>
      </c>
      <c r="M3718" t="s">
        <v>1520</v>
      </c>
      <c r="N3718" t="s">
        <v>4686</v>
      </c>
      <c r="O3718">
        <v>2</v>
      </c>
    </row>
    <row r="3719" spans="2:15" x14ac:dyDescent="0.2">
      <c r="B3719" t="s">
        <v>1433</v>
      </c>
      <c r="C3719" t="s">
        <v>12899</v>
      </c>
      <c r="D3719" t="s">
        <v>617</v>
      </c>
      <c r="E3719" t="s">
        <v>10509</v>
      </c>
      <c r="F3719">
        <v>-16.100000000000001</v>
      </c>
      <c r="H3719" t="s">
        <v>1621</v>
      </c>
      <c r="L3719" t="s">
        <v>4428</v>
      </c>
      <c r="M3719" t="s">
        <v>2507</v>
      </c>
      <c r="N3719" t="s">
        <v>4727</v>
      </c>
      <c r="O3719">
        <v>2</v>
      </c>
    </row>
    <row r="3720" spans="2:15" x14ac:dyDescent="0.2">
      <c r="B3720" t="s">
        <v>1433</v>
      </c>
      <c r="C3720" t="s">
        <v>12899</v>
      </c>
      <c r="D3720" t="s">
        <v>617</v>
      </c>
      <c r="E3720" t="s">
        <v>10510</v>
      </c>
      <c r="F3720">
        <v>16.100000000000001</v>
      </c>
      <c r="H3720" t="s">
        <v>1621</v>
      </c>
      <c r="L3720" t="s">
        <v>4428</v>
      </c>
      <c r="M3720" t="s">
        <v>2501</v>
      </c>
      <c r="N3720" t="s">
        <v>4735</v>
      </c>
      <c r="O3720">
        <v>4</v>
      </c>
    </row>
    <row r="3721" spans="2:15" x14ac:dyDescent="0.2">
      <c r="B3721" t="s">
        <v>1433</v>
      </c>
      <c r="C3721" t="s">
        <v>12899</v>
      </c>
      <c r="D3721" t="s">
        <v>617</v>
      </c>
      <c r="E3721" t="s">
        <v>10511</v>
      </c>
      <c r="F3721">
        <v>-16.100000000000001</v>
      </c>
      <c r="H3721" t="s">
        <v>1621</v>
      </c>
      <c r="L3721" t="s">
        <v>4428</v>
      </c>
      <c r="M3721" t="s">
        <v>4283</v>
      </c>
      <c r="N3721" t="s">
        <v>4735</v>
      </c>
      <c r="O3721">
        <v>4</v>
      </c>
    </row>
    <row r="3722" spans="2:15" x14ac:dyDescent="0.2">
      <c r="B3722" t="s">
        <v>1433</v>
      </c>
      <c r="C3722" t="s">
        <v>12899</v>
      </c>
      <c r="D3722" t="s">
        <v>617</v>
      </c>
      <c r="E3722" t="s">
        <v>10512</v>
      </c>
      <c r="F3722">
        <v>16.100000000000001</v>
      </c>
      <c r="H3722" t="s">
        <v>1621</v>
      </c>
      <c r="L3722" t="s">
        <v>4428</v>
      </c>
      <c r="M3722" t="s">
        <v>1380</v>
      </c>
      <c r="N3722" t="s">
        <v>4736</v>
      </c>
      <c r="O3722">
        <v>40</v>
      </c>
    </row>
    <row r="3723" spans="2:15" x14ac:dyDescent="0.2">
      <c r="B3723" t="s">
        <v>1433</v>
      </c>
      <c r="C3723" t="s">
        <v>12899</v>
      </c>
      <c r="D3723" t="s">
        <v>617</v>
      </c>
      <c r="E3723" t="s">
        <v>10513</v>
      </c>
      <c r="F3723">
        <v>32.200000000000003</v>
      </c>
      <c r="H3723" t="s">
        <v>1621</v>
      </c>
      <c r="L3723" t="s">
        <v>4428</v>
      </c>
      <c r="M3723" t="s">
        <v>2173</v>
      </c>
      <c r="N3723" t="s">
        <v>4736</v>
      </c>
      <c r="O3723">
        <v>10</v>
      </c>
    </row>
    <row r="3724" spans="2:15" x14ac:dyDescent="0.2">
      <c r="B3724" t="s">
        <v>1433</v>
      </c>
      <c r="C3724" t="s">
        <v>12899</v>
      </c>
      <c r="D3724" t="s">
        <v>617</v>
      </c>
      <c r="E3724" t="s">
        <v>10514</v>
      </c>
      <c r="F3724">
        <v>285.12</v>
      </c>
      <c r="H3724" t="s">
        <v>1624</v>
      </c>
      <c r="L3724" t="s">
        <v>4428</v>
      </c>
      <c r="M3724" t="s">
        <v>1806</v>
      </c>
      <c r="N3724" t="s">
        <v>4736</v>
      </c>
      <c r="O3724">
        <v>6</v>
      </c>
    </row>
    <row r="3725" spans="2:15" x14ac:dyDescent="0.2">
      <c r="B3725" t="s">
        <v>1433</v>
      </c>
      <c r="C3725" t="s">
        <v>12899</v>
      </c>
      <c r="D3725" t="s">
        <v>617</v>
      </c>
      <c r="E3725" t="s">
        <v>10515</v>
      </c>
      <c r="F3725">
        <v>25</v>
      </c>
      <c r="H3725" t="s">
        <v>1628</v>
      </c>
      <c r="L3725" t="s">
        <v>4428</v>
      </c>
      <c r="M3725" t="s">
        <v>2013</v>
      </c>
      <c r="N3725" t="s">
        <v>4737</v>
      </c>
      <c r="O3725">
        <v>6</v>
      </c>
    </row>
    <row r="3726" spans="2:15" x14ac:dyDescent="0.2">
      <c r="B3726" t="s">
        <v>1433</v>
      </c>
      <c r="C3726" t="s">
        <v>12899</v>
      </c>
      <c r="D3726" t="s">
        <v>617</v>
      </c>
      <c r="E3726" t="s">
        <v>10516</v>
      </c>
      <c r="F3726">
        <v>37.200000000000003</v>
      </c>
      <c r="H3726" t="s">
        <v>1593</v>
      </c>
      <c r="L3726" t="s">
        <v>4428</v>
      </c>
      <c r="M3726" t="s">
        <v>2014</v>
      </c>
      <c r="N3726" t="s">
        <v>4737</v>
      </c>
      <c r="O3726">
        <v>4</v>
      </c>
    </row>
    <row r="3727" spans="2:15" x14ac:dyDescent="0.2">
      <c r="B3727" t="s">
        <v>1433</v>
      </c>
      <c r="C3727" t="s">
        <v>12899</v>
      </c>
      <c r="D3727" t="s">
        <v>617</v>
      </c>
      <c r="E3727" t="s">
        <v>10517</v>
      </c>
      <c r="F3727">
        <v>22.91</v>
      </c>
      <c r="H3727" t="s">
        <v>1594</v>
      </c>
      <c r="L3727" t="s">
        <v>4428</v>
      </c>
      <c r="M3727" t="s">
        <v>1489</v>
      </c>
      <c r="N3727" t="s">
        <v>4610</v>
      </c>
      <c r="O3727">
        <v>1</v>
      </c>
    </row>
    <row r="3728" spans="2:15" x14ac:dyDescent="0.2">
      <c r="B3728" t="s">
        <v>1433</v>
      </c>
      <c r="C3728" t="s">
        <v>12899</v>
      </c>
      <c r="D3728" t="s">
        <v>617</v>
      </c>
      <c r="E3728" t="s">
        <v>10518</v>
      </c>
      <c r="F3728">
        <v>22.91</v>
      </c>
      <c r="H3728" t="s">
        <v>1594</v>
      </c>
      <c r="L3728" t="s">
        <v>4428</v>
      </c>
      <c r="M3728" t="s">
        <v>1845</v>
      </c>
      <c r="N3728" t="s">
        <v>4738</v>
      </c>
      <c r="O3728">
        <v>2</v>
      </c>
    </row>
    <row r="3729" spans="2:15" x14ac:dyDescent="0.2">
      <c r="B3729" t="s">
        <v>1433</v>
      </c>
      <c r="C3729" t="s">
        <v>12899</v>
      </c>
      <c r="D3729" t="s">
        <v>617</v>
      </c>
      <c r="E3729" t="s">
        <v>10519</v>
      </c>
      <c r="F3729">
        <v>29.36</v>
      </c>
      <c r="H3729" t="s">
        <v>2283</v>
      </c>
      <c r="L3729" t="s">
        <v>4428</v>
      </c>
      <c r="M3729" t="s">
        <v>2012</v>
      </c>
      <c r="N3729" t="s">
        <v>4738</v>
      </c>
      <c r="O3729">
        <v>2</v>
      </c>
    </row>
    <row r="3730" spans="2:15" x14ac:dyDescent="0.2">
      <c r="B3730" t="s">
        <v>1433</v>
      </c>
      <c r="C3730" t="s">
        <v>12899</v>
      </c>
      <c r="D3730" t="s">
        <v>617</v>
      </c>
      <c r="E3730" t="s">
        <v>10520</v>
      </c>
      <c r="F3730">
        <v>29.36</v>
      </c>
      <c r="H3730" t="s">
        <v>2283</v>
      </c>
      <c r="L3730" t="s">
        <v>4428</v>
      </c>
      <c r="M3730" t="s">
        <v>1561</v>
      </c>
      <c r="N3730" t="s">
        <v>4739</v>
      </c>
      <c r="O3730">
        <v>8</v>
      </c>
    </row>
    <row r="3731" spans="2:15" x14ac:dyDescent="0.2">
      <c r="B3731" t="s">
        <v>1433</v>
      </c>
      <c r="C3731" t="s">
        <v>12899</v>
      </c>
      <c r="D3731" t="s">
        <v>617</v>
      </c>
      <c r="E3731" t="s">
        <v>10523</v>
      </c>
      <c r="F3731">
        <v>336.7</v>
      </c>
      <c r="H3731" t="s">
        <v>1713</v>
      </c>
      <c r="L3731" t="s">
        <v>4428</v>
      </c>
      <c r="M3731" t="s">
        <v>2330</v>
      </c>
      <c r="N3731" t="s">
        <v>4739</v>
      </c>
      <c r="O3731">
        <v>1</v>
      </c>
    </row>
    <row r="3732" spans="2:15" x14ac:dyDescent="0.2">
      <c r="B3732" t="s">
        <v>1433</v>
      </c>
      <c r="C3732" t="s">
        <v>12899</v>
      </c>
      <c r="D3732" t="s">
        <v>617</v>
      </c>
      <c r="E3732" t="s">
        <v>10524</v>
      </c>
      <c r="F3732">
        <v>276.12</v>
      </c>
      <c r="H3732" t="s">
        <v>1824</v>
      </c>
      <c r="L3732" t="s">
        <v>4428</v>
      </c>
      <c r="M3732" t="s">
        <v>4318</v>
      </c>
      <c r="N3732" t="s">
        <v>4671</v>
      </c>
      <c r="O3732">
        <v>1</v>
      </c>
    </row>
    <row r="3733" spans="2:15" x14ac:dyDescent="0.2">
      <c r="B3733" t="s">
        <v>1433</v>
      </c>
      <c r="C3733" t="s">
        <v>12899</v>
      </c>
      <c r="D3733" t="s">
        <v>617</v>
      </c>
      <c r="E3733" t="s">
        <v>10525</v>
      </c>
      <c r="F3733">
        <v>260</v>
      </c>
      <c r="H3733" t="s">
        <v>1828</v>
      </c>
      <c r="L3733" t="s">
        <v>4428</v>
      </c>
      <c r="M3733" t="s">
        <v>1576</v>
      </c>
      <c r="N3733" t="s">
        <v>4740</v>
      </c>
      <c r="O3733">
        <v>13</v>
      </c>
    </row>
    <row r="3734" spans="2:15" x14ac:dyDescent="0.2">
      <c r="B3734" t="s">
        <v>1433</v>
      </c>
      <c r="C3734" t="s">
        <v>12899</v>
      </c>
      <c r="D3734" t="s">
        <v>617</v>
      </c>
      <c r="E3734" t="s">
        <v>10526</v>
      </c>
      <c r="F3734">
        <v>98</v>
      </c>
      <c r="H3734" t="s">
        <v>1830</v>
      </c>
      <c r="L3734" t="s">
        <v>4428</v>
      </c>
      <c r="M3734" t="s">
        <v>1577</v>
      </c>
      <c r="N3734" t="s">
        <v>4740</v>
      </c>
      <c r="O3734">
        <v>5</v>
      </c>
    </row>
    <row r="3735" spans="2:15" x14ac:dyDescent="0.2">
      <c r="B3735" t="s">
        <v>1433</v>
      </c>
      <c r="C3735" t="s">
        <v>12899</v>
      </c>
      <c r="D3735" t="s">
        <v>617</v>
      </c>
      <c r="E3735" t="s">
        <v>10527</v>
      </c>
      <c r="F3735">
        <v>70</v>
      </c>
      <c r="H3735" t="s">
        <v>1830</v>
      </c>
      <c r="L3735" t="s">
        <v>4428</v>
      </c>
      <c r="M3735" t="s">
        <v>4741</v>
      </c>
      <c r="N3735" t="s">
        <v>4740</v>
      </c>
      <c r="O3735">
        <v>18</v>
      </c>
    </row>
    <row r="3736" spans="2:15" x14ac:dyDescent="0.2">
      <c r="B3736" t="s">
        <v>1433</v>
      </c>
      <c r="C3736" t="s">
        <v>12899</v>
      </c>
      <c r="D3736" t="s">
        <v>617</v>
      </c>
      <c r="E3736" t="s">
        <v>10528</v>
      </c>
      <c r="F3736">
        <v>42</v>
      </c>
      <c r="H3736" t="s">
        <v>1830</v>
      </c>
      <c r="L3736" t="s">
        <v>4428</v>
      </c>
      <c r="M3736" t="s">
        <v>4620</v>
      </c>
      <c r="N3736" t="s">
        <v>4742</v>
      </c>
      <c r="O3736">
        <v>2</v>
      </c>
    </row>
    <row r="3737" spans="2:15" x14ac:dyDescent="0.2">
      <c r="B3737" t="s">
        <v>1433</v>
      </c>
      <c r="C3737" t="s">
        <v>12899</v>
      </c>
      <c r="D3737" t="s">
        <v>617</v>
      </c>
      <c r="E3737" t="s">
        <v>10529</v>
      </c>
      <c r="F3737">
        <v>261</v>
      </c>
      <c r="H3737" t="s">
        <v>1832</v>
      </c>
      <c r="L3737" t="s">
        <v>4428</v>
      </c>
      <c r="M3737" t="s">
        <v>2503</v>
      </c>
      <c r="N3737" t="s">
        <v>4727</v>
      </c>
      <c r="O3737">
        <v>4</v>
      </c>
    </row>
    <row r="3738" spans="2:15" x14ac:dyDescent="0.2">
      <c r="B3738" t="s">
        <v>1433</v>
      </c>
      <c r="C3738" t="s">
        <v>12899</v>
      </c>
      <c r="D3738" t="s">
        <v>617</v>
      </c>
      <c r="E3738" t="s">
        <v>10530</v>
      </c>
      <c r="F3738">
        <v>79.2</v>
      </c>
      <c r="H3738" t="s">
        <v>9710</v>
      </c>
      <c r="L3738" t="s">
        <v>4428</v>
      </c>
      <c r="M3738" t="s">
        <v>2504</v>
      </c>
      <c r="N3738" t="s">
        <v>4727</v>
      </c>
      <c r="O3738">
        <v>4</v>
      </c>
    </row>
    <row r="3739" spans="2:15" x14ac:dyDescent="0.2">
      <c r="B3739" t="s">
        <v>1433</v>
      </c>
      <c r="C3739" t="s">
        <v>12899</v>
      </c>
      <c r="D3739" t="s">
        <v>617</v>
      </c>
      <c r="E3739" t="s">
        <v>10531</v>
      </c>
      <c r="F3739">
        <v>62</v>
      </c>
      <c r="H3739" t="s">
        <v>10532</v>
      </c>
      <c r="L3739" t="s">
        <v>4428</v>
      </c>
      <c r="M3739" t="s">
        <v>4248</v>
      </c>
      <c r="N3739" t="s">
        <v>4743</v>
      </c>
      <c r="O3739">
        <v>4</v>
      </c>
    </row>
    <row r="3740" spans="2:15" x14ac:dyDescent="0.2">
      <c r="B3740" t="s">
        <v>1433</v>
      </c>
      <c r="C3740" t="s">
        <v>12899</v>
      </c>
      <c r="D3740" t="s">
        <v>617</v>
      </c>
      <c r="E3740" t="s">
        <v>10536</v>
      </c>
      <c r="F3740">
        <v>38.200000000000003</v>
      </c>
      <c r="H3740" t="s">
        <v>1372</v>
      </c>
      <c r="L3740" t="s">
        <v>4428</v>
      </c>
      <c r="M3740" t="s">
        <v>2076</v>
      </c>
      <c r="N3740" t="s">
        <v>4744</v>
      </c>
      <c r="O3740">
        <v>5</v>
      </c>
    </row>
    <row r="3741" spans="2:15" x14ac:dyDescent="0.2">
      <c r="B3741" t="s">
        <v>1433</v>
      </c>
      <c r="C3741" t="s">
        <v>12899</v>
      </c>
      <c r="D3741" t="s">
        <v>617</v>
      </c>
      <c r="E3741" t="s">
        <v>10537</v>
      </c>
      <c r="F3741">
        <v>17.55</v>
      </c>
      <c r="H3741" t="s">
        <v>1458</v>
      </c>
      <c r="L3741" t="s">
        <v>4428</v>
      </c>
      <c r="M3741" t="s">
        <v>1547</v>
      </c>
      <c r="N3741" t="s">
        <v>4744</v>
      </c>
      <c r="O3741">
        <v>10</v>
      </c>
    </row>
    <row r="3742" spans="2:15" x14ac:dyDescent="0.2">
      <c r="B3742" t="s">
        <v>1433</v>
      </c>
      <c r="C3742" t="s">
        <v>12899</v>
      </c>
      <c r="D3742" t="s">
        <v>617</v>
      </c>
      <c r="E3742" t="s">
        <v>10538</v>
      </c>
      <c r="F3742">
        <v>19.100000000000001</v>
      </c>
      <c r="H3742" t="s">
        <v>1459</v>
      </c>
      <c r="L3742" t="s">
        <v>4428</v>
      </c>
      <c r="M3742" t="s">
        <v>2346</v>
      </c>
      <c r="N3742" t="s">
        <v>4744</v>
      </c>
      <c r="O3742">
        <v>3</v>
      </c>
    </row>
    <row r="3743" spans="2:15" x14ac:dyDescent="0.2">
      <c r="B3743" t="s">
        <v>1433</v>
      </c>
      <c r="C3743" t="s">
        <v>12899</v>
      </c>
      <c r="D3743" t="s">
        <v>617</v>
      </c>
      <c r="E3743" t="s">
        <v>10539</v>
      </c>
      <c r="F3743">
        <v>31.84</v>
      </c>
      <c r="H3743" t="s">
        <v>1642</v>
      </c>
      <c r="L3743" t="s">
        <v>4428</v>
      </c>
      <c r="M3743" t="s">
        <v>1595</v>
      </c>
      <c r="N3743" t="s">
        <v>4744</v>
      </c>
      <c r="O3743">
        <v>6</v>
      </c>
    </row>
    <row r="3744" spans="2:15" x14ac:dyDescent="0.2">
      <c r="B3744" t="s">
        <v>1433</v>
      </c>
      <c r="C3744" t="s">
        <v>12899</v>
      </c>
      <c r="D3744" t="s">
        <v>617</v>
      </c>
      <c r="E3744" t="s">
        <v>10540</v>
      </c>
      <c r="F3744">
        <v>20.48</v>
      </c>
      <c r="H3744" t="s">
        <v>1643</v>
      </c>
      <c r="L3744" t="s">
        <v>4428</v>
      </c>
      <c r="M3744" t="s">
        <v>1597</v>
      </c>
      <c r="N3744" t="s">
        <v>4744</v>
      </c>
      <c r="O3744">
        <v>5</v>
      </c>
    </row>
    <row r="3745" spans="2:15" x14ac:dyDescent="0.2">
      <c r="B3745" t="s">
        <v>1433</v>
      </c>
      <c r="C3745" t="s">
        <v>12899</v>
      </c>
      <c r="D3745" t="s">
        <v>617</v>
      </c>
      <c r="E3745" t="s">
        <v>10541</v>
      </c>
      <c r="F3745">
        <v>121.56</v>
      </c>
      <c r="H3745" t="s">
        <v>1995</v>
      </c>
      <c r="L3745" t="s">
        <v>4428</v>
      </c>
      <c r="M3745" t="s">
        <v>1548</v>
      </c>
      <c r="N3745" t="s">
        <v>4744</v>
      </c>
      <c r="O3745">
        <v>2</v>
      </c>
    </row>
    <row r="3746" spans="2:15" x14ac:dyDescent="0.2">
      <c r="B3746" t="s">
        <v>1433</v>
      </c>
      <c r="C3746" t="s">
        <v>12899</v>
      </c>
      <c r="D3746" t="s">
        <v>617</v>
      </c>
      <c r="E3746" t="s">
        <v>10542</v>
      </c>
      <c r="F3746">
        <v>15.93</v>
      </c>
      <c r="H3746" t="s">
        <v>1995</v>
      </c>
      <c r="L3746" t="s">
        <v>4428</v>
      </c>
      <c r="M3746" t="s">
        <v>1549</v>
      </c>
      <c r="N3746" t="s">
        <v>4744</v>
      </c>
      <c r="O3746">
        <v>2</v>
      </c>
    </row>
    <row r="3747" spans="2:15" x14ac:dyDescent="0.2">
      <c r="B3747" t="s">
        <v>1433</v>
      </c>
      <c r="C3747" t="s">
        <v>12899</v>
      </c>
      <c r="D3747" t="s">
        <v>617</v>
      </c>
      <c r="E3747" t="s">
        <v>10543</v>
      </c>
      <c r="F3747">
        <v>43.75</v>
      </c>
      <c r="H3747" t="s">
        <v>1461</v>
      </c>
      <c r="L3747" t="s">
        <v>4428</v>
      </c>
      <c r="M3747" t="s">
        <v>4176</v>
      </c>
      <c r="N3747" t="s">
        <v>4744</v>
      </c>
      <c r="O3747">
        <v>8</v>
      </c>
    </row>
    <row r="3748" spans="2:15" x14ac:dyDescent="0.2">
      <c r="B3748" t="s">
        <v>1433</v>
      </c>
      <c r="C3748" t="s">
        <v>12899</v>
      </c>
      <c r="D3748" t="s">
        <v>617</v>
      </c>
      <c r="E3748" t="s">
        <v>10544</v>
      </c>
      <c r="F3748">
        <v>20.07</v>
      </c>
      <c r="H3748" t="s">
        <v>1461</v>
      </c>
      <c r="L3748" t="s">
        <v>4428</v>
      </c>
      <c r="M3748" t="s">
        <v>4181</v>
      </c>
      <c r="N3748" t="s">
        <v>4744</v>
      </c>
      <c r="O3748">
        <v>4</v>
      </c>
    </row>
    <row r="3749" spans="2:15" x14ac:dyDescent="0.2">
      <c r="B3749" t="s">
        <v>1433</v>
      </c>
      <c r="C3749" t="s">
        <v>12899</v>
      </c>
      <c r="D3749" t="s">
        <v>617</v>
      </c>
      <c r="E3749" t="s">
        <v>10545</v>
      </c>
      <c r="F3749">
        <v>40.159999999999997</v>
      </c>
      <c r="H3749" t="s">
        <v>1461</v>
      </c>
      <c r="L3749" t="s">
        <v>4428</v>
      </c>
      <c r="M3749" t="s">
        <v>4182</v>
      </c>
      <c r="N3749" t="s">
        <v>4744</v>
      </c>
      <c r="O3749">
        <v>8</v>
      </c>
    </row>
    <row r="3750" spans="2:15" x14ac:dyDescent="0.2">
      <c r="B3750" t="s">
        <v>1433</v>
      </c>
      <c r="C3750" t="s">
        <v>12899</v>
      </c>
      <c r="D3750" t="s">
        <v>617</v>
      </c>
      <c r="E3750" t="s">
        <v>10546</v>
      </c>
      <c r="F3750">
        <v>31.84</v>
      </c>
      <c r="H3750" t="s">
        <v>1541</v>
      </c>
      <c r="L3750" t="s">
        <v>4428</v>
      </c>
      <c r="M3750" t="s">
        <v>4622</v>
      </c>
      <c r="N3750" t="s">
        <v>4744</v>
      </c>
      <c r="O3750">
        <v>1</v>
      </c>
    </row>
    <row r="3751" spans="2:15" x14ac:dyDescent="0.2">
      <c r="B3751" t="s">
        <v>1433</v>
      </c>
      <c r="C3751" t="s">
        <v>12899</v>
      </c>
      <c r="D3751" t="s">
        <v>617</v>
      </c>
      <c r="E3751" t="s">
        <v>10547</v>
      </c>
      <c r="F3751">
        <v>41.2</v>
      </c>
      <c r="H3751" t="s">
        <v>2000</v>
      </c>
      <c r="L3751" t="s">
        <v>4428</v>
      </c>
      <c r="M3751" t="s">
        <v>4648</v>
      </c>
      <c r="N3751" t="s">
        <v>4744</v>
      </c>
      <c r="O3751">
        <v>4</v>
      </c>
    </row>
    <row r="3752" spans="2:15" x14ac:dyDescent="0.2">
      <c r="B3752" t="s">
        <v>1433</v>
      </c>
      <c r="C3752" t="s">
        <v>12899</v>
      </c>
      <c r="D3752" t="s">
        <v>617</v>
      </c>
      <c r="E3752" t="s">
        <v>10548</v>
      </c>
      <c r="F3752">
        <v>66.59</v>
      </c>
      <c r="H3752" t="s">
        <v>1872</v>
      </c>
      <c r="L3752" t="s">
        <v>4428</v>
      </c>
      <c r="M3752" t="s">
        <v>4415</v>
      </c>
      <c r="N3752" t="s">
        <v>4744</v>
      </c>
      <c r="O3752">
        <v>9</v>
      </c>
    </row>
    <row r="3753" spans="2:15" x14ac:dyDescent="0.2">
      <c r="B3753" t="s">
        <v>1433</v>
      </c>
      <c r="C3753" t="s">
        <v>12899</v>
      </c>
      <c r="D3753" t="s">
        <v>617</v>
      </c>
      <c r="E3753" t="s">
        <v>10549</v>
      </c>
      <c r="F3753">
        <v>103.21</v>
      </c>
      <c r="H3753" t="s">
        <v>1872</v>
      </c>
      <c r="L3753" t="s">
        <v>4428</v>
      </c>
      <c r="M3753" t="s">
        <v>4178</v>
      </c>
      <c r="N3753" t="s">
        <v>4745</v>
      </c>
      <c r="O3753">
        <v>8</v>
      </c>
    </row>
    <row r="3754" spans="2:15" x14ac:dyDescent="0.2">
      <c r="B3754" t="s">
        <v>1433</v>
      </c>
      <c r="C3754" t="s">
        <v>12899</v>
      </c>
      <c r="D3754" t="s">
        <v>617</v>
      </c>
      <c r="E3754" t="s">
        <v>10550</v>
      </c>
      <c r="F3754">
        <v>20.48</v>
      </c>
      <c r="H3754" t="s">
        <v>1542</v>
      </c>
      <c r="L3754" t="s">
        <v>4428</v>
      </c>
      <c r="M3754" t="s">
        <v>2385</v>
      </c>
      <c r="N3754" t="s">
        <v>4746</v>
      </c>
      <c r="O3754">
        <v>1</v>
      </c>
    </row>
    <row r="3755" spans="2:15" x14ac:dyDescent="0.2">
      <c r="B3755" t="s">
        <v>1433</v>
      </c>
      <c r="C3755" t="s">
        <v>12899</v>
      </c>
      <c r="D3755" t="s">
        <v>617</v>
      </c>
      <c r="E3755" t="s">
        <v>10552</v>
      </c>
      <c r="F3755">
        <v>38.200000000000003</v>
      </c>
      <c r="H3755" t="s">
        <v>1372</v>
      </c>
      <c r="L3755" t="s">
        <v>4428</v>
      </c>
      <c r="M3755" t="s">
        <v>1193</v>
      </c>
      <c r="N3755" t="s">
        <v>4746</v>
      </c>
      <c r="O3755">
        <v>1</v>
      </c>
    </row>
    <row r="3756" spans="2:15" x14ac:dyDescent="0.2">
      <c r="B3756" t="s">
        <v>1433</v>
      </c>
      <c r="C3756" t="s">
        <v>12899</v>
      </c>
      <c r="D3756" t="s">
        <v>617</v>
      </c>
      <c r="E3756" t="s">
        <v>10553</v>
      </c>
      <c r="F3756">
        <v>13.5</v>
      </c>
      <c r="H3756" t="s">
        <v>1458</v>
      </c>
      <c r="L3756" t="s">
        <v>4428</v>
      </c>
      <c r="M3756" t="s">
        <v>1195</v>
      </c>
      <c r="N3756" t="s">
        <v>4746</v>
      </c>
      <c r="O3756">
        <v>1</v>
      </c>
    </row>
    <row r="3757" spans="2:15" x14ac:dyDescent="0.2">
      <c r="B3757" t="s">
        <v>1433</v>
      </c>
      <c r="C3757" t="s">
        <v>12899</v>
      </c>
      <c r="D3757" t="s">
        <v>617</v>
      </c>
      <c r="E3757" t="s">
        <v>10554</v>
      </c>
      <c r="F3757">
        <v>39.799999999999997</v>
      </c>
      <c r="H3757" t="s">
        <v>1642</v>
      </c>
      <c r="L3757" t="s">
        <v>4428</v>
      </c>
      <c r="M3757" t="s">
        <v>1196</v>
      </c>
      <c r="N3757" t="s">
        <v>4746</v>
      </c>
      <c r="O3757">
        <v>1</v>
      </c>
    </row>
    <row r="3758" spans="2:15" x14ac:dyDescent="0.2">
      <c r="B3758" t="s">
        <v>1433</v>
      </c>
      <c r="C3758" t="s">
        <v>12899</v>
      </c>
      <c r="D3758" t="s">
        <v>617</v>
      </c>
      <c r="E3758" t="s">
        <v>10555</v>
      </c>
      <c r="F3758">
        <v>25.6</v>
      </c>
      <c r="H3758" t="s">
        <v>1643</v>
      </c>
      <c r="L3758" t="s">
        <v>4428</v>
      </c>
      <c r="M3758" t="s">
        <v>4605</v>
      </c>
      <c r="N3758" t="s">
        <v>4746</v>
      </c>
      <c r="O3758">
        <v>-1</v>
      </c>
    </row>
    <row r="3759" spans="2:15" x14ac:dyDescent="0.2">
      <c r="B3759" t="s">
        <v>1433</v>
      </c>
      <c r="C3759" t="s">
        <v>12899</v>
      </c>
      <c r="D3759" t="s">
        <v>617</v>
      </c>
      <c r="E3759" t="s">
        <v>10556</v>
      </c>
      <c r="F3759">
        <v>43.75</v>
      </c>
      <c r="H3759" t="s">
        <v>1461</v>
      </c>
      <c r="L3759" t="s">
        <v>4428</v>
      </c>
      <c r="M3759" t="s">
        <v>1199</v>
      </c>
      <c r="N3759" t="s">
        <v>4747</v>
      </c>
      <c r="O3759">
        <v>1</v>
      </c>
    </row>
    <row r="3760" spans="2:15" x14ac:dyDescent="0.2">
      <c r="B3760" t="s">
        <v>1433</v>
      </c>
      <c r="C3760" t="s">
        <v>12899</v>
      </c>
      <c r="D3760" t="s">
        <v>617</v>
      </c>
      <c r="E3760" t="s">
        <v>10557</v>
      </c>
      <c r="F3760">
        <v>20.07</v>
      </c>
      <c r="H3760" t="s">
        <v>1461</v>
      </c>
      <c r="L3760" t="s">
        <v>4428</v>
      </c>
      <c r="M3760" t="s">
        <v>1201</v>
      </c>
      <c r="N3760" t="s">
        <v>4747</v>
      </c>
      <c r="O3760">
        <v>1</v>
      </c>
    </row>
    <row r="3761" spans="2:15" x14ac:dyDescent="0.2">
      <c r="B3761" t="s">
        <v>1433</v>
      </c>
      <c r="C3761" t="s">
        <v>12899</v>
      </c>
      <c r="D3761" t="s">
        <v>617</v>
      </c>
      <c r="E3761" t="s">
        <v>10558</v>
      </c>
      <c r="F3761">
        <v>10.039999999999999</v>
      </c>
      <c r="H3761" t="s">
        <v>1461</v>
      </c>
      <c r="L3761" t="s">
        <v>4428</v>
      </c>
      <c r="M3761" t="s">
        <v>1203</v>
      </c>
      <c r="N3761" t="s">
        <v>4747</v>
      </c>
      <c r="O3761">
        <v>1</v>
      </c>
    </row>
    <row r="3762" spans="2:15" x14ac:dyDescent="0.2">
      <c r="B3762" t="s">
        <v>1433</v>
      </c>
      <c r="C3762" t="s">
        <v>12899</v>
      </c>
      <c r="D3762" t="s">
        <v>617</v>
      </c>
      <c r="E3762" t="s">
        <v>10559</v>
      </c>
      <c r="F3762">
        <v>66.59</v>
      </c>
      <c r="H3762" t="s">
        <v>1872</v>
      </c>
      <c r="L3762" t="s">
        <v>4428</v>
      </c>
      <c r="M3762" t="s">
        <v>1205</v>
      </c>
      <c r="N3762" t="s">
        <v>4747</v>
      </c>
      <c r="O3762">
        <v>1</v>
      </c>
    </row>
    <row r="3763" spans="2:15" x14ac:dyDescent="0.2">
      <c r="B3763" t="s">
        <v>1433</v>
      </c>
      <c r="C3763" t="s">
        <v>12899</v>
      </c>
      <c r="D3763" t="s">
        <v>617</v>
      </c>
      <c r="E3763" t="s">
        <v>10560</v>
      </c>
      <c r="F3763">
        <v>51.61</v>
      </c>
      <c r="H3763" t="s">
        <v>1872</v>
      </c>
      <c r="L3763" t="s">
        <v>4428</v>
      </c>
      <c r="M3763" t="s">
        <v>4619</v>
      </c>
      <c r="N3763" t="s">
        <v>4748</v>
      </c>
      <c r="O3763">
        <v>3</v>
      </c>
    </row>
    <row r="3764" spans="2:15" x14ac:dyDescent="0.2">
      <c r="B3764" t="s">
        <v>1433</v>
      </c>
      <c r="C3764" t="s">
        <v>12899</v>
      </c>
      <c r="D3764" t="s">
        <v>617</v>
      </c>
      <c r="E3764" t="s">
        <v>10561</v>
      </c>
      <c r="F3764">
        <v>30.76</v>
      </c>
      <c r="H3764" t="s">
        <v>2518</v>
      </c>
      <c r="L3764" t="s">
        <v>4428</v>
      </c>
      <c r="M3764" t="s">
        <v>2076</v>
      </c>
      <c r="N3764" t="s">
        <v>4748</v>
      </c>
      <c r="O3764">
        <v>3</v>
      </c>
    </row>
    <row r="3765" spans="2:15" x14ac:dyDescent="0.2">
      <c r="B3765" t="s">
        <v>1433</v>
      </c>
      <c r="C3765" t="s">
        <v>12899</v>
      </c>
      <c r="D3765" t="s">
        <v>617</v>
      </c>
      <c r="E3765" t="s">
        <v>10562</v>
      </c>
      <c r="F3765">
        <v>147.91999999999999</v>
      </c>
      <c r="H3765" t="s">
        <v>3199</v>
      </c>
      <c r="L3765" t="s">
        <v>4428</v>
      </c>
      <c r="M3765" t="s">
        <v>4335</v>
      </c>
      <c r="N3765" t="s">
        <v>4749</v>
      </c>
      <c r="O3765">
        <v>1</v>
      </c>
    </row>
    <row r="3766" spans="2:15" x14ac:dyDescent="0.2">
      <c r="B3766" t="s">
        <v>1433</v>
      </c>
      <c r="C3766" t="s">
        <v>12899</v>
      </c>
      <c r="D3766" t="s">
        <v>617</v>
      </c>
      <c r="E3766" t="s">
        <v>10607</v>
      </c>
      <c r="F3766">
        <v>209.54</v>
      </c>
      <c r="H3766" t="s">
        <v>2658</v>
      </c>
      <c r="L3766" t="s">
        <v>4428</v>
      </c>
      <c r="M3766" t="s">
        <v>1519</v>
      </c>
      <c r="N3766" t="s">
        <v>4750</v>
      </c>
      <c r="O3766">
        <v>1</v>
      </c>
    </row>
    <row r="3767" spans="2:15" x14ac:dyDescent="0.2">
      <c r="B3767" t="s">
        <v>1433</v>
      </c>
      <c r="C3767" t="s">
        <v>12899</v>
      </c>
      <c r="D3767" t="s">
        <v>617</v>
      </c>
      <c r="E3767" t="s">
        <v>10608</v>
      </c>
      <c r="F3767">
        <v>262.5</v>
      </c>
      <c r="H3767" t="s">
        <v>2656</v>
      </c>
      <c r="L3767" t="s">
        <v>4428</v>
      </c>
      <c r="M3767" t="s">
        <v>1493</v>
      </c>
      <c r="N3767" t="s">
        <v>4750</v>
      </c>
      <c r="O3767">
        <v>1</v>
      </c>
    </row>
    <row r="3768" spans="2:15" x14ac:dyDescent="0.2">
      <c r="B3768" t="s">
        <v>1433</v>
      </c>
      <c r="C3768" t="s">
        <v>12899</v>
      </c>
      <c r="D3768" t="s">
        <v>613</v>
      </c>
      <c r="E3768" t="s">
        <v>10609</v>
      </c>
      <c r="F3768">
        <v>3.15</v>
      </c>
      <c r="G3768" t="s">
        <v>9305</v>
      </c>
      <c r="L3768" t="s">
        <v>4428</v>
      </c>
      <c r="M3768" t="s">
        <v>1684</v>
      </c>
      <c r="N3768" t="s">
        <v>4750</v>
      </c>
      <c r="O3768">
        <v>1</v>
      </c>
    </row>
    <row r="3769" spans="2:15" x14ac:dyDescent="0.2">
      <c r="B3769" t="s">
        <v>1433</v>
      </c>
      <c r="C3769" t="s">
        <v>12899</v>
      </c>
      <c r="D3769" t="s">
        <v>613</v>
      </c>
      <c r="E3769" t="s">
        <v>10610</v>
      </c>
      <c r="F3769">
        <v>2.63</v>
      </c>
      <c r="G3769" t="s">
        <v>6749</v>
      </c>
      <c r="L3769" t="s">
        <v>4428</v>
      </c>
      <c r="M3769" t="s">
        <v>2106</v>
      </c>
      <c r="N3769" t="s">
        <v>4750</v>
      </c>
      <c r="O3769">
        <v>1</v>
      </c>
    </row>
    <row r="3770" spans="2:15" x14ac:dyDescent="0.2">
      <c r="B3770" t="s">
        <v>1433</v>
      </c>
      <c r="C3770" t="s">
        <v>12899</v>
      </c>
      <c r="D3770" t="s">
        <v>613</v>
      </c>
      <c r="E3770" t="s">
        <v>10612</v>
      </c>
      <c r="F3770">
        <v>2.63</v>
      </c>
      <c r="G3770" t="s">
        <v>7705</v>
      </c>
      <c r="L3770" t="s">
        <v>4428</v>
      </c>
      <c r="M3770" t="s">
        <v>2104</v>
      </c>
      <c r="N3770" t="s">
        <v>4750</v>
      </c>
      <c r="O3770">
        <v>1</v>
      </c>
    </row>
    <row r="3771" spans="2:15" x14ac:dyDescent="0.2">
      <c r="B3771" t="s">
        <v>1433</v>
      </c>
      <c r="C3771" t="s">
        <v>12899</v>
      </c>
      <c r="D3771" t="s">
        <v>613</v>
      </c>
      <c r="E3771" t="s">
        <v>10613</v>
      </c>
      <c r="F3771">
        <v>4.05</v>
      </c>
      <c r="G3771" t="s">
        <v>9490</v>
      </c>
      <c r="L3771" t="s">
        <v>4428</v>
      </c>
      <c r="M3771" t="s">
        <v>1812</v>
      </c>
      <c r="N3771" t="s">
        <v>4750</v>
      </c>
      <c r="O3771">
        <v>1</v>
      </c>
    </row>
    <row r="3772" spans="2:15" x14ac:dyDescent="0.2">
      <c r="B3772" t="s">
        <v>1433</v>
      </c>
      <c r="C3772" t="s">
        <v>12899</v>
      </c>
      <c r="D3772" t="s">
        <v>613</v>
      </c>
      <c r="E3772" t="s">
        <v>10614</v>
      </c>
      <c r="F3772">
        <v>0.64</v>
      </c>
      <c r="G3772" t="s">
        <v>6884</v>
      </c>
      <c r="L3772" t="s">
        <v>4428</v>
      </c>
      <c r="M3772" t="s">
        <v>1885</v>
      </c>
      <c r="N3772" t="s">
        <v>4750</v>
      </c>
      <c r="O3772">
        <v>1</v>
      </c>
    </row>
    <row r="3773" spans="2:15" x14ac:dyDescent="0.2">
      <c r="B3773" t="s">
        <v>1433</v>
      </c>
      <c r="C3773" t="s">
        <v>12899</v>
      </c>
      <c r="D3773" t="s">
        <v>613</v>
      </c>
      <c r="E3773" t="s">
        <v>10615</v>
      </c>
      <c r="F3773">
        <v>1.25</v>
      </c>
      <c r="G3773" t="s">
        <v>7665</v>
      </c>
      <c r="L3773" t="s">
        <v>4428</v>
      </c>
      <c r="M3773" t="s">
        <v>2010</v>
      </c>
      <c r="N3773" t="s">
        <v>4750</v>
      </c>
      <c r="O3773">
        <v>1</v>
      </c>
    </row>
    <row r="3774" spans="2:15" x14ac:dyDescent="0.2">
      <c r="B3774" t="s">
        <v>1433</v>
      </c>
      <c r="C3774" t="s">
        <v>12899</v>
      </c>
      <c r="D3774" t="s">
        <v>613</v>
      </c>
      <c r="E3774" t="s">
        <v>10626</v>
      </c>
      <c r="F3774">
        <v>0.84</v>
      </c>
      <c r="G3774" t="s">
        <v>6752</v>
      </c>
      <c r="L3774" t="s">
        <v>4428</v>
      </c>
      <c r="M3774" t="s">
        <v>2011</v>
      </c>
      <c r="N3774" t="s">
        <v>4750</v>
      </c>
      <c r="O3774">
        <v>1</v>
      </c>
    </row>
    <row r="3775" spans="2:15" x14ac:dyDescent="0.2">
      <c r="B3775" t="s">
        <v>1433</v>
      </c>
      <c r="C3775" t="s">
        <v>12899</v>
      </c>
      <c r="D3775" t="s">
        <v>617</v>
      </c>
      <c r="E3775" t="s">
        <v>10628</v>
      </c>
      <c r="F3775">
        <v>5876.8</v>
      </c>
      <c r="H3775" t="s">
        <v>2613</v>
      </c>
      <c r="L3775" t="s">
        <v>4428</v>
      </c>
      <c r="M3775" t="s">
        <v>1700</v>
      </c>
      <c r="N3775" t="s">
        <v>4750</v>
      </c>
      <c r="O3775">
        <v>1</v>
      </c>
    </row>
    <row r="3776" spans="2:15" x14ac:dyDescent="0.2">
      <c r="B3776" t="s">
        <v>1433</v>
      </c>
      <c r="C3776" t="s">
        <v>12899</v>
      </c>
      <c r="D3776" t="s">
        <v>613</v>
      </c>
      <c r="E3776" t="s">
        <v>10630</v>
      </c>
      <c r="F3776">
        <v>100</v>
      </c>
      <c r="H3776" t="s">
        <v>2512</v>
      </c>
      <c r="L3776" t="s">
        <v>4428</v>
      </c>
      <c r="M3776" t="s">
        <v>4207</v>
      </c>
      <c r="N3776" t="s">
        <v>4751</v>
      </c>
      <c r="O3776">
        <v>17</v>
      </c>
    </row>
    <row r="3777" spans="2:15" x14ac:dyDescent="0.2">
      <c r="B3777" t="s">
        <v>1433</v>
      </c>
      <c r="C3777" t="s">
        <v>12899</v>
      </c>
      <c r="D3777" t="s">
        <v>613</v>
      </c>
      <c r="E3777" t="s">
        <v>10631</v>
      </c>
      <c r="F3777">
        <v>100</v>
      </c>
      <c r="H3777" t="s">
        <v>2514</v>
      </c>
      <c r="L3777" t="s">
        <v>4428</v>
      </c>
      <c r="M3777" t="s">
        <v>4208</v>
      </c>
      <c r="N3777" t="s">
        <v>4751</v>
      </c>
      <c r="O3777">
        <v>17</v>
      </c>
    </row>
    <row r="3778" spans="2:15" x14ac:dyDescent="0.2">
      <c r="B3778" t="s">
        <v>1433</v>
      </c>
      <c r="C3778" t="s">
        <v>12899</v>
      </c>
      <c r="D3778" t="s">
        <v>613</v>
      </c>
      <c r="E3778" t="s">
        <v>10632</v>
      </c>
      <c r="F3778">
        <v>16.5</v>
      </c>
      <c r="H3778" t="s">
        <v>2510</v>
      </c>
      <c r="L3778" t="s">
        <v>4428</v>
      </c>
      <c r="M3778" t="s">
        <v>4555</v>
      </c>
      <c r="N3778" t="s">
        <v>4752</v>
      </c>
      <c r="O3778">
        <v>38</v>
      </c>
    </row>
    <row r="3779" spans="2:15" x14ac:dyDescent="0.2">
      <c r="B3779" t="s">
        <v>1433</v>
      </c>
      <c r="C3779" t="s">
        <v>12899</v>
      </c>
      <c r="D3779" t="s">
        <v>613</v>
      </c>
      <c r="E3779" t="s">
        <v>10633</v>
      </c>
      <c r="F3779">
        <v>3.3</v>
      </c>
      <c r="H3779" t="s">
        <v>2513</v>
      </c>
      <c r="L3779" t="s">
        <v>4428</v>
      </c>
      <c r="M3779" t="s">
        <v>4491</v>
      </c>
      <c r="N3779" t="s">
        <v>4752</v>
      </c>
      <c r="O3779">
        <v>8</v>
      </c>
    </row>
    <row r="3780" spans="2:15" x14ac:dyDescent="0.2">
      <c r="B3780" t="s">
        <v>1433</v>
      </c>
      <c r="C3780" t="s">
        <v>12899</v>
      </c>
      <c r="D3780" t="s">
        <v>613</v>
      </c>
      <c r="E3780" t="s">
        <v>10634</v>
      </c>
      <c r="F3780">
        <v>144.28</v>
      </c>
      <c r="H3780" t="s">
        <v>2558</v>
      </c>
      <c r="L3780" t="s">
        <v>4428</v>
      </c>
      <c r="M3780" t="s">
        <v>4455</v>
      </c>
      <c r="N3780" t="s">
        <v>4752</v>
      </c>
      <c r="O3780">
        <v>45</v>
      </c>
    </row>
    <row r="3781" spans="2:15" x14ac:dyDescent="0.2">
      <c r="B3781" t="s">
        <v>1433</v>
      </c>
      <c r="C3781" t="s">
        <v>12899</v>
      </c>
      <c r="D3781" t="s">
        <v>617</v>
      </c>
      <c r="E3781" t="s">
        <v>10636</v>
      </c>
      <c r="F3781">
        <v>21.6</v>
      </c>
      <c r="H3781" t="s">
        <v>1458</v>
      </c>
      <c r="L3781" t="s">
        <v>4428</v>
      </c>
      <c r="M3781" t="s">
        <v>4493</v>
      </c>
      <c r="N3781" t="s">
        <v>4752</v>
      </c>
      <c r="O3781">
        <v>10</v>
      </c>
    </row>
    <row r="3782" spans="2:15" x14ac:dyDescent="0.2">
      <c r="B3782" t="s">
        <v>1433</v>
      </c>
      <c r="C3782" t="s">
        <v>12899</v>
      </c>
      <c r="D3782" t="s">
        <v>617</v>
      </c>
      <c r="E3782" t="s">
        <v>10637</v>
      </c>
      <c r="F3782">
        <v>31.84</v>
      </c>
      <c r="H3782" t="s">
        <v>1642</v>
      </c>
      <c r="L3782" t="s">
        <v>4428</v>
      </c>
      <c r="M3782" t="s">
        <v>4551</v>
      </c>
      <c r="N3782" t="s">
        <v>4752</v>
      </c>
      <c r="O3782">
        <v>8</v>
      </c>
    </row>
    <row r="3783" spans="2:15" x14ac:dyDescent="0.2">
      <c r="B3783" t="s">
        <v>1433</v>
      </c>
      <c r="C3783" t="s">
        <v>12899</v>
      </c>
      <c r="D3783" t="s">
        <v>617</v>
      </c>
      <c r="E3783" t="s">
        <v>10638</v>
      </c>
      <c r="F3783">
        <v>20.48</v>
      </c>
      <c r="H3783" t="s">
        <v>1643</v>
      </c>
      <c r="L3783" t="s">
        <v>4428</v>
      </c>
      <c r="M3783" t="s">
        <v>4552</v>
      </c>
      <c r="N3783" t="s">
        <v>4752</v>
      </c>
      <c r="O3783">
        <v>38</v>
      </c>
    </row>
    <row r="3784" spans="2:15" x14ac:dyDescent="0.2">
      <c r="B3784" t="s">
        <v>1433</v>
      </c>
      <c r="C3784" t="s">
        <v>12899</v>
      </c>
      <c r="D3784" t="s">
        <v>617</v>
      </c>
      <c r="E3784" t="s">
        <v>10639</v>
      </c>
      <c r="F3784">
        <v>121.56</v>
      </c>
      <c r="H3784" t="s">
        <v>1995</v>
      </c>
      <c r="L3784" t="s">
        <v>4428</v>
      </c>
      <c r="M3784" t="s">
        <v>4453</v>
      </c>
      <c r="N3784" t="s">
        <v>4752</v>
      </c>
      <c r="O3784">
        <v>45</v>
      </c>
    </row>
    <row r="3785" spans="2:15" x14ac:dyDescent="0.2">
      <c r="B3785" t="s">
        <v>1433</v>
      </c>
      <c r="C3785" t="s">
        <v>12899</v>
      </c>
      <c r="D3785" t="s">
        <v>617</v>
      </c>
      <c r="E3785" t="s">
        <v>10640</v>
      </c>
      <c r="F3785">
        <v>15.93</v>
      </c>
      <c r="H3785" t="s">
        <v>1995</v>
      </c>
      <c r="L3785" t="s">
        <v>4428</v>
      </c>
      <c r="M3785" t="s">
        <v>4553</v>
      </c>
      <c r="N3785" t="s">
        <v>4752</v>
      </c>
      <c r="O3785">
        <v>10</v>
      </c>
    </row>
    <row r="3786" spans="2:15" x14ac:dyDescent="0.2">
      <c r="B3786" t="s">
        <v>1433</v>
      </c>
      <c r="C3786" t="s">
        <v>12899</v>
      </c>
      <c r="D3786" t="s">
        <v>617</v>
      </c>
      <c r="E3786" t="s">
        <v>10641</v>
      </c>
      <c r="F3786">
        <v>31.84</v>
      </c>
      <c r="H3786" t="s">
        <v>1541</v>
      </c>
      <c r="L3786" t="s">
        <v>4428</v>
      </c>
      <c r="M3786" t="s">
        <v>2933</v>
      </c>
      <c r="N3786" t="s">
        <v>4752</v>
      </c>
      <c r="O3786">
        <v>2</v>
      </c>
    </row>
    <row r="3787" spans="2:15" x14ac:dyDescent="0.2">
      <c r="B3787" t="s">
        <v>1433</v>
      </c>
      <c r="C3787" t="s">
        <v>12899</v>
      </c>
      <c r="D3787" t="s">
        <v>617</v>
      </c>
      <c r="E3787" t="s">
        <v>10642</v>
      </c>
      <c r="F3787">
        <v>20.48</v>
      </c>
      <c r="H3787" t="s">
        <v>1542</v>
      </c>
      <c r="L3787" t="s">
        <v>4428</v>
      </c>
      <c r="M3787" t="s">
        <v>2935</v>
      </c>
      <c r="N3787" t="s">
        <v>4752</v>
      </c>
      <c r="O3787">
        <v>2</v>
      </c>
    </row>
    <row r="3788" spans="2:15" x14ac:dyDescent="0.2">
      <c r="B3788" t="s">
        <v>1433</v>
      </c>
      <c r="C3788" t="s">
        <v>12899</v>
      </c>
      <c r="D3788" t="s">
        <v>1169</v>
      </c>
      <c r="E3788" t="s">
        <v>10643</v>
      </c>
      <c r="F3788">
        <v>608</v>
      </c>
      <c r="G3788" t="s">
        <v>1400</v>
      </c>
      <c r="L3788" t="s">
        <v>4428</v>
      </c>
      <c r="M3788" t="s">
        <v>2508</v>
      </c>
      <c r="N3788" t="s">
        <v>4727</v>
      </c>
      <c r="O3788">
        <v>18</v>
      </c>
    </row>
    <row r="3789" spans="2:15" x14ac:dyDescent="0.2">
      <c r="B3789" t="s">
        <v>1433</v>
      </c>
      <c r="C3789" t="s">
        <v>12899</v>
      </c>
      <c r="D3789" t="s">
        <v>1169</v>
      </c>
      <c r="E3789" t="s">
        <v>10657</v>
      </c>
      <c r="F3789">
        <v>1800</v>
      </c>
      <c r="G3789" t="s">
        <v>1419</v>
      </c>
      <c r="L3789" t="s">
        <v>4428</v>
      </c>
      <c r="M3789" t="s">
        <v>1723</v>
      </c>
      <c r="N3789" t="s">
        <v>4753</v>
      </c>
      <c r="O3789">
        <v>72</v>
      </c>
    </row>
    <row r="3790" spans="2:15" x14ac:dyDescent="0.2">
      <c r="B3790" t="s">
        <v>1433</v>
      </c>
      <c r="C3790" t="s">
        <v>12899</v>
      </c>
      <c r="D3790" t="s">
        <v>1144</v>
      </c>
      <c r="E3790" t="s">
        <v>10681</v>
      </c>
      <c r="F3790">
        <v>189.75</v>
      </c>
      <c r="G3790" t="s">
        <v>1427</v>
      </c>
      <c r="L3790" t="s">
        <v>4428</v>
      </c>
      <c r="M3790" t="s">
        <v>4754</v>
      </c>
      <c r="N3790" t="s">
        <v>4755</v>
      </c>
      <c r="O3790">
        <v>22</v>
      </c>
    </row>
    <row r="3791" spans="2:15" x14ac:dyDescent="0.2">
      <c r="B3791" t="s">
        <v>1433</v>
      </c>
      <c r="C3791" t="s">
        <v>12899</v>
      </c>
      <c r="D3791" t="s">
        <v>617</v>
      </c>
      <c r="E3791" t="s">
        <v>10729</v>
      </c>
      <c r="F3791">
        <v>5961</v>
      </c>
      <c r="G3791" t="s">
        <v>2619</v>
      </c>
      <c r="L3791" t="s">
        <v>4428</v>
      </c>
      <c r="M3791" t="s">
        <v>1588</v>
      </c>
      <c r="N3791" t="s">
        <v>4756</v>
      </c>
      <c r="O3791">
        <v>75</v>
      </c>
    </row>
    <row r="3792" spans="2:15" x14ac:dyDescent="0.2">
      <c r="B3792" t="s">
        <v>1433</v>
      </c>
      <c r="C3792" t="s">
        <v>12899</v>
      </c>
      <c r="D3792" t="s">
        <v>1144</v>
      </c>
      <c r="E3792" t="s">
        <v>10730</v>
      </c>
      <c r="F3792">
        <v>856</v>
      </c>
      <c r="G3792" t="s">
        <v>2184</v>
      </c>
      <c r="L3792" t="s">
        <v>4428</v>
      </c>
      <c r="M3792" t="s">
        <v>1575</v>
      </c>
      <c r="N3792" t="s">
        <v>4757</v>
      </c>
      <c r="O3792">
        <v>15</v>
      </c>
    </row>
    <row r="3793" spans="2:15" x14ac:dyDescent="0.2">
      <c r="B3793" t="s">
        <v>1433</v>
      </c>
      <c r="C3793" t="s">
        <v>12899</v>
      </c>
      <c r="D3793" t="s">
        <v>1144</v>
      </c>
      <c r="E3793" t="s">
        <v>10731</v>
      </c>
      <c r="F3793">
        <v>379.5</v>
      </c>
      <c r="G3793" t="s">
        <v>2186</v>
      </c>
      <c r="L3793" t="s">
        <v>4428</v>
      </c>
      <c r="M3793" t="s">
        <v>4758</v>
      </c>
      <c r="N3793" t="s">
        <v>4757</v>
      </c>
      <c r="O3793">
        <v>3</v>
      </c>
    </row>
    <row r="3794" spans="2:15" x14ac:dyDescent="0.2">
      <c r="B3794" t="s">
        <v>1433</v>
      </c>
      <c r="C3794" t="s">
        <v>12899</v>
      </c>
      <c r="D3794" t="s">
        <v>1144</v>
      </c>
      <c r="E3794" t="s">
        <v>10732</v>
      </c>
      <c r="F3794">
        <v>72</v>
      </c>
      <c r="G3794" t="s">
        <v>2711</v>
      </c>
      <c r="L3794" t="s">
        <v>4428</v>
      </c>
      <c r="M3794" t="s">
        <v>4759</v>
      </c>
      <c r="N3794" t="s">
        <v>4757</v>
      </c>
      <c r="O3794">
        <v>10</v>
      </c>
    </row>
    <row r="3795" spans="2:15" x14ac:dyDescent="0.2">
      <c r="B3795" t="s">
        <v>1433</v>
      </c>
      <c r="C3795" t="s">
        <v>12899</v>
      </c>
      <c r="D3795" t="s">
        <v>613</v>
      </c>
      <c r="E3795" t="s">
        <v>10734</v>
      </c>
      <c r="F3795">
        <v>1</v>
      </c>
      <c r="G3795" t="s">
        <v>7016</v>
      </c>
      <c r="L3795" t="s">
        <v>4428</v>
      </c>
      <c r="M3795" t="s">
        <v>4627</v>
      </c>
      <c r="N3795" t="s">
        <v>4760</v>
      </c>
      <c r="O3795">
        <v>8</v>
      </c>
    </row>
    <row r="3796" spans="2:15" x14ac:dyDescent="0.2">
      <c r="B3796" t="s">
        <v>1433</v>
      </c>
      <c r="C3796" t="s">
        <v>12899</v>
      </c>
      <c r="D3796" t="s">
        <v>613</v>
      </c>
      <c r="E3796" t="s">
        <v>10735</v>
      </c>
      <c r="F3796">
        <v>11.7</v>
      </c>
      <c r="G3796" t="s">
        <v>9861</v>
      </c>
      <c r="L3796" t="s">
        <v>4428</v>
      </c>
      <c r="M3796" t="s">
        <v>4629</v>
      </c>
      <c r="N3796" t="s">
        <v>4760</v>
      </c>
      <c r="O3796">
        <v>3</v>
      </c>
    </row>
    <row r="3797" spans="2:15" x14ac:dyDescent="0.2">
      <c r="B3797" t="s">
        <v>1433</v>
      </c>
      <c r="C3797" t="s">
        <v>12899</v>
      </c>
      <c r="D3797" t="s">
        <v>613</v>
      </c>
      <c r="E3797" t="s">
        <v>10736</v>
      </c>
      <c r="F3797">
        <v>6.38</v>
      </c>
      <c r="G3797" t="s">
        <v>9864</v>
      </c>
      <c r="L3797" t="s">
        <v>4428</v>
      </c>
      <c r="M3797" t="s">
        <v>2509</v>
      </c>
      <c r="N3797" t="s">
        <v>4727</v>
      </c>
      <c r="O3797">
        <v>12</v>
      </c>
    </row>
    <row r="3798" spans="2:15" x14ac:dyDescent="0.2">
      <c r="B3798" t="s">
        <v>1433</v>
      </c>
      <c r="C3798" t="s">
        <v>12899</v>
      </c>
      <c r="D3798" t="s">
        <v>613</v>
      </c>
      <c r="E3798" t="s">
        <v>10737</v>
      </c>
      <c r="F3798">
        <v>13.79</v>
      </c>
      <c r="G3798" t="s">
        <v>7701</v>
      </c>
      <c r="L3798" t="s">
        <v>4428</v>
      </c>
      <c r="M3798" t="s">
        <v>4761</v>
      </c>
      <c r="N3798" t="s">
        <v>4712</v>
      </c>
      <c r="O3798">
        <v>6</v>
      </c>
    </row>
    <row r="3799" spans="2:15" x14ac:dyDescent="0.2">
      <c r="B3799" t="s">
        <v>1433</v>
      </c>
      <c r="C3799" t="s">
        <v>12899</v>
      </c>
      <c r="D3799" t="s">
        <v>613</v>
      </c>
      <c r="E3799" t="s">
        <v>10738</v>
      </c>
      <c r="F3799">
        <v>4.8</v>
      </c>
      <c r="G3799" t="s">
        <v>6752</v>
      </c>
      <c r="L3799" t="s">
        <v>4428</v>
      </c>
      <c r="M3799" t="s">
        <v>4762</v>
      </c>
      <c r="N3799" t="s">
        <v>4712</v>
      </c>
      <c r="O3799">
        <v>2</v>
      </c>
    </row>
    <row r="3800" spans="2:15" x14ac:dyDescent="0.2">
      <c r="B3800" t="s">
        <v>1433</v>
      </c>
      <c r="C3800" t="s">
        <v>12899</v>
      </c>
      <c r="D3800" t="s">
        <v>1144</v>
      </c>
      <c r="E3800" t="s">
        <v>10739</v>
      </c>
      <c r="F3800">
        <v>690</v>
      </c>
      <c r="G3800" t="s">
        <v>2192</v>
      </c>
      <c r="L3800" t="s">
        <v>4428</v>
      </c>
      <c r="M3800" t="s">
        <v>4319</v>
      </c>
      <c r="N3800" t="s">
        <v>4749</v>
      </c>
      <c r="O3800">
        <v>3</v>
      </c>
    </row>
    <row r="3801" spans="2:15" x14ac:dyDescent="0.2">
      <c r="B3801" t="s">
        <v>1433</v>
      </c>
      <c r="C3801" t="s">
        <v>12899</v>
      </c>
      <c r="D3801" t="s">
        <v>1144</v>
      </c>
      <c r="E3801" t="s">
        <v>10740</v>
      </c>
      <c r="F3801">
        <v>402.5</v>
      </c>
      <c r="G3801" t="s">
        <v>2196</v>
      </c>
      <c r="L3801" t="s">
        <v>4428</v>
      </c>
      <c r="M3801" t="s">
        <v>4758</v>
      </c>
      <c r="N3801" t="s">
        <v>4763</v>
      </c>
      <c r="O3801">
        <v>9</v>
      </c>
    </row>
    <row r="3802" spans="2:15" x14ac:dyDescent="0.2">
      <c r="B3802" t="s">
        <v>1433</v>
      </c>
      <c r="C3802" t="s">
        <v>12899</v>
      </c>
      <c r="D3802" t="s">
        <v>1169</v>
      </c>
      <c r="E3802" t="s">
        <v>10741</v>
      </c>
      <c r="F3802">
        <v>230</v>
      </c>
      <c r="G3802" t="s">
        <v>2166</v>
      </c>
      <c r="L3802" t="s">
        <v>4428</v>
      </c>
      <c r="M3802" t="s">
        <v>4759</v>
      </c>
      <c r="N3802" t="s">
        <v>4763</v>
      </c>
      <c r="O3802">
        <v>9</v>
      </c>
    </row>
    <row r="3803" spans="2:15" x14ac:dyDescent="0.2">
      <c r="B3803" t="s">
        <v>1433</v>
      </c>
      <c r="C3803" t="s">
        <v>12899</v>
      </c>
      <c r="D3803" t="s">
        <v>613</v>
      </c>
      <c r="E3803" t="s">
        <v>10742</v>
      </c>
      <c r="F3803">
        <v>11.55</v>
      </c>
      <c r="G3803" t="s">
        <v>2510</v>
      </c>
      <c r="L3803" t="s">
        <v>4428</v>
      </c>
      <c r="M3803" t="s">
        <v>2683</v>
      </c>
      <c r="N3803" t="s">
        <v>4764</v>
      </c>
      <c r="O3803">
        <v>1</v>
      </c>
    </row>
    <row r="3804" spans="2:15" x14ac:dyDescent="0.2">
      <c r="B3804" t="s">
        <v>1433</v>
      </c>
      <c r="C3804" t="s">
        <v>12899</v>
      </c>
      <c r="D3804" t="s">
        <v>613</v>
      </c>
      <c r="E3804" t="s">
        <v>10743</v>
      </c>
      <c r="F3804">
        <v>4.2</v>
      </c>
      <c r="G3804" t="s">
        <v>7827</v>
      </c>
      <c r="L3804" t="s">
        <v>4428</v>
      </c>
      <c r="M3804" t="s">
        <v>1277</v>
      </c>
      <c r="N3804" t="s">
        <v>4764</v>
      </c>
      <c r="O3804">
        <v>1</v>
      </c>
    </row>
    <row r="3805" spans="2:15" x14ac:dyDescent="0.2">
      <c r="B3805" t="s">
        <v>1433</v>
      </c>
      <c r="C3805" t="s">
        <v>12899</v>
      </c>
      <c r="D3805" t="s">
        <v>613</v>
      </c>
      <c r="E3805" t="s">
        <v>10744</v>
      </c>
      <c r="F3805">
        <v>2.4</v>
      </c>
      <c r="G3805" t="s">
        <v>6232</v>
      </c>
      <c r="L3805" t="s">
        <v>4428</v>
      </c>
      <c r="M3805" t="s">
        <v>1275</v>
      </c>
      <c r="N3805" t="s">
        <v>4764</v>
      </c>
      <c r="O3805">
        <v>1</v>
      </c>
    </row>
    <row r="3806" spans="2:15" x14ac:dyDescent="0.2">
      <c r="B3806" t="s">
        <v>1433</v>
      </c>
      <c r="C3806" t="s">
        <v>12899</v>
      </c>
      <c r="D3806" t="s">
        <v>613</v>
      </c>
      <c r="E3806" t="s">
        <v>10745</v>
      </c>
      <c r="F3806">
        <v>194.34</v>
      </c>
      <c r="G3806" t="s">
        <v>7324</v>
      </c>
      <c r="L3806" t="s">
        <v>4428</v>
      </c>
      <c r="M3806" t="s">
        <v>1292</v>
      </c>
      <c r="N3806" t="s">
        <v>4765</v>
      </c>
      <c r="O3806">
        <v>1</v>
      </c>
    </row>
    <row r="3807" spans="2:15" x14ac:dyDescent="0.2">
      <c r="B3807" t="s">
        <v>1433</v>
      </c>
      <c r="C3807" t="s">
        <v>12899</v>
      </c>
      <c r="D3807" t="s">
        <v>613</v>
      </c>
      <c r="E3807" t="s">
        <v>10746</v>
      </c>
      <c r="F3807">
        <v>95.89</v>
      </c>
      <c r="G3807" t="s">
        <v>10747</v>
      </c>
      <c r="L3807" t="s">
        <v>4428</v>
      </c>
      <c r="M3807" t="s">
        <v>1301</v>
      </c>
      <c r="N3807" t="s">
        <v>4766</v>
      </c>
      <c r="O3807">
        <v>1</v>
      </c>
    </row>
    <row r="3808" spans="2:15" x14ac:dyDescent="0.2">
      <c r="B3808" t="s">
        <v>1433</v>
      </c>
      <c r="C3808" t="s">
        <v>12899</v>
      </c>
      <c r="D3808" t="s">
        <v>613</v>
      </c>
      <c r="E3808" t="s">
        <v>10748</v>
      </c>
      <c r="F3808">
        <v>231.65</v>
      </c>
      <c r="G3808" t="s">
        <v>5354</v>
      </c>
      <c r="L3808" t="s">
        <v>4428</v>
      </c>
      <c r="M3808" t="s">
        <v>4621</v>
      </c>
      <c r="N3808" t="s">
        <v>4767</v>
      </c>
      <c r="O3808">
        <v>2</v>
      </c>
    </row>
    <row r="3809" spans="2:15" x14ac:dyDescent="0.2">
      <c r="B3809" t="s">
        <v>1433</v>
      </c>
      <c r="C3809" t="s">
        <v>12899</v>
      </c>
      <c r="D3809" t="s">
        <v>613</v>
      </c>
      <c r="E3809" t="s">
        <v>10749</v>
      </c>
      <c r="F3809">
        <v>3.84</v>
      </c>
      <c r="G3809" t="s">
        <v>10750</v>
      </c>
      <c r="L3809" t="s">
        <v>4428</v>
      </c>
      <c r="M3809" t="s">
        <v>4768</v>
      </c>
      <c r="N3809" t="s">
        <v>4769</v>
      </c>
      <c r="O3809">
        <v>8</v>
      </c>
    </row>
    <row r="3810" spans="2:15" x14ac:dyDescent="0.2">
      <c r="B3810" t="s">
        <v>1433</v>
      </c>
      <c r="C3810" t="s">
        <v>12899</v>
      </c>
      <c r="D3810" t="s">
        <v>613</v>
      </c>
      <c r="E3810" t="s">
        <v>10751</v>
      </c>
      <c r="F3810">
        <v>5.77</v>
      </c>
      <c r="G3810" t="s">
        <v>7678</v>
      </c>
      <c r="L3810" t="s">
        <v>4428</v>
      </c>
      <c r="M3810" t="s">
        <v>2350</v>
      </c>
      <c r="N3810" t="s">
        <v>4770</v>
      </c>
      <c r="O3810">
        <v>50</v>
      </c>
    </row>
    <row r="3811" spans="2:15" x14ac:dyDescent="0.2">
      <c r="B3811" t="s">
        <v>1433</v>
      </c>
      <c r="C3811" t="s">
        <v>12899</v>
      </c>
      <c r="D3811" t="s">
        <v>1144</v>
      </c>
      <c r="E3811" t="s">
        <v>10752</v>
      </c>
      <c r="F3811">
        <v>396.5</v>
      </c>
      <c r="G3811" t="s">
        <v>3921</v>
      </c>
      <c r="L3811" t="s">
        <v>4428</v>
      </c>
      <c r="M3811" t="s">
        <v>4771</v>
      </c>
      <c r="N3811" t="s">
        <v>4770</v>
      </c>
      <c r="O3811">
        <v>50</v>
      </c>
    </row>
    <row r="3812" spans="2:15" x14ac:dyDescent="0.2">
      <c r="B3812" t="s">
        <v>1433</v>
      </c>
      <c r="C3812" t="s">
        <v>12899</v>
      </c>
      <c r="D3812" t="s">
        <v>613</v>
      </c>
      <c r="E3812" t="s">
        <v>10753</v>
      </c>
      <c r="F3812">
        <v>286.8</v>
      </c>
      <c r="G3812" t="s">
        <v>4084</v>
      </c>
      <c r="L3812" t="s">
        <v>4428</v>
      </c>
      <c r="M3812" t="s">
        <v>1891</v>
      </c>
      <c r="N3812" t="s">
        <v>4727</v>
      </c>
      <c r="O3812">
        <v>8</v>
      </c>
    </row>
    <row r="3813" spans="2:15" x14ac:dyDescent="0.2">
      <c r="B3813" t="s">
        <v>1433</v>
      </c>
      <c r="C3813" t="s">
        <v>12899</v>
      </c>
      <c r="D3813" t="s">
        <v>613</v>
      </c>
      <c r="E3813" t="s">
        <v>10754</v>
      </c>
      <c r="F3813">
        <v>600.87</v>
      </c>
      <c r="G3813" t="s">
        <v>4104</v>
      </c>
      <c r="L3813" t="s">
        <v>4428</v>
      </c>
      <c r="M3813" t="s">
        <v>1272</v>
      </c>
      <c r="N3813" t="s">
        <v>4772</v>
      </c>
      <c r="O3813">
        <v>1</v>
      </c>
    </row>
    <row r="3814" spans="2:15" x14ac:dyDescent="0.2">
      <c r="B3814" t="s">
        <v>1433</v>
      </c>
      <c r="C3814" t="s">
        <v>12899</v>
      </c>
      <c r="D3814" t="s">
        <v>617</v>
      </c>
      <c r="E3814" t="s">
        <v>10755</v>
      </c>
      <c r="F3814">
        <v>2857.14</v>
      </c>
      <c r="G3814" t="s">
        <v>4127</v>
      </c>
      <c r="L3814" t="s">
        <v>4428</v>
      </c>
      <c r="M3814" t="s">
        <v>4773</v>
      </c>
      <c r="N3814" t="s">
        <v>4774</v>
      </c>
      <c r="O3814">
        <v>1</v>
      </c>
    </row>
    <row r="3815" spans="2:15" x14ac:dyDescent="0.2">
      <c r="B3815" t="s">
        <v>1433</v>
      </c>
      <c r="C3815" t="s">
        <v>12899</v>
      </c>
      <c r="D3815" t="s">
        <v>466</v>
      </c>
      <c r="E3815" t="s">
        <v>10756</v>
      </c>
      <c r="F3815">
        <v>4070.56</v>
      </c>
      <c r="G3815" t="s">
        <v>10757</v>
      </c>
      <c r="L3815" t="s">
        <v>4428</v>
      </c>
      <c r="M3815" t="s">
        <v>1387</v>
      </c>
      <c r="N3815" t="s">
        <v>4775</v>
      </c>
      <c r="O3815">
        <v>1000</v>
      </c>
    </row>
    <row r="3816" spans="2:15" x14ac:dyDescent="0.2">
      <c r="B3816" t="s">
        <v>1433</v>
      </c>
      <c r="C3816" t="s">
        <v>12899</v>
      </c>
      <c r="D3816" t="s">
        <v>423</v>
      </c>
      <c r="E3816" t="s">
        <v>10758</v>
      </c>
      <c r="F3816">
        <v>24435.17</v>
      </c>
      <c r="G3816" t="s">
        <v>10219</v>
      </c>
      <c r="L3816" t="s">
        <v>4428</v>
      </c>
      <c r="M3816" t="s">
        <v>4776</v>
      </c>
      <c r="N3816" t="s">
        <v>4775</v>
      </c>
      <c r="O3816">
        <v>150</v>
      </c>
    </row>
    <row r="3817" spans="2:15" x14ac:dyDescent="0.2">
      <c r="B3817" t="s">
        <v>1433</v>
      </c>
      <c r="C3817" t="s">
        <v>12900</v>
      </c>
      <c r="D3817" t="s">
        <v>895</v>
      </c>
      <c r="E3817" t="s">
        <v>10773</v>
      </c>
      <c r="F3817">
        <v>5600</v>
      </c>
      <c r="G3817" t="s">
        <v>1255</v>
      </c>
      <c r="L3817" t="s">
        <v>4428</v>
      </c>
      <c r="M3817" t="s">
        <v>4605</v>
      </c>
      <c r="N3817" t="s">
        <v>4777</v>
      </c>
      <c r="O3817">
        <v>-28</v>
      </c>
    </row>
    <row r="3818" spans="2:15" x14ac:dyDescent="0.2">
      <c r="B3818" t="s">
        <v>1433</v>
      </c>
      <c r="C3818" t="s">
        <v>12900</v>
      </c>
      <c r="D3818" t="s">
        <v>1063</v>
      </c>
      <c r="E3818" t="s">
        <v>10780</v>
      </c>
      <c r="F3818">
        <v>29800</v>
      </c>
      <c r="G3818" t="s">
        <v>3270</v>
      </c>
      <c r="L3818" t="s">
        <v>4428</v>
      </c>
      <c r="M3818" t="s">
        <v>4605</v>
      </c>
      <c r="N3818" t="s">
        <v>4778</v>
      </c>
      <c r="O3818">
        <v>-24</v>
      </c>
    </row>
    <row r="3819" spans="2:15" x14ac:dyDescent="0.2">
      <c r="B3819" t="s">
        <v>1433</v>
      </c>
      <c r="C3819" t="s">
        <v>12900</v>
      </c>
      <c r="D3819" t="s">
        <v>1063</v>
      </c>
      <c r="E3819" t="s">
        <v>10808</v>
      </c>
      <c r="F3819">
        <v>29800</v>
      </c>
      <c r="G3819" t="s">
        <v>3270</v>
      </c>
      <c r="L3819" t="s">
        <v>4428</v>
      </c>
      <c r="M3819" t="s">
        <v>1557</v>
      </c>
      <c r="N3819" t="s">
        <v>4779</v>
      </c>
      <c r="O3819">
        <v>-17</v>
      </c>
    </row>
    <row r="3820" spans="2:15" x14ac:dyDescent="0.2">
      <c r="B3820" t="s">
        <v>1433</v>
      </c>
      <c r="C3820" t="s">
        <v>12900</v>
      </c>
      <c r="D3820" t="s">
        <v>895</v>
      </c>
      <c r="E3820" t="s">
        <v>10883</v>
      </c>
      <c r="F3820">
        <v>2300</v>
      </c>
      <c r="G3820" t="s">
        <v>1303</v>
      </c>
      <c r="L3820" t="s">
        <v>4428</v>
      </c>
      <c r="M3820" t="s">
        <v>1560</v>
      </c>
      <c r="N3820" t="s">
        <v>4779</v>
      </c>
      <c r="O3820">
        <v>-22</v>
      </c>
    </row>
    <row r="3821" spans="2:15" x14ac:dyDescent="0.2">
      <c r="B3821" t="s">
        <v>1433</v>
      </c>
      <c r="C3821" t="s">
        <v>12900</v>
      </c>
      <c r="D3821" t="s">
        <v>1063</v>
      </c>
      <c r="E3821" t="s">
        <v>10932</v>
      </c>
      <c r="F3821">
        <v>7920</v>
      </c>
      <c r="G3821" t="s">
        <v>1305</v>
      </c>
      <c r="L3821" t="s">
        <v>4428</v>
      </c>
      <c r="M3821" t="s">
        <v>2160</v>
      </c>
      <c r="N3821" t="s">
        <v>4780</v>
      </c>
      <c r="O3821">
        <v>6</v>
      </c>
    </row>
    <row r="3822" spans="2:15" x14ac:dyDescent="0.2">
      <c r="B3822" t="s">
        <v>1433</v>
      </c>
      <c r="C3822" t="s">
        <v>12900</v>
      </c>
      <c r="D3822" t="s">
        <v>907</v>
      </c>
      <c r="E3822" t="s">
        <v>10976</v>
      </c>
      <c r="F3822">
        <v>1400</v>
      </c>
      <c r="G3822" t="s">
        <v>1334</v>
      </c>
      <c r="L3822" t="s">
        <v>4428</v>
      </c>
      <c r="M3822" t="s">
        <v>2161</v>
      </c>
      <c r="N3822" t="s">
        <v>4780</v>
      </c>
      <c r="O3822">
        <v>12</v>
      </c>
    </row>
    <row r="3823" spans="2:15" x14ac:dyDescent="0.2">
      <c r="B3823" t="s">
        <v>1433</v>
      </c>
      <c r="C3823" t="s">
        <v>12900</v>
      </c>
      <c r="D3823" t="s">
        <v>907</v>
      </c>
      <c r="E3823" t="s">
        <v>11019</v>
      </c>
      <c r="F3823">
        <v>5600</v>
      </c>
      <c r="G3823" t="s">
        <v>1334</v>
      </c>
      <c r="L3823" t="s">
        <v>4428</v>
      </c>
      <c r="M3823" t="s">
        <v>2162</v>
      </c>
      <c r="N3823" t="s">
        <v>4780</v>
      </c>
      <c r="O3823">
        <v>6</v>
      </c>
    </row>
    <row r="3824" spans="2:15" x14ac:dyDescent="0.2">
      <c r="B3824" t="s">
        <v>1433</v>
      </c>
      <c r="C3824" t="s">
        <v>12900</v>
      </c>
      <c r="D3824" t="s">
        <v>1070</v>
      </c>
      <c r="E3824" t="s">
        <v>11053</v>
      </c>
      <c r="F3824">
        <v>5100</v>
      </c>
      <c r="G3824" t="s">
        <v>1338</v>
      </c>
      <c r="L3824" t="s">
        <v>4428</v>
      </c>
      <c r="M3824" t="s">
        <v>4266</v>
      </c>
      <c r="N3824" t="s">
        <v>4409</v>
      </c>
      <c r="O3824">
        <v>1</v>
      </c>
    </row>
    <row r="3825" spans="2:15" x14ac:dyDescent="0.2">
      <c r="B3825" t="s">
        <v>1433</v>
      </c>
      <c r="C3825" t="s">
        <v>12900</v>
      </c>
      <c r="D3825" t="s">
        <v>1070</v>
      </c>
      <c r="E3825" t="s">
        <v>11058</v>
      </c>
      <c r="F3825">
        <v>5100</v>
      </c>
      <c r="G3825" t="s">
        <v>1338</v>
      </c>
      <c r="L3825" t="s">
        <v>4428</v>
      </c>
      <c r="M3825" t="s">
        <v>4781</v>
      </c>
      <c r="N3825" t="s">
        <v>4409</v>
      </c>
      <c r="O3825">
        <v>1</v>
      </c>
    </row>
    <row r="3826" spans="2:15" x14ac:dyDescent="0.2">
      <c r="B3826" t="s">
        <v>1433</v>
      </c>
      <c r="C3826" t="s">
        <v>12900</v>
      </c>
      <c r="D3826" t="s">
        <v>1070</v>
      </c>
      <c r="E3826" t="s">
        <v>11059</v>
      </c>
      <c r="F3826">
        <v>15300</v>
      </c>
      <c r="G3826" t="s">
        <v>1338</v>
      </c>
      <c r="L3826" t="s">
        <v>4428</v>
      </c>
      <c r="M3826" t="s">
        <v>1294</v>
      </c>
      <c r="N3826" t="s">
        <v>4782</v>
      </c>
      <c r="O3826">
        <v>1</v>
      </c>
    </row>
    <row r="3827" spans="2:15" x14ac:dyDescent="0.2">
      <c r="B3827" t="s">
        <v>1433</v>
      </c>
      <c r="C3827" t="s">
        <v>12900</v>
      </c>
      <c r="D3827" t="s">
        <v>1070</v>
      </c>
      <c r="E3827" t="s">
        <v>11085</v>
      </c>
      <c r="F3827">
        <v>15300</v>
      </c>
      <c r="G3827" t="s">
        <v>1338</v>
      </c>
      <c r="L3827" t="s">
        <v>4428</v>
      </c>
      <c r="M3827" t="s">
        <v>4783</v>
      </c>
      <c r="N3827" t="s">
        <v>4784</v>
      </c>
      <c r="O3827">
        <v>100</v>
      </c>
    </row>
    <row r="3828" spans="2:15" x14ac:dyDescent="0.2">
      <c r="B3828" t="s">
        <v>1433</v>
      </c>
      <c r="C3828" t="s">
        <v>12900</v>
      </c>
      <c r="D3828" t="s">
        <v>1070</v>
      </c>
      <c r="E3828" t="s">
        <v>11086</v>
      </c>
      <c r="F3828">
        <v>10200</v>
      </c>
      <c r="G3828" t="s">
        <v>1338</v>
      </c>
      <c r="L3828" t="s">
        <v>4428</v>
      </c>
      <c r="M3828" t="s">
        <v>1257</v>
      </c>
      <c r="N3828" t="s">
        <v>4785</v>
      </c>
      <c r="O3828">
        <v>1</v>
      </c>
    </row>
    <row r="3829" spans="2:15" x14ac:dyDescent="0.2">
      <c r="B3829" t="s">
        <v>1433</v>
      </c>
      <c r="C3829" t="s">
        <v>12900</v>
      </c>
      <c r="D3829" t="s">
        <v>907</v>
      </c>
      <c r="E3829" t="s">
        <v>11088</v>
      </c>
      <c r="F3829">
        <v>2000</v>
      </c>
      <c r="G3829" t="s">
        <v>1354</v>
      </c>
      <c r="L3829" t="s">
        <v>4428</v>
      </c>
      <c r="M3829" t="s">
        <v>4786</v>
      </c>
      <c r="N3829" t="s">
        <v>4787</v>
      </c>
      <c r="O3829">
        <v>1</v>
      </c>
    </row>
    <row r="3830" spans="2:15" x14ac:dyDescent="0.2">
      <c r="B3830" t="s">
        <v>1433</v>
      </c>
      <c r="C3830" t="s">
        <v>12900</v>
      </c>
      <c r="D3830" t="s">
        <v>1070</v>
      </c>
      <c r="E3830" t="s">
        <v>11123</v>
      </c>
      <c r="F3830">
        <v>1800</v>
      </c>
      <c r="G3830" t="s">
        <v>1368</v>
      </c>
      <c r="L3830" t="s">
        <v>4428</v>
      </c>
      <c r="M3830" t="s">
        <v>1724</v>
      </c>
      <c r="N3830" t="s">
        <v>4756</v>
      </c>
      <c r="O3830">
        <v>100</v>
      </c>
    </row>
    <row r="3831" spans="2:15" x14ac:dyDescent="0.2">
      <c r="B3831" t="s">
        <v>1433</v>
      </c>
      <c r="C3831" t="s">
        <v>12900</v>
      </c>
      <c r="D3831" t="s">
        <v>1070</v>
      </c>
      <c r="E3831" t="s">
        <v>11139</v>
      </c>
      <c r="F3831">
        <v>5400</v>
      </c>
      <c r="G3831" t="s">
        <v>1368</v>
      </c>
      <c r="L3831" t="s">
        <v>4428</v>
      </c>
      <c r="M3831" t="s">
        <v>1817</v>
      </c>
      <c r="N3831" t="s">
        <v>4788</v>
      </c>
      <c r="O3831">
        <v>0</v>
      </c>
    </row>
    <row r="3832" spans="2:15" x14ac:dyDescent="0.2">
      <c r="B3832" t="s">
        <v>1433</v>
      </c>
      <c r="C3832" t="s">
        <v>12900</v>
      </c>
      <c r="D3832" t="s">
        <v>1070</v>
      </c>
      <c r="E3832" t="s">
        <v>11150</v>
      </c>
      <c r="F3832">
        <v>5400</v>
      </c>
      <c r="G3832" t="s">
        <v>1368</v>
      </c>
      <c r="L3832" t="s">
        <v>4428</v>
      </c>
      <c r="M3832" t="s">
        <v>1773</v>
      </c>
      <c r="N3832" t="s">
        <v>4789</v>
      </c>
      <c r="O3832">
        <v>100</v>
      </c>
    </row>
    <row r="3833" spans="2:15" x14ac:dyDescent="0.2">
      <c r="B3833" t="s">
        <v>1433</v>
      </c>
      <c r="C3833" t="s">
        <v>12900</v>
      </c>
      <c r="D3833" t="s">
        <v>1070</v>
      </c>
      <c r="E3833" t="s">
        <v>11155</v>
      </c>
      <c r="F3833">
        <v>-5400</v>
      </c>
      <c r="G3833" t="s">
        <v>1368</v>
      </c>
      <c r="L3833" t="s">
        <v>4428</v>
      </c>
      <c r="M3833" t="s">
        <v>1775</v>
      </c>
      <c r="N3833" t="s">
        <v>4789</v>
      </c>
      <c r="O3833">
        <v>100</v>
      </c>
    </row>
    <row r="3834" spans="2:15" x14ac:dyDescent="0.2">
      <c r="B3834" t="s">
        <v>1433</v>
      </c>
      <c r="C3834" t="s">
        <v>12900</v>
      </c>
      <c r="D3834" t="s">
        <v>1070</v>
      </c>
      <c r="E3834" t="s">
        <v>11164</v>
      </c>
      <c r="F3834">
        <v>5400</v>
      </c>
      <c r="G3834" t="s">
        <v>1368</v>
      </c>
      <c r="L3834" t="s">
        <v>4428</v>
      </c>
      <c r="M3834" t="s">
        <v>1739</v>
      </c>
      <c r="N3834" t="s">
        <v>4790</v>
      </c>
      <c r="O3834">
        <v>100</v>
      </c>
    </row>
    <row r="3835" spans="2:15" x14ac:dyDescent="0.2">
      <c r="B3835" t="s">
        <v>1433</v>
      </c>
      <c r="C3835" t="s">
        <v>12900</v>
      </c>
      <c r="D3835" t="s">
        <v>1070</v>
      </c>
      <c r="E3835" t="s">
        <v>11177</v>
      </c>
      <c r="F3835">
        <v>-5400</v>
      </c>
      <c r="G3835" t="s">
        <v>1368</v>
      </c>
      <c r="L3835" t="s">
        <v>4428</v>
      </c>
      <c r="M3835" t="s">
        <v>4791</v>
      </c>
      <c r="N3835" t="s">
        <v>4749</v>
      </c>
      <c r="O3835">
        <v>12</v>
      </c>
    </row>
    <row r="3836" spans="2:15" x14ac:dyDescent="0.2">
      <c r="B3836" t="s">
        <v>1433</v>
      </c>
      <c r="C3836" t="s">
        <v>12900</v>
      </c>
      <c r="D3836" t="s">
        <v>1070</v>
      </c>
      <c r="E3836" t="s">
        <v>11189</v>
      </c>
      <c r="F3836">
        <v>5400</v>
      </c>
      <c r="G3836" t="s">
        <v>1368</v>
      </c>
      <c r="L3836" t="s">
        <v>4428</v>
      </c>
      <c r="M3836" t="s">
        <v>1309</v>
      </c>
      <c r="N3836" t="s">
        <v>4792</v>
      </c>
      <c r="O3836">
        <v>1</v>
      </c>
    </row>
    <row r="3837" spans="2:15" x14ac:dyDescent="0.2">
      <c r="B3837" t="s">
        <v>1433</v>
      </c>
      <c r="C3837" t="s">
        <v>12900</v>
      </c>
      <c r="D3837" t="s">
        <v>1070</v>
      </c>
      <c r="E3837" t="s">
        <v>11190</v>
      </c>
      <c r="F3837">
        <v>2700</v>
      </c>
      <c r="G3837" t="s">
        <v>1368</v>
      </c>
      <c r="L3837" t="s">
        <v>4428</v>
      </c>
      <c r="M3837" t="s">
        <v>1307</v>
      </c>
      <c r="N3837" t="s">
        <v>4792</v>
      </c>
      <c r="O3837">
        <v>1</v>
      </c>
    </row>
    <row r="3838" spans="2:15" x14ac:dyDescent="0.2">
      <c r="B3838" t="s">
        <v>1433</v>
      </c>
      <c r="C3838" t="s">
        <v>12900</v>
      </c>
      <c r="D3838" t="s">
        <v>1070</v>
      </c>
      <c r="E3838" t="s">
        <v>11198</v>
      </c>
      <c r="F3838">
        <v>1800</v>
      </c>
      <c r="G3838" t="s">
        <v>1368</v>
      </c>
      <c r="L3838" t="s">
        <v>4428</v>
      </c>
      <c r="M3838" t="s">
        <v>1246</v>
      </c>
      <c r="N3838" t="s">
        <v>4793</v>
      </c>
      <c r="O3838">
        <v>1</v>
      </c>
    </row>
    <row r="3839" spans="2:15" x14ac:dyDescent="0.2">
      <c r="B3839" t="s">
        <v>1433</v>
      </c>
      <c r="C3839" t="s">
        <v>12900</v>
      </c>
      <c r="D3839" t="s">
        <v>1169</v>
      </c>
      <c r="E3839" t="s">
        <v>11199</v>
      </c>
      <c r="F3839">
        <v>6300</v>
      </c>
      <c r="G3839" t="s">
        <v>2750</v>
      </c>
      <c r="L3839" t="s">
        <v>4428</v>
      </c>
      <c r="M3839" t="s">
        <v>1248</v>
      </c>
      <c r="N3839" t="s">
        <v>4793</v>
      </c>
      <c r="O3839">
        <v>1</v>
      </c>
    </row>
    <row r="3840" spans="2:15" x14ac:dyDescent="0.2">
      <c r="B3840" t="s">
        <v>1433</v>
      </c>
      <c r="C3840" t="s">
        <v>12900</v>
      </c>
      <c r="D3840" t="s">
        <v>1169</v>
      </c>
      <c r="E3840" t="s">
        <v>11200</v>
      </c>
      <c r="F3840">
        <v>1260</v>
      </c>
      <c r="G3840" t="s">
        <v>2750</v>
      </c>
      <c r="L3840" t="s">
        <v>4428</v>
      </c>
      <c r="M3840" t="s">
        <v>1429</v>
      </c>
      <c r="N3840" t="s">
        <v>4793</v>
      </c>
      <c r="O3840">
        <v>1</v>
      </c>
    </row>
    <row r="3841" spans="2:15" x14ac:dyDescent="0.2">
      <c r="B3841" t="s">
        <v>1433</v>
      </c>
      <c r="C3841" t="s">
        <v>12900</v>
      </c>
      <c r="D3841" t="s">
        <v>617</v>
      </c>
      <c r="E3841" t="s">
        <v>11201</v>
      </c>
      <c r="F3841">
        <v>720</v>
      </c>
      <c r="G3841" t="s">
        <v>2752</v>
      </c>
      <c r="L3841" t="s">
        <v>4428</v>
      </c>
      <c r="M3841" t="s">
        <v>4794</v>
      </c>
      <c r="N3841" t="s">
        <v>4409</v>
      </c>
      <c r="O3841">
        <v>24</v>
      </c>
    </row>
    <row r="3842" spans="2:15" x14ac:dyDescent="0.2">
      <c r="B3842" t="s">
        <v>1433</v>
      </c>
      <c r="C3842" t="s">
        <v>12900</v>
      </c>
      <c r="D3842" t="s">
        <v>1063</v>
      </c>
      <c r="E3842" t="s">
        <v>11202</v>
      </c>
      <c r="F3842">
        <v>4738</v>
      </c>
      <c r="G3842" t="s">
        <v>3217</v>
      </c>
      <c r="L3842" t="s">
        <v>4428</v>
      </c>
      <c r="M3842" t="s">
        <v>4795</v>
      </c>
      <c r="N3842" t="s">
        <v>4409</v>
      </c>
      <c r="O3842">
        <v>2</v>
      </c>
    </row>
    <row r="3843" spans="2:15" x14ac:dyDescent="0.2">
      <c r="B3843" t="s">
        <v>1433</v>
      </c>
      <c r="C3843" t="s">
        <v>12900</v>
      </c>
      <c r="D3843" t="s">
        <v>1048</v>
      </c>
      <c r="E3843" t="s">
        <v>11203</v>
      </c>
      <c r="F3843">
        <v>689</v>
      </c>
      <c r="G3843" t="s">
        <v>3439</v>
      </c>
      <c r="L3843" t="s">
        <v>4428</v>
      </c>
      <c r="M3843" t="s">
        <v>4352</v>
      </c>
      <c r="N3843" t="s">
        <v>4409</v>
      </c>
      <c r="O3843">
        <v>36</v>
      </c>
    </row>
    <row r="3844" spans="2:15" x14ac:dyDescent="0.2">
      <c r="B3844" t="s">
        <v>1433</v>
      </c>
      <c r="C3844" t="s">
        <v>12900</v>
      </c>
      <c r="D3844" t="s">
        <v>1048</v>
      </c>
      <c r="E3844" t="s">
        <v>11204</v>
      </c>
      <c r="F3844">
        <v>250</v>
      </c>
      <c r="G3844" t="s">
        <v>3441</v>
      </c>
      <c r="L3844" t="s">
        <v>4428</v>
      </c>
      <c r="M3844" t="s">
        <v>2562</v>
      </c>
      <c r="N3844" t="s">
        <v>4686</v>
      </c>
      <c r="O3844">
        <v>1</v>
      </c>
    </row>
    <row r="3845" spans="2:15" x14ac:dyDescent="0.2">
      <c r="B3845" t="s">
        <v>1433</v>
      </c>
      <c r="C3845" t="s">
        <v>12900</v>
      </c>
      <c r="D3845" t="s">
        <v>613</v>
      </c>
      <c r="E3845" t="s">
        <v>11205</v>
      </c>
      <c r="F3845">
        <v>4.8899999999999997</v>
      </c>
      <c r="G3845" t="s">
        <v>7825</v>
      </c>
      <c r="L3845" t="s">
        <v>4428</v>
      </c>
      <c r="M3845" t="s">
        <v>1737</v>
      </c>
      <c r="N3845" t="s">
        <v>4796</v>
      </c>
      <c r="O3845">
        <v>1</v>
      </c>
    </row>
    <row r="3846" spans="2:15" x14ac:dyDescent="0.2">
      <c r="B3846" t="s">
        <v>1433</v>
      </c>
      <c r="C3846" t="s">
        <v>12900</v>
      </c>
      <c r="D3846" t="s">
        <v>613</v>
      </c>
      <c r="E3846" t="s">
        <v>11206</v>
      </c>
      <c r="F3846">
        <v>8</v>
      </c>
      <c r="G3846" t="s">
        <v>6886</v>
      </c>
      <c r="L3846" t="s">
        <v>4428</v>
      </c>
      <c r="M3846" t="s">
        <v>1477</v>
      </c>
      <c r="N3846" t="s">
        <v>4796</v>
      </c>
      <c r="O3846">
        <v>1</v>
      </c>
    </row>
    <row r="3847" spans="2:15" x14ac:dyDescent="0.2">
      <c r="B3847" t="s">
        <v>1433</v>
      </c>
      <c r="C3847" t="s">
        <v>12900</v>
      </c>
      <c r="D3847" t="s">
        <v>613</v>
      </c>
      <c r="E3847" t="s">
        <v>11207</v>
      </c>
      <c r="F3847">
        <v>0.23</v>
      </c>
      <c r="G3847" t="s">
        <v>9410</v>
      </c>
      <c r="L3847" t="s">
        <v>4428</v>
      </c>
      <c r="M3847" t="s">
        <v>1478</v>
      </c>
      <c r="N3847" t="s">
        <v>4796</v>
      </c>
      <c r="O3847">
        <v>2</v>
      </c>
    </row>
    <row r="3848" spans="2:15" x14ac:dyDescent="0.2">
      <c r="B3848" t="s">
        <v>1433</v>
      </c>
      <c r="C3848" t="s">
        <v>12900</v>
      </c>
      <c r="D3848" t="s">
        <v>613</v>
      </c>
      <c r="E3848" t="s">
        <v>11208</v>
      </c>
      <c r="F3848">
        <v>1.44</v>
      </c>
      <c r="G3848" t="s">
        <v>6752</v>
      </c>
      <c r="L3848" t="s">
        <v>4428</v>
      </c>
      <c r="M3848" t="s">
        <v>4279</v>
      </c>
      <c r="N3848" t="s">
        <v>4770</v>
      </c>
      <c r="O3848">
        <v>50</v>
      </c>
    </row>
    <row r="3849" spans="2:15" x14ac:dyDescent="0.2">
      <c r="B3849" t="s">
        <v>1433</v>
      </c>
      <c r="C3849" t="s">
        <v>12900</v>
      </c>
      <c r="D3849" t="s">
        <v>613</v>
      </c>
      <c r="E3849" t="s">
        <v>11209</v>
      </c>
      <c r="F3849">
        <v>0.5</v>
      </c>
      <c r="G3849" t="s">
        <v>5263</v>
      </c>
      <c r="L3849" t="s">
        <v>4428</v>
      </c>
      <c r="M3849" t="s">
        <v>4797</v>
      </c>
      <c r="N3849" t="s">
        <v>4798</v>
      </c>
      <c r="O3849">
        <v>1</v>
      </c>
    </row>
    <row r="3850" spans="2:15" x14ac:dyDescent="0.2">
      <c r="B3850" t="s">
        <v>1433</v>
      </c>
      <c r="C3850" t="s">
        <v>12900</v>
      </c>
      <c r="D3850" t="s">
        <v>613</v>
      </c>
      <c r="E3850" t="s">
        <v>11210</v>
      </c>
      <c r="F3850">
        <v>1.1100000000000001</v>
      </c>
      <c r="G3850" t="s">
        <v>7816</v>
      </c>
      <c r="L3850" t="s">
        <v>4428</v>
      </c>
      <c r="M3850" t="s">
        <v>4799</v>
      </c>
      <c r="N3850" t="s">
        <v>4798</v>
      </c>
      <c r="O3850">
        <v>3</v>
      </c>
    </row>
    <row r="3851" spans="2:15" x14ac:dyDescent="0.2">
      <c r="B3851" t="s">
        <v>1433</v>
      </c>
      <c r="C3851" t="s">
        <v>12900</v>
      </c>
      <c r="D3851" t="s">
        <v>613</v>
      </c>
      <c r="E3851" t="s">
        <v>11212</v>
      </c>
      <c r="F3851">
        <v>2.1</v>
      </c>
      <c r="G3851" t="s">
        <v>6635</v>
      </c>
      <c r="L3851" t="s">
        <v>4428</v>
      </c>
      <c r="M3851" t="s">
        <v>4800</v>
      </c>
      <c r="N3851" t="s">
        <v>4798</v>
      </c>
      <c r="O3851">
        <v>2</v>
      </c>
    </row>
    <row r="3852" spans="2:15" x14ac:dyDescent="0.2">
      <c r="B3852" t="s">
        <v>1433</v>
      </c>
      <c r="C3852" t="s">
        <v>12900</v>
      </c>
      <c r="D3852" t="s">
        <v>613</v>
      </c>
      <c r="E3852" t="s">
        <v>11213</v>
      </c>
      <c r="F3852">
        <v>2.7</v>
      </c>
      <c r="G3852" t="s">
        <v>6884</v>
      </c>
      <c r="L3852" t="s">
        <v>4428</v>
      </c>
      <c r="M3852" t="s">
        <v>4801</v>
      </c>
      <c r="N3852" t="s">
        <v>4798</v>
      </c>
      <c r="O3852">
        <v>6</v>
      </c>
    </row>
    <row r="3853" spans="2:15" x14ac:dyDescent="0.2">
      <c r="B3853" t="s">
        <v>1433</v>
      </c>
      <c r="C3853" t="s">
        <v>12900</v>
      </c>
      <c r="D3853" t="s">
        <v>613</v>
      </c>
      <c r="E3853" t="s">
        <v>11216</v>
      </c>
      <c r="F3853">
        <v>1.85</v>
      </c>
      <c r="G3853" t="s">
        <v>7701</v>
      </c>
      <c r="L3853" t="s">
        <v>4428</v>
      </c>
      <c r="M3853" t="s">
        <v>4802</v>
      </c>
      <c r="N3853" t="s">
        <v>4798</v>
      </c>
      <c r="O3853">
        <v>2</v>
      </c>
    </row>
    <row r="3854" spans="2:15" x14ac:dyDescent="0.2">
      <c r="B3854" t="s">
        <v>1433</v>
      </c>
      <c r="C3854" t="s">
        <v>12900</v>
      </c>
      <c r="D3854" t="s">
        <v>613</v>
      </c>
      <c r="E3854" t="s">
        <v>11217</v>
      </c>
      <c r="F3854">
        <v>3.95</v>
      </c>
      <c r="G3854" t="s">
        <v>8605</v>
      </c>
      <c r="L3854" t="s">
        <v>4428</v>
      </c>
      <c r="M3854" t="s">
        <v>4803</v>
      </c>
      <c r="N3854" t="s">
        <v>4798</v>
      </c>
      <c r="O3854">
        <v>1</v>
      </c>
    </row>
    <row r="3855" spans="2:15" x14ac:dyDescent="0.2">
      <c r="B3855" t="s">
        <v>1433</v>
      </c>
      <c r="C3855" t="s">
        <v>12900</v>
      </c>
      <c r="D3855" t="s">
        <v>613</v>
      </c>
      <c r="E3855" t="s">
        <v>11219</v>
      </c>
      <c r="F3855">
        <v>2.2400000000000002</v>
      </c>
      <c r="G3855" t="s">
        <v>7678</v>
      </c>
      <c r="L3855" t="s">
        <v>4428</v>
      </c>
      <c r="M3855" t="s">
        <v>4804</v>
      </c>
      <c r="N3855" t="s">
        <v>4805</v>
      </c>
      <c r="O3855">
        <v>300</v>
      </c>
    </row>
    <row r="3856" spans="2:15" x14ac:dyDescent="0.2">
      <c r="B3856" t="s">
        <v>1433</v>
      </c>
      <c r="C3856" t="s">
        <v>12900</v>
      </c>
      <c r="D3856" t="s">
        <v>613</v>
      </c>
      <c r="E3856" t="s">
        <v>11220</v>
      </c>
      <c r="F3856">
        <v>2.1</v>
      </c>
      <c r="G3856" t="s">
        <v>6747</v>
      </c>
      <c r="L3856" t="s">
        <v>4428</v>
      </c>
      <c r="M3856" t="s">
        <v>4326</v>
      </c>
      <c r="N3856" t="s">
        <v>4806</v>
      </c>
      <c r="O3856">
        <v>1</v>
      </c>
    </row>
    <row r="3857" spans="2:15" x14ac:dyDescent="0.2">
      <c r="B3857" t="s">
        <v>1433</v>
      </c>
      <c r="C3857" t="s">
        <v>12900</v>
      </c>
      <c r="D3857" t="s">
        <v>613</v>
      </c>
      <c r="E3857" t="s">
        <v>11221</v>
      </c>
      <c r="F3857">
        <v>4</v>
      </c>
      <c r="G3857" t="s">
        <v>9420</v>
      </c>
      <c r="L3857" t="s">
        <v>4428</v>
      </c>
      <c r="M3857" t="s">
        <v>4807</v>
      </c>
      <c r="N3857" t="s">
        <v>4808</v>
      </c>
      <c r="O3857">
        <v>1</v>
      </c>
    </row>
    <row r="3858" spans="2:15" x14ac:dyDescent="0.2">
      <c r="B3858" t="s">
        <v>1433</v>
      </c>
      <c r="C3858" t="s">
        <v>12900</v>
      </c>
      <c r="D3858" t="s">
        <v>613</v>
      </c>
      <c r="E3858" t="s">
        <v>11222</v>
      </c>
      <c r="F3858">
        <v>1.5</v>
      </c>
      <c r="G3858" t="s">
        <v>7705</v>
      </c>
      <c r="L3858" t="s">
        <v>4428</v>
      </c>
      <c r="M3858" t="s">
        <v>1818</v>
      </c>
      <c r="N3858" t="s">
        <v>4809</v>
      </c>
      <c r="O3858">
        <v>1</v>
      </c>
    </row>
    <row r="3859" spans="2:15" x14ac:dyDescent="0.2">
      <c r="B3859" t="s">
        <v>1433</v>
      </c>
      <c r="C3859" t="s">
        <v>12900</v>
      </c>
      <c r="D3859" t="s">
        <v>613</v>
      </c>
      <c r="E3859" t="s">
        <v>11223</v>
      </c>
      <c r="F3859">
        <v>6</v>
      </c>
      <c r="G3859" t="s">
        <v>9654</v>
      </c>
      <c r="L3859" t="s">
        <v>4428</v>
      </c>
      <c r="M3859" t="s">
        <v>1609</v>
      </c>
      <c r="N3859" t="s">
        <v>4809</v>
      </c>
      <c r="O3859">
        <v>1</v>
      </c>
    </row>
    <row r="3860" spans="2:15" x14ac:dyDescent="0.2">
      <c r="B3860" t="s">
        <v>1433</v>
      </c>
      <c r="C3860" t="s">
        <v>12900</v>
      </c>
      <c r="D3860" t="s">
        <v>613</v>
      </c>
      <c r="E3860" t="s">
        <v>11224</v>
      </c>
      <c r="F3860">
        <v>1.8</v>
      </c>
      <c r="G3860" t="s">
        <v>7707</v>
      </c>
      <c r="L3860" t="s">
        <v>4428</v>
      </c>
      <c r="M3860" t="s">
        <v>1321</v>
      </c>
      <c r="N3860" t="s">
        <v>4810</v>
      </c>
      <c r="O3860">
        <v>1</v>
      </c>
    </row>
    <row r="3861" spans="2:15" x14ac:dyDescent="0.2">
      <c r="B3861" t="s">
        <v>1433</v>
      </c>
      <c r="C3861" t="s">
        <v>12900</v>
      </c>
      <c r="D3861" t="s">
        <v>613</v>
      </c>
      <c r="E3861" t="s">
        <v>11226</v>
      </c>
      <c r="F3861">
        <v>2.7</v>
      </c>
      <c r="G3861" t="s">
        <v>11227</v>
      </c>
      <c r="L3861" t="s">
        <v>4428</v>
      </c>
      <c r="M3861" t="s">
        <v>1259</v>
      </c>
      <c r="N3861" t="s">
        <v>4811</v>
      </c>
      <c r="O3861">
        <v>1</v>
      </c>
    </row>
    <row r="3862" spans="2:15" x14ac:dyDescent="0.2">
      <c r="B3862" t="s">
        <v>1433</v>
      </c>
      <c r="C3862" t="s">
        <v>12900</v>
      </c>
      <c r="D3862" t="s">
        <v>613</v>
      </c>
      <c r="E3862" t="s">
        <v>11229</v>
      </c>
      <c r="F3862">
        <v>3</v>
      </c>
      <c r="G3862" t="s">
        <v>7682</v>
      </c>
      <c r="L3862" t="s">
        <v>4428</v>
      </c>
      <c r="M3862" t="s">
        <v>4533</v>
      </c>
      <c r="N3862" t="s">
        <v>4812</v>
      </c>
      <c r="O3862">
        <v>4</v>
      </c>
    </row>
    <row r="3863" spans="2:15" x14ac:dyDescent="0.2">
      <c r="B3863" t="s">
        <v>1433</v>
      </c>
      <c r="C3863" t="s">
        <v>12900</v>
      </c>
      <c r="D3863" t="s">
        <v>613</v>
      </c>
      <c r="E3863" t="s">
        <v>11232</v>
      </c>
      <c r="F3863">
        <v>3.2</v>
      </c>
      <c r="G3863" t="s">
        <v>7757</v>
      </c>
      <c r="L3863" t="s">
        <v>4428</v>
      </c>
      <c r="M3863" t="s">
        <v>4534</v>
      </c>
      <c r="N3863" t="s">
        <v>4812</v>
      </c>
      <c r="O3863">
        <v>4</v>
      </c>
    </row>
    <row r="3864" spans="2:15" x14ac:dyDescent="0.2">
      <c r="B3864" t="s">
        <v>1433</v>
      </c>
      <c r="C3864" t="s">
        <v>12900</v>
      </c>
      <c r="D3864" t="s">
        <v>613</v>
      </c>
      <c r="E3864" t="s">
        <v>11233</v>
      </c>
      <c r="F3864">
        <v>0.36</v>
      </c>
      <c r="G3864" t="s">
        <v>9386</v>
      </c>
      <c r="L3864" t="s">
        <v>4428</v>
      </c>
      <c r="M3864" t="s">
        <v>2350</v>
      </c>
      <c r="N3864" t="s">
        <v>4813</v>
      </c>
      <c r="O3864">
        <v>100</v>
      </c>
    </row>
    <row r="3865" spans="2:15" x14ac:dyDescent="0.2">
      <c r="B3865" t="s">
        <v>1433</v>
      </c>
      <c r="C3865" t="s">
        <v>12900</v>
      </c>
      <c r="D3865" t="s">
        <v>613</v>
      </c>
      <c r="E3865" t="s">
        <v>11234</v>
      </c>
      <c r="F3865">
        <v>3.42</v>
      </c>
      <c r="G3865" t="s">
        <v>6880</v>
      </c>
      <c r="L3865" t="s">
        <v>4428</v>
      </c>
      <c r="M3865" t="s">
        <v>4279</v>
      </c>
      <c r="N3865" t="s">
        <v>4813</v>
      </c>
      <c r="O3865">
        <v>60</v>
      </c>
    </row>
    <row r="3866" spans="2:15" x14ac:dyDescent="0.2">
      <c r="B3866" t="s">
        <v>1433</v>
      </c>
      <c r="C3866" t="s">
        <v>12900</v>
      </c>
      <c r="D3866" t="s">
        <v>613</v>
      </c>
      <c r="E3866" t="s">
        <v>11235</v>
      </c>
      <c r="F3866">
        <v>7.34</v>
      </c>
      <c r="G3866" t="s">
        <v>9842</v>
      </c>
      <c r="L3866" t="s">
        <v>4428</v>
      </c>
      <c r="M3866" t="s">
        <v>4814</v>
      </c>
      <c r="N3866" t="s">
        <v>4815</v>
      </c>
      <c r="O3866">
        <v>40</v>
      </c>
    </row>
    <row r="3867" spans="2:15" x14ac:dyDescent="0.2">
      <c r="B3867" t="s">
        <v>1433</v>
      </c>
      <c r="C3867" t="s">
        <v>12900</v>
      </c>
      <c r="D3867" t="s">
        <v>613</v>
      </c>
      <c r="E3867" t="s">
        <v>11236</v>
      </c>
      <c r="F3867">
        <v>124.85</v>
      </c>
      <c r="G3867" t="s">
        <v>10747</v>
      </c>
      <c r="L3867" t="s">
        <v>4428</v>
      </c>
      <c r="M3867" t="s">
        <v>4816</v>
      </c>
      <c r="N3867" t="s">
        <v>4817</v>
      </c>
      <c r="O3867">
        <v>30</v>
      </c>
    </row>
    <row r="3868" spans="2:15" x14ac:dyDescent="0.2">
      <c r="B3868" t="s">
        <v>1433</v>
      </c>
      <c r="C3868" t="s">
        <v>12900</v>
      </c>
      <c r="D3868" t="s">
        <v>613</v>
      </c>
      <c r="E3868" t="s">
        <v>11240</v>
      </c>
      <c r="F3868">
        <v>310.94</v>
      </c>
      <c r="G3868" t="s">
        <v>7324</v>
      </c>
      <c r="L3868" t="s">
        <v>4428</v>
      </c>
      <c r="M3868" t="s">
        <v>1491</v>
      </c>
      <c r="N3868" t="s">
        <v>4818</v>
      </c>
      <c r="O3868">
        <v>1</v>
      </c>
    </row>
    <row r="3869" spans="2:15" x14ac:dyDescent="0.2">
      <c r="B3869" t="s">
        <v>1433</v>
      </c>
      <c r="C3869" t="s">
        <v>12900</v>
      </c>
      <c r="D3869" t="s">
        <v>613</v>
      </c>
      <c r="E3869" t="s">
        <v>11242</v>
      </c>
      <c r="F3869">
        <v>256.8</v>
      </c>
      <c r="G3869" t="s">
        <v>11243</v>
      </c>
      <c r="L3869" t="s">
        <v>4428</v>
      </c>
      <c r="M3869" t="s">
        <v>1806</v>
      </c>
      <c r="N3869" t="s">
        <v>4819</v>
      </c>
      <c r="O3869">
        <v>60</v>
      </c>
    </row>
    <row r="3870" spans="2:15" x14ac:dyDescent="0.2">
      <c r="B3870" t="s">
        <v>1433</v>
      </c>
      <c r="C3870" t="s">
        <v>12900</v>
      </c>
      <c r="D3870" t="s">
        <v>613</v>
      </c>
      <c r="E3870" t="s">
        <v>11244</v>
      </c>
      <c r="F3870">
        <v>9.33</v>
      </c>
      <c r="G3870" t="s">
        <v>6511</v>
      </c>
      <c r="L3870" t="s">
        <v>4428</v>
      </c>
      <c r="M3870" t="s">
        <v>4501</v>
      </c>
      <c r="N3870" t="s">
        <v>4819</v>
      </c>
      <c r="O3870">
        <v>50</v>
      </c>
    </row>
    <row r="3871" spans="2:15" x14ac:dyDescent="0.2">
      <c r="B3871" t="s">
        <v>1433</v>
      </c>
      <c r="C3871" t="s">
        <v>12900</v>
      </c>
      <c r="D3871" t="s">
        <v>1063</v>
      </c>
      <c r="E3871" t="s">
        <v>11245</v>
      </c>
      <c r="F3871">
        <v>802</v>
      </c>
      <c r="G3871" t="s">
        <v>3530</v>
      </c>
      <c r="L3871" t="s">
        <v>4428</v>
      </c>
      <c r="M3871" t="s">
        <v>4498</v>
      </c>
      <c r="N3871" t="s">
        <v>4819</v>
      </c>
      <c r="O3871">
        <v>100</v>
      </c>
    </row>
    <row r="3872" spans="2:15" x14ac:dyDescent="0.2">
      <c r="B3872" t="s">
        <v>1433</v>
      </c>
      <c r="C3872" t="s">
        <v>12900</v>
      </c>
      <c r="D3872" t="s">
        <v>1030</v>
      </c>
      <c r="E3872" t="s">
        <v>11246</v>
      </c>
      <c r="F3872">
        <v>1750</v>
      </c>
      <c r="G3872" t="s">
        <v>3523</v>
      </c>
      <c r="L3872" t="s">
        <v>4428</v>
      </c>
      <c r="M3872" t="s">
        <v>2093</v>
      </c>
      <c r="N3872" t="s">
        <v>4820</v>
      </c>
      <c r="O3872">
        <v>100</v>
      </c>
    </row>
    <row r="3873" spans="2:15" x14ac:dyDescent="0.2">
      <c r="B3873" t="s">
        <v>1433</v>
      </c>
      <c r="C3873" t="s">
        <v>12900</v>
      </c>
      <c r="D3873" t="s">
        <v>1048</v>
      </c>
      <c r="E3873" t="s">
        <v>11247</v>
      </c>
      <c r="F3873">
        <v>681.5</v>
      </c>
      <c r="G3873" t="s">
        <v>3545</v>
      </c>
      <c r="L3873" t="s">
        <v>4428</v>
      </c>
      <c r="M3873" t="s">
        <v>1740</v>
      </c>
      <c r="N3873" t="s">
        <v>4821</v>
      </c>
      <c r="O3873">
        <v>24</v>
      </c>
    </row>
    <row r="3874" spans="2:15" x14ac:dyDescent="0.2">
      <c r="B3874" t="s">
        <v>1433</v>
      </c>
      <c r="C3874" t="s">
        <v>12900</v>
      </c>
      <c r="D3874" t="s">
        <v>1048</v>
      </c>
      <c r="E3874" t="s">
        <v>11248</v>
      </c>
      <c r="F3874">
        <v>181</v>
      </c>
      <c r="G3874" t="s">
        <v>3546</v>
      </c>
      <c r="L3874" t="s">
        <v>4428</v>
      </c>
      <c r="M3874" t="s">
        <v>1741</v>
      </c>
      <c r="N3874" t="s">
        <v>4821</v>
      </c>
      <c r="O3874">
        <v>24</v>
      </c>
    </row>
    <row r="3875" spans="2:15" x14ac:dyDescent="0.2">
      <c r="B3875" t="s">
        <v>1433</v>
      </c>
      <c r="C3875" t="s">
        <v>12900</v>
      </c>
      <c r="D3875" t="s">
        <v>1048</v>
      </c>
      <c r="E3875" t="s">
        <v>11249</v>
      </c>
      <c r="F3875">
        <v>360</v>
      </c>
      <c r="G3875" t="s">
        <v>3547</v>
      </c>
      <c r="L3875" t="s">
        <v>4428</v>
      </c>
      <c r="M3875" t="s">
        <v>4822</v>
      </c>
      <c r="N3875" t="s">
        <v>4823</v>
      </c>
      <c r="O3875">
        <v>600</v>
      </c>
    </row>
    <row r="3876" spans="2:15" x14ac:dyDescent="0.2">
      <c r="B3876" t="s">
        <v>1433</v>
      </c>
      <c r="C3876" t="s">
        <v>12900</v>
      </c>
      <c r="D3876" t="s">
        <v>1030</v>
      </c>
      <c r="E3876" t="s">
        <v>11250</v>
      </c>
      <c r="F3876">
        <v>3322</v>
      </c>
      <c r="G3876" t="s">
        <v>3649</v>
      </c>
      <c r="L3876" t="s">
        <v>4428</v>
      </c>
      <c r="M3876" t="s">
        <v>1829</v>
      </c>
      <c r="N3876" t="s">
        <v>4823</v>
      </c>
      <c r="O3876">
        <v>1200</v>
      </c>
    </row>
    <row r="3877" spans="2:15" x14ac:dyDescent="0.2">
      <c r="B3877" t="s">
        <v>1433</v>
      </c>
      <c r="C3877" t="s">
        <v>12900</v>
      </c>
      <c r="D3877" t="s">
        <v>1169</v>
      </c>
      <c r="E3877" t="s">
        <v>11251</v>
      </c>
      <c r="F3877">
        <v>636</v>
      </c>
      <c r="G3877" t="s">
        <v>3685</v>
      </c>
      <c r="L3877" t="s">
        <v>4428</v>
      </c>
      <c r="M3877" t="s">
        <v>4235</v>
      </c>
      <c r="N3877" t="s">
        <v>4824</v>
      </c>
      <c r="O3877">
        <v>10</v>
      </c>
    </row>
    <row r="3878" spans="2:15" x14ac:dyDescent="0.2">
      <c r="B3878" t="s">
        <v>1433</v>
      </c>
      <c r="C3878" t="s">
        <v>12900</v>
      </c>
      <c r="D3878" t="s">
        <v>617</v>
      </c>
      <c r="E3878" t="s">
        <v>11252</v>
      </c>
      <c r="F3878">
        <v>400</v>
      </c>
      <c r="G3878" t="s">
        <v>3687</v>
      </c>
      <c r="L3878" t="s">
        <v>4428</v>
      </c>
      <c r="M3878" t="s">
        <v>1342</v>
      </c>
      <c r="N3878" t="s">
        <v>4825</v>
      </c>
      <c r="O3878">
        <v>1</v>
      </c>
    </row>
    <row r="3879" spans="2:15" x14ac:dyDescent="0.2">
      <c r="B3879" t="s">
        <v>1433</v>
      </c>
      <c r="C3879" t="s">
        <v>12900</v>
      </c>
      <c r="D3879" t="s">
        <v>1070</v>
      </c>
      <c r="E3879" t="s">
        <v>11253</v>
      </c>
      <c r="F3879">
        <v>1488</v>
      </c>
      <c r="G3879" t="s">
        <v>3773</v>
      </c>
      <c r="L3879" t="s">
        <v>4428</v>
      </c>
      <c r="M3879" t="s">
        <v>1760</v>
      </c>
      <c r="N3879" t="s">
        <v>4826</v>
      </c>
      <c r="O3879">
        <v>50</v>
      </c>
    </row>
    <row r="3880" spans="2:15" x14ac:dyDescent="0.2">
      <c r="B3880" t="s">
        <v>1433</v>
      </c>
      <c r="C3880" t="s">
        <v>12900</v>
      </c>
      <c r="D3880" t="s">
        <v>1169</v>
      </c>
      <c r="E3880" t="s">
        <v>11254</v>
      </c>
      <c r="F3880">
        <v>1735.75</v>
      </c>
      <c r="G3880" t="s">
        <v>3854</v>
      </c>
      <c r="L3880" t="s">
        <v>4428</v>
      </c>
      <c r="M3880" t="s">
        <v>3961</v>
      </c>
      <c r="N3880" t="s">
        <v>4827</v>
      </c>
      <c r="O3880">
        <v>1440</v>
      </c>
    </row>
    <row r="3881" spans="2:15" x14ac:dyDescent="0.2">
      <c r="B3881" t="s">
        <v>1433</v>
      </c>
      <c r="C3881" t="s">
        <v>12900</v>
      </c>
      <c r="D3881" t="s">
        <v>1070</v>
      </c>
      <c r="E3881" t="s">
        <v>11255</v>
      </c>
      <c r="F3881">
        <v>874.5</v>
      </c>
      <c r="G3881" t="s">
        <v>3875</v>
      </c>
      <c r="L3881" t="s">
        <v>4428</v>
      </c>
      <c r="M3881" t="s">
        <v>1637</v>
      </c>
      <c r="N3881" t="s">
        <v>4828</v>
      </c>
      <c r="O3881">
        <v>1</v>
      </c>
    </row>
    <row r="3882" spans="2:15" x14ac:dyDescent="0.2">
      <c r="B3882" t="s">
        <v>1433</v>
      </c>
      <c r="C3882" t="s">
        <v>12900</v>
      </c>
      <c r="D3882" t="s">
        <v>1070</v>
      </c>
      <c r="E3882" t="s">
        <v>11256</v>
      </c>
      <c r="F3882">
        <v>3576</v>
      </c>
      <c r="G3882" t="s">
        <v>3924</v>
      </c>
      <c r="L3882" t="s">
        <v>4428</v>
      </c>
      <c r="M3882" t="s">
        <v>2617</v>
      </c>
      <c r="N3882" t="s">
        <v>4829</v>
      </c>
      <c r="O3882">
        <v>25</v>
      </c>
    </row>
    <row r="3883" spans="2:15" x14ac:dyDescent="0.2">
      <c r="B3883" t="s">
        <v>1433</v>
      </c>
      <c r="C3883" t="s">
        <v>12900</v>
      </c>
      <c r="D3883" t="s">
        <v>1070</v>
      </c>
      <c r="E3883" t="s">
        <v>11257</v>
      </c>
      <c r="F3883">
        <v>1704</v>
      </c>
      <c r="G3883" t="s">
        <v>3977</v>
      </c>
      <c r="L3883" t="s">
        <v>4428</v>
      </c>
      <c r="M3883" t="s">
        <v>1703</v>
      </c>
      <c r="N3883" t="s">
        <v>4829</v>
      </c>
      <c r="O3883">
        <v>50</v>
      </c>
    </row>
    <row r="3884" spans="2:15" x14ac:dyDescent="0.2">
      <c r="B3884" t="s">
        <v>1433</v>
      </c>
      <c r="C3884" t="s">
        <v>12900</v>
      </c>
      <c r="D3884" t="s">
        <v>1070</v>
      </c>
      <c r="E3884" t="s">
        <v>11258</v>
      </c>
      <c r="F3884">
        <v>2514</v>
      </c>
      <c r="G3884" t="s">
        <v>3976</v>
      </c>
      <c r="L3884" t="s">
        <v>4428</v>
      </c>
      <c r="M3884" t="s">
        <v>4830</v>
      </c>
      <c r="N3884" t="s">
        <v>4831</v>
      </c>
      <c r="O3884">
        <v>100</v>
      </c>
    </row>
    <row r="3885" spans="2:15" x14ac:dyDescent="0.2">
      <c r="B3885" t="s">
        <v>1433</v>
      </c>
      <c r="C3885" t="s">
        <v>12900</v>
      </c>
      <c r="D3885" t="s">
        <v>1169</v>
      </c>
      <c r="E3885" t="s">
        <v>11259</v>
      </c>
      <c r="F3885">
        <v>2952</v>
      </c>
      <c r="G3885" t="s">
        <v>4020</v>
      </c>
      <c r="L3885" t="s">
        <v>4428</v>
      </c>
      <c r="M3885" t="s">
        <v>4677</v>
      </c>
      <c r="N3885" t="s">
        <v>4831</v>
      </c>
      <c r="O3885">
        <v>100</v>
      </c>
    </row>
    <row r="3886" spans="2:15" x14ac:dyDescent="0.2">
      <c r="B3886" t="s">
        <v>1433</v>
      </c>
      <c r="C3886" t="s">
        <v>12900</v>
      </c>
      <c r="D3886" t="s">
        <v>453</v>
      </c>
      <c r="E3886" t="s">
        <v>11260</v>
      </c>
      <c r="F3886">
        <v>48056.160000000003</v>
      </c>
      <c r="G3886" t="s">
        <v>10774</v>
      </c>
      <c r="L3886" t="s">
        <v>4428</v>
      </c>
      <c r="M3886" t="s">
        <v>4600</v>
      </c>
      <c r="N3886" t="s">
        <v>4832</v>
      </c>
      <c r="O3886">
        <v>7</v>
      </c>
    </row>
    <row r="3887" spans="2:15" x14ac:dyDescent="0.2">
      <c r="B3887" t="s">
        <v>1433</v>
      </c>
      <c r="C3887" t="s">
        <v>12900</v>
      </c>
      <c r="D3887" t="s">
        <v>423</v>
      </c>
      <c r="E3887" t="s">
        <v>11261</v>
      </c>
      <c r="F3887">
        <v>3927.2</v>
      </c>
      <c r="G3887" t="s">
        <v>10781</v>
      </c>
      <c r="L3887" t="s">
        <v>4428</v>
      </c>
      <c r="M3887" t="s">
        <v>1742</v>
      </c>
      <c r="N3887" t="s">
        <v>4833</v>
      </c>
      <c r="O3887">
        <v>2</v>
      </c>
    </row>
    <row r="3888" spans="2:15" x14ac:dyDescent="0.2">
      <c r="B3888" t="s">
        <v>1433</v>
      </c>
      <c r="C3888" t="s">
        <v>12901</v>
      </c>
      <c r="D3888" t="s">
        <v>895</v>
      </c>
      <c r="E3888" t="s">
        <v>11262</v>
      </c>
      <c r="F3888">
        <v>5000</v>
      </c>
      <c r="G3888" t="s">
        <v>1286</v>
      </c>
      <c r="L3888" t="s">
        <v>4428</v>
      </c>
      <c r="M3888" t="s">
        <v>1764</v>
      </c>
      <c r="N3888" t="s">
        <v>4833</v>
      </c>
      <c r="O3888">
        <v>3</v>
      </c>
    </row>
    <row r="3889" spans="2:15" x14ac:dyDescent="0.2">
      <c r="B3889" t="s">
        <v>1433</v>
      </c>
      <c r="C3889" t="s">
        <v>12901</v>
      </c>
      <c r="D3889" t="s">
        <v>1063</v>
      </c>
      <c r="E3889" t="s">
        <v>11264</v>
      </c>
      <c r="F3889">
        <v>24800</v>
      </c>
      <c r="G3889" t="s">
        <v>1288</v>
      </c>
      <c r="L3889" t="s">
        <v>4428</v>
      </c>
      <c r="M3889" t="s">
        <v>1766</v>
      </c>
      <c r="N3889" t="s">
        <v>4833</v>
      </c>
      <c r="O3889">
        <v>3</v>
      </c>
    </row>
    <row r="3890" spans="2:15" x14ac:dyDescent="0.2">
      <c r="B3890" t="s">
        <v>1433</v>
      </c>
      <c r="C3890" t="s">
        <v>12901</v>
      </c>
      <c r="D3890" t="s">
        <v>1063</v>
      </c>
      <c r="E3890" t="s">
        <v>11266</v>
      </c>
      <c r="F3890">
        <v>19840</v>
      </c>
      <c r="G3890" t="s">
        <v>1288</v>
      </c>
      <c r="L3890" t="s">
        <v>4428</v>
      </c>
      <c r="M3890" t="s">
        <v>2346</v>
      </c>
      <c r="N3890" t="s">
        <v>4834</v>
      </c>
      <c r="O3890">
        <v>2</v>
      </c>
    </row>
    <row r="3891" spans="2:15" x14ac:dyDescent="0.2">
      <c r="B3891" t="s">
        <v>1433</v>
      </c>
      <c r="C3891" t="s">
        <v>12901</v>
      </c>
      <c r="D3891" t="s">
        <v>1063</v>
      </c>
      <c r="E3891" t="s">
        <v>11267</v>
      </c>
      <c r="F3891">
        <v>4960</v>
      </c>
      <c r="G3891" t="s">
        <v>1288</v>
      </c>
      <c r="L3891" t="s">
        <v>4428</v>
      </c>
      <c r="M3891" t="s">
        <v>4176</v>
      </c>
      <c r="N3891" t="s">
        <v>4834</v>
      </c>
      <c r="O3891">
        <v>2</v>
      </c>
    </row>
    <row r="3892" spans="2:15" x14ac:dyDescent="0.2">
      <c r="B3892" t="s">
        <v>1433</v>
      </c>
      <c r="C3892" t="s">
        <v>12901</v>
      </c>
      <c r="D3892" t="s">
        <v>895</v>
      </c>
      <c r="E3892" t="s">
        <v>11268</v>
      </c>
      <c r="F3892">
        <v>2300</v>
      </c>
      <c r="G3892" t="s">
        <v>1303</v>
      </c>
      <c r="L3892" t="s">
        <v>4428</v>
      </c>
      <c r="M3892" t="s">
        <v>4648</v>
      </c>
      <c r="N3892" t="s">
        <v>4834</v>
      </c>
      <c r="O3892">
        <v>2</v>
      </c>
    </row>
    <row r="3893" spans="2:15" x14ac:dyDescent="0.2">
      <c r="B3893" t="s">
        <v>1433</v>
      </c>
      <c r="C3893" t="s">
        <v>12901</v>
      </c>
      <c r="D3893" t="s">
        <v>1063</v>
      </c>
      <c r="E3893" t="s">
        <v>11269</v>
      </c>
      <c r="F3893">
        <v>7920</v>
      </c>
      <c r="G3893" t="s">
        <v>1305</v>
      </c>
      <c r="L3893" t="s">
        <v>4428</v>
      </c>
      <c r="M3893" t="s">
        <v>2307</v>
      </c>
      <c r="N3893" t="s">
        <v>4820</v>
      </c>
      <c r="O3893">
        <v>700</v>
      </c>
    </row>
    <row r="3894" spans="2:15" x14ac:dyDescent="0.2">
      <c r="B3894" t="s">
        <v>1433</v>
      </c>
      <c r="C3894" t="s">
        <v>12901</v>
      </c>
      <c r="D3894" t="s">
        <v>1169</v>
      </c>
      <c r="E3894" t="s">
        <v>11270</v>
      </c>
      <c r="F3894">
        <v>1058</v>
      </c>
      <c r="G3894" t="s">
        <v>1423</v>
      </c>
      <c r="L3894" t="s">
        <v>4428</v>
      </c>
      <c r="M3894" t="s">
        <v>4161</v>
      </c>
      <c r="N3894" t="s">
        <v>4835</v>
      </c>
      <c r="O3894">
        <v>50</v>
      </c>
    </row>
    <row r="3895" spans="2:15" x14ac:dyDescent="0.2">
      <c r="B3895" t="s">
        <v>1433</v>
      </c>
      <c r="C3895" t="s">
        <v>12901</v>
      </c>
      <c r="D3895" t="s">
        <v>1169</v>
      </c>
      <c r="E3895" t="s">
        <v>11271</v>
      </c>
      <c r="F3895">
        <v>5040</v>
      </c>
      <c r="G3895" t="s">
        <v>2750</v>
      </c>
      <c r="L3895" t="s">
        <v>4428</v>
      </c>
      <c r="M3895" t="s">
        <v>1366</v>
      </c>
      <c r="N3895" t="s">
        <v>4836</v>
      </c>
      <c r="O3895">
        <v>1</v>
      </c>
    </row>
    <row r="3896" spans="2:15" x14ac:dyDescent="0.2">
      <c r="B3896" t="s">
        <v>1433</v>
      </c>
      <c r="C3896" t="s">
        <v>12901</v>
      </c>
      <c r="D3896" t="s">
        <v>617</v>
      </c>
      <c r="E3896" t="s">
        <v>11272</v>
      </c>
      <c r="F3896">
        <v>480</v>
      </c>
      <c r="G3896" t="s">
        <v>2752</v>
      </c>
      <c r="L3896" t="s">
        <v>4428</v>
      </c>
      <c r="M3896" t="s">
        <v>2447</v>
      </c>
      <c r="N3896" t="s">
        <v>4837</v>
      </c>
      <c r="O3896">
        <v>1</v>
      </c>
    </row>
    <row r="3897" spans="2:15" x14ac:dyDescent="0.2">
      <c r="B3897" t="s">
        <v>1433</v>
      </c>
      <c r="C3897" t="s">
        <v>12901</v>
      </c>
      <c r="D3897" t="s">
        <v>1070</v>
      </c>
      <c r="E3897" t="s">
        <v>11273</v>
      </c>
      <c r="F3897">
        <v>20400</v>
      </c>
      <c r="G3897" t="s">
        <v>2870</v>
      </c>
      <c r="L3897" t="s">
        <v>4428</v>
      </c>
      <c r="M3897" t="s">
        <v>2479</v>
      </c>
      <c r="N3897" t="s">
        <v>4837</v>
      </c>
      <c r="O3897">
        <v>1</v>
      </c>
    </row>
    <row r="3898" spans="2:15" x14ac:dyDescent="0.2">
      <c r="B3898" t="s">
        <v>1433</v>
      </c>
      <c r="C3898" t="s">
        <v>12901</v>
      </c>
      <c r="D3898" t="s">
        <v>1030</v>
      </c>
      <c r="E3898" t="s">
        <v>11274</v>
      </c>
      <c r="F3898">
        <v>225</v>
      </c>
      <c r="G3898" t="s">
        <v>3521</v>
      </c>
      <c r="L3898" t="s">
        <v>4428</v>
      </c>
      <c r="M3898" t="s">
        <v>3270</v>
      </c>
      <c r="N3898" t="s">
        <v>4838</v>
      </c>
      <c r="O3898">
        <v>1</v>
      </c>
    </row>
    <row r="3899" spans="2:15" x14ac:dyDescent="0.2">
      <c r="B3899" t="s">
        <v>1433</v>
      </c>
      <c r="C3899" t="s">
        <v>12901</v>
      </c>
      <c r="D3899" t="s">
        <v>907</v>
      </c>
      <c r="E3899" t="s">
        <v>11276</v>
      </c>
      <c r="F3899">
        <v>583</v>
      </c>
      <c r="G3899" t="s">
        <v>3877</v>
      </c>
      <c r="L3899" t="s">
        <v>4428</v>
      </c>
      <c r="M3899" t="s">
        <v>1413</v>
      </c>
      <c r="N3899" t="s">
        <v>4025</v>
      </c>
      <c r="O3899">
        <v>1</v>
      </c>
    </row>
    <row r="3900" spans="2:15" x14ac:dyDescent="0.2">
      <c r="B3900" t="s">
        <v>1433</v>
      </c>
      <c r="C3900" t="s">
        <v>12901</v>
      </c>
      <c r="D3900" t="s">
        <v>1070</v>
      </c>
      <c r="E3900" t="s">
        <v>11277</v>
      </c>
      <c r="F3900">
        <v>1704</v>
      </c>
      <c r="G3900" t="s">
        <v>3977</v>
      </c>
      <c r="L3900" t="s">
        <v>4428</v>
      </c>
      <c r="M3900" t="s">
        <v>1421</v>
      </c>
      <c r="N3900" t="s">
        <v>4025</v>
      </c>
      <c r="O3900">
        <v>1</v>
      </c>
    </row>
    <row r="3901" spans="2:15" x14ac:dyDescent="0.2">
      <c r="B3901" t="s">
        <v>1433</v>
      </c>
      <c r="C3901" t="s">
        <v>12901</v>
      </c>
      <c r="D3901" t="s">
        <v>1070</v>
      </c>
      <c r="E3901" t="s">
        <v>11278</v>
      </c>
      <c r="F3901">
        <v>2514</v>
      </c>
      <c r="G3901" t="s">
        <v>3976</v>
      </c>
      <c r="L3901" t="s">
        <v>4428</v>
      </c>
      <c r="M3901" t="s">
        <v>2644</v>
      </c>
      <c r="N3901" t="s">
        <v>4839</v>
      </c>
      <c r="O3901">
        <v>500</v>
      </c>
    </row>
    <row r="3902" spans="2:15" x14ac:dyDescent="0.2">
      <c r="B3902" t="s">
        <v>1433</v>
      </c>
      <c r="C3902" t="s">
        <v>12901</v>
      </c>
      <c r="D3902" t="s">
        <v>453</v>
      </c>
      <c r="E3902" t="s">
        <v>11279</v>
      </c>
      <c r="F3902">
        <v>15747.84</v>
      </c>
      <c r="G3902" t="s">
        <v>11263</v>
      </c>
      <c r="L3902" t="s">
        <v>4428</v>
      </c>
      <c r="M3902" t="s">
        <v>1570</v>
      </c>
      <c r="N3902" t="s">
        <v>4840</v>
      </c>
      <c r="O3902">
        <v>2</v>
      </c>
    </row>
    <row r="3903" spans="2:15" x14ac:dyDescent="0.2">
      <c r="B3903" t="s">
        <v>1433</v>
      </c>
      <c r="C3903" t="s">
        <v>12901</v>
      </c>
      <c r="D3903" t="s">
        <v>423</v>
      </c>
      <c r="E3903" t="s">
        <v>11280</v>
      </c>
      <c r="F3903">
        <v>24588.43</v>
      </c>
      <c r="G3903" t="s">
        <v>11265</v>
      </c>
      <c r="L3903" t="s">
        <v>4428</v>
      </c>
      <c r="M3903" t="s">
        <v>1930</v>
      </c>
      <c r="N3903" t="s">
        <v>4841</v>
      </c>
      <c r="O3903">
        <v>1</v>
      </c>
    </row>
    <row r="3904" spans="2:15" x14ac:dyDescent="0.2">
      <c r="B3904" t="s">
        <v>1433</v>
      </c>
      <c r="C3904" t="s">
        <v>12902</v>
      </c>
      <c r="D3904" t="s">
        <v>1030</v>
      </c>
      <c r="E3904" t="s">
        <v>11288</v>
      </c>
      <c r="F3904">
        <v>9785</v>
      </c>
      <c r="G3904" t="s">
        <v>1246</v>
      </c>
      <c r="L3904" t="s">
        <v>4428</v>
      </c>
      <c r="M3904" t="s">
        <v>1763</v>
      </c>
      <c r="N3904" t="s">
        <v>4842</v>
      </c>
      <c r="O3904">
        <v>16</v>
      </c>
    </row>
    <row r="3905" spans="2:15" x14ac:dyDescent="0.2">
      <c r="B3905" t="s">
        <v>1433</v>
      </c>
      <c r="C3905" t="s">
        <v>12902</v>
      </c>
      <c r="D3905" t="s">
        <v>1030</v>
      </c>
      <c r="E3905" t="s">
        <v>11290</v>
      </c>
      <c r="F3905">
        <v>19570</v>
      </c>
      <c r="G3905" t="s">
        <v>1246</v>
      </c>
      <c r="L3905" t="s">
        <v>4428</v>
      </c>
      <c r="M3905" t="s">
        <v>1927</v>
      </c>
      <c r="N3905" t="s">
        <v>4843</v>
      </c>
      <c r="O3905">
        <v>4</v>
      </c>
    </row>
    <row r="3906" spans="2:15" x14ac:dyDescent="0.2">
      <c r="B3906" t="s">
        <v>1433</v>
      </c>
      <c r="C3906" t="s">
        <v>12902</v>
      </c>
      <c r="D3906" t="s">
        <v>1030</v>
      </c>
      <c r="E3906" t="s">
        <v>11291</v>
      </c>
      <c r="F3906">
        <v>29355</v>
      </c>
      <c r="G3906" t="s">
        <v>1246</v>
      </c>
      <c r="L3906" t="s">
        <v>4428</v>
      </c>
      <c r="M3906" t="s">
        <v>1570</v>
      </c>
      <c r="N3906" t="s">
        <v>4844</v>
      </c>
      <c r="O3906">
        <v>2</v>
      </c>
    </row>
    <row r="3907" spans="2:15" x14ac:dyDescent="0.2">
      <c r="B3907" t="s">
        <v>1433</v>
      </c>
      <c r="C3907" t="s">
        <v>12902</v>
      </c>
      <c r="D3907" t="s">
        <v>1030</v>
      </c>
      <c r="E3907" t="s">
        <v>11292</v>
      </c>
      <c r="F3907">
        <v>39140</v>
      </c>
      <c r="G3907" t="s">
        <v>1246</v>
      </c>
      <c r="L3907" t="s">
        <v>4428</v>
      </c>
      <c r="M3907" t="s">
        <v>1637</v>
      </c>
      <c r="N3907" t="s">
        <v>4845</v>
      </c>
      <c r="O3907">
        <v>4</v>
      </c>
    </row>
    <row r="3908" spans="2:15" x14ac:dyDescent="0.2">
      <c r="B3908" t="s">
        <v>1433</v>
      </c>
      <c r="C3908" t="s">
        <v>12902</v>
      </c>
      <c r="D3908" t="s">
        <v>1030</v>
      </c>
      <c r="E3908" t="s">
        <v>11293</v>
      </c>
      <c r="F3908">
        <v>58710</v>
      </c>
      <c r="G3908" t="s">
        <v>1246</v>
      </c>
      <c r="L3908" t="s">
        <v>4428</v>
      </c>
      <c r="M3908" t="s">
        <v>4283</v>
      </c>
      <c r="N3908" t="s">
        <v>4845</v>
      </c>
      <c r="O3908">
        <v>4</v>
      </c>
    </row>
    <row r="3909" spans="2:15" x14ac:dyDescent="0.2">
      <c r="B3909" t="s">
        <v>1433</v>
      </c>
      <c r="C3909" t="s">
        <v>12902</v>
      </c>
      <c r="D3909" t="s">
        <v>1030</v>
      </c>
      <c r="E3909" t="s">
        <v>11294</v>
      </c>
      <c r="F3909">
        <v>19570</v>
      </c>
      <c r="G3909" t="s">
        <v>1246</v>
      </c>
      <c r="L3909" t="s">
        <v>4428</v>
      </c>
      <c r="M3909" t="s">
        <v>4604</v>
      </c>
      <c r="N3909" t="s">
        <v>4845</v>
      </c>
      <c r="O3909">
        <v>4</v>
      </c>
    </row>
    <row r="3910" spans="2:15" x14ac:dyDescent="0.2">
      <c r="B3910" t="s">
        <v>1433</v>
      </c>
      <c r="C3910" t="s">
        <v>12902</v>
      </c>
      <c r="D3910" t="s">
        <v>1030</v>
      </c>
      <c r="E3910" t="s">
        <v>11295</v>
      </c>
      <c r="F3910">
        <v>19570</v>
      </c>
      <c r="G3910" t="s">
        <v>1246</v>
      </c>
      <c r="L3910" t="s">
        <v>4428</v>
      </c>
      <c r="M3910" t="s">
        <v>2016</v>
      </c>
      <c r="N3910" t="s">
        <v>4846</v>
      </c>
      <c r="O3910">
        <v>10</v>
      </c>
    </row>
    <row r="3911" spans="2:15" x14ac:dyDescent="0.2">
      <c r="B3911" t="s">
        <v>1433</v>
      </c>
      <c r="C3911" t="s">
        <v>12902</v>
      </c>
      <c r="D3911" t="s">
        <v>1041</v>
      </c>
      <c r="E3911" t="s">
        <v>11296</v>
      </c>
      <c r="F3911">
        <v>10212.5</v>
      </c>
      <c r="G3911" t="s">
        <v>1248</v>
      </c>
      <c r="L3911" t="s">
        <v>4428</v>
      </c>
      <c r="M3911" t="s">
        <v>4783</v>
      </c>
      <c r="N3911" t="s">
        <v>4847</v>
      </c>
      <c r="O3911">
        <v>100</v>
      </c>
    </row>
    <row r="3912" spans="2:15" x14ac:dyDescent="0.2">
      <c r="B3912" t="s">
        <v>1433</v>
      </c>
      <c r="C3912" t="s">
        <v>12902</v>
      </c>
      <c r="D3912" t="s">
        <v>1041</v>
      </c>
      <c r="E3912" t="s">
        <v>11297</v>
      </c>
      <c r="F3912">
        <v>10212.5</v>
      </c>
      <c r="G3912" t="s">
        <v>1248</v>
      </c>
      <c r="L3912" t="s">
        <v>4428</v>
      </c>
      <c r="M3912" t="s">
        <v>1735</v>
      </c>
      <c r="N3912" t="s">
        <v>4848</v>
      </c>
      <c r="O3912">
        <v>2</v>
      </c>
    </row>
    <row r="3913" spans="2:15" x14ac:dyDescent="0.2">
      <c r="B3913" t="s">
        <v>1433</v>
      </c>
      <c r="C3913" t="s">
        <v>12902</v>
      </c>
      <c r="D3913" t="s">
        <v>1041</v>
      </c>
      <c r="E3913" t="s">
        <v>11298</v>
      </c>
      <c r="F3913">
        <v>30637.5</v>
      </c>
      <c r="G3913" t="s">
        <v>1248</v>
      </c>
      <c r="L3913" t="s">
        <v>4428</v>
      </c>
      <c r="M3913" t="s">
        <v>4849</v>
      </c>
      <c r="N3913" t="s">
        <v>4848</v>
      </c>
      <c r="O3913">
        <v>2</v>
      </c>
    </row>
    <row r="3914" spans="2:15" x14ac:dyDescent="0.2">
      <c r="B3914" t="s">
        <v>1433</v>
      </c>
      <c r="C3914" t="s">
        <v>12902</v>
      </c>
      <c r="D3914" t="s">
        <v>1041</v>
      </c>
      <c r="E3914" t="s">
        <v>11299</v>
      </c>
      <c r="F3914">
        <v>51062.5</v>
      </c>
      <c r="G3914" t="s">
        <v>1248</v>
      </c>
      <c r="L3914" t="s">
        <v>4428</v>
      </c>
      <c r="M3914" t="s">
        <v>1705</v>
      </c>
      <c r="N3914" t="s">
        <v>4850</v>
      </c>
      <c r="O3914">
        <v>4</v>
      </c>
    </row>
    <row r="3915" spans="2:15" x14ac:dyDescent="0.2">
      <c r="B3915" t="s">
        <v>1433</v>
      </c>
      <c r="C3915" t="s">
        <v>12902</v>
      </c>
      <c r="D3915" t="s">
        <v>1041</v>
      </c>
      <c r="E3915" t="s">
        <v>11300</v>
      </c>
      <c r="F3915">
        <v>61275</v>
      </c>
      <c r="G3915" t="s">
        <v>1248</v>
      </c>
      <c r="L3915" t="s">
        <v>4428</v>
      </c>
      <c r="M3915" t="s">
        <v>2017</v>
      </c>
      <c r="N3915" t="s">
        <v>4850</v>
      </c>
      <c r="O3915">
        <v>4</v>
      </c>
    </row>
    <row r="3916" spans="2:15" x14ac:dyDescent="0.2">
      <c r="B3916" t="s">
        <v>1433</v>
      </c>
      <c r="C3916" t="s">
        <v>12902</v>
      </c>
      <c r="D3916" t="s">
        <v>1041</v>
      </c>
      <c r="E3916" t="s">
        <v>11301</v>
      </c>
      <c r="F3916">
        <v>20425</v>
      </c>
      <c r="G3916" t="s">
        <v>1248</v>
      </c>
      <c r="L3916" t="s">
        <v>4428</v>
      </c>
      <c r="M3916" t="s">
        <v>2018</v>
      </c>
      <c r="N3916" t="s">
        <v>4850</v>
      </c>
      <c r="O3916">
        <v>4</v>
      </c>
    </row>
    <row r="3917" spans="2:15" x14ac:dyDescent="0.2">
      <c r="B3917" t="s">
        <v>1433</v>
      </c>
      <c r="C3917" t="s">
        <v>12902</v>
      </c>
      <c r="D3917" t="s">
        <v>1041</v>
      </c>
      <c r="E3917" t="s">
        <v>11302</v>
      </c>
      <c r="F3917">
        <v>20425</v>
      </c>
      <c r="G3917" t="s">
        <v>1248</v>
      </c>
      <c r="L3917" t="s">
        <v>4428</v>
      </c>
      <c r="M3917" t="s">
        <v>1563</v>
      </c>
      <c r="N3917" t="s">
        <v>4850</v>
      </c>
      <c r="O3917">
        <v>8</v>
      </c>
    </row>
    <row r="3918" spans="2:15" x14ac:dyDescent="0.2">
      <c r="B3918" t="s">
        <v>1433</v>
      </c>
      <c r="C3918" t="s">
        <v>12902</v>
      </c>
      <c r="D3918" t="s">
        <v>613</v>
      </c>
      <c r="E3918" t="s">
        <v>11303</v>
      </c>
      <c r="F3918">
        <v>36.89</v>
      </c>
      <c r="G3918" t="s">
        <v>5242</v>
      </c>
      <c r="L3918" t="s">
        <v>4428</v>
      </c>
      <c r="M3918" t="s">
        <v>4851</v>
      </c>
      <c r="N3918" t="s">
        <v>4852</v>
      </c>
      <c r="O3918">
        <v>3</v>
      </c>
    </row>
    <row r="3919" spans="2:15" x14ac:dyDescent="0.2">
      <c r="B3919" t="s">
        <v>1433</v>
      </c>
      <c r="C3919" t="s">
        <v>12902</v>
      </c>
      <c r="D3919" t="s">
        <v>1169</v>
      </c>
      <c r="E3919" t="s">
        <v>11305</v>
      </c>
      <c r="F3919">
        <v>11871</v>
      </c>
      <c r="G3919" t="s">
        <v>2745</v>
      </c>
      <c r="L3919" t="s">
        <v>4428</v>
      </c>
      <c r="M3919" t="s">
        <v>1279</v>
      </c>
      <c r="N3919" t="s">
        <v>4853</v>
      </c>
      <c r="O3919">
        <v>1</v>
      </c>
    </row>
    <row r="3920" spans="2:15" x14ac:dyDescent="0.2">
      <c r="B3920" t="s">
        <v>1433</v>
      </c>
      <c r="C3920" t="s">
        <v>12902</v>
      </c>
      <c r="D3920" t="s">
        <v>1041</v>
      </c>
      <c r="E3920" t="s">
        <v>11306</v>
      </c>
      <c r="F3920">
        <v>7125</v>
      </c>
      <c r="G3920" t="s">
        <v>3073</v>
      </c>
      <c r="L3920" t="s">
        <v>4428</v>
      </c>
      <c r="M3920" t="s">
        <v>4771</v>
      </c>
      <c r="N3920" t="s">
        <v>4854</v>
      </c>
      <c r="O3920">
        <v>50</v>
      </c>
    </row>
    <row r="3921" spans="2:15" x14ac:dyDescent="0.2">
      <c r="B3921" t="s">
        <v>1433</v>
      </c>
      <c r="C3921" t="s">
        <v>12902</v>
      </c>
      <c r="D3921" t="s">
        <v>1153</v>
      </c>
      <c r="E3921" t="s">
        <v>11307</v>
      </c>
      <c r="F3921">
        <v>4635.6899999999996</v>
      </c>
      <c r="G3921" t="s">
        <v>3045</v>
      </c>
      <c r="L3921" t="s">
        <v>4428</v>
      </c>
      <c r="M3921" t="s">
        <v>1281</v>
      </c>
      <c r="N3921" t="s">
        <v>4855</v>
      </c>
      <c r="O3921">
        <v>1</v>
      </c>
    </row>
    <row r="3922" spans="2:15" x14ac:dyDescent="0.2">
      <c r="B3922" t="s">
        <v>1433</v>
      </c>
      <c r="C3922" t="s">
        <v>12902</v>
      </c>
      <c r="D3922" t="s">
        <v>1048</v>
      </c>
      <c r="E3922" t="s">
        <v>11308</v>
      </c>
      <c r="F3922">
        <v>3657</v>
      </c>
      <c r="G3922" t="s">
        <v>3099</v>
      </c>
      <c r="L3922" t="s">
        <v>4428</v>
      </c>
      <c r="M3922" t="s">
        <v>1274</v>
      </c>
      <c r="N3922" t="s">
        <v>4856</v>
      </c>
      <c r="O3922">
        <v>1</v>
      </c>
    </row>
    <row r="3923" spans="2:15" x14ac:dyDescent="0.2">
      <c r="B3923" t="s">
        <v>1433</v>
      </c>
      <c r="C3923" t="s">
        <v>12902</v>
      </c>
      <c r="D3923" t="s">
        <v>1041</v>
      </c>
      <c r="E3923" t="s">
        <v>11309</v>
      </c>
      <c r="F3923">
        <v>612.5</v>
      </c>
      <c r="G3923" t="s">
        <v>3132</v>
      </c>
      <c r="L3923" t="s">
        <v>4428</v>
      </c>
      <c r="M3923" t="s">
        <v>1249</v>
      </c>
      <c r="N3923" t="s">
        <v>4856</v>
      </c>
      <c r="O3923">
        <v>1</v>
      </c>
    </row>
    <row r="3924" spans="2:15" x14ac:dyDescent="0.2">
      <c r="B3924" t="s">
        <v>1433</v>
      </c>
      <c r="C3924" t="s">
        <v>12902</v>
      </c>
      <c r="D3924" t="s">
        <v>1169</v>
      </c>
      <c r="E3924" t="s">
        <v>11310</v>
      </c>
      <c r="F3924">
        <v>26390</v>
      </c>
      <c r="G3924" t="s">
        <v>3404</v>
      </c>
      <c r="L3924" t="s">
        <v>4428</v>
      </c>
      <c r="M3924" t="s">
        <v>2481</v>
      </c>
      <c r="N3924" t="s">
        <v>4035</v>
      </c>
      <c r="O3924">
        <v>1</v>
      </c>
    </row>
    <row r="3925" spans="2:15" x14ac:dyDescent="0.2">
      <c r="B3925" t="s">
        <v>1433</v>
      </c>
      <c r="C3925" t="s">
        <v>12902</v>
      </c>
      <c r="D3925" t="s">
        <v>1169</v>
      </c>
      <c r="E3925" t="s">
        <v>11311</v>
      </c>
      <c r="F3925">
        <v>15834</v>
      </c>
      <c r="G3925" t="s">
        <v>3404</v>
      </c>
      <c r="L3925" t="s">
        <v>4428</v>
      </c>
      <c r="M3925" t="s">
        <v>2484</v>
      </c>
      <c r="N3925" t="s">
        <v>4035</v>
      </c>
      <c r="O3925">
        <v>1</v>
      </c>
    </row>
    <row r="3926" spans="2:15" x14ac:dyDescent="0.2">
      <c r="B3926" t="s">
        <v>1433</v>
      </c>
      <c r="C3926" t="s">
        <v>12902</v>
      </c>
      <c r="D3926" t="s">
        <v>1169</v>
      </c>
      <c r="E3926" t="s">
        <v>11312</v>
      </c>
      <c r="F3926">
        <v>6030</v>
      </c>
      <c r="G3926" t="s">
        <v>3406</v>
      </c>
      <c r="L3926" t="s">
        <v>4428</v>
      </c>
      <c r="M3926" t="s">
        <v>1929</v>
      </c>
      <c r="N3926" t="s">
        <v>4857</v>
      </c>
      <c r="O3926">
        <v>1</v>
      </c>
    </row>
    <row r="3927" spans="2:15" x14ac:dyDescent="0.2">
      <c r="B3927" t="s">
        <v>1433</v>
      </c>
      <c r="C3927" t="s">
        <v>12902</v>
      </c>
      <c r="D3927" t="s">
        <v>1169</v>
      </c>
      <c r="E3927" t="s">
        <v>11313</v>
      </c>
      <c r="F3927">
        <v>2916</v>
      </c>
      <c r="G3927" t="s">
        <v>3418</v>
      </c>
      <c r="L3927" t="s">
        <v>4428</v>
      </c>
      <c r="M3927" t="s">
        <v>1695</v>
      </c>
      <c r="N3927" t="s">
        <v>4857</v>
      </c>
      <c r="O3927">
        <v>4</v>
      </c>
    </row>
    <row r="3928" spans="2:15" x14ac:dyDescent="0.2">
      <c r="B3928" t="s">
        <v>1433</v>
      </c>
      <c r="C3928" t="s">
        <v>12902</v>
      </c>
      <c r="D3928" t="s">
        <v>1169</v>
      </c>
      <c r="E3928" t="s">
        <v>11314</v>
      </c>
      <c r="F3928">
        <v>5640</v>
      </c>
      <c r="G3928" t="s">
        <v>3448</v>
      </c>
      <c r="L3928" t="s">
        <v>4428</v>
      </c>
      <c r="M3928" t="s">
        <v>4237</v>
      </c>
      <c r="N3928" t="s">
        <v>4857</v>
      </c>
      <c r="O3928">
        <v>14</v>
      </c>
    </row>
    <row r="3929" spans="2:15" x14ac:dyDescent="0.2">
      <c r="B3929" t="s">
        <v>1433</v>
      </c>
      <c r="C3929" t="s">
        <v>12902</v>
      </c>
      <c r="D3929" t="s">
        <v>1169</v>
      </c>
      <c r="E3929" t="s">
        <v>11315</v>
      </c>
      <c r="F3929">
        <v>3991</v>
      </c>
      <c r="G3929" t="s">
        <v>3451</v>
      </c>
      <c r="L3929" t="s">
        <v>4428</v>
      </c>
      <c r="M3929" t="s">
        <v>4858</v>
      </c>
      <c r="N3929" t="s">
        <v>4859</v>
      </c>
      <c r="O3929">
        <v>5</v>
      </c>
    </row>
    <row r="3930" spans="2:15" x14ac:dyDescent="0.2">
      <c r="B3930" t="s">
        <v>1433</v>
      </c>
      <c r="C3930" t="s">
        <v>12902</v>
      </c>
      <c r="D3930" t="s">
        <v>1169</v>
      </c>
      <c r="E3930" t="s">
        <v>11316</v>
      </c>
      <c r="F3930">
        <v>1000</v>
      </c>
      <c r="G3930" t="s">
        <v>3502</v>
      </c>
      <c r="L3930" t="s">
        <v>4428</v>
      </c>
      <c r="M3930" t="s">
        <v>2537</v>
      </c>
      <c r="N3930" t="s">
        <v>4860</v>
      </c>
      <c r="O3930">
        <v>1</v>
      </c>
    </row>
    <row r="3931" spans="2:15" x14ac:dyDescent="0.2">
      <c r="B3931" t="s">
        <v>1433</v>
      </c>
      <c r="C3931" t="s">
        <v>12902</v>
      </c>
      <c r="D3931" t="s">
        <v>1169</v>
      </c>
      <c r="E3931" t="s">
        <v>11317</v>
      </c>
      <c r="F3931">
        <v>250</v>
      </c>
      <c r="G3931" t="s">
        <v>3505</v>
      </c>
      <c r="L3931" t="s">
        <v>4428</v>
      </c>
      <c r="M3931" t="s">
        <v>4849</v>
      </c>
      <c r="N3931" t="s">
        <v>4861</v>
      </c>
      <c r="O3931">
        <v>2</v>
      </c>
    </row>
    <row r="3932" spans="2:15" x14ac:dyDescent="0.2">
      <c r="B3932" t="s">
        <v>1433</v>
      </c>
      <c r="C3932" t="s">
        <v>12902</v>
      </c>
      <c r="D3932" t="s">
        <v>613</v>
      </c>
      <c r="E3932" t="s">
        <v>11318</v>
      </c>
      <c r="F3932">
        <v>24</v>
      </c>
      <c r="G3932" t="s">
        <v>7911</v>
      </c>
      <c r="L3932" t="s">
        <v>4428</v>
      </c>
      <c r="M3932" t="s">
        <v>2017</v>
      </c>
      <c r="N3932" t="s">
        <v>4862</v>
      </c>
      <c r="O3932">
        <v>2</v>
      </c>
    </row>
    <row r="3933" spans="2:15" x14ac:dyDescent="0.2">
      <c r="B3933" t="s">
        <v>1433</v>
      </c>
      <c r="C3933" t="s">
        <v>12902</v>
      </c>
      <c r="D3933" t="s">
        <v>1048</v>
      </c>
      <c r="E3933" t="s">
        <v>11319</v>
      </c>
      <c r="F3933">
        <v>516</v>
      </c>
      <c r="G3933" t="s">
        <v>3573</v>
      </c>
      <c r="L3933" t="s">
        <v>4428</v>
      </c>
      <c r="M3933" t="s">
        <v>2018</v>
      </c>
      <c r="N3933" t="s">
        <v>4862</v>
      </c>
      <c r="O3933">
        <v>2</v>
      </c>
    </row>
    <row r="3934" spans="2:15" x14ac:dyDescent="0.2">
      <c r="B3934" t="s">
        <v>1433</v>
      </c>
      <c r="C3934" t="s">
        <v>12902</v>
      </c>
      <c r="D3934" t="s">
        <v>1030</v>
      </c>
      <c r="E3934" t="s">
        <v>11320</v>
      </c>
      <c r="F3934">
        <v>10750</v>
      </c>
      <c r="G3934" t="s">
        <v>3575</v>
      </c>
      <c r="L3934" t="s">
        <v>4428</v>
      </c>
      <c r="M3934" t="s">
        <v>2539</v>
      </c>
      <c r="N3934" t="s">
        <v>4863</v>
      </c>
      <c r="O3934">
        <v>1</v>
      </c>
    </row>
    <row r="3935" spans="2:15" x14ac:dyDescent="0.2">
      <c r="B3935" t="s">
        <v>1433</v>
      </c>
      <c r="C3935" t="s">
        <v>12902</v>
      </c>
      <c r="D3935" t="s">
        <v>1048</v>
      </c>
      <c r="E3935" t="s">
        <v>11321</v>
      </c>
      <c r="F3935">
        <v>385</v>
      </c>
      <c r="G3935" t="s">
        <v>3586</v>
      </c>
      <c r="L3935" t="s">
        <v>4428</v>
      </c>
      <c r="M3935" t="s">
        <v>2540</v>
      </c>
      <c r="N3935" t="s">
        <v>4864</v>
      </c>
      <c r="O3935">
        <v>1</v>
      </c>
    </row>
    <row r="3936" spans="2:15" x14ac:dyDescent="0.2">
      <c r="B3936" t="s">
        <v>1433</v>
      </c>
      <c r="C3936" t="s">
        <v>12902</v>
      </c>
      <c r="D3936" t="s">
        <v>1048</v>
      </c>
      <c r="E3936" t="s">
        <v>11322</v>
      </c>
      <c r="F3936">
        <v>601</v>
      </c>
      <c r="G3936" t="s">
        <v>3593</v>
      </c>
      <c r="L3936" t="s">
        <v>4428</v>
      </c>
      <c r="M3936" t="s">
        <v>2477</v>
      </c>
      <c r="N3936" t="s">
        <v>4865</v>
      </c>
      <c r="O3936">
        <v>1</v>
      </c>
    </row>
    <row r="3937" spans="2:15" x14ac:dyDescent="0.2">
      <c r="B3937" t="s">
        <v>1433</v>
      </c>
      <c r="C3937" t="s">
        <v>12902</v>
      </c>
      <c r="D3937" t="s">
        <v>1048</v>
      </c>
      <c r="E3937" t="s">
        <v>11323</v>
      </c>
      <c r="F3937">
        <v>547</v>
      </c>
      <c r="G3937" t="s">
        <v>3595</v>
      </c>
      <c r="L3937" t="s">
        <v>4428</v>
      </c>
      <c r="M3937" t="s">
        <v>2534</v>
      </c>
      <c r="N3937" t="s">
        <v>4865</v>
      </c>
      <c r="O3937">
        <v>1</v>
      </c>
    </row>
    <row r="3938" spans="2:15" x14ac:dyDescent="0.2">
      <c r="B3938" t="s">
        <v>1433</v>
      </c>
      <c r="C3938" t="s">
        <v>12902</v>
      </c>
      <c r="D3938" t="s">
        <v>613</v>
      </c>
      <c r="E3938" t="s">
        <v>11324</v>
      </c>
      <c r="F3938">
        <v>125</v>
      </c>
      <c r="G3938" t="s">
        <v>7730</v>
      </c>
      <c r="L3938" t="s">
        <v>4428</v>
      </c>
      <c r="M3938" t="s">
        <v>2014</v>
      </c>
      <c r="N3938" t="s">
        <v>4866</v>
      </c>
      <c r="O3938">
        <v>4</v>
      </c>
    </row>
    <row r="3939" spans="2:15" x14ac:dyDescent="0.2">
      <c r="B3939" t="s">
        <v>1433</v>
      </c>
      <c r="C3939" t="s">
        <v>12902</v>
      </c>
      <c r="D3939" t="s">
        <v>613</v>
      </c>
      <c r="E3939" t="s">
        <v>11325</v>
      </c>
      <c r="F3939">
        <v>1.32</v>
      </c>
      <c r="G3939" t="s">
        <v>8605</v>
      </c>
      <c r="L3939" t="s">
        <v>4428</v>
      </c>
      <c r="M3939" t="s">
        <v>1499</v>
      </c>
      <c r="N3939" t="s">
        <v>4867</v>
      </c>
      <c r="O3939">
        <v>3</v>
      </c>
    </row>
    <row r="3940" spans="2:15" x14ac:dyDescent="0.2">
      <c r="B3940" t="s">
        <v>1433</v>
      </c>
      <c r="C3940" t="s">
        <v>12902</v>
      </c>
      <c r="D3940" t="s">
        <v>84</v>
      </c>
      <c r="E3940" t="s">
        <v>11326</v>
      </c>
      <c r="F3940">
        <v>19.5</v>
      </c>
      <c r="G3940" t="s">
        <v>9774</v>
      </c>
      <c r="L3940" t="s">
        <v>4428</v>
      </c>
      <c r="M3940" t="s">
        <v>4868</v>
      </c>
      <c r="N3940" t="s">
        <v>4869</v>
      </c>
      <c r="O3940">
        <v>1</v>
      </c>
    </row>
    <row r="3941" spans="2:15" x14ac:dyDescent="0.2">
      <c r="B3941" t="s">
        <v>1433</v>
      </c>
      <c r="C3941" t="s">
        <v>12902</v>
      </c>
      <c r="D3941" t="s">
        <v>84</v>
      </c>
      <c r="E3941" t="s">
        <v>11327</v>
      </c>
      <c r="F3941">
        <v>25.74</v>
      </c>
      <c r="G3941" t="s">
        <v>9523</v>
      </c>
      <c r="L3941" t="s">
        <v>4428</v>
      </c>
      <c r="M3941" t="s">
        <v>4870</v>
      </c>
      <c r="N3941" t="s">
        <v>4869</v>
      </c>
      <c r="O3941">
        <v>1</v>
      </c>
    </row>
    <row r="3942" spans="2:15" x14ac:dyDescent="0.2">
      <c r="B3942" t="s">
        <v>1433</v>
      </c>
      <c r="C3942" t="s">
        <v>12902</v>
      </c>
      <c r="D3942" t="s">
        <v>1030</v>
      </c>
      <c r="E3942" t="s">
        <v>11328</v>
      </c>
      <c r="F3942">
        <v>5300</v>
      </c>
      <c r="G3942" t="s">
        <v>3677</v>
      </c>
      <c r="L3942" t="s">
        <v>4428</v>
      </c>
      <c r="M3942" t="s">
        <v>4871</v>
      </c>
      <c r="N3942" t="s">
        <v>4869</v>
      </c>
      <c r="O3942">
        <v>3</v>
      </c>
    </row>
    <row r="3943" spans="2:15" x14ac:dyDescent="0.2">
      <c r="B3943" t="s">
        <v>1433</v>
      </c>
      <c r="C3943" t="s">
        <v>12902</v>
      </c>
      <c r="D3943" t="s">
        <v>1048</v>
      </c>
      <c r="E3943" t="s">
        <v>11329</v>
      </c>
      <c r="F3943">
        <v>1600</v>
      </c>
      <c r="G3943" t="s">
        <v>1863</v>
      </c>
      <c r="L3943" t="s">
        <v>4428</v>
      </c>
      <c r="M3943" t="s">
        <v>4872</v>
      </c>
      <c r="N3943" t="s">
        <v>4869</v>
      </c>
      <c r="O3943">
        <v>2</v>
      </c>
    </row>
    <row r="3944" spans="2:15" x14ac:dyDescent="0.2">
      <c r="B3944" t="s">
        <v>1433</v>
      </c>
      <c r="C3944" t="s">
        <v>12902</v>
      </c>
      <c r="D3944" t="s">
        <v>1048</v>
      </c>
      <c r="E3944" t="s">
        <v>11330</v>
      </c>
      <c r="F3944">
        <v>1600</v>
      </c>
      <c r="G3944" t="s">
        <v>1863</v>
      </c>
      <c r="L3944" t="s">
        <v>4428</v>
      </c>
      <c r="M3944" t="s">
        <v>4873</v>
      </c>
      <c r="N3944" t="s">
        <v>4869</v>
      </c>
      <c r="O3944">
        <v>6</v>
      </c>
    </row>
    <row r="3945" spans="2:15" x14ac:dyDescent="0.2">
      <c r="B3945" t="s">
        <v>1433</v>
      </c>
      <c r="C3945" t="s">
        <v>12902</v>
      </c>
      <c r="D3945" t="s">
        <v>1048</v>
      </c>
      <c r="E3945" t="s">
        <v>11331</v>
      </c>
      <c r="F3945">
        <v>800</v>
      </c>
      <c r="G3945" t="s">
        <v>1863</v>
      </c>
      <c r="L3945" t="s">
        <v>4428</v>
      </c>
      <c r="M3945" t="s">
        <v>4874</v>
      </c>
      <c r="N3945" t="s">
        <v>4869</v>
      </c>
      <c r="O3945">
        <v>2</v>
      </c>
    </row>
    <row r="3946" spans="2:15" x14ac:dyDescent="0.2">
      <c r="B3946" t="s">
        <v>1433</v>
      </c>
      <c r="C3946" t="s">
        <v>12902</v>
      </c>
      <c r="D3946" t="s">
        <v>1048</v>
      </c>
      <c r="E3946" t="s">
        <v>11332</v>
      </c>
      <c r="F3946">
        <v>472.5</v>
      </c>
      <c r="G3946" t="s">
        <v>3709</v>
      </c>
      <c r="L3946" t="s">
        <v>4428</v>
      </c>
      <c r="M3946" t="s">
        <v>4875</v>
      </c>
      <c r="N3946" t="s">
        <v>4876</v>
      </c>
      <c r="O3946">
        <v>100</v>
      </c>
    </row>
    <row r="3947" spans="2:15" x14ac:dyDescent="0.2">
      <c r="B3947" t="s">
        <v>1433</v>
      </c>
      <c r="C3947" t="s">
        <v>12902</v>
      </c>
      <c r="D3947" t="s">
        <v>1048</v>
      </c>
      <c r="E3947" t="s">
        <v>11333</v>
      </c>
      <c r="F3947">
        <v>601</v>
      </c>
      <c r="G3947" t="s">
        <v>3710</v>
      </c>
      <c r="L3947" t="s">
        <v>4428</v>
      </c>
      <c r="M3947" t="s">
        <v>4877</v>
      </c>
      <c r="N3947" t="s">
        <v>4876</v>
      </c>
      <c r="O3947">
        <v>100</v>
      </c>
    </row>
    <row r="3948" spans="2:15" x14ac:dyDescent="0.2">
      <c r="B3948" t="s">
        <v>1433</v>
      </c>
      <c r="C3948" t="s">
        <v>12902</v>
      </c>
      <c r="D3948" t="s">
        <v>1048</v>
      </c>
      <c r="E3948" t="s">
        <v>11334</v>
      </c>
      <c r="F3948">
        <v>601</v>
      </c>
      <c r="G3948" t="s">
        <v>3711</v>
      </c>
      <c r="L3948" t="s">
        <v>4428</v>
      </c>
      <c r="M3948" t="s">
        <v>4878</v>
      </c>
      <c r="N3948" t="s">
        <v>4876</v>
      </c>
      <c r="O3948">
        <v>100</v>
      </c>
    </row>
    <row r="3949" spans="2:15" x14ac:dyDescent="0.2">
      <c r="B3949" t="s">
        <v>1433</v>
      </c>
      <c r="C3949" t="s">
        <v>12902</v>
      </c>
      <c r="D3949" t="s">
        <v>1048</v>
      </c>
      <c r="E3949" t="s">
        <v>11335</v>
      </c>
      <c r="F3949">
        <v>450</v>
      </c>
      <c r="G3949" t="s">
        <v>3712</v>
      </c>
      <c r="L3949" t="s">
        <v>4428</v>
      </c>
      <c r="M3949" t="s">
        <v>2174</v>
      </c>
      <c r="N3949" t="s">
        <v>4879</v>
      </c>
      <c r="O3949">
        <v>30</v>
      </c>
    </row>
    <row r="3950" spans="2:15" x14ac:dyDescent="0.2">
      <c r="B3950" t="s">
        <v>1433</v>
      </c>
      <c r="C3950" t="s">
        <v>12902</v>
      </c>
      <c r="D3950" t="s">
        <v>1048</v>
      </c>
      <c r="E3950" t="s">
        <v>11336</v>
      </c>
      <c r="F3950">
        <v>250</v>
      </c>
      <c r="G3950" t="s">
        <v>3713</v>
      </c>
      <c r="L3950" t="s">
        <v>4428</v>
      </c>
      <c r="M3950" t="s">
        <v>1969</v>
      </c>
      <c r="N3950" t="s">
        <v>4866</v>
      </c>
      <c r="O3950">
        <v>4</v>
      </c>
    </row>
    <row r="3951" spans="2:15" x14ac:dyDescent="0.2">
      <c r="B3951" t="s">
        <v>1433</v>
      </c>
      <c r="C3951" t="s">
        <v>12902</v>
      </c>
      <c r="D3951" t="s">
        <v>1048</v>
      </c>
      <c r="E3951" t="s">
        <v>11337</v>
      </c>
      <c r="F3951">
        <v>1678</v>
      </c>
      <c r="G3951" t="s">
        <v>3714</v>
      </c>
      <c r="L3951" t="s">
        <v>4428</v>
      </c>
      <c r="M3951" t="s">
        <v>4880</v>
      </c>
      <c r="N3951" t="s">
        <v>4881</v>
      </c>
      <c r="O3951">
        <v>400</v>
      </c>
    </row>
    <row r="3952" spans="2:15" x14ac:dyDescent="0.2">
      <c r="B3952" t="s">
        <v>1433</v>
      </c>
      <c r="C3952" t="s">
        <v>12902</v>
      </c>
      <c r="D3952" t="s">
        <v>1048</v>
      </c>
      <c r="E3952" t="s">
        <v>11338</v>
      </c>
      <c r="F3952">
        <v>250</v>
      </c>
      <c r="G3952" t="s">
        <v>3715</v>
      </c>
      <c r="L3952" t="s">
        <v>4428</v>
      </c>
      <c r="M3952" t="s">
        <v>4882</v>
      </c>
      <c r="N3952" t="s">
        <v>4883</v>
      </c>
      <c r="O3952">
        <v>1</v>
      </c>
    </row>
    <row r="3953" spans="2:15" x14ac:dyDescent="0.2">
      <c r="B3953" t="s">
        <v>1433</v>
      </c>
      <c r="C3953" t="s">
        <v>12902</v>
      </c>
      <c r="D3953" t="s">
        <v>1048</v>
      </c>
      <c r="E3953" t="s">
        <v>11339</v>
      </c>
      <c r="F3953">
        <v>1697</v>
      </c>
      <c r="G3953" t="s">
        <v>3716</v>
      </c>
      <c r="L3953" t="s">
        <v>4428</v>
      </c>
      <c r="M3953" t="s">
        <v>4884</v>
      </c>
      <c r="N3953" t="s">
        <v>4885</v>
      </c>
      <c r="O3953">
        <v>1</v>
      </c>
    </row>
    <row r="3954" spans="2:15" x14ac:dyDescent="0.2">
      <c r="B3954" t="s">
        <v>1433</v>
      </c>
      <c r="C3954" t="s">
        <v>12902</v>
      </c>
      <c r="D3954" t="s">
        <v>1048</v>
      </c>
      <c r="E3954" t="s">
        <v>11340</v>
      </c>
      <c r="F3954">
        <v>1275</v>
      </c>
      <c r="G3954" t="s">
        <v>3717</v>
      </c>
      <c r="L3954" t="s">
        <v>4428</v>
      </c>
      <c r="M3954" t="s">
        <v>1931</v>
      </c>
      <c r="N3954" t="s">
        <v>4886</v>
      </c>
      <c r="O3954">
        <v>1</v>
      </c>
    </row>
    <row r="3955" spans="2:15" x14ac:dyDescent="0.2">
      <c r="B3955" t="s">
        <v>1433</v>
      </c>
      <c r="C3955" t="s">
        <v>12902</v>
      </c>
      <c r="D3955" t="s">
        <v>1048</v>
      </c>
      <c r="E3955" t="s">
        <v>11341</v>
      </c>
      <c r="F3955">
        <v>120</v>
      </c>
      <c r="G3955" t="s">
        <v>3698</v>
      </c>
      <c r="L3955" t="s">
        <v>4428</v>
      </c>
      <c r="M3955" t="s">
        <v>1260</v>
      </c>
      <c r="N3955" t="s">
        <v>4887</v>
      </c>
      <c r="O3955">
        <v>1</v>
      </c>
    </row>
    <row r="3956" spans="2:15" x14ac:dyDescent="0.2">
      <c r="B3956" t="s">
        <v>1433</v>
      </c>
      <c r="C3956" t="s">
        <v>12902</v>
      </c>
      <c r="D3956" t="s">
        <v>1048</v>
      </c>
      <c r="E3956" t="s">
        <v>11342</v>
      </c>
      <c r="F3956">
        <v>370</v>
      </c>
      <c r="G3956" t="s">
        <v>3700</v>
      </c>
      <c r="L3956" t="s">
        <v>4428</v>
      </c>
      <c r="M3956" t="s">
        <v>1255</v>
      </c>
      <c r="N3956" t="s">
        <v>4887</v>
      </c>
      <c r="O3956">
        <v>1</v>
      </c>
    </row>
    <row r="3957" spans="2:15" x14ac:dyDescent="0.2">
      <c r="B3957" t="s">
        <v>1433</v>
      </c>
      <c r="C3957" t="s">
        <v>12902</v>
      </c>
      <c r="D3957" t="s">
        <v>1048</v>
      </c>
      <c r="E3957" t="s">
        <v>11343</v>
      </c>
      <c r="F3957">
        <v>877</v>
      </c>
      <c r="G3957" t="s">
        <v>3702</v>
      </c>
      <c r="L3957" t="s">
        <v>4428</v>
      </c>
      <c r="M3957" t="s">
        <v>4888</v>
      </c>
      <c r="N3957" t="s">
        <v>4885</v>
      </c>
      <c r="O3957">
        <v>1</v>
      </c>
    </row>
    <row r="3958" spans="2:15" x14ac:dyDescent="0.2">
      <c r="B3958" t="s">
        <v>1433</v>
      </c>
      <c r="C3958" t="s">
        <v>12902</v>
      </c>
      <c r="D3958" t="s">
        <v>1048</v>
      </c>
      <c r="E3958" t="s">
        <v>11344</v>
      </c>
      <c r="F3958">
        <v>798</v>
      </c>
      <c r="G3958" t="s">
        <v>3704</v>
      </c>
      <c r="L3958" t="s">
        <v>4428</v>
      </c>
      <c r="M3958" t="s">
        <v>2623</v>
      </c>
      <c r="N3958" t="s">
        <v>4889</v>
      </c>
      <c r="O3958">
        <v>1</v>
      </c>
    </row>
    <row r="3959" spans="2:15" x14ac:dyDescent="0.2">
      <c r="B3959" t="s">
        <v>1433</v>
      </c>
      <c r="C3959" t="s">
        <v>12902</v>
      </c>
      <c r="D3959" t="s">
        <v>1048</v>
      </c>
      <c r="E3959" t="s">
        <v>11345</v>
      </c>
      <c r="F3959">
        <v>442</v>
      </c>
      <c r="G3959" t="s">
        <v>3706</v>
      </c>
      <c r="L3959" t="s">
        <v>4428</v>
      </c>
      <c r="M3959" t="s">
        <v>4890</v>
      </c>
      <c r="N3959" t="s">
        <v>4847</v>
      </c>
      <c r="O3959">
        <v>1000</v>
      </c>
    </row>
    <row r="3960" spans="2:15" x14ac:dyDescent="0.2">
      <c r="B3960" t="s">
        <v>1433</v>
      </c>
      <c r="C3960" t="s">
        <v>12902</v>
      </c>
      <c r="D3960" t="s">
        <v>1048</v>
      </c>
      <c r="E3960" t="s">
        <v>11346</v>
      </c>
      <c r="F3960">
        <v>834</v>
      </c>
      <c r="G3960" t="s">
        <v>3743</v>
      </c>
      <c r="L3960" t="s">
        <v>4428</v>
      </c>
      <c r="M3960" t="s">
        <v>2625</v>
      </c>
      <c r="N3960" t="s">
        <v>4891</v>
      </c>
      <c r="O3960">
        <v>1</v>
      </c>
    </row>
    <row r="3961" spans="2:15" x14ac:dyDescent="0.2">
      <c r="B3961" t="s">
        <v>1433</v>
      </c>
      <c r="C3961" t="s">
        <v>12902</v>
      </c>
      <c r="D3961" t="s">
        <v>1048</v>
      </c>
      <c r="E3961" t="s">
        <v>11347</v>
      </c>
      <c r="F3961">
        <v>717</v>
      </c>
      <c r="G3961" t="s">
        <v>3747</v>
      </c>
      <c r="L3961" t="s">
        <v>4428</v>
      </c>
      <c r="M3961" t="s">
        <v>4892</v>
      </c>
      <c r="N3961" t="s">
        <v>4107</v>
      </c>
      <c r="O3961">
        <v>1</v>
      </c>
    </row>
    <row r="3962" spans="2:15" x14ac:dyDescent="0.2">
      <c r="B3962" t="s">
        <v>1433</v>
      </c>
      <c r="C3962" t="s">
        <v>12902</v>
      </c>
      <c r="D3962" t="s">
        <v>1048</v>
      </c>
      <c r="E3962" t="s">
        <v>11348</v>
      </c>
      <c r="F3962">
        <v>1722</v>
      </c>
      <c r="G3962" t="s">
        <v>3749</v>
      </c>
      <c r="L3962" t="s">
        <v>4428</v>
      </c>
      <c r="M3962" t="s">
        <v>4893</v>
      </c>
      <c r="N3962" t="s">
        <v>4894</v>
      </c>
      <c r="O3962">
        <v>300</v>
      </c>
    </row>
    <row r="3963" spans="2:15" x14ac:dyDescent="0.2">
      <c r="B3963" t="s">
        <v>1433</v>
      </c>
      <c r="C3963" t="s">
        <v>12902</v>
      </c>
      <c r="D3963" t="s">
        <v>1048</v>
      </c>
      <c r="E3963" t="s">
        <v>11349</v>
      </c>
      <c r="F3963">
        <v>1747</v>
      </c>
      <c r="G3963" t="s">
        <v>3751</v>
      </c>
      <c r="L3963" t="s">
        <v>4428</v>
      </c>
      <c r="M3963" t="s">
        <v>2629</v>
      </c>
      <c r="N3963" t="s">
        <v>4895</v>
      </c>
      <c r="O3963">
        <v>1</v>
      </c>
    </row>
    <row r="3964" spans="2:15" x14ac:dyDescent="0.2">
      <c r="B3964" t="s">
        <v>1433</v>
      </c>
      <c r="C3964" t="s">
        <v>12902</v>
      </c>
      <c r="D3964" t="s">
        <v>1048</v>
      </c>
      <c r="E3964" t="s">
        <v>11350</v>
      </c>
      <c r="F3964">
        <v>665</v>
      </c>
      <c r="G3964" t="s">
        <v>3753</v>
      </c>
      <c r="L3964" t="s">
        <v>4428</v>
      </c>
      <c r="M3964" t="s">
        <v>1286</v>
      </c>
      <c r="N3964" t="s">
        <v>4896</v>
      </c>
      <c r="O3964">
        <v>1</v>
      </c>
    </row>
    <row r="3965" spans="2:15" x14ac:dyDescent="0.2">
      <c r="B3965" t="s">
        <v>1433</v>
      </c>
      <c r="C3965" t="s">
        <v>12902</v>
      </c>
      <c r="D3965" t="s">
        <v>1048</v>
      </c>
      <c r="E3965" t="s">
        <v>11351</v>
      </c>
      <c r="F3965">
        <v>771</v>
      </c>
      <c r="G3965" t="s">
        <v>3770</v>
      </c>
      <c r="L3965" t="s">
        <v>4428</v>
      </c>
      <c r="M3965" t="s">
        <v>1231</v>
      </c>
      <c r="N3965" t="s">
        <v>4897</v>
      </c>
      <c r="O3965">
        <v>1</v>
      </c>
    </row>
    <row r="3966" spans="2:15" x14ac:dyDescent="0.2">
      <c r="B3966" t="s">
        <v>1433</v>
      </c>
      <c r="C3966" t="s">
        <v>12902</v>
      </c>
      <c r="D3966" t="s">
        <v>1048</v>
      </c>
      <c r="E3966" t="s">
        <v>11352</v>
      </c>
      <c r="F3966">
        <v>392</v>
      </c>
      <c r="G3966" t="s">
        <v>3772</v>
      </c>
      <c r="L3966" t="s">
        <v>4428</v>
      </c>
      <c r="M3966" t="s">
        <v>1235</v>
      </c>
      <c r="N3966" t="s">
        <v>4897</v>
      </c>
      <c r="O3966">
        <v>1</v>
      </c>
    </row>
    <row r="3967" spans="2:15" x14ac:dyDescent="0.2">
      <c r="B3967" t="s">
        <v>1433</v>
      </c>
      <c r="C3967" t="s">
        <v>12902</v>
      </c>
      <c r="D3967" t="s">
        <v>1030</v>
      </c>
      <c r="E3967" t="s">
        <v>11353</v>
      </c>
      <c r="F3967">
        <v>16320</v>
      </c>
      <c r="G3967" t="s">
        <v>11354</v>
      </c>
      <c r="L3967" t="s">
        <v>4428</v>
      </c>
      <c r="M3967" t="s">
        <v>1239</v>
      </c>
      <c r="N3967" t="s">
        <v>4897</v>
      </c>
      <c r="O3967">
        <v>1</v>
      </c>
    </row>
    <row r="3968" spans="2:15" x14ac:dyDescent="0.2">
      <c r="B3968" t="s">
        <v>1433</v>
      </c>
      <c r="C3968" t="s">
        <v>12902</v>
      </c>
      <c r="D3968" t="s">
        <v>1048</v>
      </c>
      <c r="E3968" t="s">
        <v>11355</v>
      </c>
      <c r="F3968">
        <v>804</v>
      </c>
      <c r="G3968" t="s">
        <v>3813</v>
      </c>
      <c r="L3968" t="s">
        <v>4428</v>
      </c>
      <c r="M3968" t="s">
        <v>1241</v>
      </c>
      <c r="N3968" t="s">
        <v>4897</v>
      </c>
      <c r="O3968">
        <v>1</v>
      </c>
    </row>
    <row r="3969" spans="2:15" x14ac:dyDescent="0.2">
      <c r="B3969" t="s">
        <v>1433</v>
      </c>
      <c r="C3969" t="s">
        <v>12902</v>
      </c>
      <c r="D3969" t="s">
        <v>1048</v>
      </c>
      <c r="E3969" t="s">
        <v>11356</v>
      </c>
      <c r="F3969">
        <v>1840.25</v>
      </c>
      <c r="G3969" t="s">
        <v>3814</v>
      </c>
      <c r="L3969" t="s">
        <v>4428</v>
      </c>
      <c r="M3969" t="s">
        <v>1938</v>
      </c>
      <c r="N3969" t="s">
        <v>4898</v>
      </c>
      <c r="O3969">
        <v>14</v>
      </c>
    </row>
    <row r="3970" spans="2:15" x14ac:dyDescent="0.2">
      <c r="B3970" t="s">
        <v>1433</v>
      </c>
      <c r="C3970" t="s">
        <v>12902</v>
      </c>
      <c r="D3970" t="s">
        <v>1048</v>
      </c>
      <c r="E3970" t="s">
        <v>11357</v>
      </c>
      <c r="F3970">
        <v>473.64</v>
      </c>
      <c r="G3970" t="s">
        <v>3816</v>
      </c>
      <c r="L3970" t="s">
        <v>4428</v>
      </c>
      <c r="M3970" t="s">
        <v>1305</v>
      </c>
      <c r="N3970" t="s">
        <v>4899</v>
      </c>
      <c r="O3970">
        <v>1</v>
      </c>
    </row>
    <row r="3971" spans="2:15" x14ac:dyDescent="0.2">
      <c r="B3971" t="s">
        <v>1433</v>
      </c>
      <c r="C3971" t="s">
        <v>12902</v>
      </c>
      <c r="D3971" t="s">
        <v>1048</v>
      </c>
      <c r="E3971" t="s">
        <v>11358</v>
      </c>
      <c r="F3971">
        <v>324.94</v>
      </c>
      <c r="G3971" t="s">
        <v>3818</v>
      </c>
      <c r="L3971" t="s">
        <v>4428</v>
      </c>
      <c r="M3971" t="s">
        <v>1288</v>
      </c>
      <c r="N3971" t="s">
        <v>4900</v>
      </c>
      <c r="O3971">
        <v>1</v>
      </c>
    </row>
    <row r="3972" spans="2:15" x14ac:dyDescent="0.2">
      <c r="B3972" t="s">
        <v>1433</v>
      </c>
      <c r="C3972" t="s">
        <v>12902</v>
      </c>
      <c r="D3972" t="s">
        <v>1048</v>
      </c>
      <c r="E3972" t="s">
        <v>11359</v>
      </c>
      <c r="F3972">
        <v>324.94</v>
      </c>
      <c r="G3972" t="s">
        <v>3820</v>
      </c>
      <c r="L3972" t="s">
        <v>4428</v>
      </c>
      <c r="M3972" t="s">
        <v>1303</v>
      </c>
      <c r="N3972" t="s">
        <v>4901</v>
      </c>
      <c r="O3972">
        <v>1</v>
      </c>
    </row>
    <row r="3973" spans="2:15" x14ac:dyDescent="0.2">
      <c r="B3973" t="s">
        <v>1433</v>
      </c>
      <c r="C3973" t="s">
        <v>12902</v>
      </c>
      <c r="D3973" t="s">
        <v>1048</v>
      </c>
      <c r="E3973" t="s">
        <v>11360</v>
      </c>
      <c r="F3973">
        <v>771</v>
      </c>
      <c r="G3973" t="s">
        <v>3822</v>
      </c>
      <c r="L3973" t="s">
        <v>4428</v>
      </c>
      <c r="M3973" t="s">
        <v>1338</v>
      </c>
      <c r="N3973" t="s">
        <v>4902</v>
      </c>
      <c r="O3973">
        <v>1</v>
      </c>
    </row>
    <row r="3974" spans="2:15" x14ac:dyDescent="0.2">
      <c r="B3974" t="s">
        <v>1433</v>
      </c>
      <c r="C3974" t="s">
        <v>12902</v>
      </c>
      <c r="D3974" t="s">
        <v>1048</v>
      </c>
      <c r="E3974" t="s">
        <v>11361</v>
      </c>
      <c r="F3974">
        <v>687</v>
      </c>
      <c r="G3974" t="s">
        <v>3823</v>
      </c>
      <c r="L3974" t="s">
        <v>4428</v>
      </c>
      <c r="M3974" t="s">
        <v>1336</v>
      </c>
      <c r="N3974" t="s">
        <v>4902</v>
      </c>
      <c r="O3974">
        <v>1</v>
      </c>
    </row>
    <row r="3975" spans="2:15" x14ac:dyDescent="0.2">
      <c r="B3975" t="s">
        <v>1433</v>
      </c>
      <c r="C3975" t="s">
        <v>12902</v>
      </c>
      <c r="D3975" t="s">
        <v>1048</v>
      </c>
      <c r="E3975" t="s">
        <v>11362</v>
      </c>
      <c r="F3975">
        <v>473.64</v>
      </c>
      <c r="G3975" t="s">
        <v>3825</v>
      </c>
      <c r="L3975" t="s">
        <v>4428</v>
      </c>
      <c r="M3975" t="s">
        <v>1344</v>
      </c>
      <c r="N3975" t="s">
        <v>4902</v>
      </c>
      <c r="O3975">
        <v>1</v>
      </c>
    </row>
    <row r="3976" spans="2:15" x14ac:dyDescent="0.2">
      <c r="B3976" t="s">
        <v>1433</v>
      </c>
      <c r="C3976" t="s">
        <v>12902</v>
      </c>
      <c r="D3976" t="s">
        <v>1048</v>
      </c>
      <c r="E3976" t="s">
        <v>11363</v>
      </c>
      <c r="F3976">
        <v>259.94</v>
      </c>
      <c r="G3976" t="s">
        <v>3827</v>
      </c>
      <c r="L3976" t="s">
        <v>4428</v>
      </c>
      <c r="M3976" t="s">
        <v>4715</v>
      </c>
      <c r="N3976" t="s">
        <v>4903</v>
      </c>
      <c r="O3976">
        <v>4</v>
      </c>
    </row>
    <row r="3977" spans="2:15" x14ac:dyDescent="0.2">
      <c r="B3977" t="s">
        <v>1433</v>
      </c>
      <c r="C3977" t="s">
        <v>12902</v>
      </c>
      <c r="D3977" t="s">
        <v>1048</v>
      </c>
      <c r="E3977" t="s">
        <v>11364</v>
      </c>
      <c r="F3977">
        <v>771</v>
      </c>
      <c r="G3977" t="s">
        <v>3829</v>
      </c>
      <c r="L3977" t="s">
        <v>4428</v>
      </c>
      <c r="M3977" t="s">
        <v>2016</v>
      </c>
      <c r="N3977" t="s">
        <v>4904</v>
      </c>
      <c r="O3977">
        <v>10</v>
      </c>
    </row>
    <row r="3978" spans="2:15" x14ac:dyDescent="0.2">
      <c r="B3978" t="s">
        <v>1433</v>
      </c>
      <c r="C3978" t="s">
        <v>12902</v>
      </c>
      <c r="D3978" t="s">
        <v>1048</v>
      </c>
      <c r="E3978" t="s">
        <v>11365</v>
      </c>
      <c r="F3978">
        <v>735</v>
      </c>
      <c r="G3978" t="s">
        <v>3831</v>
      </c>
      <c r="L3978" t="s">
        <v>4428</v>
      </c>
      <c r="M3978" t="s">
        <v>4665</v>
      </c>
      <c r="N3978" t="s">
        <v>4421</v>
      </c>
      <c r="O3978">
        <v>4</v>
      </c>
    </row>
    <row r="3979" spans="2:15" x14ac:dyDescent="0.2">
      <c r="B3979" t="s">
        <v>1433</v>
      </c>
      <c r="C3979" t="s">
        <v>12902</v>
      </c>
      <c r="D3979" t="s">
        <v>1048</v>
      </c>
      <c r="E3979" t="s">
        <v>11366</v>
      </c>
      <c r="F3979">
        <v>812</v>
      </c>
      <c r="G3979" t="s">
        <v>3839</v>
      </c>
      <c r="L3979" t="s">
        <v>4428</v>
      </c>
      <c r="M3979" t="s">
        <v>1894</v>
      </c>
      <c r="N3979" t="s">
        <v>4905</v>
      </c>
      <c r="O3979">
        <v>20</v>
      </c>
    </row>
    <row r="3980" spans="2:15" x14ac:dyDescent="0.2">
      <c r="B3980" t="s">
        <v>1433</v>
      </c>
      <c r="C3980" t="s">
        <v>12902</v>
      </c>
      <c r="D3980" t="s">
        <v>1048</v>
      </c>
      <c r="E3980" t="s">
        <v>11367</v>
      </c>
      <c r="F3980">
        <v>774</v>
      </c>
      <c r="G3980" t="s">
        <v>3841</v>
      </c>
      <c r="L3980" t="s">
        <v>4428</v>
      </c>
      <c r="M3980" t="s">
        <v>1895</v>
      </c>
      <c r="N3980" t="s">
        <v>4905</v>
      </c>
      <c r="O3980">
        <v>20</v>
      </c>
    </row>
    <row r="3981" spans="2:15" x14ac:dyDescent="0.2">
      <c r="B3981" t="s">
        <v>1433</v>
      </c>
      <c r="C3981" t="s">
        <v>12902</v>
      </c>
      <c r="D3981" t="s">
        <v>1048</v>
      </c>
      <c r="E3981" t="s">
        <v>11368</v>
      </c>
      <c r="F3981">
        <v>503.52</v>
      </c>
      <c r="G3981" t="s">
        <v>3843</v>
      </c>
      <c r="L3981" t="s">
        <v>4428</v>
      </c>
      <c r="M3981" t="s">
        <v>4142</v>
      </c>
      <c r="N3981" t="s">
        <v>4423</v>
      </c>
      <c r="O3981">
        <v>12</v>
      </c>
    </row>
    <row r="3982" spans="2:15" x14ac:dyDescent="0.2">
      <c r="B3982" t="s">
        <v>1433</v>
      </c>
      <c r="C3982" t="s">
        <v>12902</v>
      </c>
      <c r="D3982" t="s">
        <v>1048</v>
      </c>
      <c r="E3982" t="s">
        <v>11369</v>
      </c>
      <c r="F3982">
        <v>509.5</v>
      </c>
      <c r="G3982" t="s">
        <v>3845</v>
      </c>
      <c r="L3982" t="s">
        <v>4428</v>
      </c>
      <c r="M3982" t="s">
        <v>4906</v>
      </c>
      <c r="N3982" t="s">
        <v>4907</v>
      </c>
      <c r="O3982">
        <v>2</v>
      </c>
    </row>
    <row r="3983" spans="2:15" x14ac:dyDescent="0.2">
      <c r="B3983" t="s">
        <v>1433</v>
      </c>
      <c r="C3983" t="s">
        <v>12902</v>
      </c>
      <c r="D3983" t="s">
        <v>1048</v>
      </c>
      <c r="E3983" t="s">
        <v>11370</v>
      </c>
      <c r="F3983">
        <v>1078.98</v>
      </c>
      <c r="G3983" t="s">
        <v>3846</v>
      </c>
      <c r="L3983" t="s">
        <v>4428</v>
      </c>
      <c r="M3983" t="s">
        <v>4617</v>
      </c>
      <c r="N3983" t="s">
        <v>4907</v>
      </c>
      <c r="O3983">
        <v>1</v>
      </c>
    </row>
    <row r="3984" spans="2:15" x14ac:dyDescent="0.2">
      <c r="B3984" t="s">
        <v>1433</v>
      </c>
      <c r="C3984" t="s">
        <v>12902</v>
      </c>
      <c r="D3984" t="s">
        <v>1048</v>
      </c>
      <c r="E3984" t="s">
        <v>11371</v>
      </c>
      <c r="F3984">
        <v>1177.3399999999999</v>
      </c>
      <c r="G3984" t="s">
        <v>3847</v>
      </c>
      <c r="L3984" t="s">
        <v>4428</v>
      </c>
      <c r="M3984" t="s">
        <v>4783</v>
      </c>
      <c r="N3984" t="s">
        <v>4908</v>
      </c>
      <c r="O3984">
        <v>100</v>
      </c>
    </row>
    <row r="3985" spans="2:15" x14ac:dyDescent="0.2">
      <c r="B3985" t="s">
        <v>1433</v>
      </c>
      <c r="C3985" t="s">
        <v>12902</v>
      </c>
      <c r="D3985" t="s">
        <v>1169</v>
      </c>
      <c r="E3985" t="s">
        <v>11372</v>
      </c>
      <c r="F3985">
        <v>1842</v>
      </c>
      <c r="G3985" t="s">
        <v>3850</v>
      </c>
      <c r="L3985" t="s">
        <v>4428</v>
      </c>
      <c r="M3985" t="s">
        <v>4612</v>
      </c>
      <c r="N3985" t="s">
        <v>4909</v>
      </c>
      <c r="O3985">
        <v>8</v>
      </c>
    </row>
    <row r="3986" spans="2:15" x14ac:dyDescent="0.2">
      <c r="B3986" t="s">
        <v>1433</v>
      </c>
      <c r="C3986" t="s">
        <v>12902</v>
      </c>
      <c r="D3986" t="s">
        <v>1041</v>
      </c>
      <c r="E3986" t="s">
        <v>11373</v>
      </c>
      <c r="F3986">
        <v>2862</v>
      </c>
      <c r="G3986" t="s">
        <v>3852</v>
      </c>
      <c r="L3986" t="s">
        <v>4428</v>
      </c>
      <c r="M3986" t="s">
        <v>1570</v>
      </c>
      <c r="N3986" t="s">
        <v>4910</v>
      </c>
      <c r="O3986">
        <v>2</v>
      </c>
    </row>
    <row r="3987" spans="2:15" x14ac:dyDescent="0.2">
      <c r="B3987" t="s">
        <v>1433</v>
      </c>
      <c r="C3987" t="s">
        <v>12902</v>
      </c>
      <c r="D3987" t="s">
        <v>1048</v>
      </c>
      <c r="E3987" t="s">
        <v>11374</v>
      </c>
      <c r="F3987">
        <v>479.5</v>
      </c>
      <c r="G3987" t="s">
        <v>3866</v>
      </c>
      <c r="L3987" t="s">
        <v>4428</v>
      </c>
      <c r="M3987" t="s">
        <v>4911</v>
      </c>
      <c r="N3987" t="s">
        <v>4912</v>
      </c>
      <c r="O3987">
        <v>150</v>
      </c>
    </row>
    <row r="3988" spans="2:15" x14ac:dyDescent="0.2">
      <c r="B3988" t="s">
        <v>1433</v>
      </c>
      <c r="C3988" t="s">
        <v>12902</v>
      </c>
      <c r="D3988" t="s">
        <v>1048</v>
      </c>
      <c r="E3988" t="s">
        <v>11375</v>
      </c>
      <c r="F3988">
        <v>1835</v>
      </c>
      <c r="G3988" t="s">
        <v>3867</v>
      </c>
      <c r="L3988" t="s">
        <v>4428</v>
      </c>
      <c r="M3988" t="s">
        <v>2631</v>
      </c>
      <c r="N3988" t="s">
        <v>4913</v>
      </c>
      <c r="O3988">
        <v>1</v>
      </c>
    </row>
    <row r="3989" spans="2:15" x14ac:dyDescent="0.2">
      <c r="B3989" t="s">
        <v>1433</v>
      </c>
      <c r="C3989" t="s">
        <v>12902</v>
      </c>
      <c r="D3989" t="s">
        <v>1048</v>
      </c>
      <c r="E3989" t="s">
        <v>11376</v>
      </c>
      <c r="F3989">
        <v>2626</v>
      </c>
      <c r="G3989" t="s">
        <v>3868</v>
      </c>
      <c r="L3989" t="s">
        <v>4428</v>
      </c>
      <c r="M3989" t="s">
        <v>4715</v>
      </c>
      <c r="N3989" t="s">
        <v>4914</v>
      </c>
      <c r="O3989">
        <v>8</v>
      </c>
    </row>
    <row r="3990" spans="2:15" x14ac:dyDescent="0.2">
      <c r="B3990" t="s">
        <v>1433</v>
      </c>
      <c r="C3990" t="s">
        <v>12902</v>
      </c>
      <c r="D3990" t="s">
        <v>1048</v>
      </c>
      <c r="E3990" t="s">
        <v>11377</v>
      </c>
      <c r="F3990">
        <v>952</v>
      </c>
      <c r="G3990" t="s">
        <v>3869</v>
      </c>
      <c r="L3990" t="s">
        <v>4428</v>
      </c>
      <c r="M3990" t="s">
        <v>1560</v>
      </c>
      <c r="N3990" t="s">
        <v>4914</v>
      </c>
      <c r="O3990">
        <v>2</v>
      </c>
    </row>
    <row r="3991" spans="2:15" x14ac:dyDescent="0.2">
      <c r="B3991" t="s">
        <v>1433</v>
      </c>
      <c r="C3991" t="s">
        <v>12902</v>
      </c>
      <c r="D3991" t="s">
        <v>1048</v>
      </c>
      <c r="E3991" t="s">
        <v>11378</v>
      </c>
      <c r="F3991">
        <v>400</v>
      </c>
      <c r="G3991" t="s">
        <v>3870</v>
      </c>
      <c r="L3991" t="s">
        <v>4428</v>
      </c>
      <c r="M3991" t="s">
        <v>2885</v>
      </c>
      <c r="N3991" t="s">
        <v>4915</v>
      </c>
      <c r="O3991">
        <v>5</v>
      </c>
    </row>
    <row r="3992" spans="2:15" x14ac:dyDescent="0.2">
      <c r="B3992" t="s">
        <v>1433</v>
      </c>
      <c r="C3992" t="s">
        <v>12902</v>
      </c>
      <c r="D3992" t="s">
        <v>1169</v>
      </c>
      <c r="E3992" t="s">
        <v>11379</v>
      </c>
      <c r="F3992">
        <v>2799</v>
      </c>
      <c r="G3992" t="s">
        <v>3879</v>
      </c>
      <c r="L3992" t="s">
        <v>4428</v>
      </c>
      <c r="M3992" t="s">
        <v>2886</v>
      </c>
      <c r="N3992" t="s">
        <v>4915</v>
      </c>
      <c r="O3992">
        <v>3</v>
      </c>
    </row>
    <row r="3993" spans="2:15" x14ac:dyDescent="0.2">
      <c r="B3993" t="s">
        <v>1433</v>
      </c>
      <c r="C3993" t="s">
        <v>12902</v>
      </c>
      <c r="D3993" t="s">
        <v>1030</v>
      </c>
      <c r="E3993" t="s">
        <v>11380</v>
      </c>
      <c r="F3993">
        <v>13500</v>
      </c>
      <c r="G3993" t="s">
        <v>3899</v>
      </c>
      <c r="L3993" t="s">
        <v>4428</v>
      </c>
      <c r="M3993" t="s">
        <v>2887</v>
      </c>
      <c r="N3993" t="s">
        <v>4915</v>
      </c>
      <c r="O3993">
        <v>5</v>
      </c>
    </row>
    <row r="3994" spans="2:15" x14ac:dyDescent="0.2">
      <c r="B3994" t="s">
        <v>1433</v>
      </c>
      <c r="C3994" t="s">
        <v>12902</v>
      </c>
      <c r="D3994" t="s">
        <v>1041</v>
      </c>
      <c r="E3994" t="s">
        <v>11381</v>
      </c>
      <c r="F3994">
        <v>9000</v>
      </c>
      <c r="G3994" t="s">
        <v>3901</v>
      </c>
      <c r="L3994" t="s">
        <v>4428</v>
      </c>
      <c r="M3994" t="s">
        <v>4167</v>
      </c>
      <c r="N3994" t="s">
        <v>4916</v>
      </c>
      <c r="O3994">
        <v>100</v>
      </c>
    </row>
    <row r="3995" spans="2:15" x14ac:dyDescent="0.2">
      <c r="B3995" t="s">
        <v>1433</v>
      </c>
      <c r="C3995" t="s">
        <v>12902</v>
      </c>
      <c r="D3995" t="s">
        <v>613</v>
      </c>
      <c r="E3995" t="s">
        <v>11382</v>
      </c>
      <c r="F3995">
        <v>276.62</v>
      </c>
      <c r="G3995" t="s">
        <v>3848</v>
      </c>
      <c r="L3995" t="s">
        <v>4428</v>
      </c>
      <c r="M3995" t="s">
        <v>1319</v>
      </c>
      <c r="N3995" t="s">
        <v>4917</v>
      </c>
      <c r="O3995">
        <v>1</v>
      </c>
    </row>
    <row r="3996" spans="2:15" x14ac:dyDescent="0.2">
      <c r="B3996" t="s">
        <v>1433</v>
      </c>
      <c r="C3996" t="s">
        <v>12902</v>
      </c>
      <c r="D3996" t="s">
        <v>1041</v>
      </c>
      <c r="E3996" t="s">
        <v>11383</v>
      </c>
      <c r="F3996">
        <v>9500</v>
      </c>
      <c r="G3996" t="s">
        <v>3979</v>
      </c>
      <c r="L3996" t="s">
        <v>4428</v>
      </c>
      <c r="M3996" t="s">
        <v>1939</v>
      </c>
      <c r="N3996" t="s">
        <v>4903</v>
      </c>
      <c r="O3996">
        <v>2</v>
      </c>
    </row>
    <row r="3997" spans="2:15" x14ac:dyDescent="0.2">
      <c r="B3997" t="s">
        <v>1433</v>
      </c>
      <c r="C3997" t="s">
        <v>12902</v>
      </c>
      <c r="D3997" t="s">
        <v>621</v>
      </c>
      <c r="E3997" t="s">
        <v>11384</v>
      </c>
      <c r="F3997">
        <v>34.18</v>
      </c>
      <c r="G3997" t="s">
        <v>8874</v>
      </c>
      <c r="L3997" t="s">
        <v>4428</v>
      </c>
      <c r="M3997" t="s">
        <v>4918</v>
      </c>
      <c r="N3997" t="s">
        <v>4919</v>
      </c>
      <c r="O3997">
        <v>2</v>
      </c>
    </row>
    <row r="3998" spans="2:15" x14ac:dyDescent="0.2">
      <c r="B3998" t="s">
        <v>1433</v>
      </c>
      <c r="C3998" t="s">
        <v>12902</v>
      </c>
      <c r="D3998" t="s">
        <v>621</v>
      </c>
      <c r="E3998" t="s">
        <v>11385</v>
      </c>
      <c r="F3998">
        <v>2.96</v>
      </c>
      <c r="G3998" t="s">
        <v>9296</v>
      </c>
      <c r="L3998" t="s">
        <v>4428</v>
      </c>
      <c r="M3998" t="s">
        <v>4600</v>
      </c>
      <c r="N3998" t="s">
        <v>4919</v>
      </c>
      <c r="O3998">
        <v>2</v>
      </c>
    </row>
    <row r="3999" spans="2:15" x14ac:dyDescent="0.2">
      <c r="B3999" t="s">
        <v>1433</v>
      </c>
      <c r="C3999" t="s">
        <v>12902</v>
      </c>
      <c r="D3999" t="s">
        <v>613</v>
      </c>
      <c r="E3999" t="s">
        <v>11386</v>
      </c>
      <c r="F3999">
        <v>1.0900000000000001</v>
      </c>
      <c r="G3999" t="s">
        <v>8214</v>
      </c>
      <c r="L3999" t="s">
        <v>4428</v>
      </c>
      <c r="M3999" t="s">
        <v>1570</v>
      </c>
      <c r="N3999" t="s">
        <v>4920</v>
      </c>
      <c r="O3999">
        <v>4</v>
      </c>
    </row>
    <row r="4000" spans="2:15" x14ac:dyDescent="0.2">
      <c r="B4000" t="s">
        <v>1433</v>
      </c>
      <c r="C4000" t="s">
        <v>12902</v>
      </c>
      <c r="D4000" t="s">
        <v>1041</v>
      </c>
      <c r="E4000" t="s">
        <v>11387</v>
      </c>
      <c r="F4000">
        <v>11000</v>
      </c>
      <c r="G4000" t="s">
        <v>3997</v>
      </c>
      <c r="L4000" t="s">
        <v>4428</v>
      </c>
      <c r="M4000" t="s">
        <v>1598</v>
      </c>
      <c r="N4000" t="s">
        <v>4921</v>
      </c>
      <c r="O4000">
        <v>4</v>
      </c>
    </row>
    <row r="4001" spans="2:15" x14ac:dyDescent="0.2">
      <c r="B4001" t="s">
        <v>1433</v>
      </c>
      <c r="C4001" t="s">
        <v>12902</v>
      </c>
      <c r="D4001" t="s">
        <v>1169</v>
      </c>
      <c r="E4001" t="s">
        <v>11388</v>
      </c>
      <c r="F4001">
        <v>1974.44</v>
      </c>
      <c r="G4001" t="s">
        <v>4012</v>
      </c>
      <c r="L4001" t="s">
        <v>4428</v>
      </c>
      <c r="M4001" t="s">
        <v>4922</v>
      </c>
      <c r="N4001" t="s">
        <v>4923</v>
      </c>
      <c r="O4001">
        <v>4</v>
      </c>
    </row>
    <row r="4002" spans="2:15" x14ac:dyDescent="0.2">
      <c r="B4002" t="s">
        <v>1433</v>
      </c>
      <c r="C4002" t="s">
        <v>12902</v>
      </c>
      <c r="D4002" t="s">
        <v>1048</v>
      </c>
      <c r="E4002" t="s">
        <v>11389</v>
      </c>
      <c r="F4002">
        <v>2866</v>
      </c>
      <c r="G4002" t="s">
        <v>4001</v>
      </c>
      <c r="L4002" t="s">
        <v>4428</v>
      </c>
      <c r="M4002" t="s">
        <v>4849</v>
      </c>
      <c r="N4002" t="s">
        <v>4924</v>
      </c>
      <c r="O4002">
        <v>1</v>
      </c>
    </row>
    <row r="4003" spans="2:15" x14ac:dyDescent="0.2">
      <c r="B4003" t="s">
        <v>1433</v>
      </c>
      <c r="C4003" t="s">
        <v>12902</v>
      </c>
      <c r="D4003" t="s">
        <v>1030</v>
      </c>
      <c r="E4003" t="s">
        <v>11390</v>
      </c>
      <c r="F4003">
        <v>11900.25</v>
      </c>
      <c r="G4003" t="s">
        <v>4032</v>
      </c>
      <c r="L4003" t="s">
        <v>4428</v>
      </c>
      <c r="M4003" t="s">
        <v>4079</v>
      </c>
      <c r="N4003" t="s">
        <v>4925</v>
      </c>
      <c r="O4003">
        <v>4096</v>
      </c>
    </row>
    <row r="4004" spans="2:15" x14ac:dyDescent="0.2">
      <c r="B4004" t="s">
        <v>1433</v>
      </c>
      <c r="C4004" t="s">
        <v>12902</v>
      </c>
      <c r="D4004" t="s">
        <v>1030</v>
      </c>
      <c r="E4004" t="s">
        <v>11391</v>
      </c>
      <c r="F4004">
        <v>1322.25</v>
      </c>
      <c r="G4004" t="s">
        <v>4032</v>
      </c>
      <c r="L4004" t="s">
        <v>4428</v>
      </c>
      <c r="M4004" t="s">
        <v>4926</v>
      </c>
      <c r="N4004" t="s">
        <v>4927</v>
      </c>
      <c r="O4004">
        <v>4</v>
      </c>
    </row>
    <row r="4005" spans="2:15" x14ac:dyDescent="0.2">
      <c r="B4005" t="s">
        <v>1433</v>
      </c>
      <c r="C4005" t="s">
        <v>12902</v>
      </c>
      <c r="D4005" t="s">
        <v>613</v>
      </c>
      <c r="E4005" t="s">
        <v>11392</v>
      </c>
      <c r="F4005">
        <v>1.58</v>
      </c>
      <c r="G4005" t="s">
        <v>6749</v>
      </c>
      <c r="L4005" t="s">
        <v>4428</v>
      </c>
      <c r="M4005" t="s">
        <v>4637</v>
      </c>
      <c r="N4005" t="s">
        <v>4927</v>
      </c>
      <c r="O4005">
        <v>14</v>
      </c>
    </row>
    <row r="4006" spans="2:15" x14ac:dyDescent="0.2">
      <c r="B4006" t="s">
        <v>1433</v>
      </c>
      <c r="C4006" t="s">
        <v>12902</v>
      </c>
      <c r="D4006" t="s">
        <v>613</v>
      </c>
      <c r="E4006" t="s">
        <v>11393</v>
      </c>
      <c r="F4006">
        <v>0.55000000000000004</v>
      </c>
      <c r="G4006" t="s">
        <v>11394</v>
      </c>
      <c r="L4006" t="s">
        <v>4428</v>
      </c>
      <c r="M4006" t="s">
        <v>3016</v>
      </c>
      <c r="N4006" t="s">
        <v>4928</v>
      </c>
      <c r="O4006">
        <v>1</v>
      </c>
    </row>
    <row r="4007" spans="2:15" x14ac:dyDescent="0.2">
      <c r="B4007" t="s">
        <v>1433</v>
      </c>
      <c r="C4007" t="s">
        <v>12902</v>
      </c>
      <c r="D4007" t="s">
        <v>613</v>
      </c>
      <c r="E4007" t="s">
        <v>11395</v>
      </c>
      <c r="F4007">
        <v>1.65</v>
      </c>
      <c r="G4007" t="s">
        <v>11394</v>
      </c>
      <c r="L4007" t="s">
        <v>4428</v>
      </c>
      <c r="M4007" t="s">
        <v>2347</v>
      </c>
      <c r="N4007" t="s">
        <v>4929</v>
      </c>
      <c r="O4007">
        <v>4</v>
      </c>
    </row>
    <row r="4008" spans="2:15" x14ac:dyDescent="0.2">
      <c r="B4008" t="s">
        <v>1433</v>
      </c>
      <c r="C4008" t="s">
        <v>12902</v>
      </c>
      <c r="D4008" t="s">
        <v>613</v>
      </c>
      <c r="E4008" t="s">
        <v>11396</v>
      </c>
      <c r="F4008">
        <v>0.26</v>
      </c>
      <c r="G4008" t="s">
        <v>6749</v>
      </c>
      <c r="L4008" t="s">
        <v>4428</v>
      </c>
      <c r="M4008" t="s">
        <v>1536</v>
      </c>
      <c r="N4008" t="s">
        <v>4930</v>
      </c>
      <c r="O4008">
        <v>4</v>
      </c>
    </row>
    <row r="4009" spans="2:15" x14ac:dyDescent="0.2">
      <c r="B4009" t="s">
        <v>1433</v>
      </c>
      <c r="C4009" t="s">
        <v>12902</v>
      </c>
      <c r="D4009" t="s">
        <v>613</v>
      </c>
      <c r="E4009" t="s">
        <v>11397</v>
      </c>
      <c r="F4009">
        <v>0.05</v>
      </c>
      <c r="G4009" t="s">
        <v>6752</v>
      </c>
      <c r="L4009" t="s">
        <v>4428</v>
      </c>
      <c r="M4009" t="s">
        <v>2340</v>
      </c>
      <c r="N4009" t="s">
        <v>4930</v>
      </c>
      <c r="O4009">
        <v>2</v>
      </c>
    </row>
    <row r="4010" spans="2:15" x14ac:dyDescent="0.2">
      <c r="B4010" t="s">
        <v>1433</v>
      </c>
      <c r="C4010" t="s">
        <v>12902</v>
      </c>
      <c r="D4010" t="s">
        <v>613</v>
      </c>
      <c r="E4010" t="s">
        <v>11398</v>
      </c>
      <c r="F4010">
        <v>1.1399999999999999</v>
      </c>
      <c r="G4010" t="s">
        <v>11399</v>
      </c>
      <c r="L4010" t="s">
        <v>4428</v>
      </c>
      <c r="M4010" t="s">
        <v>1892</v>
      </c>
      <c r="N4010" t="s">
        <v>4930</v>
      </c>
      <c r="O4010">
        <v>4</v>
      </c>
    </row>
    <row r="4011" spans="2:15" x14ac:dyDescent="0.2">
      <c r="B4011" t="s">
        <v>1433</v>
      </c>
      <c r="C4011" t="s">
        <v>12902</v>
      </c>
      <c r="D4011" t="s">
        <v>613</v>
      </c>
      <c r="E4011" t="s">
        <v>11400</v>
      </c>
      <c r="F4011">
        <v>7.4</v>
      </c>
      <c r="G4011" t="s">
        <v>11401</v>
      </c>
      <c r="L4011" t="s">
        <v>4428</v>
      </c>
      <c r="M4011" t="s">
        <v>2015</v>
      </c>
      <c r="N4011" t="s">
        <v>4930</v>
      </c>
      <c r="O4011">
        <v>36</v>
      </c>
    </row>
    <row r="4012" spans="2:15" x14ac:dyDescent="0.2">
      <c r="B4012" t="s">
        <v>1433</v>
      </c>
      <c r="C4012" t="s">
        <v>12902</v>
      </c>
      <c r="D4012" t="s">
        <v>613</v>
      </c>
      <c r="E4012" t="s">
        <v>11402</v>
      </c>
      <c r="F4012">
        <v>7.4</v>
      </c>
      <c r="G4012" t="s">
        <v>11403</v>
      </c>
      <c r="L4012" t="s">
        <v>4428</v>
      </c>
      <c r="M4012" t="s">
        <v>4600</v>
      </c>
      <c r="N4012" t="s">
        <v>4931</v>
      </c>
      <c r="O4012">
        <v>32</v>
      </c>
    </row>
    <row r="4013" spans="2:15" x14ac:dyDescent="0.2">
      <c r="B4013" t="s">
        <v>1433</v>
      </c>
      <c r="C4013" t="s">
        <v>12902</v>
      </c>
      <c r="D4013" t="s">
        <v>613</v>
      </c>
      <c r="E4013" t="s">
        <v>11404</v>
      </c>
      <c r="F4013">
        <v>0.26</v>
      </c>
      <c r="G4013" t="s">
        <v>8605</v>
      </c>
      <c r="L4013" t="s">
        <v>4428</v>
      </c>
      <c r="M4013" t="s">
        <v>1905</v>
      </c>
      <c r="N4013" t="s">
        <v>4932</v>
      </c>
      <c r="O4013">
        <v>8</v>
      </c>
    </row>
    <row r="4014" spans="2:15" x14ac:dyDescent="0.2">
      <c r="B4014" t="s">
        <v>1433</v>
      </c>
      <c r="C4014" t="s">
        <v>12902</v>
      </c>
      <c r="D4014" t="s">
        <v>613</v>
      </c>
      <c r="E4014" t="s">
        <v>11405</v>
      </c>
      <c r="F4014">
        <v>0.26</v>
      </c>
      <c r="G4014" t="s">
        <v>8605</v>
      </c>
      <c r="L4014" t="s">
        <v>4428</v>
      </c>
      <c r="M4014" t="s">
        <v>2016</v>
      </c>
      <c r="N4014" t="s">
        <v>4932</v>
      </c>
      <c r="O4014">
        <v>76</v>
      </c>
    </row>
    <row r="4015" spans="2:15" x14ac:dyDescent="0.2">
      <c r="B4015" t="s">
        <v>1433</v>
      </c>
      <c r="C4015" t="s">
        <v>12902</v>
      </c>
      <c r="D4015" t="s">
        <v>1169</v>
      </c>
      <c r="E4015" t="s">
        <v>11406</v>
      </c>
      <c r="F4015">
        <v>1689</v>
      </c>
      <c r="G4015" t="s">
        <v>2747</v>
      </c>
      <c r="L4015" t="s">
        <v>4428</v>
      </c>
      <c r="M4015" t="s">
        <v>1578</v>
      </c>
      <c r="N4015" t="s">
        <v>4933</v>
      </c>
      <c r="O4015">
        <v>4</v>
      </c>
    </row>
    <row r="4016" spans="2:15" x14ac:dyDescent="0.2">
      <c r="B4016" t="s">
        <v>1433</v>
      </c>
      <c r="C4016" t="s">
        <v>12902</v>
      </c>
      <c r="D4016" t="s">
        <v>372</v>
      </c>
      <c r="E4016" t="s">
        <v>11407</v>
      </c>
      <c r="F4016">
        <v>38847.730000000003</v>
      </c>
      <c r="G4016" t="s">
        <v>11289</v>
      </c>
      <c r="L4016" t="s">
        <v>4428</v>
      </c>
      <c r="M4016" t="s">
        <v>1579</v>
      </c>
      <c r="N4016" t="s">
        <v>4933</v>
      </c>
      <c r="O4016">
        <v>4</v>
      </c>
    </row>
    <row r="4017" spans="2:15" x14ac:dyDescent="0.2">
      <c r="B4017" t="s">
        <v>1433</v>
      </c>
      <c r="C4017" t="s">
        <v>12902</v>
      </c>
      <c r="D4017" t="s">
        <v>453</v>
      </c>
      <c r="E4017" t="s">
        <v>11408</v>
      </c>
      <c r="F4017">
        <v>29567.02</v>
      </c>
      <c r="G4017" t="s">
        <v>11304</v>
      </c>
      <c r="L4017" t="s">
        <v>4428</v>
      </c>
      <c r="M4017" t="s">
        <v>4142</v>
      </c>
      <c r="N4017" t="s">
        <v>4934</v>
      </c>
      <c r="O4017">
        <v>8</v>
      </c>
    </row>
    <row r="4018" spans="2:15" x14ac:dyDescent="0.2">
      <c r="B4018" t="s">
        <v>1433</v>
      </c>
      <c r="C4018" t="s">
        <v>12903</v>
      </c>
      <c r="D4018" t="s">
        <v>1048</v>
      </c>
      <c r="E4018" t="s">
        <v>11409</v>
      </c>
      <c r="F4018">
        <v>3000</v>
      </c>
      <c r="G4018" t="s">
        <v>1235</v>
      </c>
      <c r="L4018" t="s">
        <v>4428</v>
      </c>
      <c r="M4018" t="s">
        <v>4935</v>
      </c>
      <c r="N4018" t="s">
        <v>4936</v>
      </c>
      <c r="O4018">
        <v>12</v>
      </c>
    </row>
    <row r="4019" spans="2:15" x14ac:dyDescent="0.2">
      <c r="B4019" t="s">
        <v>1433</v>
      </c>
      <c r="C4019" t="s">
        <v>12903</v>
      </c>
      <c r="D4019" t="s">
        <v>1030</v>
      </c>
      <c r="E4019" t="s">
        <v>11411</v>
      </c>
      <c r="F4019">
        <v>13372.5</v>
      </c>
      <c r="G4019" t="s">
        <v>1251</v>
      </c>
      <c r="L4019" t="s">
        <v>4428</v>
      </c>
      <c r="M4019" t="s">
        <v>4937</v>
      </c>
      <c r="N4019" t="s">
        <v>4936</v>
      </c>
      <c r="O4019">
        <v>4</v>
      </c>
    </row>
    <row r="4020" spans="2:15" x14ac:dyDescent="0.2">
      <c r="B4020" t="s">
        <v>1433</v>
      </c>
      <c r="C4020" t="s">
        <v>12903</v>
      </c>
      <c r="D4020" t="s">
        <v>1030</v>
      </c>
      <c r="E4020" t="s">
        <v>11414</v>
      </c>
      <c r="F4020">
        <v>35660</v>
      </c>
      <c r="G4020" t="s">
        <v>1251</v>
      </c>
      <c r="L4020" t="s">
        <v>4428</v>
      </c>
      <c r="M4020" t="s">
        <v>2345</v>
      </c>
      <c r="N4020" t="s">
        <v>4936</v>
      </c>
      <c r="O4020">
        <v>6</v>
      </c>
    </row>
    <row r="4021" spans="2:15" x14ac:dyDescent="0.2">
      <c r="B4021" t="s">
        <v>1433</v>
      </c>
      <c r="C4021" t="s">
        <v>12903</v>
      </c>
      <c r="D4021" t="s">
        <v>1030</v>
      </c>
      <c r="E4021" t="s">
        <v>11415</v>
      </c>
      <c r="F4021">
        <v>31202.5</v>
      </c>
      <c r="G4021" t="s">
        <v>1251</v>
      </c>
      <c r="L4021" t="s">
        <v>4428</v>
      </c>
      <c r="M4021" t="s">
        <v>4849</v>
      </c>
      <c r="N4021" t="s">
        <v>4936</v>
      </c>
      <c r="O4021">
        <v>20</v>
      </c>
    </row>
    <row r="4022" spans="2:15" x14ac:dyDescent="0.2">
      <c r="B4022" t="s">
        <v>1433</v>
      </c>
      <c r="C4022" t="s">
        <v>12903</v>
      </c>
      <c r="D4022" t="s">
        <v>1030</v>
      </c>
      <c r="E4022" t="s">
        <v>11416</v>
      </c>
      <c r="F4022">
        <v>8915</v>
      </c>
      <c r="G4022" t="s">
        <v>1251</v>
      </c>
      <c r="L4022" t="s">
        <v>4428</v>
      </c>
      <c r="M4022" t="s">
        <v>1904</v>
      </c>
      <c r="N4022" t="s">
        <v>4938</v>
      </c>
      <c r="O4022">
        <v>8</v>
      </c>
    </row>
    <row r="4023" spans="2:15" x14ac:dyDescent="0.2">
      <c r="B4023" t="s">
        <v>1433</v>
      </c>
      <c r="C4023" t="s">
        <v>12903</v>
      </c>
      <c r="D4023" t="s">
        <v>1041</v>
      </c>
      <c r="E4023" t="s">
        <v>11417</v>
      </c>
      <c r="F4023">
        <v>18000</v>
      </c>
      <c r="G4023" t="s">
        <v>1429</v>
      </c>
      <c r="L4023" t="s">
        <v>4428</v>
      </c>
      <c r="M4023" t="s">
        <v>1956</v>
      </c>
      <c r="N4023" t="s">
        <v>4939</v>
      </c>
      <c r="O4023">
        <v>8</v>
      </c>
    </row>
    <row r="4024" spans="2:15" x14ac:dyDescent="0.2">
      <c r="B4024" t="s">
        <v>1433</v>
      </c>
      <c r="C4024" t="s">
        <v>12903</v>
      </c>
      <c r="D4024" t="s">
        <v>1041</v>
      </c>
      <c r="E4024" t="s">
        <v>11419</v>
      </c>
      <c r="F4024">
        <v>18000</v>
      </c>
      <c r="G4024" t="s">
        <v>1429</v>
      </c>
      <c r="L4024" t="s">
        <v>4428</v>
      </c>
      <c r="M4024" t="s">
        <v>2341</v>
      </c>
      <c r="N4024" t="s">
        <v>4939</v>
      </c>
      <c r="O4024">
        <v>8</v>
      </c>
    </row>
    <row r="4025" spans="2:15" x14ac:dyDescent="0.2">
      <c r="B4025" t="s">
        <v>1433</v>
      </c>
      <c r="C4025" t="s">
        <v>12903</v>
      </c>
      <c r="D4025" t="s">
        <v>1041</v>
      </c>
      <c r="E4025" t="s">
        <v>11420</v>
      </c>
      <c r="F4025">
        <v>12000</v>
      </c>
      <c r="G4025" t="s">
        <v>1429</v>
      </c>
      <c r="L4025" t="s">
        <v>4428</v>
      </c>
      <c r="M4025" t="s">
        <v>1906</v>
      </c>
      <c r="N4025" t="s">
        <v>4939</v>
      </c>
      <c r="O4025">
        <v>4</v>
      </c>
    </row>
    <row r="4026" spans="2:15" x14ac:dyDescent="0.2">
      <c r="B4026" t="s">
        <v>1433</v>
      </c>
      <c r="C4026" t="s">
        <v>12903</v>
      </c>
      <c r="D4026" t="s">
        <v>1169</v>
      </c>
      <c r="E4026" t="s">
        <v>11421</v>
      </c>
      <c r="F4026">
        <v>7914</v>
      </c>
      <c r="G4026" t="s">
        <v>2745</v>
      </c>
      <c r="L4026" t="s">
        <v>4428</v>
      </c>
      <c r="M4026" t="s">
        <v>1563</v>
      </c>
      <c r="N4026" t="s">
        <v>4939</v>
      </c>
      <c r="O4026">
        <v>24</v>
      </c>
    </row>
    <row r="4027" spans="2:15" x14ac:dyDescent="0.2">
      <c r="B4027" t="s">
        <v>1433</v>
      </c>
      <c r="C4027" t="s">
        <v>12903</v>
      </c>
      <c r="D4027" t="s">
        <v>1169</v>
      </c>
      <c r="E4027" t="s">
        <v>11423</v>
      </c>
      <c r="F4027">
        <v>3900</v>
      </c>
      <c r="G4027" t="s">
        <v>2897</v>
      </c>
      <c r="L4027" t="s">
        <v>4428</v>
      </c>
      <c r="M4027" t="s">
        <v>1574</v>
      </c>
      <c r="N4027" t="s">
        <v>4939</v>
      </c>
      <c r="O4027">
        <v>4</v>
      </c>
    </row>
    <row r="4028" spans="2:15" x14ac:dyDescent="0.2">
      <c r="B4028" t="s">
        <v>1433</v>
      </c>
      <c r="C4028" t="s">
        <v>12903</v>
      </c>
      <c r="D4028" t="s">
        <v>1041</v>
      </c>
      <c r="E4028" t="s">
        <v>11424</v>
      </c>
      <c r="F4028">
        <v>7125</v>
      </c>
      <c r="G4028" t="s">
        <v>3073</v>
      </c>
      <c r="L4028" t="s">
        <v>4428</v>
      </c>
      <c r="M4028" t="s">
        <v>1902</v>
      </c>
      <c r="N4028" t="s">
        <v>4914</v>
      </c>
      <c r="O4028">
        <v>2</v>
      </c>
    </row>
    <row r="4029" spans="2:15" x14ac:dyDescent="0.2">
      <c r="B4029" t="s">
        <v>1433</v>
      </c>
      <c r="C4029" t="s">
        <v>12903</v>
      </c>
      <c r="D4029" t="s">
        <v>1169</v>
      </c>
      <c r="E4029" t="s">
        <v>11425</v>
      </c>
      <c r="F4029">
        <v>3940</v>
      </c>
      <c r="G4029" t="s">
        <v>2986</v>
      </c>
      <c r="L4029" t="s">
        <v>4428</v>
      </c>
      <c r="M4029" t="s">
        <v>1903</v>
      </c>
      <c r="N4029" t="s">
        <v>4914</v>
      </c>
      <c r="O4029">
        <v>2</v>
      </c>
    </row>
    <row r="4030" spans="2:15" x14ac:dyDescent="0.2">
      <c r="B4030" t="s">
        <v>1433</v>
      </c>
      <c r="C4030" t="s">
        <v>12903</v>
      </c>
      <c r="D4030" t="s">
        <v>1153</v>
      </c>
      <c r="E4030" t="s">
        <v>11426</v>
      </c>
      <c r="F4030">
        <v>4635.6899999999996</v>
      </c>
      <c r="G4030" t="s">
        <v>3045</v>
      </c>
      <c r="L4030" t="s">
        <v>4428</v>
      </c>
      <c r="M4030" t="s">
        <v>4940</v>
      </c>
      <c r="N4030" t="s">
        <v>4941</v>
      </c>
      <c r="O4030">
        <v>2</v>
      </c>
    </row>
    <row r="4031" spans="2:15" x14ac:dyDescent="0.2">
      <c r="B4031" t="s">
        <v>1433</v>
      </c>
      <c r="C4031" t="s">
        <v>12903</v>
      </c>
      <c r="D4031" t="s">
        <v>1048</v>
      </c>
      <c r="E4031" t="s">
        <v>11427</v>
      </c>
      <c r="F4031">
        <v>1012</v>
      </c>
      <c r="G4031" t="s">
        <v>3094</v>
      </c>
      <c r="L4031" t="s">
        <v>4428</v>
      </c>
      <c r="M4031" t="s">
        <v>1323</v>
      </c>
      <c r="N4031" t="s">
        <v>4942</v>
      </c>
      <c r="O4031">
        <v>1</v>
      </c>
    </row>
    <row r="4032" spans="2:15" x14ac:dyDescent="0.2">
      <c r="B4032" t="s">
        <v>1433</v>
      </c>
      <c r="C4032" t="s">
        <v>12903</v>
      </c>
      <c r="D4032" t="s">
        <v>1048</v>
      </c>
      <c r="E4032" t="s">
        <v>11428</v>
      </c>
      <c r="F4032">
        <v>253</v>
      </c>
      <c r="G4032" t="s">
        <v>3095</v>
      </c>
      <c r="L4032" t="s">
        <v>4428</v>
      </c>
      <c r="M4032" t="s">
        <v>1332</v>
      </c>
      <c r="N4032" t="s">
        <v>4942</v>
      </c>
      <c r="O4032">
        <v>1</v>
      </c>
    </row>
    <row r="4033" spans="2:15" x14ac:dyDescent="0.2">
      <c r="B4033" t="s">
        <v>1433</v>
      </c>
      <c r="C4033" t="s">
        <v>12903</v>
      </c>
      <c r="D4033" t="s">
        <v>1048</v>
      </c>
      <c r="E4033" t="s">
        <v>11429</v>
      </c>
      <c r="F4033">
        <v>920</v>
      </c>
      <c r="G4033" t="s">
        <v>3097</v>
      </c>
      <c r="L4033" t="s">
        <v>4428</v>
      </c>
      <c r="M4033" t="s">
        <v>2635</v>
      </c>
      <c r="N4033" t="s">
        <v>4943</v>
      </c>
      <c r="O4033">
        <v>1</v>
      </c>
    </row>
    <row r="4034" spans="2:15" x14ac:dyDescent="0.2">
      <c r="B4034" t="s">
        <v>1433</v>
      </c>
      <c r="C4034" t="s">
        <v>12903</v>
      </c>
      <c r="D4034" t="s">
        <v>1048</v>
      </c>
      <c r="E4034" t="s">
        <v>11430</v>
      </c>
      <c r="F4034">
        <v>3726</v>
      </c>
      <c r="G4034" t="s">
        <v>3100</v>
      </c>
      <c r="L4034" t="s">
        <v>4428</v>
      </c>
      <c r="M4034" t="s">
        <v>1334</v>
      </c>
      <c r="N4034" t="s">
        <v>4944</v>
      </c>
      <c r="O4034">
        <v>1</v>
      </c>
    </row>
    <row r="4035" spans="2:15" x14ac:dyDescent="0.2">
      <c r="B4035" t="s">
        <v>1433</v>
      </c>
      <c r="C4035" t="s">
        <v>12903</v>
      </c>
      <c r="D4035" t="s">
        <v>1041</v>
      </c>
      <c r="E4035" t="s">
        <v>11431</v>
      </c>
      <c r="F4035">
        <v>612.5</v>
      </c>
      <c r="G4035" t="s">
        <v>3132</v>
      </c>
      <c r="L4035" t="s">
        <v>4428</v>
      </c>
      <c r="M4035" t="s">
        <v>4945</v>
      </c>
      <c r="N4035" t="s">
        <v>4946</v>
      </c>
      <c r="O4035">
        <v>1</v>
      </c>
    </row>
    <row r="4036" spans="2:15" x14ac:dyDescent="0.2">
      <c r="B4036" t="s">
        <v>1433</v>
      </c>
      <c r="C4036" t="s">
        <v>12903</v>
      </c>
      <c r="D4036" t="s">
        <v>1169</v>
      </c>
      <c r="E4036" t="s">
        <v>11432</v>
      </c>
      <c r="F4036">
        <v>3000</v>
      </c>
      <c r="G4036" t="s">
        <v>3201</v>
      </c>
      <c r="L4036" t="s">
        <v>4428</v>
      </c>
      <c r="M4036" t="s">
        <v>1340</v>
      </c>
      <c r="N4036" t="s">
        <v>4947</v>
      </c>
      <c r="O4036">
        <v>1</v>
      </c>
    </row>
    <row r="4037" spans="2:15" x14ac:dyDescent="0.2">
      <c r="B4037" t="s">
        <v>1433</v>
      </c>
      <c r="C4037" t="s">
        <v>12903</v>
      </c>
      <c r="D4037" t="s">
        <v>1048</v>
      </c>
      <c r="E4037" t="s">
        <v>11433</v>
      </c>
      <c r="F4037">
        <v>1880</v>
      </c>
      <c r="G4037" t="s">
        <v>3235</v>
      </c>
      <c r="L4037" t="s">
        <v>4428</v>
      </c>
      <c r="M4037" t="s">
        <v>2680</v>
      </c>
      <c r="N4037" t="s">
        <v>4948</v>
      </c>
      <c r="O4037">
        <v>1</v>
      </c>
    </row>
    <row r="4038" spans="2:15" x14ac:dyDescent="0.2">
      <c r="B4038" t="s">
        <v>1433</v>
      </c>
      <c r="C4038" t="s">
        <v>12903</v>
      </c>
      <c r="D4038" t="s">
        <v>613</v>
      </c>
      <c r="E4038" t="s">
        <v>11434</v>
      </c>
      <c r="F4038">
        <v>5.6</v>
      </c>
      <c r="G4038" t="s">
        <v>7678</v>
      </c>
      <c r="L4038" t="s">
        <v>4428</v>
      </c>
      <c r="M4038" t="s">
        <v>2682</v>
      </c>
      <c r="N4038" t="s">
        <v>4948</v>
      </c>
      <c r="O4038">
        <v>1</v>
      </c>
    </row>
    <row r="4039" spans="2:15" x14ac:dyDescent="0.2">
      <c r="B4039" t="s">
        <v>1433</v>
      </c>
      <c r="C4039" t="s">
        <v>12903</v>
      </c>
      <c r="D4039" t="s">
        <v>613</v>
      </c>
      <c r="E4039" t="s">
        <v>11435</v>
      </c>
      <c r="F4039">
        <v>28.25</v>
      </c>
      <c r="G4039" t="s">
        <v>6252</v>
      </c>
      <c r="L4039" t="s">
        <v>4428</v>
      </c>
      <c r="M4039" t="s">
        <v>2695</v>
      </c>
      <c r="N4039" t="s">
        <v>4948</v>
      </c>
      <c r="O4039">
        <v>1</v>
      </c>
    </row>
    <row r="4040" spans="2:15" x14ac:dyDescent="0.2">
      <c r="B4040" t="s">
        <v>1433</v>
      </c>
      <c r="C4040" t="s">
        <v>12903</v>
      </c>
      <c r="D4040" t="s">
        <v>1048</v>
      </c>
      <c r="E4040" t="s">
        <v>11436</v>
      </c>
      <c r="F4040">
        <v>3749</v>
      </c>
      <c r="G4040" t="s">
        <v>3283</v>
      </c>
      <c r="L4040" t="s">
        <v>4428</v>
      </c>
      <c r="M4040" t="s">
        <v>2697</v>
      </c>
      <c r="N4040" t="s">
        <v>4948</v>
      </c>
      <c r="O4040">
        <v>1</v>
      </c>
    </row>
    <row r="4041" spans="2:15" x14ac:dyDescent="0.2">
      <c r="B4041" t="s">
        <v>1433</v>
      </c>
      <c r="C4041" t="s">
        <v>12903</v>
      </c>
      <c r="D4041" t="s">
        <v>1048</v>
      </c>
      <c r="E4041" t="s">
        <v>11437</v>
      </c>
      <c r="F4041">
        <v>425</v>
      </c>
      <c r="G4041" t="s">
        <v>3322</v>
      </c>
      <c r="L4041" t="s">
        <v>4428</v>
      </c>
      <c r="M4041" t="s">
        <v>2636</v>
      </c>
      <c r="N4041" t="s">
        <v>4949</v>
      </c>
      <c r="O4041">
        <v>1</v>
      </c>
    </row>
    <row r="4042" spans="2:15" x14ac:dyDescent="0.2">
      <c r="B4042" t="s">
        <v>1433</v>
      </c>
      <c r="C4042" t="s">
        <v>12903</v>
      </c>
      <c r="D4042" t="s">
        <v>1048</v>
      </c>
      <c r="E4042" t="s">
        <v>11438</v>
      </c>
      <c r="F4042">
        <v>726</v>
      </c>
      <c r="G4042" t="s">
        <v>3325</v>
      </c>
      <c r="L4042" t="s">
        <v>4428</v>
      </c>
      <c r="M4042" t="s">
        <v>4950</v>
      </c>
      <c r="N4042" t="s">
        <v>4951</v>
      </c>
      <c r="O4042">
        <v>1</v>
      </c>
    </row>
    <row r="4043" spans="2:15" x14ac:dyDescent="0.2">
      <c r="B4043" t="s">
        <v>1433</v>
      </c>
      <c r="C4043" t="s">
        <v>12903</v>
      </c>
      <c r="D4043" t="s">
        <v>1048</v>
      </c>
      <c r="E4043" t="s">
        <v>11439</v>
      </c>
      <c r="F4043">
        <v>1779.2</v>
      </c>
      <c r="G4043" t="s">
        <v>3336</v>
      </c>
      <c r="L4043" t="s">
        <v>4428</v>
      </c>
      <c r="M4043" t="s">
        <v>4472</v>
      </c>
      <c r="N4043" t="s">
        <v>4952</v>
      </c>
      <c r="O4043">
        <v>3</v>
      </c>
    </row>
    <row r="4044" spans="2:15" x14ac:dyDescent="0.2">
      <c r="B4044" t="s">
        <v>1433</v>
      </c>
      <c r="C4044" t="s">
        <v>12903</v>
      </c>
      <c r="D4044" t="s">
        <v>1048</v>
      </c>
      <c r="E4044" t="s">
        <v>11440</v>
      </c>
      <c r="F4044">
        <v>490</v>
      </c>
      <c r="G4044" t="s">
        <v>3339</v>
      </c>
      <c r="L4044" t="s">
        <v>4428</v>
      </c>
      <c r="M4044" t="s">
        <v>4473</v>
      </c>
      <c r="N4044" t="s">
        <v>4952</v>
      </c>
      <c r="O4044">
        <v>7</v>
      </c>
    </row>
    <row r="4045" spans="2:15" x14ac:dyDescent="0.2">
      <c r="B4045" t="s">
        <v>1433</v>
      </c>
      <c r="C4045" t="s">
        <v>12903</v>
      </c>
      <c r="D4045" t="s">
        <v>1048</v>
      </c>
      <c r="E4045" t="s">
        <v>11441</v>
      </c>
      <c r="F4045">
        <v>4278</v>
      </c>
      <c r="G4045" t="s">
        <v>3401</v>
      </c>
      <c r="L4045" t="s">
        <v>4428</v>
      </c>
      <c r="M4045" t="s">
        <v>4471</v>
      </c>
      <c r="N4045" t="s">
        <v>4952</v>
      </c>
      <c r="O4045">
        <v>8</v>
      </c>
    </row>
    <row r="4046" spans="2:15" x14ac:dyDescent="0.2">
      <c r="B4046" t="s">
        <v>1433</v>
      </c>
      <c r="C4046" t="s">
        <v>12903</v>
      </c>
      <c r="D4046" t="s">
        <v>1048</v>
      </c>
      <c r="E4046" t="s">
        <v>11442</v>
      </c>
      <c r="F4046">
        <v>960</v>
      </c>
      <c r="G4046" t="s">
        <v>3420</v>
      </c>
      <c r="L4046" t="s">
        <v>4428</v>
      </c>
      <c r="M4046" t="s">
        <v>1263</v>
      </c>
      <c r="N4046" t="s">
        <v>4953</v>
      </c>
      <c r="O4046">
        <v>5</v>
      </c>
    </row>
    <row r="4047" spans="2:15" x14ac:dyDescent="0.2">
      <c r="B4047" t="s">
        <v>1433</v>
      </c>
      <c r="C4047" t="s">
        <v>12903</v>
      </c>
      <c r="D4047" t="s">
        <v>1041</v>
      </c>
      <c r="E4047" t="s">
        <v>11443</v>
      </c>
      <c r="F4047">
        <v>18000</v>
      </c>
      <c r="G4047" t="s">
        <v>3412</v>
      </c>
      <c r="L4047" t="s">
        <v>4428</v>
      </c>
      <c r="M4047" t="s">
        <v>1703</v>
      </c>
      <c r="N4047" t="s">
        <v>4954</v>
      </c>
      <c r="O4047">
        <v>50</v>
      </c>
    </row>
    <row r="4048" spans="2:15" x14ac:dyDescent="0.2">
      <c r="B4048" t="s">
        <v>1433</v>
      </c>
      <c r="C4048" t="s">
        <v>12903</v>
      </c>
      <c r="D4048" t="s">
        <v>1041</v>
      </c>
      <c r="E4048" t="s">
        <v>11444</v>
      </c>
      <c r="F4048">
        <v>18000</v>
      </c>
      <c r="G4048" t="s">
        <v>3412</v>
      </c>
      <c r="L4048" t="s">
        <v>4428</v>
      </c>
      <c r="M4048" t="s">
        <v>1896</v>
      </c>
      <c r="N4048" t="s">
        <v>4955</v>
      </c>
      <c r="O4048">
        <v>8</v>
      </c>
    </row>
    <row r="4049" spans="2:15" x14ac:dyDescent="0.2">
      <c r="B4049" t="s">
        <v>1433</v>
      </c>
      <c r="C4049" t="s">
        <v>12903</v>
      </c>
      <c r="D4049" t="s">
        <v>1041</v>
      </c>
      <c r="E4049" t="s">
        <v>11445</v>
      </c>
      <c r="F4049">
        <v>18000</v>
      </c>
      <c r="G4049" t="s">
        <v>3412</v>
      </c>
      <c r="L4049" t="s">
        <v>4428</v>
      </c>
      <c r="M4049" t="s">
        <v>4956</v>
      </c>
      <c r="N4049" t="s">
        <v>4946</v>
      </c>
      <c r="O4049">
        <v>1</v>
      </c>
    </row>
    <row r="4050" spans="2:15" x14ac:dyDescent="0.2">
      <c r="B4050" t="s">
        <v>1433</v>
      </c>
      <c r="C4050" t="s">
        <v>12903</v>
      </c>
      <c r="D4050" t="s">
        <v>1041</v>
      </c>
      <c r="E4050" t="s">
        <v>11446</v>
      </c>
      <c r="F4050">
        <v>18000</v>
      </c>
      <c r="G4050" t="s">
        <v>3412</v>
      </c>
      <c r="L4050" t="s">
        <v>4428</v>
      </c>
      <c r="M4050" t="s">
        <v>1388</v>
      </c>
      <c r="N4050" t="s">
        <v>4957</v>
      </c>
      <c r="O4050">
        <v>1000</v>
      </c>
    </row>
    <row r="4051" spans="2:15" x14ac:dyDescent="0.2">
      <c r="B4051" t="s">
        <v>1433</v>
      </c>
      <c r="C4051" t="s">
        <v>12903</v>
      </c>
      <c r="D4051" t="s">
        <v>1048</v>
      </c>
      <c r="E4051" t="s">
        <v>11447</v>
      </c>
      <c r="F4051">
        <v>1145</v>
      </c>
      <c r="G4051" t="s">
        <v>3436</v>
      </c>
      <c r="L4051" t="s">
        <v>4428</v>
      </c>
      <c r="M4051" t="s">
        <v>2632</v>
      </c>
      <c r="N4051" t="s">
        <v>4137</v>
      </c>
      <c r="O4051">
        <v>1</v>
      </c>
    </row>
    <row r="4052" spans="2:15" x14ac:dyDescent="0.2">
      <c r="B4052" t="s">
        <v>1433</v>
      </c>
      <c r="C4052" t="s">
        <v>12903</v>
      </c>
      <c r="D4052" t="s">
        <v>1048</v>
      </c>
      <c r="E4052" t="s">
        <v>11448</v>
      </c>
      <c r="F4052">
        <v>434</v>
      </c>
      <c r="G4052" t="s">
        <v>3438</v>
      </c>
      <c r="L4052" t="s">
        <v>4428</v>
      </c>
      <c r="M4052" t="s">
        <v>2633</v>
      </c>
      <c r="N4052" t="s">
        <v>4137</v>
      </c>
      <c r="O4052">
        <v>1</v>
      </c>
    </row>
    <row r="4053" spans="2:15" x14ac:dyDescent="0.2">
      <c r="B4053" t="s">
        <v>1433</v>
      </c>
      <c r="C4053" t="s">
        <v>12903</v>
      </c>
      <c r="D4053" t="s">
        <v>1048</v>
      </c>
      <c r="E4053" t="s">
        <v>11449</v>
      </c>
      <c r="F4053">
        <v>400</v>
      </c>
      <c r="G4053" t="s">
        <v>3440</v>
      </c>
      <c r="L4053" t="s">
        <v>4428</v>
      </c>
      <c r="M4053" t="s">
        <v>2634</v>
      </c>
      <c r="N4053" t="s">
        <v>4137</v>
      </c>
      <c r="O4053">
        <v>1</v>
      </c>
    </row>
    <row r="4054" spans="2:15" x14ac:dyDescent="0.2">
      <c r="B4054" t="s">
        <v>1433</v>
      </c>
      <c r="C4054" t="s">
        <v>12903</v>
      </c>
      <c r="D4054" t="s">
        <v>1169</v>
      </c>
      <c r="E4054" t="s">
        <v>11450</v>
      </c>
      <c r="F4054">
        <v>5640</v>
      </c>
      <c r="G4054" t="s">
        <v>3448</v>
      </c>
      <c r="L4054" t="s">
        <v>4428</v>
      </c>
      <c r="M4054" t="s">
        <v>2713</v>
      </c>
      <c r="N4054" t="s">
        <v>4958</v>
      </c>
      <c r="O4054">
        <v>1</v>
      </c>
    </row>
    <row r="4055" spans="2:15" x14ac:dyDescent="0.2">
      <c r="B4055" t="s">
        <v>1433</v>
      </c>
      <c r="C4055" t="s">
        <v>12903</v>
      </c>
      <c r="D4055" t="s">
        <v>1169</v>
      </c>
      <c r="E4055" t="s">
        <v>11451</v>
      </c>
      <c r="F4055">
        <v>3991</v>
      </c>
      <c r="G4055" t="s">
        <v>3451</v>
      </c>
      <c r="L4055" t="s">
        <v>4428</v>
      </c>
      <c r="M4055" t="s">
        <v>2715</v>
      </c>
      <c r="N4055" t="s">
        <v>4958</v>
      </c>
      <c r="O4055">
        <v>1</v>
      </c>
    </row>
    <row r="4056" spans="2:15" x14ac:dyDescent="0.2">
      <c r="B4056" t="s">
        <v>1433</v>
      </c>
      <c r="C4056" t="s">
        <v>12903</v>
      </c>
      <c r="D4056" t="s">
        <v>613</v>
      </c>
      <c r="E4056" t="s">
        <v>11452</v>
      </c>
      <c r="F4056">
        <v>17.41</v>
      </c>
      <c r="G4056" t="s">
        <v>1689</v>
      </c>
      <c r="L4056" t="s">
        <v>4428</v>
      </c>
      <c r="M4056" t="s">
        <v>2770</v>
      </c>
      <c r="N4056" t="s">
        <v>4958</v>
      </c>
      <c r="O4056">
        <v>1</v>
      </c>
    </row>
    <row r="4057" spans="2:15" x14ac:dyDescent="0.2">
      <c r="B4057" t="s">
        <v>1433</v>
      </c>
      <c r="C4057" t="s">
        <v>12903</v>
      </c>
      <c r="D4057" t="s">
        <v>1048</v>
      </c>
      <c r="E4057" t="s">
        <v>11453</v>
      </c>
      <c r="F4057">
        <v>1886</v>
      </c>
      <c r="G4057" t="s">
        <v>3463</v>
      </c>
      <c r="L4057" t="s">
        <v>4428</v>
      </c>
      <c r="M4057" t="s">
        <v>2772</v>
      </c>
      <c r="N4057" t="s">
        <v>4958</v>
      </c>
      <c r="O4057">
        <v>1</v>
      </c>
    </row>
    <row r="4058" spans="2:15" x14ac:dyDescent="0.2">
      <c r="B4058" t="s">
        <v>1433</v>
      </c>
      <c r="C4058" t="s">
        <v>12903</v>
      </c>
      <c r="D4058" t="s">
        <v>1153</v>
      </c>
      <c r="E4058" t="s">
        <v>11454</v>
      </c>
      <c r="F4058">
        <v>1309</v>
      </c>
      <c r="G4058" t="s">
        <v>3496</v>
      </c>
      <c r="L4058" t="s">
        <v>4428</v>
      </c>
      <c r="M4058" t="s">
        <v>2775</v>
      </c>
      <c r="N4058" t="s">
        <v>4141</v>
      </c>
      <c r="O4058">
        <v>1</v>
      </c>
    </row>
    <row r="4059" spans="2:15" x14ac:dyDescent="0.2">
      <c r="B4059" t="s">
        <v>1433</v>
      </c>
      <c r="C4059" t="s">
        <v>12903</v>
      </c>
      <c r="D4059" t="s">
        <v>1153</v>
      </c>
      <c r="E4059" t="s">
        <v>11455</v>
      </c>
      <c r="F4059">
        <v>3300</v>
      </c>
      <c r="G4059" t="s">
        <v>3498</v>
      </c>
      <c r="L4059" t="s">
        <v>4428</v>
      </c>
      <c r="M4059" t="s">
        <v>1563</v>
      </c>
      <c r="N4059" t="s">
        <v>4959</v>
      </c>
      <c r="O4059">
        <v>8</v>
      </c>
    </row>
    <row r="4060" spans="2:15" x14ac:dyDescent="0.2">
      <c r="B4060" t="s">
        <v>1433</v>
      </c>
      <c r="C4060" t="s">
        <v>12903</v>
      </c>
      <c r="D4060" t="s">
        <v>1153</v>
      </c>
      <c r="E4060" t="s">
        <v>11456</v>
      </c>
      <c r="F4060">
        <v>3300</v>
      </c>
      <c r="G4060" t="s">
        <v>3498</v>
      </c>
      <c r="L4060" t="s">
        <v>4428</v>
      </c>
      <c r="M4060" t="s">
        <v>2294</v>
      </c>
      <c r="N4060" t="s">
        <v>4959</v>
      </c>
      <c r="O4060">
        <v>8</v>
      </c>
    </row>
    <row r="4061" spans="2:15" x14ac:dyDescent="0.2">
      <c r="B4061" t="s">
        <v>1433</v>
      </c>
      <c r="C4061" t="s">
        <v>12903</v>
      </c>
      <c r="D4061" t="s">
        <v>1169</v>
      </c>
      <c r="E4061" t="s">
        <v>11457</v>
      </c>
      <c r="F4061">
        <v>1000</v>
      </c>
      <c r="G4061" t="s">
        <v>3502</v>
      </c>
      <c r="L4061" t="s">
        <v>4428</v>
      </c>
      <c r="M4061" t="s">
        <v>4163</v>
      </c>
      <c r="N4061" t="s">
        <v>4960</v>
      </c>
      <c r="O4061">
        <v>500</v>
      </c>
    </row>
    <row r="4062" spans="2:15" x14ac:dyDescent="0.2">
      <c r="B4062" t="s">
        <v>1433</v>
      </c>
      <c r="C4062" t="s">
        <v>12903</v>
      </c>
      <c r="D4062" t="s">
        <v>1169</v>
      </c>
      <c r="E4062" t="s">
        <v>11458</v>
      </c>
      <c r="F4062">
        <v>250</v>
      </c>
      <c r="G4062" t="s">
        <v>3505</v>
      </c>
      <c r="L4062" t="s">
        <v>4428</v>
      </c>
      <c r="M4062" t="s">
        <v>4961</v>
      </c>
      <c r="N4062" t="s">
        <v>4962</v>
      </c>
      <c r="O4062">
        <v>4</v>
      </c>
    </row>
    <row r="4063" spans="2:15" x14ac:dyDescent="0.2">
      <c r="B4063" t="s">
        <v>1433</v>
      </c>
      <c r="C4063" t="s">
        <v>12903</v>
      </c>
      <c r="D4063" t="s">
        <v>1048</v>
      </c>
      <c r="E4063" t="s">
        <v>11459</v>
      </c>
      <c r="F4063">
        <v>1027</v>
      </c>
      <c r="G4063" t="s">
        <v>3532</v>
      </c>
      <c r="L4063" t="s">
        <v>4428</v>
      </c>
      <c r="M4063" t="s">
        <v>2133</v>
      </c>
      <c r="N4063" t="s">
        <v>4963</v>
      </c>
      <c r="O4063">
        <v>2</v>
      </c>
    </row>
    <row r="4064" spans="2:15" x14ac:dyDescent="0.2">
      <c r="B4064" t="s">
        <v>1433</v>
      </c>
      <c r="C4064" t="s">
        <v>12903</v>
      </c>
      <c r="D4064" t="s">
        <v>1048</v>
      </c>
      <c r="E4064" t="s">
        <v>11460</v>
      </c>
      <c r="F4064">
        <v>1375</v>
      </c>
      <c r="G4064" t="s">
        <v>3533</v>
      </c>
      <c r="L4064" t="s">
        <v>4428</v>
      </c>
      <c r="M4064" t="s">
        <v>4371</v>
      </c>
      <c r="N4064" t="s">
        <v>4964</v>
      </c>
      <c r="O4064">
        <v>20</v>
      </c>
    </row>
    <row r="4065" spans="2:15" x14ac:dyDescent="0.2">
      <c r="B4065" t="s">
        <v>1433</v>
      </c>
      <c r="C4065" t="s">
        <v>12903</v>
      </c>
      <c r="D4065" t="s">
        <v>1048</v>
      </c>
      <c r="E4065" t="s">
        <v>11461</v>
      </c>
      <c r="F4065">
        <v>1368</v>
      </c>
      <c r="G4065" t="s">
        <v>3534</v>
      </c>
      <c r="L4065" t="s">
        <v>4428</v>
      </c>
      <c r="M4065" t="s">
        <v>2074</v>
      </c>
      <c r="N4065" t="s">
        <v>4965</v>
      </c>
      <c r="O4065">
        <v>1</v>
      </c>
    </row>
    <row r="4066" spans="2:15" x14ac:dyDescent="0.2">
      <c r="B4066" t="s">
        <v>1433</v>
      </c>
      <c r="C4066" t="s">
        <v>12903</v>
      </c>
      <c r="D4066" t="s">
        <v>1041</v>
      </c>
      <c r="E4066" t="s">
        <v>11462</v>
      </c>
      <c r="F4066">
        <v>7600</v>
      </c>
      <c r="G4066" t="s">
        <v>3539</v>
      </c>
      <c r="L4066" t="s">
        <v>4428</v>
      </c>
      <c r="M4066" t="s">
        <v>2075</v>
      </c>
      <c r="N4066" t="s">
        <v>4965</v>
      </c>
      <c r="O4066">
        <v>1</v>
      </c>
    </row>
    <row r="4067" spans="2:15" x14ac:dyDescent="0.2">
      <c r="B4067" t="s">
        <v>1433</v>
      </c>
      <c r="C4067" t="s">
        <v>12903</v>
      </c>
      <c r="D4067" t="s">
        <v>1048</v>
      </c>
      <c r="E4067" t="s">
        <v>11463</v>
      </c>
      <c r="F4067">
        <v>950</v>
      </c>
      <c r="G4067" t="s">
        <v>3544</v>
      </c>
      <c r="L4067" t="s">
        <v>4428</v>
      </c>
      <c r="M4067" t="s">
        <v>1599</v>
      </c>
      <c r="N4067" t="s">
        <v>4965</v>
      </c>
      <c r="O4067">
        <v>4</v>
      </c>
    </row>
    <row r="4068" spans="2:15" x14ac:dyDescent="0.2">
      <c r="B4068" t="s">
        <v>1433</v>
      </c>
      <c r="C4068" t="s">
        <v>12903</v>
      </c>
      <c r="D4068" t="s">
        <v>1048</v>
      </c>
      <c r="E4068" t="s">
        <v>11464</v>
      </c>
      <c r="F4068">
        <v>1491</v>
      </c>
      <c r="G4068" t="s">
        <v>3548</v>
      </c>
      <c r="L4068" t="s">
        <v>4428</v>
      </c>
      <c r="M4068" t="s">
        <v>4966</v>
      </c>
      <c r="N4068" t="s">
        <v>4967</v>
      </c>
      <c r="O4068">
        <v>2</v>
      </c>
    </row>
    <row r="4069" spans="2:15" x14ac:dyDescent="0.2">
      <c r="B4069" t="s">
        <v>1433</v>
      </c>
      <c r="C4069" t="s">
        <v>12903</v>
      </c>
      <c r="D4069" t="s">
        <v>1169</v>
      </c>
      <c r="E4069" t="s">
        <v>11465</v>
      </c>
      <c r="F4069">
        <v>250</v>
      </c>
      <c r="G4069" t="s">
        <v>3565</v>
      </c>
      <c r="L4069" t="s">
        <v>4428</v>
      </c>
      <c r="M4069" t="s">
        <v>4968</v>
      </c>
      <c r="N4069" t="s">
        <v>4967</v>
      </c>
      <c r="O4069">
        <v>1</v>
      </c>
    </row>
    <row r="4070" spans="2:15" x14ac:dyDescent="0.2">
      <c r="B4070" t="s">
        <v>1433</v>
      </c>
      <c r="C4070" t="s">
        <v>12903</v>
      </c>
      <c r="D4070" t="s">
        <v>1169</v>
      </c>
      <c r="E4070" t="s">
        <v>11466</v>
      </c>
      <c r="F4070">
        <v>4501</v>
      </c>
      <c r="G4070" t="s">
        <v>3565</v>
      </c>
      <c r="L4070" t="s">
        <v>4428</v>
      </c>
      <c r="M4070" t="s">
        <v>4969</v>
      </c>
      <c r="N4070" t="s">
        <v>4967</v>
      </c>
      <c r="O4070">
        <v>1</v>
      </c>
    </row>
    <row r="4071" spans="2:15" x14ac:dyDescent="0.2">
      <c r="B4071" t="s">
        <v>1433</v>
      </c>
      <c r="C4071" t="s">
        <v>12903</v>
      </c>
      <c r="D4071" t="s">
        <v>1169</v>
      </c>
      <c r="E4071" t="s">
        <v>11467</v>
      </c>
      <c r="F4071">
        <v>525</v>
      </c>
      <c r="G4071" t="s">
        <v>3563</v>
      </c>
      <c r="L4071" t="s">
        <v>4428</v>
      </c>
      <c r="M4071" t="s">
        <v>4142</v>
      </c>
      <c r="N4071" t="s">
        <v>4970</v>
      </c>
      <c r="O4071">
        <v>4</v>
      </c>
    </row>
    <row r="4072" spans="2:15" x14ac:dyDescent="0.2">
      <c r="B4072" t="s">
        <v>1433</v>
      </c>
      <c r="C4072" t="s">
        <v>12903</v>
      </c>
      <c r="D4072" t="s">
        <v>1169</v>
      </c>
      <c r="E4072" t="s">
        <v>11468</v>
      </c>
      <c r="F4072">
        <v>6500</v>
      </c>
      <c r="G4072" t="s">
        <v>3563</v>
      </c>
      <c r="L4072" t="s">
        <v>4428</v>
      </c>
      <c r="M4072" t="s">
        <v>4971</v>
      </c>
      <c r="N4072" t="s">
        <v>4972</v>
      </c>
      <c r="O4072">
        <v>85</v>
      </c>
    </row>
    <row r="4073" spans="2:15" x14ac:dyDescent="0.2">
      <c r="B4073" t="s">
        <v>1433</v>
      </c>
      <c r="C4073" t="s">
        <v>12903</v>
      </c>
      <c r="D4073" t="s">
        <v>1169</v>
      </c>
      <c r="E4073" t="s">
        <v>11469</v>
      </c>
      <c r="F4073">
        <v>550</v>
      </c>
      <c r="G4073" t="s">
        <v>3566</v>
      </c>
      <c r="L4073" t="s">
        <v>4428</v>
      </c>
      <c r="M4073" t="s">
        <v>4973</v>
      </c>
      <c r="N4073" t="s">
        <v>4974</v>
      </c>
      <c r="O4073">
        <v>1</v>
      </c>
    </row>
    <row r="4074" spans="2:15" x14ac:dyDescent="0.2">
      <c r="B4074" t="s">
        <v>1433</v>
      </c>
      <c r="C4074" t="s">
        <v>12903</v>
      </c>
      <c r="D4074" t="s">
        <v>1041</v>
      </c>
      <c r="E4074" t="s">
        <v>11470</v>
      </c>
      <c r="F4074">
        <v>7600</v>
      </c>
      <c r="G4074" t="s">
        <v>3577</v>
      </c>
      <c r="L4074" t="s">
        <v>4428</v>
      </c>
      <c r="M4074" t="s">
        <v>4975</v>
      </c>
      <c r="N4074" t="s">
        <v>4974</v>
      </c>
      <c r="O4074">
        <v>1</v>
      </c>
    </row>
    <row r="4075" spans="2:15" x14ac:dyDescent="0.2">
      <c r="B4075" t="s">
        <v>1433</v>
      </c>
      <c r="C4075" t="s">
        <v>12903</v>
      </c>
      <c r="D4075" t="s">
        <v>1048</v>
      </c>
      <c r="E4075" t="s">
        <v>11471</v>
      </c>
      <c r="F4075">
        <v>162</v>
      </c>
      <c r="G4075" t="s">
        <v>3587</v>
      </c>
      <c r="L4075" t="s">
        <v>4428</v>
      </c>
      <c r="M4075" t="s">
        <v>4976</v>
      </c>
      <c r="N4075" t="s">
        <v>4974</v>
      </c>
      <c r="O4075">
        <v>1</v>
      </c>
    </row>
    <row r="4076" spans="2:15" x14ac:dyDescent="0.2">
      <c r="B4076" t="s">
        <v>1433</v>
      </c>
      <c r="C4076" t="s">
        <v>12903</v>
      </c>
      <c r="D4076" t="s">
        <v>1041</v>
      </c>
      <c r="E4076" t="s">
        <v>11472</v>
      </c>
      <c r="F4076">
        <v>8050</v>
      </c>
      <c r="G4076" t="s">
        <v>3720</v>
      </c>
      <c r="L4076" t="s">
        <v>4428</v>
      </c>
      <c r="M4076" t="s">
        <v>1290</v>
      </c>
      <c r="N4076" t="s">
        <v>4977</v>
      </c>
      <c r="O4076">
        <v>1</v>
      </c>
    </row>
    <row r="4077" spans="2:15" x14ac:dyDescent="0.2">
      <c r="B4077" t="s">
        <v>1433</v>
      </c>
      <c r="C4077" t="s">
        <v>12903</v>
      </c>
      <c r="D4077" t="s">
        <v>617</v>
      </c>
      <c r="E4077" t="s">
        <v>11473</v>
      </c>
      <c r="F4077">
        <v>1000</v>
      </c>
      <c r="G4077" t="s">
        <v>3763</v>
      </c>
      <c r="L4077" t="s">
        <v>4428</v>
      </c>
      <c r="M4077" t="s">
        <v>4978</v>
      </c>
      <c r="N4077" t="s">
        <v>4979</v>
      </c>
      <c r="O4077">
        <v>50</v>
      </c>
    </row>
    <row r="4078" spans="2:15" x14ac:dyDescent="0.2">
      <c r="B4078" t="s">
        <v>1433</v>
      </c>
      <c r="C4078" t="s">
        <v>12903</v>
      </c>
      <c r="D4078" t="s">
        <v>617</v>
      </c>
      <c r="E4078" t="s">
        <v>11474</v>
      </c>
      <c r="F4078">
        <v>738</v>
      </c>
      <c r="G4078" t="s">
        <v>3664</v>
      </c>
      <c r="L4078" t="s">
        <v>4428</v>
      </c>
      <c r="M4078" t="s">
        <v>1742</v>
      </c>
      <c r="N4078" t="s">
        <v>4979</v>
      </c>
      <c r="O4078">
        <v>3</v>
      </c>
    </row>
    <row r="4079" spans="2:15" x14ac:dyDescent="0.2">
      <c r="B4079" t="s">
        <v>1433</v>
      </c>
      <c r="C4079" t="s">
        <v>12903</v>
      </c>
      <c r="D4079" t="s">
        <v>1048</v>
      </c>
      <c r="E4079" t="s">
        <v>11475</v>
      </c>
      <c r="F4079">
        <v>750</v>
      </c>
      <c r="G4079" t="s">
        <v>3648</v>
      </c>
      <c r="L4079" t="s">
        <v>4428</v>
      </c>
      <c r="M4079" t="s">
        <v>1764</v>
      </c>
      <c r="N4079" t="s">
        <v>4979</v>
      </c>
      <c r="O4079">
        <v>4</v>
      </c>
    </row>
    <row r="4080" spans="2:15" x14ac:dyDescent="0.2">
      <c r="B4080" t="s">
        <v>1433</v>
      </c>
      <c r="C4080" t="s">
        <v>12903</v>
      </c>
      <c r="D4080" t="s">
        <v>1030</v>
      </c>
      <c r="E4080" t="s">
        <v>11476</v>
      </c>
      <c r="F4080">
        <v>16320</v>
      </c>
      <c r="G4080" t="s">
        <v>11354</v>
      </c>
      <c r="L4080" t="s">
        <v>4428</v>
      </c>
      <c r="M4080" t="s">
        <v>1766</v>
      </c>
      <c r="N4080" t="s">
        <v>4979</v>
      </c>
      <c r="O4080">
        <v>4</v>
      </c>
    </row>
    <row r="4081" spans="2:15" x14ac:dyDescent="0.2">
      <c r="B4081" t="s">
        <v>1433</v>
      </c>
      <c r="C4081" t="s">
        <v>12903</v>
      </c>
      <c r="D4081" t="s">
        <v>1030</v>
      </c>
      <c r="E4081" t="s">
        <v>11477</v>
      </c>
      <c r="F4081">
        <v>13500</v>
      </c>
      <c r="G4081" t="s">
        <v>3899</v>
      </c>
      <c r="L4081" t="s">
        <v>4428</v>
      </c>
      <c r="M4081" t="s">
        <v>2819</v>
      </c>
      <c r="N4081" t="s">
        <v>4980</v>
      </c>
      <c r="O4081">
        <v>1</v>
      </c>
    </row>
    <row r="4082" spans="2:15" x14ac:dyDescent="0.2">
      <c r="B4082" t="s">
        <v>1433</v>
      </c>
      <c r="C4082" t="s">
        <v>12903</v>
      </c>
      <c r="D4082" t="s">
        <v>1041</v>
      </c>
      <c r="E4082" t="s">
        <v>11478</v>
      </c>
      <c r="F4082">
        <v>9000</v>
      </c>
      <c r="G4082" t="s">
        <v>3901</v>
      </c>
      <c r="L4082" t="s">
        <v>4428</v>
      </c>
      <c r="M4082" t="s">
        <v>2821</v>
      </c>
      <c r="N4082" t="s">
        <v>4980</v>
      </c>
      <c r="O4082">
        <v>1</v>
      </c>
    </row>
    <row r="4083" spans="2:15" x14ac:dyDescent="0.2">
      <c r="B4083" t="s">
        <v>1433</v>
      </c>
      <c r="C4083" t="s">
        <v>12903</v>
      </c>
      <c r="D4083" t="s">
        <v>1169</v>
      </c>
      <c r="E4083" t="s">
        <v>11479</v>
      </c>
      <c r="F4083">
        <v>18600</v>
      </c>
      <c r="G4083" t="s">
        <v>4010</v>
      </c>
      <c r="L4083" t="s">
        <v>4428</v>
      </c>
      <c r="M4083" t="s">
        <v>1898</v>
      </c>
      <c r="N4083" t="s">
        <v>4981</v>
      </c>
      <c r="O4083">
        <v>2</v>
      </c>
    </row>
    <row r="4084" spans="2:15" x14ac:dyDescent="0.2">
      <c r="B4084" t="s">
        <v>1433</v>
      </c>
      <c r="C4084" t="s">
        <v>12903</v>
      </c>
      <c r="D4084" t="s">
        <v>1030</v>
      </c>
      <c r="E4084" t="s">
        <v>11480</v>
      </c>
      <c r="F4084">
        <v>1790</v>
      </c>
      <c r="G4084" t="s">
        <v>3955</v>
      </c>
      <c r="L4084" t="s">
        <v>4428</v>
      </c>
      <c r="M4084" t="s">
        <v>4206</v>
      </c>
      <c r="N4084" t="s">
        <v>4982</v>
      </c>
      <c r="O4084">
        <v>50</v>
      </c>
    </row>
    <row r="4085" spans="2:15" x14ac:dyDescent="0.2">
      <c r="B4085" t="s">
        <v>1433</v>
      </c>
      <c r="C4085" t="s">
        <v>12903</v>
      </c>
      <c r="D4085" t="s">
        <v>1169</v>
      </c>
      <c r="E4085" t="s">
        <v>11481</v>
      </c>
      <c r="F4085">
        <v>1584</v>
      </c>
      <c r="G4085" t="s">
        <v>3974</v>
      </c>
      <c r="L4085" t="s">
        <v>4428</v>
      </c>
      <c r="M4085" t="s">
        <v>1933</v>
      </c>
      <c r="N4085" t="s">
        <v>4983</v>
      </c>
      <c r="O4085">
        <v>2</v>
      </c>
    </row>
    <row r="4086" spans="2:15" x14ac:dyDescent="0.2">
      <c r="B4086" t="s">
        <v>1433</v>
      </c>
      <c r="C4086" t="s">
        <v>12903</v>
      </c>
      <c r="D4086" t="s">
        <v>1041</v>
      </c>
      <c r="E4086" t="s">
        <v>11482</v>
      </c>
      <c r="F4086">
        <v>2836</v>
      </c>
      <c r="G4086" t="s">
        <v>3981</v>
      </c>
      <c r="L4086" t="s">
        <v>4428</v>
      </c>
      <c r="M4086" t="s">
        <v>1698</v>
      </c>
      <c r="N4086" t="s">
        <v>4983</v>
      </c>
      <c r="O4086">
        <v>2</v>
      </c>
    </row>
    <row r="4087" spans="2:15" x14ac:dyDescent="0.2">
      <c r="B4087" t="s">
        <v>1433</v>
      </c>
      <c r="C4087" t="s">
        <v>12903</v>
      </c>
      <c r="D4087" t="s">
        <v>1041</v>
      </c>
      <c r="E4087" t="s">
        <v>11483</v>
      </c>
      <c r="F4087">
        <v>11000</v>
      </c>
      <c r="G4087" t="s">
        <v>3997</v>
      </c>
      <c r="L4087" t="s">
        <v>4428</v>
      </c>
      <c r="M4087" t="s">
        <v>4211</v>
      </c>
      <c r="N4087" t="s">
        <v>4984</v>
      </c>
      <c r="O4087">
        <v>50</v>
      </c>
    </row>
    <row r="4088" spans="2:15" x14ac:dyDescent="0.2">
      <c r="B4088" t="s">
        <v>1433</v>
      </c>
      <c r="C4088" t="s">
        <v>12903</v>
      </c>
      <c r="D4088" t="s">
        <v>1169</v>
      </c>
      <c r="E4088" t="s">
        <v>11484</v>
      </c>
      <c r="F4088">
        <v>1974.44</v>
      </c>
      <c r="G4088" t="s">
        <v>4012</v>
      </c>
      <c r="L4088" t="s">
        <v>4428</v>
      </c>
      <c r="M4088" t="s">
        <v>1563</v>
      </c>
      <c r="N4088" t="s">
        <v>4985</v>
      </c>
      <c r="O4088">
        <v>8</v>
      </c>
    </row>
    <row r="4089" spans="2:15" x14ac:dyDescent="0.2">
      <c r="B4089" t="s">
        <v>1433</v>
      </c>
      <c r="C4089" t="s">
        <v>12903</v>
      </c>
      <c r="D4089" t="s">
        <v>1030</v>
      </c>
      <c r="E4089" t="s">
        <v>11485</v>
      </c>
      <c r="F4089">
        <v>11900.25</v>
      </c>
      <c r="G4089" t="s">
        <v>4032</v>
      </c>
      <c r="L4089" t="s">
        <v>4428</v>
      </c>
      <c r="M4089" t="s">
        <v>2294</v>
      </c>
      <c r="N4089" t="s">
        <v>4985</v>
      </c>
      <c r="O4089">
        <v>8</v>
      </c>
    </row>
    <row r="4090" spans="2:15" x14ac:dyDescent="0.2">
      <c r="B4090" t="s">
        <v>1433</v>
      </c>
      <c r="C4090" t="s">
        <v>12903</v>
      </c>
      <c r="D4090" t="s">
        <v>1030</v>
      </c>
      <c r="E4090" t="s">
        <v>11486</v>
      </c>
      <c r="F4090">
        <v>1322.25</v>
      </c>
      <c r="G4090" t="s">
        <v>4032</v>
      </c>
      <c r="L4090" t="s">
        <v>4428</v>
      </c>
      <c r="M4090" t="s">
        <v>4495</v>
      </c>
      <c r="N4090" t="s">
        <v>4986</v>
      </c>
      <c r="O4090">
        <v>40</v>
      </c>
    </row>
    <row r="4091" spans="2:15" x14ac:dyDescent="0.2">
      <c r="B4091" t="s">
        <v>1433</v>
      </c>
      <c r="C4091" t="s">
        <v>12903</v>
      </c>
      <c r="D4091" t="s">
        <v>1041</v>
      </c>
      <c r="E4091" t="s">
        <v>11487</v>
      </c>
      <c r="F4091">
        <v>9125</v>
      </c>
      <c r="G4091" t="s">
        <v>4122</v>
      </c>
      <c r="L4091" t="s">
        <v>4428</v>
      </c>
      <c r="M4091" t="s">
        <v>4497</v>
      </c>
      <c r="N4091" t="s">
        <v>4986</v>
      </c>
      <c r="O4091">
        <v>20</v>
      </c>
    </row>
    <row r="4092" spans="2:15" x14ac:dyDescent="0.2">
      <c r="B4092" t="s">
        <v>1433</v>
      </c>
      <c r="C4092" t="s">
        <v>12903</v>
      </c>
      <c r="D4092" t="s">
        <v>1144</v>
      </c>
      <c r="E4092" t="s">
        <v>11488</v>
      </c>
      <c r="F4092">
        <v>6175</v>
      </c>
      <c r="G4092" t="s">
        <v>4125</v>
      </c>
      <c r="L4092" t="s">
        <v>4428</v>
      </c>
      <c r="M4092" t="s">
        <v>1261</v>
      </c>
      <c r="N4092" t="s">
        <v>4987</v>
      </c>
      <c r="O4092">
        <v>2</v>
      </c>
    </row>
    <row r="4093" spans="2:15" x14ac:dyDescent="0.2">
      <c r="B4093" t="s">
        <v>1433</v>
      </c>
      <c r="C4093" t="s">
        <v>12903</v>
      </c>
      <c r="D4093" t="s">
        <v>1169</v>
      </c>
      <c r="E4093" t="s">
        <v>11489</v>
      </c>
      <c r="F4093">
        <v>1126</v>
      </c>
      <c r="G4093" t="s">
        <v>2747</v>
      </c>
      <c r="L4093" t="s">
        <v>4428</v>
      </c>
      <c r="M4093" t="s">
        <v>4988</v>
      </c>
      <c r="N4093" t="s">
        <v>4989</v>
      </c>
      <c r="O4093">
        <v>100</v>
      </c>
    </row>
    <row r="4094" spans="2:15" x14ac:dyDescent="0.2">
      <c r="B4094" t="s">
        <v>1433</v>
      </c>
      <c r="C4094" t="s">
        <v>12903</v>
      </c>
      <c r="D4094" t="s">
        <v>372</v>
      </c>
      <c r="E4094" t="s">
        <v>11490</v>
      </c>
      <c r="F4094">
        <v>35933.339999999997</v>
      </c>
      <c r="G4094" t="s">
        <v>11413</v>
      </c>
      <c r="L4094" t="s">
        <v>4428</v>
      </c>
      <c r="M4094" t="s">
        <v>4990</v>
      </c>
      <c r="N4094" t="s">
        <v>4989</v>
      </c>
      <c r="O4094">
        <v>25</v>
      </c>
    </row>
    <row r="4095" spans="2:15" x14ac:dyDescent="0.2">
      <c r="B4095" t="s">
        <v>1433</v>
      </c>
      <c r="C4095" t="s">
        <v>12903</v>
      </c>
      <c r="D4095" t="s">
        <v>498</v>
      </c>
      <c r="E4095" t="s">
        <v>11491</v>
      </c>
      <c r="F4095">
        <v>22195.56</v>
      </c>
      <c r="G4095" t="s">
        <v>11418</v>
      </c>
      <c r="L4095" t="s">
        <v>4428</v>
      </c>
      <c r="M4095" t="s">
        <v>1533</v>
      </c>
      <c r="N4095" t="s">
        <v>4899</v>
      </c>
      <c r="O4095">
        <v>1</v>
      </c>
    </row>
    <row r="4096" spans="2:15" x14ac:dyDescent="0.2">
      <c r="B4096" t="s">
        <v>1433</v>
      </c>
      <c r="C4096" t="s">
        <v>12903</v>
      </c>
      <c r="D4096" t="s">
        <v>453</v>
      </c>
      <c r="E4096" t="s">
        <v>11492</v>
      </c>
      <c r="F4096">
        <v>5011.8100000000004</v>
      </c>
      <c r="G4096" t="s">
        <v>11422</v>
      </c>
      <c r="L4096" t="s">
        <v>4428</v>
      </c>
      <c r="M4096" t="s">
        <v>1609</v>
      </c>
      <c r="N4096" t="s">
        <v>4899</v>
      </c>
      <c r="O4096">
        <v>1</v>
      </c>
    </row>
    <row r="4097" spans="2:15" x14ac:dyDescent="0.2">
      <c r="B4097" t="s">
        <v>1433</v>
      </c>
      <c r="C4097" t="s">
        <v>12904</v>
      </c>
      <c r="D4097" t="s">
        <v>1130</v>
      </c>
      <c r="E4097" t="s">
        <v>11493</v>
      </c>
      <c r="F4097">
        <v>63000</v>
      </c>
      <c r="G4097" t="s">
        <v>1199</v>
      </c>
      <c r="L4097" t="s">
        <v>4428</v>
      </c>
      <c r="M4097" t="s">
        <v>4991</v>
      </c>
      <c r="N4097" t="s">
        <v>4992</v>
      </c>
      <c r="O4097">
        <v>1000</v>
      </c>
    </row>
    <row r="4098" spans="2:15" x14ac:dyDescent="0.2">
      <c r="B4098" t="s">
        <v>1433</v>
      </c>
      <c r="C4098" t="s">
        <v>12904</v>
      </c>
      <c r="D4098" t="s">
        <v>1130</v>
      </c>
      <c r="E4098" t="s">
        <v>11495</v>
      </c>
      <c r="F4098">
        <v>18000</v>
      </c>
      <c r="G4098" t="s">
        <v>1199</v>
      </c>
      <c r="L4098" t="s">
        <v>4428</v>
      </c>
      <c r="M4098" t="s">
        <v>4993</v>
      </c>
      <c r="N4098" t="s">
        <v>4994</v>
      </c>
      <c r="O4098">
        <v>2</v>
      </c>
    </row>
    <row r="4099" spans="2:15" x14ac:dyDescent="0.2">
      <c r="B4099" t="s">
        <v>1433</v>
      </c>
      <c r="C4099" t="s">
        <v>12904</v>
      </c>
      <c r="D4099" t="s">
        <v>1130</v>
      </c>
      <c r="E4099" t="s">
        <v>11496</v>
      </c>
      <c r="F4099">
        <v>9000</v>
      </c>
      <c r="G4099" t="s">
        <v>1199</v>
      </c>
      <c r="L4099" t="s">
        <v>4428</v>
      </c>
      <c r="M4099" t="s">
        <v>1758</v>
      </c>
      <c r="N4099" t="s">
        <v>4995</v>
      </c>
      <c r="O4099">
        <v>1</v>
      </c>
    </row>
    <row r="4100" spans="2:15" x14ac:dyDescent="0.2">
      <c r="B4100" t="s">
        <v>1433</v>
      </c>
      <c r="C4100" t="s">
        <v>12904</v>
      </c>
      <c r="D4100" t="s">
        <v>1130</v>
      </c>
      <c r="E4100" t="s">
        <v>11497</v>
      </c>
      <c r="F4100">
        <v>12064.8</v>
      </c>
      <c r="G4100" t="s">
        <v>1434</v>
      </c>
      <c r="L4100" t="s">
        <v>4428</v>
      </c>
      <c r="M4100" t="s">
        <v>1759</v>
      </c>
      <c r="N4100" t="s">
        <v>4995</v>
      </c>
      <c r="O4100">
        <v>1</v>
      </c>
    </row>
    <row r="4101" spans="2:15" x14ac:dyDescent="0.2">
      <c r="B4101" t="s">
        <v>1433</v>
      </c>
      <c r="C4101" t="s">
        <v>12904</v>
      </c>
      <c r="D4101" t="s">
        <v>1130</v>
      </c>
      <c r="E4101" t="s">
        <v>11498</v>
      </c>
      <c r="F4101">
        <v>14553.6</v>
      </c>
      <c r="G4101" t="s">
        <v>1257</v>
      </c>
      <c r="L4101" t="s">
        <v>4428</v>
      </c>
      <c r="M4101" t="s">
        <v>2161</v>
      </c>
      <c r="N4101" t="s">
        <v>4995</v>
      </c>
      <c r="O4101">
        <v>4</v>
      </c>
    </row>
    <row r="4102" spans="2:15" x14ac:dyDescent="0.2">
      <c r="B4102" t="s">
        <v>1433</v>
      </c>
      <c r="C4102" t="s">
        <v>12904</v>
      </c>
      <c r="D4102" t="s">
        <v>613</v>
      </c>
      <c r="E4102" t="s">
        <v>11499</v>
      </c>
      <c r="F4102">
        <v>22</v>
      </c>
      <c r="G4102" t="s">
        <v>5131</v>
      </c>
      <c r="L4102" t="s">
        <v>4428</v>
      </c>
      <c r="M4102" t="s">
        <v>2162</v>
      </c>
      <c r="N4102" t="s">
        <v>4995</v>
      </c>
      <c r="O4102">
        <v>4</v>
      </c>
    </row>
    <row r="4103" spans="2:15" x14ac:dyDescent="0.2">
      <c r="B4103" t="s">
        <v>1433</v>
      </c>
      <c r="C4103" t="s">
        <v>12904</v>
      </c>
      <c r="D4103" t="s">
        <v>613</v>
      </c>
      <c r="E4103" t="s">
        <v>11500</v>
      </c>
      <c r="F4103">
        <v>0.06</v>
      </c>
      <c r="G4103" t="s">
        <v>10106</v>
      </c>
      <c r="L4103" t="s">
        <v>4428</v>
      </c>
      <c r="M4103" t="s">
        <v>2161</v>
      </c>
      <c r="N4103" t="s">
        <v>4996</v>
      </c>
      <c r="O4103">
        <v>2</v>
      </c>
    </row>
    <row r="4104" spans="2:15" x14ac:dyDescent="0.2">
      <c r="B4104" t="s">
        <v>1433</v>
      </c>
      <c r="C4104" t="s">
        <v>12904</v>
      </c>
      <c r="D4104" t="s">
        <v>613</v>
      </c>
      <c r="E4104" t="s">
        <v>11501</v>
      </c>
      <c r="F4104">
        <v>0.05</v>
      </c>
      <c r="G4104" t="s">
        <v>11502</v>
      </c>
      <c r="L4104" t="s">
        <v>4428</v>
      </c>
      <c r="M4104" t="s">
        <v>2162</v>
      </c>
      <c r="N4104" t="s">
        <v>4996</v>
      </c>
      <c r="O4104">
        <v>2</v>
      </c>
    </row>
    <row r="4105" spans="2:15" x14ac:dyDescent="0.2">
      <c r="B4105" t="s">
        <v>1433</v>
      </c>
      <c r="C4105" t="s">
        <v>12904</v>
      </c>
      <c r="D4105" t="s">
        <v>308</v>
      </c>
      <c r="E4105" t="s">
        <v>11503</v>
      </c>
      <c r="F4105">
        <v>29454.43</v>
      </c>
      <c r="G4105" t="s">
        <v>11494</v>
      </c>
      <c r="L4105" t="s">
        <v>4428</v>
      </c>
      <c r="M4105" t="s">
        <v>1758</v>
      </c>
      <c r="N4105" t="s">
        <v>4996</v>
      </c>
      <c r="O4105">
        <v>2</v>
      </c>
    </row>
    <row r="4106" spans="2:15" x14ac:dyDescent="0.2">
      <c r="B4106" t="s">
        <v>1433</v>
      </c>
      <c r="C4106" t="s">
        <v>12905</v>
      </c>
      <c r="D4106" t="s">
        <v>1130</v>
      </c>
      <c r="E4106" t="s">
        <v>11504</v>
      </c>
      <c r="F4106">
        <v>43596</v>
      </c>
      <c r="G4106" t="s">
        <v>1205</v>
      </c>
      <c r="L4106" t="s">
        <v>4428</v>
      </c>
      <c r="M4106" t="s">
        <v>1757</v>
      </c>
      <c r="N4106" t="s">
        <v>4997</v>
      </c>
      <c r="O4106">
        <v>4</v>
      </c>
    </row>
    <row r="4107" spans="2:15" x14ac:dyDescent="0.2">
      <c r="B4107" t="s">
        <v>1433</v>
      </c>
      <c r="C4107" t="s">
        <v>12905</v>
      </c>
      <c r="D4107" t="s">
        <v>1130</v>
      </c>
      <c r="E4107" t="s">
        <v>11506</v>
      </c>
      <c r="F4107">
        <v>12456</v>
      </c>
      <c r="G4107" t="s">
        <v>1205</v>
      </c>
      <c r="L4107" t="s">
        <v>4428</v>
      </c>
      <c r="M4107" t="s">
        <v>4283</v>
      </c>
      <c r="N4107" t="s">
        <v>4998</v>
      </c>
      <c r="O4107">
        <v>2</v>
      </c>
    </row>
    <row r="4108" spans="2:15" x14ac:dyDescent="0.2">
      <c r="B4108" t="s">
        <v>1433</v>
      </c>
      <c r="C4108" t="s">
        <v>12905</v>
      </c>
      <c r="D4108" t="s">
        <v>1130</v>
      </c>
      <c r="E4108" t="s">
        <v>11507</v>
      </c>
      <c r="F4108">
        <v>6228</v>
      </c>
      <c r="G4108" t="s">
        <v>1205</v>
      </c>
      <c r="L4108" t="s">
        <v>4428</v>
      </c>
      <c r="M4108" t="s">
        <v>2293</v>
      </c>
      <c r="N4108" t="s">
        <v>4999</v>
      </c>
      <c r="O4108">
        <v>2</v>
      </c>
    </row>
    <row r="4109" spans="2:15" x14ac:dyDescent="0.2">
      <c r="B4109" t="s">
        <v>1433</v>
      </c>
      <c r="C4109" t="s">
        <v>12905</v>
      </c>
      <c r="D4109" t="s">
        <v>1130</v>
      </c>
      <c r="E4109" t="s">
        <v>11508</v>
      </c>
      <c r="F4109">
        <v>8812.65</v>
      </c>
      <c r="G4109" t="s">
        <v>1434</v>
      </c>
      <c r="L4109" t="s">
        <v>4428</v>
      </c>
      <c r="M4109" t="s">
        <v>1899</v>
      </c>
      <c r="N4109" t="s">
        <v>5000</v>
      </c>
      <c r="O4109">
        <v>8</v>
      </c>
    </row>
    <row r="4110" spans="2:15" x14ac:dyDescent="0.2">
      <c r="B4110" t="s">
        <v>1433</v>
      </c>
      <c r="C4110" t="s">
        <v>12905</v>
      </c>
      <c r="D4110" t="s">
        <v>1130</v>
      </c>
      <c r="E4110" t="s">
        <v>11509</v>
      </c>
      <c r="F4110">
        <v>9702.4</v>
      </c>
      <c r="G4110" t="s">
        <v>1257</v>
      </c>
      <c r="L4110" t="s">
        <v>4428</v>
      </c>
      <c r="M4110" t="s">
        <v>4565</v>
      </c>
      <c r="N4110" t="s">
        <v>5001</v>
      </c>
      <c r="O4110">
        <v>1000</v>
      </c>
    </row>
    <row r="4111" spans="2:15" x14ac:dyDescent="0.2">
      <c r="B4111" t="s">
        <v>1433</v>
      </c>
      <c r="C4111" t="s">
        <v>12905</v>
      </c>
      <c r="D4111" t="s">
        <v>1130</v>
      </c>
      <c r="E4111" t="s">
        <v>11510</v>
      </c>
      <c r="F4111">
        <v>6000</v>
      </c>
      <c r="G4111" t="s">
        <v>2499</v>
      </c>
      <c r="L4111" t="s">
        <v>4428</v>
      </c>
      <c r="M4111" t="s">
        <v>1756</v>
      </c>
      <c r="N4111" t="s">
        <v>5002</v>
      </c>
      <c r="O4111">
        <v>2</v>
      </c>
    </row>
    <row r="4112" spans="2:15" x14ac:dyDescent="0.2">
      <c r="B4112" t="s">
        <v>1433</v>
      </c>
      <c r="C4112" t="s">
        <v>12905</v>
      </c>
      <c r="D4112" t="s">
        <v>308</v>
      </c>
      <c r="E4112" t="s">
        <v>11511</v>
      </c>
      <c r="F4112">
        <v>12149.71</v>
      </c>
      <c r="G4112" t="s">
        <v>11505</v>
      </c>
      <c r="L4112" t="s">
        <v>4428</v>
      </c>
      <c r="M4112" t="s">
        <v>1754</v>
      </c>
      <c r="N4112" t="s">
        <v>5003</v>
      </c>
      <c r="O4112">
        <v>2</v>
      </c>
    </row>
    <row r="4113" spans="2:15" x14ac:dyDescent="0.2">
      <c r="B4113" t="s">
        <v>1433</v>
      </c>
      <c r="C4113" t="s">
        <v>12906</v>
      </c>
      <c r="D4113" t="s">
        <v>617</v>
      </c>
      <c r="E4113" t="s">
        <v>11512</v>
      </c>
      <c r="F4113">
        <v>197.2</v>
      </c>
      <c r="H4113" t="s">
        <v>2087</v>
      </c>
      <c r="L4113" t="s">
        <v>4428</v>
      </c>
      <c r="M4113" t="s">
        <v>1897</v>
      </c>
      <c r="N4113" t="s">
        <v>5003</v>
      </c>
      <c r="O4113">
        <v>2</v>
      </c>
    </row>
    <row r="4114" spans="2:15" x14ac:dyDescent="0.2">
      <c r="B4114" t="s">
        <v>1433</v>
      </c>
      <c r="C4114" t="s">
        <v>12906</v>
      </c>
      <c r="D4114" t="s">
        <v>617</v>
      </c>
      <c r="E4114" t="s">
        <v>11513</v>
      </c>
      <c r="F4114">
        <v>-197.2</v>
      </c>
      <c r="H4114" t="s">
        <v>2087</v>
      </c>
      <c r="L4114" t="s">
        <v>4428</v>
      </c>
      <c r="M4114" t="s">
        <v>5004</v>
      </c>
      <c r="N4114" t="s">
        <v>5005</v>
      </c>
      <c r="O4114">
        <v>8</v>
      </c>
    </row>
    <row r="4115" spans="2:15" x14ac:dyDescent="0.2">
      <c r="B4115" t="s">
        <v>1433</v>
      </c>
      <c r="C4115" t="s">
        <v>12906</v>
      </c>
      <c r="D4115" t="s">
        <v>617</v>
      </c>
      <c r="E4115" t="s">
        <v>11514</v>
      </c>
      <c r="F4115">
        <v>197.2</v>
      </c>
      <c r="H4115" t="s">
        <v>2087</v>
      </c>
      <c r="L4115" t="s">
        <v>4428</v>
      </c>
      <c r="M4115" t="s">
        <v>5006</v>
      </c>
      <c r="N4115" t="s">
        <v>5007</v>
      </c>
      <c r="O4115">
        <v>4</v>
      </c>
    </row>
    <row r="4116" spans="2:15" x14ac:dyDescent="0.2">
      <c r="B4116" t="s">
        <v>1433</v>
      </c>
      <c r="C4116" t="s">
        <v>12906</v>
      </c>
      <c r="D4116" t="s">
        <v>617</v>
      </c>
      <c r="E4116" t="s">
        <v>11515</v>
      </c>
      <c r="F4116">
        <v>49.3</v>
      </c>
      <c r="H4116" t="s">
        <v>2087</v>
      </c>
      <c r="L4116" t="s">
        <v>4428</v>
      </c>
      <c r="M4116" t="s">
        <v>4619</v>
      </c>
      <c r="N4116" t="s">
        <v>5007</v>
      </c>
      <c r="O4116">
        <v>8</v>
      </c>
    </row>
    <row r="4117" spans="2:15" x14ac:dyDescent="0.2">
      <c r="B4117" t="s">
        <v>1433</v>
      </c>
      <c r="C4117" t="s">
        <v>12906</v>
      </c>
      <c r="D4117" t="s">
        <v>617</v>
      </c>
      <c r="E4117" t="s">
        <v>11516</v>
      </c>
      <c r="F4117">
        <v>197.5</v>
      </c>
      <c r="H4117" t="s">
        <v>1580</v>
      </c>
      <c r="L4117" t="s">
        <v>4428</v>
      </c>
      <c r="M4117" t="s">
        <v>4697</v>
      </c>
      <c r="N4117" t="s">
        <v>5007</v>
      </c>
      <c r="O4117">
        <v>2</v>
      </c>
    </row>
    <row r="4118" spans="2:15" x14ac:dyDescent="0.2">
      <c r="B4118" t="s">
        <v>1433</v>
      </c>
      <c r="C4118" t="s">
        <v>12906</v>
      </c>
      <c r="D4118" t="s">
        <v>617</v>
      </c>
      <c r="E4118" t="s">
        <v>11517</v>
      </c>
      <c r="F4118">
        <v>723</v>
      </c>
      <c r="H4118" t="s">
        <v>1725</v>
      </c>
      <c r="L4118" t="s">
        <v>4428</v>
      </c>
      <c r="M4118" t="s">
        <v>4622</v>
      </c>
      <c r="N4118" t="s">
        <v>5007</v>
      </c>
      <c r="O4118">
        <v>2</v>
      </c>
    </row>
    <row r="4119" spans="2:15" x14ac:dyDescent="0.2">
      <c r="B4119" t="s">
        <v>1433</v>
      </c>
      <c r="C4119" t="s">
        <v>12906</v>
      </c>
      <c r="D4119" t="s">
        <v>617</v>
      </c>
      <c r="E4119" t="s">
        <v>11518</v>
      </c>
      <c r="F4119">
        <v>1084.5</v>
      </c>
      <c r="H4119" t="s">
        <v>1725</v>
      </c>
      <c r="L4119" t="s">
        <v>4428</v>
      </c>
      <c r="M4119" t="s">
        <v>2275</v>
      </c>
      <c r="N4119" t="s">
        <v>5008</v>
      </c>
      <c r="O4119">
        <v>2</v>
      </c>
    </row>
    <row r="4120" spans="2:15" x14ac:dyDescent="0.2">
      <c r="B4120" t="s">
        <v>1433</v>
      </c>
      <c r="C4120" t="s">
        <v>12906</v>
      </c>
      <c r="D4120" t="s">
        <v>617</v>
      </c>
      <c r="E4120" t="s">
        <v>11519</v>
      </c>
      <c r="F4120">
        <v>547.76</v>
      </c>
      <c r="H4120" t="s">
        <v>1553</v>
      </c>
      <c r="L4120" t="s">
        <v>4428</v>
      </c>
      <c r="M4120" t="s">
        <v>4758</v>
      </c>
      <c r="N4120" t="s">
        <v>5009</v>
      </c>
      <c r="O4120">
        <v>4</v>
      </c>
    </row>
    <row r="4121" spans="2:15" x14ac:dyDescent="0.2">
      <c r="B4121" t="s">
        <v>1433</v>
      </c>
      <c r="C4121" t="s">
        <v>12906</v>
      </c>
      <c r="D4121" t="s">
        <v>617</v>
      </c>
      <c r="E4121" t="s">
        <v>11520</v>
      </c>
      <c r="F4121">
        <v>777.04</v>
      </c>
      <c r="H4121" t="s">
        <v>1554</v>
      </c>
      <c r="L4121" t="s">
        <v>4428</v>
      </c>
      <c r="M4121" t="s">
        <v>4759</v>
      </c>
      <c r="N4121" t="s">
        <v>5009</v>
      </c>
      <c r="O4121">
        <v>4</v>
      </c>
    </row>
    <row r="4122" spans="2:15" x14ac:dyDescent="0.2">
      <c r="B4122" t="s">
        <v>1433</v>
      </c>
      <c r="C4122" t="s">
        <v>12906</v>
      </c>
      <c r="D4122" t="s">
        <v>617</v>
      </c>
      <c r="E4122" t="s">
        <v>11521</v>
      </c>
      <c r="F4122">
        <v>159.97999999999999</v>
      </c>
      <c r="H4122" t="s">
        <v>1554</v>
      </c>
      <c r="L4122" t="s">
        <v>4428</v>
      </c>
      <c r="M4122" t="s">
        <v>1575</v>
      </c>
      <c r="N4122" t="s">
        <v>5009</v>
      </c>
      <c r="O4122">
        <v>4</v>
      </c>
    </row>
    <row r="4123" spans="2:15" x14ac:dyDescent="0.2">
      <c r="B4123" t="s">
        <v>1433</v>
      </c>
      <c r="C4123" t="s">
        <v>12906</v>
      </c>
      <c r="D4123" t="s">
        <v>617</v>
      </c>
      <c r="E4123" t="s">
        <v>11522</v>
      </c>
      <c r="F4123">
        <v>144</v>
      </c>
      <c r="H4123" t="s">
        <v>2302</v>
      </c>
      <c r="L4123" t="s">
        <v>4428</v>
      </c>
      <c r="M4123" t="s">
        <v>1900</v>
      </c>
      <c r="N4123" t="s">
        <v>4998</v>
      </c>
      <c r="O4123">
        <v>2</v>
      </c>
    </row>
    <row r="4124" spans="2:15" x14ac:dyDescent="0.2">
      <c r="B4124" t="s">
        <v>1433</v>
      </c>
      <c r="C4124" t="s">
        <v>12906</v>
      </c>
      <c r="D4124" t="s">
        <v>617</v>
      </c>
      <c r="E4124" t="s">
        <v>11523</v>
      </c>
      <c r="F4124">
        <v>724.5</v>
      </c>
      <c r="H4124" t="s">
        <v>1820</v>
      </c>
      <c r="L4124" t="s">
        <v>4428</v>
      </c>
      <c r="M4124" t="s">
        <v>5010</v>
      </c>
      <c r="N4124" t="s">
        <v>5011</v>
      </c>
      <c r="O4124">
        <v>5</v>
      </c>
    </row>
    <row r="4125" spans="2:15" x14ac:dyDescent="0.2">
      <c r="B4125" t="s">
        <v>1433</v>
      </c>
      <c r="C4125" t="s">
        <v>12906</v>
      </c>
      <c r="D4125" t="s">
        <v>617</v>
      </c>
      <c r="E4125" t="s">
        <v>11524</v>
      </c>
      <c r="F4125">
        <v>771</v>
      </c>
      <c r="H4125" t="s">
        <v>1585</v>
      </c>
      <c r="L4125" t="s">
        <v>4428</v>
      </c>
      <c r="M4125" t="s">
        <v>5012</v>
      </c>
      <c r="N4125" t="s">
        <v>5011</v>
      </c>
      <c r="O4125">
        <v>6</v>
      </c>
    </row>
    <row r="4126" spans="2:15" x14ac:dyDescent="0.2">
      <c r="B4126" t="s">
        <v>1433</v>
      </c>
      <c r="C4126" t="s">
        <v>12906</v>
      </c>
      <c r="D4126" t="s">
        <v>617</v>
      </c>
      <c r="E4126" t="s">
        <v>11525</v>
      </c>
      <c r="F4126">
        <v>745</v>
      </c>
      <c r="H4126" t="s">
        <v>1587</v>
      </c>
      <c r="L4126" t="s">
        <v>4428</v>
      </c>
      <c r="M4126" t="s">
        <v>1952</v>
      </c>
      <c r="N4126" t="s">
        <v>5013</v>
      </c>
      <c r="O4126">
        <v>2</v>
      </c>
    </row>
    <row r="4127" spans="2:15" x14ac:dyDescent="0.2">
      <c r="B4127" t="s">
        <v>1433</v>
      </c>
      <c r="C4127" t="s">
        <v>12906</v>
      </c>
      <c r="D4127" t="s">
        <v>617</v>
      </c>
      <c r="E4127" t="s">
        <v>11526</v>
      </c>
      <c r="F4127">
        <v>2087.5</v>
      </c>
      <c r="H4127" t="s">
        <v>1723</v>
      </c>
      <c r="L4127" t="s">
        <v>4428</v>
      </c>
      <c r="M4127" t="s">
        <v>1934</v>
      </c>
      <c r="N4127" t="s">
        <v>5013</v>
      </c>
      <c r="O4127">
        <v>6</v>
      </c>
    </row>
    <row r="4128" spans="2:15" x14ac:dyDescent="0.2">
      <c r="B4128" t="s">
        <v>1433</v>
      </c>
      <c r="C4128" t="s">
        <v>12906</v>
      </c>
      <c r="D4128" t="s">
        <v>617</v>
      </c>
      <c r="E4128" t="s">
        <v>11527</v>
      </c>
      <c r="F4128">
        <v>3459.5</v>
      </c>
      <c r="H4128" t="s">
        <v>1724</v>
      </c>
      <c r="L4128" t="s">
        <v>4428</v>
      </c>
      <c r="M4128" t="s">
        <v>5014</v>
      </c>
      <c r="N4128" t="s">
        <v>4974</v>
      </c>
      <c r="O4128">
        <v>1</v>
      </c>
    </row>
    <row r="4129" spans="2:15" x14ac:dyDescent="0.2">
      <c r="B4129" t="s">
        <v>1433</v>
      </c>
      <c r="C4129" t="s">
        <v>12906</v>
      </c>
      <c r="D4129" t="s">
        <v>617</v>
      </c>
      <c r="E4129" t="s">
        <v>11528</v>
      </c>
      <c r="F4129">
        <v>370.65</v>
      </c>
      <c r="H4129" t="s">
        <v>1588</v>
      </c>
      <c r="L4129" t="s">
        <v>4428</v>
      </c>
      <c r="M4129" t="s">
        <v>4533</v>
      </c>
      <c r="N4129" t="s">
        <v>5015</v>
      </c>
      <c r="O4129">
        <v>4</v>
      </c>
    </row>
    <row r="4130" spans="2:15" x14ac:dyDescent="0.2">
      <c r="B4130" t="s">
        <v>1433</v>
      </c>
      <c r="C4130" t="s">
        <v>12906</v>
      </c>
      <c r="D4130" t="s">
        <v>617</v>
      </c>
      <c r="E4130" t="s">
        <v>11529</v>
      </c>
      <c r="F4130">
        <v>1937.5</v>
      </c>
      <c r="H4130" t="s">
        <v>1891</v>
      </c>
      <c r="L4130" t="s">
        <v>4428</v>
      </c>
      <c r="M4130" t="s">
        <v>1313</v>
      </c>
      <c r="N4130" t="s">
        <v>5016</v>
      </c>
      <c r="O4130">
        <v>1</v>
      </c>
    </row>
    <row r="4131" spans="2:15" x14ac:dyDescent="0.2">
      <c r="B4131" t="s">
        <v>1433</v>
      </c>
      <c r="C4131" t="s">
        <v>12906</v>
      </c>
      <c r="D4131" t="s">
        <v>617</v>
      </c>
      <c r="E4131" t="s">
        <v>11530</v>
      </c>
      <c r="F4131">
        <v>1550</v>
      </c>
      <c r="H4131" t="s">
        <v>1891</v>
      </c>
      <c r="L4131" t="s">
        <v>4428</v>
      </c>
      <c r="M4131" t="s">
        <v>1311</v>
      </c>
      <c r="N4131" t="s">
        <v>5016</v>
      </c>
      <c r="O4131">
        <v>1</v>
      </c>
    </row>
    <row r="4132" spans="2:15" x14ac:dyDescent="0.2">
      <c r="B4132" t="s">
        <v>1433</v>
      </c>
      <c r="C4132" t="s">
        <v>12906</v>
      </c>
      <c r="D4132" t="s">
        <v>617</v>
      </c>
      <c r="E4132" t="s">
        <v>11531</v>
      </c>
      <c r="F4132">
        <v>3</v>
      </c>
      <c r="H4132" t="s">
        <v>1628</v>
      </c>
      <c r="L4132" t="s">
        <v>4428</v>
      </c>
      <c r="M4132" t="s">
        <v>1315</v>
      </c>
      <c r="N4132" t="s">
        <v>5016</v>
      </c>
      <c r="O4132">
        <v>1</v>
      </c>
    </row>
    <row r="4133" spans="2:15" x14ac:dyDescent="0.2">
      <c r="B4133" t="s">
        <v>1433</v>
      </c>
      <c r="C4133" t="s">
        <v>12906</v>
      </c>
      <c r="D4133" t="s">
        <v>613</v>
      </c>
      <c r="E4133" t="s">
        <v>11532</v>
      </c>
      <c r="F4133">
        <v>3.3</v>
      </c>
      <c r="H4133" t="s">
        <v>2513</v>
      </c>
    </row>
    <row r="4134" spans="2:15" x14ac:dyDescent="0.2">
      <c r="B4134" t="s">
        <v>1433</v>
      </c>
      <c r="C4134" t="s">
        <v>12906</v>
      </c>
      <c r="D4134" t="s">
        <v>613</v>
      </c>
      <c r="E4134" t="s">
        <v>11533</v>
      </c>
      <c r="F4134">
        <v>5</v>
      </c>
      <c r="H4134" t="s">
        <v>5131</v>
      </c>
    </row>
    <row r="4135" spans="2:15" x14ac:dyDescent="0.2">
      <c r="B4135" t="s">
        <v>1433</v>
      </c>
      <c r="C4135" t="s">
        <v>12906</v>
      </c>
      <c r="D4135" t="s">
        <v>613</v>
      </c>
      <c r="E4135" t="s">
        <v>11534</v>
      </c>
      <c r="F4135">
        <v>1.1000000000000001</v>
      </c>
      <c r="H4135" t="s">
        <v>2513</v>
      </c>
    </row>
    <row r="4136" spans="2:15" x14ac:dyDescent="0.2">
      <c r="B4136" t="s">
        <v>1433</v>
      </c>
      <c r="C4136" t="s">
        <v>12906</v>
      </c>
      <c r="D4136" t="s">
        <v>621</v>
      </c>
      <c r="E4136" t="s">
        <v>11535</v>
      </c>
      <c r="F4136">
        <v>26.1</v>
      </c>
      <c r="H4136" t="s">
        <v>6442</v>
      </c>
    </row>
    <row r="4137" spans="2:15" x14ac:dyDescent="0.2">
      <c r="B4137" t="s">
        <v>1433</v>
      </c>
      <c r="C4137" t="s">
        <v>12906</v>
      </c>
      <c r="D4137" t="s">
        <v>617</v>
      </c>
      <c r="E4137" t="s">
        <v>11536</v>
      </c>
      <c r="F4137">
        <v>45.36</v>
      </c>
      <c r="H4137" t="s">
        <v>1627</v>
      </c>
    </row>
    <row r="4138" spans="2:15" x14ac:dyDescent="0.2">
      <c r="B4138" t="s">
        <v>1433</v>
      </c>
      <c r="C4138" t="s">
        <v>12906</v>
      </c>
      <c r="D4138" t="s">
        <v>617</v>
      </c>
      <c r="E4138" t="s">
        <v>11537</v>
      </c>
      <c r="F4138">
        <v>1.4</v>
      </c>
      <c r="H4138" t="s">
        <v>1629</v>
      </c>
    </row>
    <row r="4139" spans="2:15" x14ac:dyDescent="0.2">
      <c r="B4139" t="s">
        <v>1433</v>
      </c>
      <c r="C4139" t="s">
        <v>12906</v>
      </c>
      <c r="D4139" t="s">
        <v>617</v>
      </c>
      <c r="E4139" t="s">
        <v>11538</v>
      </c>
      <c r="F4139">
        <v>45.36</v>
      </c>
      <c r="H4139" t="s">
        <v>1627</v>
      </c>
    </row>
    <row r="4140" spans="2:15" x14ac:dyDescent="0.2">
      <c r="B4140" t="s">
        <v>1433</v>
      </c>
      <c r="C4140" t="s">
        <v>12906</v>
      </c>
      <c r="D4140" t="s">
        <v>617</v>
      </c>
      <c r="E4140" t="s">
        <v>11539</v>
      </c>
      <c r="F4140">
        <v>1.95</v>
      </c>
      <c r="H4140" t="s">
        <v>7619</v>
      </c>
    </row>
    <row r="4141" spans="2:15" x14ac:dyDescent="0.2">
      <c r="B4141" t="s">
        <v>1433</v>
      </c>
      <c r="C4141" t="s">
        <v>12906</v>
      </c>
      <c r="D4141" t="s">
        <v>613</v>
      </c>
      <c r="E4141" t="s">
        <v>11540</v>
      </c>
      <c r="F4141">
        <v>8.4</v>
      </c>
      <c r="H4141" t="s">
        <v>7911</v>
      </c>
    </row>
    <row r="4142" spans="2:15" x14ac:dyDescent="0.2">
      <c r="B4142" t="s">
        <v>1433</v>
      </c>
      <c r="C4142" t="s">
        <v>12906</v>
      </c>
      <c r="D4142" t="s">
        <v>84</v>
      </c>
      <c r="E4142" t="s">
        <v>11541</v>
      </c>
      <c r="F4142">
        <v>7.89</v>
      </c>
      <c r="H4142" t="s">
        <v>8002</v>
      </c>
    </row>
    <row r="4143" spans="2:15" x14ac:dyDescent="0.2">
      <c r="B4143" t="s">
        <v>1433</v>
      </c>
      <c r="C4143" t="s">
        <v>12906</v>
      </c>
      <c r="D4143" t="s">
        <v>617</v>
      </c>
      <c r="E4143" t="s">
        <v>11542</v>
      </c>
      <c r="F4143">
        <v>30.5</v>
      </c>
      <c r="H4143" t="s">
        <v>1613</v>
      </c>
    </row>
    <row r="4144" spans="2:15" x14ac:dyDescent="0.2">
      <c r="B4144" t="s">
        <v>1433</v>
      </c>
      <c r="C4144" t="s">
        <v>12906</v>
      </c>
      <c r="D4144" t="s">
        <v>617</v>
      </c>
      <c r="E4144" t="s">
        <v>11543</v>
      </c>
      <c r="F4144">
        <v>26.9</v>
      </c>
      <c r="H4144" t="s">
        <v>1710</v>
      </c>
    </row>
    <row r="4145" spans="2:8" x14ac:dyDescent="0.2">
      <c r="B4145" t="s">
        <v>1433</v>
      </c>
      <c r="C4145" t="s">
        <v>12906</v>
      </c>
      <c r="D4145" t="s">
        <v>617</v>
      </c>
      <c r="E4145" t="s">
        <v>11544</v>
      </c>
      <c r="F4145">
        <v>7.07</v>
      </c>
      <c r="H4145" t="s">
        <v>6492</v>
      </c>
    </row>
    <row r="4146" spans="2:8" x14ac:dyDescent="0.2">
      <c r="B4146" t="s">
        <v>1433</v>
      </c>
      <c r="C4146" t="s">
        <v>12906</v>
      </c>
      <c r="D4146" t="s">
        <v>613</v>
      </c>
      <c r="E4146" t="s">
        <v>11545</v>
      </c>
      <c r="F4146">
        <v>0.04</v>
      </c>
      <c r="H4146" t="s">
        <v>6694</v>
      </c>
    </row>
    <row r="4147" spans="2:8" x14ac:dyDescent="0.2">
      <c r="B4147" t="s">
        <v>1433</v>
      </c>
      <c r="C4147" t="s">
        <v>12906</v>
      </c>
      <c r="D4147" t="s">
        <v>613</v>
      </c>
      <c r="E4147" t="s">
        <v>11546</v>
      </c>
      <c r="F4147">
        <v>1.26</v>
      </c>
      <c r="H4147" t="s">
        <v>6692</v>
      </c>
    </row>
    <row r="4148" spans="2:8" x14ac:dyDescent="0.2">
      <c r="B4148" t="s">
        <v>1433</v>
      </c>
      <c r="C4148" t="s">
        <v>12906</v>
      </c>
      <c r="D4148" t="s">
        <v>84</v>
      </c>
      <c r="E4148" t="s">
        <v>11547</v>
      </c>
      <c r="F4148">
        <v>3.2</v>
      </c>
      <c r="H4148" t="s">
        <v>7180</v>
      </c>
    </row>
    <row r="4149" spans="2:8" x14ac:dyDescent="0.2">
      <c r="B4149" t="s">
        <v>1433</v>
      </c>
      <c r="C4149" t="s">
        <v>12906</v>
      </c>
      <c r="D4149" t="s">
        <v>621</v>
      </c>
      <c r="E4149" t="s">
        <v>11548</v>
      </c>
      <c r="F4149">
        <v>8.0399999999999991</v>
      </c>
      <c r="H4149" t="s">
        <v>6485</v>
      </c>
    </row>
    <row r="4150" spans="2:8" x14ac:dyDescent="0.2">
      <c r="B4150" t="s">
        <v>1433</v>
      </c>
      <c r="C4150" t="s">
        <v>12906</v>
      </c>
      <c r="D4150" t="s">
        <v>613</v>
      </c>
      <c r="E4150" t="s">
        <v>11549</v>
      </c>
      <c r="F4150">
        <v>1.6</v>
      </c>
      <c r="H4150" t="s">
        <v>7991</v>
      </c>
    </row>
    <row r="4151" spans="2:8" x14ac:dyDescent="0.2">
      <c r="B4151" t="s">
        <v>1433</v>
      </c>
      <c r="C4151" t="s">
        <v>12906</v>
      </c>
      <c r="D4151" t="s">
        <v>613</v>
      </c>
      <c r="E4151" t="s">
        <v>11550</v>
      </c>
      <c r="F4151">
        <v>0.55000000000000004</v>
      </c>
      <c r="H4151" t="s">
        <v>7251</v>
      </c>
    </row>
    <row r="4152" spans="2:8" x14ac:dyDescent="0.2">
      <c r="B4152" t="s">
        <v>1433</v>
      </c>
      <c r="C4152" t="s">
        <v>12906</v>
      </c>
      <c r="D4152" t="s">
        <v>617</v>
      </c>
      <c r="E4152" t="s">
        <v>11551</v>
      </c>
      <c r="F4152">
        <v>28.05</v>
      </c>
      <c r="H4152" t="s">
        <v>6489</v>
      </c>
    </row>
    <row r="4153" spans="2:8" x14ac:dyDescent="0.2">
      <c r="B4153" t="s">
        <v>1433</v>
      </c>
      <c r="C4153" t="s">
        <v>12906</v>
      </c>
      <c r="D4153" t="s">
        <v>617</v>
      </c>
      <c r="E4153" t="s">
        <v>11552</v>
      </c>
      <c r="F4153">
        <v>7</v>
      </c>
      <c r="H4153" t="s">
        <v>1629</v>
      </c>
    </row>
    <row r="4154" spans="2:8" x14ac:dyDescent="0.2">
      <c r="B4154" t="s">
        <v>1433</v>
      </c>
      <c r="C4154" t="s">
        <v>12906</v>
      </c>
      <c r="D4154" t="s">
        <v>617</v>
      </c>
      <c r="E4154" t="s">
        <v>11553</v>
      </c>
      <c r="F4154">
        <v>10.68</v>
      </c>
      <c r="H4154" t="s">
        <v>2304</v>
      </c>
    </row>
    <row r="4155" spans="2:8" x14ac:dyDescent="0.2">
      <c r="B4155" t="s">
        <v>1433</v>
      </c>
      <c r="C4155" t="s">
        <v>12906</v>
      </c>
      <c r="D4155" t="s">
        <v>617</v>
      </c>
      <c r="E4155" t="s">
        <v>11554</v>
      </c>
      <c r="F4155">
        <v>3.3</v>
      </c>
      <c r="H4155" t="s">
        <v>5897</v>
      </c>
    </row>
    <row r="4156" spans="2:8" x14ac:dyDescent="0.2">
      <c r="B4156" t="s">
        <v>1433</v>
      </c>
      <c r="C4156" t="s">
        <v>12906</v>
      </c>
      <c r="D4156" t="s">
        <v>617</v>
      </c>
      <c r="E4156" t="s">
        <v>11555</v>
      </c>
      <c r="F4156">
        <v>136.08000000000001</v>
      </c>
      <c r="H4156" t="s">
        <v>1627</v>
      </c>
    </row>
    <row r="4157" spans="2:8" x14ac:dyDescent="0.2">
      <c r="B4157" t="s">
        <v>1433</v>
      </c>
      <c r="C4157" t="s">
        <v>12906</v>
      </c>
      <c r="D4157" t="s">
        <v>84</v>
      </c>
      <c r="E4157" t="s">
        <v>11556</v>
      </c>
      <c r="F4157">
        <v>5.25</v>
      </c>
      <c r="H4157" t="s">
        <v>6484</v>
      </c>
    </row>
    <row r="4158" spans="2:8" x14ac:dyDescent="0.2">
      <c r="B4158" t="s">
        <v>1433</v>
      </c>
      <c r="C4158" t="s">
        <v>12906</v>
      </c>
      <c r="D4158" t="s">
        <v>621</v>
      </c>
      <c r="E4158" t="s">
        <v>11557</v>
      </c>
      <c r="F4158">
        <v>0.96</v>
      </c>
      <c r="H4158" t="s">
        <v>11558</v>
      </c>
    </row>
    <row r="4159" spans="2:8" x14ac:dyDescent="0.2">
      <c r="B4159" t="s">
        <v>1433</v>
      </c>
      <c r="C4159" t="s">
        <v>12906</v>
      </c>
      <c r="D4159" t="s">
        <v>613</v>
      </c>
      <c r="E4159" t="s">
        <v>11559</v>
      </c>
      <c r="F4159">
        <v>0.33</v>
      </c>
      <c r="H4159" t="s">
        <v>11560</v>
      </c>
    </row>
    <row r="4160" spans="2:8" x14ac:dyDescent="0.2">
      <c r="B4160" t="s">
        <v>1433</v>
      </c>
      <c r="C4160" t="s">
        <v>12906</v>
      </c>
      <c r="D4160" t="s">
        <v>613</v>
      </c>
      <c r="E4160" t="s">
        <v>11561</v>
      </c>
      <c r="F4160">
        <v>4.8</v>
      </c>
      <c r="H4160" t="s">
        <v>7991</v>
      </c>
    </row>
    <row r="4161" spans="2:8" x14ac:dyDescent="0.2">
      <c r="B4161" t="s">
        <v>1433</v>
      </c>
      <c r="C4161" t="s">
        <v>12906</v>
      </c>
      <c r="D4161" t="s">
        <v>554</v>
      </c>
      <c r="E4161" t="s">
        <v>11562</v>
      </c>
      <c r="F4161">
        <v>7.47</v>
      </c>
      <c r="H4161" t="s">
        <v>6377</v>
      </c>
    </row>
    <row r="4162" spans="2:8" x14ac:dyDescent="0.2">
      <c r="B4162" t="s">
        <v>1433</v>
      </c>
      <c r="C4162" t="s">
        <v>12906</v>
      </c>
      <c r="D4162" t="s">
        <v>617</v>
      </c>
      <c r="E4162" t="s">
        <v>11563</v>
      </c>
      <c r="F4162">
        <v>11.22</v>
      </c>
      <c r="H4162" t="s">
        <v>11564</v>
      </c>
    </row>
    <row r="4163" spans="2:8" x14ac:dyDescent="0.2">
      <c r="B4163" t="s">
        <v>1433</v>
      </c>
      <c r="C4163" t="s">
        <v>12906</v>
      </c>
      <c r="D4163" t="s">
        <v>617</v>
      </c>
      <c r="E4163" t="s">
        <v>11565</v>
      </c>
      <c r="F4163">
        <v>7.2</v>
      </c>
      <c r="H4163" t="s">
        <v>7913</v>
      </c>
    </row>
    <row r="4164" spans="2:8" x14ac:dyDescent="0.2">
      <c r="B4164" t="s">
        <v>1433</v>
      </c>
      <c r="C4164" t="s">
        <v>12906</v>
      </c>
      <c r="D4164" t="s">
        <v>617</v>
      </c>
      <c r="E4164" t="s">
        <v>11566</v>
      </c>
      <c r="F4164">
        <v>3.96</v>
      </c>
      <c r="H4164" t="s">
        <v>5897</v>
      </c>
    </row>
    <row r="4165" spans="2:8" x14ac:dyDescent="0.2">
      <c r="B4165" t="s">
        <v>1433</v>
      </c>
      <c r="C4165" t="s">
        <v>12906</v>
      </c>
      <c r="D4165" t="s">
        <v>613</v>
      </c>
      <c r="E4165" t="s">
        <v>11567</v>
      </c>
      <c r="F4165">
        <v>16.34</v>
      </c>
      <c r="H4165" t="s">
        <v>7588</v>
      </c>
    </row>
    <row r="4166" spans="2:8" x14ac:dyDescent="0.2">
      <c r="B4166" t="s">
        <v>1433</v>
      </c>
      <c r="C4166" t="s">
        <v>12906</v>
      </c>
      <c r="D4166" t="s">
        <v>617</v>
      </c>
      <c r="E4166" t="s">
        <v>11568</v>
      </c>
      <c r="F4166">
        <v>6</v>
      </c>
      <c r="H4166" t="s">
        <v>1630</v>
      </c>
    </row>
    <row r="4167" spans="2:8" x14ac:dyDescent="0.2">
      <c r="B4167" t="s">
        <v>1433</v>
      </c>
      <c r="C4167" t="s">
        <v>12906</v>
      </c>
      <c r="D4167" t="s">
        <v>617</v>
      </c>
      <c r="E4167" t="s">
        <v>11569</v>
      </c>
      <c r="F4167">
        <v>10</v>
      </c>
      <c r="H4167" t="s">
        <v>1628</v>
      </c>
    </row>
    <row r="4168" spans="2:8" x14ac:dyDescent="0.2">
      <c r="B4168" t="s">
        <v>1433</v>
      </c>
      <c r="C4168" t="s">
        <v>12906</v>
      </c>
      <c r="D4168" t="s">
        <v>554</v>
      </c>
      <c r="E4168" t="s">
        <v>11570</v>
      </c>
      <c r="F4168">
        <v>49.8</v>
      </c>
      <c r="H4168" t="s">
        <v>6377</v>
      </c>
    </row>
    <row r="4169" spans="2:8" x14ac:dyDescent="0.2">
      <c r="B4169" t="s">
        <v>1433</v>
      </c>
      <c r="C4169" t="s">
        <v>12906</v>
      </c>
      <c r="D4169" t="s">
        <v>617</v>
      </c>
      <c r="E4169" t="s">
        <v>11571</v>
      </c>
      <c r="F4169">
        <v>42.5</v>
      </c>
      <c r="H4169" t="s">
        <v>1615</v>
      </c>
    </row>
    <row r="4170" spans="2:8" x14ac:dyDescent="0.2">
      <c r="B4170" t="s">
        <v>1433</v>
      </c>
      <c r="C4170" t="s">
        <v>12906</v>
      </c>
      <c r="D4170" t="s">
        <v>613</v>
      </c>
      <c r="E4170" t="s">
        <v>11572</v>
      </c>
      <c r="F4170">
        <v>2.1</v>
      </c>
      <c r="H4170" t="s">
        <v>9305</v>
      </c>
    </row>
    <row r="4171" spans="2:8" x14ac:dyDescent="0.2">
      <c r="B4171" t="s">
        <v>1433</v>
      </c>
      <c r="C4171" t="s">
        <v>12906</v>
      </c>
      <c r="D4171" t="s">
        <v>617</v>
      </c>
      <c r="E4171" t="s">
        <v>11573</v>
      </c>
      <c r="F4171">
        <v>22.66</v>
      </c>
      <c r="H4171" t="s">
        <v>5251</v>
      </c>
    </row>
    <row r="4172" spans="2:8" x14ac:dyDescent="0.2">
      <c r="B4172" t="s">
        <v>1433</v>
      </c>
      <c r="C4172" t="s">
        <v>12906</v>
      </c>
      <c r="D4172" t="s">
        <v>613</v>
      </c>
      <c r="E4172" t="s">
        <v>11574</v>
      </c>
      <c r="F4172">
        <v>1.4</v>
      </c>
      <c r="H4172" t="s">
        <v>8114</v>
      </c>
    </row>
    <row r="4173" spans="2:8" x14ac:dyDescent="0.2">
      <c r="B4173" t="s">
        <v>1433</v>
      </c>
      <c r="C4173" t="s">
        <v>12906</v>
      </c>
      <c r="D4173" t="s">
        <v>617</v>
      </c>
      <c r="E4173" t="s">
        <v>11575</v>
      </c>
      <c r="F4173">
        <v>7</v>
      </c>
      <c r="H4173" t="s">
        <v>1629</v>
      </c>
    </row>
    <row r="4174" spans="2:8" x14ac:dyDescent="0.2">
      <c r="B4174" t="s">
        <v>1433</v>
      </c>
      <c r="C4174" t="s">
        <v>12906</v>
      </c>
      <c r="D4174" t="s">
        <v>613</v>
      </c>
      <c r="E4174" t="s">
        <v>11576</v>
      </c>
      <c r="F4174">
        <v>18.670000000000002</v>
      </c>
      <c r="H4174" t="s">
        <v>5242</v>
      </c>
    </row>
    <row r="4175" spans="2:8" x14ac:dyDescent="0.2">
      <c r="B4175" t="s">
        <v>1433</v>
      </c>
      <c r="C4175" t="s">
        <v>12906</v>
      </c>
      <c r="D4175" t="s">
        <v>613</v>
      </c>
      <c r="E4175" t="s">
        <v>11577</v>
      </c>
      <c r="F4175">
        <v>3</v>
      </c>
      <c r="H4175" t="s">
        <v>2512</v>
      </c>
    </row>
    <row r="4176" spans="2:8" x14ac:dyDescent="0.2">
      <c r="B4176" t="s">
        <v>1433</v>
      </c>
      <c r="C4176" t="s">
        <v>12906</v>
      </c>
      <c r="D4176" t="s">
        <v>621</v>
      </c>
      <c r="E4176" t="s">
        <v>11578</v>
      </c>
      <c r="F4176">
        <v>48.3</v>
      </c>
      <c r="H4176" t="s">
        <v>11579</v>
      </c>
    </row>
    <row r="4177" spans="2:8" x14ac:dyDescent="0.2">
      <c r="B4177" t="s">
        <v>1433</v>
      </c>
      <c r="C4177" t="s">
        <v>12906</v>
      </c>
      <c r="D4177" t="s">
        <v>621</v>
      </c>
      <c r="E4177" t="s">
        <v>11580</v>
      </c>
      <c r="F4177">
        <v>12</v>
      </c>
      <c r="H4177" t="s">
        <v>11558</v>
      </c>
    </row>
    <row r="4178" spans="2:8" x14ac:dyDescent="0.2">
      <c r="B4178" t="s">
        <v>1433</v>
      </c>
      <c r="C4178" t="s">
        <v>12906</v>
      </c>
      <c r="D4178" t="s">
        <v>84</v>
      </c>
      <c r="E4178" t="s">
        <v>11581</v>
      </c>
      <c r="F4178">
        <v>9</v>
      </c>
      <c r="H4178" t="s">
        <v>11582</v>
      </c>
    </row>
    <row r="4179" spans="2:8" x14ac:dyDescent="0.2">
      <c r="B4179" t="s">
        <v>1433</v>
      </c>
      <c r="C4179" t="s">
        <v>12906</v>
      </c>
      <c r="D4179" t="s">
        <v>617</v>
      </c>
      <c r="E4179" t="s">
        <v>11583</v>
      </c>
      <c r="F4179">
        <v>27.88</v>
      </c>
      <c r="H4179" t="s">
        <v>1626</v>
      </c>
    </row>
    <row r="4180" spans="2:8" x14ac:dyDescent="0.2">
      <c r="B4180" t="s">
        <v>1433</v>
      </c>
      <c r="C4180" t="s">
        <v>12906</v>
      </c>
      <c r="D4180" t="s">
        <v>617</v>
      </c>
      <c r="E4180" t="s">
        <v>11584</v>
      </c>
      <c r="F4180">
        <v>15.84</v>
      </c>
      <c r="H4180" t="s">
        <v>1624</v>
      </c>
    </row>
    <row r="4181" spans="2:8" x14ac:dyDescent="0.2">
      <c r="B4181" t="s">
        <v>1433</v>
      </c>
      <c r="C4181" t="s">
        <v>12906</v>
      </c>
      <c r="D4181" t="s">
        <v>617</v>
      </c>
      <c r="E4181" t="s">
        <v>11585</v>
      </c>
      <c r="F4181">
        <v>3</v>
      </c>
      <c r="H4181" t="s">
        <v>1630</v>
      </c>
    </row>
    <row r="4182" spans="2:8" x14ac:dyDescent="0.2">
      <c r="B4182" t="s">
        <v>1433</v>
      </c>
      <c r="C4182" t="s">
        <v>12906</v>
      </c>
      <c r="D4182" t="s">
        <v>617</v>
      </c>
      <c r="E4182" t="s">
        <v>11586</v>
      </c>
      <c r="F4182">
        <v>68</v>
      </c>
      <c r="H4182" t="s">
        <v>8711</v>
      </c>
    </row>
    <row r="4183" spans="2:8" x14ac:dyDescent="0.2">
      <c r="B4183" t="s">
        <v>1433</v>
      </c>
      <c r="C4183" t="s">
        <v>12906</v>
      </c>
      <c r="D4183" t="s">
        <v>617</v>
      </c>
      <c r="E4183" t="s">
        <v>11587</v>
      </c>
      <c r="F4183">
        <v>28.5</v>
      </c>
      <c r="H4183" t="s">
        <v>9904</v>
      </c>
    </row>
    <row r="4184" spans="2:8" x14ac:dyDescent="0.2">
      <c r="B4184" t="s">
        <v>1433</v>
      </c>
      <c r="C4184" t="s">
        <v>12906</v>
      </c>
      <c r="D4184" t="s">
        <v>613</v>
      </c>
      <c r="E4184" t="s">
        <v>11588</v>
      </c>
      <c r="F4184">
        <v>2.4</v>
      </c>
      <c r="H4184" t="s">
        <v>7823</v>
      </c>
    </row>
    <row r="4185" spans="2:8" x14ac:dyDescent="0.2">
      <c r="B4185" t="s">
        <v>1433</v>
      </c>
      <c r="C4185" t="s">
        <v>12906</v>
      </c>
      <c r="D4185" t="s">
        <v>617</v>
      </c>
      <c r="E4185" t="s">
        <v>11589</v>
      </c>
      <c r="F4185">
        <v>11.22</v>
      </c>
      <c r="H4185" t="s">
        <v>6489</v>
      </c>
    </row>
    <row r="4186" spans="2:8" x14ac:dyDescent="0.2">
      <c r="B4186" t="s">
        <v>1433</v>
      </c>
      <c r="C4186" t="s">
        <v>12906</v>
      </c>
      <c r="D4186" t="s">
        <v>617</v>
      </c>
      <c r="E4186" t="s">
        <v>11590</v>
      </c>
      <c r="F4186">
        <v>2.2799999999999998</v>
      </c>
      <c r="H4186" t="s">
        <v>8269</v>
      </c>
    </row>
    <row r="4187" spans="2:8" x14ac:dyDescent="0.2">
      <c r="B4187" t="s">
        <v>1433</v>
      </c>
      <c r="C4187" t="s">
        <v>12906</v>
      </c>
      <c r="D4187" t="s">
        <v>52</v>
      </c>
      <c r="E4187" t="s">
        <v>11591</v>
      </c>
      <c r="F4187">
        <v>20</v>
      </c>
      <c r="H4187" t="s">
        <v>6427</v>
      </c>
    </row>
    <row r="4188" spans="2:8" x14ac:dyDescent="0.2">
      <c r="B4188" t="s">
        <v>1433</v>
      </c>
      <c r="C4188" t="s">
        <v>12906</v>
      </c>
      <c r="D4188" t="s">
        <v>613</v>
      </c>
      <c r="E4188" t="s">
        <v>11592</v>
      </c>
      <c r="F4188">
        <v>15.4</v>
      </c>
      <c r="H4188" t="s">
        <v>6425</v>
      </c>
    </row>
    <row r="4189" spans="2:8" x14ac:dyDescent="0.2">
      <c r="B4189" t="s">
        <v>1433</v>
      </c>
      <c r="C4189" t="s">
        <v>12906</v>
      </c>
      <c r="D4189" t="s">
        <v>84</v>
      </c>
      <c r="E4189" t="s">
        <v>11593</v>
      </c>
      <c r="F4189">
        <v>5.25</v>
      </c>
      <c r="H4189" t="s">
        <v>6484</v>
      </c>
    </row>
    <row r="4190" spans="2:8" x14ac:dyDescent="0.2">
      <c r="B4190" t="s">
        <v>1433</v>
      </c>
      <c r="C4190" t="s">
        <v>12906</v>
      </c>
      <c r="D4190" t="s">
        <v>617</v>
      </c>
      <c r="E4190" t="s">
        <v>11594</v>
      </c>
      <c r="F4190">
        <v>55.76</v>
      </c>
      <c r="H4190" t="s">
        <v>1626</v>
      </c>
    </row>
    <row r="4191" spans="2:8" x14ac:dyDescent="0.2">
      <c r="B4191" t="s">
        <v>1433</v>
      </c>
      <c r="C4191" t="s">
        <v>12906</v>
      </c>
      <c r="D4191" t="s">
        <v>617</v>
      </c>
      <c r="E4191" t="s">
        <v>11595</v>
      </c>
      <c r="F4191">
        <v>6</v>
      </c>
      <c r="H4191" t="s">
        <v>1630</v>
      </c>
    </row>
    <row r="4192" spans="2:8" x14ac:dyDescent="0.2">
      <c r="B4192" t="s">
        <v>1433</v>
      </c>
      <c r="C4192" t="s">
        <v>12906</v>
      </c>
      <c r="D4192" t="s">
        <v>84</v>
      </c>
      <c r="E4192" t="s">
        <v>11596</v>
      </c>
      <c r="F4192">
        <v>18</v>
      </c>
      <c r="H4192" t="s">
        <v>11582</v>
      </c>
    </row>
    <row r="4193" spans="2:8" x14ac:dyDescent="0.2">
      <c r="B4193" t="s">
        <v>1433</v>
      </c>
      <c r="C4193" t="s">
        <v>12906</v>
      </c>
      <c r="D4193" t="s">
        <v>84</v>
      </c>
      <c r="E4193" t="s">
        <v>11597</v>
      </c>
      <c r="F4193">
        <v>15.79</v>
      </c>
      <c r="H4193" t="s">
        <v>8002</v>
      </c>
    </row>
    <row r="4194" spans="2:8" x14ac:dyDescent="0.2">
      <c r="B4194" t="s">
        <v>1433</v>
      </c>
      <c r="C4194" t="s">
        <v>12906</v>
      </c>
      <c r="D4194" t="s">
        <v>617</v>
      </c>
      <c r="E4194" t="s">
        <v>11598</v>
      </c>
      <c r="F4194">
        <v>20.76</v>
      </c>
      <c r="H4194" t="s">
        <v>1603</v>
      </c>
    </row>
    <row r="4195" spans="2:8" x14ac:dyDescent="0.2">
      <c r="B4195" t="s">
        <v>1433</v>
      </c>
      <c r="C4195" t="s">
        <v>12906</v>
      </c>
      <c r="D4195" t="s">
        <v>617</v>
      </c>
      <c r="E4195" t="s">
        <v>11599</v>
      </c>
      <c r="F4195">
        <v>29.44</v>
      </c>
      <c r="H4195" t="s">
        <v>1605</v>
      </c>
    </row>
    <row r="4196" spans="2:8" x14ac:dyDescent="0.2">
      <c r="B4196" t="s">
        <v>1433</v>
      </c>
      <c r="C4196" t="s">
        <v>12906</v>
      </c>
      <c r="D4196" t="s">
        <v>617</v>
      </c>
      <c r="E4196" t="s">
        <v>11600</v>
      </c>
      <c r="F4196">
        <v>35.299999999999997</v>
      </c>
      <c r="H4196" t="s">
        <v>1606</v>
      </c>
    </row>
    <row r="4197" spans="2:8" x14ac:dyDescent="0.2">
      <c r="B4197" t="s">
        <v>1433</v>
      </c>
      <c r="C4197" t="s">
        <v>12906</v>
      </c>
      <c r="D4197" t="s">
        <v>617</v>
      </c>
      <c r="E4197" t="s">
        <v>11601</v>
      </c>
      <c r="F4197">
        <v>5.61</v>
      </c>
      <c r="H4197" t="s">
        <v>11564</v>
      </c>
    </row>
    <row r="4198" spans="2:8" x14ac:dyDescent="0.2">
      <c r="B4198" t="s">
        <v>1433</v>
      </c>
      <c r="C4198" t="s">
        <v>12906</v>
      </c>
      <c r="D4198" t="s">
        <v>617</v>
      </c>
      <c r="E4198" t="s">
        <v>11602</v>
      </c>
      <c r="F4198">
        <v>4.28</v>
      </c>
      <c r="H4198" t="s">
        <v>9749</v>
      </c>
    </row>
    <row r="4199" spans="2:8" x14ac:dyDescent="0.2">
      <c r="B4199" t="s">
        <v>1433</v>
      </c>
      <c r="C4199" t="s">
        <v>12906</v>
      </c>
      <c r="D4199" t="s">
        <v>613</v>
      </c>
      <c r="E4199" t="s">
        <v>11603</v>
      </c>
      <c r="F4199">
        <v>12.76</v>
      </c>
      <c r="H4199" t="s">
        <v>6713</v>
      </c>
    </row>
    <row r="4200" spans="2:8" x14ac:dyDescent="0.2">
      <c r="B4200" t="s">
        <v>1433</v>
      </c>
      <c r="C4200" t="s">
        <v>12906</v>
      </c>
      <c r="D4200" t="s">
        <v>613</v>
      </c>
      <c r="E4200" t="s">
        <v>11604</v>
      </c>
      <c r="F4200">
        <v>12</v>
      </c>
      <c r="H4200" t="s">
        <v>7578</v>
      </c>
    </row>
    <row r="4201" spans="2:8" x14ac:dyDescent="0.2">
      <c r="B4201" t="s">
        <v>1433</v>
      </c>
      <c r="C4201" t="s">
        <v>12906</v>
      </c>
      <c r="D4201" t="s">
        <v>613</v>
      </c>
      <c r="E4201" t="s">
        <v>11605</v>
      </c>
      <c r="F4201">
        <v>2.5</v>
      </c>
      <c r="H4201" t="s">
        <v>9987</v>
      </c>
    </row>
    <row r="4202" spans="2:8" x14ac:dyDescent="0.2">
      <c r="B4202" t="s">
        <v>1433</v>
      </c>
      <c r="C4202" t="s">
        <v>12906</v>
      </c>
      <c r="D4202" t="s">
        <v>613</v>
      </c>
      <c r="E4202" t="s">
        <v>11606</v>
      </c>
      <c r="F4202">
        <v>6.5</v>
      </c>
      <c r="H4202" t="s">
        <v>5114</v>
      </c>
    </row>
    <row r="4203" spans="2:8" x14ac:dyDescent="0.2">
      <c r="B4203" t="s">
        <v>1433</v>
      </c>
      <c r="C4203" t="s">
        <v>12906</v>
      </c>
      <c r="D4203" t="s">
        <v>617</v>
      </c>
      <c r="E4203" t="s">
        <v>11607</v>
      </c>
      <c r="F4203">
        <v>6.3</v>
      </c>
      <c r="H4203" t="s">
        <v>1629</v>
      </c>
    </row>
    <row r="4204" spans="2:8" x14ac:dyDescent="0.2">
      <c r="B4204" t="s">
        <v>1433</v>
      </c>
      <c r="C4204" t="s">
        <v>12906</v>
      </c>
      <c r="D4204" t="s">
        <v>613</v>
      </c>
      <c r="E4204" t="s">
        <v>11608</v>
      </c>
      <c r="F4204">
        <v>1.1000000000000001</v>
      </c>
      <c r="H4204" t="s">
        <v>2513</v>
      </c>
    </row>
    <row r="4205" spans="2:8" x14ac:dyDescent="0.2">
      <c r="B4205" t="s">
        <v>1433</v>
      </c>
      <c r="C4205" t="s">
        <v>12906</v>
      </c>
      <c r="D4205" t="s">
        <v>613</v>
      </c>
      <c r="E4205" t="s">
        <v>11609</v>
      </c>
      <c r="F4205">
        <v>1.1000000000000001</v>
      </c>
      <c r="H4205" t="s">
        <v>7251</v>
      </c>
    </row>
    <row r="4206" spans="2:8" x14ac:dyDescent="0.2">
      <c r="B4206" t="s">
        <v>1433</v>
      </c>
      <c r="C4206" t="s">
        <v>12906</v>
      </c>
      <c r="D4206" t="s">
        <v>84</v>
      </c>
      <c r="E4206" t="s">
        <v>11610</v>
      </c>
      <c r="F4206">
        <v>7.88</v>
      </c>
      <c r="H4206" t="s">
        <v>6484</v>
      </c>
    </row>
    <row r="4207" spans="2:8" x14ac:dyDescent="0.2">
      <c r="B4207" t="s">
        <v>1433</v>
      </c>
      <c r="C4207" t="s">
        <v>12906</v>
      </c>
      <c r="D4207" t="s">
        <v>613</v>
      </c>
      <c r="E4207" t="s">
        <v>11611</v>
      </c>
      <c r="F4207">
        <v>0.76</v>
      </c>
      <c r="H4207" t="s">
        <v>11612</v>
      </c>
    </row>
    <row r="4208" spans="2:8" x14ac:dyDescent="0.2">
      <c r="B4208" t="s">
        <v>1433</v>
      </c>
      <c r="C4208" t="s">
        <v>12906</v>
      </c>
      <c r="D4208" t="s">
        <v>613</v>
      </c>
      <c r="E4208" t="s">
        <v>11613</v>
      </c>
      <c r="F4208">
        <v>0.23</v>
      </c>
      <c r="H4208" t="s">
        <v>11614</v>
      </c>
    </row>
    <row r="4209" spans="2:8" x14ac:dyDescent="0.2">
      <c r="B4209" t="s">
        <v>1433</v>
      </c>
      <c r="C4209" t="s">
        <v>12906</v>
      </c>
      <c r="D4209" t="s">
        <v>617</v>
      </c>
      <c r="E4209" t="s">
        <v>11615</v>
      </c>
      <c r="F4209">
        <v>8.41</v>
      </c>
      <c r="H4209" t="s">
        <v>11564</v>
      </c>
    </row>
    <row r="4210" spans="2:8" x14ac:dyDescent="0.2">
      <c r="B4210" t="s">
        <v>1433</v>
      </c>
      <c r="C4210" t="s">
        <v>12906</v>
      </c>
      <c r="D4210" t="s">
        <v>617</v>
      </c>
      <c r="E4210" t="s">
        <v>11616</v>
      </c>
      <c r="F4210">
        <v>4.28</v>
      </c>
      <c r="H4210" t="s">
        <v>9749</v>
      </c>
    </row>
    <row r="4211" spans="2:8" x14ac:dyDescent="0.2">
      <c r="B4211" t="s">
        <v>1433</v>
      </c>
      <c r="C4211" t="s">
        <v>12906</v>
      </c>
      <c r="D4211" t="s">
        <v>613</v>
      </c>
      <c r="E4211" t="s">
        <v>11617</v>
      </c>
      <c r="F4211">
        <v>6</v>
      </c>
      <c r="H4211" t="s">
        <v>9607</v>
      </c>
    </row>
    <row r="4212" spans="2:8" x14ac:dyDescent="0.2">
      <c r="B4212" t="s">
        <v>1433</v>
      </c>
      <c r="C4212" t="s">
        <v>12906</v>
      </c>
      <c r="D4212" t="s">
        <v>613</v>
      </c>
      <c r="E4212" t="s">
        <v>11618</v>
      </c>
      <c r="F4212">
        <v>18.670000000000002</v>
      </c>
      <c r="H4212" t="s">
        <v>5242</v>
      </c>
    </row>
    <row r="4213" spans="2:8" x14ac:dyDescent="0.2">
      <c r="B4213" t="s">
        <v>1433</v>
      </c>
      <c r="C4213" t="s">
        <v>12906</v>
      </c>
      <c r="D4213" t="s">
        <v>613</v>
      </c>
      <c r="E4213" t="s">
        <v>11619</v>
      </c>
      <c r="F4213">
        <v>78.569999999999993</v>
      </c>
      <c r="H4213" t="s">
        <v>7020</v>
      </c>
    </row>
    <row r="4214" spans="2:8" x14ac:dyDescent="0.2">
      <c r="B4214" t="s">
        <v>1433</v>
      </c>
      <c r="C4214" t="s">
        <v>12906</v>
      </c>
      <c r="D4214" t="s">
        <v>613</v>
      </c>
      <c r="E4214" t="s">
        <v>11620</v>
      </c>
      <c r="F4214">
        <v>0.51</v>
      </c>
      <c r="H4214" t="s">
        <v>5271</v>
      </c>
    </row>
    <row r="4215" spans="2:8" x14ac:dyDescent="0.2">
      <c r="B4215" t="s">
        <v>1433</v>
      </c>
      <c r="C4215" t="s">
        <v>12906</v>
      </c>
      <c r="D4215" t="s">
        <v>617</v>
      </c>
      <c r="E4215" t="s">
        <v>11621</v>
      </c>
      <c r="F4215">
        <v>36.479999999999997</v>
      </c>
      <c r="H4215" t="s">
        <v>10857</v>
      </c>
    </row>
    <row r="4216" spans="2:8" x14ac:dyDescent="0.2">
      <c r="B4216" t="s">
        <v>1433</v>
      </c>
      <c r="C4216" t="s">
        <v>12906</v>
      </c>
      <c r="D4216" t="s">
        <v>617</v>
      </c>
      <c r="E4216" t="s">
        <v>11622</v>
      </c>
      <c r="F4216">
        <v>68</v>
      </c>
      <c r="H4216" t="s">
        <v>8711</v>
      </c>
    </row>
    <row r="4217" spans="2:8" x14ac:dyDescent="0.2">
      <c r="B4217" t="s">
        <v>1433</v>
      </c>
      <c r="C4217" t="s">
        <v>12906</v>
      </c>
      <c r="D4217" t="s">
        <v>52</v>
      </c>
      <c r="E4217" t="s">
        <v>11623</v>
      </c>
      <c r="F4217">
        <v>20.5</v>
      </c>
      <c r="H4217" t="s">
        <v>11624</v>
      </c>
    </row>
    <row r="4218" spans="2:8" x14ac:dyDescent="0.2">
      <c r="B4218" t="s">
        <v>1433</v>
      </c>
      <c r="C4218" t="s">
        <v>12906</v>
      </c>
      <c r="D4218" t="s">
        <v>613</v>
      </c>
      <c r="E4218" t="s">
        <v>11625</v>
      </c>
      <c r="F4218">
        <v>2.2000000000000002</v>
      </c>
      <c r="H4218" t="s">
        <v>2513</v>
      </c>
    </row>
    <row r="4219" spans="2:8" x14ac:dyDescent="0.2">
      <c r="B4219" t="s">
        <v>1433</v>
      </c>
      <c r="C4219" t="s">
        <v>12906</v>
      </c>
      <c r="D4219" t="s">
        <v>554</v>
      </c>
      <c r="E4219" t="s">
        <v>11626</v>
      </c>
      <c r="F4219">
        <v>124.5</v>
      </c>
      <c r="H4219" t="s">
        <v>6377</v>
      </c>
    </row>
    <row r="4220" spans="2:8" x14ac:dyDescent="0.2">
      <c r="B4220" t="s">
        <v>1433</v>
      </c>
      <c r="C4220" t="s">
        <v>12906</v>
      </c>
      <c r="D4220" t="s">
        <v>617</v>
      </c>
      <c r="E4220" t="s">
        <v>11627</v>
      </c>
      <c r="F4220">
        <v>3.9</v>
      </c>
      <c r="H4220" t="s">
        <v>7619</v>
      </c>
    </row>
    <row r="4221" spans="2:8" x14ac:dyDescent="0.2">
      <c r="B4221" t="s">
        <v>1433</v>
      </c>
      <c r="C4221" t="s">
        <v>12906</v>
      </c>
      <c r="D4221" t="s">
        <v>617</v>
      </c>
      <c r="E4221" t="s">
        <v>11628</v>
      </c>
      <c r="F4221">
        <v>30.5</v>
      </c>
      <c r="H4221" t="s">
        <v>1613</v>
      </c>
    </row>
    <row r="4222" spans="2:8" x14ac:dyDescent="0.2">
      <c r="B4222" t="s">
        <v>1433</v>
      </c>
      <c r="C4222" t="s">
        <v>12906</v>
      </c>
      <c r="D4222" t="s">
        <v>617</v>
      </c>
      <c r="E4222" t="s">
        <v>11629</v>
      </c>
      <c r="F4222">
        <v>42.5</v>
      </c>
      <c r="H4222" t="s">
        <v>1615</v>
      </c>
    </row>
    <row r="4223" spans="2:8" x14ac:dyDescent="0.2">
      <c r="B4223" t="s">
        <v>1433</v>
      </c>
      <c r="C4223" t="s">
        <v>12906</v>
      </c>
      <c r="D4223" t="s">
        <v>617</v>
      </c>
      <c r="E4223" t="s">
        <v>11630</v>
      </c>
      <c r="F4223">
        <v>61</v>
      </c>
      <c r="H4223" t="s">
        <v>1613</v>
      </c>
    </row>
    <row r="4224" spans="2:8" x14ac:dyDescent="0.2">
      <c r="B4224" t="s">
        <v>1433</v>
      </c>
      <c r="C4224" t="s">
        <v>12906</v>
      </c>
      <c r="D4224" t="s">
        <v>617</v>
      </c>
      <c r="E4224" t="s">
        <v>11631</v>
      </c>
      <c r="F4224">
        <v>21.25</v>
      </c>
      <c r="H4224" t="s">
        <v>1615</v>
      </c>
    </row>
    <row r="4225" spans="2:8" x14ac:dyDescent="0.2">
      <c r="B4225" t="s">
        <v>1433</v>
      </c>
      <c r="C4225" t="s">
        <v>12906</v>
      </c>
      <c r="D4225" t="s">
        <v>617</v>
      </c>
      <c r="E4225" t="s">
        <v>11632</v>
      </c>
      <c r="F4225">
        <v>21.25</v>
      </c>
      <c r="H4225" t="s">
        <v>1615</v>
      </c>
    </row>
    <row r="4226" spans="2:8" x14ac:dyDescent="0.2">
      <c r="B4226" t="s">
        <v>1433</v>
      </c>
      <c r="C4226" t="s">
        <v>12906</v>
      </c>
      <c r="D4226" t="s">
        <v>554</v>
      </c>
      <c r="E4226" t="s">
        <v>11633</v>
      </c>
      <c r="F4226">
        <v>25.9</v>
      </c>
      <c r="H4226" t="s">
        <v>6377</v>
      </c>
    </row>
    <row r="4227" spans="2:8" x14ac:dyDescent="0.2">
      <c r="B4227" t="s">
        <v>1433</v>
      </c>
      <c r="C4227" t="s">
        <v>12906</v>
      </c>
      <c r="D4227" t="s">
        <v>613</v>
      </c>
      <c r="E4227" t="s">
        <v>11634</v>
      </c>
      <c r="F4227">
        <v>4.03</v>
      </c>
      <c r="H4227" t="s">
        <v>9585</v>
      </c>
    </row>
    <row r="4228" spans="2:8" x14ac:dyDescent="0.2">
      <c r="B4228" t="s">
        <v>1433</v>
      </c>
      <c r="C4228" t="s">
        <v>12906</v>
      </c>
      <c r="D4228" t="s">
        <v>613</v>
      </c>
      <c r="E4228" t="s">
        <v>11635</v>
      </c>
      <c r="F4228">
        <v>0.47</v>
      </c>
      <c r="H4228" t="s">
        <v>11636</v>
      </c>
    </row>
    <row r="4229" spans="2:8" x14ac:dyDescent="0.2">
      <c r="B4229" t="s">
        <v>1433</v>
      </c>
      <c r="C4229" t="s">
        <v>12906</v>
      </c>
      <c r="D4229" t="s">
        <v>613</v>
      </c>
      <c r="E4229" t="s">
        <v>11637</v>
      </c>
      <c r="F4229">
        <v>0.05</v>
      </c>
      <c r="H4229" t="s">
        <v>7665</v>
      </c>
    </row>
    <row r="4230" spans="2:8" x14ac:dyDescent="0.2">
      <c r="B4230" t="s">
        <v>1433</v>
      </c>
      <c r="C4230" t="s">
        <v>12906</v>
      </c>
      <c r="D4230" t="s">
        <v>617</v>
      </c>
      <c r="E4230" t="s">
        <v>11638</v>
      </c>
      <c r="F4230">
        <v>0.66</v>
      </c>
      <c r="H4230" t="s">
        <v>3364</v>
      </c>
    </row>
    <row r="4231" spans="2:8" x14ac:dyDescent="0.2">
      <c r="B4231" t="s">
        <v>1433</v>
      </c>
      <c r="C4231" t="s">
        <v>12906</v>
      </c>
      <c r="D4231" t="s">
        <v>613</v>
      </c>
      <c r="E4231" t="s">
        <v>11639</v>
      </c>
      <c r="F4231">
        <v>2.1800000000000002</v>
      </c>
      <c r="H4231" t="s">
        <v>1689</v>
      </c>
    </row>
    <row r="4232" spans="2:8" x14ac:dyDescent="0.2">
      <c r="B4232" t="s">
        <v>1433</v>
      </c>
      <c r="C4232" t="s">
        <v>12906</v>
      </c>
      <c r="D4232" t="s">
        <v>613</v>
      </c>
      <c r="E4232" t="s">
        <v>11640</v>
      </c>
      <c r="F4232">
        <v>17.52</v>
      </c>
      <c r="H4232" t="s">
        <v>6713</v>
      </c>
    </row>
    <row r="4233" spans="2:8" x14ac:dyDescent="0.2">
      <c r="B4233" t="s">
        <v>1433</v>
      </c>
      <c r="C4233" t="s">
        <v>12906</v>
      </c>
      <c r="D4233" t="s">
        <v>617</v>
      </c>
      <c r="E4233" t="s">
        <v>11641</v>
      </c>
      <c r="F4233">
        <v>45.39</v>
      </c>
      <c r="H4233" t="s">
        <v>11642</v>
      </c>
    </row>
    <row r="4234" spans="2:8" x14ac:dyDescent="0.2">
      <c r="B4234" t="s">
        <v>1433</v>
      </c>
      <c r="C4234" t="s">
        <v>12906</v>
      </c>
      <c r="D4234" t="s">
        <v>617</v>
      </c>
      <c r="E4234" t="s">
        <v>11643</v>
      </c>
      <c r="F4234">
        <v>11.49</v>
      </c>
      <c r="H4234" t="s">
        <v>7453</v>
      </c>
    </row>
    <row r="4235" spans="2:8" x14ac:dyDescent="0.2">
      <c r="B4235" t="s">
        <v>1433</v>
      </c>
      <c r="C4235" t="s">
        <v>12906</v>
      </c>
      <c r="D4235" t="s">
        <v>617</v>
      </c>
      <c r="E4235" t="s">
        <v>11644</v>
      </c>
      <c r="F4235">
        <v>9.57</v>
      </c>
      <c r="H4235" t="s">
        <v>9152</v>
      </c>
    </row>
    <row r="4236" spans="2:8" x14ac:dyDescent="0.2">
      <c r="B4236" t="s">
        <v>1433</v>
      </c>
      <c r="C4236" t="s">
        <v>12906</v>
      </c>
      <c r="D4236" t="s">
        <v>613</v>
      </c>
      <c r="E4236" t="s">
        <v>11645</v>
      </c>
      <c r="F4236">
        <v>0.28000000000000003</v>
      </c>
      <c r="H4236" t="s">
        <v>6879</v>
      </c>
    </row>
    <row r="4237" spans="2:8" x14ac:dyDescent="0.2">
      <c r="B4237" t="s">
        <v>1433</v>
      </c>
      <c r="C4237" t="s">
        <v>12906</v>
      </c>
      <c r="D4237" t="s">
        <v>617</v>
      </c>
      <c r="E4237" t="s">
        <v>11646</v>
      </c>
      <c r="F4237">
        <v>3.45</v>
      </c>
      <c r="H4237" t="s">
        <v>7926</v>
      </c>
    </row>
    <row r="4238" spans="2:8" x14ac:dyDescent="0.2">
      <c r="B4238" t="s">
        <v>1433</v>
      </c>
      <c r="C4238" t="s">
        <v>12906</v>
      </c>
      <c r="D4238" t="s">
        <v>617</v>
      </c>
      <c r="E4238" t="s">
        <v>11647</v>
      </c>
      <c r="F4238">
        <v>15.1</v>
      </c>
      <c r="H4238" t="s">
        <v>7931</v>
      </c>
    </row>
    <row r="4239" spans="2:8" x14ac:dyDescent="0.2">
      <c r="B4239" t="s">
        <v>1433</v>
      </c>
      <c r="C4239" t="s">
        <v>12906</v>
      </c>
      <c r="D4239" t="s">
        <v>617</v>
      </c>
      <c r="E4239" t="s">
        <v>11648</v>
      </c>
      <c r="F4239">
        <v>8.41</v>
      </c>
      <c r="H4239" t="s">
        <v>7619</v>
      </c>
    </row>
    <row r="4240" spans="2:8" x14ac:dyDescent="0.2">
      <c r="B4240" t="s">
        <v>1433</v>
      </c>
      <c r="C4240" t="s">
        <v>12906</v>
      </c>
      <c r="D4240" t="s">
        <v>621</v>
      </c>
      <c r="E4240" t="s">
        <v>11649</v>
      </c>
      <c r="F4240">
        <v>13002</v>
      </c>
      <c r="H4240" t="s">
        <v>1686</v>
      </c>
    </row>
    <row r="4241" spans="2:8" x14ac:dyDescent="0.2">
      <c r="B4241" t="s">
        <v>1433</v>
      </c>
      <c r="C4241" t="s">
        <v>12906</v>
      </c>
      <c r="D4241" t="s">
        <v>621</v>
      </c>
      <c r="E4241" t="s">
        <v>11650</v>
      </c>
      <c r="F4241">
        <v>644.1</v>
      </c>
      <c r="H4241" t="s">
        <v>11651</v>
      </c>
    </row>
    <row r="4242" spans="2:8" x14ac:dyDescent="0.2">
      <c r="B4242" t="s">
        <v>1433</v>
      </c>
      <c r="C4242" t="s">
        <v>12906</v>
      </c>
      <c r="D4242" t="s">
        <v>621</v>
      </c>
      <c r="E4242" t="s">
        <v>11652</v>
      </c>
      <c r="F4242">
        <v>321.39999999999998</v>
      </c>
      <c r="H4242" t="s">
        <v>1687</v>
      </c>
    </row>
    <row r="4243" spans="2:8" x14ac:dyDescent="0.2">
      <c r="B4243" t="s">
        <v>1433</v>
      </c>
      <c r="C4243" t="s">
        <v>12906</v>
      </c>
      <c r="D4243" t="s">
        <v>621</v>
      </c>
      <c r="E4243" t="s">
        <v>11653</v>
      </c>
      <c r="F4243">
        <v>10728</v>
      </c>
      <c r="H4243" t="s">
        <v>1688</v>
      </c>
    </row>
    <row r="4244" spans="2:8" x14ac:dyDescent="0.2">
      <c r="B4244" t="s">
        <v>1433</v>
      </c>
      <c r="C4244" t="s">
        <v>12906</v>
      </c>
      <c r="D4244" t="s">
        <v>621</v>
      </c>
      <c r="E4244" t="s">
        <v>11654</v>
      </c>
      <c r="F4244">
        <v>794.5</v>
      </c>
      <c r="H4244" t="s">
        <v>1762</v>
      </c>
    </row>
    <row r="4245" spans="2:8" x14ac:dyDescent="0.2">
      <c r="B4245" t="s">
        <v>1433</v>
      </c>
      <c r="C4245" t="s">
        <v>12906</v>
      </c>
      <c r="D4245" t="s">
        <v>621</v>
      </c>
      <c r="E4245" t="s">
        <v>11655</v>
      </c>
      <c r="F4245">
        <v>348</v>
      </c>
      <c r="H4245" t="s">
        <v>1743</v>
      </c>
    </row>
    <row r="4246" spans="2:8" x14ac:dyDescent="0.2">
      <c r="B4246" t="s">
        <v>1433</v>
      </c>
      <c r="C4246" t="s">
        <v>12906</v>
      </c>
      <c r="D4246" t="s">
        <v>621</v>
      </c>
      <c r="E4246" t="s">
        <v>11656</v>
      </c>
      <c r="F4246">
        <v>116</v>
      </c>
      <c r="H4246" t="s">
        <v>1743</v>
      </c>
    </row>
    <row r="4247" spans="2:8" x14ac:dyDescent="0.2">
      <c r="B4247" t="s">
        <v>1433</v>
      </c>
      <c r="C4247" t="s">
        <v>12906</v>
      </c>
      <c r="D4247" t="s">
        <v>621</v>
      </c>
      <c r="E4247" t="s">
        <v>11657</v>
      </c>
      <c r="F4247">
        <v>3290.14</v>
      </c>
      <c r="H4247" t="s">
        <v>1744</v>
      </c>
    </row>
    <row r="4248" spans="2:8" x14ac:dyDescent="0.2">
      <c r="B4248" t="s">
        <v>1433</v>
      </c>
      <c r="C4248" t="s">
        <v>12906</v>
      </c>
      <c r="D4248" t="s">
        <v>621</v>
      </c>
      <c r="E4248" t="s">
        <v>11658</v>
      </c>
      <c r="F4248">
        <v>226.96</v>
      </c>
      <c r="H4248" t="s">
        <v>1745</v>
      </c>
    </row>
    <row r="4249" spans="2:8" x14ac:dyDescent="0.2">
      <c r="B4249" t="s">
        <v>1433</v>
      </c>
      <c r="C4249" t="s">
        <v>12906</v>
      </c>
      <c r="D4249" t="s">
        <v>621</v>
      </c>
      <c r="E4249" t="s">
        <v>11659</v>
      </c>
      <c r="F4249">
        <v>3314.5</v>
      </c>
      <c r="H4249" t="s">
        <v>1746</v>
      </c>
    </row>
    <row r="4250" spans="2:8" x14ac:dyDescent="0.2">
      <c r="B4250" t="s">
        <v>1433</v>
      </c>
      <c r="C4250" t="s">
        <v>12906</v>
      </c>
      <c r="D4250" t="s">
        <v>621</v>
      </c>
      <c r="E4250" t="s">
        <v>11660</v>
      </c>
      <c r="F4250">
        <v>175.06</v>
      </c>
      <c r="H4250" t="s">
        <v>1747</v>
      </c>
    </row>
    <row r="4251" spans="2:8" x14ac:dyDescent="0.2">
      <c r="B4251" t="s">
        <v>1433</v>
      </c>
      <c r="C4251" t="s">
        <v>12906</v>
      </c>
      <c r="D4251" t="s">
        <v>621</v>
      </c>
      <c r="E4251" t="s">
        <v>11661</v>
      </c>
      <c r="F4251">
        <v>2508</v>
      </c>
      <c r="H4251" t="s">
        <v>1748</v>
      </c>
    </row>
    <row r="4252" spans="2:8" x14ac:dyDescent="0.2">
      <c r="B4252" t="s">
        <v>1433</v>
      </c>
      <c r="C4252" t="s">
        <v>12906</v>
      </c>
      <c r="D4252" t="s">
        <v>621</v>
      </c>
      <c r="E4252" t="s">
        <v>11662</v>
      </c>
      <c r="F4252">
        <v>500</v>
      </c>
      <c r="H4252" t="s">
        <v>1749</v>
      </c>
    </row>
    <row r="4253" spans="2:8" x14ac:dyDescent="0.2">
      <c r="B4253" t="s">
        <v>1433</v>
      </c>
      <c r="C4253" t="s">
        <v>12906</v>
      </c>
      <c r="D4253" t="s">
        <v>621</v>
      </c>
      <c r="E4253" t="s">
        <v>11663</v>
      </c>
      <c r="F4253">
        <v>-500</v>
      </c>
      <c r="H4253" t="s">
        <v>1749</v>
      </c>
    </row>
    <row r="4254" spans="2:8" x14ac:dyDescent="0.2">
      <c r="B4254" t="s">
        <v>1433</v>
      </c>
      <c r="C4254" t="s">
        <v>12906</v>
      </c>
      <c r="D4254" t="s">
        <v>621</v>
      </c>
      <c r="E4254" t="s">
        <v>11664</v>
      </c>
      <c r="F4254">
        <v>500</v>
      </c>
      <c r="H4254" t="s">
        <v>1749</v>
      </c>
    </row>
    <row r="4255" spans="2:8" x14ac:dyDescent="0.2">
      <c r="B4255" t="s">
        <v>1433</v>
      </c>
      <c r="C4255" t="s">
        <v>12906</v>
      </c>
      <c r="D4255" t="s">
        <v>621</v>
      </c>
      <c r="E4255" t="s">
        <v>11665</v>
      </c>
      <c r="F4255">
        <v>1400</v>
      </c>
      <c r="H4255" t="s">
        <v>1749</v>
      </c>
    </row>
    <row r="4256" spans="2:8" x14ac:dyDescent="0.2">
      <c r="B4256" t="s">
        <v>1433</v>
      </c>
      <c r="C4256" t="s">
        <v>12906</v>
      </c>
      <c r="D4256" t="s">
        <v>621</v>
      </c>
      <c r="E4256" t="s">
        <v>11666</v>
      </c>
      <c r="F4256">
        <v>-1400</v>
      </c>
      <c r="H4256" t="s">
        <v>1749</v>
      </c>
    </row>
    <row r="4257" spans="2:8" x14ac:dyDescent="0.2">
      <c r="B4257" t="s">
        <v>1433</v>
      </c>
      <c r="C4257" t="s">
        <v>12906</v>
      </c>
      <c r="D4257" t="s">
        <v>621</v>
      </c>
      <c r="E4257" t="s">
        <v>11667</v>
      </c>
      <c r="F4257">
        <v>1400</v>
      </c>
      <c r="H4257" t="s">
        <v>1749</v>
      </c>
    </row>
    <row r="4258" spans="2:8" x14ac:dyDescent="0.2">
      <c r="B4258" t="s">
        <v>1433</v>
      </c>
      <c r="C4258" t="s">
        <v>12906</v>
      </c>
      <c r="D4258" t="s">
        <v>621</v>
      </c>
      <c r="E4258" t="s">
        <v>11668</v>
      </c>
      <c r="F4258">
        <v>800</v>
      </c>
      <c r="H4258" t="s">
        <v>1749</v>
      </c>
    </row>
    <row r="4259" spans="2:8" x14ac:dyDescent="0.2">
      <c r="B4259" t="s">
        <v>1433</v>
      </c>
      <c r="C4259" t="s">
        <v>12906</v>
      </c>
      <c r="D4259" t="s">
        <v>621</v>
      </c>
      <c r="E4259" t="s">
        <v>11669</v>
      </c>
      <c r="F4259">
        <v>600.32000000000005</v>
      </c>
      <c r="H4259" t="s">
        <v>1750</v>
      </c>
    </row>
    <row r="4260" spans="2:8" x14ac:dyDescent="0.2">
      <c r="B4260" t="s">
        <v>1433</v>
      </c>
      <c r="C4260" t="s">
        <v>12906</v>
      </c>
      <c r="D4260" t="s">
        <v>621</v>
      </c>
      <c r="E4260" t="s">
        <v>11670</v>
      </c>
      <c r="F4260">
        <v>-600.32000000000005</v>
      </c>
      <c r="H4260" t="s">
        <v>1750</v>
      </c>
    </row>
    <row r="4261" spans="2:8" x14ac:dyDescent="0.2">
      <c r="B4261" t="s">
        <v>1433</v>
      </c>
      <c r="C4261" t="s">
        <v>12906</v>
      </c>
      <c r="D4261" t="s">
        <v>621</v>
      </c>
      <c r="E4261" t="s">
        <v>11671</v>
      </c>
      <c r="F4261">
        <v>1672.32</v>
      </c>
      <c r="H4261" t="s">
        <v>1750</v>
      </c>
    </row>
    <row r="4262" spans="2:8" x14ac:dyDescent="0.2">
      <c r="B4262" t="s">
        <v>1433</v>
      </c>
      <c r="C4262" t="s">
        <v>12906</v>
      </c>
      <c r="D4262" t="s">
        <v>621</v>
      </c>
      <c r="E4262" t="s">
        <v>11672</v>
      </c>
      <c r="F4262">
        <v>-1672.32</v>
      </c>
      <c r="H4262" t="s">
        <v>1750</v>
      </c>
    </row>
    <row r="4263" spans="2:8" x14ac:dyDescent="0.2">
      <c r="B4263" t="s">
        <v>1433</v>
      </c>
      <c r="C4263" t="s">
        <v>12906</v>
      </c>
      <c r="D4263" t="s">
        <v>621</v>
      </c>
      <c r="E4263" t="s">
        <v>11673</v>
      </c>
      <c r="F4263">
        <v>1672.32</v>
      </c>
      <c r="H4263" t="s">
        <v>1750</v>
      </c>
    </row>
    <row r="4264" spans="2:8" x14ac:dyDescent="0.2">
      <c r="B4264" t="s">
        <v>1433</v>
      </c>
      <c r="C4264" t="s">
        <v>12906</v>
      </c>
      <c r="D4264" t="s">
        <v>621</v>
      </c>
      <c r="E4264" t="s">
        <v>11674</v>
      </c>
      <c r="F4264">
        <v>471.68</v>
      </c>
      <c r="H4264" t="s">
        <v>1750</v>
      </c>
    </row>
    <row r="4265" spans="2:8" x14ac:dyDescent="0.2">
      <c r="B4265" t="s">
        <v>1433</v>
      </c>
      <c r="C4265" t="s">
        <v>12906</v>
      </c>
      <c r="D4265" t="s">
        <v>621</v>
      </c>
      <c r="E4265" t="s">
        <v>11675</v>
      </c>
      <c r="F4265">
        <v>-471.68</v>
      </c>
      <c r="H4265" t="s">
        <v>1750</v>
      </c>
    </row>
    <row r="4266" spans="2:8" x14ac:dyDescent="0.2">
      <c r="B4266" t="s">
        <v>1433</v>
      </c>
      <c r="C4266" t="s">
        <v>12906</v>
      </c>
      <c r="D4266" t="s">
        <v>621</v>
      </c>
      <c r="E4266" t="s">
        <v>11676</v>
      </c>
      <c r="F4266">
        <v>471.68</v>
      </c>
      <c r="H4266" t="s">
        <v>1750</v>
      </c>
    </row>
    <row r="4267" spans="2:8" x14ac:dyDescent="0.2">
      <c r="B4267" t="s">
        <v>1433</v>
      </c>
      <c r="C4267" t="s">
        <v>12906</v>
      </c>
      <c r="D4267" t="s">
        <v>621</v>
      </c>
      <c r="E4267" t="s">
        <v>11677</v>
      </c>
      <c r="F4267">
        <v>64.319999999999993</v>
      </c>
      <c r="H4267" t="s">
        <v>1750</v>
      </c>
    </row>
    <row r="4268" spans="2:8" x14ac:dyDescent="0.2">
      <c r="B4268" t="s">
        <v>1433</v>
      </c>
      <c r="C4268" t="s">
        <v>12906</v>
      </c>
      <c r="D4268" t="s">
        <v>621</v>
      </c>
      <c r="E4268" t="s">
        <v>11678</v>
      </c>
      <c r="F4268">
        <v>-64.319999999999993</v>
      </c>
      <c r="H4268" t="s">
        <v>1750</v>
      </c>
    </row>
    <row r="4269" spans="2:8" x14ac:dyDescent="0.2">
      <c r="B4269" t="s">
        <v>1433</v>
      </c>
      <c r="C4269" t="s">
        <v>12906</v>
      </c>
      <c r="D4269" t="s">
        <v>621</v>
      </c>
      <c r="E4269" t="s">
        <v>11679</v>
      </c>
      <c r="F4269">
        <v>64.319999999999993</v>
      </c>
      <c r="H4269" t="s">
        <v>1750</v>
      </c>
    </row>
    <row r="4270" spans="2:8" x14ac:dyDescent="0.2">
      <c r="B4270" t="s">
        <v>1433</v>
      </c>
      <c r="C4270" t="s">
        <v>12906</v>
      </c>
      <c r="D4270" t="s">
        <v>621</v>
      </c>
      <c r="E4270" t="s">
        <v>11680</v>
      </c>
      <c r="F4270">
        <v>471.68</v>
      </c>
      <c r="H4270" t="s">
        <v>1750</v>
      </c>
    </row>
    <row r="4271" spans="2:8" x14ac:dyDescent="0.2">
      <c r="B4271" t="s">
        <v>1433</v>
      </c>
      <c r="C4271" t="s">
        <v>12906</v>
      </c>
      <c r="D4271" t="s">
        <v>621</v>
      </c>
      <c r="E4271" t="s">
        <v>11681</v>
      </c>
      <c r="F4271">
        <v>378</v>
      </c>
      <c r="H4271" t="s">
        <v>1751</v>
      </c>
    </row>
    <row r="4272" spans="2:8" x14ac:dyDescent="0.2">
      <c r="B4272" t="s">
        <v>1433</v>
      </c>
      <c r="C4272" t="s">
        <v>12906</v>
      </c>
      <c r="D4272" t="s">
        <v>621</v>
      </c>
      <c r="E4272" t="s">
        <v>11682</v>
      </c>
      <c r="F4272">
        <v>287.10000000000002</v>
      </c>
      <c r="H4272" t="s">
        <v>1752</v>
      </c>
    </row>
    <row r="4273" spans="2:8" x14ac:dyDescent="0.2">
      <c r="B4273" t="s">
        <v>1433</v>
      </c>
      <c r="C4273" t="s">
        <v>12906</v>
      </c>
      <c r="D4273" t="s">
        <v>621</v>
      </c>
      <c r="E4273" t="s">
        <v>11683</v>
      </c>
      <c r="F4273">
        <v>1670.4</v>
      </c>
      <c r="H4273" t="s">
        <v>1752</v>
      </c>
    </row>
    <row r="4274" spans="2:8" x14ac:dyDescent="0.2">
      <c r="B4274" t="s">
        <v>1433</v>
      </c>
      <c r="C4274" t="s">
        <v>12906</v>
      </c>
      <c r="D4274" t="s">
        <v>621</v>
      </c>
      <c r="E4274" t="s">
        <v>11684</v>
      </c>
      <c r="F4274">
        <v>87</v>
      </c>
      <c r="H4274" t="s">
        <v>1753</v>
      </c>
    </row>
    <row r="4275" spans="2:8" x14ac:dyDescent="0.2">
      <c r="B4275" t="s">
        <v>1433</v>
      </c>
      <c r="C4275" t="s">
        <v>12906</v>
      </c>
      <c r="D4275" t="s">
        <v>621</v>
      </c>
      <c r="E4275" t="s">
        <v>11685</v>
      </c>
      <c r="F4275">
        <v>33.97</v>
      </c>
      <c r="H4275" t="s">
        <v>1773</v>
      </c>
    </row>
    <row r="4276" spans="2:8" x14ac:dyDescent="0.2">
      <c r="B4276" t="s">
        <v>1433</v>
      </c>
      <c r="C4276" t="s">
        <v>12906</v>
      </c>
      <c r="D4276" t="s">
        <v>621</v>
      </c>
      <c r="E4276" t="s">
        <v>11686</v>
      </c>
      <c r="F4276">
        <v>197.98</v>
      </c>
      <c r="H4276" t="s">
        <v>1775</v>
      </c>
    </row>
    <row r="4277" spans="2:8" x14ac:dyDescent="0.2">
      <c r="B4277" t="s">
        <v>1433</v>
      </c>
      <c r="C4277" t="s">
        <v>12906</v>
      </c>
      <c r="D4277" t="s">
        <v>621</v>
      </c>
      <c r="E4277" t="s">
        <v>11687</v>
      </c>
      <c r="F4277">
        <v>548.1</v>
      </c>
      <c r="H4277" t="s">
        <v>1741</v>
      </c>
    </row>
    <row r="4278" spans="2:8" x14ac:dyDescent="0.2">
      <c r="B4278" t="s">
        <v>1433</v>
      </c>
      <c r="C4278" t="s">
        <v>12906</v>
      </c>
      <c r="D4278" t="s">
        <v>621</v>
      </c>
      <c r="E4278" t="s">
        <v>11688</v>
      </c>
      <c r="F4278">
        <v>-548.1</v>
      </c>
      <c r="H4278" t="s">
        <v>1741</v>
      </c>
    </row>
    <row r="4279" spans="2:8" x14ac:dyDescent="0.2">
      <c r="B4279" t="s">
        <v>1433</v>
      </c>
      <c r="C4279" t="s">
        <v>12906</v>
      </c>
      <c r="D4279" t="s">
        <v>621</v>
      </c>
      <c r="E4279" t="s">
        <v>11689</v>
      </c>
      <c r="F4279">
        <v>548.1</v>
      </c>
      <c r="H4279" t="s">
        <v>1741</v>
      </c>
    </row>
    <row r="4280" spans="2:8" x14ac:dyDescent="0.2">
      <c r="B4280" t="s">
        <v>1433</v>
      </c>
      <c r="C4280" t="s">
        <v>12906</v>
      </c>
      <c r="D4280" t="s">
        <v>621</v>
      </c>
      <c r="E4280" t="s">
        <v>11690</v>
      </c>
      <c r="F4280">
        <v>13.05</v>
      </c>
      <c r="H4280" t="s">
        <v>1741</v>
      </c>
    </row>
    <row r="4281" spans="2:8" x14ac:dyDescent="0.2">
      <c r="B4281" t="s">
        <v>1433</v>
      </c>
      <c r="C4281" t="s">
        <v>12906</v>
      </c>
      <c r="D4281" t="s">
        <v>621</v>
      </c>
      <c r="E4281" t="s">
        <v>11691</v>
      </c>
      <c r="F4281">
        <v>2998.8</v>
      </c>
      <c r="H4281" t="s">
        <v>1742</v>
      </c>
    </row>
    <row r="4282" spans="2:8" x14ac:dyDescent="0.2">
      <c r="B4282" t="s">
        <v>1433</v>
      </c>
      <c r="C4282" t="s">
        <v>12906</v>
      </c>
      <c r="D4282" t="s">
        <v>621</v>
      </c>
      <c r="E4282" t="s">
        <v>11692</v>
      </c>
      <c r="F4282">
        <v>435</v>
      </c>
      <c r="H4282" t="s">
        <v>1764</v>
      </c>
    </row>
    <row r="4283" spans="2:8" x14ac:dyDescent="0.2">
      <c r="B4283" t="s">
        <v>1433</v>
      </c>
      <c r="C4283" t="s">
        <v>12906</v>
      </c>
      <c r="D4283" t="s">
        <v>621</v>
      </c>
      <c r="E4283" t="s">
        <v>11693</v>
      </c>
      <c r="F4283">
        <v>191.7</v>
      </c>
      <c r="H4283" t="s">
        <v>1766</v>
      </c>
    </row>
    <row r="4284" spans="2:8" x14ac:dyDescent="0.2">
      <c r="B4284" t="s">
        <v>1433</v>
      </c>
      <c r="C4284" t="s">
        <v>12906</v>
      </c>
      <c r="D4284" t="s">
        <v>554</v>
      </c>
      <c r="E4284" t="s">
        <v>11694</v>
      </c>
      <c r="F4284">
        <v>64.45</v>
      </c>
      <c r="H4284" t="s">
        <v>7958</v>
      </c>
    </row>
    <row r="4285" spans="2:8" x14ac:dyDescent="0.2">
      <c r="B4285" t="s">
        <v>1433</v>
      </c>
      <c r="C4285" t="s">
        <v>12906</v>
      </c>
      <c r="D4285" t="s">
        <v>617</v>
      </c>
      <c r="E4285" t="s">
        <v>11695</v>
      </c>
      <c r="F4285">
        <v>29.3</v>
      </c>
      <c r="H4285" t="s">
        <v>8831</v>
      </c>
    </row>
    <row r="4286" spans="2:8" x14ac:dyDescent="0.2">
      <c r="B4286" t="s">
        <v>1433</v>
      </c>
      <c r="C4286" t="s">
        <v>12906</v>
      </c>
      <c r="D4286" t="s">
        <v>613</v>
      </c>
      <c r="E4286" t="s">
        <v>11696</v>
      </c>
      <c r="F4286">
        <v>1.1000000000000001</v>
      </c>
      <c r="H4286" t="s">
        <v>2513</v>
      </c>
    </row>
    <row r="4287" spans="2:8" x14ac:dyDescent="0.2">
      <c r="B4287" t="s">
        <v>1433</v>
      </c>
      <c r="C4287" t="s">
        <v>12906</v>
      </c>
      <c r="D4287" t="s">
        <v>613</v>
      </c>
      <c r="E4287" t="s">
        <v>11697</v>
      </c>
      <c r="F4287">
        <v>13</v>
      </c>
      <c r="H4287" t="s">
        <v>8017</v>
      </c>
    </row>
    <row r="4288" spans="2:8" x14ac:dyDescent="0.2">
      <c r="B4288" t="s">
        <v>1433</v>
      </c>
      <c r="C4288" t="s">
        <v>12906</v>
      </c>
      <c r="D4288" t="s">
        <v>554</v>
      </c>
      <c r="E4288" t="s">
        <v>11698</v>
      </c>
      <c r="F4288">
        <v>49.6</v>
      </c>
      <c r="H4288" t="s">
        <v>6377</v>
      </c>
    </row>
    <row r="4289" spans="2:8" x14ac:dyDescent="0.2">
      <c r="B4289" t="s">
        <v>1433</v>
      </c>
      <c r="C4289" t="s">
        <v>12906</v>
      </c>
      <c r="D4289" t="s">
        <v>617</v>
      </c>
      <c r="E4289" t="s">
        <v>11699</v>
      </c>
      <c r="F4289">
        <v>150</v>
      </c>
      <c r="H4289" t="s">
        <v>5395</v>
      </c>
    </row>
    <row r="4290" spans="2:8" x14ac:dyDescent="0.2">
      <c r="B4290" t="s">
        <v>1433</v>
      </c>
      <c r="C4290" t="s">
        <v>12906</v>
      </c>
      <c r="D4290" t="s">
        <v>621</v>
      </c>
      <c r="E4290" t="s">
        <v>11700</v>
      </c>
      <c r="F4290">
        <v>18.45</v>
      </c>
      <c r="H4290" t="s">
        <v>6873</v>
      </c>
    </row>
    <row r="4291" spans="2:8" x14ac:dyDescent="0.2">
      <c r="B4291" t="s">
        <v>1433</v>
      </c>
      <c r="C4291" t="s">
        <v>12906</v>
      </c>
      <c r="D4291" t="s">
        <v>617</v>
      </c>
      <c r="E4291" t="s">
        <v>11701</v>
      </c>
      <c r="F4291">
        <v>45.36</v>
      </c>
      <c r="H4291" t="s">
        <v>1627</v>
      </c>
    </row>
    <row r="4292" spans="2:8" x14ac:dyDescent="0.2">
      <c r="B4292" t="s">
        <v>1433</v>
      </c>
      <c r="C4292" t="s">
        <v>12906</v>
      </c>
      <c r="D4292" t="s">
        <v>621</v>
      </c>
      <c r="E4292" t="s">
        <v>11702</v>
      </c>
      <c r="F4292">
        <v>3.6</v>
      </c>
      <c r="H4292" t="s">
        <v>8579</v>
      </c>
    </row>
    <row r="4293" spans="2:8" x14ac:dyDescent="0.2">
      <c r="B4293" t="s">
        <v>1433</v>
      </c>
      <c r="C4293" t="s">
        <v>12906</v>
      </c>
      <c r="D4293" t="s">
        <v>621</v>
      </c>
      <c r="E4293" t="s">
        <v>11703</v>
      </c>
      <c r="F4293">
        <v>5.33</v>
      </c>
      <c r="H4293" t="s">
        <v>11704</v>
      </c>
    </row>
    <row r="4294" spans="2:8" x14ac:dyDescent="0.2">
      <c r="B4294" t="s">
        <v>1433</v>
      </c>
      <c r="C4294" t="s">
        <v>12906</v>
      </c>
      <c r="D4294" t="s">
        <v>617</v>
      </c>
      <c r="E4294" t="s">
        <v>11705</v>
      </c>
      <c r="F4294">
        <v>7</v>
      </c>
      <c r="H4294" t="s">
        <v>1629</v>
      </c>
    </row>
    <row r="4295" spans="2:8" x14ac:dyDescent="0.2">
      <c r="B4295" t="s">
        <v>1433</v>
      </c>
      <c r="C4295" t="s">
        <v>12906</v>
      </c>
      <c r="D4295" t="s">
        <v>621</v>
      </c>
      <c r="E4295" t="s">
        <v>11706</v>
      </c>
      <c r="F4295">
        <v>444.81</v>
      </c>
      <c r="H4295" t="s">
        <v>4164</v>
      </c>
    </row>
    <row r="4296" spans="2:8" x14ac:dyDescent="0.2">
      <c r="B4296" t="s">
        <v>1433</v>
      </c>
      <c r="C4296" t="s">
        <v>12906</v>
      </c>
      <c r="D4296" t="s">
        <v>621</v>
      </c>
      <c r="E4296" t="s">
        <v>11707</v>
      </c>
      <c r="F4296">
        <v>30.66</v>
      </c>
      <c r="H4296" t="s">
        <v>7774</v>
      </c>
    </row>
    <row r="4297" spans="2:8" x14ac:dyDescent="0.2">
      <c r="B4297" t="s">
        <v>1433</v>
      </c>
      <c r="C4297" t="s">
        <v>12906</v>
      </c>
      <c r="D4297" t="s">
        <v>621</v>
      </c>
      <c r="E4297" t="s">
        <v>11708</v>
      </c>
      <c r="F4297">
        <v>3.3</v>
      </c>
      <c r="H4297" t="s">
        <v>7776</v>
      </c>
    </row>
    <row r="4298" spans="2:8" x14ac:dyDescent="0.2">
      <c r="B4298" t="s">
        <v>1433</v>
      </c>
      <c r="C4298" t="s">
        <v>12906</v>
      </c>
      <c r="D4298" t="s">
        <v>617</v>
      </c>
      <c r="E4298" t="s">
        <v>11709</v>
      </c>
      <c r="F4298">
        <v>71.28</v>
      </c>
      <c r="H4298" t="s">
        <v>1624</v>
      </c>
    </row>
    <row r="4299" spans="2:8" x14ac:dyDescent="0.2">
      <c r="B4299" t="s">
        <v>1433</v>
      </c>
      <c r="C4299" t="s">
        <v>12906</v>
      </c>
      <c r="D4299" t="s">
        <v>617</v>
      </c>
      <c r="E4299" t="s">
        <v>11710</v>
      </c>
      <c r="F4299">
        <v>10</v>
      </c>
      <c r="H4299" t="s">
        <v>1628</v>
      </c>
    </row>
    <row r="4300" spans="2:8" x14ac:dyDescent="0.2">
      <c r="B4300" t="s">
        <v>1433</v>
      </c>
      <c r="C4300" t="s">
        <v>12906</v>
      </c>
      <c r="D4300" t="s">
        <v>621</v>
      </c>
      <c r="E4300" t="s">
        <v>11711</v>
      </c>
      <c r="F4300">
        <v>10.8</v>
      </c>
      <c r="H4300" t="s">
        <v>4184</v>
      </c>
    </row>
    <row r="4301" spans="2:8" x14ac:dyDescent="0.2">
      <c r="B4301" t="s">
        <v>1433</v>
      </c>
      <c r="C4301" t="s">
        <v>12906</v>
      </c>
      <c r="D4301" t="s">
        <v>613</v>
      </c>
      <c r="E4301" t="s">
        <v>11712</v>
      </c>
      <c r="F4301">
        <v>0.8</v>
      </c>
      <c r="H4301" t="s">
        <v>7016</v>
      </c>
    </row>
    <row r="4302" spans="2:8" x14ac:dyDescent="0.2">
      <c r="B4302" t="s">
        <v>1433</v>
      </c>
      <c r="C4302" t="s">
        <v>12906</v>
      </c>
      <c r="D4302" t="s">
        <v>613</v>
      </c>
      <c r="E4302" t="s">
        <v>11713</v>
      </c>
      <c r="F4302">
        <v>0.8</v>
      </c>
      <c r="H4302" t="s">
        <v>11714</v>
      </c>
    </row>
    <row r="4303" spans="2:8" x14ac:dyDescent="0.2">
      <c r="B4303" t="s">
        <v>1433</v>
      </c>
      <c r="C4303" t="s">
        <v>12906</v>
      </c>
      <c r="D4303" t="s">
        <v>621</v>
      </c>
      <c r="E4303" t="s">
        <v>11715</v>
      </c>
      <c r="F4303">
        <v>10.199999999999999</v>
      </c>
      <c r="H4303" t="s">
        <v>6599</v>
      </c>
    </row>
    <row r="4304" spans="2:8" x14ac:dyDescent="0.2">
      <c r="B4304" t="s">
        <v>1433</v>
      </c>
      <c r="C4304" t="s">
        <v>12906</v>
      </c>
      <c r="D4304" t="s">
        <v>617</v>
      </c>
      <c r="E4304" t="s">
        <v>11716</v>
      </c>
      <c r="F4304">
        <v>7.06</v>
      </c>
      <c r="H4304" t="s">
        <v>2698</v>
      </c>
    </row>
    <row r="4305" spans="2:8" x14ac:dyDescent="0.2">
      <c r="B4305" t="s">
        <v>1433</v>
      </c>
      <c r="C4305" t="s">
        <v>12906</v>
      </c>
      <c r="D4305" t="s">
        <v>617</v>
      </c>
      <c r="E4305" t="s">
        <v>11717</v>
      </c>
      <c r="F4305">
        <v>5.61</v>
      </c>
      <c r="H4305" t="s">
        <v>6489</v>
      </c>
    </row>
    <row r="4306" spans="2:8" x14ac:dyDescent="0.2">
      <c r="B4306" t="s">
        <v>1433</v>
      </c>
      <c r="C4306" t="s">
        <v>12906</v>
      </c>
      <c r="D4306" t="s">
        <v>617</v>
      </c>
      <c r="E4306" t="s">
        <v>11718</v>
      </c>
      <c r="F4306">
        <v>15.84</v>
      </c>
      <c r="H4306" t="s">
        <v>1624</v>
      </c>
    </row>
    <row r="4307" spans="2:8" x14ac:dyDescent="0.2">
      <c r="B4307" t="s">
        <v>1433</v>
      </c>
      <c r="C4307" t="s">
        <v>12906</v>
      </c>
      <c r="D4307" t="s">
        <v>617</v>
      </c>
      <c r="E4307" t="s">
        <v>11719</v>
      </c>
      <c r="F4307">
        <v>5</v>
      </c>
      <c r="H4307" t="s">
        <v>1628</v>
      </c>
    </row>
    <row r="4308" spans="2:8" x14ac:dyDescent="0.2">
      <c r="B4308" t="s">
        <v>1433</v>
      </c>
      <c r="C4308" t="s">
        <v>12906</v>
      </c>
      <c r="D4308" t="s">
        <v>554</v>
      </c>
      <c r="E4308" t="s">
        <v>11720</v>
      </c>
      <c r="F4308">
        <v>39.5</v>
      </c>
      <c r="H4308" t="s">
        <v>7958</v>
      </c>
    </row>
    <row r="4309" spans="2:8" x14ac:dyDescent="0.2">
      <c r="B4309" t="s">
        <v>1433</v>
      </c>
      <c r="C4309" t="s">
        <v>12906</v>
      </c>
      <c r="D4309" t="s">
        <v>84</v>
      </c>
      <c r="E4309" t="s">
        <v>11721</v>
      </c>
      <c r="F4309">
        <v>7.04</v>
      </c>
      <c r="H4309" t="s">
        <v>7180</v>
      </c>
    </row>
    <row r="4310" spans="2:8" x14ac:dyDescent="0.2">
      <c r="B4310" t="s">
        <v>1433</v>
      </c>
      <c r="C4310" t="s">
        <v>12906</v>
      </c>
      <c r="D4310" t="s">
        <v>554</v>
      </c>
      <c r="E4310" t="s">
        <v>11722</v>
      </c>
      <c r="F4310">
        <v>15.8</v>
      </c>
      <c r="H4310" t="s">
        <v>7958</v>
      </c>
    </row>
    <row r="4311" spans="2:8" x14ac:dyDescent="0.2">
      <c r="B4311" t="s">
        <v>1433</v>
      </c>
      <c r="C4311" t="s">
        <v>12906</v>
      </c>
      <c r="D4311" t="s">
        <v>621</v>
      </c>
      <c r="E4311" t="s">
        <v>11723</v>
      </c>
      <c r="F4311">
        <v>79.38</v>
      </c>
      <c r="H4311" t="s">
        <v>1671</v>
      </c>
    </row>
    <row r="4312" spans="2:8" x14ac:dyDescent="0.2">
      <c r="B4312" t="s">
        <v>1433</v>
      </c>
      <c r="C4312" t="s">
        <v>12906</v>
      </c>
      <c r="D4312" t="s">
        <v>621</v>
      </c>
      <c r="E4312" t="s">
        <v>11724</v>
      </c>
      <c r="F4312">
        <v>26.95</v>
      </c>
      <c r="H4312" t="s">
        <v>6645</v>
      </c>
    </row>
    <row r="4313" spans="2:8" x14ac:dyDescent="0.2">
      <c r="B4313" t="s">
        <v>1433</v>
      </c>
      <c r="C4313" t="s">
        <v>12906</v>
      </c>
      <c r="D4313" t="s">
        <v>621</v>
      </c>
      <c r="E4313" t="s">
        <v>11725</v>
      </c>
      <c r="F4313">
        <v>4.49</v>
      </c>
      <c r="H4313" t="s">
        <v>6642</v>
      </c>
    </row>
    <row r="4314" spans="2:8" x14ac:dyDescent="0.2">
      <c r="B4314" t="s">
        <v>1433</v>
      </c>
      <c r="C4314" t="s">
        <v>12906</v>
      </c>
      <c r="D4314" t="s">
        <v>613</v>
      </c>
      <c r="E4314" t="s">
        <v>11726</v>
      </c>
      <c r="F4314">
        <v>1.1000000000000001</v>
      </c>
      <c r="H4314" t="s">
        <v>2513</v>
      </c>
    </row>
    <row r="4315" spans="2:8" x14ac:dyDescent="0.2">
      <c r="B4315" t="s">
        <v>1433</v>
      </c>
      <c r="C4315" t="s">
        <v>12906</v>
      </c>
      <c r="D4315" t="s">
        <v>613</v>
      </c>
      <c r="E4315" t="s">
        <v>11727</v>
      </c>
      <c r="F4315">
        <v>1.1000000000000001</v>
      </c>
      <c r="H4315" t="s">
        <v>7251</v>
      </c>
    </row>
    <row r="4316" spans="2:8" x14ac:dyDescent="0.2">
      <c r="B4316" t="s">
        <v>1433</v>
      </c>
      <c r="C4316" t="s">
        <v>12906</v>
      </c>
      <c r="D4316" t="s">
        <v>621</v>
      </c>
      <c r="E4316" t="s">
        <v>11728</v>
      </c>
      <c r="F4316">
        <v>16.23</v>
      </c>
      <c r="H4316" t="s">
        <v>11729</v>
      </c>
    </row>
    <row r="4317" spans="2:8" x14ac:dyDescent="0.2">
      <c r="B4317" t="s">
        <v>1433</v>
      </c>
      <c r="C4317" t="s">
        <v>12906</v>
      </c>
      <c r="D4317" t="s">
        <v>621</v>
      </c>
      <c r="E4317" t="s">
        <v>11730</v>
      </c>
      <c r="F4317">
        <v>11.87</v>
      </c>
      <c r="H4317" t="s">
        <v>7736</v>
      </c>
    </row>
    <row r="4318" spans="2:8" x14ac:dyDescent="0.2">
      <c r="B4318" t="s">
        <v>1433</v>
      </c>
      <c r="C4318" t="s">
        <v>12906</v>
      </c>
      <c r="D4318" t="s">
        <v>621</v>
      </c>
      <c r="E4318" t="s">
        <v>11731</v>
      </c>
      <c r="F4318">
        <v>13.48</v>
      </c>
      <c r="H4318" t="s">
        <v>6642</v>
      </c>
    </row>
    <row r="4319" spans="2:8" x14ac:dyDescent="0.2">
      <c r="B4319" t="s">
        <v>1433</v>
      </c>
      <c r="C4319" t="s">
        <v>12906</v>
      </c>
      <c r="D4319" t="s">
        <v>621</v>
      </c>
      <c r="E4319" t="s">
        <v>11732</v>
      </c>
      <c r="F4319">
        <v>15.07</v>
      </c>
      <c r="H4319" t="s">
        <v>7995</v>
      </c>
    </row>
    <row r="4320" spans="2:8" x14ac:dyDescent="0.2">
      <c r="B4320" t="s">
        <v>1433</v>
      </c>
      <c r="C4320" t="s">
        <v>12906</v>
      </c>
      <c r="D4320" t="s">
        <v>621</v>
      </c>
      <c r="E4320" t="s">
        <v>11733</v>
      </c>
      <c r="F4320">
        <v>27</v>
      </c>
      <c r="H4320" t="s">
        <v>9107</v>
      </c>
    </row>
    <row r="4321" spans="2:8" x14ac:dyDescent="0.2">
      <c r="B4321" t="s">
        <v>1433</v>
      </c>
      <c r="C4321" t="s">
        <v>12906</v>
      </c>
      <c r="D4321" t="s">
        <v>613</v>
      </c>
      <c r="E4321" t="s">
        <v>11734</v>
      </c>
      <c r="F4321">
        <v>7.84</v>
      </c>
      <c r="H4321" t="s">
        <v>7695</v>
      </c>
    </row>
    <row r="4322" spans="2:8" x14ac:dyDescent="0.2">
      <c r="B4322" t="s">
        <v>1433</v>
      </c>
      <c r="C4322" t="s">
        <v>12906</v>
      </c>
      <c r="D4322" t="s">
        <v>613</v>
      </c>
      <c r="E4322" t="s">
        <v>11735</v>
      </c>
      <c r="F4322">
        <v>7</v>
      </c>
      <c r="H4322" t="s">
        <v>5072</v>
      </c>
    </row>
    <row r="4323" spans="2:8" x14ac:dyDescent="0.2">
      <c r="B4323" t="s">
        <v>1433</v>
      </c>
      <c r="C4323" t="s">
        <v>12906</v>
      </c>
      <c r="D4323" t="s">
        <v>617</v>
      </c>
      <c r="E4323" t="s">
        <v>11736</v>
      </c>
      <c r="F4323">
        <v>71.25</v>
      </c>
      <c r="H4323" t="s">
        <v>9904</v>
      </c>
    </row>
    <row r="4324" spans="2:8" x14ac:dyDescent="0.2">
      <c r="B4324" t="s">
        <v>1433</v>
      </c>
      <c r="C4324" t="s">
        <v>12906</v>
      </c>
      <c r="D4324" t="s">
        <v>617</v>
      </c>
      <c r="E4324" t="s">
        <v>11737</v>
      </c>
      <c r="F4324">
        <v>118.42</v>
      </c>
      <c r="H4324" t="s">
        <v>10532</v>
      </c>
    </row>
    <row r="4325" spans="2:8" x14ac:dyDescent="0.2">
      <c r="B4325" t="s">
        <v>1433</v>
      </c>
      <c r="C4325" t="s">
        <v>12906</v>
      </c>
      <c r="D4325" t="s">
        <v>613</v>
      </c>
      <c r="E4325" t="s">
        <v>11738</v>
      </c>
      <c r="F4325">
        <v>10</v>
      </c>
      <c r="H4325" t="s">
        <v>2512</v>
      </c>
    </row>
    <row r="4326" spans="2:8" x14ac:dyDescent="0.2">
      <c r="B4326" t="s">
        <v>1433</v>
      </c>
      <c r="C4326" t="s">
        <v>12906</v>
      </c>
      <c r="D4326" t="s">
        <v>621</v>
      </c>
      <c r="E4326" t="s">
        <v>11739</v>
      </c>
      <c r="F4326">
        <v>23.9</v>
      </c>
      <c r="H4326" t="s">
        <v>11740</v>
      </c>
    </row>
    <row r="4327" spans="2:8" x14ac:dyDescent="0.2">
      <c r="B4327" t="s">
        <v>1433</v>
      </c>
      <c r="C4327" t="s">
        <v>12906</v>
      </c>
      <c r="D4327" t="s">
        <v>613</v>
      </c>
      <c r="E4327" t="s">
        <v>11741</v>
      </c>
      <c r="F4327">
        <v>98.2</v>
      </c>
      <c r="H4327" t="s">
        <v>7578</v>
      </c>
    </row>
    <row r="4328" spans="2:8" x14ac:dyDescent="0.2">
      <c r="B4328" t="s">
        <v>1433</v>
      </c>
      <c r="C4328" t="s">
        <v>12906</v>
      </c>
      <c r="D4328" t="s">
        <v>617</v>
      </c>
      <c r="E4328" t="s">
        <v>11742</v>
      </c>
      <c r="F4328">
        <v>22.68</v>
      </c>
      <c r="H4328" t="s">
        <v>1627</v>
      </c>
    </row>
    <row r="4329" spans="2:8" x14ac:dyDescent="0.2">
      <c r="B4329" t="s">
        <v>1433</v>
      </c>
      <c r="C4329" t="s">
        <v>12906</v>
      </c>
      <c r="D4329" t="s">
        <v>617</v>
      </c>
      <c r="E4329" t="s">
        <v>11743</v>
      </c>
      <c r="F4329">
        <v>3.5</v>
      </c>
      <c r="H4329" t="s">
        <v>1629</v>
      </c>
    </row>
    <row r="4330" spans="2:8" x14ac:dyDescent="0.2">
      <c r="B4330" t="s">
        <v>1433</v>
      </c>
      <c r="C4330" t="s">
        <v>12906</v>
      </c>
      <c r="D4330" t="s">
        <v>613</v>
      </c>
      <c r="E4330" t="s">
        <v>11744</v>
      </c>
      <c r="F4330">
        <v>10</v>
      </c>
      <c r="H4330" t="s">
        <v>2512</v>
      </c>
    </row>
    <row r="4331" spans="2:8" x14ac:dyDescent="0.2">
      <c r="B4331" t="s">
        <v>1433</v>
      </c>
      <c r="C4331" t="s">
        <v>12906</v>
      </c>
      <c r="D4331" t="s">
        <v>621</v>
      </c>
      <c r="E4331" t="s">
        <v>11745</v>
      </c>
      <c r="F4331">
        <v>35.04</v>
      </c>
      <c r="H4331" t="s">
        <v>6541</v>
      </c>
    </row>
    <row r="4332" spans="2:8" x14ac:dyDescent="0.2">
      <c r="B4332" t="s">
        <v>1433</v>
      </c>
      <c r="C4332" t="s">
        <v>12906</v>
      </c>
      <c r="D4332" t="s">
        <v>617</v>
      </c>
      <c r="E4332" t="s">
        <v>11746</v>
      </c>
      <c r="F4332">
        <v>52.5</v>
      </c>
      <c r="H4332" t="s">
        <v>1580</v>
      </c>
    </row>
    <row r="4333" spans="2:8" x14ac:dyDescent="0.2">
      <c r="B4333" t="s">
        <v>1433</v>
      </c>
      <c r="C4333" t="s">
        <v>12906</v>
      </c>
      <c r="D4333" t="s">
        <v>621</v>
      </c>
      <c r="E4333" t="s">
        <v>11747</v>
      </c>
      <c r="F4333">
        <v>1627.72</v>
      </c>
      <c r="H4333" t="s">
        <v>1892</v>
      </c>
    </row>
    <row r="4334" spans="2:8" x14ac:dyDescent="0.2">
      <c r="B4334" t="s">
        <v>1433</v>
      </c>
      <c r="C4334" t="s">
        <v>12906</v>
      </c>
      <c r="D4334" t="s">
        <v>621</v>
      </c>
      <c r="E4334" t="s">
        <v>11748</v>
      </c>
      <c r="F4334">
        <v>1627.72</v>
      </c>
      <c r="H4334" t="s">
        <v>1894</v>
      </c>
    </row>
    <row r="4335" spans="2:8" x14ac:dyDescent="0.2">
      <c r="B4335" t="s">
        <v>1433</v>
      </c>
      <c r="C4335" t="s">
        <v>12906</v>
      </c>
      <c r="D4335" t="s">
        <v>621</v>
      </c>
      <c r="E4335" t="s">
        <v>11749</v>
      </c>
      <c r="F4335">
        <v>1627.72</v>
      </c>
      <c r="H4335" t="s">
        <v>1895</v>
      </c>
    </row>
    <row r="4336" spans="2:8" x14ac:dyDescent="0.2">
      <c r="B4336" t="s">
        <v>1433</v>
      </c>
      <c r="C4336" t="s">
        <v>12906</v>
      </c>
      <c r="D4336" t="s">
        <v>621</v>
      </c>
      <c r="E4336" t="s">
        <v>11750</v>
      </c>
      <c r="F4336">
        <v>1716.32</v>
      </c>
      <c r="H4336" t="s">
        <v>1896</v>
      </c>
    </row>
    <row r="4337" spans="2:8" x14ac:dyDescent="0.2">
      <c r="B4337" t="s">
        <v>1433</v>
      </c>
      <c r="C4337" t="s">
        <v>12906</v>
      </c>
      <c r="D4337" t="s">
        <v>621</v>
      </c>
      <c r="E4337" t="s">
        <v>11751</v>
      </c>
      <c r="F4337">
        <v>1627.72</v>
      </c>
      <c r="H4337" t="s">
        <v>1897</v>
      </c>
    </row>
    <row r="4338" spans="2:8" x14ac:dyDescent="0.2">
      <c r="B4338" t="s">
        <v>1433</v>
      </c>
      <c r="C4338" t="s">
        <v>12906</v>
      </c>
      <c r="D4338" t="s">
        <v>621</v>
      </c>
      <c r="E4338" t="s">
        <v>11752</v>
      </c>
      <c r="F4338">
        <v>1797.9</v>
      </c>
      <c r="H4338" t="s">
        <v>1898</v>
      </c>
    </row>
    <row r="4339" spans="2:8" x14ac:dyDescent="0.2">
      <c r="B4339" t="s">
        <v>1433</v>
      </c>
      <c r="C4339" t="s">
        <v>12906</v>
      </c>
      <c r="D4339" t="s">
        <v>621</v>
      </c>
      <c r="E4339" t="s">
        <v>11753</v>
      </c>
      <c r="F4339">
        <v>1797.9</v>
      </c>
      <c r="H4339" t="s">
        <v>1899</v>
      </c>
    </row>
    <row r="4340" spans="2:8" x14ac:dyDescent="0.2">
      <c r="B4340" t="s">
        <v>1433</v>
      </c>
      <c r="C4340" t="s">
        <v>12906</v>
      </c>
      <c r="D4340" t="s">
        <v>621</v>
      </c>
      <c r="E4340" t="s">
        <v>11754</v>
      </c>
      <c r="F4340">
        <v>1627.72</v>
      </c>
      <c r="H4340" t="s">
        <v>1900</v>
      </c>
    </row>
    <row r="4341" spans="2:8" x14ac:dyDescent="0.2">
      <c r="B4341" t="s">
        <v>1433</v>
      </c>
      <c r="C4341" t="s">
        <v>12906</v>
      </c>
      <c r="D4341" t="s">
        <v>621</v>
      </c>
      <c r="E4341" t="s">
        <v>11755</v>
      </c>
      <c r="F4341">
        <v>1886.5</v>
      </c>
      <c r="H4341" t="s">
        <v>1754</v>
      </c>
    </row>
    <row r="4342" spans="2:8" x14ac:dyDescent="0.2">
      <c r="B4342" t="s">
        <v>1433</v>
      </c>
      <c r="C4342" t="s">
        <v>12906</v>
      </c>
      <c r="D4342" t="s">
        <v>621</v>
      </c>
      <c r="E4342" t="s">
        <v>11756</v>
      </c>
      <c r="F4342">
        <v>1627.72</v>
      </c>
      <c r="H4342" t="s">
        <v>1756</v>
      </c>
    </row>
    <row r="4343" spans="2:8" x14ac:dyDescent="0.2">
      <c r="B4343" t="s">
        <v>1433</v>
      </c>
      <c r="C4343" t="s">
        <v>12906</v>
      </c>
      <c r="D4343" t="s">
        <v>621</v>
      </c>
      <c r="E4343" t="s">
        <v>11757</v>
      </c>
      <c r="F4343">
        <v>1804.92</v>
      </c>
      <c r="H4343" t="s">
        <v>1757</v>
      </c>
    </row>
    <row r="4344" spans="2:8" x14ac:dyDescent="0.2">
      <c r="B4344" t="s">
        <v>1433</v>
      </c>
      <c r="C4344" t="s">
        <v>12906</v>
      </c>
      <c r="D4344" t="s">
        <v>621</v>
      </c>
      <c r="E4344" t="s">
        <v>11758</v>
      </c>
      <c r="F4344">
        <v>1975.1</v>
      </c>
      <c r="H4344" t="s">
        <v>1758</v>
      </c>
    </row>
    <row r="4345" spans="2:8" x14ac:dyDescent="0.2">
      <c r="B4345" t="s">
        <v>1433</v>
      </c>
      <c r="C4345" t="s">
        <v>12906</v>
      </c>
      <c r="D4345" t="s">
        <v>621</v>
      </c>
      <c r="E4345" t="s">
        <v>11759</v>
      </c>
      <c r="F4345">
        <v>1455.44</v>
      </c>
      <c r="H4345" t="s">
        <v>1759</v>
      </c>
    </row>
    <row r="4346" spans="2:8" x14ac:dyDescent="0.2">
      <c r="B4346" t="s">
        <v>1433</v>
      </c>
      <c r="C4346" t="s">
        <v>12906</v>
      </c>
      <c r="D4346" t="s">
        <v>621</v>
      </c>
      <c r="E4346" t="s">
        <v>11760</v>
      </c>
      <c r="F4346">
        <v>1976.72</v>
      </c>
      <c r="H4346" t="s">
        <v>2293</v>
      </c>
    </row>
    <row r="4347" spans="2:8" x14ac:dyDescent="0.2">
      <c r="B4347" t="s">
        <v>1433</v>
      </c>
      <c r="C4347" t="s">
        <v>12906</v>
      </c>
      <c r="D4347" t="s">
        <v>621</v>
      </c>
      <c r="E4347" t="s">
        <v>11761</v>
      </c>
      <c r="F4347">
        <v>1658.9</v>
      </c>
      <c r="H4347" t="s">
        <v>2133</v>
      </c>
    </row>
    <row r="4348" spans="2:8" x14ac:dyDescent="0.2">
      <c r="B4348" t="s">
        <v>1433</v>
      </c>
      <c r="C4348" t="s">
        <v>12906</v>
      </c>
      <c r="D4348" t="s">
        <v>617</v>
      </c>
      <c r="E4348" t="s">
        <v>11762</v>
      </c>
      <c r="F4348">
        <v>180.75</v>
      </c>
      <c r="H4348" t="s">
        <v>1725</v>
      </c>
    </row>
    <row r="4349" spans="2:8" x14ac:dyDescent="0.2">
      <c r="B4349" t="s">
        <v>1433</v>
      </c>
      <c r="C4349" t="s">
        <v>12906</v>
      </c>
      <c r="D4349" t="s">
        <v>617</v>
      </c>
      <c r="E4349" t="s">
        <v>11763</v>
      </c>
      <c r="F4349">
        <v>157.5</v>
      </c>
      <c r="H4349" t="s">
        <v>1820</v>
      </c>
    </row>
    <row r="4350" spans="2:8" x14ac:dyDescent="0.2">
      <c r="B4350" t="s">
        <v>1433</v>
      </c>
      <c r="C4350" t="s">
        <v>12906</v>
      </c>
      <c r="D4350" t="s">
        <v>617</v>
      </c>
      <c r="E4350" t="s">
        <v>11764</v>
      </c>
      <c r="F4350">
        <v>771</v>
      </c>
      <c r="H4350" t="s">
        <v>1585</v>
      </c>
    </row>
    <row r="4351" spans="2:8" x14ac:dyDescent="0.2">
      <c r="B4351" t="s">
        <v>1433</v>
      </c>
      <c r="C4351" t="s">
        <v>12906</v>
      </c>
      <c r="D4351" t="s">
        <v>617</v>
      </c>
      <c r="E4351" t="s">
        <v>11765</v>
      </c>
      <c r="F4351">
        <v>835</v>
      </c>
      <c r="H4351" t="s">
        <v>1723</v>
      </c>
    </row>
    <row r="4352" spans="2:8" x14ac:dyDescent="0.2">
      <c r="B4352" t="s">
        <v>1433</v>
      </c>
      <c r="C4352" t="s">
        <v>12906</v>
      </c>
      <c r="D4352" t="s">
        <v>617</v>
      </c>
      <c r="E4352" t="s">
        <v>11766</v>
      </c>
      <c r="F4352">
        <v>935</v>
      </c>
      <c r="H4352" t="s">
        <v>1724</v>
      </c>
    </row>
    <row r="4353" spans="2:8" x14ac:dyDescent="0.2">
      <c r="B4353" t="s">
        <v>1433</v>
      </c>
      <c r="C4353" t="s">
        <v>12906</v>
      </c>
      <c r="D4353" t="s">
        <v>617</v>
      </c>
      <c r="E4353" t="s">
        <v>11767</v>
      </c>
      <c r="F4353">
        <v>387.5</v>
      </c>
      <c r="H4353" t="s">
        <v>1891</v>
      </c>
    </row>
    <row r="4354" spans="2:8" x14ac:dyDescent="0.2">
      <c r="B4354" t="s">
        <v>1433</v>
      </c>
      <c r="C4354" t="s">
        <v>12906</v>
      </c>
      <c r="D4354" t="s">
        <v>617</v>
      </c>
      <c r="E4354" t="s">
        <v>11768</v>
      </c>
      <c r="F4354">
        <v>2048.1</v>
      </c>
      <c r="H4354" t="s">
        <v>1487</v>
      </c>
    </row>
    <row r="4355" spans="2:8" x14ac:dyDescent="0.2">
      <c r="B4355" t="s">
        <v>1433</v>
      </c>
      <c r="C4355" t="s">
        <v>12906</v>
      </c>
      <c r="D4355" t="s">
        <v>617</v>
      </c>
      <c r="E4355" t="s">
        <v>11769</v>
      </c>
      <c r="F4355">
        <v>23.44</v>
      </c>
      <c r="G4355" t="s">
        <v>2289</v>
      </c>
    </row>
    <row r="4356" spans="2:8" x14ac:dyDescent="0.2">
      <c r="B4356" t="s">
        <v>1433</v>
      </c>
      <c r="C4356" t="s">
        <v>12906</v>
      </c>
      <c r="D4356" t="s">
        <v>1144</v>
      </c>
      <c r="E4356" t="s">
        <v>11770</v>
      </c>
      <c r="F4356">
        <v>511.75</v>
      </c>
      <c r="G4356" t="s">
        <v>2179</v>
      </c>
    </row>
    <row r="4357" spans="2:8" x14ac:dyDescent="0.2">
      <c r="B4357" t="s">
        <v>1433</v>
      </c>
      <c r="C4357" t="s">
        <v>12906</v>
      </c>
      <c r="D4357" t="s">
        <v>1144</v>
      </c>
      <c r="E4357" t="s">
        <v>11771</v>
      </c>
      <c r="F4357">
        <v>477.25</v>
      </c>
      <c r="G4357" t="s">
        <v>1356</v>
      </c>
    </row>
    <row r="4358" spans="2:8" x14ac:dyDescent="0.2">
      <c r="B4358" t="s">
        <v>1433</v>
      </c>
      <c r="C4358" t="s">
        <v>12906</v>
      </c>
      <c r="D4358" t="s">
        <v>1169</v>
      </c>
      <c r="E4358" t="s">
        <v>11772</v>
      </c>
      <c r="F4358">
        <v>13500</v>
      </c>
      <c r="G4358" t="s">
        <v>3070</v>
      </c>
    </row>
    <row r="4359" spans="2:8" x14ac:dyDescent="0.2">
      <c r="B4359" t="s">
        <v>1433</v>
      </c>
      <c r="C4359" t="s">
        <v>12906</v>
      </c>
      <c r="D4359" t="s">
        <v>1169</v>
      </c>
      <c r="E4359" t="s">
        <v>11773</v>
      </c>
      <c r="F4359">
        <v>13500</v>
      </c>
      <c r="G4359" t="s">
        <v>3070</v>
      </c>
    </row>
    <row r="4360" spans="2:8" x14ac:dyDescent="0.2">
      <c r="B4360" t="s">
        <v>1433</v>
      </c>
      <c r="C4360" t="s">
        <v>12906</v>
      </c>
      <c r="D4360" t="s">
        <v>1169</v>
      </c>
      <c r="E4360" t="s">
        <v>11774</v>
      </c>
      <c r="F4360">
        <v>4500</v>
      </c>
      <c r="G4360" t="s">
        <v>3070</v>
      </c>
    </row>
    <row r="4361" spans="2:8" x14ac:dyDescent="0.2">
      <c r="B4361" t="s">
        <v>1433</v>
      </c>
      <c r="C4361" t="s">
        <v>12906</v>
      </c>
      <c r="D4361" t="s">
        <v>1169</v>
      </c>
      <c r="E4361" t="s">
        <v>11775</v>
      </c>
      <c r="F4361">
        <v>4500</v>
      </c>
      <c r="G4361" t="s">
        <v>3070</v>
      </c>
    </row>
    <row r="4362" spans="2:8" x14ac:dyDescent="0.2">
      <c r="B4362" t="s">
        <v>1433</v>
      </c>
      <c r="C4362" t="s">
        <v>12906</v>
      </c>
      <c r="D4362" t="s">
        <v>1169</v>
      </c>
      <c r="E4362" t="s">
        <v>11776</v>
      </c>
      <c r="F4362">
        <v>4500</v>
      </c>
      <c r="G4362" t="s">
        <v>3070</v>
      </c>
    </row>
    <row r="4363" spans="2:8" x14ac:dyDescent="0.2">
      <c r="B4363" t="s">
        <v>1433</v>
      </c>
      <c r="C4363" t="s">
        <v>12906</v>
      </c>
      <c r="D4363" t="s">
        <v>1169</v>
      </c>
      <c r="E4363" t="s">
        <v>11777</v>
      </c>
      <c r="F4363">
        <v>4500</v>
      </c>
      <c r="G4363" t="s">
        <v>3070</v>
      </c>
    </row>
    <row r="4364" spans="2:8" x14ac:dyDescent="0.2">
      <c r="B4364" t="s">
        <v>1433</v>
      </c>
      <c r="C4364" t="s">
        <v>12906</v>
      </c>
      <c r="D4364" t="s">
        <v>617</v>
      </c>
      <c r="E4364" t="s">
        <v>11778</v>
      </c>
      <c r="F4364">
        <v>1500</v>
      </c>
      <c r="G4364" t="s">
        <v>3072</v>
      </c>
    </row>
    <row r="4365" spans="2:8" x14ac:dyDescent="0.2">
      <c r="B4365" t="s">
        <v>1433</v>
      </c>
      <c r="C4365" t="s">
        <v>12906</v>
      </c>
      <c r="D4365" t="s">
        <v>617</v>
      </c>
      <c r="E4365" t="s">
        <v>11779</v>
      </c>
      <c r="F4365">
        <v>1500</v>
      </c>
      <c r="G4365" t="s">
        <v>3072</v>
      </c>
    </row>
    <row r="4366" spans="2:8" x14ac:dyDescent="0.2">
      <c r="B4366" t="s">
        <v>1433</v>
      </c>
      <c r="C4366" t="s">
        <v>12906</v>
      </c>
      <c r="D4366" t="s">
        <v>617</v>
      </c>
      <c r="E4366" t="s">
        <v>11780</v>
      </c>
      <c r="F4366">
        <v>500</v>
      </c>
      <c r="G4366" t="s">
        <v>3072</v>
      </c>
    </row>
    <row r="4367" spans="2:8" x14ac:dyDescent="0.2">
      <c r="B4367" t="s">
        <v>1433</v>
      </c>
      <c r="C4367" t="s">
        <v>12906</v>
      </c>
      <c r="D4367" t="s">
        <v>617</v>
      </c>
      <c r="E4367" t="s">
        <v>11781</v>
      </c>
      <c r="F4367">
        <v>500</v>
      </c>
      <c r="G4367" t="s">
        <v>3072</v>
      </c>
    </row>
    <row r="4368" spans="2:8" x14ac:dyDescent="0.2">
      <c r="B4368" t="s">
        <v>1433</v>
      </c>
      <c r="C4368" t="s">
        <v>12906</v>
      </c>
      <c r="D4368" t="s">
        <v>617</v>
      </c>
      <c r="E4368" t="s">
        <v>11782</v>
      </c>
      <c r="F4368">
        <v>500</v>
      </c>
      <c r="G4368" t="s">
        <v>3072</v>
      </c>
    </row>
    <row r="4369" spans="2:8" x14ac:dyDescent="0.2">
      <c r="B4369" t="s">
        <v>1433</v>
      </c>
      <c r="C4369" t="s">
        <v>12906</v>
      </c>
      <c r="D4369" t="s">
        <v>617</v>
      </c>
      <c r="E4369" t="s">
        <v>11783</v>
      </c>
      <c r="F4369">
        <v>500</v>
      </c>
      <c r="G4369" t="s">
        <v>3072</v>
      </c>
    </row>
    <row r="4370" spans="2:8" x14ac:dyDescent="0.2">
      <c r="B4370" t="s">
        <v>1433</v>
      </c>
      <c r="C4370" t="s">
        <v>12906</v>
      </c>
      <c r="D4370" t="s">
        <v>617</v>
      </c>
      <c r="E4370" t="s">
        <v>11784</v>
      </c>
      <c r="F4370">
        <v>105.6</v>
      </c>
      <c r="G4370" t="s">
        <v>2461</v>
      </c>
    </row>
    <row r="4371" spans="2:8" x14ac:dyDescent="0.2">
      <c r="B4371" t="s">
        <v>1433</v>
      </c>
      <c r="C4371" t="s">
        <v>12906</v>
      </c>
      <c r="D4371" t="s">
        <v>621</v>
      </c>
      <c r="E4371" t="s">
        <v>11785</v>
      </c>
      <c r="F4371">
        <v>47.98</v>
      </c>
      <c r="H4371" t="s">
        <v>2128</v>
      </c>
    </row>
    <row r="4372" spans="2:8" x14ac:dyDescent="0.2">
      <c r="B4372" t="s">
        <v>1433</v>
      </c>
      <c r="C4372" t="s">
        <v>12906</v>
      </c>
      <c r="D4372" t="s">
        <v>621</v>
      </c>
      <c r="E4372" t="s">
        <v>11786</v>
      </c>
      <c r="F4372">
        <v>-47.98</v>
      </c>
      <c r="H4372" t="s">
        <v>2128</v>
      </c>
    </row>
    <row r="4373" spans="2:8" x14ac:dyDescent="0.2">
      <c r="B4373" t="s">
        <v>1433</v>
      </c>
      <c r="C4373" t="s">
        <v>12906</v>
      </c>
      <c r="D4373" t="s">
        <v>621</v>
      </c>
      <c r="E4373" t="s">
        <v>11787</v>
      </c>
      <c r="F4373">
        <v>95.96</v>
      </c>
      <c r="H4373" t="s">
        <v>2128</v>
      </c>
    </row>
    <row r="4374" spans="2:8" x14ac:dyDescent="0.2">
      <c r="B4374" t="s">
        <v>1433</v>
      </c>
      <c r="C4374" t="s">
        <v>12906</v>
      </c>
      <c r="D4374" t="s">
        <v>621</v>
      </c>
      <c r="E4374" t="s">
        <v>11788</v>
      </c>
      <c r="F4374">
        <v>71.97</v>
      </c>
      <c r="H4374" t="s">
        <v>2128</v>
      </c>
    </row>
    <row r="4375" spans="2:8" x14ac:dyDescent="0.2">
      <c r="B4375" t="s">
        <v>1433</v>
      </c>
      <c r="C4375" t="s">
        <v>12906</v>
      </c>
      <c r="D4375" t="s">
        <v>621</v>
      </c>
      <c r="E4375" t="s">
        <v>11789</v>
      </c>
      <c r="F4375">
        <v>215.91</v>
      </c>
      <c r="H4375" t="s">
        <v>2128</v>
      </c>
    </row>
    <row r="4376" spans="2:8" x14ac:dyDescent="0.2">
      <c r="B4376" t="s">
        <v>1433</v>
      </c>
      <c r="C4376" t="s">
        <v>12906</v>
      </c>
      <c r="D4376" t="s">
        <v>621</v>
      </c>
      <c r="E4376" t="s">
        <v>11790</v>
      </c>
      <c r="F4376">
        <v>100.4</v>
      </c>
      <c r="H4376" t="s">
        <v>2129</v>
      </c>
    </row>
    <row r="4377" spans="2:8" x14ac:dyDescent="0.2">
      <c r="B4377" t="s">
        <v>1433</v>
      </c>
      <c r="C4377" t="s">
        <v>12906</v>
      </c>
      <c r="D4377" t="s">
        <v>621</v>
      </c>
      <c r="E4377" t="s">
        <v>11791</v>
      </c>
      <c r="F4377">
        <v>100.4</v>
      </c>
      <c r="H4377" t="s">
        <v>2129</v>
      </c>
    </row>
    <row r="4378" spans="2:8" x14ac:dyDescent="0.2">
      <c r="B4378" t="s">
        <v>1433</v>
      </c>
      <c r="C4378" t="s">
        <v>12906</v>
      </c>
      <c r="D4378" t="s">
        <v>621</v>
      </c>
      <c r="E4378" t="s">
        <v>11792</v>
      </c>
      <c r="F4378">
        <v>163.04</v>
      </c>
      <c r="H4378" t="s">
        <v>2130</v>
      </c>
    </row>
    <row r="4379" spans="2:8" x14ac:dyDescent="0.2">
      <c r="B4379" t="s">
        <v>1433</v>
      </c>
      <c r="C4379" t="s">
        <v>12906</v>
      </c>
      <c r="D4379" t="s">
        <v>621</v>
      </c>
      <c r="E4379" t="s">
        <v>11793</v>
      </c>
      <c r="F4379">
        <v>163.04</v>
      </c>
      <c r="H4379" t="s">
        <v>2130</v>
      </c>
    </row>
    <row r="4380" spans="2:8" x14ac:dyDescent="0.2">
      <c r="B4380" t="s">
        <v>1433</v>
      </c>
      <c r="C4380" t="s">
        <v>12906</v>
      </c>
      <c r="D4380" t="s">
        <v>621</v>
      </c>
      <c r="E4380" t="s">
        <v>11794</v>
      </c>
      <c r="F4380">
        <v>65.64</v>
      </c>
      <c r="H4380" t="s">
        <v>2131</v>
      </c>
    </row>
    <row r="4381" spans="2:8" x14ac:dyDescent="0.2">
      <c r="B4381" t="s">
        <v>1433</v>
      </c>
      <c r="C4381" t="s">
        <v>12906</v>
      </c>
      <c r="D4381" t="s">
        <v>621</v>
      </c>
      <c r="E4381" t="s">
        <v>11795</v>
      </c>
      <c r="F4381">
        <v>-65.64</v>
      </c>
      <c r="H4381" t="s">
        <v>2131</v>
      </c>
    </row>
    <row r="4382" spans="2:8" x14ac:dyDescent="0.2">
      <c r="B4382" t="s">
        <v>1433</v>
      </c>
      <c r="C4382" t="s">
        <v>12906</v>
      </c>
      <c r="D4382" t="s">
        <v>621</v>
      </c>
      <c r="E4382" t="s">
        <v>11796</v>
      </c>
      <c r="F4382">
        <v>32.82</v>
      </c>
      <c r="H4382" t="s">
        <v>2131</v>
      </c>
    </row>
    <row r="4383" spans="2:8" x14ac:dyDescent="0.2">
      <c r="B4383" t="s">
        <v>1433</v>
      </c>
      <c r="C4383" t="s">
        <v>12906</v>
      </c>
      <c r="D4383" t="s">
        <v>621</v>
      </c>
      <c r="E4383" t="s">
        <v>11797</v>
      </c>
      <c r="F4383">
        <v>222.35</v>
      </c>
      <c r="H4383" t="s">
        <v>2131</v>
      </c>
    </row>
    <row r="4384" spans="2:8" x14ac:dyDescent="0.2">
      <c r="B4384" t="s">
        <v>1433</v>
      </c>
      <c r="C4384" t="s">
        <v>12906</v>
      </c>
      <c r="D4384" t="s">
        <v>621</v>
      </c>
      <c r="E4384" t="s">
        <v>11798</v>
      </c>
      <c r="F4384">
        <v>4.4000000000000004</v>
      </c>
      <c r="H4384" t="s">
        <v>2452</v>
      </c>
    </row>
    <row r="4385" spans="2:8" x14ac:dyDescent="0.2">
      <c r="B4385" t="s">
        <v>1433</v>
      </c>
      <c r="C4385" t="s">
        <v>12906</v>
      </c>
      <c r="D4385" t="s">
        <v>621</v>
      </c>
      <c r="E4385" t="s">
        <v>11799</v>
      </c>
      <c r="F4385">
        <v>2.56</v>
      </c>
      <c r="H4385" t="s">
        <v>2454</v>
      </c>
    </row>
    <row r="4386" spans="2:8" x14ac:dyDescent="0.2">
      <c r="B4386" t="s">
        <v>1433</v>
      </c>
      <c r="C4386" t="s">
        <v>12906</v>
      </c>
      <c r="D4386" t="s">
        <v>621</v>
      </c>
      <c r="E4386" t="s">
        <v>11800</v>
      </c>
      <c r="F4386">
        <v>2499.06</v>
      </c>
      <c r="H4386" t="s">
        <v>2455</v>
      </c>
    </row>
    <row r="4387" spans="2:8" x14ac:dyDescent="0.2">
      <c r="B4387" t="s">
        <v>1433</v>
      </c>
      <c r="C4387" t="s">
        <v>12906</v>
      </c>
      <c r="D4387" t="s">
        <v>621</v>
      </c>
      <c r="E4387" t="s">
        <v>11801</v>
      </c>
      <c r="F4387">
        <v>707.64</v>
      </c>
      <c r="H4387" t="s">
        <v>2456</v>
      </c>
    </row>
    <row r="4388" spans="2:8" x14ac:dyDescent="0.2">
      <c r="B4388" t="s">
        <v>1433</v>
      </c>
      <c r="C4388" t="s">
        <v>12906</v>
      </c>
      <c r="D4388" t="s">
        <v>621</v>
      </c>
      <c r="E4388" t="s">
        <v>11802</v>
      </c>
      <c r="F4388">
        <v>613.20000000000005</v>
      </c>
      <c r="H4388" t="s">
        <v>2457</v>
      </c>
    </row>
    <row r="4389" spans="2:8" x14ac:dyDescent="0.2">
      <c r="B4389" t="s">
        <v>1433</v>
      </c>
      <c r="C4389" t="s">
        <v>12906</v>
      </c>
      <c r="D4389" t="s">
        <v>621</v>
      </c>
      <c r="E4389" t="s">
        <v>11803</v>
      </c>
      <c r="F4389">
        <v>389.36</v>
      </c>
      <c r="H4389" t="s">
        <v>2132</v>
      </c>
    </row>
    <row r="4390" spans="2:8" x14ac:dyDescent="0.2">
      <c r="B4390" t="s">
        <v>1433</v>
      </c>
      <c r="C4390" t="s">
        <v>12906</v>
      </c>
      <c r="D4390" t="s">
        <v>621</v>
      </c>
      <c r="E4390" t="s">
        <v>11804</v>
      </c>
      <c r="F4390">
        <v>681.38</v>
      </c>
      <c r="H4390" t="s">
        <v>2132</v>
      </c>
    </row>
    <row r="4391" spans="2:8" x14ac:dyDescent="0.2">
      <c r="B4391" t="s">
        <v>1433</v>
      </c>
      <c r="C4391" t="s">
        <v>12906</v>
      </c>
      <c r="D4391" t="s">
        <v>621</v>
      </c>
      <c r="E4391" t="s">
        <v>11805</v>
      </c>
      <c r="F4391">
        <v>162.80000000000001</v>
      </c>
      <c r="H4391" t="s">
        <v>2560</v>
      </c>
    </row>
    <row r="4392" spans="2:8" x14ac:dyDescent="0.2">
      <c r="B4392" t="s">
        <v>1433</v>
      </c>
      <c r="C4392" t="s">
        <v>12906</v>
      </c>
      <c r="D4392" t="s">
        <v>617</v>
      </c>
      <c r="E4392" t="s">
        <v>11806</v>
      </c>
      <c r="F4392">
        <v>384</v>
      </c>
      <c r="G4392" t="s">
        <v>2528</v>
      </c>
    </row>
    <row r="4393" spans="2:8" x14ac:dyDescent="0.2">
      <c r="B4393" t="s">
        <v>1433</v>
      </c>
      <c r="C4393" t="s">
        <v>12906</v>
      </c>
      <c r="D4393" t="s">
        <v>621</v>
      </c>
      <c r="E4393" t="s">
        <v>11807</v>
      </c>
      <c r="F4393">
        <v>73.8</v>
      </c>
      <c r="G4393" t="s">
        <v>6873</v>
      </c>
    </row>
    <row r="4394" spans="2:8" x14ac:dyDescent="0.2">
      <c r="B4394" t="s">
        <v>1433</v>
      </c>
      <c r="C4394" t="s">
        <v>12906</v>
      </c>
      <c r="D4394" t="s">
        <v>617</v>
      </c>
      <c r="E4394" t="s">
        <v>11808</v>
      </c>
      <c r="F4394">
        <v>23.44</v>
      </c>
      <c r="G4394" t="s">
        <v>2289</v>
      </c>
    </row>
    <row r="4395" spans="2:8" x14ac:dyDescent="0.2">
      <c r="B4395" t="s">
        <v>1433</v>
      </c>
      <c r="C4395" t="s">
        <v>12906</v>
      </c>
      <c r="D4395" t="s">
        <v>621</v>
      </c>
      <c r="E4395" t="s">
        <v>11809</v>
      </c>
      <c r="F4395">
        <v>47.98</v>
      </c>
      <c r="H4395" t="s">
        <v>2128</v>
      </c>
    </row>
    <row r="4396" spans="2:8" x14ac:dyDescent="0.2">
      <c r="B4396" t="s">
        <v>1433</v>
      </c>
      <c r="C4396" t="s">
        <v>12906</v>
      </c>
      <c r="D4396" t="s">
        <v>621</v>
      </c>
      <c r="E4396" t="s">
        <v>11810</v>
      </c>
      <c r="F4396">
        <v>-47.98</v>
      </c>
      <c r="H4396" t="s">
        <v>2128</v>
      </c>
    </row>
    <row r="4397" spans="2:8" x14ac:dyDescent="0.2">
      <c r="B4397" t="s">
        <v>1433</v>
      </c>
      <c r="C4397" t="s">
        <v>12906</v>
      </c>
      <c r="D4397" t="s">
        <v>621</v>
      </c>
      <c r="E4397" t="s">
        <v>11811</v>
      </c>
      <c r="F4397">
        <v>95.96</v>
      </c>
      <c r="H4397" t="s">
        <v>2128</v>
      </c>
    </row>
    <row r="4398" spans="2:8" x14ac:dyDescent="0.2">
      <c r="B4398" t="s">
        <v>1433</v>
      </c>
      <c r="C4398" t="s">
        <v>12906</v>
      </c>
      <c r="D4398" t="s">
        <v>621</v>
      </c>
      <c r="E4398" t="s">
        <v>11812</v>
      </c>
      <c r="F4398">
        <v>71.97</v>
      </c>
      <c r="H4398" t="s">
        <v>2128</v>
      </c>
    </row>
    <row r="4399" spans="2:8" x14ac:dyDescent="0.2">
      <c r="B4399" t="s">
        <v>1433</v>
      </c>
      <c r="C4399" t="s">
        <v>12906</v>
      </c>
      <c r="D4399" t="s">
        <v>621</v>
      </c>
      <c r="E4399" t="s">
        <v>11813</v>
      </c>
      <c r="F4399">
        <v>311.87</v>
      </c>
      <c r="H4399" t="s">
        <v>2128</v>
      </c>
    </row>
    <row r="4400" spans="2:8" x14ac:dyDescent="0.2">
      <c r="B4400" t="s">
        <v>1433</v>
      </c>
      <c r="C4400" t="s">
        <v>12906</v>
      </c>
      <c r="D4400" t="s">
        <v>621</v>
      </c>
      <c r="E4400" t="s">
        <v>11814</v>
      </c>
      <c r="F4400">
        <v>-311.87</v>
      </c>
      <c r="H4400" t="s">
        <v>2128</v>
      </c>
    </row>
    <row r="4401" spans="2:8" x14ac:dyDescent="0.2">
      <c r="B4401" t="s">
        <v>1433</v>
      </c>
      <c r="C4401" t="s">
        <v>12906</v>
      </c>
      <c r="D4401" t="s">
        <v>621</v>
      </c>
      <c r="E4401" t="s">
        <v>11815</v>
      </c>
      <c r="F4401">
        <v>311.87</v>
      </c>
      <c r="H4401" t="s">
        <v>2128</v>
      </c>
    </row>
    <row r="4402" spans="2:8" x14ac:dyDescent="0.2">
      <c r="B4402" t="s">
        <v>1433</v>
      </c>
      <c r="C4402" t="s">
        <v>12906</v>
      </c>
      <c r="D4402" t="s">
        <v>621</v>
      </c>
      <c r="E4402" t="s">
        <v>11816</v>
      </c>
      <c r="F4402">
        <v>-311.87</v>
      </c>
      <c r="H4402" t="s">
        <v>2128</v>
      </c>
    </row>
    <row r="4403" spans="2:8" x14ac:dyDescent="0.2">
      <c r="B4403" t="s">
        <v>1433</v>
      </c>
      <c r="C4403" t="s">
        <v>12906</v>
      </c>
      <c r="D4403" t="s">
        <v>621</v>
      </c>
      <c r="E4403" t="s">
        <v>11817</v>
      </c>
      <c r="F4403">
        <v>311.87</v>
      </c>
      <c r="H4403" t="s">
        <v>2128</v>
      </c>
    </row>
    <row r="4404" spans="2:8" x14ac:dyDescent="0.2">
      <c r="B4404" t="s">
        <v>1433</v>
      </c>
      <c r="C4404" t="s">
        <v>12906</v>
      </c>
      <c r="D4404" t="s">
        <v>621</v>
      </c>
      <c r="E4404" t="s">
        <v>11818</v>
      </c>
      <c r="F4404">
        <v>191.92</v>
      </c>
      <c r="H4404" t="s">
        <v>2128</v>
      </c>
    </row>
    <row r="4405" spans="2:8" x14ac:dyDescent="0.2">
      <c r="B4405" t="s">
        <v>1433</v>
      </c>
      <c r="C4405" t="s">
        <v>12906</v>
      </c>
      <c r="D4405" t="s">
        <v>621</v>
      </c>
      <c r="E4405" t="s">
        <v>11819</v>
      </c>
      <c r="F4405">
        <v>167.93</v>
      </c>
      <c r="H4405" t="s">
        <v>2128</v>
      </c>
    </row>
    <row r="4406" spans="2:8" x14ac:dyDescent="0.2">
      <c r="B4406" t="s">
        <v>1433</v>
      </c>
      <c r="C4406" t="s">
        <v>12906</v>
      </c>
      <c r="D4406" t="s">
        <v>621</v>
      </c>
      <c r="E4406" t="s">
        <v>11820</v>
      </c>
      <c r="F4406">
        <v>100.4</v>
      </c>
      <c r="H4406" t="s">
        <v>2129</v>
      </c>
    </row>
    <row r="4407" spans="2:8" x14ac:dyDescent="0.2">
      <c r="B4407" t="s">
        <v>1433</v>
      </c>
      <c r="C4407" t="s">
        <v>12906</v>
      </c>
      <c r="D4407" t="s">
        <v>621</v>
      </c>
      <c r="E4407" t="s">
        <v>11821</v>
      </c>
      <c r="F4407">
        <v>100.4</v>
      </c>
      <c r="H4407" t="s">
        <v>2129</v>
      </c>
    </row>
    <row r="4408" spans="2:8" x14ac:dyDescent="0.2">
      <c r="B4408" t="s">
        <v>1433</v>
      </c>
      <c r="C4408" t="s">
        <v>12906</v>
      </c>
      <c r="D4408" t="s">
        <v>621</v>
      </c>
      <c r="E4408" t="s">
        <v>11822</v>
      </c>
      <c r="F4408">
        <v>613.20000000000005</v>
      </c>
      <c r="H4408" t="s">
        <v>2457</v>
      </c>
    </row>
    <row r="4409" spans="2:8" x14ac:dyDescent="0.2">
      <c r="B4409" t="s">
        <v>1433</v>
      </c>
      <c r="C4409" t="s">
        <v>12906</v>
      </c>
      <c r="D4409" t="s">
        <v>621</v>
      </c>
      <c r="E4409" t="s">
        <v>11823</v>
      </c>
      <c r="F4409">
        <v>817.6</v>
      </c>
      <c r="H4409" t="s">
        <v>2457</v>
      </c>
    </row>
    <row r="4410" spans="2:8" x14ac:dyDescent="0.2">
      <c r="B4410" t="s">
        <v>1433</v>
      </c>
      <c r="C4410" t="s">
        <v>12906</v>
      </c>
      <c r="D4410" t="s">
        <v>621</v>
      </c>
      <c r="E4410" t="s">
        <v>11824</v>
      </c>
      <c r="F4410">
        <v>1170.71</v>
      </c>
      <c r="H4410" t="s">
        <v>2938</v>
      </c>
    </row>
    <row r="4411" spans="2:8" x14ac:dyDescent="0.2">
      <c r="B4411" t="s">
        <v>1433</v>
      </c>
      <c r="C4411" t="s">
        <v>12906</v>
      </c>
      <c r="D4411" t="s">
        <v>621</v>
      </c>
      <c r="E4411" t="s">
        <v>11825</v>
      </c>
      <c r="F4411">
        <v>1147.78</v>
      </c>
      <c r="H4411" t="s">
        <v>2940</v>
      </c>
    </row>
    <row r="4412" spans="2:8" x14ac:dyDescent="0.2">
      <c r="B4412" t="s">
        <v>1433</v>
      </c>
      <c r="C4412" t="s">
        <v>12906</v>
      </c>
      <c r="D4412" t="s">
        <v>621</v>
      </c>
      <c r="E4412" t="s">
        <v>11826</v>
      </c>
      <c r="F4412">
        <v>2851.94</v>
      </c>
      <c r="H4412" t="s">
        <v>2949</v>
      </c>
    </row>
    <row r="4413" spans="2:8" x14ac:dyDescent="0.2">
      <c r="B4413" t="s">
        <v>1433</v>
      </c>
      <c r="C4413" t="s">
        <v>12906</v>
      </c>
      <c r="D4413" t="s">
        <v>621</v>
      </c>
      <c r="E4413" t="s">
        <v>11827</v>
      </c>
      <c r="F4413">
        <v>1853.42</v>
      </c>
      <c r="H4413" t="s">
        <v>2951</v>
      </c>
    </row>
    <row r="4414" spans="2:8" x14ac:dyDescent="0.2">
      <c r="B4414" t="s">
        <v>1433</v>
      </c>
      <c r="C4414" t="s">
        <v>12906</v>
      </c>
      <c r="D4414" t="s">
        <v>621</v>
      </c>
      <c r="E4414" t="s">
        <v>11828</v>
      </c>
      <c r="F4414">
        <v>4682.84</v>
      </c>
      <c r="H4414" t="s">
        <v>2988</v>
      </c>
    </row>
    <row r="4415" spans="2:8" x14ac:dyDescent="0.2">
      <c r="B4415" t="s">
        <v>1433</v>
      </c>
      <c r="C4415" t="s">
        <v>12906</v>
      </c>
      <c r="D4415" t="s">
        <v>621</v>
      </c>
      <c r="E4415" t="s">
        <v>11829</v>
      </c>
      <c r="F4415">
        <v>1627.72</v>
      </c>
      <c r="H4415" t="s">
        <v>1892</v>
      </c>
    </row>
    <row r="4416" spans="2:8" x14ac:dyDescent="0.2">
      <c r="B4416" t="s">
        <v>1433</v>
      </c>
      <c r="C4416" t="s">
        <v>12906</v>
      </c>
      <c r="D4416" t="s">
        <v>617</v>
      </c>
      <c r="E4416" t="s">
        <v>11830</v>
      </c>
      <c r="F4416">
        <v>88</v>
      </c>
      <c r="G4416" t="s">
        <v>2644</v>
      </c>
    </row>
    <row r="4417" spans="2:8" x14ac:dyDescent="0.2">
      <c r="B4417" t="s">
        <v>1433</v>
      </c>
      <c r="C4417" t="s">
        <v>12906</v>
      </c>
      <c r="D4417" t="s">
        <v>621</v>
      </c>
      <c r="E4417" t="s">
        <v>11831</v>
      </c>
      <c r="F4417">
        <v>55.94</v>
      </c>
      <c r="H4417" t="s">
        <v>2676</v>
      </c>
    </row>
    <row r="4418" spans="2:8" x14ac:dyDescent="0.2">
      <c r="B4418" t="s">
        <v>1433</v>
      </c>
      <c r="C4418" t="s">
        <v>12906</v>
      </c>
      <c r="D4418" t="s">
        <v>621</v>
      </c>
      <c r="E4418" t="s">
        <v>11832</v>
      </c>
      <c r="F4418">
        <v>111.88</v>
      </c>
      <c r="H4418" t="s">
        <v>2678</v>
      </c>
    </row>
    <row r="4419" spans="2:8" x14ac:dyDescent="0.2">
      <c r="B4419" t="s">
        <v>1433</v>
      </c>
      <c r="C4419" t="s">
        <v>12906</v>
      </c>
      <c r="D4419" t="s">
        <v>617</v>
      </c>
      <c r="E4419" t="s">
        <v>11833</v>
      </c>
      <c r="F4419">
        <v>1314.12</v>
      </c>
      <c r="G4419" t="s">
        <v>1699</v>
      </c>
    </row>
    <row r="4420" spans="2:8" x14ac:dyDescent="0.2">
      <c r="B4420" t="s">
        <v>1433</v>
      </c>
      <c r="C4420" t="s">
        <v>12906</v>
      </c>
      <c r="D4420" t="s">
        <v>617</v>
      </c>
      <c r="E4420" t="s">
        <v>11834</v>
      </c>
      <c r="F4420">
        <v>10.95</v>
      </c>
      <c r="G4420" t="s">
        <v>1699</v>
      </c>
    </row>
    <row r="4421" spans="2:8" x14ac:dyDescent="0.2">
      <c r="B4421" t="s">
        <v>1433</v>
      </c>
      <c r="C4421" t="s">
        <v>12906</v>
      </c>
      <c r="D4421" t="s">
        <v>617</v>
      </c>
      <c r="E4421" t="s">
        <v>11835</v>
      </c>
      <c r="F4421">
        <v>10.95</v>
      </c>
      <c r="G4421" t="s">
        <v>1699</v>
      </c>
    </row>
    <row r="4422" spans="2:8" x14ac:dyDescent="0.2">
      <c r="B4422" t="s">
        <v>1433</v>
      </c>
      <c r="C4422" t="s">
        <v>12906</v>
      </c>
      <c r="D4422" t="s">
        <v>617</v>
      </c>
      <c r="E4422" t="s">
        <v>11836</v>
      </c>
      <c r="F4422">
        <v>290.64</v>
      </c>
      <c r="G4422" t="s">
        <v>1699</v>
      </c>
    </row>
    <row r="4423" spans="2:8" x14ac:dyDescent="0.2">
      <c r="B4423" t="s">
        <v>1433</v>
      </c>
      <c r="C4423" t="s">
        <v>12906</v>
      </c>
      <c r="D4423" t="s">
        <v>617</v>
      </c>
      <c r="E4423" t="s">
        <v>11837</v>
      </c>
      <c r="F4423">
        <v>36.340000000000003</v>
      </c>
      <c r="G4423" t="s">
        <v>1699</v>
      </c>
    </row>
    <row r="4424" spans="2:8" x14ac:dyDescent="0.2">
      <c r="B4424" t="s">
        <v>1433</v>
      </c>
      <c r="C4424" t="s">
        <v>12906</v>
      </c>
      <c r="D4424" t="s">
        <v>621</v>
      </c>
      <c r="E4424" t="s">
        <v>11838</v>
      </c>
      <c r="F4424">
        <v>389.36</v>
      </c>
      <c r="H4424" t="s">
        <v>2132</v>
      </c>
    </row>
    <row r="4425" spans="2:8" x14ac:dyDescent="0.2">
      <c r="B4425" t="s">
        <v>1433</v>
      </c>
      <c r="C4425" t="s">
        <v>12906</v>
      </c>
      <c r="D4425" t="s">
        <v>621</v>
      </c>
      <c r="E4425" t="s">
        <v>11839</v>
      </c>
      <c r="F4425">
        <v>34.5</v>
      </c>
      <c r="G4425" t="s">
        <v>2458</v>
      </c>
    </row>
    <row r="4426" spans="2:8" x14ac:dyDescent="0.2">
      <c r="B4426" t="s">
        <v>1433</v>
      </c>
      <c r="C4426" t="s">
        <v>12906</v>
      </c>
      <c r="D4426" t="s">
        <v>617</v>
      </c>
      <c r="E4426" t="s">
        <v>11840</v>
      </c>
      <c r="F4426">
        <v>182</v>
      </c>
      <c r="G4426" t="s">
        <v>2748</v>
      </c>
    </row>
    <row r="4427" spans="2:8" x14ac:dyDescent="0.2">
      <c r="B4427" t="s">
        <v>1433</v>
      </c>
      <c r="C4427" t="s">
        <v>12906</v>
      </c>
      <c r="D4427" t="s">
        <v>617</v>
      </c>
      <c r="E4427" t="s">
        <v>11841</v>
      </c>
      <c r="F4427">
        <v>292.8</v>
      </c>
      <c r="G4427" t="s">
        <v>2789</v>
      </c>
    </row>
    <row r="4428" spans="2:8" x14ac:dyDescent="0.2">
      <c r="B4428" t="s">
        <v>1433</v>
      </c>
      <c r="C4428" t="s">
        <v>12906</v>
      </c>
      <c r="D4428" t="s">
        <v>621</v>
      </c>
      <c r="E4428" t="s">
        <v>11842</v>
      </c>
      <c r="F4428">
        <v>449.28</v>
      </c>
      <c r="H4428" t="s">
        <v>2756</v>
      </c>
    </row>
    <row r="4429" spans="2:8" x14ac:dyDescent="0.2">
      <c r="B4429" t="s">
        <v>1433</v>
      </c>
      <c r="C4429" t="s">
        <v>12906</v>
      </c>
      <c r="D4429" t="s">
        <v>621</v>
      </c>
      <c r="E4429" t="s">
        <v>11843</v>
      </c>
      <c r="F4429">
        <v>108.86</v>
      </c>
      <c r="H4429" t="s">
        <v>2754</v>
      </c>
    </row>
    <row r="4430" spans="2:8" x14ac:dyDescent="0.2">
      <c r="B4430" t="s">
        <v>1433</v>
      </c>
      <c r="C4430" t="s">
        <v>12906</v>
      </c>
      <c r="D4430" t="s">
        <v>621</v>
      </c>
      <c r="E4430" t="s">
        <v>11844</v>
      </c>
      <c r="F4430">
        <v>108.86</v>
      </c>
      <c r="H4430" t="s">
        <v>2754</v>
      </c>
    </row>
    <row r="4431" spans="2:8" x14ac:dyDescent="0.2">
      <c r="B4431" t="s">
        <v>1433</v>
      </c>
      <c r="C4431" t="s">
        <v>12906</v>
      </c>
      <c r="D4431" t="s">
        <v>621</v>
      </c>
      <c r="E4431" t="s">
        <v>11845</v>
      </c>
      <c r="F4431">
        <v>2522.38</v>
      </c>
      <c r="H4431" t="s">
        <v>2797</v>
      </c>
    </row>
    <row r="4432" spans="2:8" x14ac:dyDescent="0.2">
      <c r="B4432" t="s">
        <v>1433</v>
      </c>
      <c r="C4432" t="s">
        <v>12906</v>
      </c>
      <c r="D4432" t="s">
        <v>621</v>
      </c>
      <c r="E4432" t="s">
        <v>11846</v>
      </c>
      <c r="F4432">
        <v>242.76</v>
      </c>
      <c r="H4432" t="s">
        <v>2799</v>
      </c>
    </row>
    <row r="4433" spans="2:8" x14ac:dyDescent="0.2">
      <c r="B4433" t="s">
        <v>1433</v>
      </c>
      <c r="C4433" t="s">
        <v>12906</v>
      </c>
      <c r="D4433" t="s">
        <v>621</v>
      </c>
      <c r="E4433" t="s">
        <v>11847</v>
      </c>
      <c r="F4433">
        <v>56.76</v>
      </c>
      <c r="H4433" t="s">
        <v>2801</v>
      </c>
    </row>
    <row r="4434" spans="2:8" x14ac:dyDescent="0.2">
      <c r="B4434" t="s">
        <v>1433</v>
      </c>
      <c r="C4434" t="s">
        <v>12906</v>
      </c>
      <c r="D4434" t="s">
        <v>621</v>
      </c>
      <c r="E4434" t="s">
        <v>11848</v>
      </c>
      <c r="F4434">
        <v>33.799999999999997</v>
      </c>
      <c r="H4434" t="s">
        <v>8838</v>
      </c>
    </row>
    <row r="4435" spans="2:8" x14ac:dyDescent="0.2">
      <c r="B4435" t="s">
        <v>1433</v>
      </c>
      <c r="C4435" t="s">
        <v>12906</v>
      </c>
      <c r="D4435" t="s">
        <v>621</v>
      </c>
      <c r="E4435" t="s">
        <v>11849</v>
      </c>
      <c r="F4435">
        <v>35.53</v>
      </c>
      <c r="H4435" t="s">
        <v>7985</v>
      </c>
    </row>
    <row r="4436" spans="2:8" x14ac:dyDescent="0.2">
      <c r="B4436" t="s">
        <v>1433</v>
      </c>
      <c r="C4436" t="s">
        <v>12906</v>
      </c>
      <c r="D4436" t="s">
        <v>617</v>
      </c>
      <c r="E4436" t="s">
        <v>11850</v>
      </c>
      <c r="F4436">
        <v>10</v>
      </c>
      <c r="H4436" t="s">
        <v>1628</v>
      </c>
    </row>
    <row r="4437" spans="2:8" x14ac:dyDescent="0.2">
      <c r="B4437" t="s">
        <v>1433</v>
      </c>
      <c r="C4437" t="s">
        <v>12906</v>
      </c>
      <c r="D4437" t="s">
        <v>617</v>
      </c>
      <c r="E4437" t="s">
        <v>11851</v>
      </c>
      <c r="F4437">
        <v>17.579999999999998</v>
      </c>
      <c r="H4437" t="s">
        <v>8831</v>
      </c>
    </row>
    <row r="4438" spans="2:8" x14ac:dyDescent="0.2">
      <c r="B4438" t="s">
        <v>1433</v>
      </c>
      <c r="C4438" t="s">
        <v>12906</v>
      </c>
      <c r="D4438" t="s">
        <v>617</v>
      </c>
      <c r="E4438" t="s">
        <v>11852</v>
      </c>
      <c r="F4438">
        <v>7.69</v>
      </c>
      <c r="H4438" t="s">
        <v>1485</v>
      </c>
    </row>
    <row r="4439" spans="2:8" x14ac:dyDescent="0.2">
      <c r="B4439" t="s">
        <v>1433</v>
      </c>
      <c r="C4439" t="s">
        <v>12906</v>
      </c>
      <c r="D4439" t="s">
        <v>617</v>
      </c>
      <c r="E4439" t="s">
        <v>11853</v>
      </c>
      <c r="F4439">
        <v>197.2</v>
      </c>
      <c r="G4439" t="s">
        <v>2087</v>
      </c>
    </row>
    <row r="4440" spans="2:8" x14ac:dyDescent="0.2">
      <c r="B4440" t="s">
        <v>1433</v>
      </c>
      <c r="C4440" t="s">
        <v>12906</v>
      </c>
      <c r="D4440" t="s">
        <v>617</v>
      </c>
      <c r="E4440" t="s">
        <v>11854</v>
      </c>
      <c r="F4440">
        <v>-197.2</v>
      </c>
      <c r="G4440" t="s">
        <v>2087</v>
      </c>
    </row>
    <row r="4441" spans="2:8" x14ac:dyDescent="0.2">
      <c r="B4441" t="s">
        <v>1433</v>
      </c>
      <c r="C4441" t="s">
        <v>12906</v>
      </c>
      <c r="D4441" t="s">
        <v>617</v>
      </c>
      <c r="E4441" t="s">
        <v>11855</v>
      </c>
      <c r="F4441">
        <v>197.2</v>
      </c>
      <c r="G4441" t="s">
        <v>2087</v>
      </c>
    </row>
    <row r="4442" spans="2:8" x14ac:dyDescent="0.2">
      <c r="B4442" t="s">
        <v>1433</v>
      </c>
      <c r="C4442" t="s">
        <v>12906</v>
      </c>
      <c r="D4442" t="s">
        <v>617</v>
      </c>
      <c r="E4442" t="s">
        <v>11856</v>
      </c>
      <c r="F4442">
        <v>14.79</v>
      </c>
      <c r="G4442" t="s">
        <v>2087</v>
      </c>
    </row>
    <row r="4443" spans="2:8" x14ac:dyDescent="0.2">
      <c r="B4443" t="s">
        <v>1433</v>
      </c>
      <c r="C4443" t="s">
        <v>12906</v>
      </c>
      <c r="D4443" t="s">
        <v>617</v>
      </c>
      <c r="E4443" t="s">
        <v>11857</v>
      </c>
      <c r="F4443">
        <v>51</v>
      </c>
      <c r="G4443" t="s">
        <v>2916</v>
      </c>
    </row>
    <row r="4444" spans="2:8" x14ac:dyDescent="0.2">
      <c r="B4444" t="s">
        <v>1433</v>
      </c>
      <c r="C4444" t="s">
        <v>12906</v>
      </c>
      <c r="D4444" t="s">
        <v>617</v>
      </c>
      <c r="E4444" t="s">
        <v>11858</v>
      </c>
      <c r="F4444">
        <v>222.17</v>
      </c>
      <c r="H4444" t="s">
        <v>2952</v>
      </c>
    </row>
    <row r="4445" spans="2:8" x14ac:dyDescent="0.2">
      <c r="B4445" t="s">
        <v>1433</v>
      </c>
      <c r="C4445" t="s">
        <v>12906</v>
      </c>
      <c r="D4445" t="s">
        <v>617</v>
      </c>
      <c r="E4445" t="s">
        <v>11859</v>
      </c>
      <c r="F4445">
        <v>226.82</v>
      </c>
      <c r="H4445" t="s">
        <v>2954</v>
      </c>
    </row>
    <row r="4446" spans="2:8" x14ac:dyDescent="0.2">
      <c r="B4446" t="s">
        <v>1433</v>
      </c>
      <c r="C4446" t="s">
        <v>12906</v>
      </c>
      <c r="D4446" t="s">
        <v>617</v>
      </c>
      <c r="E4446" t="s">
        <v>11860</v>
      </c>
      <c r="F4446">
        <v>590.76</v>
      </c>
      <c r="H4446" t="s">
        <v>1703</v>
      </c>
    </row>
    <row r="4447" spans="2:8" x14ac:dyDescent="0.2">
      <c r="B4447" t="s">
        <v>1433</v>
      </c>
      <c r="C4447" t="s">
        <v>12906</v>
      </c>
      <c r="D4447" t="s">
        <v>617</v>
      </c>
      <c r="E4447" t="s">
        <v>11861</v>
      </c>
      <c r="F4447">
        <v>627.48</v>
      </c>
      <c r="H4447" t="s">
        <v>1705</v>
      </c>
    </row>
    <row r="4448" spans="2:8" x14ac:dyDescent="0.2">
      <c r="B4448" t="s">
        <v>1433</v>
      </c>
      <c r="C4448" t="s">
        <v>12906</v>
      </c>
      <c r="D4448" t="s">
        <v>617</v>
      </c>
      <c r="E4448" t="s">
        <v>11862</v>
      </c>
      <c r="F4448">
        <v>149</v>
      </c>
      <c r="H4448" t="s">
        <v>2726</v>
      </c>
    </row>
    <row r="4449" spans="2:8" x14ac:dyDescent="0.2">
      <c r="B4449" t="s">
        <v>1433</v>
      </c>
      <c r="C4449" t="s">
        <v>12906</v>
      </c>
      <c r="D4449" t="s">
        <v>613</v>
      </c>
      <c r="E4449" t="s">
        <v>11863</v>
      </c>
      <c r="F4449">
        <v>41.4</v>
      </c>
      <c r="G4449" t="s">
        <v>2955</v>
      </c>
    </row>
    <row r="4450" spans="2:8" x14ac:dyDescent="0.2">
      <c r="B4450" t="s">
        <v>1433</v>
      </c>
      <c r="C4450" t="s">
        <v>12906</v>
      </c>
      <c r="D4450" t="s">
        <v>617</v>
      </c>
      <c r="E4450" t="s">
        <v>11864</v>
      </c>
      <c r="F4450">
        <v>118.9</v>
      </c>
      <c r="G4450" t="s">
        <v>2969</v>
      </c>
    </row>
    <row r="4451" spans="2:8" x14ac:dyDescent="0.2">
      <c r="B4451" t="s">
        <v>1433</v>
      </c>
      <c r="C4451" t="s">
        <v>12906</v>
      </c>
      <c r="D4451" t="s">
        <v>617</v>
      </c>
      <c r="E4451" t="s">
        <v>11865</v>
      </c>
      <c r="F4451">
        <v>74.5</v>
      </c>
      <c r="G4451" t="s">
        <v>1587</v>
      </c>
    </row>
    <row r="4452" spans="2:8" x14ac:dyDescent="0.2">
      <c r="B4452" t="s">
        <v>1433</v>
      </c>
      <c r="C4452" t="s">
        <v>12906</v>
      </c>
      <c r="D4452" t="s">
        <v>617</v>
      </c>
      <c r="E4452" t="s">
        <v>11866</v>
      </c>
      <c r="F4452">
        <v>149</v>
      </c>
      <c r="G4452" t="s">
        <v>2726</v>
      </c>
    </row>
    <row r="4453" spans="2:8" x14ac:dyDescent="0.2">
      <c r="B4453" t="s">
        <v>1433</v>
      </c>
      <c r="C4453" t="s">
        <v>12906</v>
      </c>
      <c r="D4453" t="s">
        <v>621</v>
      </c>
      <c r="E4453" t="s">
        <v>11867</v>
      </c>
      <c r="F4453">
        <v>321.39999999999998</v>
      </c>
      <c r="G4453" t="s">
        <v>1687</v>
      </c>
    </row>
    <row r="4454" spans="2:8" x14ac:dyDescent="0.2">
      <c r="B4454" t="s">
        <v>1433</v>
      </c>
      <c r="C4454" t="s">
        <v>12906</v>
      </c>
      <c r="D4454" t="s">
        <v>617</v>
      </c>
      <c r="E4454" t="s">
        <v>11868</v>
      </c>
      <c r="F4454">
        <v>79.7</v>
      </c>
      <c r="G4454" t="s">
        <v>3005</v>
      </c>
    </row>
    <row r="4455" spans="2:8" x14ac:dyDescent="0.2">
      <c r="B4455" t="s">
        <v>1433</v>
      </c>
      <c r="C4455" t="s">
        <v>12906</v>
      </c>
      <c r="D4455" t="s">
        <v>621</v>
      </c>
      <c r="E4455" t="s">
        <v>11869</v>
      </c>
      <c r="F4455">
        <v>313.52</v>
      </c>
      <c r="G4455" t="s">
        <v>3014</v>
      </c>
    </row>
    <row r="4456" spans="2:8" x14ac:dyDescent="0.2">
      <c r="B4456" t="s">
        <v>1433</v>
      </c>
      <c r="C4456" t="s">
        <v>12906</v>
      </c>
      <c r="D4456" t="s">
        <v>621</v>
      </c>
      <c r="E4456" t="s">
        <v>11870</v>
      </c>
      <c r="F4456">
        <v>473.5</v>
      </c>
      <c r="G4456" t="s">
        <v>1746</v>
      </c>
    </row>
    <row r="4457" spans="2:8" x14ac:dyDescent="0.2">
      <c r="B4457" t="s">
        <v>1433</v>
      </c>
      <c r="C4457" t="s">
        <v>12906</v>
      </c>
      <c r="D4457" t="s">
        <v>1137</v>
      </c>
      <c r="E4457" t="s">
        <v>11871</v>
      </c>
      <c r="F4457">
        <v>328</v>
      </c>
      <c r="G4457" t="s">
        <v>2999</v>
      </c>
    </row>
    <row r="4458" spans="2:8" x14ac:dyDescent="0.2">
      <c r="B4458" t="s">
        <v>1433</v>
      </c>
      <c r="C4458" t="s">
        <v>12906</v>
      </c>
      <c r="D4458" t="s">
        <v>621</v>
      </c>
      <c r="E4458" t="s">
        <v>11872</v>
      </c>
      <c r="F4458">
        <v>710.25</v>
      </c>
      <c r="G4458" t="s">
        <v>1746</v>
      </c>
    </row>
    <row r="4459" spans="2:8" x14ac:dyDescent="0.2">
      <c r="B4459" t="s">
        <v>1433</v>
      </c>
      <c r="C4459" t="s">
        <v>12906</v>
      </c>
      <c r="D4459" t="s">
        <v>1169</v>
      </c>
      <c r="E4459" t="s">
        <v>11873</v>
      </c>
      <c r="F4459">
        <v>3456</v>
      </c>
      <c r="G4459" t="s">
        <v>3129</v>
      </c>
    </row>
    <row r="4460" spans="2:8" x14ac:dyDescent="0.2">
      <c r="B4460" t="s">
        <v>1433</v>
      </c>
      <c r="C4460" t="s">
        <v>12906</v>
      </c>
      <c r="D4460" t="s">
        <v>617</v>
      </c>
      <c r="E4460" t="s">
        <v>11874</v>
      </c>
      <c r="F4460">
        <v>390</v>
      </c>
      <c r="G4460" t="s">
        <v>3131</v>
      </c>
    </row>
    <row r="4461" spans="2:8" x14ac:dyDescent="0.2">
      <c r="B4461" t="s">
        <v>1433</v>
      </c>
      <c r="C4461" t="s">
        <v>12906</v>
      </c>
      <c r="D4461" t="s">
        <v>617</v>
      </c>
      <c r="E4461" t="s">
        <v>11875</v>
      </c>
      <c r="F4461">
        <v>238.4</v>
      </c>
      <c r="G4461" t="s">
        <v>1632</v>
      </c>
    </row>
    <row r="4462" spans="2:8" x14ac:dyDescent="0.2">
      <c r="B4462" t="s">
        <v>1433</v>
      </c>
      <c r="C4462" t="s">
        <v>12906</v>
      </c>
      <c r="D4462" t="s">
        <v>617</v>
      </c>
      <c r="E4462" t="s">
        <v>11876</v>
      </c>
      <c r="F4462">
        <v>121.6</v>
      </c>
      <c r="G4462" t="s">
        <v>1632</v>
      </c>
    </row>
    <row r="4463" spans="2:8" x14ac:dyDescent="0.2">
      <c r="B4463" t="s">
        <v>1433</v>
      </c>
      <c r="C4463" t="s">
        <v>12906</v>
      </c>
      <c r="D4463" t="s">
        <v>621</v>
      </c>
      <c r="E4463" t="s">
        <v>11877</v>
      </c>
      <c r="F4463">
        <v>537.72</v>
      </c>
      <c r="H4463" t="s">
        <v>3047</v>
      </c>
    </row>
    <row r="4464" spans="2:8" x14ac:dyDescent="0.2">
      <c r="B4464" t="s">
        <v>1433</v>
      </c>
      <c r="C4464" t="s">
        <v>12906</v>
      </c>
      <c r="D4464" t="s">
        <v>621</v>
      </c>
      <c r="E4464" t="s">
        <v>11878</v>
      </c>
      <c r="F4464">
        <v>268.86</v>
      </c>
      <c r="H4464" t="s">
        <v>3047</v>
      </c>
    </row>
    <row r="4465" spans="2:8" x14ac:dyDescent="0.2">
      <c r="B4465" t="s">
        <v>1433</v>
      </c>
      <c r="C4465" t="s">
        <v>12906</v>
      </c>
      <c r="D4465" t="s">
        <v>1169</v>
      </c>
      <c r="E4465" t="s">
        <v>11879</v>
      </c>
      <c r="F4465">
        <v>2160</v>
      </c>
      <c r="G4465" t="s">
        <v>3174</v>
      </c>
    </row>
    <row r="4466" spans="2:8" x14ac:dyDescent="0.2">
      <c r="B4466" t="s">
        <v>1433</v>
      </c>
      <c r="C4466" t="s">
        <v>12906</v>
      </c>
      <c r="D4466" t="s">
        <v>621</v>
      </c>
      <c r="E4466" t="s">
        <v>11880</v>
      </c>
      <c r="F4466">
        <v>268.86</v>
      </c>
      <c r="H4466" t="s">
        <v>3047</v>
      </c>
    </row>
    <row r="4467" spans="2:8" x14ac:dyDescent="0.2">
      <c r="B4467" t="s">
        <v>1433</v>
      </c>
      <c r="C4467" t="s">
        <v>12906</v>
      </c>
      <c r="D4467" t="s">
        <v>621</v>
      </c>
      <c r="E4467" t="s">
        <v>11881</v>
      </c>
      <c r="F4467">
        <v>65.64</v>
      </c>
      <c r="H4467" t="s">
        <v>2131</v>
      </c>
    </row>
    <row r="4468" spans="2:8" x14ac:dyDescent="0.2">
      <c r="B4468" t="s">
        <v>1433</v>
      </c>
      <c r="C4468" t="s">
        <v>12906</v>
      </c>
      <c r="D4468" t="s">
        <v>621</v>
      </c>
      <c r="E4468" t="s">
        <v>11882</v>
      </c>
      <c r="F4468">
        <v>163.52000000000001</v>
      </c>
      <c r="H4468" t="s">
        <v>2457</v>
      </c>
    </row>
    <row r="4469" spans="2:8" x14ac:dyDescent="0.2">
      <c r="B4469" t="s">
        <v>1433</v>
      </c>
      <c r="C4469" t="s">
        <v>12906</v>
      </c>
      <c r="D4469" t="s">
        <v>617</v>
      </c>
      <c r="E4469" t="s">
        <v>11883</v>
      </c>
      <c r="F4469">
        <v>165.4</v>
      </c>
      <c r="H4469" t="s">
        <v>11884</v>
      </c>
    </row>
    <row r="4470" spans="2:8" x14ac:dyDescent="0.2">
      <c r="B4470" t="s">
        <v>1433</v>
      </c>
      <c r="C4470" t="s">
        <v>12906</v>
      </c>
      <c r="D4470" t="s">
        <v>1137</v>
      </c>
      <c r="E4470" t="s">
        <v>11885</v>
      </c>
      <c r="F4470">
        <v>42</v>
      </c>
      <c r="G4470" t="s">
        <v>3226</v>
      </c>
    </row>
    <row r="4471" spans="2:8" x14ac:dyDescent="0.2">
      <c r="B4471" t="s">
        <v>1433</v>
      </c>
      <c r="C4471" t="s">
        <v>12906</v>
      </c>
      <c r="D4471" t="s">
        <v>1137</v>
      </c>
      <c r="E4471" t="s">
        <v>11886</v>
      </c>
      <c r="F4471">
        <v>28</v>
      </c>
      <c r="G4471" t="s">
        <v>3227</v>
      </c>
    </row>
    <row r="4472" spans="2:8" x14ac:dyDescent="0.2">
      <c r="B4472" t="s">
        <v>1433</v>
      </c>
      <c r="C4472" t="s">
        <v>12906</v>
      </c>
      <c r="D4472" t="s">
        <v>621</v>
      </c>
      <c r="E4472" t="s">
        <v>11887</v>
      </c>
      <c r="F4472">
        <v>118.72</v>
      </c>
      <c r="H4472" t="s">
        <v>3239</v>
      </c>
    </row>
    <row r="4473" spans="2:8" x14ac:dyDescent="0.2">
      <c r="B4473" t="s">
        <v>1433</v>
      </c>
      <c r="C4473" t="s">
        <v>12906</v>
      </c>
      <c r="D4473" t="s">
        <v>621</v>
      </c>
      <c r="E4473" t="s">
        <v>11888</v>
      </c>
      <c r="F4473">
        <v>311.92</v>
      </c>
      <c r="H4473" t="s">
        <v>3241</v>
      </c>
    </row>
    <row r="4474" spans="2:8" x14ac:dyDescent="0.2">
      <c r="B4474" t="s">
        <v>1433</v>
      </c>
      <c r="C4474" t="s">
        <v>12906</v>
      </c>
      <c r="D4474" t="s">
        <v>613</v>
      </c>
      <c r="E4474" t="s">
        <v>11889</v>
      </c>
      <c r="F4474">
        <v>27.6</v>
      </c>
      <c r="G4474" t="s">
        <v>3285</v>
      </c>
    </row>
    <row r="4475" spans="2:8" x14ac:dyDescent="0.2">
      <c r="B4475" t="s">
        <v>1433</v>
      </c>
      <c r="C4475" t="s">
        <v>12906</v>
      </c>
      <c r="D4475" t="s">
        <v>621</v>
      </c>
      <c r="E4475" t="s">
        <v>11890</v>
      </c>
      <c r="F4475">
        <v>179.24</v>
      </c>
      <c r="H4475" t="s">
        <v>3047</v>
      </c>
    </row>
    <row r="4476" spans="2:8" x14ac:dyDescent="0.2">
      <c r="B4476" t="s">
        <v>1433</v>
      </c>
      <c r="C4476" t="s">
        <v>12906</v>
      </c>
      <c r="D4476" t="s">
        <v>1169</v>
      </c>
      <c r="E4476" t="s">
        <v>11891</v>
      </c>
      <c r="F4476">
        <v>432</v>
      </c>
      <c r="G4476" t="s">
        <v>3294</v>
      </c>
    </row>
    <row r="4477" spans="2:8" x14ac:dyDescent="0.2">
      <c r="B4477" t="s">
        <v>1433</v>
      </c>
      <c r="C4477" t="s">
        <v>12906</v>
      </c>
      <c r="D4477" t="s">
        <v>621</v>
      </c>
      <c r="E4477" t="s">
        <v>11892</v>
      </c>
      <c r="F4477">
        <v>89.62</v>
      </c>
      <c r="G4477" t="s">
        <v>3047</v>
      </c>
    </row>
    <row r="4478" spans="2:8" x14ac:dyDescent="0.2">
      <c r="B4478" t="s">
        <v>1433</v>
      </c>
      <c r="C4478" t="s">
        <v>12906</v>
      </c>
      <c r="D4478" t="s">
        <v>617</v>
      </c>
      <c r="E4478" t="s">
        <v>11893</v>
      </c>
      <c r="F4478">
        <v>558.70000000000005</v>
      </c>
      <c r="H4478" t="s">
        <v>1387</v>
      </c>
    </row>
    <row r="4479" spans="2:8" x14ac:dyDescent="0.2">
      <c r="B4479" t="s">
        <v>1433</v>
      </c>
      <c r="C4479" t="s">
        <v>12906</v>
      </c>
      <c r="D4479" t="s">
        <v>617</v>
      </c>
      <c r="E4479" t="s">
        <v>11894</v>
      </c>
      <c r="F4479">
        <v>322.67</v>
      </c>
      <c r="H4479" t="s">
        <v>3671</v>
      </c>
    </row>
    <row r="4480" spans="2:8" x14ac:dyDescent="0.2">
      <c r="B4480" t="s">
        <v>1433</v>
      </c>
      <c r="C4480" t="s">
        <v>12906</v>
      </c>
      <c r="D4480" t="s">
        <v>617</v>
      </c>
      <c r="E4480" t="s">
        <v>11895</v>
      </c>
      <c r="F4480">
        <v>90</v>
      </c>
      <c r="H4480" t="s">
        <v>1829</v>
      </c>
    </row>
    <row r="4481" spans="2:8" x14ac:dyDescent="0.2">
      <c r="B4481" t="s">
        <v>1433</v>
      </c>
      <c r="C4481" t="s">
        <v>12906</v>
      </c>
      <c r="D4481" t="s">
        <v>617</v>
      </c>
      <c r="E4481" t="s">
        <v>11896</v>
      </c>
      <c r="F4481">
        <v>3.86</v>
      </c>
      <c r="G4481" t="s">
        <v>1462</v>
      </c>
    </row>
    <row r="4482" spans="2:8" x14ac:dyDescent="0.2">
      <c r="B4482" t="s">
        <v>1433</v>
      </c>
      <c r="C4482" t="s">
        <v>12906</v>
      </c>
      <c r="D4482" t="s">
        <v>621</v>
      </c>
      <c r="E4482" t="s">
        <v>11897</v>
      </c>
      <c r="F4482">
        <v>12.48</v>
      </c>
      <c r="G4482" t="s">
        <v>3860</v>
      </c>
    </row>
    <row r="4483" spans="2:8" x14ac:dyDescent="0.2">
      <c r="B4483" t="s">
        <v>1433</v>
      </c>
      <c r="C4483" t="s">
        <v>12906</v>
      </c>
      <c r="D4483" t="s">
        <v>621</v>
      </c>
      <c r="E4483" t="s">
        <v>11898</v>
      </c>
      <c r="F4483">
        <v>518.4</v>
      </c>
      <c r="G4483" t="s">
        <v>3994</v>
      </c>
    </row>
    <row r="4484" spans="2:8" x14ac:dyDescent="0.2">
      <c r="B4484" t="s">
        <v>1433</v>
      </c>
      <c r="C4484" t="s">
        <v>12906</v>
      </c>
      <c r="D4484" t="s">
        <v>617</v>
      </c>
      <c r="E4484" t="s">
        <v>11899</v>
      </c>
      <c r="F4484">
        <v>6.9</v>
      </c>
      <c r="G4484" t="s">
        <v>3777</v>
      </c>
    </row>
    <row r="4485" spans="2:8" x14ac:dyDescent="0.2">
      <c r="B4485" t="s">
        <v>1433</v>
      </c>
      <c r="C4485" t="s">
        <v>12906</v>
      </c>
      <c r="D4485" t="s">
        <v>617</v>
      </c>
      <c r="E4485" t="s">
        <v>11900</v>
      </c>
      <c r="F4485">
        <v>45.57</v>
      </c>
      <c r="G4485" t="s">
        <v>4080</v>
      </c>
    </row>
    <row r="4486" spans="2:8" x14ac:dyDescent="0.2">
      <c r="B4486" t="s">
        <v>1433</v>
      </c>
      <c r="C4486" t="s">
        <v>12906</v>
      </c>
      <c r="D4486" t="s">
        <v>617</v>
      </c>
      <c r="E4486" t="s">
        <v>11901</v>
      </c>
      <c r="F4486">
        <v>134.61000000000001</v>
      </c>
      <c r="G4486" t="s">
        <v>4117</v>
      </c>
    </row>
    <row r="4487" spans="2:8" x14ac:dyDescent="0.2">
      <c r="B4487" t="s">
        <v>1433</v>
      </c>
      <c r="C4487" t="s">
        <v>12906</v>
      </c>
      <c r="D4487" t="s">
        <v>423</v>
      </c>
      <c r="E4487" t="s">
        <v>11902</v>
      </c>
      <c r="F4487">
        <v>12848.31</v>
      </c>
      <c r="G4487" t="s">
        <v>11903</v>
      </c>
    </row>
    <row r="4488" spans="2:8" x14ac:dyDescent="0.2">
      <c r="B4488" t="s">
        <v>1433</v>
      </c>
      <c r="C4488" t="s">
        <v>12907</v>
      </c>
      <c r="D4488" t="s">
        <v>1169</v>
      </c>
      <c r="E4488" t="s">
        <v>11904</v>
      </c>
      <c r="F4488">
        <v>3286</v>
      </c>
      <c r="G4488" t="s">
        <v>1364</v>
      </c>
    </row>
    <row r="4489" spans="2:8" x14ac:dyDescent="0.2">
      <c r="B4489" t="s">
        <v>1433</v>
      </c>
      <c r="C4489" t="s">
        <v>12907</v>
      </c>
      <c r="D4489" t="s">
        <v>1169</v>
      </c>
      <c r="E4489" t="s">
        <v>11906</v>
      </c>
      <c r="F4489">
        <v>16430</v>
      </c>
      <c r="G4489" t="s">
        <v>1364</v>
      </c>
    </row>
    <row r="4490" spans="2:8" x14ac:dyDescent="0.2">
      <c r="B4490" t="s">
        <v>1433</v>
      </c>
      <c r="C4490" t="s">
        <v>12907</v>
      </c>
      <c r="D4490" t="s">
        <v>1169</v>
      </c>
      <c r="E4490" t="s">
        <v>11907</v>
      </c>
      <c r="F4490">
        <v>6572</v>
      </c>
      <c r="G4490" t="s">
        <v>1364</v>
      </c>
    </row>
    <row r="4491" spans="2:8" x14ac:dyDescent="0.2">
      <c r="B4491" t="s">
        <v>1433</v>
      </c>
      <c r="C4491" t="s">
        <v>12907</v>
      </c>
      <c r="D4491" t="s">
        <v>1169</v>
      </c>
      <c r="E4491" t="s">
        <v>11908</v>
      </c>
      <c r="F4491">
        <v>6572</v>
      </c>
      <c r="G4491" t="s">
        <v>1364</v>
      </c>
    </row>
    <row r="4492" spans="2:8" x14ac:dyDescent="0.2">
      <c r="B4492" t="s">
        <v>1433</v>
      </c>
      <c r="C4492" t="s">
        <v>12907</v>
      </c>
      <c r="D4492" t="s">
        <v>617</v>
      </c>
      <c r="E4492" t="s">
        <v>11909</v>
      </c>
      <c r="F4492">
        <v>1940</v>
      </c>
      <c r="G4492" t="s">
        <v>3076</v>
      </c>
    </row>
    <row r="4493" spans="2:8" x14ac:dyDescent="0.2">
      <c r="B4493" t="s">
        <v>1433</v>
      </c>
      <c r="C4493" t="s">
        <v>12907</v>
      </c>
      <c r="D4493" t="s">
        <v>1169</v>
      </c>
      <c r="E4493" t="s">
        <v>11910</v>
      </c>
      <c r="F4493">
        <v>460</v>
      </c>
      <c r="G4493" t="s">
        <v>2794</v>
      </c>
    </row>
    <row r="4494" spans="2:8" x14ac:dyDescent="0.2">
      <c r="B4494" t="s">
        <v>1433</v>
      </c>
      <c r="C4494" t="s">
        <v>12907</v>
      </c>
      <c r="D4494" t="s">
        <v>617</v>
      </c>
      <c r="E4494" t="s">
        <v>11911</v>
      </c>
      <c r="F4494">
        <v>914.56</v>
      </c>
      <c r="G4494" t="s">
        <v>3856</v>
      </c>
    </row>
    <row r="4495" spans="2:8" x14ac:dyDescent="0.2">
      <c r="B4495" t="s">
        <v>1433</v>
      </c>
      <c r="C4495" t="s">
        <v>12907</v>
      </c>
      <c r="D4495" t="s">
        <v>423</v>
      </c>
      <c r="E4495" t="s">
        <v>11912</v>
      </c>
      <c r="F4495">
        <v>5027.59</v>
      </c>
      <c r="G4495" t="s">
        <v>11905</v>
      </c>
    </row>
    <row r="4496" spans="2:8" x14ac:dyDescent="0.2">
      <c r="B4496" t="s">
        <v>1433</v>
      </c>
      <c r="C4496" t="s">
        <v>12908</v>
      </c>
      <c r="D4496" t="s">
        <v>613</v>
      </c>
      <c r="E4496" t="s">
        <v>11913</v>
      </c>
      <c r="F4496">
        <v>67.8</v>
      </c>
      <c r="H4496" t="s">
        <v>1243</v>
      </c>
    </row>
    <row r="4497" spans="2:8" x14ac:dyDescent="0.2">
      <c r="B4497" t="s">
        <v>1433</v>
      </c>
      <c r="C4497" t="s">
        <v>12908</v>
      </c>
      <c r="D4497" t="s">
        <v>613</v>
      </c>
      <c r="E4497" t="s">
        <v>11914</v>
      </c>
      <c r="F4497">
        <v>90.3</v>
      </c>
      <c r="H4497" t="s">
        <v>1245</v>
      </c>
    </row>
    <row r="4498" spans="2:8" x14ac:dyDescent="0.2">
      <c r="B4498" t="s">
        <v>1433</v>
      </c>
      <c r="C4498" t="s">
        <v>12908</v>
      </c>
      <c r="D4498" t="s">
        <v>613</v>
      </c>
      <c r="E4498" t="s">
        <v>11915</v>
      </c>
      <c r="F4498">
        <v>1563.3</v>
      </c>
      <c r="H4498" t="s">
        <v>1517</v>
      </c>
    </row>
    <row r="4499" spans="2:8" x14ac:dyDescent="0.2">
      <c r="B4499" t="s">
        <v>1433</v>
      </c>
      <c r="C4499" t="s">
        <v>12908</v>
      </c>
      <c r="D4499" t="s">
        <v>613</v>
      </c>
      <c r="E4499" t="s">
        <v>11916</v>
      </c>
      <c r="F4499">
        <v>1090.45</v>
      </c>
      <c r="H4499" t="s">
        <v>1518</v>
      </c>
    </row>
    <row r="4500" spans="2:8" x14ac:dyDescent="0.2">
      <c r="B4500" t="s">
        <v>1433</v>
      </c>
      <c r="C4500" t="s">
        <v>12908</v>
      </c>
      <c r="D4500" t="s">
        <v>613</v>
      </c>
      <c r="E4500" t="s">
        <v>11917</v>
      </c>
      <c r="F4500">
        <v>241.25</v>
      </c>
      <c r="H4500" t="s">
        <v>1519</v>
      </c>
    </row>
    <row r="4501" spans="2:8" x14ac:dyDescent="0.2">
      <c r="B4501" t="s">
        <v>1433</v>
      </c>
      <c r="C4501" t="s">
        <v>12908</v>
      </c>
      <c r="D4501" t="s">
        <v>554</v>
      </c>
      <c r="E4501" t="s">
        <v>11918</v>
      </c>
      <c r="F4501">
        <v>5179</v>
      </c>
      <c r="H4501" t="s">
        <v>1729</v>
      </c>
    </row>
    <row r="4502" spans="2:8" x14ac:dyDescent="0.2">
      <c r="B4502" t="s">
        <v>1433</v>
      </c>
      <c r="C4502" t="s">
        <v>12908</v>
      </c>
      <c r="D4502" t="s">
        <v>554</v>
      </c>
      <c r="E4502" t="s">
        <v>11919</v>
      </c>
      <c r="F4502">
        <v>5179</v>
      </c>
      <c r="H4502" t="s">
        <v>1729</v>
      </c>
    </row>
    <row r="4503" spans="2:8" x14ac:dyDescent="0.2">
      <c r="B4503" t="s">
        <v>1433</v>
      </c>
      <c r="C4503" t="s">
        <v>12908</v>
      </c>
      <c r="D4503" t="s">
        <v>613</v>
      </c>
      <c r="E4503" t="s">
        <v>11920</v>
      </c>
      <c r="F4503">
        <v>6.3</v>
      </c>
      <c r="H4503" t="s">
        <v>3485</v>
      </c>
    </row>
    <row r="4504" spans="2:8" x14ac:dyDescent="0.2">
      <c r="B4504" t="s">
        <v>1433</v>
      </c>
      <c r="C4504" t="s">
        <v>12908</v>
      </c>
      <c r="D4504" t="s">
        <v>613</v>
      </c>
      <c r="E4504" t="s">
        <v>11921</v>
      </c>
      <c r="F4504">
        <v>86</v>
      </c>
      <c r="H4504" t="s">
        <v>3484</v>
      </c>
    </row>
    <row r="4505" spans="2:8" x14ac:dyDescent="0.2">
      <c r="B4505" t="s">
        <v>1433</v>
      </c>
      <c r="C4505" t="s">
        <v>12908</v>
      </c>
      <c r="D4505" t="s">
        <v>613</v>
      </c>
      <c r="E4505" t="s">
        <v>11922</v>
      </c>
      <c r="F4505">
        <v>452</v>
      </c>
      <c r="H4505" t="s">
        <v>1243</v>
      </c>
    </row>
    <row r="4506" spans="2:8" x14ac:dyDescent="0.2">
      <c r="B4506" t="s">
        <v>1433</v>
      </c>
      <c r="C4506" t="s">
        <v>12908</v>
      </c>
      <c r="D4506" t="s">
        <v>613</v>
      </c>
      <c r="E4506" t="s">
        <v>11923</v>
      </c>
      <c r="F4506">
        <v>602</v>
      </c>
      <c r="H4506" t="s">
        <v>1245</v>
      </c>
    </row>
    <row r="4507" spans="2:8" x14ac:dyDescent="0.2">
      <c r="B4507" t="s">
        <v>1433</v>
      </c>
      <c r="C4507" t="s">
        <v>12908</v>
      </c>
      <c r="D4507" t="s">
        <v>554</v>
      </c>
      <c r="E4507" t="s">
        <v>11924</v>
      </c>
      <c r="F4507">
        <v>392.12</v>
      </c>
      <c r="H4507" t="s">
        <v>2444</v>
      </c>
    </row>
    <row r="4508" spans="2:8" x14ac:dyDescent="0.2">
      <c r="B4508" t="s">
        <v>1433</v>
      </c>
      <c r="C4508" t="s">
        <v>12908</v>
      </c>
      <c r="D4508" t="s">
        <v>84</v>
      </c>
      <c r="E4508" t="s">
        <v>11925</v>
      </c>
      <c r="F4508">
        <v>105.02</v>
      </c>
      <c r="H4508" t="s">
        <v>6257</v>
      </c>
    </row>
    <row r="4509" spans="2:8" x14ac:dyDescent="0.2">
      <c r="B4509" t="s">
        <v>1433</v>
      </c>
      <c r="C4509" t="s">
        <v>12908</v>
      </c>
      <c r="D4509" t="s">
        <v>84</v>
      </c>
      <c r="E4509" t="s">
        <v>11926</v>
      </c>
      <c r="F4509">
        <v>133.56</v>
      </c>
      <c r="H4509" t="s">
        <v>3553</v>
      </c>
    </row>
    <row r="4510" spans="2:8" x14ac:dyDescent="0.2">
      <c r="B4510" t="s">
        <v>1433</v>
      </c>
      <c r="C4510" t="s">
        <v>12908</v>
      </c>
      <c r="D4510" t="s">
        <v>554</v>
      </c>
      <c r="E4510" t="s">
        <v>11927</v>
      </c>
      <c r="F4510">
        <v>9156</v>
      </c>
      <c r="H4510" t="s">
        <v>1731</v>
      </c>
    </row>
    <row r="4511" spans="2:8" x14ac:dyDescent="0.2">
      <c r="B4511" t="s">
        <v>1433</v>
      </c>
      <c r="C4511" t="s">
        <v>12908</v>
      </c>
      <c r="D4511" t="s">
        <v>554</v>
      </c>
      <c r="E4511" t="s">
        <v>11928</v>
      </c>
      <c r="F4511">
        <v>9156</v>
      </c>
      <c r="H4511" t="s">
        <v>1731</v>
      </c>
    </row>
    <row r="4512" spans="2:8" x14ac:dyDescent="0.2">
      <c r="B4512" t="s">
        <v>1433</v>
      </c>
      <c r="C4512" t="s">
        <v>12908</v>
      </c>
      <c r="D4512" t="s">
        <v>554</v>
      </c>
      <c r="E4512" t="s">
        <v>11929</v>
      </c>
      <c r="F4512">
        <v>9156</v>
      </c>
      <c r="H4512" t="s">
        <v>1731</v>
      </c>
    </row>
    <row r="4513" spans="2:8" x14ac:dyDescent="0.2">
      <c r="B4513" t="s">
        <v>1433</v>
      </c>
      <c r="C4513" t="s">
        <v>12908</v>
      </c>
      <c r="D4513" t="s">
        <v>554</v>
      </c>
      <c r="E4513" t="s">
        <v>11930</v>
      </c>
      <c r="F4513">
        <v>9156</v>
      </c>
      <c r="H4513" t="s">
        <v>1731</v>
      </c>
    </row>
    <row r="4514" spans="2:8" x14ac:dyDescent="0.2">
      <c r="B4514" t="s">
        <v>1433</v>
      </c>
      <c r="C4514" t="s">
        <v>12908</v>
      </c>
      <c r="D4514" t="s">
        <v>554</v>
      </c>
      <c r="E4514" t="s">
        <v>11931</v>
      </c>
      <c r="F4514">
        <v>9156</v>
      </c>
      <c r="H4514" t="s">
        <v>1731</v>
      </c>
    </row>
    <row r="4515" spans="2:8" x14ac:dyDescent="0.2">
      <c r="B4515" t="s">
        <v>1433</v>
      </c>
      <c r="C4515" t="s">
        <v>12908</v>
      </c>
      <c r="D4515" t="s">
        <v>613</v>
      </c>
      <c r="E4515" t="s">
        <v>11932</v>
      </c>
      <c r="F4515">
        <v>84.24</v>
      </c>
      <c r="H4515" t="s">
        <v>5286</v>
      </c>
    </row>
    <row r="4516" spans="2:8" x14ac:dyDescent="0.2">
      <c r="B4516" t="s">
        <v>1433</v>
      </c>
      <c r="C4516" t="s">
        <v>12908</v>
      </c>
      <c r="D4516" t="s">
        <v>613</v>
      </c>
      <c r="E4516" t="s">
        <v>11933</v>
      </c>
      <c r="F4516">
        <v>16</v>
      </c>
      <c r="H4516" t="s">
        <v>3482</v>
      </c>
    </row>
    <row r="4517" spans="2:8" x14ac:dyDescent="0.2">
      <c r="B4517" t="s">
        <v>1433</v>
      </c>
      <c r="C4517" t="s">
        <v>12908</v>
      </c>
      <c r="D4517" t="s">
        <v>613</v>
      </c>
      <c r="E4517" t="s">
        <v>11934</v>
      </c>
      <c r="F4517">
        <v>3.68</v>
      </c>
      <c r="H4517" t="s">
        <v>5354</v>
      </c>
    </row>
    <row r="4518" spans="2:8" x14ac:dyDescent="0.2">
      <c r="B4518" t="s">
        <v>1433</v>
      </c>
      <c r="C4518" t="s">
        <v>12908</v>
      </c>
      <c r="D4518" t="s">
        <v>613</v>
      </c>
      <c r="E4518" t="s">
        <v>11935</v>
      </c>
      <c r="F4518">
        <v>5155.92</v>
      </c>
      <c r="G4518" t="s">
        <v>1210</v>
      </c>
    </row>
    <row r="4519" spans="2:8" x14ac:dyDescent="0.2">
      <c r="B4519" t="s">
        <v>1433</v>
      </c>
      <c r="C4519" t="s">
        <v>12908</v>
      </c>
      <c r="D4519" t="s">
        <v>613</v>
      </c>
      <c r="E4519" t="s">
        <v>11936</v>
      </c>
      <c r="F4519">
        <v>591</v>
      </c>
      <c r="G4519" t="s">
        <v>1212</v>
      </c>
    </row>
    <row r="4520" spans="2:8" x14ac:dyDescent="0.2">
      <c r="B4520" t="s">
        <v>1433</v>
      </c>
      <c r="C4520" t="s">
        <v>12908</v>
      </c>
      <c r="D4520" t="s">
        <v>613</v>
      </c>
      <c r="E4520" t="s">
        <v>11937</v>
      </c>
      <c r="F4520">
        <v>90.4</v>
      </c>
      <c r="H4520" t="s">
        <v>1243</v>
      </c>
    </row>
    <row r="4521" spans="2:8" x14ac:dyDescent="0.2">
      <c r="B4521" t="s">
        <v>1433</v>
      </c>
      <c r="C4521" t="s">
        <v>12908</v>
      </c>
      <c r="D4521" t="s">
        <v>613</v>
      </c>
      <c r="E4521" t="s">
        <v>11938</v>
      </c>
      <c r="F4521">
        <v>120.4</v>
      </c>
      <c r="H4521" t="s">
        <v>1245</v>
      </c>
    </row>
    <row r="4522" spans="2:8" x14ac:dyDescent="0.2">
      <c r="B4522" t="s">
        <v>1433</v>
      </c>
      <c r="C4522" t="s">
        <v>12908</v>
      </c>
      <c r="D4522" t="s">
        <v>613</v>
      </c>
      <c r="E4522" t="s">
        <v>11939</v>
      </c>
      <c r="F4522">
        <v>1302.75</v>
      </c>
      <c r="H4522" t="s">
        <v>1517</v>
      </c>
    </row>
    <row r="4523" spans="2:8" x14ac:dyDescent="0.2">
      <c r="B4523" t="s">
        <v>1433</v>
      </c>
      <c r="C4523" t="s">
        <v>12908</v>
      </c>
      <c r="D4523" t="s">
        <v>613</v>
      </c>
      <c r="E4523" t="s">
        <v>11940</v>
      </c>
      <c r="F4523">
        <v>266.33999999999997</v>
      </c>
      <c r="H4523" t="s">
        <v>1559</v>
      </c>
    </row>
    <row r="4524" spans="2:8" x14ac:dyDescent="0.2">
      <c r="B4524" t="s">
        <v>1433</v>
      </c>
      <c r="C4524" t="s">
        <v>12908</v>
      </c>
      <c r="D4524" t="s">
        <v>613</v>
      </c>
      <c r="E4524" t="s">
        <v>11941</v>
      </c>
      <c r="F4524">
        <v>482.5</v>
      </c>
      <c r="H4524" t="s">
        <v>1577</v>
      </c>
    </row>
    <row r="4525" spans="2:8" x14ac:dyDescent="0.2">
      <c r="B4525" t="s">
        <v>1433</v>
      </c>
      <c r="C4525" t="s">
        <v>12908</v>
      </c>
      <c r="D4525" t="s">
        <v>613</v>
      </c>
      <c r="E4525" t="s">
        <v>11942</v>
      </c>
      <c r="F4525">
        <v>3</v>
      </c>
      <c r="H4525" t="s">
        <v>1536</v>
      </c>
    </row>
    <row r="4526" spans="2:8" x14ac:dyDescent="0.2">
      <c r="B4526" t="s">
        <v>1433</v>
      </c>
      <c r="C4526" t="s">
        <v>12908</v>
      </c>
      <c r="D4526" t="s">
        <v>554</v>
      </c>
      <c r="E4526" t="s">
        <v>11943</v>
      </c>
      <c r="F4526">
        <v>14176</v>
      </c>
      <c r="H4526" t="s">
        <v>1967</v>
      </c>
    </row>
    <row r="4527" spans="2:8" x14ac:dyDescent="0.2">
      <c r="B4527" t="s">
        <v>1433</v>
      </c>
      <c r="C4527" t="s">
        <v>12908</v>
      </c>
      <c r="D4527" t="s">
        <v>613</v>
      </c>
      <c r="E4527" t="s">
        <v>11944</v>
      </c>
      <c r="F4527">
        <v>90.4</v>
      </c>
      <c r="H4527" t="s">
        <v>1243</v>
      </c>
    </row>
    <row r="4528" spans="2:8" x14ac:dyDescent="0.2">
      <c r="B4528" t="s">
        <v>1433</v>
      </c>
      <c r="C4528" t="s">
        <v>12908</v>
      </c>
      <c r="D4528" t="s">
        <v>613</v>
      </c>
      <c r="E4528" t="s">
        <v>11945</v>
      </c>
      <c r="F4528">
        <v>120.4</v>
      </c>
      <c r="H4528" t="s">
        <v>1245</v>
      </c>
    </row>
    <row r="4529" spans="2:8" x14ac:dyDescent="0.2">
      <c r="B4529" t="s">
        <v>1433</v>
      </c>
      <c r="C4529" t="s">
        <v>12908</v>
      </c>
      <c r="D4529" t="s">
        <v>613</v>
      </c>
      <c r="E4529" t="s">
        <v>11946</v>
      </c>
      <c r="F4529">
        <v>1302.75</v>
      </c>
      <c r="H4529" t="s">
        <v>1517</v>
      </c>
    </row>
    <row r="4530" spans="2:8" x14ac:dyDescent="0.2">
      <c r="B4530" t="s">
        <v>1433</v>
      </c>
      <c r="C4530" t="s">
        <v>12908</v>
      </c>
      <c r="D4530" t="s">
        <v>613</v>
      </c>
      <c r="E4530" t="s">
        <v>11947</v>
      </c>
      <c r="F4530">
        <v>482.5</v>
      </c>
      <c r="H4530" t="s">
        <v>1577</v>
      </c>
    </row>
    <row r="4531" spans="2:8" x14ac:dyDescent="0.2">
      <c r="B4531" t="s">
        <v>1433</v>
      </c>
      <c r="C4531" t="s">
        <v>12908</v>
      </c>
      <c r="D4531" t="s">
        <v>613</v>
      </c>
      <c r="E4531" t="s">
        <v>11948</v>
      </c>
      <c r="F4531">
        <v>9</v>
      </c>
      <c r="H4531" t="s">
        <v>1536</v>
      </c>
    </row>
    <row r="4532" spans="2:8" x14ac:dyDescent="0.2">
      <c r="B4532" t="s">
        <v>1433</v>
      </c>
      <c r="C4532" t="s">
        <v>12908</v>
      </c>
      <c r="D4532" t="s">
        <v>613</v>
      </c>
      <c r="E4532" t="s">
        <v>11949</v>
      </c>
      <c r="F4532">
        <v>77.2</v>
      </c>
      <c r="H4532" t="s">
        <v>1701</v>
      </c>
    </row>
    <row r="4533" spans="2:8" x14ac:dyDescent="0.2">
      <c r="B4533" t="s">
        <v>1433</v>
      </c>
      <c r="C4533" t="s">
        <v>12908</v>
      </c>
      <c r="D4533" t="s">
        <v>554</v>
      </c>
      <c r="E4533" t="s">
        <v>11950</v>
      </c>
      <c r="F4533">
        <v>11582</v>
      </c>
      <c r="H4533" t="s">
        <v>2153</v>
      </c>
    </row>
    <row r="4534" spans="2:8" x14ac:dyDescent="0.2">
      <c r="B4534" t="s">
        <v>1433</v>
      </c>
      <c r="C4534" t="s">
        <v>12908</v>
      </c>
      <c r="D4534" t="s">
        <v>613</v>
      </c>
      <c r="E4534" t="s">
        <v>11951</v>
      </c>
      <c r="F4534">
        <v>5.84</v>
      </c>
      <c r="H4534" t="s">
        <v>1530</v>
      </c>
    </row>
    <row r="4535" spans="2:8" x14ac:dyDescent="0.2">
      <c r="B4535" t="s">
        <v>1433</v>
      </c>
      <c r="C4535" t="s">
        <v>12908</v>
      </c>
      <c r="D4535" t="s">
        <v>613</v>
      </c>
      <c r="E4535" t="s">
        <v>11952</v>
      </c>
      <c r="F4535">
        <v>8.68</v>
      </c>
      <c r="H4535" t="s">
        <v>1529</v>
      </c>
    </row>
    <row r="4536" spans="2:8" x14ac:dyDescent="0.2">
      <c r="B4536" t="s">
        <v>1433</v>
      </c>
      <c r="C4536" t="s">
        <v>12908</v>
      </c>
      <c r="D4536" t="s">
        <v>613</v>
      </c>
      <c r="E4536" t="s">
        <v>11953</v>
      </c>
      <c r="F4536">
        <v>63.08</v>
      </c>
      <c r="H4536" t="s">
        <v>1496</v>
      </c>
    </row>
    <row r="4537" spans="2:8" x14ac:dyDescent="0.2">
      <c r="B4537" t="s">
        <v>1433</v>
      </c>
      <c r="C4537" t="s">
        <v>12908</v>
      </c>
      <c r="D4537" t="s">
        <v>613</v>
      </c>
      <c r="E4537" t="s">
        <v>11954</v>
      </c>
      <c r="F4537">
        <v>109.92</v>
      </c>
      <c r="H4537" t="s">
        <v>1532</v>
      </c>
    </row>
    <row r="4538" spans="2:8" x14ac:dyDescent="0.2">
      <c r="B4538" t="s">
        <v>1433</v>
      </c>
      <c r="C4538" t="s">
        <v>12908</v>
      </c>
      <c r="D4538" t="s">
        <v>613</v>
      </c>
      <c r="E4538" t="s">
        <v>11955</v>
      </c>
      <c r="F4538">
        <v>14.26</v>
      </c>
      <c r="H4538" t="s">
        <v>1526</v>
      </c>
    </row>
    <row r="4539" spans="2:8" x14ac:dyDescent="0.2">
      <c r="B4539" t="s">
        <v>1433</v>
      </c>
      <c r="C4539" t="s">
        <v>12908</v>
      </c>
      <c r="D4539" t="s">
        <v>613</v>
      </c>
      <c r="E4539" t="s">
        <v>11956</v>
      </c>
      <c r="F4539">
        <v>8.98</v>
      </c>
      <c r="H4539" t="s">
        <v>1528</v>
      </c>
    </row>
    <row r="4540" spans="2:8" x14ac:dyDescent="0.2">
      <c r="B4540" t="s">
        <v>1433</v>
      </c>
      <c r="C4540" t="s">
        <v>12908</v>
      </c>
      <c r="D4540" t="s">
        <v>613</v>
      </c>
      <c r="E4540" t="s">
        <v>11957</v>
      </c>
      <c r="F4540">
        <v>90.4</v>
      </c>
      <c r="H4540" t="s">
        <v>1243</v>
      </c>
    </row>
    <row r="4541" spans="2:8" x14ac:dyDescent="0.2">
      <c r="B4541" t="s">
        <v>1433</v>
      </c>
      <c r="C4541" t="s">
        <v>12908</v>
      </c>
      <c r="D4541" t="s">
        <v>613</v>
      </c>
      <c r="E4541" t="s">
        <v>11958</v>
      </c>
      <c r="F4541">
        <v>120.4</v>
      </c>
      <c r="H4541" t="s">
        <v>1245</v>
      </c>
    </row>
    <row r="4542" spans="2:8" x14ac:dyDescent="0.2">
      <c r="B4542" t="s">
        <v>1433</v>
      </c>
      <c r="C4542" t="s">
        <v>12908</v>
      </c>
      <c r="D4542" t="s">
        <v>613</v>
      </c>
      <c r="E4542" t="s">
        <v>11959</v>
      </c>
      <c r="F4542">
        <v>1042.2</v>
      </c>
      <c r="H4542" t="s">
        <v>1517</v>
      </c>
    </row>
    <row r="4543" spans="2:8" x14ac:dyDescent="0.2">
      <c r="B4543" t="s">
        <v>1433</v>
      </c>
      <c r="C4543" t="s">
        <v>12908</v>
      </c>
      <c r="D4543" t="s">
        <v>613</v>
      </c>
      <c r="E4543" t="s">
        <v>11960</v>
      </c>
      <c r="F4543">
        <v>532.67999999999995</v>
      </c>
      <c r="H4543" t="s">
        <v>1559</v>
      </c>
    </row>
    <row r="4544" spans="2:8" x14ac:dyDescent="0.2">
      <c r="B4544" t="s">
        <v>1433</v>
      </c>
      <c r="C4544" t="s">
        <v>12908</v>
      </c>
      <c r="D4544" t="s">
        <v>613</v>
      </c>
      <c r="E4544" t="s">
        <v>11961</v>
      </c>
      <c r="F4544">
        <v>241.25</v>
      </c>
      <c r="H4544" t="s">
        <v>1577</v>
      </c>
    </row>
    <row r="4545" spans="2:8" x14ac:dyDescent="0.2">
      <c r="B4545" t="s">
        <v>1433</v>
      </c>
      <c r="C4545" t="s">
        <v>12908</v>
      </c>
      <c r="D4545" t="s">
        <v>613</v>
      </c>
      <c r="E4545" t="s">
        <v>11962</v>
      </c>
      <c r="F4545">
        <v>68.36</v>
      </c>
      <c r="H4545" t="s">
        <v>1818</v>
      </c>
    </row>
    <row r="4546" spans="2:8" x14ac:dyDescent="0.2">
      <c r="B4546" t="s">
        <v>1433</v>
      </c>
      <c r="C4546" t="s">
        <v>12908</v>
      </c>
      <c r="D4546" t="s">
        <v>613</v>
      </c>
      <c r="E4546" t="s">
        <v>11963</v>
      </c>
      <c r="F4546">
        <v>87.96</v>
      </c>
      <c r="H4546" t="s">
        <v>1533</v>
      </c>
    </row>
    <row r="4547" spans="2:8" x14ac:dyDescent="0.2">
      <c r="B4547" t="s">
        <v>1433</v>
      </c>
      <c r="C4547" t="s">
        <v>12908</v>
      </c>
      <c r="D4547" t="s">
        <v>613</v>
      </c>
      <c r="E4547" t="s">
        <v>11964</v>
      </c>
      <c r="F4547">
        <v>12</v>
      </c>
      <c r="H4547" t="s">
        <v>1536</v>
      </c>
    </row>
    <row r="4548" spans="2:8" x14ac:dyDescent="0.2">
      <c r="B4548" t="s">
        <v>1433</v>
      </c>
      <c r="C4548" t="s">
        <v>12908</v>
      </c>
      <c r="D4548" t="s">
        <v>554</v>
      </c>
      <c r="E4548" t="s">
        <v>11965</v>
      </c>
      <c r="F4548">
        <v>14984</v>
      </c>
      <c r="H4548" t="s">
        <v>2358</v>
      </c>
    </row>
    <row r="4549" spans="2:8" x14ac:dyDescent="0.2">
      <c r="B4549" t="s">
        <v>1433</v>
      </c>
      <c r="C4549" t="s">
        <v>12908</v>
      </c>
      <c r="D4549" t="s">
        <v>613</v>
      </c>
      <c r="E4549" t="s">
        <v>11966</v>
      </c>
      <c r="F4549">
        <v>531.12</v>
      </c>
      <c r="H4549" t="s">
        <v>3884</v>
      </c>
    </row>
    <row r="4550" spans="2:8" x14ac:dyDescent="0.2">
      <c r="B4550" t="s">
        <v>1433</v>
      </c>
      <c r="C4550" t="s">
        <v>12908</v>
      </c>
      <c r="D4550" t="s">
        <v>613</v>
      </c>
      <c r="E4550" t="s">
        <v>11967</v>
      </c>
      <c r="F4550">
        <v>90.4</v>
      </c>
      <c r="H4550" t="s">
        <v>1243</v>
      </c>
    </row>
    <row r="4551" spans="2:8" x14ac:dyDescent="0.2">
      <c r="B4551" t="s">
        <v>1433</v>
      </c>
      <c r="C4551" t="s">
        <v>12908</v>
      </c>
      <c r="D4551" t="s">
        <v>613</v>
      </c>
      <c r="E4551" t="s">
        <v>11968</v>
      </c>
      <c r="F4551">
        <v>120.4</v>
      </c>
      <c r="H4551" t="s">
        <v>1245</v>
      </c>
    </row>
    <row r="4552" spans="2:8" x14ac:dyDescent="0.2">
      <c r="B4552" t="s">
        <v>1433</v>
      </c>
      <c r="C4552" t="s">
        <v>12908</v>
      </c>
      <c r="D4552" t="s">
        <v>613</v>
      </c>
      <c r="E4552" t="s">
        <v>11969</v>
      </c>
      <c r="F4552">
        <v>1302.75</v>
      </c>
      <c r="H4552" t="s">
        <v>1517</v>
      </c>
    </row>
    <row r="4553" spans="2:8" x14ac:dyDescent="0.2">
      <c r="B4553" t="s">
        <v>1433</v>
      </c>
      <c r="C4553" t="s">
        <v>12908</v>
      </c>
      <c r="D4553" t="s">
        <v>613</v>
      </c>
      <c r="E4553" t="s">
        <v>11970</v>
      </c>
      <c r="F4553">
        <v>266.33999999999997</v>
      </c>
      <c r="H4553" t="s">
        <v>1559</v>
      </c>
    </row>
    <row r="4554" spans="2:8" x14ac:dyDescent="0.2">
      <c r="B4554" t="s">
        <v>1433</v>
      </c>
      <c r="C4554" t="s">
        <v>12908</v>
      </c>
      <c r="D4554" t="s">
        <v>613</v>
      </c>
      <c r="E4554" t="s">
        <v>11971</v>
      </c>
      <c r="F4554">
        <v>482.5</v>
      </c>
      <c r="H4554" t="s">
        <v>1577</v>
      </c>
    </row>
    <row r="4555" spans="2:8" x14ac:dyDescent="0.2">
      <c r="B4555" t="s">
        <v>1433</v>
      </c>
      <c r="C4555" t="s">
        <v>12908</v>
      </c>
      <c r="D4555" t="s">
        <v>554</v>
      </c>
      <c r="E4555" t="s">
        <v>11972</v>
      </c>
      <c r="F4555">
        <v>13152</v>
      </c>
      <c r="H4555" t="s">
        <v>2331</v>
      </c>
    </row>
    <row r="4556" spans="2:8" x14ac:dyDescent="0.2">
      <c r="B4556" t="s">
        <v>1433</v>
      </c>
      <c r="C4556" t="s">
        <v>12908</v>
      </c>
      <c r="D4556" t="s">
        <v>613</v>
      </c>
      <c r="E4556" t="s">
        <v>11973</v>
      </c>
      <c r="F4556">
        <v>90.4</v>
      </c>
      <c r="H4556" t="s">
        <v>1243</v>
      </c>
    </row>
    <row r="4557" spans="2:8" x14ac:dyDescent="0.2">
      <c r="B4557" t="s">
        <v>1433</v>
      </c>
      <c r="C4557" t="s">
        <v>12908</v>
      </c>
      <c r="D4557" t="s">
        <v>613</v>
      </c>
      <c r="E4557" t="s">
        <v>11974</v>
      </c>
      <c r="F4557">
        <v>120.4</v>
      </c>
      <c r="H4557" t="s">
        <v>1245</v>
      </c>
    </row>
    <row r="4558" spans="2:8" x14ac:dyDescent="0.2">
      <c r="B4558" t="s">
        <v>1433</v>
      </c>
      <c r="C4558" t="s">
        <v>12908</v>
      </c>
      <c r="D4558" t="s">
        <v>613</v>
      </c>
      <c r="E4558" t="s">
        <v>11975</v>
      </c>
      <c r="F4558">
        <v>1563.3</v>
      </c>
      <c r="H4558" t="s">
        <v>1517</v>
      </c>
    </row>
    <row r="4559" spans="2:8" x14ac:dyDescent="0.2">
      <c r="B4559" t="s">
        <v>1433</v>
      </c>
      <c r="C4559" t="s">
        <v>12908</v>
      </c>
      <c r="D4559" t="s">
        <v>613</v>
      </c>
      <c r="E4559" t="s">
        <v>11976</v>
      </c>
      <c r="F4559">
        <v>-1563.3</v>
      </c>
      <c r="H4559" t="s">
        <v>1517</v>
      </c>
    </row>
    <row r="4560" spans="2:8" x14ac:dyDescent="0.2">
      <c r="B4560" t="s">
        <v>1433</v>
      </c>
      <c r="C4560" t="s">
        <v>12908</v>
      </c>
      <c r="D4560" t="s">
        <v>613</v>
      </c>
      <c r="E4560" t="s">
        <v>11977</v>
      </c>
      <c r="F4560">
        <v>1563.3</v>
      </c>
      <c r="H4560" t="s">
        <v>1517</v>
      </c>
    </row>
    <row r="4561" spans="2:8" x14ac:dyDescent="0.2">
      <c r="B4561" t="s">
        <v>1433</v>
      </c>
      <c r="C4561" t="s">
        <v>12908</v>
      </c>
      <c r="D4561" t="s">
        <v>613</v>
      </c>
      <c r="E4561" t="s">
        <v>11978</v>
      </c>
      <c r="F4561">
        <v>260.55</v>
      </c>
      <c r="H4561" t="s">
        <v>1517</v>
      </c>
    </row>
    <row r="4562" spans="2:8" x14ac:dyDescent="0.2">
      <c r="B4562" t="s">
        <v>1433</v>
      </c>
      <c r="C4562" t="s">
        <v>12908</v>
      </c>
      <c r="D4562" t="s">
        <v>613</v>
      </c>
      <c r="E4562" t="s">
        <v>11979</v>
      </c>
      <c r="F4562">
        <v>266.33999999999997</v>
      </c>
      <c r="H4562" t="s">
        <v>1559</v>
      </c>
    </row>
    <row r="4563" spans="2:8" x14ac:dyDescent="0.2">
      <c r="B4563" t="s">
        <v>1433</v>
      </c>
      <c r="C4563" t="s">
        <v>12908</v>
      </c>
      <c r="D4563" t="s">
        <v>613</v>
      </c>
      <c r="E4563" t="s">
        <v>11980</v>
      </c>
      <c r="F4563">
        <v>482.5</v>
      </c>
      <c r="H4563" t="s">
        <v>1577</v>
      </c>
    </row>
    <row r="4564" spans="2:8" x14ac:dyDescent="0.2">
      <c r="B4564" t="s">
        <v>1433</v>
      </c>
      <c r="C4564" t="s">
        <v>12908</v>
      </c>
      <c r="D4564" t="s">
        <v>613</v>
      </c>
      <c r="E4564" t="s">
        <v>11981</v>
      </c>
      <c r="F4564">
        <v>77.2</v>
      </c>
      <c r="H4564" t="s">
        <v>1701</v>
      </c>
    </row>
    <row r="4565" spans="2:8" x14ac:dyDescent="0.2">
      <c r="B4565" t="s">
        <v>1433</v>
      </c>
      <c r="C4565" t="s">
        <v>12908</v>
      </c>
      <c r="D4565" t="s">
        <v>613</v>
      </c>
      <c r="E4565" t="s">
        <v>11982</v>
      </c>
      <c r="F4565">
        <v>77.2</v>
      </c>
      <c r="H4565" t="s">
        <v>1927</v>
      </c>
    </row>
    <row r="4566" spans="2:8" x14ac:dyDescent="0.2">
      <c r="B4566" t="s">
        <v>1433</v>
      </c>
      <c r="C4566" t="s">
        <v>12908</v>
      </c>
      <c r="D4566" t="s">
        <v>613</v>
      </c>
      <c r="E4566" t="s">
        <v>11983</v>
      </c>
      <c r="F4566">
        <v>77.2</v>
      </c>
      <c r="H4566" t="s">
        <v>1929</v>
      </c>
    </row>
    <row r="4567" spans="2:8" x14ac:dyDescent="0.2">
      <c r="B4567" t="s">
        <v>1433</v>
      </c>
      <c r="C4567" t="s">
        <v>12908</v>
      </c>
      <c r="D4567" t="s">
        <v>613</v>
      </c>
      <c r="E4567" t="s">
        <v>11984</v>
      </c>
      <c r="F4567">
        <v>6.4</v>
      </c>
      <c r="H4567" t="s">
        <v>1695</v>
      </c>
    </row>
    <row r="4568" spans="2:8" x14ac:dyDescent="0.2">
      <c r="B4568" t="s">
        <v>1433</v>
      </c>
      <c r="C4568" t="s">
        <v>12908</v>
      </c>
      <c r="D4568" t="s">
        <v>613</v>
      </c>
      <c r="E4568" t="s">
        <v>11985</v>
      </c>
      <c r="F4568">
        <v>77.2</v>
      </c>
      <c r="H4568" t="s">
        <v>1930</v>
      </c>
    </row>
    <row r="4569" spans="2:8" x14ac:dyDescent="0.2">
      <c r="B4569" t="s">
        <v>1433</v>
      </c>
      <c r="C4569" t="s">
        <v>12908</v>
      </c>
      <c r="D4569" t="s">
        <v>554</v>
      </c>
      <c r="E4569" t="s">
        <v>11986</v>
      </c>
      <c r="F4569">
        <v>6145</v>
      </c>
      <c r="H4569" t="s">
        <v>2333</v>
      </c>
    </row>
    <row r="4570" spans="2:8" x14ac:dyDescent="0.2">
      <c r="B4570" t="s">
        <v>1433</v>
      </c>
      <c r="C4570" t="s">
        <v>12908</v>
      </c>
      <c r="D4570" t="s">
        <v>554</v>
      </c>
      <c r="E4570" t="s">
        <v>11987</v>
      </c>
      <c r="F4570">
        <v>6145</v>
      </c>
      <c r="H4570" t="s">
        <v>2333</v>
      </c>
    </row>
    <row r="4571" spans="2:8" x14ac:dyDescent="0.2">
      <c r="B4571" t="s">
        <v>1433</v>
      </c>
      <c r="C4571" t="s">
        <v>12908</v>
      </c>
      <c r="D4571" t="s">
        <v>613</v>
      </c>
      <c r="E4571" t="s">
        <v>11988</v>
      </c>
      <c r="F4571">
        <v>90.4</v>
      </c>
      <c r="H4571" t="s">
        <v>1243</v>
      </c>
    </row>
    <row r="4572" spans="2:8" x14ac:dyDescent="0.2">
      <c r="B4572" t="s">
        <v>1433</v>
      </c>
      <c r="C4572" t="s">
        <v>12908</v>
      </c>
      <c r="D4572" t="s">
        <v>613</v>
      </c>
      <c r="E4572" t="s">
        <v>11989</v>
      </c>
      <c r="F4572">
        <v>120.4</v>
      </c>
      <c r="H4572" t="s">
        <v>1245</v>
      </c>
    </row>
    <row r="4573" spans="2:8" x14ac:dyDescent="0.2">
      <c r="B4573" t="s">
        <v>1433</v>
      </c>
      <c r="C4573" t="s">
        <v>12908</v>
      </c>
      <c r="D4573" t="s">
        <v>613</v>
      </c>
      <c r="E4573" t="s">
        <v>11990</v>
      </c>
      <c r="F4573">
        <v>1302.75</v>
      </c>
      <c r="H4573" t="s">
        <v>1517</v>
      </c>
    </row>
    <row r="4574" spans="2:8" x14ac:dyDescent="0.2">
      <c r="B4574" t="s">
        <v>1433</v>
      </c>
      <c r="C4574" t="s">
        <v>12908</v>
      </c>
      <c r="D4574" t="s">
        <v>613</v>
      </c>
      <c r="E4574" t="s">
        <v>11991</v>
      </c>
      <c r="F4574">
        <v>266.33999999999997</v>
      </c>
      <c r="H4574" t="s">
        <v>1559</v>
      </c>
    </row>
    <row r="4575" spans="2:8" x14ac:dyDescent="0.2">
      <c r="B4575" t="s">
        <v>1433</v>
      </c>
      <c r="C4575" t="s">
        <v>12908</v>
      </c>
      <c r="D4575" t="s">
        <v>613</v>
      </c>
      <c r="E4575" t="s">
        <v>11992</v>
      </c>
      <c r="F4575">
        <v>1129.05</v>
      </c>
      <c r="H4575" t="s">
        <v>1578</v>
      </c>
    </row>
    <row r="4576" spans="2:8" x14ac:dyDescent="0.2">
      <c r="B4576" t="s">
        <v>1433</v>
      </c>
      <c r="C4576" t="s">
        <v>12908</v>
      </c>
      <c r="D4576" t="s">
        <v>613</v>
      </c>
      <c r="E4576" t="s">
        <v>11993</v>
      </c>
      <c r="F4576">
        <v>1129.05</v>
      </c>
      <c r="H4576" t="s">
        <v>2162</v>
      </c>
    </row>
    <row r="4577" spans="2:8" x14ac:dyDescent="0.2">
      <c r="B4577" t="s">
        <v>1433</v>
      </c>
      <c r="C4577" t="s">
        <v>12908</v>
      </c>
      <c r="D4577" t="s">
        <v>554</v>
      </c>
      <c r="E4577" t="s">
        <v>11994</v>
      </c>
      <c r="F4577">
        <v>13050</v>
      </c>
      <c r="H4577" t="s">
        <v>2335</v>
      </c>
    </row>
    <row r="4578" spans="2:8" x14ac:dyDescent="0.2">
      <c r="B4578" t="s">
        <v>1433</v>
      </c>
      <c r="C4578" t="s">
        <v>12908</v>
      </c>
      <c r="D4578" t="s">
        <v>613</v>
      </c>
      <c r="E4578" t="s">
        <v>11995</v>
      </c>
      <c r="F4578">
        <v>113</v>
      </c>
      <c r="H4578" t="s">
        <v>1243</v>
      </c>
    </row>
    <row r="4579" spans="2:8" x14ac:dyDescent="0.2">
      <c r="B4579" t="s">
        <v>1433</v>
      </c>
      <c r="C4579" t="s">
        <v>12908</v>
      </c>
      <c r="D4579" t="s">
        <v>613</v>
      </c>
      <c r="E4579" t="s">
        <v>11996</v>
      </c>
      <c r="F4579">
        <v>120.4</v>
      </c>
      <c r="H4579" t="s">
        <v>1245</v>
      </c>
    </row>
    <row r="4580" spans="2:8" x14ac:dyDescent="0.2">
      <c r="B4580" t="s">
        <v>1433</v>
      </c>
      <c r="C4580" t="s">
        <v>12908</v>
      </c>
      <c r="D4580" t="s">
        <v>613</v>
      </c>
      <c r="E4580" t="s">
        <v>11997</v>
      </c>
      <c r="F4580">
        <v>1563.3</v>
      </c>
      <c r="H4580" t="s">
        <v>1517</v>
      </c>
    </row>
    <row r="4581" spans="2:8" x14ac:dyDescent="0.2">
      <c r="B4581" t="s">
        <v>1433</v>
      </c>
      <c r="C4581" t="s">
        <v>12908</v>
      </c>
      <c r="D4581" t="s">
        <v>613</v>
      </c>
      <c r="E4581" t="s">
        <v>11998</v>
      </c>
      <c r="F4581">
        <v>-1563.3</v>
      </c>
      <c r="H4581" t="s">
        <v>1517</v>
      </c>
    </row>
    <row r="4582" spans="2:8" x14ac:dyDescent="0.2">
      <c r="B4582" t="s">
        <v>1433</v>
      </c>
      <c r="C4582" t="s">
        <v>12908</v>
      </c>
      <c r="D4582" t="s">
        <v>613</v>
      </c>
      <c r="E4582" t="s">
        <v>11999</v>
      </c>
      <c r="F4582">
        <v>1563.3</v>
      </c>
      <c r="H4582" t="s">
        <v>1517</v>
      </c>
    </row>
    <row r="4583" spans="2:8" x14ac:dyDescent="0.2">
      <c r="B4583" t="s">
        <v>1433</v>
      </c>
      <c r="C4583" t="s">
        <v>12908</v>
      </c>
      <c r="D4583" t="s">
        <v>613</v>
      </c>
      <c r="E4583" t="s">
        <v>12000</v>
      </c>
      <c r="F4583">
        <v>521.1</v>
      </c>
      <c r="H4583" t="s">
        <v>1517</v>
      </c>
    </row>
    <row r="4584" spans="2:8" x14ac:dyDescent="0.2">
      <c r="B4584" t="s">
        <v>1433</v>
      </c>
      <c r="C4584" t="s">
        <v>12908</v>
      </c>
      <c r="D4584" t="s">
        <v>613</v>
      </c>
      <c r="E4584" t="s">
        <v>12001</v>
      </c>
      <c r="F4584">
        <v>266.33999999999997</v>
      </c>
      <c r="H4584" t="s">
        <v>1559</v>
      </c>
    </row>
    <row r="4585" spans="2:8" x14ac:dyDescent="0.2">
      <c r="B4585" t="s">
        <v>1433</v>
      </c>
      <c r="C4585" t="s">
        <v>12908</v>
      </c>
      <c r="D4585" t="s">
        <v>613</v>
      </c>
      <c r="E4585" t="s">
        <v>12002</v>
      </c>
      <c r="F4585">
        <v>482.5</v>
      </c>
      <c r="H4585" t="s">
        <v>1577</v>
      </c>
    </row>
    <row r="4586" spans="2:8" x14ac:dyDescent="0.2">
      <c r="B4586" t="s">
        <v>1433</v>
      </c>
      <c r="C4586" t="s">
        <v>12908</v>
      </c>
      <c r="D4586" t="s">
        <v>613</v>
      </c>
      <c r="E4586" t="s">
        <v>12003</v>
      </c>
      <c r="F4586">
        <v>4.5</v>
      </c>
      <c r="H4586" t="s">
        <v>1536</v>
      </c>
    </row>
    <row r="4587" spans="2:8" x14ac:dyDescent="0.2">
      <c r="B4587" t="s">
        <v>1433</v>
      </c>
      <c r="C4587" t="s">
        <v>12908</v>
      </c>
      <c r="D4587" t="s">
        <v>613</v>
      </c>
      <c r="E4587" t="s">
        <v>12004</v>
      </c>
      <c r="F4587">
        <v>77.2</v>
      </c>
      <c r="H4587" t="s">
        <v>1701</v>
      </c>
    </row>
    <row r="4588" spans="2:8" x14ac:dyDescent="0.2">
      <c r="B4588" t="s">
        <v>1433</v>
      </c>
      <c r="C4588" t="s">
        <v>12908</v>
      </c>
      <c r="D4588" t="s">
        <v>613</v>
      </c>
      <c r="E4588" t="s">
        <v>12005</v>
      </c>
      <c r="F4588">
        <v>60.79</v>
      </c>
      <c r="H4588" t="s">
        <v>1938</v>
      </c>
    </row>
    <row r="4589" spans="2:8" x14ac:dyDescent="0.2">
      <c r="B4589" t="s">
        <v>1433</v>
      </c>
      <c r="C4589" t="s">
        <v>12908</v>
      </c>
      <c r="D4589" t="s">
        <v>613</v>
      </c>
      <c r="E4589" t="s">
        <v>12006</v>
      </c>
      <c r="F4589">
        <v>60.79</v>
      </c>
      <c r="H4589" t="s">
        <v>1939</v>
      </c>
    </row>
    <row r="4590" spans="2:8" x14ac:dyDescent="0.2">
      <c r="B4590" t="s">
        <v>1433</v>
      </c>
      <c r="C4590" t="s">
        <v>12908</v>
      </c>
      <c r="D4590" t="s">
        <v>554</v>
      </c>
      <c r="E4590" t="s">
        <v>12007</v>
      </c>
      <c r="F4590">
        <v>15590</v>
      </c>
      <c r="H4590" t="s">
        <v>2336</v>
      </c>
    </row>
    <row r="4591" spans="2:8" x14ac:dyDescent="0.2">
      <c r="B4591" t="s">
        <v>1433</v>
      </c>
      <c r="C4591" t="s">
        <v>12908</v>
      </c>
      <c r="D4591" t="s">
        <v>613</v>
      </c>
      <c r="E4591" t="s">
        <v>12008</v>
      </c>
      <c r="F4591">
        <v>77.2</v>
      </c>
      <c r="H4591" t="s">
        <v>1701</v>
      </c>
    </row>
    <row r="4592" spans="2:8" x14ac:dyDescent="0.2">
      <c r="B4592" t="s">
        <v>1433</v>
      </c>
      <c r="C4592" t="s">
        <v>12908</v>
      </c>
      <c r="D4592" t="s">
        <v>613</v>
      </c>
      <c r="E4592" t="s">
        <v>12009</v>
      </c>
      <c r="F4592">
        <v>521.1</v>
      </c>
      <c r="H4592" t="s">
        <v>1517</v>
      </c>
    </row>
    <row r="4593" spans="2:8" x14ac:dyDescent="0.2">
      <c r="B4593" t="s">
        <v>1433</v>
      </c>
      <c r="C4593" t="s">
        <v>12908</v>
      </c>
      <c r="D4593" t="s">
        <v>613</v>
      </c>
      <c r="E4593" t="s">
        <v>12010</v>
      </c>
      <c r="F4593">
        <v>126.16</v>
      </c>
      <c r="H4593" t="s">
        <v>1496</v>
      </c>
    </row>
    <row r="4594" spans="2:8" x14ac:dyDescent="0.2">
      <c r="B4594" t="s">
        <v>1433</v>
      </c>
      <c r="C4594" t="s">
        <v>12908</v>
      </c>
      <c r="D4594" t="s">
        <v>613</v>
      </c>
      <c r="E4594" t="s">
        <v>12011</v>
      </c>
      <c r="F4594">
        <v>90.4</v>
      </c>
      <c r="H4594" t="s">
        <v>1243</v>
      </c>
    </row>
    <row r="4595" spans="2:8" x14ac:dyDescent="0.2">
      <c r="B4595" t="s">
        <v>1433</v>
      </c>
      <c r="C4595" t="s">
        <v>12908</v>
      </c>
      <c r="D4595" t="s">
        <v>613</v>
      </c>
      <c r="E4595" t="s">
        <v>12012</v>
      </c>
      <c r="F4595">
        <v>120.4</v>
      </c>
      <c r="H4595" t="s">
        <v>1245</v>
      </c>
    </row>
    <row r="4596" spans="2:8" x14ac:dyDescent="0.2">
      <c r="B4596" t="s">
        <v>1433</v>
      </c>
      <c r="C4596" t="s">
        <v>12908</v>
      </c>
      <c r="D4596" t="s">
        <v>613</v>
      </c>
      <c r="E4596" t="s">
        <v>12013</v>
      </c>
      <c r="F4596">
        <v>1563.3</v>
      </c>
      <c r="H4596" t="s">
        <v>1517</v>
      </c>
    </row>
    <row r="4597" spans="2:8" x14ac:dyDescent="0.2">
      <c r="B4597" t="s">
        <v>1433</v>
      </c>
      <c r="C4597" t="s">
        <v>12908</v>
      </c>
      <c r="D4597" t="s">
        <v>613</v>
      </c>
      <c r="E4597" t="s">
        <v>12014</v>
      </c>
      <c r="F4597">
        <v>241.25</v>
      </c>
      <c r="H4597" t="s">
        <v>1577</v>
      </c>
    </row>
    <row r="4598" spans="2:8" x14ac:dyDescent="0.2">
      <c r="B4598" t="s">
        <v>1433</v>
      </c>
      <c r="C4598" t="s">
        <v>12908</v>
      </c>
      <c r="D4598" t="s">
        <v>554</v>
      </c>
      <c r="E4598" t="s">
        <v>12015</v>
      </c>
      <c r="F4598">
        <v>13374</v>
      </c>
      <c r="H4598" t="s">
        <v>2426</v>
      </c>
    </row>
    <row r="4599" spans="2:8" x14ac:dyDescent="0.2">
      <c r="B4599" t="s">
        <v>1433</v>
      </c>
      <c r="C4599" t="s">
        <v>12908</v>
      </c>
      <c r="D4599" t="s">
        <v>613</v>
      </c>
      <c r="E4599" t="s">
        <v>12016</v>
      </c>
      <c r="F4599">
        <v>109.92</v>
      </c>
      <c r="H4599" t="s">
        <v>1532</v>
      </c>
    </row>
    <row r="4600" spans="2:8" x14ac:dyDescent="0.2">
      <c r="B4600" t="s">
        <v>1433</v>
      </c>
      <c r="C4600" t="s">
        <v>12908</v>
      </c>
      <c r="D4600" t="s">
        <v>613</v>
      </c>
      <c r="E4600" t="s">
        <v>12017</v>
      </c>
      <c r="F4600">
        <v>32.159999999999997</v>
      </c>
      <c r="H4600" t="s">
        <v>1506</v>
      </c>
    </row>
    <row r="4601" spans="2:8" x14ac:dyDescent="0.2">
      <c r="B4601" t="s">
        <v>1433</v>
      </c>
      <c r="C4601" t="s">
        <v>12908</v>
      </c>
      <c r="D4601" t="s">
        <v>613</v>
      </c>
      <c r="E4601" t="s">
        <v>12018</v>
      </c>
      <c r="F4601">
        <v>65.88</v>
      </c>
      <c r="H4601" t="s">
        <v>1504</v>
      </c>
    </row>
    <row r="4602" spans="2:8" x14ac:dyDescent="0.2">
      <c r="B4602" t="s">
        <v>1433</v>
      </c>
      <c r="C4602" t="s">
        <v>12908</v>
      </c>
      <c r="D4602" t="s">
        <v>613</v>
      </c>
      <c r="E4602" t="s">
        <v>12019</v>
      </c>
      <c r="F4602">
        <v>84.48</v>
      </c>
      <c r="H4602" t="s">
        <v>12020</v>
      </c>
    </row>
    <row r="4603" spans="2:8" x14ac:dyDescent="0.2">
      <c r="B4603" t="s">
        <v>1433</v>
      </c>
      <c r="C4603" t="s">
        <v>12908</v>
      </c>
      <c r="D4603" t="s">
        <v>613</v>
      </c>
      <c r="E4603" t="s">
        <v>12021</v>
      </c>
      <c r="F4603">
        <v>608.16</v>
      </c>
      <c r="H4603" t="s">
        <v>1691</v>
      </c>
    </row>
    <row r="4604" spans="2:8" x14ac:dyDescent="0.2">
      <c r="B4604" t="s">
        <v>1433</v>
      </c>
      <c r="C4604" t="s">
        <v>12908</v>
      </c>
      <c r="D4604" t="s">
        <v>613</v>
      </c>
      <c r="E4604" t="s">
        <v>12022</v>
      </c>
      <c r="F4604">
        <v>507.92</v>
      </c>
      <c r="H4604" t="s">
        <v>1692</v>
      </c>
    </row>
    <row r="4605" spans="2:8" x14ac:dyDescent="0.2">
      <c r="B4605" t="s">
        <v>1433</v>
      </c>
      <c r="C4605" t="s">
        <v>12908</v>
      </c>
      <c r="D4605" t="s">
        <v>613</v>
      </c>
      <c r="E4605" t="s">
        <v>12023</v>
      </c>
      <c r="F4605">
        <v>17.52</v>
      </c>
      <c r="H4605" t="s">
        <v>1530</v>
      </c>
    </row>
    <row r="4606" spans="2:8" x14ac:dyDescent="0.2">
      <c r="B4606" t="s">
        <v>1433</v>
      </c>
      <c r="C4606" t="s">
        <v>12908</v>
      </c>
      <c r="D4606" t="s">
        <v>613</v>
      </c>
      <c r="E4606" t="s">
        <v>12024</v>
      </c>
      <c r="F4606">
        <v>20.28</v>
      </c>
      <c r="H4606" t="s">
        <v>1530</v>
      </c>
    </row>
    <row r="4607" spans="2:8" x14ac:dyDescent="0.2">
      <c r="B4607" t="s">
        <v>1433</v>
      </c>
      <c r="C4607" t="s">
        <v>12908</v>
      </c>
      <c r="D4607" t="s">
        <v>613</v>
      </c>
      <c r="E4607" t="s">
        <v>12025</v>
      </c>
      <c r="F4607">
        <v>46.72</v>
      </c>
      <c r="H4607" t="s">
        <v>1530</v>
      </c>
    </row>
    <row r="4608" spans="2:8" x14ac:dyDescent="0.2">
      <c r="B4608" t="s">
        <v>1433</v>
      </c>
      <c r="C4608" t="s">
        <v>12908</v>
      </c>
      <c r="D4608" t="s">
        <v>613</v>
      </c>
      <c r="E4608" t="s">
        <v>12026</v>
      </c>
      <c r="F4608">
        <v>47.32</v>
      </c>
      <c r="H4608" t="s">
        <v>1530</v>
      </c>
    </row>
    <row r="4609" spans="2:8" x14ac:dyDescent="0.2">
      <c r="B4609" t="s">
        <v>1433</v>
      </c>
      <c r="C4609" t="s">
        <v>12908</v>
      </c>
      <c r="D4609" t="s">
        <v>613</v>
      </c>
      <c r="E4609" t="s">
        <v>12027</v>
      </c>
      <c r="F4609">
        <v>40.56</v>
      </c>
      <c r="H4609" t="s">
        <v>1530</v>
      </c>
    </row>
    <row r="4610" spans="2:8" x14ac:dyDescent="0.2">
      <c r="B4610" t="s">
        <v>1433</v>
      </c>
      <c r="C4610" t="s">
        <v>12908</v>
      </c>
      <c r="D4610" t="s">
        <v>613</v>
      </c>
      <c r="E4610" t="s">
        <v>12028</v>
      </c>
      <c r="F4610">
        <v>-47.32</v>
      </c>
      <c r="H4610" t="s">
        <v>1530</v>
      </c>
    </row>
    <row r="4611" spans="2:8" x14ac:dyDescent="0.2">
      <c r="B4611" t="s">
        <v>1433</v>
      </c>
      <c r="C4611" t="s">
        <v>12908</v>
      </c>
      <c r="D4611" t="s">
        <v>613</v>
      </c>
      <c r="E4611" t="s">
        <v>12029</v>
      </c>
      <c r="F4611">
        <v>47.32</v>
      </c>
      <c r="H4611" t="s">
        <v>1530</v>
      </c>
    </row>
    <row r="4612" spans="2:8" x14ac:dyDescent="0.2">
      <c r="B4612" t="s">
        <v>1433</v>
      </c>
      <c r="C4612" t="s">
        <v>12908</v>
      </c>
      <c r="D4612" t="s">
        <v>613</v>
      </c>
      <c r="E4612" t="s">
        <v>12030</v>
      </c>
      <c r="F4612">
        <v>17.52</v>
      </c>
      <c r="H4612" t="s">
        <v>1530</v>
      </c>
    </row>
    <row r="4613" spans="2:8" x14ac:dyDescent="0.2">
      <c r="B4613" t="s">
        <v>1433</v>
      </c>
      <c r="C4613" t="s">
        <v>12908</v>
      </c>
      <c r="D4613" t="s">
        <v>613</v>
      </c>
      <c r="E4613" t="s">
        <v>12031</v>
      </c>
      <c r="F4613">
        <v>120.84</v>
      </c>
      <c r="H4613" t="s">
        <v>1535</v>
      </c>
    </row>
    <row r="4614" spans="2:8" x14ac:dyDescent="0.2">
      <c r="B4614" t="s">
        <v>1433</v>
      </c>
      <c r="C4614" t="s">
        <v>12908</v>
      </c>
      <c r="D4614" t="s">
        <v>613</v>
      </c>
      <c r="E4614" t="s">
        <v>12032</v>
      </c>
      <c r="F4614">
        <v>42.1</v>
      </c>
      <c r="H4614" t="s">
        <v>1535</v>
      </c>
    </row>
    <row r="4615" spans="2:8" x14ac:dyDescent="0.2">
      <c r="B4615" t="s">
        <v>1433</v>
      </c>
      <c r="C4615" t="s">
        <v>12908</v>
      </c>
      <c r="D4615" t="s">
        <v>613</v>
      </c>
      <c r="E4615" t="s">
        <v>12033</v>
      </c>
      <c r="F4615">
        <v>104</v>
      </c>
      <c r="H4615" t="s">
        <v>1620</v>
      </c>
    </row>
    <row r="4616" spans="2:8" x14ac:dyDescent="0.2">
      <c r="B4616" t="s">
        <v>1433</v>
      </c>
      <c r="C4616" t="s">
        <v>12908</v>
      </c>
      <c r="D4616" t="s">
        <v>613</v>
      </c>
      <c r="E4616" t="s">
        <v>12034</v>
      </c>
      <c r="F4616">
        <v>-104</v>
      </c>
      <c r="H4616" t="s">
        <v>1620</v>
      </c>
    </row>
    <row r="4617" spans="2:8" x14ac:dyDescent="0.2">
      <c r="B4617" t="s">
        <v>1433</v>
      </c>
      <c r="C4617" t="s">
        <v>12908</v>
      </c>
      <c r="D4617" t="s">
        <v>613</v>
      </c>
      <c r="E4617" t="s">
        <v>12035</v>
      </c>
      <c r="F4617">
        <v>104</v>
      </c>
      <c r="H4617" t="s">
        <v>1620</v>
      </c>
    </row>
    <row r="4618" spans="2:8" x14ac:dyDescent="0.2">
      <c r="B4618" t="s">
        <v>1433</v>
      </c>
      <c r="C4618" t="s">
        <v>12908</v>
      </c>
      <c r="D4618" t="s">
        <v>613</v>
      </c>
      <c r="E4618" t="s">
        <v>12036</v>
      </c>
      <c r="F4618">
        <v>7.01</v>
      </c>
      <c r="H4618" t="s">
        <v>1620</v>
      </c>
    </row>
    <row r="4619" spans="2:8" x14ac:dyDescent="0.2">
      <c r="B4619" t="s">
        <v>1433</v>
      </c>
      <c r="C4619" t="s">
        <v>12908</v>
      </c>
      <c r="D4619" t="s">
        <v>613</v>
      </c>
      <c r="E4619" t="s">
        <v>12037</v>
      </c>
      <c r="F4619">
        <v>26.04</v>
      </c>
      <c r="H4619" t="s">
        <v>1529</v>
      </c>
    </row>
    <row r="4620" spans="2:8" x14ac:dyDescent="0.2">
      <c r="B4620" t="s">
        <v>1433</v>
      </c>
      <c r="C4620" t="s">
        <v>12908</v>
      </c>
      <c r="D4620" t="s">
        <v>613</v>
      </c>
      <c r="E4620" t="s">
        <v>12038</v>
      </c>
      <c r="F4620">
        <v>26.04</v>
      </c>
      <c r="H4620" t="s">
        <v>1529</v>
      </c>
    </row>
    <row r="4621" spans="2:8" x14ac:dyDescent="0.2">
      <c r="B4621" t="s">
        <v>1433</v>
      </c>
      <c r="C4621" t="s">
        <v>12908</v>
      </c>
      <c r="D4621" t="s">
        <v>613</v>
      </c>
      <c r="E4621" t="s">
        <v>12039</v>
      </c>
      <c r="F4621">
        <v>121.52</v>
      </c>
      <c r="H4621" t="s">
        <v>1529</v>
      </c>
    </row>
    <row r="4622" spans="2:8" x14ac:dyDescent="0.2">
      <c r="B4622" t="s">
        <v>1433</v>
      </c>
      <c r="C4622" t="s">
        <v>12908</v>
      </c>
      <c r="D4622" t="s">
        <v>613</v>
      </c>
      <c r="E4622" t="s">
        <v>12040</v>
      </c>
      <c r="F4622">
        <v>117.96</v>
      </c>
      <c r="H4622" t="s">
        <v>1612</v>
      </c>
    </row>
    <row r="4623" spans="2:8" x14ac:dyDescent="0.2">
      <c r="B4623" t="s">
        <v>1433</v>
      </c>
      <c r="C4623" t="s">
        <v>12908</v>
      </c>
      <c r="D4623" t="s">
        <v>613</v>
      </c>
      <c r="E4623" t="s">
        <v>12041</v>
      </c>
      <c r="F4623">
        <v>63.14</v>
      </c>
      <c r="H4623" t="s">
        <v>1498</v>
      </c>
    </row>
    <row r="4624" spans="2:8" x14ac:dyDescent="0.2">
      <c r="B4624" t="s">
        <v>1433</v>
      </c>
      <c r="C4624" t="s">
        <v>12908</v>
      </c>
      <c r="D4624" t="s">
        <v>613</v>
      </c>
      <c r="E4624" t="s">
        <v>12042</v>
      </c>
      <c r="F4624">
        <v>315.7</v>
      </c>
      <c r="H4624" t="s">
        <v>1498</v>
      </c>
    </row>
    <row r="4625" spans="2:8" x14ac:dyDescent="0.2">
      <c r="B4625" t="s">
        <v>1433</v>
      </c>
      <c r="C4625" t="s">
        <v>12908</v>
      </c>
      <c r="D4625" t="s">
        <v>613</v>
      </c>
      <c r="E4625" t="s">
        <v>12043</v>
      </c>
      <c r="F4625">
        <v>263.76</v>
      </c>
      <c r="H4625" t="s">
        <v>1611</v>
      </c>
    </row>
    <row r="4626" spans="2:8" x14ac:dyDescent="0.2">
      <c r="B4626" t="s">
        <v>1433</v>
      </c>
      <c r="C4626" t="s">
        <v>12908</v>
      </c>
      <c r="D4626" t="s">
        <v>613</v>
      </c>
      <c r="E4626" t="s">
        <v>12044</v>
      </c>
      <c r="F4626">
        <v>315.39999999999998</v>
      </c>
      <c r="H4626" t="s">
        <v>1496</v>
      </c>
    </row>
    <row r="4627" spans="2:8" x14ac:dyDescent="0.2">
      <c r="B4627" t="s">
        <v>1433</v>
      </c>
      <c r="C4627" t="s">
        <v>12908</v>
      </c>
      <c r="D4627" t="s">
        <v>613</v>
      </c>
      <c r="E4627" t="s">
        <v>12045</v>
      </c>
      <c r="F4627">
        <v>63.08</v>
      </c>
      <c r="H4627" t="s">
        <v>1496</v>
      </c>
    </row>
    <row r="4628" spans="2:8" x14ac:dyDescent="0.2">
      <c r="B4628" t="s">
        <v>1433</v>
      </c>
      <c r="C4628" t="s">
        <v>12908</v>
      </c>
      <c r="D4628" t="s">
        <v>613</v>
      </c>
      <c r="E4628" t="s">
        <v>12046</v>
      </c>
      <c r="F4628">
        <v>126.16</v>
      </c>
      <c r="H4628" t="s">
        <v>1496</v>
      </c>
    </row>
    <row r="4629" spans="2:8" x14ac:dyDescent="0.2">
      <c r="B4629" t="s">
        <v>1433</v>
      </c>
      <c r="C4629" t="s">
        <v>12908</v>
      </c>
      <c r="D4629" t="s">
        <v>613</v>
      </c>
      <c r="E4629" t="s">
        <v>12047</v>
      </c>
      <c r="F4629">
        <v>7.32</v>
      </c>
      <c r="H4629" t="s">
        <v>3688</v>
      </c>
    </row>
    <row r="4630" spans="2:8" x14ac:dyDescent="0.2">
      <c r="B4630" t="s">
        <v>1433</v>
      </c>
      <c r="C4630" t="s">
        <v>12908</v>
      </c>
      <c r="D4630" t="s">
        <v>613</v>
      </c>
      <c r="E4630" t="s">
        <v>12048</v>
      </c>
      <c r="F4630">
        <v>3.66</v>
      </c>
      <c r="H4630" t="s">
        <v>3688</v>
      </c>
    </row>
    <row r="4631" spans="2:8" x14ac:dyDescent="0.2">
      <c r="B4631" t="s">
        <v>1433</v>
      </c>
      <c r="C4631" t="s">
        <v>12908</v>
      </c>
      <c r="D4631" t="s">
        <v>613</v>
      </c>
      <c r="E4631" t="s">
        <v>12049</v>
      </c>
      <c r="F4631">
        <v>6.7</v>
      </c>
      <c r="H4631" t="s">
        <v>3688</v>
      </c>
    </row>
    <row r="4632" spans="2:8" x14ac:dyDescent="0.2">
      <c r="B4632" t="s">
        <v>1433</v>
      </c>
      <c r="C4632" t="s">
        <v>12908</v>
      </c>
      <c r="D4632" t="s">
        <v>613</v>
      </c>
      <c r="E4632" t="s">
        <v>12050</v>
      </c>
      <c r="F4632">
        <v>12.06</v>
      </c>
      <c r="H4632" t="s">
        <v>3688</v>
      </c>
    </row>
    <row r="4633" spans="2:8" x14ac:dyDescent="0.2">
      <c r="B4633" t="s">
        <v>1433</v>
      </c>
      <c r="C4633" t="s">
        <v>12908</v>
      </c>
      <c r="D4633" t="s">
        <v>613</v>
      </c>
      <c r="E4633" t="s">
        <v>12051</v>
      </c>
      <c r="F4633">
        <v>-12.06</v>
      </c>
      <c r="H4633" t="s">
        <v>3688</v>
      </c>
    </row>
    <row r="4634" spans="2:8" x14ac:dyDescent="0.2">
      <c r="B4634" t="s">
        <v>1433</v>
      </c>
      <c r="C4634" t="s">
        <v>12908</v>
      </c>
      <c r="D4634" t="s">
        <v>613</v>
      </c>
      <c r="E4634" t="s">
        <v>12052</v>
      </c>
      <c r="F4634">
        <v>12.06</v>
      </c>
      <c r="H4634" t="s">
        <v>3688</v>
      </c>
    </row>
    <row r="4635" spans="2:8" x14ac:dyDescent="0.2">
      <c r="B4635" t="s">
        <v>1433</v>
      </c>
      <c r="C4635" t="s">
        <v>12908</v>
      </c>
      <c r="D4635" t="s">
        <v>613</v>
      </c>
      <c r="E4635" t="s">
        <v>12053</v>
      </c>
      <c r="F4635">
        <v>35.130000000000003</v>
      </c>
      <c r="H4635" t="s">
        <v>3688</v>
      </c>
    </row>
    <row r="4636" spans="2:8" x14ac:dyDescent="0.2">
      <c r="B4636" t="s">
        <v>1433</v>
      </c>
      <c r="C4636" t="s">
        <v>12908</v>
      </c>
      <c r="D4636" t="s">
        <v>613</v>
      </c>
      <c r="E4636" t="s">
        <v>12054</v>
      </c>
      <c r="F4636">
        <v>96</v>
      </c>
      <c r="H4636" t="s">
        <v>1619</v>
      </c>
    </row>
    <row r="4637" spans="2:8" x14ac:dyDescent="0.2">
      <c r="B4637" t="s">
        <v>1433</v>
      </c>
      <c r="C4637" t="s">
        <v>12908</v>
      </c>
      <c r="D4637" t="s">
        <v>613</v>
      </c>
      <c r="E4637" t="s">
        <v>12055</v>
      </c>
      <c r="F4637">
        <v>2638.08</v>
      </c>
      <c r="H4637" t="s">
        <v>1532</v>
      </c>
    </row>
    <row r="4638" spans="2:8" x14ac:dyDescent="0.2">
      <c r="B4638" t="s">
        <v>1433</v>
      </c>
      <c r="C4638" t="s">
        <v>12908</v>
      </c>
      <c r="D4638" t="s">
        <v>613</v>
      </c>
      <c r="E4638" t="s">
        <v>12056</v>
      </c>
      <c r="F4638">
        <v>42.78</v>
      </c>
      <c r="H4638" t="s">
        <v>1526</v>
      </c>
    </row>
    <row r="4639" spans="2:8" x14ac:dyDescent="0.2">
      <c r="B4639" t="s">
        <v>1433</v>
      </c>
      <c r="C4639" t="s">
        <v>12908</v>
      </c>
      <c r="D4639" t="s">
        <v>613</v>
      </c>
      <c r="E4639" t="s">
        <v>12057</v>
      </c>
      <c r="F4639">
        <v>42.78</v>
      </c>
      <c r="H4639" t="s">
        <v>1526</v>
      </c>
    </row>
    <row r="4640" spans="2:8" x14ac:dyDescent="0.2">
      <c r="B4640" t="s">
        <v>1433</v>
      </c>
      <c r="C4640" t="s">
        <v>12908</v>
      </c>
      <c r="D4640" t="s">
        <v>613</v>
      </c>
      <c r="E4640" t="s">
        <v>12058</v>
      </c>
      <c r="F4640">
        <v>42.78</v>
      </c>
      <c r="H4640" t="s">
        <v>1526</v>
      </c>
    </row>
    <row r="4641" spans="2:8" x14ac:dyDescent="0.2">
      <c r="B4641" t="s">
        <v>1433</v>
      </c>
      <c r="C4641" t="s">
        <v>12908</v>
      </c>
      <c r="D4641" t="s">
        <v>613</v>
      </c>
      <c r="E4641" t="s">
        <v>12059</v>
      </c>
      <c r="F4641">
        <v>71.84</v>
      </c>
      <c r="H4641" t="s">
        <v>1528</v>
      </c>
    </row>
    <row r="4642" spans="2:8" x14ac:dyDescent="0.2">
      <c r="B4642" t="s">
        <v>1433</v>
      </c>
      <c r="C4642" t="s">
        <v>12908</v>
      </c>
      <c r="D4642" t="s">
        <v>613</v>
      </c>
      <c r="E4642" t="s">
        <v>12060</v>
      </c>
      <c r="F4642">
        <v>200.48</v>
      </c>
      <c r="H4642" t="s">
        <v>1772</v>
      </c>
    </row>
    <row r="4643" spans="2:8" x14ac:dyDescent="0.2">
      <c r="B4643" t="s">
        <v>1433</v>
      </c>
      <c r="C4643" t="s">
        <v>12908</v>
      </c>
      <c r="D4643" t="s">
        <v>613</v>
      </c>
      <c r="E4643" t="s">
        <v>12061</v>
      </c>
      <c r="F4643">
        <v>1514.2</v>
      </c>
      <c r="H4643" t="s">
        <v>1243</v>
      </c>
    </row>
    <row r="4644" spans="2:8" x14ac:dyDescent="0.2">
      <c r="B4644" t="s">
        <v>1433</v>
      </c>
      <c r="C4644" t="s">
        <v>12908</v>
      </c>
      <c r="D4644" t="s">
        <v>613</v>
      </c>
      <c r="E4644" t="s">
        <v>12062</v>
      </c>
      <c r="F4644">
        <v>2016.7</v>
      </c>
      <c r="H4644" t="s">
        <v>1245</v>
      </c>
    </row>
    <row r="4645" spans="2:8" x14ac:dyDescent="0.2">
      <c r="B4645" t="s">
        <v>1433</v>
      </c>
      <c r="C4645" t="s">
        <v>12908</v>
      </c>
      <c r="D4645" t="s">
        <v>613</v>
      </c>
      <c r="E4645" t="s">
        <v>12063</v>
      </c>
      <c r="F4645">
        <v>1090.45</v>
      </c>
      <c r="H4645" t="s">
        <v>1518</v>
      </c>
    </row>
    <row r="4646" spans="2:8" x14ac:dyDescent="0.2">
      <c r="B4646" t="s">
        <v>1433</v>
      </c>
      <c r="C4646" t="s">
        <v>12908</v>
      </c>
      <c r="D4646" t="s">
        <v>613</v>
      </c>
      <c r="E4646" t="s">
        <v>12064</v>
      </c>
      <c r="F4646">
        <v>-1090.45</v>
      </c>
      <c r="H4646" t="s">
        <v>1518</v>
      </c>
    </row>
    <row r="4647" spans="2:8" x14ac:dyDescent="0.2">
      <c r="B4647" t="s">
        <v>1433</v>
      </c>
      <c r="C4647" t="s">
        <v>12908</v>
      </c>
      <c r="D4647" t="s">
        <v>613</v>
      </c>
      <c r="E4647" t="s">
        <v>12065</v>
      </c>
      <c r="F4647">
        <v>1090.45</v>
      </c>
      <c r="H4647" t="s">
        <v>1518</v>
      </c>
    </row>
    <row r="4648" spans="2:8" x14ac:dyDescent="0.2">
      <c r="B4648" t="s">
        <v>1433</v>
      </c>
      <c r="C4648" t="s">
        <v>12908</v>
      </c>
      <c r="D4648" t="s">
        <v>613</v>
      </c>
      <c r="E4648" t="s">
        <v>12066</v>
      </c>
      <c r="F4648">
        <v>1090.45</v>
      </c>
      <c r="H4648" t="s">
        <v>1518</v>
      </c>
    </row>
    <row r="4649" spans="2:8" x14ac:dyDescent="0.2">
      <c r="B4649" t="s">
        <v>1433</v>
      </c>
      <c r="C4649" t="s">
        <v>12908</v>
      </c>
      <c r="D4649" t="s">
        <v>613</v>
      </c>
      <c r="E4649" t="s">
        <v>12067</v>
      </c>
      <c r="F4649">
        <v>75.08</v>
      </c>
      <c r="H4649" t="s">
        <v>1511</v>
      </c>
    </row>
    <row r="4650" spans="2:8" x14ac:dyDescent="0.2">
      <c r="B4650" t="s">
        <v>1433</v>
      </c>
      <c r="C4650" t="s">
        <v>12908</v>
      </c>
      <c r="D4650" t="s">
        <v>613</v>
      </c>
      <c r="E4650" t="s">
        <v>12068</v>
      </c>
      <c r="F4650">
        <v>104.12</v>
      </c>
      <c r="H4650" t="s">
        <v>1512</v>
      </c>
    </row>
    <row r="4651" spans="2:8" x14ac:dyDescent="0.2">
      <c r="B4651" t="s">
        <v>1433</v>
      </c>
      <c r="C4651" t="s">
        <v>12908</v>
      </c>
      <c r="D4651" t="s">
        <v>613</v>
      </c>
      <c r="E4651" t="s">
        <v>12069</v>
      </c>
      <c r="F4651">
        <v>161.4</v>
      </c>
      <c r="H4651" t="s">
        <v>1513</v>
      </c>
    </row>
    <row r="4652" spans="2:8" x14ac:dyDescent="0.2">
      <c r="B4652" t="s">
        <v>1433</v>
      </c>
      <c r="C4652" t="s">
        <v>12908</v>
      </c>
      <c r="D4652" t="s">
        <v>613</v>
      </c>
      <c r="E4652" t="s">
        <v>12070</v>
      </c>
      <c r="F4652">
        <v>53.82</v>
      </c>
      <c r="H4652" t="s">
        <v>1513</v>
      </c>
    </row>
    <row r="4653" spans="2:8" x14ac:dyDescent="0.2">
      <c r="B4653" t="s">
        <v>1433</v>
      </c>
      <c r="C4653" t="s">
        <v>12908</v>
      </c>
      <c r="D4653" t="s">
        <v>613</v>
      </c>
      <c r="E4653" t="s">
        <v>12071</v>
      </c>
      <c r="F4653">
        <v>1065.3599999999999</v>
      </c>
      <c r="H4653" t="s">
        <v>1565</v>
      </c>
    </row>
    <row r="4654" spans="2:8" x14ac:dyDescent="0.2">
      <c r="B4654" t="s">
        <v>1433</v>
      </c>
      <c r="C4654" t="s">
        <v>12908</v>
      </c>
      <c r="D4654" t="s">
        <v>613</v>
      </c>
      <c r="E4654" t="s">
        <v>12072</v>
      </c>
      <c r="F4654">
        <v>266.33999999999997</v>
      </c>
      <c r="H4654" t="s">
        <v>1566</v>
      </c>
    </row>
    <row r="4655" spans="2:8" x14ac:dyDescent="0.2">
      <c r="B4655" t="s">
        <v>1433</v>
      </c>
      <c r="C4655" t="s">
        <v>12908</v>
      </c>
      <c r="D4655" t="s">
        <v>613</v>
      </c>
      <c r="E4655" t="s">
        <v>12073</v>
      </c>
      <c r="F4655">
        <v>266.33999999999997</v>
      </c>
      <c r="H4655" t="s">
        <v>1567</v>
      </c>
    </row>
    <row r="4656" spans="2:8" x14ac:dyDescent="0.2">
      <c r="B4656" t="s">
        <v>1433</v>
      </c>
      <c r="C4656" t="s">
        <v>12908</v>
      </c>
      <c r="D4656" t="s">
        <v>613</v>
      </c>
      <c r="E4656" t="s">
        <v>12074</v>
      </c>
      <c r="F4656">
        <v>1065.3599999999999</v>
      </c>
      <c r="H4656" t="s">
        <v>1568</v>
      </c>
    </row>
    <row r="4657" spans="2:8" x14ac:dyDescent="0.2">
      <c r="B4657" t="s">
        <v>1433</v>
      </c>
      <c r="C4657" t="s">
        <v>12908</v>
      </c>
      <c r="D4657" t="s">
        <v>613</v>
      </c>
      <c r="E4657" t="s">
        <v>12075</v>
      </c>
      <c r="F4657">
        <v>532.67999999999995</v>
      </c>
      <c r="H4657" t="s">
        <v>1570</v>
      </c>
    </row>
    <row r="4658" spans="2:8" x14ac:dyDescent="0.2">
      <c r="B4658" t="s">
        <v>1433</v>
      </c>
      <c r="C4658" t="s">
        <v>12908</v>
      </c>
      <c r="D4658" t="s">
        <v>613</v>
      </c>
      <c r="E4658" t="s">
        <v>12076</v>
      </c>
      <c r="F4658">
        <v>532.67999999999995</v>
      </c>
      <c r="H4658" t="s">
        <v>1570</v>
      </c>
    </row>
    <row r="4659" spans="2:8" x14ac:dyDescent="0.2">
      <c r="B4659" t="s">
        <v>1433</v>
      </c>
      <c r="C4659" t="s">
        <v>12908</v>
      </c>
      <c r="D4659" t="s">
        <v>613</v>
      </c>
      <c r="E4659" t="s">
        <v>12077</v>
      </c>
      <c r="F4659">
        <v>532.67999999999995</v>
      </c>
      <c r="H4659" t="s">
        <v>1571</v>
      </c>
    </row>
    <row r="4660" spans="2:8" x14ac:dyDescent="0.2">
      <c r="B4660" t="s">
        <v>1433</v>
      </c>
      <c r="C4660" t="s">
        <v>12908</v>
      </c>
      <c r="D4660" t="s">
        <v>613</v>
      </c>
      <c r="E4660" t="s">
        <v>12078</v>
      </c>
      <c r="F4660">
        <v>532.67999999999995</v>
      </c>
      <c r="H4660" t="s">
        <v>1571</v>
      </c>
    </row>
    <row r="4661" spans="2:8" x14ac:dyDescent="0.2">
      <c r="B4661" t="s">
        <v>1433</v>
      </c>
      <c r="C4661" t="s">
        <v>12908</v>
      </c>
      <c r="D4661" t="s">
        <v>613</v>
      </c>
      <c r="E4661" t="s">
        <v>12079</v>
      </c>
      <c r="F4661">
        <v>2663.4</v>
      </c>
      <c r="H4661" t="s">
        <v>1572</v>
      </c>
    </row>
    <row r="4662" spans="2:8" x14ac:dyDescent="0.2">
      <c r="B4662" t="s">
        <v>1433</v>
      </c>
      <c r="C4662" t="s">
        <v>12908</v>
      </c>
      <c r="D4662" t="s">
        <v>613</v>
      </c>
      <c r="E4662" t="s">
        <v>12080</v>
      </c>
      <c r="F4662">
        <v>521.1</v>
      </c>
      <c r="H4662" t="s">
        <v>1574</v>
      </c>
    </row>
    <row r="4663" spans="2:8" x14ac:dyDescent="0.2">
      <c r="B4663" t="s">
        <v>1433</v>
      </c>
      <c r="C4663" t="s">
        <v>12908</v>
      </c>
      <c r="D4663" t="s">
        <v>613</v>
      </c>
      <c r="E4663" t="s">
        <v>12081</v>
      </c>
      <c r="F4663">
        <v>260.55</v>
      </c>
      <c r="H4663" t="s">
        <v>1575</v>
      </c>
    </row>
    <row r="4664" spans="2:8" x14ac:dyDescent="0.2">
      <c r="B4664" t="s">
        <v>1433</v>
      </c>
      <c r="C4664" t="s">
        <v>12908</v>
      </c>
      <c r="D4664" t="s">
        <v>613</v>
      </c>
      <c r="E4664" t="s">
        <v>12082</v>
      </c>
      <c r="F4664">
        <v>260.55</v>
      </c>
      <c r="H4664" t="s">
        <v>1576</v>
      </c>
    </row>
    <row r="4665" spans="2:8" x14ac:dyDescent="0.2">
      <c r="B4665" t="s">
        <v>1433</v>
      </c>
      <c r="C4665" t="s">
        <v>12908</v>
      </c>
      <c r="D4665" t="s">
        <v>613</v>
      </c>
      <c r="E4665" t="s">
        <v>12083</v>
      </c>
      <c r="F4665">
        <v>482.5</v>
      </c>
      <c r="H4665" t="s">
        <v>1577</v>
      </c>
    </row>
    <row r="4666" spans="2:8" x14ac:dyDescent="0.2">
      <c r="B4666" t="s">
        <v>1433</v>
      </c>
      <c r="C4666" t="s">
        <v>12908</v>
      </c>
      <c r="D4666" t="s">
        <v>613</v>
      </c>
      <c r="E4666" t="s">
        <v>12084</v>
      </c>
      <c r="F4666">
        <v>1129.05</v>
      </c>
      <c r="H4666" t="s">
        <v>1578</v>
      </c>
    </row>
    <row r="4667" spans="2:8" x14ac:dyDescent="0.2">
      <c r="B4667" t="s">
        <v>1433</v>
      </c>
      <c r="C4667" t="s">
        <v>12908</v>
      </c>
      <c r="D4667" t="s">
        <v>613</v>
      </c>
      <c r="E4667" t="s">
        <v>12085</v>
      </c>
      <c r="F4667">
        <v>3415.25</v>
      </c>
      <c r="H4667" t="s">
        <v>1579</v>
      </c>
    </row>
    <row r="4668" spans="2:8" x14ac:dyDescent="0.2">
      <c r="B4668" t="s">
        <v>1433</v>
      </c>
      <c r="C4668" t="s">
        <v>12908</v>
      </c>
      <c r="D4668" t="s">
        <v>613</v>
      </c>
      <c r="E4668" t="s">
        <v>12086</v>
      </c>
      <c r="F4668">
        <v>205.08</v>
      </c>
      <c r="H4668" t="s">
        <v>1818</v>
      </c>
    </row>
    <row r="4669" spans="2:8" x14ac:dyDescent="0.2">
      <c r="B4669" t="s">
        <v>1433</v>
      </c>
      <c r="C4669" t="s">
        <v>12908</v>
      </c>
      <c r="D4669" t="s">
        <v>613</v>
      </c>
      <c r="E4669" t="s">
        <v>12087</v>
      </c>
      <c r="F4669">
        <v>68.38</v>
      </c>
      <c r="H4669" t="s">
        <v>1818</v>
      </c>
    </row>
    <row r="4670" spans="2:8" x14ac:dyDescent="0.2">
      <c r="B4670" t="s">
        <v>1433</v>
      </c>
      <c r="C4670" t="s">
        <v>12908</v>
      </c>
      <c r="D4670" t="s">
        <v>613</v>
      </c>
      <c r="E4670" t="s">
        <v>12088</v>
      </c>
      <c r="F4670">
        <v>205.08</v>
      </c>
      <c r="H4670" t="s">
        <v>1818</v>
      </c>
    </row>
    <row r="4671" spans="2:8" x14ac:dyDescent="0.2">
      <c r="B4671" t="s">
        <v>1433</v>
      </c>
      <c r="C4671" t="s">
        <v>12908</v>
      </c>
      <c r="D4671" t="s">
        <v>613</v>
      </c>
      <c r="E4671" t="s">
        <v>12089</v>
      </c>
      <c r="F4671">
        <v>136.72</v>
      </c>
      <c r="H4671" t="s">
        <v>1818</v>
      </c>
    </row>
    <row r="4672" spans="2:8" x14ac:dyDescent="0.2">
      <c r="B4672" t="s">
        <v>1433</v>
      </c>
      <c r="C4672" t="s">
        <v>12908</v>
      </c>
      <c r="D4672" t="s">
        <v>613</v>
      </c>
      <c r="E4672" t="s">
        <v>12090</v>
      </c>
      <c r="F4672">
        <v>263.88</v>
      </c>
      <c r="H4672" t="s">
        <v>1533</v>
      </c>
    </row>
    <row r="4673" spans="2:8" x14ac:dyDescent="0.2">
      <c r="B4673" t="s">
        <v>1433</v>
      </c>
      <c r="C4673" t="s">
        <v>12908</v>
      </c>
      <c r="D4673" t="s">
        <v>613</v>
      </c>
      <c r="E4673" t="s">
        <v>12091</v>
      </c>
      <c r="F4673">
        <v>263.88</v>
      </c>
      <c r="H4673" t="s">
        <v>1533</v>
      </c>
    </row>
    <row r="4674" spans="2:8" x14ac:dyDescent="0.2">
      <c r="B4674" t="s">
        <v>1433</v>
      </c>
      <c r="C4674" t="s">
        <v>12908</v>
      </c>
      <c r="D4674" t="s">
        <v>613</v>
      </c>
      <c r="E4674" t="s">
        <v>12092</v>
      </c>
      <c r="F4674">
        <v>2550.84</v>
      </c>
      <c r="H4674" t="s">
        <v>1533</v>
      </c>
    </row>
    <row r="4675" spans="2:8" x14ac:dyDescent="0.2">
      <c r="B4675" t="s">
        <v>1433</v>
      </c>
      <c r="C4675" t="s">
        <v>12908</v>
      </c>
      <c r="D4675" t="s">
        <v>613</v>
      </c>
      <c r="E4675" t="s">
        <v>12093</v>
      </c>
      <c r="F4675">
        <v>1555.68</v>
      </c>
      <c r="H4675" t="s">
        <v>1719</v>
      </c>
    </row>
    <row r="4676" spans="2:8" x14ac:dyDescent="0.2">
      <c r="B4676" t="s">
        <v>1433</v>
      </c>
      <c r="C4676" t="s">
        <v>12908</v>
      </c>
      <c r="D4676" t="s">
        <v>613</v>
      </c>
      <c r="E4676" t="s">
        <v>12094</v>
      </c>
      <c r="F4676">
        <v>1093.76</v>
      </c>
      <c r="H4676" t="s">
        <v>1908</v>
      </c>
    </row>
    <row r="4677" spans="2:8" x14ac:dyDescent="0.2">
      <c r="B4677" t="s">
        <v>1433</v>
      </c>
      <c r="C4677" t="s">
        <v>12908</v>
      </c>
      <c r="D4677" t="s">
        <v>613</v>
      </c>
      <c r="E4677" t="s">
        <v>12095</v>
      </c>
      <c r="F4677">
        <v>320.08</v>
      </c>
      <c r="H4677" t="s">
        <v>1678</v>
      </c>
    </row>
    <row r="4678" spans="2:8" x14ac:dyDescent="0.2">
      <c r="B4678" t="s">
        <v>1433</v>
      </c>
      <c r="C4678" t="s">
        <v>12908</v>
      </c>
      <c r="D4678" t="s">
        <v>613</v>
      </c>
      <c r="E4678" t="s">
        <v>12096</v>
      </c>
      <c r="F4678">
        <v>107</v>
      </c>
      <c r="H4678" t="s">
        <v>1680</v>
      </c>
    </row>
    <row r="4679" spans="2:8" x14ac:dyDescent="0.2">
      <c r="B4679" t="s">
        <v>1433</v>
      </c>
      <c r="C4679" t="s">
        <v>12908</v>
      </c>
      <c r="D4679" t="s">
        <v>613</v>
      </c>
      <c r="E4679" t="s">
        <v>12097</v>
      </c>
      <c r="F4679">
        <v>423.44</v>
      </c>
      <c r="H4679" t="s">
        <v>1819</v>
      </c>
    </row>
    <row r="4680" spans="2:8" x14ac:dyDescent="0.2">
      <c r="B4680" t="s">
        <v>1433</v>
      </c>
      <c r="C4680" t="s">
        <v>12908</v>
      </c>
      <c r="D4680" t="s">
        <v>613</v>
      </c>
      <c r="E4680" t="s">
        <v>12098</v>
      </c>
      <c r="F4680">
        <v>764.32</v>
      </c>
      <c r="H4680" t="s">
        <v>1509</v>
      </c>
    </row>
    <row r="4681" spans="2:8" x14ac:dyDescent="0.2">
      <c r="B4681" t="s">
        <v>1433</v>
      </c>
      <c r="C4681" t="s">
        <v>12908</v>
      </c>
      <c r="D4681" t="s">
        <v>613</v>
      </c>
      <c r="E4681" t="s">
        <v>12099</v>
      </c>
      <c r="F4681">
        <v>388.8</v>
      </c>
      <c r="H4681" t="s">
        <v>1501</v>
      </c>
    </row>
    <row r="4682" spans="2:8" x14ac:dyDescent="0.2">
      <c r="B4682" t="s">
        <v>1433</v>
      </c>
      <c r="C4682" t="s">
        <v>12908</v>
      </c>
      <c r="D4682" t="s">
        <v>613</v>
      </c>
      <c r="E4682" t="s">
        <v>12100</v>
      </c>
      <c r="F4682">
        <v>127.8</v>
      </c>
      <c r="H4682" t="s">
        <v>1608</v>
      </c>
    </row>
    <row r="4683" spans="2:8" x14ac:dyDescent="0.2">
      <c r="B4683" t="s">
        <v>1433</v>
      </c>
      <c r="C4683" t="s">
        <v>12908</v>
      </c>
      <c r="D4683" t="s">
        <v>613</v>
      </c>
      <c r="E4683" t="s">
        <v>12101</v>
      </c>
      <c r="F4683">
        <v>1170.24</v>
      </c>
      <c r="H4683" t="s">
        <v>1610</v>
      </c>
    </row>
    <row r="4684" spans="2:8" x14ac:dyDescent="0.2">
      <c r="B4684" t="s">
        <v>1433</v>
      </c>
      <c r="C4684" t="s">
        <v>12908</v>
      </c>
      <c r="D4684" t="s">
        <v>613</v>
      </c>
      <c r="E4684" t="s">
        <v>12102</v>
      </c>
      <c r="F4684">
        <v>286</v>
      </c>
      <c r="H4684" t="s">
        <v>1609</v>
      </c>
    </row>
    <row r="4685" spans="2:8" x14ac:dyDescent="0.2">
      <c r="B4685" t="s">
        <v>1433</v>
      </c>
      <c r="C4685" t="s">
        <v>12908</v>
      </c>
      <c r="D4685" t="s">
        <v>613</v>
      </c>
      <c r="E4685" t="s">
        <v>12103</v>
      </c>
      <c r="F4685">
        <v>2226.04</v>
      </c>
      <c r="H4685" t="s">
        <v>1693</v>
      </c>
    </row>
    <row r="4686" spans="2:8" x14ac:dyDescent="0.2">
      <c r="B4686" t="s">
        <v>1433</v>
      </c>
      <c r="C4686" t="s">
        <v>12908</v>
      </c>
      <c r="D4686" t="s">
        <v>613</v>
      </c>
      <c r="E4686" t="s">
        <v>12104</v>
      </c>
      <c r="F4686">
        <v>76.760000000000005</v>
      </c>
      <c r="H4686" t="s">
        <v>1693</v>
      </c>
    </row>
    <row r="4687" spans="2:8" x14ac:dyDescent="0.2">
      <c r="B4687" t="s">
        <v>1433</v>
      </c>
      <c r="C4687" t="s">
        <v>12908</v>
      </c>
      <c r="D4687" t="s">
        <v>613</v>
      </c>
      <c r="E4687" t="s">
        <v>12105</v>
      </c>
      <c r="F4687">
        <v>324.48</v>
      </c>
      <c r="H4687" t="s">
        <v>1694</v>
      </c>
    </row>
    <row r="4688" spans="2:8" x14ac:dyDescent="0.2">
      <c r="B4688" t="s">
        <v>1433</v>
      </c>
      <c r="C4688" t="s">
        <v>12908</v>
      </c>
      <c r="D4688" t="s">
        <v>613</v>
      </c>
      <c r="E4688" t="s">
        <v>12106</v>
      </c>
      <c r="F4688">
        <v>176</v>
      </c>
      <c r="H4688" t="s">
        <v>1520</v>
      </c>
    </row>
    <row r="4689" spans="2:8" x14ac:dyDescent="0.2">
      <c r="B4689" t="s">
        <v>1433</v>
      </c>
      <c r="C4689" t="s">
        <v>12908</v>
      </c>
      <c r="D4689" t="s">
        <v>613</v>
      </c>
      <c r="E4689" t="s">
        <v>12107</v>
      </c>
      <c r="F4689">
        <v>266.33999999999997</v>
      </c>
      <c r="H4689" t="s">
        <v>1933</v>
      </c>
    </row>
    <row r="4690" spans="2:8" x14ac:dyDescent="0.2">
      <c r="B4690" t="s">
        <v>1433</v>
      </c>
      <c r="C4690" t="s">
        <v>12908</v>
      </c>
      <c r="D4690" t="s">
        <v>613</v>
      </c>
      <c r="E4690" t="s">
        <v>12108</v>
      </c>
      <c r="F4690">
        <v>266.33999999999997</v>
      </c>
      <c r="H4690" t="s">
        <v>1933</v>
      </c>
    </row>
    <row r="4691" spans="2:8" x14ac:dyDescent="0.2">
      <c r="B4691" t="s">
        <v>1433</v>
      </c>
      <c r="C4691" t="s">
        <v>12908</v>
      </c>
      <c r="D4691" t="s">
        <v>613</v>
      </c>
      <c r="E4691" t="s">
        <v>12109</v>
      </c>
      <c r="F4691">
        <v>3271.35</v>
      </c>
      <c r="H4691" t="s">
        <v>1934</v>
      </c>
    </row>
    <row r="4692" spans="2:8" x14ac:dyDescent="0.2">
      <c r="B4692" t="s">
        <v>1433</v>
      </c>
      <c r="C4692" t="s">
        <v>12908</v>
      </c>
      <c r="D4692" t="s">
        <v>613</v>
      </c>
      <c r="E4692" t="s">
        <v>12110</v>
      </c>
      <c r="F4692">
        <v>63</v>
      </c>
      <c r="H4692" t="s">
        <v>1937</v>
      </c>
    </row>
    <row r="4693" spans="2:8" x14ac:dyDescent="0.2">
      <c r="B4693" t="s">
        <v>1433</v>
      </c>
      <c r="C4693" t="s">
        <v>12908</v>
      </c>
      <c r="D4693" t="s">
        <v>613</v>
      </c>
      <c r="E4693" t="s">
        <v>12111</v>
      </c>
      <c r="F4693">
        <v>8881.86</v>
      </c>
      <c r="H4693" t="s">
        <v>1940</v>
      </c>
    </row>
    <row r="4694" spans="2:8" x14ac:dyDescent="0.2">
      <c r="B4694" t="s">
        <v>1433</v>
      </c>
      <c r="C4694" t="s">
        <v>12908</v>
      </c>
      <c r="D4694" t="s">
        <v>613</v>
      </c>
      <c r="E4694" t="s">
        <v>12112</v>
      </c>
      <c r="F4694">
        <v>-8881.86</v>
      </c>
      <c r="H4694" t="s">
        <v>1940</v>
      </c>
    </row>
    <row r="4695" spans="2:8" x14ac:dyDescent="0.2">
      <c r="B4695" t="s">
        <v>1433</v>
      </c>
      <c r="C4695" t="s">
        <v>12908</v>
      </c>
      <c r="D4695" t="s">
        <v>613</v>
      </c>
      <c r="E4695" t="s">
        <v>12113</v>
      </c>
      <c r="F4695">
        <v>19984.18</v>
      </c>
      <c r="H4695" t="s">
        <v>1940</v>
      </c>
    </row>
    <row r="4696" spans="2:8" x14ac:dyDescent="0.2">
      <c r="B4696" t="s">
        <v>1433</v>
      </c>
      <c r="C4696" t="s">
        <v>12908</v>
      </c>
      <c r="D4696" t="s">
        <v>613</v>
      </c>
      <c r="E4696" t="s">
        <v>12114</v>
      </c>
      <c r="F4696">
        <v>-19984.18</v>
      </c>
      <c r="H4696" t="s">
        <v>1940</v>
      </c>
    </row>
    <row r="4697" spans="2:8" x14ac:dyDescent="0.2">
      <c r="B4697" t="s">
        <v>1433</v>
      </c>
      <c r="C4697" t="s">
        <v>12908</v>
      </c>
      <c r="D4697" t="s">
        <v>613</v>
      </c>
      <c r="E4697" t="s">
        <v>12115</v>
      </c>
      <c r="F4697">
        <v>19984.18</v>
      </c>
      <c r="H4697" t="s">
        <v>1940</v>
      </c>
    </row>
    <row r="4698" spans="2:8" x14ac:dyDescent="0.2">
      <c r="B4698" t="s">
        <v>1433</v>
      </c>
      <c r="C4698" t="s">
        <v>12908</v>
      </c>
      <c r="D4698" t="s">
        <v>613</v>
      </c>
      <c r="E4698" t="s">
        <v>12116</v>
      </c>
      <c r="F4698">
        <v>6661.39</v>
      </c>
      <c r="H4698" t="s">
        <v>1940</v>
      </c>
    </row>
    <row r="4699" spans="2:8" x14ac:dyDescent="0.2">
      <c r="B4699" t="s">
        <v>1433</v>
      </c>
      <c r="C4699" t="s">
        <v>12908</v>
      </c>
      <c r="D4699" t="s">
        <v>613</v>
      </c>
      <c r="E4699" t="s">
        <v>12117</v>
      </c>
      <c r="F4699">
        <v>956.64</v>
      </c>
      <c r="H4699" t="s">
        <v>2217</v>
      </c>
    </row>
    <row r="4700" spans="2:8" x14ac:dyDescent="0.2">
      <c r="B4700" t="s">
        <v>1433</v>
      </c>
      <c r="C4700" t="s">
        <v>12908</v>
      </c>
      <c r="D4700" t="s">
        <v>613</v>
      </c>
      <c r="E4700" t="s">
        <v>12118</v>
      </c>
      <c r="F4700">
        <v>62.08</v>
      </c>
      <c r="H4700" t="s">
        <v>1921</v>
      </c>
    </row>
    <row r="4701" spans="2:8" x14ac:dyDescent="0.2">
      <c r="B4701" t="s">
        <v>1433</v>
      </c>
      <c r="C4701" t="s">
        <v>12908</v>
      </c>
      <c r="D4701" t="s">
        <v>613</v>
      </c>
      <c r="E4701" t="s">
        <v>12119</v>
      </c>
      <c r="F4701">
        <v>53.44</v>
      </c>
      <c r="H4701" t="s">
        <v>1922</v>
      </c>
    </row>
    <row r="4702" spans="2:8" x14ac:dyDescent="0.2">
      <c r="B4702" t="s">
        <v>1433</v>
      </c>
      <c r="C4702" t="s">
        <v>12908</v>
      </c>
      <c r="D4702" t="s">
        <v>613</v>
      </c>
      <c r="E4702" t="s">
        <v>12120</v>
      </c>
      <c r="F4702">
        <v>146.80000000000001</v>
      </c>
      <c r="H4702" t="s">
        <v>1949</v>
      </c>
    </row>
    <row r="4703" spans="2:8" x14ac:dyDescent="0.2">
      <c r="B4703" t="s">
        <v>1433</v>
      </c>
      <c r="C4703" t="s">
        <v>12908</v>
      </c>
      <c r="D4703" t="s">
        <v>554</v>
      </c>
      <c r="E4703" t="s">
        <v>12121</v>
      </c>
      <c r="F4703">
        <v>103376</v>
      </c>
      <c r="H4703" t="s">
        <v>2466</v>
      </c>
    </row>
    <row r="4704" spans="2:8" x14ac:dyDescent="0.2">
      <c r="B4704" t="s">
        <v>1433</v>
      </c>
      <c r="C4704" t="s">
        <v>12908</v>
      </c>
      <c r="D4704" t="s">
        <v>554</v>
      </c>
      <c r="E4704" t="s">
        <v>12122</v>
      </c>
      <c r="F4704">
        <v>103376</v>
      </c>
      <c r="H4704" t="s">
        <v>2466</v>
      </c>
    </row>
    <row r="4705" spans="2:8" x14ac:dyDescent="0.2">
      <c r="B4705" t="s">
        <v>1433</v>
      </c>
      <c r="C4705" t="s">
        <v>12908</v>
      </c>
      <c r="D4705" t="s">
        <v>613</v>
      </c>
      <c r="E4705" t="s">
        <v>12123</v>
      </c>
      <c r="F4705">
        <v>1129.05</v>
      </c>
      <c r="H4705" t="s">
        <v>2162</v>
      </c>
    </row>
    <row r="4706" spans="2:8" x14ac:dyDescent="0.2">
      <c r="B4706" t="s">
        <v>1433</v>
      </c>
      <c r="C4706" t="s">
        <v>12908</v>
      </c>
      <c r="D4706" t="s">
        <v>613</v>
      </c>
      <c r="E4706" t="s">
        <v>12124</v>
      </c>
      <c r="F4706">
        <v>9.58</v>
      </c>
      <c r="H4706" t="s">
        <v>1528</v>
      </c>
    </row>
    <row r="4707" spans="2:8" x14ac:dyDescent="0.2">
      <c r="B4707" t="s">
        <v>1433</v>
      </c>
      <c r="C4707" t="s">
        <v>12908</v>
      </c>
      <c r="D4707" t="s">
        <v>613</v>
      </c>
      <c r="E4707" t="s">
        <v>12125</v>
      </c>
      <c r="F4707">
        <v>1090.45</v>
      </c>
      <c r="H4707" t="s">
        <v>1518</v>
      </c>
    </row>
    <row r="4708" spans="2:8" x14ac:dyDescent="0.2">
      <c r="B4708" t="s">
        <v>1433</v>
      </c>
      <c r="C4708" t="s">
        <v>12908</v>
      </c>
      <c r="D4708" t="s">
        <v>613</v>
      </c>
      <c r="E4708" t="s">
        <v>12126</v>
      </c>
      <c r="F4708">
        <v>1090.45</v>
      </c>
      <c r="H4708" t="s">
        <v>1934</v>
      </c>
    </row>
    <row r="4709" spans="2:8" x14ac:dyDescent="0.2">
      <c r="B4709" t="s">
        <v>1433</v>
      </c>
      <c r="C4709" t="s">
        <v>12908</v>
      </c>
      <c r="D4709" t="s">
        <v>613</v>
      </c>
      <c r="E4709" t="s">
        <v>12127</v>
      </c>
      <c r="F4709">
        <v>180.8</v>
      </c>
      <c r="H4709" t="s">
        <v>1243</v>
      </c>
    </row>
    <row r="4710" spans="2:8" x14ac:dyDescent="0.2">
      <c r="B4710" t="s">
        <v>1433</v>
      </c>
      <c r="C4710" t="s">
        <v>12908</v>
      </c>
      <c r="D4710" t="s">
        <v>613</v>
      </c>
      <c r="E4710" t="s">
        <v>12128</v>
      </c>
      <c r="F4710">
        <v>240.8</v>
      </c>
      <c r="H4710" t="s">
        <v>1245</v>
      </c>
    </row>
    <row r="4711" spans="2:8" x14ac:dyDescent="0.2">
      <c r="B4711" t="s">
        <v>1433</v>
      </c>
      <c r="C4711" t="s">
        <v>12908</v>
      </c>
      <c r="D4711" t="s">
        <v>613</v>
      </c>
      <c r="E4711" t="s">
        <v>12129</v>
      </c>
      <c r="F4711">
        <v>52.06</v>
      </c>
      <c r="H4711" t="s">
        <v>1512</v>
      </c>
    </row>
    <row r="4712" spans="2:8" x14ac:dyDescent="0.2">
      <c r="B4712" t="s">
        <v>1433</v>
      </c>
      <c r="C4712" t="s">
        <v>12908</v>
      </c>
      <c r="D4712" t="s">
        <v>613</v>
      </c>
      <c r="E4712" t="s">
        <v>12130</v>
      </c>
      <c r="F4712">
        <v>2464</v>
      </c>
      <c r="H4712" t="s">
        <v>3165</v>
      </c>
    </row>
    <row r="4713" spans="2:8" x14ac:dyDescent="0.2">
      <c r="B4713" t="s">
        <v>1433</v>
      </c>
      <c r="C4713" t="s">
        <v>12908</v>
      </c>
      <c r="D4713" t="s">
        <v>613</v>
      </c>
      <c r="E4713" t="s">
        <v>12131</v>
      </c>
      <c r="F4713">
        <v>316.39999999999998</v>
      </c>
      <c r="H4713" t="s">
        <v>3287</v>
      </c>
    </row>
    <row r="4714" spans="2:8" x14ac:dyDescent="0.2">
      <c r="B4714" t="s">
        <v>1433</v>
      </c>
      <c r="C4714" t="s">
        <v>12908</v>
      </c>
      <c r="D4714" t="s">
        <v>613</v>
      </c>
      <c r="E4714" t="s">
        <v>12132</v>
      </c>
      <c r="F4714">
        <v>-316.39999999999998</v>
      </c>
      <c r="H4714" t="s">
        <v>3287</v>
      </c>
    </row>
    <row r="4715" spans="2:8" x14ac:dyDescent="0.2">
      <c r="B4715" t="s">
        <v>1433</v>
      </c>
      <c r="C4715" t="s">
        <v>12908</v>
      </c>
      <c r="D4715" t="s">
        <v>613</v>
      </c>
      <c r="E4715" t="s">
        <v>12133</v>
      </c>
      <c r="F4715">
        <v>316.39999999999998</v>
      </c>
      <c r="H4715" t="s">
        <v>3287</v>
      </c>
    </row>
    <row r="4716" spans="2:8" x14ac:dyDescent="0.2">
      <c r="B4716" t="s">
        <v>1433</v>
      </c>
      <c r="C4716" t="s">
        <v>12908</v>
      </c>
      <c r="D4716" t="s">
        <v>613</v>
      </c>
      <c r="E4716" t="s">
        <v>12134</v>
      </c>
      <c r="F4716">
        <v>949.2</v>
      </c>
      <c r="H4716" t="s">
        <v>3287</v>
      </c>
    </row>
    <row r="4717" spans="2:8" x14ac:dyDescent="0.2">
      <c r="B4717" t="s">
        <v>1433</v>
      </c>
      <c r="C4717" t="s">
        <v>12908</v>
      </c>
      <c r="D4717" t="s">
        <v>613</v>
      </c>
      <c r="E4717" t="s">
        <v>12135</v>
      </c>
      <c r="F4717">
        <v>632.79999999999995</v>
      </c>
      <c r="H4717" t="s">
        <v>3287</v>
      </c>
    </row>
    <row r="4718" spans="2:8" x14ac:dyDescent="0.2">
      <c r="B4718" t="s">
        <v>1433</v>
      </c>
      <c r="C4718" t="s">
        <v>12908</v>
      </c>
      <c r="D4718" t="s">
        <v>613</v>
      </c>
      <c r="E4718" t="s">
        <v>12136</v>
      </c>
      <c r="F4718">
        <v>4</v>
      </c>
      <c r="H4718" t="s">
        <v>3175</v>
      </c>
    </row>
    <row r="4719" spans="2:8" x14ac:dyDescent="0.2">
      <c r="B4719" t="s">
        <v>1433</v>
      </c>
      <c r="C4719" t="s">
        <v>12908</v>
      </c>
      <c r="D4719" t="s">
        <v>613</v>
      </c>
      <c r="E4719" t="s">
        <v>12137</v>
      </c>
      <c r="F4719">
        <v>1848</v>
      </c>
      <c r="H4719" t="s">
        <v>3165</v>
      </c>
    </row>
    <row r="4720" spans="2:8" x14ac:dyDescent="0.2">
      <c r="B4720" t="s">
        <v>1433</v>
      </c>
      <c r="C4720" t="s">
        <v>12908</v>
      </c>
      <c r="D4720" t="s">
        <v>613</v>
      </c>
      <c r="E4720" t="s">
        <v>12138</v>
      </c>
      <c r="F4720">
        <v>1062.24</v>
      </c>
      <c r="H4720" t="s">
        <v>3884</v>
      </c>
    </row>
    <row r="4721" spans="2:8" x14ac:dyDescent="0.2">
      <c r="B4721" t="s">
        <v>1433</v>
      </c>
      <c r="C4721" t="s">
        <v>12908</v>
      </c>
      <c r="D4721" t="s">
        <v>613</v>
      </c>
      <c r="E4721" t="s">
        <v>12139</v>
      </c>
      <c r="F4721">
        <v>48.24</v>
      </c>
      <c r="H4721" t="s">
        <v>3493</v>
      </c>
    </row>
    <row r="4722" spans="2:8" x14ac:dyDescent="0.2">
      <c r="B4722" t="s">
        <v>1433</v>
      </c>
      <c r="C4722" t="s">
        <v>12908</v>
      </c>
      <c r="D4722" t="s">
        <v>613</v>
      </c>
      <c r="E4722" t="s">
        <v>12140</v>
      </c>
      <c r="F4722">
        <v>48.24</v>
      </c>
      <c r="H4722" t="s">
        <v>3493</v>
      </c>
    </row>
    <row r="4723" spans="2:8" x14ac:dyDescent="0.2">
      <c r="B4723" t="s">
        <v>1433</v>
      </c>
      <c r="C4723" t="s">
        <v>12908</v>
      </c>
      <c r="D4723" t="s">
        <v>613</v>
      </c>
      <c r="E4723" t="s">
        <v>12141</v>
      </c>
      <c r="F4723">
        <v>1.26</v>
      </c>
      <c r="H4723" t="s">
        <v>3485</v>
      </c>
    </row>
    <row r="4724" spans="2:8" x14ac:dyDescent="0.2">
      <c r="B4724" t="s">
        <v>1433</v>
      </c>
      <c r="C4724" t="s">
        <v>12908</v>
      </c>
      <c r="D4724" t="s">
        <v>613</v>
      </c>
      <c r="E4724" t="s">
        <v>12142</v>
      </c>
      <c r="F4724">
        <v>17.2</v>
      </c>
      <c r="H4724" t="s">
        <v>3484</v>
      </c>
    </row>
    <row r="4725" spans="2:8" x14ac:dyDescent="0.2">
      <c r="B4725" t="s">
        <v>1433</v>
      </c>
      <c r="C4725" t="s">
        <v>12908</v>
      </c>
      <c r="D4725" t="s">
        <v>613</v>
      </c>
      <c r="E4725" t="s">
        <v>12143</v>
      </c>
      <c r="F4725">
        <v>93.41</v>
      </c>
      <c r="H4725" t="s">
        <v>2212</v>
      </c>
    </row>
    <row r="4726" spans="2:8" x14ac:dyDescent="0.2">
      <c r="B4726" t="s">
        <v>1433</v>
      </c>
      <c r="C4726" t="s">
        <v>12908</v>
      </c>
      <c r="D4726" t="s">
        <v>613</v>
      </c>
      <c r="E4726" t="s">
        <v>12144</v>
      </c>
      <c r="F4726">
        <v>93.41</v>
      </c>
      <c r="H4726" t="s">
        <v>2212</v>
      </c>
    </row>
    <row r="4727" spans="2:8" x14ac:dyDescent="0.2">
      <c r="B4727" t="s">
        <v>1433</v>
      </c>
      <c r="C4727" t="s">
        <v>12908</v>
      </c>
      <c r="D4727" t="s">
        <v>613</v>
      </c>
      <c r="E4727" t="s">
        <v>12145</v>
      </c>
      <c r="F4727">
        <v>135.6</v>
      </c>
      <c r="H4727" t="s">
        <v>1243</v>
      </c>
    </row>
    <row r="4728" spans="2:8" x14ac:dyDescent="0.2">
      <c r="B4728" t="s">
        <v>1433</v>
      </c>
      <c r="C4728" t="s">
        <v>12908</v>
      </c>
      <c r="D4728" t="s">
        <v>613</v>
      </c>
      <c r="E4728" t="s">
        <v>12146</v>
      </c>
      <c r="F4728">
        <v>180.6</v>
      </c>
      <c r="H4728" t="s">
        <v>1245</v>
      </c>
    </row>
    <row r="4729" spans="2:8" x14ac:dyDescent="0.2">
      <c r="B4729" t="s">
        <v>1433</v>
      </c>
      <c r="C4729" t="s">
        <v>12908</v>
      </c>
      <c r="D4729" t="s">
        <v>554</v>
      </c>
      <c r="E4729" t="s">
        <v>12147</v>
      </c>
      <c r="F4729">
        <v>78.42</v>
      </c>
      <c r="H4729" t="s">
        <v>2444</v>
      </c>
    </row>
    <row r="4730" spans="2:8" x14ac:dyDescent="0.2">
      <c r="B4730" t="s">
        <v>1433</v>
      </c>
      <c r="C4730" t="s">
        <v>12908</v>
      </c>
      <c r="D4730" t="s">
        <v>84</v>
      </c>
      <c r="E4730" t="s">
        <v>12148</v>
      </c>
      <c r="F4730">
        <v>21</v>
      </c>
      <c r="H4730" t="s">
        <v>6257</v>
      </c>
    </row>
    <row r="4731" spans="2:8" x14ac:dyDescent="0.2">
      <c r="B4731" t="s">
        <v>1433</v>
      </c>
      <c r="C4731" t="s">
        <v>12908</v>
      </c>
      <c r="D4731" t="s">
        <v>84</v>
      </c>
      <c r="E4731" t="s">
        <v>12149</v>
      </c>
      <c r="F4731">
        <v>26.71</v>
      </c>
      <c r="H4731" t="s">
        <v>3553</v>
      </c>
    </row>
    <row r="4732" spans="2:8" x14ac:dyDescent="0.2">
      <c r="B4732" t="s">
        <v>1433</v>
      </c>
      <c r="C4732" t="s">
        <v>12908</v>
      </c>
      <c r="D4732" t="s">
        <v>613</v>
      </c>
      <c r="E4732" t="s">
        <v>12150</v>
      </c>
      <c r="F4732">
        <v>266.33999999999997</v>
      </c>
      <c r="H4732" t="s">
        <v>1565</v>
      </c>
    </row>
    <row r="4733" spans="2:8" x14ac:dyDescent="0.2">
      <c r="B4733" t="s">
        <v>1433</v>
      </c>
      <c r="C4733" t="s">
        <v>12908</v>
      </c>
      <c r="D4733" t="s">
        <v>613</v>
      </c>
      <c r="E4733" t="s">
        <v>12151</v>
      </c>
      <c r="F4733">
        <v>444.48</v>
      </c>
      <c r="H4733" t="s">
        <v>1719</v>
      </c>
    </row>
    <row r="4734" spans="2:8" x14ac:dyDescent="0.2">
      <c r="B4734" t="s">
        <v>1433</v>
      </c>
      <c r="C4734" t="s">
        <v>12908</v>
      </c>
      <c r="D4734" t="s">
        <v>613</v>
      </c>
      <c r="E4734" t="s">
        <v>12152</v>
      </c>
      <c r="F4734">
        <v>1380.08</v>
      </c>
      <c r="H4734" t="s">
        <v>1727</v>
      </c>
    </row>
    <row r="4735" spans="2:8" x14ac:dyDescent="0.2">
      <c r="B4735" t="s">
        <v>1433</v>
      </c>
      <c r="C4735" t="s">
        <v>12908</v>
      </c>
      <c r="D4735" t="s">
        <v>613</v>
      </c>
      <c r="E4735" t="s">
        <v>12153</v>
      </c>
      <c r="F4735">
        <v>1246.76</v>
      </c>
      <c r="H4735" t="s">
        <v>1507</v>
      </c>
    </row>
    <row r="4736" spans="2:8" x14ac:dyDescent="0.2">
      <c r="B4736" t="s">
        <v>1433</v>
      </c>
      <c r="C4736" t="s">
        <v>12908</v>
      </c>
      <c r="D4736" t="s">
        <v>613</v>
      </c>
      <c r="E4736" t="s">
        <v>12154</v>
      </c>
      <c r="F4736">
        <v>409.23</v>
      </c>
      <c r="H4736" t="s">
        <v>2294</v>
      </c>
    </row>
    <row r="4737" spans="2:8" x14ac:dyDescent="0.2">
      <c r="B4737" t="s">
        <v>1433</v>
      </c>
      <c r="C4737" t="s">
        <v>12908</v>
      </c>
      <c r="D4737" t="s">
        <v>613</v>
      </c>
      <c r="E4737" t="s">
        <v>12155</v>
      </c>
      <c r="F4737">
        <v>409.23</v>
      </c>
      <c r="H4737" t="s">
        <v>2294</v>
      </c>
    </row>
    <row r="4738" spans="2:8" x14ac:dyDescent="0.2">
      <c r="B4738" t="s">
        <v>1433</v>
      </c>
      <c r="C4738" t="s">
        <v>12908</v>
      </c>
      <c r="D4738" t="s">
        <v>613</v>
      </c>
      <c r="E4738" t="s">
        <v>12156</v>
      </c>
      <c r="F4738">
        <v>167.5</v>
      </c>
      <c r="H4738" t="s">
        <v>1952</v>
      </c>
    </row>
    <row r="4739" spans="2:8" x14ac:dyDescent="0.2">
      <c r="B4739" t="s">
        <v>1433</v>
      </c>
      <c r="C4739" t="s">
        <v>12908</v>
      </c>
      <c r="D4739" t="s">
        <v>613</v>
      </c>
      <c r="E4739" t="s">
        <v>12157</v>
      </c>
      <c r="F4739">
        <v>-167.5</v>
      </c>
      <c r="H4739" t="s">
        <v>1952</v>
      </c>
    </row>
    <row r="4740" spans="2:8" x14ac:dyDescent="0.2">
      <c r="B4740" t="s">
        <v>1433</v>
      </c>
      <c r="C4740" t="s">
        <v>12908</v>
      </c>
      <c r="D4740" t="s">
        <v>613</v>
      </c>
      <c r="E4740" t="s">
        <v>12158</v>
      </c>
      <c r="F4740">
        <v>167.5</v>
      </c>
      <c r="H4740" t="s">
        <v>1952</v>
      </c>
    </row>
    <row r="4741" spans="2:8" x14ac:dyDescent="0.2">
      <c r="B4741" t="s">
        <v>1433</v>
      </c>
      <c r="C4741" t="s">
        <v>12908</v>
      </c>
      <c r="D4741" t="s">
        <v>613</v>
      </c>
      <c r="E4741" t="s">
        <v>12159</v>
      </c>
      <c r="F4741">
        <v>167.5</v>
      </c>
      <c r="H4741" t="s">
        <v>1952</v>
      </c>
    </row>
    <row r="4742" spans="2:8" x14ac:dyDescent="0.2">
      <c r="B4742" t="s">
        <v>1433</v>
      </c>
      <c r="C4742" t="s">
        <v>12908</v>
      </c>
      <c r="D4742" t="s">
        <v>613</v>
      </c>
      <c r="E4742" t="s">
        <v>12160</v>
      </c>
      <c r="F4742">
        <v>127.6</v>
      </c>
      <c r="H4742" t="s">
        <v>2164</v>
      </c>
    </row>
    <row r="4743" spans="2:8" x14ac:dyDescent="0.2">
      <c r="B4743" t="s">
        <v>1433</v>
      </c>
      <c r="C4743" t="s">
        <v>12908</v>
      </c>
      <c r="D4743" t="s">
        <v>554</v>
      </c>
      <c r="E4743" t="s">
        <v>12161</v>
      </c>
      <c r="F4743">
        <v>26862</v>
      </c>
      <c r="H4743" t="s">
        <v>2467</v>
      </c>
    </row>
    <row r="4744" spans="2:8" x14ac:dyDescent="0.2">
      <c r="B4744" t="s">
        <v>1433</v>
      </c>
      <c r="C4744" t="s">
        <v>12908</v>
      </c>
      <c r="D4744" t="s">
        <v>613</v>
      </c>
      <c r="E4744" t="s">
        <v>12162</v>
      </c>
      <c r="F4744">
        <v>3.2</v>
      </c>
      <c r="H4744" t="s">
        <v>3482</v>
      </c>
    </row>
    <row r="4745" spans="2:8" x14ac:dyDescent="0.2">
      <c r="B4745" t="s">
        <v>1433</v>
      </c>
      <c r="C4745" t="s">
        <v>12908</v>
      </c>
      <c r="D4745" t="s">
        <v>613</v>
      </c>
      <c r="E4745" t="s">
        <v>12163</v>
      </c>
      <c r="F4745">
        <v>90.4</v>
      </c>
      <c r="H4745" t="s">
        <v>1243</v>
      </c>
    </row>
    <row r="4746" spans="2:8" x14ac:dyDescent="0.2">
      <c r="B4746" t="s">
        <v>1433</v>
      </c>
      <c r="C4746" t="s">
        <v>12908</v>
      </c>
      <c r="D4746" t="s">
        <v>613</v>
      </c>
      <c r="E4746" t="s">
        <v>12164</v>
      </c>
      <c r="F4746">
        <v>120.4</v>
      </c>
      <c r="H4746" t="s">
        <v>1245</v>
      </c>
    </row>
    <row r="4747" spans="2:8" x14ac:dyDescent="0.2">
      <c r="B4747" t="s">
        <v>1433</v>
      </c>
      <c r="C4747" t="s">
        <v>12908</v>
      </c>
      <c r="D4747" t="s">
        <v>613</v>
      </c>
      <c r="E4747" t="s">
        <v>12165</v>
      </c>
      <c r="F4747">
        <v>450</v>
      </c>
      <c r="H4747" t="s">
        <v>1330</v>
      </c>
    </row>
    <row r="4748" spans="2:8" x14ac:dyDescent="0.2">
      <c r="B4748" t="s">
        <v>1433</v>
      </c>
      <c r="C4748" t="s">
        <v>12908</v>
      </c>
      <c r="D4748" t="s">
        <v>613</v>
      </c>
      <c r="E4748" t="s">
        <v>12166</v>
      </c>
      <c r="F4748">
        <v>1563.3</v>
      </c>
      <c r="H4748" t="s">
        <v>1517</v>
      </c>
    </row>
    <row r="4749" spans="2:8" x14ac:dyDescent="0.2">
      <c r="B4749" t="s">
        <v>1433</v>
      </c>
      <c r="C4749" t="s">
        <v>12908</v>
      </c>
      <c r="D4749" t="s">
        <v>613</v>
      </c>
      <c r="E4749" t="s">
        <v>12167</v>
      </c>
      <c r="F4749">
        <v>482.5</v>
      </c>
      <c r="H4749" t="s">
        <v>1577</v>
      </c>
    </row>
    <row r="4750" spans="2:8" x14ac:dyDescent="0.2">
      <c r="B4750" t="s">
        <v>1433</v>
      </c>
      <c r="C4750" t="s">
        <v>12908</v>
      </c>
      <c r="D4750" t="s">
        <v>613</v>
      </c>
      <c r="E4750" t="s">
        <v>12168</v>
      </c>
      <c r="F4750">
        <v>77.2</v>
      </c>
      <c r="H4750" t="s">
        <v>1927</v>
      </c>
    </row>
    <row r="4751" spans="2:8" x14ac:dyDescent="0.2">
      <c r="B4751" t="s">
        <v>1433</v>
      </c>
      <c r="C4751" t="s">
        <v>12908</v>
      </c>
      <c r="D4751" t="s">
        <v>613</v>
      </c>
      <c r="E4751" t="s">
        <v>12169</v>
      </c>
      <c r="F4751">
        <v>38.6</v>
      </c>
      <c r="H4751" t="s">
        <v>1927</v>
      </c>
    </row>
    <row r="4752" spans="2:8" x14ac:dyDescent="0.2">
      <c r="B4752" t="s">
        <v>1433</v>
      </c>
      <c r="C4752" t="s">
        <v>12908</v>
      </c>
      <c r="D4752" t="s">
        <v>613</v>
      </c>
      <c r="E4752" t="s">
        <v>12170</v>
      </c>
      <c r="F4752">
        <v>77.2</v>
      </c>
      <c r="H4752" t="s">
        <v>1929</v>
      </c>
    </row>
    <row r="4753" spans="2:8" x14ac:dyDescent="0.2">
      <c r="B4753" t="s">
        <v>1433</v>
      </c>
      <c r="C4753" t="s">
        <v>12908</v>
      </c>
      <c r="D4753" t="s">
        <v>613</v>
      </c>
      <c r="E4753" t="s">
        <v>12171</v>
      </c>
      <c r="F4753">
        <v>38.6</v>
      </c>
      <c r="H4753" t="s">
        <v>1929</v>
      </c>
    </row>
    <row r="4754" spans="2:8" x14ac:dyDescent="0.2">
      <c r="B4754" t="s">
        <v>1433</v>
      </c>
      <c r="C4754" t="s">
        <v>12908</v>
      </c>
      <c r="D4754" t="s">
        <v>554</v>
      </c>
      <c r="E4754" t="s">
        <v>12172</v>
      </c>
      <c r="F4754">
        <v>12112</v>
      </c>
      <c r="H4754" t="s">
        <v>2486</v>
      </c>
    </row>
    <row r="4755" spans="2:8" x14ac:dyDescent="0.2">
      <c r="B4755" t="s">
        <v>1433</v>
      </c>
      <c r="C4755" t="s">
        <v>12908</v>
      </c>
      <c r="D4755" t="s">
        <v>613</v>
      </c>
      <c r="E4755" t="s">
        <v>12173</v>
      </c>
      <c r="F4755">
        <v>361.6</v>
      </c>
      <c r="H4755" t="s">
        <v>1243</v>
      </c>
    </row>
    <row r="4756" spans="2:8" x14ac:dyDescent="0.2">
      <c r="B4756" t="s">
        <v>1433</v>
      </c>
      <c r="C4756" t="s">
        <v>12908</v>
      </c>
      <c r="D4756" t="s">
        <v>613</v>
      </c>
      <c r="E4756" t="s">
        <v>12174</v>
      </c>
      <c r="F4756">
        <v>481.6</v>
      </c>
      <c r="H4756" t="s">
        <v>1245</v>
      </c>
    </row>
    <row r="4757" spans="2:8" x14ac:dyDescent="0.2">
      <c r="B4757" t="s">
        <v>1433</v>
      </c>
      <c r="C4757" t="s">
        <v>12908</v>
      </c>
      <c r="D4757" t="s">
        <v>613</v>
      </c>
      <c r="E4757" t="s">
        <v>12175</v>
      </c>
      <c r="F4757">
        <v>1563.3</v>
      </c>
      <c r="H4757" t="s">
        <v>1517</v>
      </c>
    </row>
    <row r="4758" spans="2:8" x14ac:dyDescent="0.2">
      <c r="B4758" t="s">
        <v>1433</v>
      </c>
      <c r="C4758" t="s">
        <v>12908</v>
      </c>
      <c r="D4758" t="s">
        <v>613</v>
      </c>
      <c r="E4758" t="s">
        <v>12176</v>
      </c>
      <c r="F4758">
        <v>-1563.3</v>
      </c>
      <c r="H4758" t="s">
        <v>1517</v>
      </c>
    </row>
    <row r="4759" spans="2:8" x14ac:dyDescent="0.2">
      <c r="B4759" t="s">
        <v>1433</v>
      </c>
      <c r="C4759" t="s">
        <v>12908</v>
      </c>
      <c r="D4759" t="s">
        <v>613</v>
      </c>
      <c r="E4759" t="s">
        <v>12177</v>
      </c>
      <c r="F4759">
        <v>1563.3</v>
      </c>
      <c r="H4759" t="s">
        <v>1517</v>
      </c>
    </row>
    <row r="4760" spans="2:8" x14ac:dyDescent="0.2">
      <c r="B4760" t="s">
        <v>1433</v>
      </c>
      <c r="C4760" t="s">
        <v>12908</v>
      </c>
      <c r="D4760" t="s">
        <v>613</v>
      </c>
      <c r="E4760" t="s">
        <v>12178</v>
      </c>
      <c r="F4760">
        <v>3647.7</v>
      </c>
      <c r="H4760" t="s">
        <v>1517</v>
      </c>
    </row>
    <row r="4761" spans="2:8" x14ac:dyDescent="0.2">
      <c r="B4761" t="s">
        <v>1433</v>
      </c>
      <c r="C4761" t="s">
        <v>12908</v>
      </c>
      <c r="D4761" t="s">
        <v>613</v>
      </c>
      <c r="E4761" t="s">
        <v>12179</v>
      </c>
      <c r="F4761">
        <v>3136.25</v>
      </c>
      <c r="H4761" t="s">
        <v>1577</v>
      </c>
    </row>
    <row r="4762" spans="2:8" x14ac:dyDescent="0.2">
      <c r="B4762" t="s">
        <v>1433</v>
      </c>
      <c r="C4762" t="s">
        <v>12908</v>
      </c>
      <c r="D4762" t="s">
        <v>613</v>
      </c>
      <c r="E4762" t="s">
        <v>12180</v>
      </c>
      <c r="F4762">
        <v>723.75</v>
      </c>
      <c r="H4762" t="s">
        <v>1577</v>
      </c>
    </row>
    <row r="4763" spans="2:8" x14ac:dyDescent="0.2">
      <c r="B4763" t="s">
        <v>1433</v>
      </c>
      <c r="C4763" t="s">
        <v>12908</v>
      </c>
      <c r="D4763" t="s">
        <v>613</v>
      </c>
      <c r="E4763" t="s">
        <v>12181</v>
      </c>
      <c r="F4763">
        <v>77.2</v>
      </c>
      <c r="H4763" t="s">
        <v>1927</v>
      </c>
    </row>
    <row r="4764" spans="2:8" x14ac:dyDescent="0.2">
      <c r="B4764" t="s">
        <v>1433</v>
      </c>
      <c r="C4764" t="s">
        <v>12908</v>
      </c>
      <c r="D4764" t="s">
        <v>613</v>
      </c>
      <c r="E4764" t="s">
        <v>12182</v>
      </c>
      <c r="F4764">
        <v>77.2</v>
      </c>
      <c r="H4764" t="s">
        <v>1927</v>
      </c>
    </row>
    <row r="4765" spans="2:8" x14ac:dyDescent="0.2">
      <c r="B4765" t="s">
        <v>1433</v>
      </c>
      <c r="C4765" t="s">
        <v>12908</v>
      </c>
      <c r="D4765" t="s">
        <v>613</v>
      </c>
      <c r="E4765" t="s">
        <v>12183</v>
      </c>
      <c r="F4765">
        <v>77.2</v>
      </c>
      <c r="H4765" t="s">
        <v>1929</v>
      </c>
    </row>
    <row r="4766" spans="2:8" x14ac:dyDescent="0.2">
      <c r="B4766" t="s">
        <v>1433</v>
      </c>
      <c r="C4766" t="s">
        <v>12908</v>
      </c>
      <c r="D4766" t="s">
        <v>613</v>
      </c>
      <c r="E4766" t="s">
        <v>12184</v>
      </c>
      <c r="F4766">
        <v>77.2</v>
      </c>
      <c r="H4766" t="s">
        <v>1929</v>
      </c>
    </row>
    <row r="4767" spans="2:8" x14ac:dyDescent="0.2">
      <c r="B4767" t="s">
        <v>1433</v>
      </c>
      <c r="C4767" t="s">
        <v>12908</v>
      </c>
      <c r="D4767" t="s">
        <v>554</v>
      </c>
      <c r="E4767" t="s">
        <v>12185</v>
      </c>
      <c r="F4767">
        <v>44252</v>
      </c>
      <c r="H4767" t="s">
        <v>2488</v>
      </c>
    </row>
    <row r="4768" spans="2:8" x14ac:dyDescent="0.2">
      <c r="B4768" t="s">
        <v>1433</v>
      </c>
      <c r="C4768" t="s">
        <v>12908</v>
      </c>
      <c r="D4768" t="s">
        <v>613</v>
      </c>
      <c r="E4768" t="s">
        <v>12186</v>
      </c>
      <c r="F4768">
        <v>90.4</v>
      </c>
      <c r="H4768" t="s">
        <v>1243</v>
      </c>
    </row>
    <row r="4769" spans="2:8" x14ac:dyDescent="0.2">
      <c r="B4769" t="s">
        <v>1433</v>
      </c>
      <c r="C4769" t="s">
        <v>12908</v>
      </c>
      <c r="D4769" t="s">
        <v>613</v>
      </c>
      <c r="E4769" t="s">
        <v>12187</v>
      </c>
      <c r="F4769">
        <v>120.4</v>
      </c>
      <c r="H4769" t="s">
        <v>1245</v>
      </c>
    </row>
    <row r="4770" spans="2:8" x14ac:dyDescent="0.2">
      <c r="B4770" t="s">
        <v>1433</v>
      </c>
      <c r="C4770" t="s">
        <v>12908</v>
      </c>
      <c r="D4770" t="s">
        <v>613</v>
      </c>
      <c r="E4770" t="s">
        <v>12188</v>
      </c>
      <c r="F4770">
        <v>1563.3</v>
      </c>
      <c r="H4770" t="s">
        <v>1517</v>
      </c>
    </row>
    <row r="4771" spans="2:8" x14ac:dyDescent="0.2">
      <c r="B4771" t="s">
        <v>1433</v>
      </c>
      <c r="C4771" t="s">
        <v>12908</v>
      </c>
      <c r="D4771" t="s">
        <v>613</v>
      </c>
      <c r="E4771" t="s">
        <v>12189</v>
      </c>
      <c r="F4771">
        <v>482.5</v>
      </c>
      <c r="H4771" t="s">
        <v>1577</v>
      </c>
    </row>
    <row r="4772" spans="2:8" x14ac:dyDescent="0.2">
      <c r="B4772" t="s">
        <v>1433</v>
      </c>
      <c r="C4772" t="s">
        <v>12908</v>
      </c>
      <c r="D4772" t="s">
        <v>613</v>
      </c>
      <c r="E4772" t="s">
        <v>12190</v>
      </c>
      <c r="F4772">
        <v>77.2</v>
      </c>
      <c r="H4772" t="s">
        <v>1927</v>
      </c>
    </row>
    <row r="4773" spans="2:8" x14ac:dyDescent="0.2">
      <c r="B4773" t="s">
        <v>1433</v>
      </c>
      <c r="C4773" t="s">
        <v>12908</v>
      </c>
      <c r="D4773" t="s">
        <v>613</v>
      </c>
      <c r="E4773" t="s">
        <v>12191</v>
      </c>
      <c r="F4773">
        <v>77.2</v>
      </c>
      <c r="H4773" t="s">
        <v>1927</v>
      </c>
    </row>
    <row r="4774" spans="2:8" x14ac:dyDescent="0.2">
      <c r="B4774" t="s">
        <v>1433</v>
      </c>
      <c r="C4774" t="s">
        <v>12908</v>
      </c>
      <c r="D4774" t="s">
        <v>613</v>
      </c>
      <c r="E4774" t="s">
        <v>12192</v>
      </c>
      <c r="F4774">
        <v>77.2</v>
      </c>
      <c r="H4774" t="s">
        <v>1929</v>
      </c>
    </row>
    <row r="4775" spans="2:8" x14ac:dyDescent="0.2">
      <c r="B4775" t="s">
        <v>1433</v>
      </c>
      <c r="C4775" t="s">
        <v>12908</v>
      </c>
      <c r="D4775" t="s">
        <v>613</v>
      </c>
      <c r="E4775" t="s">
        <v>12193</v>
      </c>
      <c r="F4775">
        <v>77.2</v>
      </c>
      <c r="H4775" t="s">
        <v>1929</v>
      </c>
    </row>
    <row r="4776" spans="2:8" x14ac:dyDescent="0.2">
      <c r="B4776" t="s">
        <v>1433</v>
      </c>
      <c r="C4776" t="s">
        <v>12908</v>
      </c>
      <c r="D4776" t="s">
        <v>554</v>
      </c>
      <c r="E4776" t="s">
        <v>12194</v>
      </c>
      <c r="F4776">
        <v>10890</v>
      </c>
      <c r="H4776" t="s">
        <v>2544</v>
      </c>
    </row>
    <row r="4777" spans="2:8" x14ac:dyDescent="0.2">
      <c r="B4777" t="s">
        <v>1433</v>
      </c>
      <c r="C4777" t="s">
        <v>12908</v>
      </c>
      <c r="D4777" t="s">
        <v>613</v>
      </c>
      <c r="E4777" t="s">
        <v>12195</v>
      </c>
      <c r="F4777">
        <v>90.4</v>
      </c>
      <c r="H4777" t="s">
        <v>1243</v>
      </c>
    </row>
    <row r="4778" spans="2:8" x14ac:dyDescent="0.2">
      <c r="B4778" t="s">
        <v>1433</v>
      </c>
      <c r="C4778" t="s">
        <v>12908</v>
      </c>
      <c r="D4778" t="s">
        <v>613</v>
      </c>
      <c r="E4778" t="s">
        <v>12196</v>
      </c>
      <c r="F4778">
        <v>120.4</v>
      </c>
      <c r="H4778" t="s">
        <v>1245</v>
      </c>
    </row>
    <row r="4779" spans="2:8" x14ac:dyDescent="0.2">
      <c r="B4779" t="s">
        <v>1433</v>
      </c>
      <c r="C4779" t="s">
        <v>12908</v>
      </c>
      <c r="D4779" t="s">
        <v>613</v>
      </c>
      <c r="E4779" t="s">
        <v>12197</v>
      </c>
      <c r="F4779">
        <v>1042.2</v>
      </c>
      <c r="H4779" t="s">
        <v>1517</v>
      </c>
    </row>
    <row r="4780" spans="2:8" x14ac:dyDescent="0.2">
      <c r="B4780" t="s">
        <v>1433</v>
      </c>
      <c r="C4780" t="s">
        <v>12908</v>
      </c>
      <c r="D4780" t="s">
        <v>613</v>
      </c>
      <c r="E4780" t="s">
        <v>12198</v>
      </c>
      <c r="F4780">
        <v>532.67999999999995</v>
      </c>
      <c r="H4780" t="s">
        <v>1559</v>
      </c>
    </row>
    <row r="4781" spans="2:8" x14ac:dyDescent="0.2">
      <c r="B4781" t="s">
        <v>1433</v>
      </c>
      <c r="C4781" t="s">
        <v>12908</v>
      </c>
      <c r="D4781" t="s">
        <v>613</v>
      </c>
      <c r="E4781" t="s">
        <v>12199</v>
      </c>
      <c r="F4781">
        <v>241.25</v>
      </c>
      <c r="H4781" t="s">
        <v>1577</v>
      </c>
    </row>
    <row r="4782" spans="2:8" x14ac:dyDescent="0.2">
      <c r="B4782" t="s">
        <v>1433</v>
      </c>
      <c r="C4782" t="s">
        <v>12908</v>
      </c>
      <c r="D4782" t="s">
        <v>613</v>
      </c>
      <c r="E4782" t="s">
        <v>12200</v>
      </c>
      <c r="F4782">
        <v>564.53</v>
      </c>
      <c r="H4782" t="s">
        <v>1578</v>
      </c>
    </row>
    <row r="4783" spans="2:8" x14ac:dyDescent="0.2">
      <c r="B4783" t="s">
        <v>1433</v>
      </c>
      <c r="C4783" t="s">
        <v>12908</v>
      </c>
      <c r="D4783" t="s">
        <v>613</v>
      </c>
      <c r="E4783" t="s">
        <v>12201</v>
      </c>
      <c r="F4783">
        <v>6</v>
      </c>
      <c r="H4783" t="s">
        <v>1536</v>
      </c>
    </row>
    <row r="4784" spans="2:8" x14ac:dyDescent="0.2">
      <c r="B4784" t="s">
        <v>1433</v>
      </c>
      <c r="C4784" t="s">
        <v>12908</v>
      </c>
      <c r="D4784" t="s">
        <v>613</v>
      </c>
      <c r="E4784" t="s">
        <v>12202</v>
      </c>
      <c r="F4784">
        <v>564.53</v>
      </c>
      <c r="H4784" t="s">
        <v>2162</v>
      </c>
    </row>
    <row r="4785" spans="2:8" x14ac:dyDescent="0.2">
      <c r="B4785" t="s">
        <v>1433</v>
      </c>
      <c r="C4785" t="s">
        <v>12908</v>
      </c>
      <c r="D4785" t="s">
        <v>554</v>
      </c>
      <c r="E4785" t="s">
        <v>12203</v>
      </c>
      <c r="F4785">
        <v>12810</v>
      </c>
      <c r="H4785" t="s">
        <v>2580</v>
      </c>
    </row>
    <row r="4786" spans="2:8" x14ac:dyDescent="0.2">
      <c r="B4786" t="s">
        <v>1433</v>
      </c>
      <c r="C4786" t="s">
        <v>12908</v>
      </c>
      <c r="D4786" t="s">
        <v>613</v>
      </c>
      <c r="E4786" t="s">
        <v>12204</v>
      </c>
      <c r="F4786">
        <v>79.099999999999994</v>
      </c>
      <c r="H4786" t="s">
        <v>1243</v>
      </c>
    </row>
    <row r="4787" spans="2:8" x14ac:dyDescent="0.2">
      <c r="B4787" t="s">
        <v>1433</v>
      </c>
      <c r="C4787" t="s">
        <v>12908</v>
      </c>
      <c r="D4787" t="s">
        <v>613</v>
      </c>
      <c r="E4787" t="s">
        <v>12205</v>
      </c>
      <c r="F4787">
        <v>105.35</v>
      </c>
      <c r="H4787" t="s">
        <v>1245</v>
      </c>
    </row>
    <row r="4788" spans="2:8" x14ac:dyDescent="0.2">
      <c r="B4788" t="s">
        <v>1433</v>
      </c>
      <c r="C4788" t="s">
        <v>12908</v>
      </c>
      <c r="D4788" t="s">
        <v>613</v>
      </c>
      <c r="E4788" t="s">
        <v>12206</v>
      </c>
      <c r="F4788">
        <v>450</v>
      </c>
      <c r="H4788" t="s">
        <v>1330</v>
      </c>
    </row>
    <row r="4789" spans="2:8" x14ac:dyDescent="0.2">
      <c r="B4789" t="s">
        <v>1433</v>
      </c>
      <c r="C4789" t="s">
        <v>12908</v>
      </c>
      <c r="D4789" t="s">
        <v>613</v>
      </c>
      <c r="E4789" t="s">
        <v>12207</v>
      </c>
      <c r="F4789">
        <v>911.93</v>
      </c>
      <c r="H4789" t="s">
        <v>1517</v>
      </c>
    </row>
    <row r="4790" spans="2:8" x14ac:dyDescent="0.2">
      <c r="B4790" t="s">
        <v>1433</v>
      </c>
      <c r="C4790" t="s">
        <v>12908</v>
      </c>
      <c r="D4790" t="s">
        <v>554</v>
      </c>
      <c r="E4790" t="s">
        <v>12208</v>
      </c>
      <c r="F4790">
        <v>7242</v>
      </c>
      <c r="H4790" t="s">
        <v>2628</v>
      </c>
    </row>
    <row r="4791" spans="2:8" x14ac:dyDescent="0.2">
      <c r="B4791" t="s">
        <v>1433</v>
      </c>
      <c r="C4791" t="s">
        <v>12908</v>
      </c>
      <c r="D4791" t="s">
        <v>613</v>
      </c>
      <c r="E4791" t="s">
        <v>12209</v>
      </c>
      <c r="F4791">
        <v>48.64</v>
      </c>
      <c r="H4791" t="s">
        <v>2873</v>
      </c>
    </row>
    <row r="4792" spans="2:8" x14ac:dyDescent="0.2">
      <c r="B4792" t="s">
        <v>1433</v>
      </c>
      <c r="C4792" t="s">
        <v>12908</v>
      </c>
      <c r="D4792" t="s">
        <v>613</v>
      </c>
      <c r="E4792" t="s">
        <v>12210</v>
      </c>
      <c r="F4792">
        <v>63.45</v>
      </c>
      <c r="G4792" t="s">
        <v>1259</v>
      </c>
    </row>
    <row r="4793" spans="2:8" x14ac:dyDescent="0.2">
      <c r="B4793" t="s">
        <v>1433</v>
      </c>
      <c r="C4793" t="s">
        <v>12908</v>
      </c>
      <c r="D4793" t="s">
        <v>554</v>
      </c>
      <c r="E4793" t="s">
        <v>12211</v>
      </c>
      <c r="F4793">
        <v>2164</v>
      </c>
      <c r="G4793" t="s">
        <v>2765</v>
      </c>
    </row>
    <row r="4794" spans="2:8" x14ac:dyDescent="0.2">
      <c r="B4794" t="s">
        <v>1433</v>
      </c>
      <c r="C4794" t="s">
        <v>12908</v>
      </c>
      <c r="D4794" t="s">
        <v>554</v>
      </c>
      <c r="E4794" t="s">
        <v>12212</v>
      </c>
      <c r="F4794">
        <v>12984</v>
      </c>
      <c r="G4794" t="s">
        <v>2765</v>
      </c>
    </row>
    <row r="4795" spans="2:8" x14ac:dyDescent="0.2">
      <c r="B4795" t="s">
        <v>1433</v>
      </c>
      <c r="C4795" t="s">
        <v>12908</v>
      </c>
      <c r="D4795" t="s">
        <v>554</v>
      </c>
      <c r="E4795" t="s">
        <v>12213</v>
      </c>
      <c r="F4795">
        <v>29214</v>
      </c>
      <c r="G4795" t="s">
        <v>2765</v>
      </c>
    </row>
    <row r="4796" spans="2:8" x14ac:dyDescent="0.2">
      <c r="B4796" t="s">
        <v>1433</v>
      </c>
      <c r="C4796" t="s">
        <v>12908</v>
      </c>
      <c r="D4796" t="s">
        <v>554</v>
      </c>
      <c r="E4796" t="s">
        <v>12214</v>
      </c>
      <c r="F4796">
        <v>12984</v>
      </c>
      <c r="G4796" t="s">
        <v>2765</v>
      </c>
    </row>
    <row r="4797" spans="2:8" x14ac:dyDescent="0.2">
      <c r="B4797" t="s">
        <v>1433</v>
      </c>
      <c r="C4797" t="s">
        <v>12908</v>
      </c>
      <c r="D4797" t="s">
        <v>554</v>
      </c>
      <c r="E4797" t="s">
        <v>12215</v>
      </c>
      <c r="F4797">
        <v>29214</v>
      </c>
      <c r="G4797" t="s">
        <v>2765</v>
      </c>
    </row>
    <row r="4798" spans="2:8" x14ac:dyDescent="0.2">
      <c r="B4798" t="s">
        <v>1433</v>
      </c>
      <c r="C4798" t="s">
        <v>12908</v>
      </c>
      <c r="D4798" t="s">
        <v>554</v>
      </c>
      <c r="E4798" t="s">
        <v>12216</v>
      </c>
      <c r="F4798">
        <v>2132</v>
      </c>
      <c r="G4798" t="s">
        <v>2767</v>
      </c>
    </row>
    <row r="4799" spans="2:8" x14ac:dyDescent="0.2">
      <c r="B4799" t="s">
        <v>1433</v>
      </c>
      <c r="C4799" t="s">
        <v>12908</v>
      </c>
      <c r="D4799" t="s">
        <v>554</v>
      </c>
      <c r="E4799" t="s">
        <v>12217</v>
      </c>
      <c r="F4799">
        <v>25584</v>
      </c>
      <c r="G4799" t="s">
        <v>2767</v>
      </c>
    </row>
    <row r="4800" spans="2:8" x14ac:dyDescent="0.2">
      <c r="B4800" t="s">
        <v>1433</v>
      </c>
      <c r="C4800" t="s">
        <v>12908</v>
      </c>
      <c r="D4800" t="s">
        <v>613</v>
      </c>
      <c r="E4800" t="s">
        <v>12218</v>
      </c>
      <c r="F4800">
        <v>8.76</v>
      </c>
      <c r="H4800" t="s">
        <v>6713</v>
      </c>
    </row>
    <row r="4801" spans="2:8" x14ac:dyDescent="0.2">
      <c r="B4801" t="s">
        <v>1433</v>
      </c>
      <c r="C4801" t="s">
        <v>12908</v>
      </c>
      <c r="D4801" t="s">
        <v>613</v>
      </c>
      <c r="E4801" t="s">
        <v>12219</v>
      </c>
      <c r="F4801">
        <v>249.48</v>
      </c>
      <c r="H4801" t="s">
        <v>2557</v>
      </c>
    </row>
    <row r="4802" spans="2:8" x14ac:dyDescent="0.2">
      <c r="B4802" t="s">
        <v>1433</v>
      </c>
      <c r="C4802" t="s">
        <v>12908</v>
      </c>
      <c r="D4802" t="s">
        <v>613</v>
      </c>
      <c r="E4802" t="s">
        <v>12220</v>
      </c>
      <c r="F4802">
        <v>146.24</v>
      </c>
      <c r="H4802" t="s">
        <v>2553</v>
      </c>
    </row>
    <row r="4803" spans="2:8" x14ac:dyDescent="0.2">
      <c r="B4803" t="s">
        <v>1433</v>
      </c>
      <c r="C4803" t="s">
        <v>12908</v>
      </c>
      <c r="D4803" t="s">
        <v>613</v>
      </c>
      <c r="E4803" t="s">
        <v>12221</v>
      </c>
      <c r="F4803">
        <v>2855.16</v>
      </c>
      <c r="H4803" t="s">
        <v>2555</v>
      </c>
    </row>
    <row r="4804" spans="2:8" x14ac:dyDescent="0.2">
      <c r="B4804" t="s">
        <v>1433</v>
      </c>
      <c r="C4804" t="s">
        <v>12908</v>
      </c>
      <c r="D4804" t="s">
        <v>613</v>
      </c>
      <c r="E4804" t="s">
        <v>12222</v>
      </c>
      <c r="F4804">
        <v>63.6</v>
      </c>
      <c r="H4804" t="s">
        <v>2556</v>
      </c>
    </row>
    <row r="4805" spans="2:8" x14ac:dyDescent="0.2">
      <c r="B4805" t="s">
        <v>1433</v>
      </c>
      <c r="C4805" t="s">
        <v>12908</v>
      </c>
      <c r="D4805" t="s">
        <v>554</v>
      </c>
      <c r="E4805" t="s">
        <v>12223</v>
      </c>
      <c r="F4805">
        <v>2408.75</v>
      </c>
      <c r="H4805" t="s">
        <v>2573</v>
      </c>
    </row>
    <row r="4806" spans="2:8" x14ac:dyDescent="0.2">
      <c r="B4806" t="s">
        <v>1433</v>
      </c>
      <c r="C4806" t="s">
        <v>12908</v>
      </c>
      <c r="D4806" t="s">
        <v>554</v>
      </c>
      <c r="E4806" t="s">
        <v>12224</v>
      </c>
      <c r="F4806">
        <v>14452.5</v>
      </c>
      <c r="H4806" t="s">
        <v>2573</v>
      </c>
    </row>
    <row r="4807" spans="2:8" x14ac:dyDescent="0.2">
      <c r="B4807" t="s">
        <v>1433</v>
      </c>
      <c r="C4807" t="s">
        <v>12908</v>
      </c>
      <c r="D4807" t="s">
        <v>554</v>
      </c>
      <c r="E4807" t="s">
        <v>12225</v>
      </c>
      <c r="F4807">
        <v>2408.75</v>
      </c>
      <c r="H4807" t="s">
        <v>2573</v>
      </c>
    </row>
    <row r="4808" spans="2:8" x14ac:dyDescent="0.2">
      <c r="B4808" t="s">
        <v>1433</v>
      </c>
      <c r="C4808" t="s">
        <v>12908</v>
      </c>
      <c r="D4808" t="s">
        <v>554</v>
      </c>
      <c r="E4808" t="s">
        <v>12226</v>
      </c>
      <c r="F4808">
        <v>2566</v>
      </c>
      <c r="H4808" t="s">
        <v>2564</v>
      </c>
    </row>
    <row r="4809" spans="2:8" x14ac:dyDescent="0.2">
      <c r="B4809" t="s">
        <v>1433</v>
      </c>
      <c r="C4809" t="s">
        <v>12908</v>
      </c>
      <c r="D4809" t="s">
        <v>554</v>
      </c>
      <c r="E4809" t="s">
        <v>12227</v>
      </c>
      <c r="F4809">
        <v>10264</v>
      </c>
      <c r="H4809" t="s">
        <v>2564</v>
      </c>
    </row>
    <row r="4810" spans="2:8" x14ac:dyDescent="0.2">
      <c r="B4810" t="s">
        <v>1433</v>
      </c>
      <c r="C4810" t="s">
        <v>12908</v>
      </c>
      <c r="D4810" t="s">
        <v>554</v>
      </c>
      <c r="E4810" t="s">
        <v>12228</v>
      </c>
      <c r="F4810">
        <v>1213.5999999999999</v>
      </c>
      <c r="H4810" t="s">
        <v>2566</v>
      </c>
    </row>
    <row r="4811" spans="2:8" x14ac:dyDescent="0.2">
      <c r="B4811" t="s">
        <v>1433</v>
      </c>
      <c r="C4811" t="s">
        <v>12908</v>
      </c>
      <c r="D4811" t="s">
        <v>554</v>
      </c>
      <c r="E4811" t="s">
        <v>12229</v>
      </c>
      <c r="F4811">
        <v>4854.3999999999996</v>
      </c>
      <c r="H4811" t="s">
        <v>2566</v>
      </c>
    </row>
    <row r="4812" spans="2:8" x14ac:dyDescent="0.2">
      <c r="B4812" t="s">
        <v>1433</v>
      </c>
      <c r="C4812" t="s">
        <v>12908</v>
      </c>
      <c r="D4812" t="s">
        <v>554</v>
      </c>
      <c r="E4812" t="s">
        <v>12230</v>
      </c>
      <c r="F4812">
        <v>1951.5</v>
      </c>
      <c r="H4812" t="s">
        <v>2567</v>
      </c>
    </row>
    <row r="4813" spans="2:8" x14ac:dyDescent="0.2">
      <c r="B4813" t="s">
        <v>1433</v>
      </c>
      <c r="C4813" t="s">
        <v>12908</v>
      </c>
      <c r="D4813" t="s">
        <v>554</v>
      </c>
      <c r="E4813" t="s">
        <v>12231</v>
      </c>
      <c r="F4813">
        <v>7806</v>
      </c>
      <c r="H4813" t="s">
        <v>2567</v>
      </c>
    </row>
    <row r="4814" spans="2:8" x14ac:dyDescent="0.2">
      <c r="B4814" t="s">
        <v>1433</v>
      </c>
      <c r="C4814" t="s">
        <v>12908</v>
      </c>
      <c r="D4814" t="s">
        <v>554</v>
      </c>
      <c r="E4814" t="s">
        <v>12232</v>
      </c>
      <c r="F4814">
        <v>2457.6</v>
      </c>
      <c r="H4814" t="s">
        <v>2568</v>
      </c>
    </row>
    <row r="4815" spans="2:8" x14ac:dyDescent="0.2">
      <c r="B4815" t="s">
        <v>1433</v>
      </c>
      <c r="C4815" t="s">
        <v>12908</v>
      </c>
      <c r="D4815" t="s">
        <v>554</v>
      </c>
      <c r="E4815" t="s">
        <v>12233</v>
      </c>
      <c r="F4815">
        <v>9830.4</v>
      </c>
      <c r="H4815" t="s">
        <v>2568</v>
      </c>
    </row>
    <row r="4816" spans="2:8" x14ac:dyDescent="0.2">
      <c r="B4816" t="s">
        <v>1433</v>
      </c>
      <c r="C4816" t="s">
        <v>12908</v>
      </c>
      <c r="D4816" t="s">
        <v>613</v>
      </c>
      <c r="E4816" t="s">
        <v>12234</v>
      </c>
      <c r="F4816">
        <v>269.76</v>
      </c>
      <c r="H4816" t="s">
        <v>2892</v>
      </c>
    </row>
    <row r="4817" spans="2:8" x14ac:dyDescent="0.2">
      <c r="B4817" t="s">
        <v>1433</v>
      </c>
      <c r="C4817" t="s">
        <v>12908</v>
      </c>
      <c r="D4817" t="s">
        <v>613</v>
      </c>
      <c r="E4817" t="s">
        <v>12235</v>
      </c>
      <c r="F4817">
        <v>35.03</v>
      </c>
      <c r="H4817" t="s">
        <v>6713</v>
      </c>
    </row>
    <row r="4818" spans="2:8" x14ac:dyDescent="0.2">
      <c r="B4818" t="s">
        <v>1433</v>
      </c>
      <c r="C4818" t="s">
        <v>12908</v>
      </c>
      <c r="D4818" t="s">
        <v>613</v>
      </c>
      <c r="E4818" t="s">
        <v>12236</v>
      </c>
      <c r="F4818">
        <v>35.03</v>
      </c>
      <c r="H4818" t="s">
        <v>6713</v>
      </c>
    </row>
    <row r="4819" spans="2:8" x14ac:dyDescent="0.2">
      <c r="B4819" t="s">
        <v>1433</v>
      </c>
      <c r="C4819" t="s">
        <v>12908</v>
      </c>
      <c r="D4819" t="s">
        <v>613</v>
      </c>
      <c r="E4819" t="s">
        <v>12237</v>
      </c>
      <c r="F4819">
        <v>415.8</v>
      </c>
      <c r="H4819" t="s">
        <v>2557</v>
      </c>
    </row>
    <row r="4820" spans="2:8" x14ac:dyDescent="0.2">
      <c r="B4820" t="s">
        <v>1433</v>
      </c>
      <c r="C4820" t="s">
        <v>12908</v>
      </c>
      <c r="D4820" t="s">
        <v>613</v>
      </c>
      <c r="E4820" t="s">
        <v>12238</v>
      </c>
      <c r="F4820">
        <v>146.24</v>
      </c>
      <c r="H4820" t="s">
        <v>2553</v>
      </c>
    </row>
    <row r="4821" spans="2:8" x14ac:dyDescent="0.2">
      <c r="B4821" t="s">
        <v>1433</v>
      </c>
      <c r="C4821" t="s">
        <v>12908</v>
      </c>
      <c r="D4821" t="s">
        <v>613</v>
      </c>
      <c r="E4821" t="s">
        <v>12239</v>
      </c>
      <c r="F4821">
        <v>4758.6000000000004</v>
      </c>
      <c r="H4821" t="s">
        <v>2555</v>
      </c>
    </row>
    <row r="4822" spans="2:8" x14ac:dyDescent="0.2">
      <c r="B4822" t="s">
        <v>1433</v>
      </c>
      <c r="C4822" t="s">
        <v>12908</v>
      </c>
      <c r="D4822" t="s">
        <v>613</v>
      </c>
      <c r="E4822" t="s">
        <v>12240</v>
      </c>
      <c r="F4822">
        <v>106</v>
      </c>
      <c r="H4822" t="s">
        <v>2556</v>
      </c>
    </row>
    <row r="4823" spans="2:8" x14ac:dyDescent="0.2">
      <c r="B4823" t="s">
        <v>1433</v>
      </c>
      <c r="C4823" t="s">
        <v>12908</v>
      </c>
      <c r="D4823" t="s">
        <v>554</v>
      </c>
      <c r="E4823" t="s">
        <v>12241</v>
      </c>
      <c r="F4823">
        <v>2838.13</v>
      </c>
      <c r="H4823" t="s">
        <v>2575</v>
      </c>
    </row>
    <row r="4824" spans="2:8" x14ac:dyDescent="0.2">
      <c r="B4824" t="s">
        <v>1433</v>
      </c>
      <c r="C4824" t="s">
        <v>12908</v>
      </c>
      <c r="D4824" t="s">
        <v>554</v>
      </c>
      <c r="E4824" t="s">
        <v>12242</v>
      </c>
      <c r="F4824">
        <v>5676.25</v>
      </c>
      <c r="H4824" t="s">
        <v>2575</v>
      </c>
    </row>
    <row r="4825" spans="2:8" x14ac:dyDescent="0.2">
      <c r="B4825" t="s">
        <v>1433</v>
      </c>
      <c r="C4825" t="s">
        <v>12908</v>
      </c>
      <c r="D4825" t="s">
        <v>554</v>
      </c>
      <c r="E4825" t="s">
        <v>12243</v>
      </c>
      <c r="F4825">
        <v>11352.5</v>
      </c>
      <c r="H4825" t="s">
        <v>2575</v>
      </c>
    </row>
    <row r="4826" spans="2:8" x14ac:dyDescent="0.2">
      <c r="B4826" t="s">
        <v>1433</v>
      </c>
      <c r="C4826" t="s">
        <v>12908</v>
      </c>
      <c r="D4826" t="s">
        <v>554</v>
      </c>
      <c r="E4826" t="s">
        <v>12244</v>
      </c>
      <c r="F4826">
        <v>2838.13</v>
      </c>
      <c r="H4826" t="s">
        <v>2575</v>
      </c>
    </row>
    <row r="4827" spans="2:8" x14ac:dyDescent="0.2">
      <c r="B4827" t="s">
        <v>1433</v>
      </c>
      <c r="C4827" t="s">
        <v>12908</v>
      </c>
      <c r="D4827" t="s">
        <v>554</v>
      </c>
      <c r="E4827" t="s">
        <v>12245</v>
      </c>
      <c r="F4827">
        <v>2566</v>
      </c>
      <c r="H4827" t="s">
        <v>2569</v>
      </c>
    </row>
    <row r="4828" spans="2:8" x14ac:dyDescent="0.2">
      <c r="B4828" t="s">
        <v>1433</v>
      </c>
      <c r="C4828" t="s">
        <v>12908</v>
      </c>
      <c r="D4828" t="s">
        <v>554</v>
      </c>
      <c r="E4828" t="s">
        <v>12246</v>
      </c>
      <c r="F4828">
        <v>10264</v>
      </c>
      <c r="H4828" t="s">
        <v>2569</v>
      </c>
    </row>
    <row r="4829" spans="2:8" x14ac:dyDescent="0.2">
      <c r="B4829" t="s">
        <v>1433</v>
      </c>
      <c r="C4829" t="s">
        <v>12908</v>
      </c>
      <c r="D4829" t="s">
        <v>554</v>
      </c>
      <c r="E4829" t="s">
        <v>12247</v>
      </c>
      <c r="F4829">
        <v>1213.5999999999999</v>
      </c>
      <c r="H4829" t="s">
        <v>2570</v>
      </c>
    </row>
    <row r="4830" spans="2:8" x14ac:dyDescent="0.2">
      <c r="B4830" t="s">
        <v>1433</v>
      </c>
      <c r="C4830" t="s">
        <v>12908</v>
      </c>
      <c r="D4830" t="s">
        <v>554</v>
      </c>
      <c r="E4830" t="s">
        <v>12248</v>
      </c>
      <c r="F4830">
        <v>4854.3999999999996</v>
      </c>
      <c r="H4830" t="s">
        <v>2570</v>
      </c>
    </row>
    <row r="4831" spans="2:8" x14ac:dyDescent="0.2">
      <c r="B4831" t="s">
        <v>1433</v>
      </c>
      <c r="C4831" t="s">
        <v>12908</v>
      </c>
      <c r="D4831" t="s">
        <v>554</v>
      </c>
      <c r="E4831" t="s">
        <v>12249</v>
      </c>
      <c r="F4831">
        <v>1951.5</v>
      </c>
      <c r="H4831" t="s">
        <v>2571</v>
      </c>
    </row>
    <row r="4832" spans="2:8" x14ac:dyDescent="0.2">
      <c r="B4832" t="s">
        <v>1433</v>
      </c>
      <c r="C4832" t="s">
        <v>12908</v>
      </c>
      <c r="D4832" t="s">
        <v>554</v>
      </c>
      <c r="E4832" t="s">
        <v>12250</v>
      </c>
      <c r="F4832">
        <v>7806</v>
      </c>
      <c r="H4832" t="s">
        <v>2571</v>
      </c>
    </row>
    <row r="4833" spans="2:8" x14ac:dyDescent="0.2">
      <c r="B4833" t="s">
        <v>1433</v>
      </c>
      <c r="C4833" t="s">
        <v>12908</v>
      </c>
      <c r="D4833" t="s">
        <v>554</v>
      </c>
      <c r="E4833" t="s">
        <v>12251</v>
      </c>
      <c r="F4833">
        <v>3436.2</v>
      </c>
      <c r="H4833" t="s">
        <v>2572</v>
      </c>
    </row>
    <row r="4834" spans="2:8" x14ac:dyDescent="0.2">
      <c r="B4834" t="s">
        <v>1433</v>
      </c>
      <c r="C4834" t="s">
        <v>12908</v>
      </c>
      <c r="D4834" t="s">
        <v>554</v>
      </c>
      <c r="E4834" t="s">
        <v>12252</v>
      </c>
      <c r="F4834">
        <v>13744.8</v>
      </c>
      <c r="H4834" t="s">
        <v>2572</v>
      </c>
    </row>
    <row r="4835" spans="2:8" x14ac:dyDescent="0.2">
      <c r="B4835" t="s">
        <v>1433</v>
      </c>
      <c r="C4835" t="s">
        <v>12908</v>
      </c>
      <c r="D4835" t="s">
        <v>613</v>
      </c>
      <c r="E4835" t="s">
        <v>12253</v>
      </c>
      <c r="F4835">
        <v>269.76</v>
      </c>
      <c r="H4835" t="s">
        <v>2892</v>
      </c>
    </row>
    <row r="4836" spans="2:8" x14ac:dyDescent="0.2">
      <c r="B4836" t="s">
        <v>1433</v>
      </c>
      <c r="C4836" t="s">
        <v>12908</v>
      </c>
      <c r="D4836" t="s">
        <v>1137</v>
      </c>
      <c r="E4836" t="s">
        <v>12254</v>
      </c>
      <c r="F4836">
        <v>1232</v>
      </c>
      <c r="G4836" t="s">
        <v>1413</v>
      </c>
    </row>
    <row r="4837" spans="2:8" x14ac:dyDescent="0.2">
      <c r="B4837" t="s">
        <v>1433</v>
      </c>
      <c r="C4837" t="s">
        <v>12908</v>
      </c>
      <c r="D4837" t="s">
        <v>613</v>
      </c>
      <c r="E4837" t="s">
        <v>12255</v>
      </c>
      <c r="F4837">
        <v>184</v>
      </c>
      <c r="G4837" t="s">
        <v>5354</v>
      </c>
    </row>
    <row r="4838" spans="2:8" x14ac:dyDescent="0.2">
      <c r="B4838" t="s">
        <v>1433</v>
      </c>
      <c r="C4838" t="s">
        <v>12908</v>
      </c>
      <c r="D4838" t="s">
        <v>1137</v>
      </c>
      <c r="E4838" t="s">
        <v>12256</v>
      </c>
      <c r="F4838">
        <v>236</v>
      </c>
      <c r="G4838" t="s">
        <v>2481</v>
      </c>
    </row>
    <row r="4839" spans="2:8" x14ac:dyDescent="0.2">
      <c r="B4839" t="s">
        <v>1433</v>
      </c>
      <c r="C4839" t="s">
        <v>12908</v>
      </c>
      <c r="D4839" t="s">
        <v>554</v>
      </c>
      <c r="E4839" t="s">
        <v>12257</v>
      </c>
      <c r="F4839">
        <v>515</v>
      </c>
      <c r="G4839" t="s">
        <v>2666</v>
      </c>
    </row>
    <row r="4840" spans="2:8" x14ac:dyDescent="0.2">
      <c r="B4840" t="s">
        <v>1433</v>
      </c>
      <c r="C4840" t="s">
        <v>12908</v>
      </c>
      <c r="D4840" t="s">
        <v>1137</v>
      </c>
      <c r="E4840" t="s">
        <v>12258</v>
      </c>
      <c r="F4840">
        <v>238</v>
      </c>
      <c r="G4840" t="s">
        <v>2631</v>
      </c>
    </row>
    <row r="4841" spans="2:8" x14ac:dyDescent="0.2">
      <c r="B4841" t="s">
        <v>1433</v>
      </c>
      <c r="C4841" t="s">
        <v>12908</v>
      </c>
      <c r="D4841" t="s">
        <v>613</v>
      </c>
      <c r="E4841" t="s">
        <v>12259</v>
      </c>
      <c r="F4841">
        <v>7.37</v>
      </c>
      <c r="H4841" t="s">
        <v>5286</v>
      </c>
    </row>
    <row r="4842" spans="2:8" x14ac:dyDescent="0.2">
      <c r="B4842" t="s">
        <v>1433</v>
      </c>
      <c r="C4842" t="s">
        <v>12908</v>
      </c>
      <c r="D4842" t="s">
        <v>613</v>
      </c>
      <c r="E4842" t="s">
        <v>12260</v>
      </c>
      <c r="F4842">
        <v>10.86</v>
      </c>
      <c r="H4842" t="s">
        <v>1691</v>
      </c>
    </row>
    <row r="4843" spans="2:8" x14ac:dyDescent="0.2">
      <c r="B4843" t="s">
        <v>1433</v>
      </c>
      <c r="C4843" t="s">
        <v>12908</v>
      </c>
      <c r="D4843" t="s">
        <v>613</v>
      </c>
      <c r="E4843" t="s">
        <v>12261</v>
      </c>
      <c r="F4843">
        <v>45.35</v>
      </c>
      <c r="H4843" t="s">
        <v>1692</v>
      </c>
    </row>
    <row r="4844" spans="2:8" x14ac:dyDescent="0.2">
      <c r="B4844" t="s">
        <v>1433</v>
      </c>
      <c r="C4844" t="s">
        <v>12908</v>
      </c>
      <c r="D4844" t="s">
        <v>613</v>
      </c>
      <c r="E4844" t="s">
        <v>12262</v>
      </c>
      <c r="F4844">
        <v>18.55</v>
      </c>
      <c r="H4844" t="s">
        <v>2601</v>
      </c>
    </row>
    <row r="4845" spans="2:8" x14ac:dyDescent="0.2">
      <c r="B4845" t="s">
        <v>1433</v>
      </c>
      <c r="C4845" t="s">
        <v>12908</v>
      </c>
      <c r="D4845" t="s">
        <v>613</v>
      </c>
      <c r="E4845" t="s">
        <v>12263</v>
      </c>
      <c r="F4845">
        <v>8.6</v>
      </c>
      <c r="H4845" t="s">
        <v>3484</v>
      </c>
    </row>
    <row r="4846" spans="2:8" x14ac:dyDescent="0.2">
      <c r="B4846" t="s">
        <v>1433</v>
      </c>
      <c r="C4846" t="s">
        <v>12908</v>
      </c>
      <c r="D4846" t="s">
        <v>613</v>
      </c>
      <c r="E4846" t="s">
        <v>12264</v>
      </c>
      <c r="F4846">
        <v>15.17</v>
      </c>
      <c r="H4846" t="s">
        <v>2599</v>
      </c>
    </row>
    <row r="4847" spans="2:8" x14ac:dyDescent="0.2">
      <c r="B4847" t="s">
        <v>1433</v>
      </c>
      <c r="C4847" t="s">
        <v>12908</v>
      </c>
      <c r="D4847" t="s">
        <v>613</v>
      </c>
      <c r="E4847" t="s">
        <v>12265</v>
      </c>
      <c r="F4847">
        <v>14.72</v>
      </c>
      <c r="H4847" t="s">
        <v>2598</v>
      </c>
    </row>
    <row r="4848" spans="2:8" x14ac:dyDescent="0.2">
      <c r="B4848" t="s">
        <v>1433</v>
      </c>
      <c r="C4848" t="s">
        <v>12908</v>
      </c>
      <c r="D4848" t="s">
        <v>613</v>
      </c>
      <c r="E4848" t="s">
        <v>12266</v>
      </c>
      <c r="F4848">
        <v>36.04</v>
      </c>
      <c r="H4848" t="s">
        <v>2690</v>
      </c>
    </row>
    <row r="4849" spans="2:8" x14ac:dyDescent="0.2">
      <c r="B4849" t="s">
        <v>1433</v>
      </c>
      <c r="C4849" t="s">
        <v>12908</v>
      </c>
      <c r="D4849" t="s">
        <v>613</v>
      </c>
      <c r="E4849" t="s">
        <v>12267</v>
      </c>
      <c r="F4849">
        <v>18.02</v>
      </c>
      <c r="H4849" t="s">
        <v>2690</v>
      </c>
    </row>
    <row r="4850" spans="2:8" x14ac:dyDescent="0.2">
      <c r="B4850" t="s">
        <v>1433</v>
      </c>
      <c r="C4850" t="s">
        <v>12908</v>
      </c>
      <c r="D4850" t="s">
        <v>613</v>
      </c>
      <c r="E4850" t="s">
        <v>12268</v>
      </c>
      <c r="F4850">
        <v>31.19</v>
      </c>
      <c r="H4850" t="s">
        <v>2600</v>
      </c>
    </row>
    <row r="4851" spans="2:8" x14ac:dyDescent="0.2">
      <c r="B4851" t="s">
        <v>1433</v>
      </c>
      <c r="C4851" t="s">
        <v>12908</v>
      </c>
      <c r="D4851" t="s">
        <v>613</v>
      </c>
      <c r="E4851" t="s">
        <v>12269</v>
      </c>
      <c r="F4851">
        <v>597.6</v>
      </c>
      <c r="H4851" t="s">
        <v>2602</v>
      </c>
    </row>
    <row r="4852" spans="2:8" x14ac:dyDescent="0.2">
      <c r="B4852" t="s">
        <v>1433</v>
      </c>
      <c r="C4852" t="s">
        <v>12908</v>
      </c>
      <c r="D4852" t="s">
        <v>613</v>
      </c>
      <c r="E4852" t="s">
        <v>12270</v>
      </c>
      <c r="F4852">
        <v>542.4</v>
      </c>
      <c r="H4852" t="s">
        <v>1243</v>
      </c>
    </row>
    <row r="4853" spans="2:8" x14ac:dyDescent="0.2">
      <c r="B4853" t="s">
        <v>1433</v>
      </c>
      <c r="C4853" t="s">
        <v>12908</v>
      </c>
      <c r="D4853" t="s">
        <v>613</v>
      </c>
      <c r="E4853" t="s">
        <v>12271</v>
      </c>
      <c r="F4853">
        <v>722.4</v>
      </c>
      <c r="H4853" t="s">
        <v>1245</v>
      </c>
    </row>
    <row r="4854" spans="2:8" x14ac:dyDescent="0.2">
      <c r="B4854" t="s">
        <v>1433</v>
      </c>
      <c r="C4854" t="s">
        <v>12908</v>
      </c>
      <c r="D4854" t="s">
        <v>554</v>
      </c>
      <c r="E4854" t="s">
        <v>12272</v>
      </c>
      <c r="F4854">
        <v>39.21</v>
      </c>
      <c r="H4854" t="s">
        <v>2444</v>
      </c>
    </row>
    <row r="4855" spans="2:8" x14ac:dyDescent="0.2">
      <c r="B4855" t="s">
        <v>1433</v>
      </c>
      <c r="C4855" t="s">
        <v>12908</v>
      </c>
      <c r="D4855" t="s">
        <v>84</v>
      </c>
      <c r="E4855" t="s">
        <v>12273</v>
      </c>
      <c r="F4855">
        <v>10.5</v>
      </c>
      <c r="H4855" t="s">
        <v>6257</v>
      </c>
    </row>
    <row r="4856" spans="2:8" x14ac:dyDescent="0.2">
      <c r="B4856" t="s">
        <v>1433</v>
      </c>
      <c r="C4856" t="s">
        <v>12908</v>
      </c>
      <c r="D4856" t="s">
        <v>84</v>
      </c>
      <c r="E4856" t="s">
        <v>12274</v>
      </c>
      <c r="F4856">
        <v>14.84</v>
      </c>
      <c r="H4856" t="s">
        <v>3553</v>
      </c>
    </row>
    <row r="4857" spans="2:8" x14ac:dyDescent="0.2">
      <c r="B4857" t="s">
        <v>1433</v>
      </c>
      <c r="C4857" t="s">
        <v>12908</v>
      </c>
      <c r="D4857" t="s">
        <v>613</v>
      </c>
      <c r="E4857" t="s">
        <v>12275</v>
      </c>
      <c r="F4857">
        <v>390.83</v>
      </c>
      <c r="H4857" t="s">
        <v>1517</v>
      </c>
    </row>
    <row r="4858" spans="2:8" x14ac:dyDescent="0.2">
      <c r="B4858" t="s">
        <v>1433</v>
      </c>
      <c r="C4858" t="s">
        <v>12908</v>
      </c>
      <c r="D4858" t="s">
        <v>613</v>
      </c>
      <c r="E4858" t="s">
        <v>12276</v>
      </c>
      <c r="F4858">
        <v>120.63</v>
      </c>
      <c r="H4858" t="s">
        <v>1577</v>
      </c>
    </row>
    <row r="4859" spans="2:8" x14ac:dyDescent="0.2">
      <c r="B4859" t="s">
        <v>1433</v>
      </c>
      <c r="C4859" t="s">
        <v>12908</v>
      </c>
      <c r="D4859" t="s">
        <v>613</v>
      </c>
      <c r="E4859" t="s">
        <v>12277</v>
      </c>
      <c r="F4859">
        <v>564.53</v>
      </c>
      <c r="H4859" t="s">
        <v>1578</v>
      </c>
    </row>
    <row r="4860" spans="2:8" x14ac:dyDescent="0.2">
      <c r="B4860" t="s">
        <v>1433</v>
      </c>
      <c r="C4860" t="s">
        <v>12908</v>
      </c>
      <c r="D4860" t="s">
        <v>613</v>
      </c>
      <c r="E4860" t="s">
        <v>12278</v>
      </c>
      <c r="F4860">
        <v>77.2</v>
      </c>
      <c r="H4860" t="s">
        <v>1701</v>
      </c>
    </row>
    <row r="4861" spans="2:8" x14ac:dyDescent="0.2">
      <c r="B4861" t="s">
        <v>1433</v>
      </c>
      <c r="C4861" t="s">
        <v>12908</v>
      </c>
      <c r="D4861" t="s">
        <v>613</v>
      </c>
      <c r="E4861" t="s">
        <v>12279</v>
      </c>
      <c r="F4861">
        <v>50.54</v>
      </c>
      <c r="H4861" t="s">
        <v>1956</v>
      </c>
    </row>
    <row r="4862" spans="2:8" x14ac:dyDescent="0.2">
      <c r="B4862" t="s">
        <v>1433</v>
      </c>
      <c r="C4862" t="s">
        <v>12908</v>
      </c>
      <c r="D4862" t="s">
        <v>613</v>
      </c>
      <c r="E4862" t="s">
        <v>12280</v>
      </c>
      <c r="F4862">
        <v>266.33999999999997</v>
      </c>
      <c r="H4862" t="s">
        <v>2211</v>
      </c>
    </row>
    <row r="4863" spans="2:8" x14ac:dyDescent="0.2">
      <c r="B4863" t="s">
        <v>1433</v>
      </c>
      <c r="C4863" t="s">
        <v>12908</v>
      </c>
      <c r="D4863" t="s">
        <v>613</v>
      </c>
      <c r="E4863" t="s">
        <v>12281</v>
      </c>
      <c r="F4863">
        <v>463.2</v>
      </c>
      <c r="H4863" t="s">
        <v>2595</v>
      </c>
    </row>
    <row r="4864" spans="2:8" x14ac:dyDescent="0.2">
      <c r="B4864" t="s">
        <v>1433</v>
      </c>
      <c r="C4864" t="s">
        <v>12908</v>
      </c>
      <c r="D4864" t="s">
        <v>613</v>
      </c>
      <c r="E4864" t="s">
        <v>12282</v>
      </c>
      <c r="F4864">
        <v>257.92</v>
      </c>
      <c r="H4864" t="s">
        <v>2659</v>
      </c>
    </row>
    <row r="4865" spans="2:8" x14ac:dyDescent="0.2">
      <c r="B4865" t="s">
        <v>1433</v>
      </c>
      <c r="C4865" t="s">
        <v>12908</v>
      </c>
      <c r="D4865" t="s">
        <v>613</v>
      </c>
      <c r="E4865" t="s">
        <v>12283</v>
      </c>
      <c r="F4865">
        <v>180.26</v>
      </c>
      <c r="H4865" t="s">
        <v>2662</v>
      </c>
    </row>
    <row r="4866" spans="2:8" x14ac:dyDescent="0.2">
      <c r="B4866" t="s">
        <v>1433</v>
      </c>
      <c r="C4866" t="s">
        <v>12908</v>
      </c>
      <c r="D4866" t="s">
        <v>613</v>
      </c>
      <c r="E4866" t="s">
        <v>12284</v>
      </c>
      <c r="F4866">
        <v>121.19</v>
      </c>
      <c r="H4866" t="s">
        <v>2729</v>
      </c>
    </row>
    <row r="4867" spans="2:8" x14ac:dyDescent="0.2">
      <c r="B4867" t="s">
        <v>1433</v>
      </c>
      <c r="C4867" t="s">
        <v>12908</v>
      </c>
      <c r="D4867" t="s">
        <v>613</v>
      </c>
      <c r="E4867" t="s">
        <v>12285</v>
      </c>
      <c r="F4867">
        <v>112.99</v>
      </c>
      <c r="H4867" t="s">
        <v>2603</v>
      </c>
    </row>
    <row r="4868" spans="2:8" x14ac:dyDescent="0.2">
      <c r="B4868" t="s">
        <v>1433</v>
      </c>
      <c r="C4868" t="s">
        <v>12908</v>
      </c>
      <c r="D4868" t="s">
        <v>613</v>
      </c>
      <c r="E4868" t="s">
        <v>12286</v>
      </c>
      <c r="F4868">
        <v>85.9</v>
      </c>
      <c r="H4868" t="s">
        <v>2605</v>
      </c>
    </row>
    <row r="4869" spans="2:8" x14ac:dyDescent="0.2">
      <c r="B4869" t="s">
        <v>1433</v>
      </c>
      <c r="C4869" t="s">
        <v>12908</v>
      </c>
      <c r="D4869" t="s">
        <v>613</v>
      </c>
      <c r="E4869" t="s">
        <v>12287</v>
      </c>
      <c r="F4869">
        <v>145.93</v>
      </c>
      <c r="H4869" t="s">
        <v>2806</v>
      </c>
    </row>
    <row r="4870" spans="2:8" x14ac:dyDescent="0.2">
      <c r="B4870" t="s">
        <v>1433</v>
      </c>
      <c r="C4870" t="s">
        <v>12908</v>
      </c>
      <c r="D4870" t="s">
        <v>554</v>
      </c>
      <c r="E4870" t="s">
        <v>12288</v>
      </c>
      <c r="F4870">
        <v>11732</v>
      </c>
      <c r="H4870" t="s">
        <v>2979</v>
      </c>
    </row>
    <row r="4871" spans="2:8" x14ac:dyDescent="0.2">
      <c r="B4871" t="s">
        <v>1433</v>
      </c>
      <c r="C4871" t="s">
        <v>12908</v>
      </c>
      <c r="D4871" t="s">
        <v>613</v>
      </c>
      <c r="E4871" t="s">
        <v>12289</v>
      </c>
      <c r="F4871">
        <v>1.6</v>
      </c>
      <c r="H4871" t="s">
        <v>3482</v>
      </c>
    </row>
    <row r="4872" spans="2:8" x14ac:dyDescent="0.2">
      <c r="B4872" t="s">
        <v>1433</v>
      </c>
      <c r="C4872" t="s">
        <v>12908</v>
      </c>
      <c r="D4872" t="s">
        <v>613</v>
      </c>
      <c r="E4872" t="s">
        <v>12290</v>
      </c>
      <c r="F4872">
        <v>22.16</v>
      </c>
      <c r="H4872" t="s">
        <v>2737</v>
      </c>
    </row>
    <row r="4873" spans="2:8" x14ac:dyDescent="0.2">
      <c r="B4873" t="s">
        <v>1433</v>
      </c>
      <c r="C4873" t="s">
        <v>12908</v>
      </c>
      <c r="D4873" t="s">
        <v>1137</v>
      </c>
      <c r="E4873" t="s">
        <v>12291</v>
      </c>
      <c r="F4873">
        <v>336</v>
      </c>
      <c r="G4873" t="s">
        <v>2682</v>
      </c>
    </row>
    <row r="4874" spans="2:8" x14ac:dyDescent="0.2">
      <c r="B4874" t="s">
        <v>1433</v>
      </c>
      <c r="C4874" t="s">
        <v>12908</v>
      </c>
      <c r="D4874" t="s">
        <v>1137</v>
      </c>
      <c r="E4874" t="s">
        <v>12292</v>
      </c>
      <c r="F4874">
        <v>45</v>
      </c>
      <c r="G4874" t="s">
        <v>2715</v>
      </c>
    </row>
    <row r="4875" spans="2:8" x14ac:dyDescent="0.2">
      <c r="B4875" t="s">
        <v>1433</v>
      </c>
      <c r="C4875" t="s">
        <v>12908</v>
      </c>
      <c r="D4875" t="s">
        <v>1137</v>
      </c>
      <c r="E4875" t="s">
        <v>12293</v>
      </c>
      <c r="F4875">
        <v>315</v>
      </c>
      <c r="G4875" t="s">
        <v>2777</v>
      </c>
    </row>
    <row r="4876" spans="2:8" x14ac:dyDescent="0.2">
      <c r="B4876" t="s">
        <v>1433</v>
      </c>
      <c r="C4876" t="s">
        <v>12908</v>
      </c>
      <c r="D4876" t="s">
        <v>1137</v>
      </c>
      <c r="E4876" t="s">
        <v>12294</v>
      </c>
      <c r="F4876">
        <v>95</v>
      </c>
      <c r="G4876" t="s">
        <v>2778</v>
      </c>
    </row>
    <row r="4877" spans="2:8" x14ac:dyDescent="0.2">
      <c r="B4877" t="s">
        <v>1433</v>
      </c>
      <c r="C4877" t="s">
        <v>12908</v>
      </c>
      <c r="D4877" t="s">
        <v>1137</v>
      </c>
      <c r="E4877" t="s">
        <v>12295</v>
      </c>
      <c r="F4877">
        <v>1348</v>
      </c>
      <c r="G4877" t="s">
        <v>2822</v>
      </c>
    </row>
    <row r="4878" spans="2:8" x14ac:dyDescent="0.2">
      <c r="B4878" t="s">
        <v>1433</v>
      </c>
      <c r="C4878" t="s">
        <v>12908</v>
      </c>
      <c r="D4878" t="s">
        <v>613</v>
      </c>
      <c r="E4878" t="s">
        <v>12296</v>
      </c>
      <c r="F4878">
        <v>13.07</v>
      </c>
      <c r="H4878" t="s">
        <v>5286</v>
      </c>
    </row>
    <row r="4879" spans="2:8" x14ac:dyDescent="0.2">
      <c r="B4879" t="s">
        <v>1433</v>
      </c>
      <c r="C4879" t="s">
        <v>12908</v>
      </c>
      <c r="D4879" t="s">
        <v>613</v>
      </c>
      <c r="E4879" t="s">
        <v>12297</v>
      </c>
      <c r="F4879">
        <v>19.52</v>
      </c>
      <c r="H4879" t="s">
        <v>2967</v>
      </c>
    </row>
    <row r="4880" spans="2:8" x14ac:dyDescent="0.2">
      <c r="B4880" t="s">
        <v>1433</v>
      </c>
      <c r="C4880" t="s">
        <v>12908</v>
      </c>
      <c r="D4880" t="s">
        <v>613</v>
      </c>
      <c r="E4880" t="s">
        <v>12298</v>
      </c>
      <c r="F4880">
        <v>1.68</v>
      </c>
      <c r="H4880" t="s">
        <v>3485</v>
      </c>
    </row>
    <row r="4881" spans="2:8" x14ac:dyDescent="0.2">
      <c r="B4881" t="s">
        <v>1433</v>
      </c>
      <c r="C4881" t="s">
        <v>12908</v>
      </c>
      <c r="D4881" t="s">
        <v>613</v>
      </c>
      <c r="E4881" t="s">
        <v>12299</v>
      </c>
      <c r="F4881">
        <v>43.44</v>
      </c>
      <c r="H4881" t="s">
        <v>1691</v>
      </c>
    </row>
    <row r="4882" spans="2:8" x14ac:dyDescent="0.2">
      <c r="B4882" t="s">
        <v>1433</v>
      </c>
      <c r="C4882" t="s">
        <v>12908</v>
      </c>
      <c r="D4882" t="s">
        <v>613</v>
      </c>
      <c r="E4882" t="s">
        <v>12300</v>
      </c>
      <c r="F4882">
        <v>36.28</v>
      </c>
      <c r="H4882" t="s">
        <v>1692</v>
      </c>
    </row>
    <row r="4883" spans="2:8" x14ac:dyDescent="0.2">
      <c r="B4883" t="s">
        <v>1433</v>
      </c>
      <c r="C4883" t="s">
        <v>12908</v>
      </c>
      <c r="D4883" t="s">
        <v>613</v>
      </c>
      <c r="E4883" t="s">
        <v>12301</v>
      </c>
      <c r="F4883">
        <v>5.84</v>
      </c>
      <c r="H4883" t="s">
        <v>1530</v>
      </c>
    </row>
    <row r="4884" spans="2:8" x14ac:dyDescent="0.2">
      <c r="B4884" t="s">
        <v>1433</v>
      </c>
      <c r="C4884" t="s">
        <v>12908</v>
      </c>
      <c r="D4884" t="s">
        <v>613</v>
      </c>
      <c r="E4884" t="s">
        <v>12302</v>
      </c>
      <c r="F4884">
        <v>17.2</v>
      </c>
      <c r="H4884" t="s">
        <v>3484</v>
      </c>
    </row>
    <row r="4885" spans="2:8" x14ac:dyDescent="0.2">
      <c r="B4885" t="s">
        <v>1433</v>
      </c>
      <c r="C4885" t="s">
        <v>12908</v>
      </c>
      <c r="D4885" t="s">
        <v>613</v>
      </c>
      <c r="E4885" t="s">
        <v>12303</v>
      </c>
      <c r="F4885">
        <v>17.36</v>
      </c>
      <c r="H4885" t="s">
        <v>1529</v>
      </c>
    </row>
    <row r="4886" spans="2:8" x14ac:dyDescent="0.2">
      <c r="B4886" t="s">
        <v>1433</v>
      </c>
      <c r="C4886" t="s">
        <v>12908</v>
      </c>
      <c r="D4886" t="s">
        <v>613</v>
      </c>
      <c r="E4886" t="s">
        <v>12304</v>
      </c>
      <c r="F4886">
        <v>63.14</v>
      </c>
      <c r="H4886" t="s">
        <v>1498</v>
      </c>
    </row>
    <row r="4887" spans="2:8" x14ac:dyDescent="0.2">
      <c r="B4887" t="s">
        <v>1433</v>
      </c>
      <c r="C4887" t="s">
        <v>12908</v>
      </c>
      <c r="D4887" t="s">
        <v>613</v>
      </c>
      <c r="E4887" t="s">
        <v>12305</v>
      </c>
      <c r="F4887">
        <v>109.92</v>
      </c>
      <c r="H4887" t="s">
        <v>1532</v>
      </c>
    </row>
    <row r="4888" spans="2:8" x14ac:dyDescent="0.2">
      <c r="B4888" t="s">
        <v>1433</v>
      </c>
      <c r="C4888" t="s">
        <v>12908</v>
      </c>
      <c r="D4888" t="s">
        <v>613</v>
      </c>
      <c r="E4888" t="s">
        <v>12306</v>
      </c>
      <c r="F4888">
        <v>90.4</v>
      </c>
      <c r="H4888" t="s">
        <v>1243</v>
      </c>
    </row>
    <row r="4889" spans="2:8" x14ac:dyDescent="0.2">
      <c r="B4889" t="s">
        <v>1433</v>
      </c>
      <c r="C4889" t="s">
        <v>12908</v>
      </c>
      <c r="D4889" t="s">
        <v>613</v>
      </c>
      <c r="E4889" t="s">
        <v>12307</v>
      </c>
      <c r="F4889">
        <v>120.4</v>
      </c>
      <c r="H4889" t="s">
        <v>1245</v>
      </c>
    </row>
    <row r="4890" spans="2:8" x14ac:dyDescent="0.2">
      <c r="B4890" t="s">
        <v>1433</v>
      </c>
      <c r="C4890" t="s">
        <v>12908</v>
      </c>
      <c r="D4890" t="s">
        <v>554</v>
      </c>
      <c r="E4890" t="s">
        <v>12308</v>
      </c>
      <c r="F4890">
        <v>78.42</v>
      </c>
      <c r="H4890" t="s">
        <v>2444</v>
      </c>
    </row>
    <row r="4891" spans="2:8" x14ac:dyDescent="0.2">
      <c r="B4891" t="s">
        <v>1433</v>
      </c>
      <c r="C4891" t="s">
        <v>12908</v>
      </c>
      <c r="D4891" t="s">
        <v>84</v>
      </c>
      <c r="E4891" t="s">
        <v>12309</v>
      </c>
      <c r="F4891">
        <v>21</v>
      </c>
      <c r="H4891" t="s">
        <v>6257</v>
      </c>
    </row>
    <row r="4892" spans="2:8" x14ac:dyDescent="0.2">
      <c r="B4892" t="s">
        <v>1433</v>
      </c>
      <c r="C4892" t="s">
        <v>12908</v>
      </c>
      <c r="D4892" t="s">
        <v>84</v>
      </c>
      <c r="E4892" t="s">
        <v>12310</v>
      </c>
      <c r="F4892">
        <v>27.62</v>
      </c>
      <c r="H4892" t="s">
        <v>3553</v>
      </c>
    </row>
    <row r="4893" spans="2:8" x14ac:dyDescent="0.2">
      <c r="B4893" t="s">
        <v>1433</v>
      </c>
      <c r="C4893" t="s">
        <v>12908</v>
      </c>
      <c r="D4893" t="s">
        <v>613</v>
      </c>
      <c r="E4893" t="s">
        <v>12311</v>
      </c>
      <c r="F4893">
        <v>266.33999999999997</v>
      </c>
      <c r="H4893" t="s">
        <v>1565</v>
      </c>
    </row>
    <row r="4894" spans="2:8" x14ac:dyDescent="0.2">
      <c r="B4894" t="s">
        <v>1433</v>
      </c>
      <c r="C4894" t="s">
        <v>12908</v>
      </c>
      <c r="D4894" t="s">
        <v>613</v>
      </c>
      <c r="E4894" t="s">
        <v>12312</v>
      </c>
      <c r="F4894">
        <v>133.16999999999999</v>
      </c>
      <c r="H4894" t="s">
        <v>1566</v>
      </c>
    </row>
    <row r="4895" spans="2:8" x14ac:dyDescent="0.2">
      <c r="B4895" t="s">
        <v>1433</v>
      </c>
      <c r="C4895" t="s">
        <v>12908</v>
      </c>
      <c r="D4895" t="s">
        <v>613</v>
      </c>
      <c r="E4895" t="s">
        <v>12313</v>
      </c>
      <c r="F4895">
        <v>133.16999999999999</v>
      </c>
      <c r="H4895" t="s">
        <v>1567</v>
      </c>
    </row>
    <row r="4896" spans="2:8" x14ac:dyDescent="0.2">
      <c r="B4896" t="s">
        <v>1433</v>
      </c>
      <c r="C4896" t="s">
        <v>12908</v>
      </c>
      <c r="D4896" t="s">
        <v>613</v>
      </c>
      <c r="E4896" t="s">
        <v>12314</v>
      </c>
      <c r="F4896">
        <v>133.16999999999999</v>
      </c>
      <c r="H4896" t="s">
        <v>1569</v>
      </c>
    </row>
    <row r="4897" spans="2:8" x14ac:dyDescent="0.2">
      <c r="B4897" t="s">
        <v>1433</v>
      </c>
      <c r="C4897" t="s">
        <v>12908</v>
      </c>
      <c r="D4897" t="s">
        <v>613</v>
      </c>
      <c r="E4897" t="s">
        <v>12315</v>
      </c>
      <c r="F4897">
        <v>-133.16999999999999</v>
      </c>
      <c r="H4897" t="s">
        <v>1569</v>
      </c>
    </row>
    <row r="4898" spans="2:8" x14ac:dyDescent="0.2">
      <c r="B4898" t="s">
        <v>1433</v>
      </c>
      <c r="C4898" t="s">
        <v>12908</v>
      </c>
      <c r="D4898" t="s">
        <v>613</v>
      </c>
      <c r="E4898" t="s">
        <v>12316</v>
      </c>
      <c r="F4898">
        <v>133.16999999999999</v>
      </c>
      <c r="H4898" t="s">
        <v>1569</v>
      </c>
    </row>
    <row r="4899" spans="2:8" x14ac:dyDescent="0.2">
      <c r="B4899" t="s">
        <v>1433</v>
      </c>
      <c r="C4899" t="s">
        <v>12908</v>
      </c>
      <c r="D4899" t="s">
        <v>613</v>
      </c>
      <c r="E4899" t="s">
        <v>12317</v>
      </c>
      <c r="F4899">
        <v>133.16999999999999</v>
      </c>
      <c r="H4899" t="s">
        <v>1569</v>
      </c>
    </row>
    <row r="4900" spans="2:8" x14ac:dyDescent="0.2">
      <c r="B4900" t="s">
        <v>1433</v>
      </c>
      <c r="C4900" t="s">
        <v>12908</v>
      </c>
      <c r="D4900" t="s">
        <v>613</v>
      </c>
      <c r="E4900" t="s">
        <v>12318</v>
      </c>
      <c r="F4900">
        <v>175.92</v>
      </c>
      <c r="H4900" t="s">
        <v>1533</v>
      </c>
    </row>
    <row r="4901" spans="2:8" x14ac:dyDescent="0.2">
      <c r="B4901" t="s">
        <v>1433</v>
      </c>
      <c r="C4901" t="s">
        <v>12908</v>
      </c>
      <c r="D4901" t="s">
        <v>613</v>
      </c>
      <c r="E4901" t="s">
        <v>12319</v>
      </c>
      <c r="F4901">
        <v>136.72</v>
      </c>
      <c r="H4901" t="s">
        <v>1908</v>
      </c>
    </row>
    <row r="4902" spans="2:8" x14ac:dyDescent="0.2">
      <c r="B4902" t="s">
        <v>1433</v>
      </c>
      <c r="C4902" t="s">
        <v>12908</v>
      </c>
      <c r="D4902" t="s">
        <v>613</v>
      </c>
      <c r="E4902" t="s">
        <v>12320</v>
      </c>
      <c r="F4902">
        <v>266.33999999999997</v>
      </c>
      <c r="H4902" t="s">
        <v>1933</v>
      </c>
    </row>
    <row r="4903" spans="2:8" x14ac:dyDescent="0.2">
      <c r="B4903" t="s">
        <v>1433</v>
      </c>
      <c r="C4903" t="s">
        <v>12908</v>
      </c>
      <c r="D4903" t="s">
        <v>613</v>
      </c>
      <c r="E4903" t="s">
        <v>12321</v>
      </c>
      <c r="F4903">
        <v>266.33999999999997</v>
      </c>
      <c r="H4903" t="s">
        <v>1933</v>
      </c>
    </row>
    <row r="4904" spans="2:8" x14ac:dyDescent="0.2">
      <c r="B4904" t="s">
        <v>1433</v>
      </c>
      <c r="C4904" t="s">
        <v>12908</v>
      </c>
      <c r="D4904" t="s">
        <v>613</v>
      </c>
      <c r="E4904" t="s">
        <v>12322</v>
      </c>
      <c r="F4904">
        <v>266.33999999999997</v>
      </c>
      <c r="H4904" t="s">
        <v>1933</v>
      </c>
    </row>
    <row r="4905" spans="2:8" x14ac:dyDescent="0.2">
      <c r="B4905" t="s">
        <v>1433</v>
      </c>
      <c r="C4905" t="s">
        <v>12908</v>
      </c>
      <c r="D4905" t="s">
        <v>613</v>
      </c>
      <c r="E4905" t="s">
        <v>12323</v>
      </c>
      <c r="F4905">
        <v>1065.3599999999999</v>
      </c>
      <c r="H4905" t="s">
        <v>2211</v>
      </c>
    </row>
    <row r="4906" spans="2:8" x14ac:dyDescent="0.2">
      <c r="B4906" t="s">
        <v>1433</v>
      </c>
      <c r="C4906" t="s">
        <v>12908</v>
      </c>
      <c r="D4906" t="s">
        <v>613</v>
      </c>
      <c r="E4906" t="s">
        <v>12324</v>
      </c>
      <c r="F4906">
        <v>482.5</v>
      </c>
      <c r="H4906" t="s">
        <v>2960</v>
      </c>
    </row>
    <row r="4907" spans="2:8" x14ac:dyDescent="0.2">
      <c r="B4907" t="s">
        <v>1433</v>
      </c>
      <c r="C4907" t="s">
        <v>12908</v>
      </c>
      <c r="D4907" t="s">
        <v>554</v>
      </c>
      <c r="E4907" t="s">
        <v>12325</v>
      </c>
      <c r="F4907">
        <v>26374</v>
      </c>
      <c r="H4907" t="s">
        <v>3088</v>
      </c>
    </row>
    <row r="4908" spans="2:8" x14ac:dyDescent="0.2">
      <c r="B4908" t="s">
        <v>1433</v>
      </c>
      <c r="C4908" t="s">
        <v>12908</v>
      </c>
      <c r="D4908" t="s">
        <v>613</v>
      </c>
      <c r="E4908" t="s">
        <v>12326</v>
      </c>
      <c r="F4908">
        <v>3.2</v>
      </c>
      <c r="H4908" t="s">
        <v>3482</v>
      </c>
    </row>
    <row r="4909" spans="2:8" x14ac:dyDescent="0.2">
      <c r="B4909" t="s">
        <v>1433</v>
      </c>
      <c r="C4909" t="s">
        <v>12908</v>
      </c>
      <c r="D4909" t="s">
        <v>613</v>
      </c>
      <c r="E4909" t="s">
        <v>12327</v>
      </c>
      <c r="F4909">
        <v>63.15</v>
      </c>
      <c r="H4909" t="s">
        <v>1535</v>
      </c>
    </row>
    <row r="4910" spans="2:8" x14ac:dyDescent="0.2">
      <c r="B4910" t="s">
        <v>1433</v>
      </c>
      <c r="C4910" t="s">
        <v>12908</v>
      </c>
      <c r="D4910" t="s">
        <v>613</v>
      </c>
      <c r="E4910" t="s">
        <v>12328</v>
      </c>
      <c r="F4910">
        <v>209.1</v>
      </c>
      <c r="H4910" t="s">
        <v>3410</v>
      </c>
    </row>
    <row r="4911" spans="2:8" x14ac:dyDescent="0.2">
      <c r="B4911" t="s">
        <v>1433</v>
      </c>
      <c r="C4911" t="s">
        <v>12908</v>
      </c>
      <c r="D4911" t="s">
        <v>613</v>
      </c>
      <c r="E4911" t="s">
        <v>12329</v>
      </c>
      <c r="F4911">
        <v>8.41</v>
      </c>
      <c r="H4911" t="s">
        <v>2967</v>
      </c>
    </row>
    <row r="4912" spans="2:8" x14ac:dyDescent="0.2">
      <c r="B4912" t="s">
        <v>1433</v>
      </c>
      <c r="C4912" t="s">
        <v>12908</v>
      </c>
      <c r="D4912" t="s">
        <v>613</v>
      </c>
      <c r="E4912" t="s">
        <v>12330</v>
      </c>
      <c r="F4912">
        <v>60</v>
      </c>
      <c r="H4912" t="s">
        <v>3666</v>
      </c>
    </row>
    <row r="4913" spans="2:8" x14ac:dyDescent="0.2">
      <c r="B4913" t="s">
        <v>1433</v>
      </c>
      <c r="C4913" t="s">
        <v>12908</v>
      </c>
      <c r="D4913" t="s">
        <v>613</v>
      </c>
      <c r="E4913" t="s">
        <v>12331</v>
      </c>
      <c r="F4913">
        <v>8</v>
      </c>
      <c r="H4913" t="s">
        <v>3666</v>
      </c>
    </row>
    <row r="4914" spans="2:8" x14ac:dyDescent="0.2">
      <c r="B4914" t="s">
        <v>1433</v>
      </c>
      <c r="C4914" t="s">
        <v>12908</v>
      </c>
      <c r="D4914" t="s">
        <v>613</v>
      </c>
      <c r="E4914" t="s">
        <v>12332</v>
      </c>
      <c r="F4914">
        <v>0.6</v>
      </c>
      <c r="G4914" t="s">
        <v>8294</v>
      </c>
    </row>
    <row r="4915" spans="2:8" x14ac:dyDescent="0.2">
      <c r="B4915" t="s">
        <v>1433</v>
      </c>
      <c r="C4915" t="s">
        <v>12908</v>
      </c>
      <c r="D4915" t="s">
        <v>613</v>
      </c>
      <c r="E4915" t="s">
        <v>12333</v>
      </c>
      <c r="F4915">
        <v>17</v>
      </c>
      <c r="G4915" t="s">
        <v>5244</v>
      </c>
    </row>
    <row r="4916" spans="2:8" x14ac:dyDescent="0.2">
      <c r="B4916" t="s">
        <v>1433</v>
      </c>
      <c r="C4916" t="s">
        <v>12908</v>
      </c>
      <c r="D4916" t="s">
        <v>621</v>
      </c>
      <c r="E4916" t="s">
        <v>12334</v>
      </c>
      <c r="F4916">
        <v>22.32</v>
      </c>
      <c r="G4916" t="s">
        <v>8417</v>
      </c>
    </row>
    <row r="4917" spans="2:8" x14ac:dyDescent="0.2">
      <c r="B4917" t="s">
        <v>1433</v>
      </c>
      <c r="C4917" t="s">
        <v>12908</v>
      </c>
      <c r="D4917" t="s">
        <v>613</v>
      </c>
      <c r="E4917" t="s">
        <v>12335</v>
      </c>
      <c r="F4917">
        <v>37.33</v>
      </c>
      <c r="G4917" t="s">
        <v>5242</v>
      </c>
    </row>
    <row r="4918" spans="2:8" x14ac:dyDescent="0.2">
      <c r="B4918" t="s">
        <v>1433</v>
      </c>
      <c r="C4918" t="s">
        <v>12908</v>
      </c>
      <c r="D4918" t="s">
        <v>1137</v>
      </c>
      <c r="E4918" t="s">
        <v>12336</v>
      </c>
      <c r="F4918">
        <v>145</v>
      </c>
      <c r="G4918" t="s">
        <v>2899</v>
      </c>
    </row>
    <row r="4919" spans="2:8" x14ac:dyDescent="0.2">
      <c r="B4919" t="s">
        <v>1433</v>
      </c>
      <c r="C4919" t="s">
        <v>12908</v>
      </c>
      <c r="D4919" t="s">
        <v>1137</v>
      </c>
      <c r="E4919" t="s">
        <v>12337</v>
      </c>
      <c r="F4919">
        <v>578</v>
      </c>
      <c r="G4919" t="s">
        <v>2901</v>
      </c>
    </row>
    <row r="4920" spans="2:8" x14ac:dyDescent="0.2">
      <c r="B4920" t="s">
        <v>1433</v>
      </c>
      <c r="C4920" t="s">
        <v>12908</v>
      </c>
      <c r="D4920" t="s">
        <v>1137</v>
      </c>
      <c r="E4920" t="s">
        <v>12338</v>
      </c>
      <c r="F4920">
        <v>466</v>
      </c>
      <c r="G4920" t="s">
        <v>2924</v>
      </c>
    </row>
    <row r="4921" spans="2:8" x14ac:dyDescent="0.2">
      <c r="B4921" t="s">
        <v>1433</v>
      </c>
      <c r="C4921" t="s">
        <v>12908</v>
      </c>
      <c r="D4921" t="s">
        <v>613</v>
      </c>
      <c r="E4921" t="s">
        <v>12339</v>
      </c>
      <c r="F4921">
        <v>104.12</v>
      </c>
      <c r="G4921" t="s">
        <v>1512</v>
      </c>
    </row>
    <row r="4922" spans="2:8" x14ac:dyDescent="0.2">
      <c r="B4922" t="s">
        <v>1433</v>
      </c>
      <c r="C4922" t="s">
        <v>12908</v>
      </c>
      <c r="D4922" t="s">
        <v>1137</v>
      </c>
      <c r="E4922" t="s">
        <v>12340</v>
      </c>
      <c r="F4922">
        <v>450</v>
      </c>
      <c r="G4922" t="s">
        <v>2994</v>
      </c>
    </row>
    <row r="4923" spans="2:8" x14ac:dyDescent="0.2">
      <c r="B4923" t="s">
        <v>1433</v>
      </c>
      <c r="C4923" t="s">
        <v>12908</v>
      </c>
      <c r="D4923" t="s">
        <v>1137</v>
      </c>
      <c r="E4923" t="s">
        <v>12341</v>
      </c>
      <c r="F4923">
        <v>88.5</v>
      </c>
      <c r="G4923" t="s">
        <v>2996</v>
      </c>
    </row>
    <row r="4924" spans="2:8" x14ac:dyDescent="0.2">
      <c r="B4924" t="s">
        <v>1433</v>
      </c>
      <c r="C4924" t="s">
        <v>12908</v>
      </c>
      <c r="D4924" t="s">
        <v>1137</v>
      </c>
      <c r="E4924" t="s">
        <v>12342</v>
      </c>
      <c r="F4924">
        <v>192</v>
      </c>
      <c r="G4924" t="s">
        <v>3002</v>
      </c>
    </row>
    <row r="4925" spans="2:8" x14ac:dyDescent="0.2">
      <c r="B4925" t="s">
        <v>1433</v>
      </c>
      <c r="C4925" t="s">
        <v>12908</v>
      </c>
      <c r="D4925" t="s">
        <v>1137</v>
      </c>
      <c r="E4925" t="s">
        <v>12343</v>
      </c>
      <c r="F4925">
        <v>1773.8</v>
      </c>
      <c r="G4925" t="s">
        <v>3032</v>
      </c>
    </row>
    <row r="4926" spans="2:8" x14ac:dyDescent="0.2">
      <c r="B4926" t="s">
        <v>1433</v>
      </c>
      <c r="C4926" t="s">
        <v>12908</v>
      </c>
      <c r="D4926" t="s">
        <v>1137</v>
      </c>
      <c r="E4926" t="s">
        <v>12344</v>
      </c>
      <c r="F4926">
        <v>76</v>
      </c>
      <c r="G4926" t="s">
        <v>3037</v>
      </c>
    </row>
    <row r="4927" spans="2:8" x14ac:dyDescent="0.2">
      <c r="B4927" t="s">
        <v>1433</v>
      </c>
      <c r="C4927" t="s">
        <v>12908</v>
      </c>
      <c r="D4927" t="s">
        <v>1137</v>
      </c>
      <c r="E4927" t="s">
        <v>12345</v>
      </c>
      <c r="F4927">
        <v>140</v>
      </c>
      <c r="G4927" t="s">
        <v>3039</v>
      </c>
    </row>
    <row r="4928" spans="2:8" x14ac:dyDescent="0.2">
      <c r="B4928" t="s">
        <v>1433</v>
      </c>
      <c r="C4928" t="s">
        <v>12908</v>
      </c>
      <c r="D4928" t="s">
        <v>1137</v>
      </c>
      <c r="E4928" t="s">
        <v>12346</v>
      </c>
      <c r="F4928">
        <v>79</v>
      </c>
      <c r="G4928" t="s">
        <v>3040</v>
      </c>
    </row>
    <row r="4929" spans="2:7" x14ac:dyDescent="0.2">
      <c r="B4929" t="s">
        <v>1433</v>
      </c>
      <c r="C4929" t="s">
        <v>12908</v>
      </c>
      <c r="D4929" t="s">
        <v>1137</v>
      </c>
      <c r="E4929" t="s">
        <v>12347</v>
      </c>
      <c r="F4929">
        <v>80</v>
      </c>
      <c r="G4929" t="s">
        <v>3041</v>
      </c>
    </row>
    <row r="4930" spans="2:7" x14ac:dyDescent="0.2">
      <c r="B4930" t="s">
        <v>1433</v>
      </c>
      <c r="C4930" t="s">
        <v>12908</v>
      </c>
      <c r="D4930" t="s">
        <v>1137</v>
      </c>
      <c r="E4930" t="s">
        <v>12348</v>
      </c>
      <c r="F4930">
        <v>78</v>
      </c>
      <c r="G4930" t="s">
        <v>3042</v>
      </c>
    </row>
    <row r="4931" spans="2:7" x14ac:dyDescent="0.2">
      <c r="B4931" t="s">
        <v>1433</v>
      </c>
      <c r="C4931" t="s">
        <v>12908</v>
      </c>
      <c r="D4931" t="s">
        <v>1137</v>
      </c>
      <c r="E4931" t="s">
        <v>12349</v>
      </c>
      <c r="F4931">
        <v>48</v>
      </c>
      <c r="G4931" t="s">
        <v>3043</v>
      </c>
    </row>
    <row r="4932" spans="2:7" x14ac:dyDescent="0.2">
      <c r="B4932" t="s">
        <v>1433</v>
      </c>
      <c r="C4932" t="s">
        <v>12908</v>
      </c>
      <c r="D4932" t="s">
        <v>1137</v>
      </c>
      <c r="E4932" t="s">
        <v>12350</v>
      </c>
      <c r="F4932">
        <v>38.4</v>
      </c>
      <c r="G4932" t="s">
        <v>3052</v>
      </c>
    </row>
    <row r="4933" spans="2:7" x14ac:dyDescent="0.2">
      <c r="B4933" t="s">
        <v>1433</v>
      </c>
      <c r="C4933" t="s">
        <v>12908</v>
      </c>
      <c r="D4933" t="s">
        <v>613</v>
      </c>
      <c r="E4933" t="s">
        <v>12351</v>
      </c>
      <c r="F4933">
        <v>40.5</v>
      </c>
      <c r="G4933" t="s">
        <v>6939</v>
      </c>
    </row>
    <row r="4934" spans="2:7" x14ac:dyDescent="0.2">
      <c r="B4934" t="s">
        <v>1433</v>
      </c>
      <c r="C4934" t="s">
        <v>12908</v>
      </c>
      <c r="D4934" t="s">
        <v>52</v>
      </c>
      <c r="E4934" t="s">
        <v>12352</v>
      </c>
      <c r="F4934">
        <v>0.55000000000000004</v>
      </c>
      <c r="G4934" t="s">
        <v>12353</v>
      </c>
    </row>
    <row r="4935" spans="2:7" x14ac:dyDescent="0.2">
      <c r="B4935" t="s">
        <v>1433</v>
      </c>
      <c r="C4935" t="s">
        <v>12908</v>
      </c>
      <c r="D4935" t="s">
        <v>1137</v>
      </c>
      <c r="E4935" t="s">
        <v>12354</v>
      </c>
      <c r="F4935">
        <v>94</v>
      </c>
      <c r="G4935" t="s">
        <v>3109</v>
      </c>
    </row>
    <row r="4936" spans="2:7" x14ac:dyDescent="0.2">
      <c r="B4936" t="s">
        <v>1433</v>
      </c>
      <c r="C4936" t="s">
        <v>12908</v>
      </c>
      <c r="D4936" t="s">
        <v>1137</v>
      </c>
      <c r="E4936" t="s">
        <v>12355</v>
      </c>
      <c r="F4936">
        <v>180</v>
      </c>
      <c r="G4936" t="s">
        <v>3126</v>
      </c>
    </row>
    <row r="4937" spans="2:7" x14ac:dyDescent="0.2">
      <c r="B4937" t="s">
        <v>1433</v>
      </c>
      <c r="C4937" t="s">
        <v>12908</v>
      </c>
      <c r="D4937" t="s">
        <v>1137</v>
      </c>
      <c r="E4937" t="s">
        <v>12356</v>
      </c>
      <c r="F4937">
        <v>382</v>
      </c>
      <c r="G4937" t="s">
        <v>3128</v>
      </c>
    </row>
    <row r="4938" spans="2:7" x14ac:dyDescent="0.2">
      <c r="B4938" t="s">
        <v>1433</v>
      </c>
      <c r="C4938" t="s">
        <v>12908</v>
      </c>
      <c r="D4938" t="s">
        <v>1144</v>
      </c>
      <c r="E4938" t="s">
        <v>12357</v>
      </c>
      <c r="F4938">
        <v>701.5</v>
      </c>
      <c r="G4938" t="s">
        <v>3907</v>
      </c>
    </row>
    <row r="4939" spans="2:7" x14ac:dyDescent="0.2">
      <c r="B4939" t="s">
        <v>1433</v>
      </c>
      <c r="C4939" t="s">
        <v>12908</v>
      </c>
      <c r="D4939" t="s">
        <v>1137</v>
      </c>
      <c r="E4939" t="s">
        <v>12358</v>
      </c>
      <c r="F4939">
        <v>85</v>
      </c>
      <c r="G4939" t="s">
        <v>3136</v>
      </c>
    </row>
    <row r="4940" spans="2:7" x14ac:dyDescent="0.2">
      <c r="B4940" t="s">
        <v>1433</v>
      </c>
      <c r="C4940" t="s">
        <v>12908</v>
      </c>
      <c r="D4940" t="s">
        <v>1137</v>
      </c>
      <c r="E4940" t="s">
        <v>12359</v>
      </c>
      <c r="F4940">
        <v>60</v>
      </c>
      <c r="G4940" t="s">
        <v>3138</v>
      </c>
    </row>
    <row r="4941" spans="2:7" x14ac:dyDescent="0.2">
      <c r="B4941" t="s">
        <v>1433</v>
      </c>
      <c r="C4941" t="s">
        <v>12908</v>
      </c>
      <c r="D4941" t="s">
        <v>1144</v>
      </c>
      <c r="E4941" t="s">
        <v>12360</v>
      </c>
      <c r="F4941">
        <v>166.75</v>
      </c>
      <c r="G4941" t="s">
        <v>3905</v>
      </c>
    </row>
    <row r="4942" spans="2:7" x14ac:dyDescent="0.2">
      <c r="B4942" t="s">
        <v>1433</v>
      </c>
      <c r="C4942" t="s">
        <v>12908</v>
      </c>
      <c r="D4942" t="s">
        <v>1144</v>
      </c>
      <c r="E4942" t="s">
        <v>12361</v>
      </c>
      <c r="F4942">
        <v>396.5</v>
      </c>
      <c r="G4942" t="s">
        <v>3908</v>
      </c>
    </row>
    <row r="4943" spans="2:7" x14ac:dyDescent="0.2">
      <c r="B4943" t="s">
        <v>1433</v>
      </c>
      <c r="C4943" t="s">
        <v>12908</v>
      </c>
      <c r="D4943" t="s">
        <v>1137</v>
      </c>
      <c r="E4943" t="s">
        <v>12362</v>
      </c>
      <c r="F4943">
        <v>264</v>
      </c>
      <c r="G4943" t="s">
        <v>3177</v>
      </c>
    </row>
    <row r="4944" spans="2:7" x14ac:dyDescent="0.2">
      <c r="B4944" t="s">
        <v>1433</v>
      </c>
      <c r="C4944" t="s">
        <v>12908</v>
      </c>
      <c r="D4944" t="s">
        <v>613</v>
      </c>
      <c r="E4944" t="s">
        <v>12363</v>
      </c>
      <c r="F4944">
        <v>37.42</v>
      </c>
      <c r="G4944" t="s">
        <v>3190</v>
      </c>
    </row>
    <row r="4945" spans="2:7" x14ac:dyDescent="0.2">
      <c r="B4945" t="s">
        <v>1433</v>
      </c>
      <c r="C4945" t="s">
        <v>12908</v>
      </c>
      <c r="D4945" t="s">
        <v>1137</v>
      </c>
      <c r="E4945" t="s">
        <v>12364</v>
      </c>
      <c r="F4945">
        <v>58</v>
      </c>
      <c r="G4945" t="s">
        <v>3247</v>
      </c>
    </row>
    <row r="4946" spans="2:7" x14ac:dyDescent="0.2">
      <c r="B4946" t="s">
        <v>1433</v>
      </c>
      <c r="C4946" t="s">
        <v>12908</v>
      </c>
      <c r="D4946" t="s">
        <v>1137</v>
      </c>
      <c r="E4946" t="s">
        <v>12365</v>
      </c>
      <c r="F4946">
        <v>1848</v>
      </c>
      <c r="G4946" t="s">
        <v>3250</v>
      </c>
    </row>
    <row r="4947" spans="2:7" x14ac:dyDescent="0.2">
      <c r="B4947" t="s">
        <v>1433</v>
      </c>
      <c r="C4947" t="s">
        <v>12908</v>
      </c>
      <c r="D4947" t="s">
        <v>1137</v>
      </c>
      <c r="E4947" t="s">
        <v>12366</v>
      </c>
      <c r="F4947">
        <v>260</v>
      </c>
      <c r="G4947" t="s">
        <v>3243</v>
      </c>
    </row>
    <row r="4948" spans="2:7" x14ac:dyDescent="0.2">
      <c r="B4948" t="s">
        <v>1433</v>
      </c>
      <c r="C4948" t="s">
        <v>12908</v>
      </c>
      <c r="D4948" t="s">
        <v>1137</v>
      </c>
      <c r="E4948" t="s">
        <v>12367</v>
      </c>
      <c r="F4948">
        <v>860</v>
      </c>
      <c r="G4948" t="s">
        <v>3274</v>
      </c>
    </row>
    <row r="4949" spans="2:7" x14ac:dyDescent="0.2">
      <c r="B4949" t="s">
        <v>1433</v>
      </c>
      <c r="C4949" t="s">
        <v>12908</v>
      </c>
      <c r="D4949" t="s">
        <v>1137</v>
      </c>
      <c r="E4949" t="s">
        <v>12368</v>
      </c>
      <c r="F4949">
        <v>688</v>
      </c>
      <c r="G4949" t="s">
        <v>3262</v>
      </c>
    </row>
    <row r="4950" spans="2:7" x14ac:dyDescent="0.2">
      <c r="B4950" t="s">
        <v>1433</v>
      </c>
      <c r="C4950" t="s">
        <v>12908</v>
      </c>
      <c r="D4950" t="s">
        <v>1137</v>
      </c>
      <c r="E4950" t="s">
        <v>12369</v>
      </c>
      <c r="F4950">
        <v>1824</v>
      </c>
      <c r="G4950" t="s">
        <v>3306</v>
      </c>
    </row>
    <row r="4951" spans="2:7" x14ac:dyDescent="0.2">
      <c r="B4951" t="s">
        <v>1433</v>
      </c>
      <c r="C4951" t="s">
        <v>12908</v>
      </c>
      <c r="D4951" t="s">
        <v>1137</v>
      </c>
      <c r="E4951" t="s">
        <v>12370</v>
      </c>
      <c r="F4951">
        <v>49</v>
      </c>
      <c r="G4951" t="s">
        <v>3344</v>
      </c>
    </row>
    <row r="4952" spans="2:7" x14ac:dyDescent="0.2">
      <c r="B4952" t="s">
        <v>1433</v>
      </c>
      <c r="C4952" t="s">
        <v>12908</v>
      </c>
      <c r="D4952" t="s">
        <v>1137</v>
      </c>
      <c r="E4952" t="s">
        <v>12371</v>
      </c>
      <c r="F4952">
        <v>84</v>
      </c>
      <c r="G4952" t="s">
        <v>3345</v>
      </c>
    </row>
    <row r="4953" spans="2:7" x14ac:dyDescent="0.2">
      <c r="B4953" t="s">
        <v>1433</v>
      </c>
      <c r="C4953" t="s">
        <v>12908</v>
      </c>
      <c r="D4953" t="s">
        <v>1137</v>
      </c>
      <c r="E4953" t="s">
        <v>12372</v>
      </c>
      <c r="F4953">
        <v>70</v>
      </c>
      <c r="G4953" t="s">
        <v>3346</v>
      </c>
    </row>
    <row r="4954" spans="2:7" x14ac:dyDescent="0.2">
      <c r="B4954" t="s">
        <v>1433</v>
      </c>
      <c r="C4954" t="s">
        <v>12908</v>
      </c>
      <c r="D4954" t="s">
        <v>1137</v>
      </c>
      <c r="E4954" t="s">
        <v>12373</v>
      </c>
      <c r="F4954">
        <v>1625</v>
      </c>
      <c r="G4954" t="s">
        <v>3385</v>
      </c>
    </row>
    <row r="4955" spans="2:7" x14ac:dyDescent="0.2">
      <c r="B4955" t="s">
        <v>1433</v>
      </c>
      <c r="C4955" t="s">
        <v>12908</v>
      </c>
      <c r="D4955" t="s">
        <v>1137</v>
      </c>
      <c r="E4955" t="s">
        <v>12374</v>
      </c>
      <c r="F4955">
        <v>676</v>
      </c>
      <c r="G4955" t="s">
        <v>3397</v>
      </c>
    </row>
    <row r="4956" spans="2:7" x14ac:dyDescent="0.2">
      <c r="B4956" t="s">
        <v>1433</v>
      </c>
      <c r="C4956" t="s">
        <v>12908</v>
      </c>
      <c r="D4956" t="s">
        <v>1137</v>
      </c>
      <c r="E4956" t="s">
        <v>12375</v>
      </c>
      <c r="F4956">
        <v>11280</v>
      </c>
      <c r="G4956" t="s">
        <v>3442</v>
      </c>
    </row>
    <row r="4957" spans="2:7" x14ac:dyDescent="0.2">
      <c r="B4957" t="s">
        <v>1433</v>
      </c>
      <c r="C4957" t="s">
        <v>12908</v>
      </c>
      <c r="D4957" t="s">
        <v>1137</v>
      </c>
      <c r="E4957" t="s">
        <v>12376</v>
      </c>
      <c r="F4957">
        <v>192.5</v>
      </c>
      <c r="G4957" t="s">
        <v>3459</v>
      </c>
    </row>
    <row r="4958" spans="2:7" x14ac:dyDescent="0.2">
      <c r="B4958" t="s">
        <v>1433</v>
      </c>
      <c r="C4958" t="s">
        <v>12908</v>
      </c>
      <c r="D4958" t="s">
        <v>1137</v>
      </c>
      <c r="E4958" t="s">
        <v>12377</v>
      </c>
      <c r="F4958">
        <v>352</v>
      </c>
      <c r="G4958" t="s">
        <v>3480</v>
      </c>
    </row>
    <row r="4959" spans="2:7" x14ac:dyDescent="0.2">
      <c r="B4959" t="s">
        <v>1433</v>
      </c>
      <c r="C4959" t="s">
        <v>12908</v>
      </c>
      <c r="D4959" t="s">
        <v>1137</v>
      </c>
      <c r="E4959" t="s">
        <v>12378</v>
      </c>
      <c r="F4959">
        <v>240</v>
      </c>
      <c r="G4959" t="s">
        <v>3596</v>
      </c>
    </row>
    <row r="4960" spans="2:7" x14ac:dyDescent="0.2">
      <c r="B4960" t="s">
        <v>1433</v>
      </c>
      <c r="C4960" t="s">
        <v>12908</v>
      </c>
      <c r="D4960" t="s">
        <v>1137</v>
      </c>
      <c r="E4960" t="s">
        <v>12379</v>
      </c>
      <c r="F4960">
        <v>2062</v>
      </c>
      <c r="G4960" t="s">
        <v>3645</v>
      </c>
    </row>
    <row r="4961" spans="2:8" x14ac:dyDescent="0.2">
      <c r="B4961" t="s">
        <v>1433</v>
      </c>
      <c r="C4961" t="s">
        <v>12908</v>
      </c>
      <c r="D4961" t="s">
        <v>554</v>
      </c>
      <c r="E4961" t="s">
        <v>12380</v>
      </c>
      <c r="F4961">
        <v>186</v>
      </c>
      <c r="G4961" t="s">
        <v>3625</v>
      </c>
    </row>
    <row r="4962" spans="2:8" x14ac:dyDescent="0.2">
      <c r="B4962" t="s">
        <v>1433</v>
      </c>
      <c r="C4962" t="s">
        <v>12908</v>
      </c>
      <c r="D4962" t="s">
        <v>613</v>
      </c>
      <c r="E4962" t="s">
        <v>12381</v>
      </c>
      <c r="F4962">
        <v>7.32</v>
      </c>
      <c r="G4962" t="s">
        <v>3688</v>
      </c>
    </row>
    <row r="4963" spans="2:8" x14ac:dyDescent="0.2">
      <c r="B4963" t="s">
        <v>1433</v>
      </c>
      <c r="C4963" t="s">
        <v>12908</v>
      </c>
      <c r="D4963" t="s">
        <v>1137</v>
      </c>
      <c r="E4963" t="s">
        <v>12382</v>
      </c>
      <c r="F4963">
        <v>880</v>
      </c>
      <c r="G4963" t="s">
        <v>3721</v>
      </c>
    </row>
    <row r="4964" spans="2:8" x14ac:dyDescent="0.2">
      <c r="B4964" t="s">
        <v>1433</v>
      </c>
      <c r="C4964" t="s">
        <v>12908</v>
      </c>
      <c r="D4964" t="s">
        <v>1137</v>
      </c>
      <c r="E4964" t="s">
        <v>12383</v>
      </c>
      <c r="F4964">
        <v>114</v>
      </c>
      <c r="G4964" t="s">
        <v>3731</v>
      </c>
    </row>
    <row r="4965" spans="2:8" x14ac:dyDescent="0.2">
      <c r="B4965" t="s">
        <v>1433</v>
      </c>
      <c r="C4965" t="s">
        <v>12908</v>
      </c>
      <c r="D4965" t="s">
        <v>1137</v>
      </c>
      <c r="E4965" t="s">
        <v>12384</v>
      </c>
      <c r="F4965">
        <v>96</v>
      </c>
      <c r="G4965" t="s">
        <v>3790</v>
      </c>
    </row>
    <row r="4966" spans="2:8" x14ac:dyDescent="0.2">
      <c r="B4966" t="s">
        <v>1433</v>
      </c>
      <c r="C4966" t="s">
        <v>12908</v>
      </c>
      <c r="D4966" t="s">
        <v>1137</v>
      </c>
      <c r="E4966" t="s">
        <v>12385</v>
      </c>
      <c r="F4966">
        <v>110</v>
      </c>
      <c r="G4966" t="s">
        <v>3788</v>
      </c>
    </row>
    <row r="4967" spans="2:8" x14ac:dyDescent="0.2">
      <c r="B4967" t="s">
        <v>1433</v>
      </c>
      <c r="C4967" t="s">
        <v>12908</v>
      </c>
      <c r="D4967" t="s">
        <v>1144</v>
      </c>
      <c r="E4967" t="s">
        <v>12386</v>
      </c>
      <c r="F4967">
        <v>600</v>
      </c>
      <c r="G4967" t="s">
        <v>3605</v>
      </c>
    </row>
    <row r="4968" spans="2:8" x14ac:dyDescent="0.2">
      <c r="B4968" t="s">
        <v>1433</v>
      </c>
      <c r="C4968" t="s">
        <v>12908</v>
      </c>
      <c r="D4968" t="s">
        <v>1137</v>
      </c>
      <c r="E4968" t="s">
        <v>12387</v>
      </c>
      <c r="F4968">
        <v>655</v>
      </c>
      <c r="G4968" t="s">
        <v>3871</v>
      </c>
    </row>
    <row r="4969" spans="2:8" x14ac:dyDescent="0.2">
      <c r="B4969" t="s">
        <v>1433</v>
      </c>
      <c r="C4969" t="s">
        <v>12908</v>
      </c>
      <c r="D4969" t="s">
        <v>1137</v>
      </c>
      <c r="E4969" t="s">
        <v>12388</v>
      </c>
      <c r="F4969">
        <v>1293.7</v>
      </c>
      <c r="G4969" t="s">
        <v>4024</v>
      </c>
    </row>
    <row r="4970" spans="2:8" x14ac:dyDescent="0.2">
      <c r="B4970" t="s">
        <v>1433</v>
      </c>
      <c r="C4970" t="s">
        <v>12908</v>
      </c>
      <c r="D4970" t="s">
        <v>1137</v>
      </c>
      <c r="E4970" t="s">
        <v>12389</v>
      </c>
      <c r="F4970">
        <v>2778</v>
      </c>
      <c r="G4970" t="s">
        <v>4029</v>
      </c>
    </row>
    <row r="4971" spans="2:8" x14ac:dyDescent="0.2">
      <c r="B4971" t="s">
        <v>1433</v>
      </c>
      <c r="C4971" t="s">
        <v>12908</v>
      </c>
      <c r="D4971" t="s">
        <v>1137</v>
      </c>
      <c r="E4971" t="s">
        <v>12390</v>
      </c>
      <c r="F4971">
        <v>1440</v>
      </c>
      <c r="G4971" t="s">
        <v>4038</v>
      </c>
    </row>
    <row r="4972" spans="2:8" x14ac:dyDescent="0.2">
      <c r="B4972" t="s">
        <v>1433</v>
      </c>
      <c r="C4972" t="s">
        <v>12908</v>
      </c>
      <c r="D4972" t="s">
        <v>478</v>
      </c>
      <c r="E4972" t="s">
        <v>12391</v>
      </c>
      <c r="F4972">
        <v>22189.55</v>
      </c>
      <c r="G4972" t="s">
        <v>12392</v>
      </c>
    </row>
    <row r="4973" spans="2:8" x14ac:dyDescent="0.2">
      <c r="B4973" t="s">
        <v>1433</v>
      </c>
      <c r="C4973" t="s">
        <v>12909</v>
      </c>
      <c r="D4973" t="s">
        <v>613</v>
      </c>
      <c r="E4973" t="s">
        <v>12393</v>
      </c>
      <c r="F4973">
        <v>33.700000000000003</v>
      </c>
      <c r="H4973" t="s">
        <v>5286</v>
      </c>
    </row>
    <row r="4974" spans="2:8" x14ac:dyDescent="0.2">
      <c r="B4974" t="s">
        <v>1433</v>
      </c>
      <c r="C4974" t="s">
        <v>12909</v>
      </c>
      <c r="D4974" t="s">
        <v>613</v>
      </c>
      <c r="E4974" t="s">
        <v>12394</v>
      </c>
      <c r="F4974">
        <v>21.96</v>
      </c>
      <c r="H4974" t="s">
        <v>1504</v>
      </c>
    </row>
    <row r="4975" spans="2:8" x14ac:dyDescent="0.2">
      <c r="B4975" t="s">
        <v>1433</v>
      </c>
      <c r="C4975" t="s">
        <v>12909</v>
      </c>
      <c r="D4975" t="s">
        <v>613</v>
      </c>
      <c r="E4975" t="s">
        <v>12395</v>
      </c>
      <c r="F4975">
        <v>19.52</v>
      </c>
      <c r="H4975" t="s">
        <v>2967</v>
      </c>
    </row>
    <row r="4976" spans="2:8" x14ac:dyDescent="0.2">
      <c r="B4976" t="s">
        <v>1433</v>
      </c>
      <c r="C4976" t="s">
        <v>12909</v>
      </c>
      <c r="D4976" t="s">
        <v>613</v>
      </c>
      <c r="E4976" t="s">
        <v>12396</v>
      </c>
      <c r="F4976">
        <v>14.64</v>
      </c>
      <c r="H4976" t="s">
        <v>2967</v>
      </c>
    </row>
    <row r="4977" spans="2:8" x14ac:dyDescent="0.2">
      <c r="B4977" t="s">
        <v>1433</v>
      </c>
      <c r="C4977" t="s">
        <v>12909</v>
      </c>
      <c r="D4977" t="s">
        <v>613</v>
      </c>
      <c r="E4977" t="s">
        <v>12397</v>
      </c>
      <c r="F4977">
        <v>42.07</v>
      </c>
      <c r="H4977" t="s">
        <v>2967</v>
      </c>
    </row>
    <row r="4978" spans="2:8" x14ac:dyDescent="0.2">
      <c r="B4978" t="s">
        <v>1433</v>
      </c>
      <c r="C4978" t="s">
        <v>12909</v>
      </c>
      <c r="D4978" t="s">
        <v>613</v>
      </c>
      <c r="E4978" t="s">
        <v>12398</v>
      </c>
      <c r="F4978">
        <v>217.2</v>
      </c>
      <c r="H4978" t="s">
        <v>1691</v>
      </c>
    </row>
    <row r="4979" spans="2:8" x14ac:dyDescent="0.2">
      <c r="B4979" t="s">
        <v>1433</v>
      </c>
      <c r="C4979" t="s">
        <v>12909</v>
      </c>
      <c r="D4979" t="s">
        <v>613</v>
      </c>
      <c r="E4979" t="s">
        <v>12399</v>
      </c>
      <c r="F4979">
        <v>181.4</v>
      </c>
      <c r="H4979" t="s">
        <v>1692</v>
      </c>
    </row>
    <row r="4980" spans="2:8" x14ac:dyDescent="0.2">
      <c r="B4980" t="s">
        <v>1433</v>
      </c>
      <c r="C4980" t="s">
        <v>12909</v>
      </c>
      <c r="D4980" t="s">
        <v>613</v>
      </c>
      <c r="E4980" t="s">
        <v>12400</v>
      </c>
      <c r="F4980">
        <v>17.52</v>
      </c>
      <c r="H4980" t="s">
        <v>1530</v>
      </c>
    </row>
    <row r="4981" spans="2:8" x14ac:dyDescent="0.2">
      <c r="B4981" t="s">
        <v>1433</v>
      </c>
      <c r="C4981" t="s">
        <v>12909</v>
      </c>
      <c r="D4981" t="s">
        <v>613</v>
      </c>
      <c r="E4981" t="s">
        <v>12401</v>
      </c>
      <c r="F4981">
        <v>6.76</v>
      </c>
      <c r="H4981" t="s">
        <v>1530</v>
      </c>
    </row>
    <row r="4982" spans="2:8" x14ac:dyDescent="0.2">
      <c r="B4982" t="s">
        <v>1433</v>
      </c>
      <c r="C4982" t="s">
        <v>12909</v>
      </c>
      <c r="D4982" t="s">
        <v>613</v>
      </c>
      <c r="E4982" t="s">
        <v>12402</v>
      </c>
      <c r="F4982">
        <v>11.52</v>
      </c>
      <c r="H4982" t="s">
        <v>1618</v>
      </c>
    </row>
    <row r="4983" spans="2:8" x14ac:dyDescent="0.2">
      <c r="B4983" t="s">
        <v>1433</v>
      </c>
      <c r="C4983" t="s">
        <v>12909</v>
      </c>
      <c r="D4983" t="s">
        <v>613</v>
      </c>
      <c r="E4983" t="s">
        <v>12403</v>
      </c>
      <c r="F4983">
        <v>26.04</v>
      </c>
      <c r="H4983" t="s">
        <v>1529</v>
      </c>
    </row>
    <row r="4984" spans="2:8" x14ac:dyDescent="0.2">
      <c r="B4984" t="s">
        <v>1433</v>
      </c>
      <c r="C4984" t="s">
        <v>12909</v>
      </c>
      <c r="D4984" t="s">
        <v>613</v>
      </c>
      <c r="E4984" t="s">
        <v>12404</v>
      </c>
      <c r="F4984">
        <v>26.04</v>
      </c>
      <c r="H4984" t="s">
        <v>1529</v>
      </c>
    </row>
    <row r="4985" spans="2:8" x14ac:dyDescent="0.2">
      <c r="B4985" t="s">
        <v>1433</v>
      </c>
      <c r="C4985" t="s">
        <v>12909</v>
      </c>
      <c r="D4985" t="s">
        <v>613</v>
      </c>
      <c r="E4985" t="s">
        <v>12405</v>
      </c>
      <c r="F4985">
        <v>17.36</v>
      </c>
      <c r="H4985" t="s">
        <v>1529</v>
      </c>
    </row>
    <row r="4986" spans="2:8" x14ac:dyDescent="0.2">
      <c r="B4986" t="s">
        <v>1433</v>
      </c>
      <c r="C4986" t="s">
        <v>12909</v>
      </c>
      <c r="D4986" t="s">
        <v>613</v>
      </c>
      <c r="E4986" t="s">
        <v>12406</v>
      </c>
      <c r="F4986">
        <v>63.14</v>
      </c>
      <c r="H4986" t="s">
        <v>1498</v>
      </c>
    </row>
    <row r="4987" spans="2:8" x14ac:dyDescent="0.2">
      <c r="B4987" t="s">
        <v>1433</v>
      </c>
      <c r="C4987" t="s">
        <v>12909</v>
      </c>
      <c r="D4987" t="s">
        <v>613</v>
      </c>
      <c r="E4987" t="s">
        <v>12407</v>
      </c>
      <c r="F4987">
        <v>189.42</v>
      </c>
      <c r="H4987" t="s">
        <v>1498</v>
      </c>
    </row>
    <row r="4988" spans="2:8" x14ac:dyDescent="0.2">
      <c r="B4988" t="s">
        <v>1433</v>
      </c>
      <c r="C4988" t="s">
        <v>12909</v>
      </c>
      <c r="D4988" t="s">
        <v>613</v>
      </c>
      <c r="E4988" t="s">
        <v>12408</v>
      </c>
      <c r="F4988">
        <v>31.56</v>
      </c>
      <c r="H4988" t="s">
        <v>1617</v>
      </c>
    </row>
    <row r="4989" spans="2:8" x14ac:dyDescent="0.2">
      <c r="B4989" t="s">
        <v>1433</v>
      </c>
      <c r="C4989" t="s">
        <v>12909</v>
      </c>
      <c r="D4989" t="s">
        <v>613</v>
      </c>
      <c r="E4989" t="s">
        <v>12409</v>
      </c>
      <c r="F4989">
        <v>1099.2</v>
      </c>
      <c r="H4989" t="s">
        <v>1532</v>
      </c>
    </row>
    <row r="4990" spans="2:8" x14ac:dyDescent="0.2">
      <c r="B4990" t="s">
        <v>1433</v>
      </c>
      <c r="C4990" t="s">
        <v>12909</v>
      </c>
      <c r="D4990" t="s">
        <v>613</v>
      </c>
      <c r="E4990" t="s">
        <v>12410</v>
      </c>
      <c r="F4990">
        <v>271.2</v>
      </c>
      <c r="H4990" t="s">
        <v>1243</v>
      </c>
    </row>
    <row r="4991" spans="2:8" x14ac:dyDescent="0.2">
      <c r="B4991" t="s">
        <v>1433</v>
      </c>
      <c r="C4991" t="s">
        <v>12909</v>
      </c>
      <c r="D4991" t="s">
        <v>613</v>
      </c>
      <c r="E4991" t="s">
        <v>12411</v>
      </c>
      <c r="F4991">
        <v>361.2</v>
      </c>
      <c r="H4991" t="s">
        <v>1245</v>
      </c>
    </row>
    <row r="4992" spans="2:8" x14ac:dyDescent="0.2">
      <c r="B4992" t="s">
        <v>1433</v>
      </c>
      <c r="C4992" t="s">
        <v>12909</v>
      </c>
      <c r="D4992" t="s">
        <v>613</v>
      </c>
      <c r="E4992" t="s">
        <v>12412</v>
      </c>
      <c r="F4992">
        <v>300.32</v>
      </c>
      <c r="H4992" t="s">
        <v>1511</v>
      </c>
    </row>
    <row r="4993" spans="2:8" x14ac:dyDescent="0.2">
      <c r="B4993" t="s">
        <v>1433</v>
      </c>
      <c r="C4993" t="s">
        <v>12909</v>
      </c>
      <c r="D4993" t="s">
        <v>613</v>
      </c>
      <c r="E4993" t="s">
        <v>12413</v>
      </c>
      <c r="F4993">
        <v>104.12</v>
      </c>
      <c r="H4993" t="s">
        <v>1512</v>
      </c>
    </row>
    <row r="4994" spans="2:8" x14ac:dyDescent="0.2">
      <c r="B4994" t="s">
        <v>1433</v>
      </c>
      <c r="C4994" t="s">
        <v>12909</v>
      </c>
      <c r="D4994" t="s">
        <v>613</v>
      </c>
      <c r="E4994" t="s">
        <v>12414</v>
      </c>
      <c r="F4994">
        <v>2663.4</v>
      </c>
      <c r="H4994" t="s">
        <v>1565</v>
      </c>
    </row>
    <row r="4995" spans="2:8" x14ac:dyDescent="0.2">
      <c r="B4995" t="s">
        <v>1433</v>
      </c>
      <c r="C4995" t="s">
        <v>12909</v>
      </c>
      <c r="D4995" t="s">
        <v>613</v>
      </c>
      <c r="E4995" t="s">
        <v>12415</v>
      </c>
      <c r="F4995">
        <v>799.02</v>
      </c>
      <c r="H4995" t="s">
        <v>1566</v>
      </c>
    </row>
    <row r="4996" spans="2:8" x14ac:dyDescent="0.2">
      <c r="B4996" t="s">
        <v>1433</v>
      </c>
      <c r="C4996" t="s">
        <v>12909</v>
      </c>
      <c r="D4996" t="s">
        <v>613</v>
      </c>
      <c r="E4996" t="s">
        <v>12416</v>
      </c>
      <c r="F4996">
        <v>799.02</v>
      </c>
      <c r="H4996" t="s">
        <v>1567</v>
      </c>
    </row>
    <row r="4997" spans="2:8" x14ac:dyDescent="0.2">
      <c r="B4997" t="s">
        <v>1433</v>
      </c>
      <c r="C4997" t="s">
        <v>12909</v>
      </c>
      <c r="D4997" t="s">
        <v>613</v>
      </c>
      <c r="E4997" t="s">
        <v>12417</v>
      </c>
      <c r="F4997">
        <v>2663.4</v>
      </c>
      <c r="H4997" t="s">
        <v>1568</v>
      </c>
    </row>
    <row r="4998" spans="2:8" x14ac:dyDescent="0.2">
      <c r="B4998" t="s">
        <v>1433</v>
      </c>
      <c r="C4998" t="s">
        <v>12909</v>
      </c>
      <c r="D4998" t="s">
        <v>613</v>
      </c>
      <c r="E4998" t="s">
        <v>12418</v>
      </c>
      <c r="F4998">
        <v>133.16999999999999</v>
      </c>
      <c r="H4998" t="s">
        <v>1569</v>
      </c>
    </row>
    <row r="4999" spans="2:8" x14ac:dyDescent="0.2">
      <c r="B4999" t="s">
        <v>1433</v>
      </c>
      <c r="C4999" t="s">
        <v>12909</v>
      </c>
      <c r="D4999" t="s">
        <v>613</v>
      </c>
      <c r="E4999" t="s">
        <v>12419</v>
      </c>
      <c r="F4999">
        <v>-133.16999999999999</v>
      </c>
      <c r="H4999" t="s">
        <v>1569</v>
      </c>
    </row>
    <row r="5000" spans="2:8" x14ac:dyDescent="0.2">
      <c r="B5000" t="s">
        <v>1433</v>
      </c>
      <c r="C5000" t="s">
        <v>12909</v>
      </c>
      <c r="D5000" t="s">
        <v>613</v>
      </c>
      <c r="E5000" t="s">
        <v>12420</v>
      </c>
      <c r="F5000">
        <v>133.16999999999999</v>
      </c>
      <c r="H5000" t="s">
        <v>1569</v>
      </c>
    </row>
    <row r="5001" spans="2:8" x14ac:dyDescent="0.2">
      <c r="B5001" t="s">
        <v>1433</v>
      </c>
      <c r="C5001" t="s">
        <v>12909</v>
      </c>
      <c r="D5001" t="s">
        <v>613</v>
      </c>
      <c r="E5001" t="s">
        <v>12421</v>
      </c>
      <c r="F5001">
        <v>399.51</v>
      </c>
      <c r="H5001" t="s">
        <v>1569</v>
      </c>
    </row>
    <row r="5002" spans="2:8" x14ac:dyDescent="0.2">
      <c r="B5002" t="s">
        <v>1433</v>
      </c>
      <c r="C5002" t="s">
        <v>12909</v>
      </c>
      <c r="D5002" t="s">
        <v>613</v>
      </c>
      <c r="E5002" t="s">
        <v>12422</v>
      </c>
      <c r="F5002">
        <v>266.33999999999997</v>
      </c>
      <c r="H5002" t="s">
        <v>1570</v>
      </c>
    </row>
    <row r="5003" spans="2:8" x14ac:dyDescent="0.2">
      <c r="B5003" t="s">
        <v>1433</v>
      </c>
      <c r="C5003" t="s">
        <v>12909</v>
      </c>
      <c r="D5003" t="s">
        <v>613</v>
      </c>
      <c r="E5003" t="s">
        <v>12423</v>
      </c>
      <c r="F5003">
        <v>266.33999999999997</v>
      </c>
      <c r="H5003" t="s">
        <v>1571</v>
      </c>
    </row>
    <row r="5004" spans="2:8" x14ac:dyDescent="0.2">
      <c r="B5004" t="s">
        <v>1433</v>
      </c>
      <c r="C5004" t="s">
        <v>12909</v>
      </c>
      <c r="D5004" t="s">
        <v>613</v>
      </c>
      <c r="E5004" t="s">
        <v>12424</v>
      </c>
      <c r="F5004">
        <v>521.1</v>
      </c>
      <c r="H5004" t="s">
        <v>1573</v>
      </c>
    </row>
    <row r="5005" spans="2:8" x14ac:dyDescent="0.2">
      <c r="B5005" t="s">
        <v>1433</v>
      </c>
      <c r="C5005" t="s">
        <v>12909</v>
      </c>
      <c r="D5005" t="s">
        <v>613</v>
      </c>
      <c r="E5005" t="s">
        <v>12425</v>
      </c>
      <c r="F5005">
        <v>965</v>
      </c>
      <c r="H5005" t="s">
        <v>1577</v>
      </c>
    </row>
    <row r="5006" spans="2:8" x14ac:dyDescent="0.2">
      <c r="B5006" t="s">
        <v>1433</v>
      </c>
      <c r="C5006" t="s">
        <v>12909</v>
      </c>
      <c r="D5006" t="s">
        <v>613</v>
      </c>
      <c r="E5006" t="s">
        <v>12426</v>
      </c>
      <c r="F5006">
        <v>4516.2</v>
      </c>
      <c r="H5006" t="s">
        <v>1578</v>
      </c>
    </row>
    <row r="5007" spans="2:8" x14ac:dyDescent="0.2">
      <c r="B5007" t="s">
        <v>1433</v>
      </c>
      <c r="C5007" t="s">
        <v>12909</v>
      </c>
      <c r="D5007" t="s">
        <v>613</v>
      </c>
      <c r="E5007" t="s">
        <v>12427</v>
      </c>
      <c r="F5007">
        <v>2627.12</v>
      </c>
      <c r="H5007" t="s">
        <v>1579</v>
      </c>
    </row>
    <row r="5008" spans="2:8" x14ac:dyDescent="0.2">
      <c r="B5008" t="s">
        <v>1433</v>
      </c>
      <c r="C5008" t="s">
        <v>12909</v>
      </c>
      <c r="D5008" t="s">
        <v>613</v>
      </c>
      <c r="E5008" t="s">
        <v>12428</v>
      </c>
      <c r="F5008">
        <v>263.88</v>
      </c>
      <c r="H5008" t="s">
        <v>1533</v>
      </c>
    </row>
    <row r="5009" spans="2:8" x14ac:dyDescent="0.2">
      <c r="B5009" t="s">
        <v>1433</v>
      </c>
      <c r="C5009" t="s">
        <v>12909</v>
      </c>
      <c r="D5009" t="s">
        <v>613</v>
      </c>
      <c r="E5009" t="s">
        <v>12429</v>
      </c>
      <c r="F5009">
        <v>263.88</v>
      </c>
      <c r="H5009" t="s">
        <v>1533</v>
      </c>
    </row>
    <row r="5010" spans="2:8" x14ac:dyDescent="0.2">
      <c r="B5010" t="s">
        <v>1433</v>
      </c>
      <c r="C5010" t="s">
        <v>12909</v>
      </c>
      <c r="D5010" t="s">
        <v>613</v>
      </c>
      <c r="E5010" t="s">
        <v>12430</v>
      </c>
      <c r="F5010">
        <v>175.92</v>
      </c>
      <c r="H5010" t="s">
        <v>1533</v>
      </c>
    </row>
    <row r="5011" spans="2:8" x14ac:dyDescent="0.2">
      <c r="B5011" t="s">
        <v>1433</v>
      </c>
      <c r="C5011" t="s">
        <v>12909</v>
      </c>
      <c r="D5011" t="s">
        <v>613</v>
      </c>
      <c r="E5011" t="s">
        <v>12431</v>
      </c>
      <c r="F5011">
        <v>2000.16</v>
      </c>
      <c r="H5011" t="s">
        <v>1719</v>
      </c>
    </row>
    <row r="5012" spans="2:8" x14ac:dyDescent="0.2">
      <c r="B5012" t="s">
        <v>1433</v>
      </c>
      <c r="C5012" t="s">
        <v>12909</v>
      </c>
      <c r="D5012" t="s">
        <v>613</v>
      </c>
      <c r="E5012" t="s">
        <v>12432</v>
      </c>
      <c r="F5012">
        <v>107</v>
      </c>
      <c r="H5012" t="s">
        <v>1720</v>
      </c>
    </row>
    <row r="5013" spans="2:8" x14ac:dyDescent="0.2">
      <c r="B5013" t="s">
        <v>1433</v>
      </c>
      <c r="C5013" t="s">
        <v>12909</v>
      </c>
      <c r="D5013" t="s">
        <v>613</v>
      </c>
      <c r="E5013" t="s">
        <v>12433</v>
      </c>
      <c r="F5013">
        <v>903.6</v>
      </c>
      <c r="H5013" t="s">
        <v>1728</v>
      </c>
    </row>
    <row r="5014" spans="2:8" x14ac:dyDescent="0.2">
      <c r="B5014" t="s">
        <v>1433</v>
      </c>
      <c r="C5014" t="s">
        <v>12909</v>
      </c>
      <c r="D5014" t="s">
        <v>613</v>
      </c>
      <c r="E5014" t="s">
        <v>12434</v>
      </c>
      <c r="F5014">
        <v>320.08</v>
      </c>
      <c r="H5014" t="s">
        <v>1721</v>
      </c>
    </row>
    <row r="5015" spans="2:8" x14ac:dyDescent="0.2">
      <c r="B5015" t="s">
        <v>1433</v>
      </c>
      <c r="C5015" t="s">
        <v>12909</v>
      </c>
      <c r="D5015" t="s">
        <v>613</v>
      </c>
      <c r="E5015" t="s">
        <v>12435</v>
      </c>
      <c r="F5015">
        <v>546.88</v>
      </c>
      <c r="H5015" t="s">
        <v>1908</v>
      </c>
    </row>
    <row r="5016" spans="2:8" x14ac:dyDescent="0.2">
      <c r="B5016" t="s">
        <v>1433</v>
      </c>
      <c r="C5016" t="s">
        <v>12909</v>
      </c>
      <c r="D5016" t="s">
        <v>613</v>
      </c>
      <c r="E5016" t="s">
        <v>12436</v>
      </c>
      <c r="F5016">
        <v>1146.48</v>
      </c>
      <c r="H5016" t="s">
        <v>1509</v>
      </c>
    </row>
    <row r="5017" spans="2:8" x14ac:dyDescent="0.2">
      <c r="B5017" t="s">
        <v>1433</v>
      </c>
      <c r="C5017" t="s">
        <v>12909</v>
      </c>
      <c r="D5017" t="s">
        <v>613</v>
      </c>
      <c r="E5017" t="s">
        <v>12437</v>
      </c>
      <c r="F5017">
        <v>86.4</v>
      </c>
      <c r="H5017" t="s">
        <v>1501</v>
      </c>
    </row>
    <row r="5018" spans="2:8" x14ac:dyDescent="0.2">
      <c r="B5018" t="s">
        <v>1433</v>
      </c>
      <c r="C5018" t="s">
        <v>12909</v>
      </c>
      <c r="D5018" t="s">
        <v>613</v>
      </c>
      <c r="E5018" t="s">
        <v>12438</v>
      </c>
      <c r="F5018">
        <v>255.6</v>
      </c>
      <c r="H5018" t="s">
        <v>1608</v>
      </c>
    </row>
    <row r="5019" spans="2:8" x14ac:dyDescent="0.2">
      <c r="B5019" t="s">
        <v>1433</v>
      </c>
      <c r="C5019" t="s">
        <v>12909</v>
      </c>
      <c r="D5019" t="s">
        <v>613</v>
      </c>
      <c r="E5019" t="s">
        <v>12439</v>
      </c>
      <c r="F5019">
        <v>561.08000000000004</v>
      </c>
      <c r="H5019" t="s">
        <v>1869</v>
      </c>
    </row>
    <row r="5020" spans="2:8" x14ac:dyDescent="0.2">
      <c r="B5020" t="s">
        <v>1433</v>
      </c>
      <c r="C5020" t="s">
        <v>12909</v>
      </c>
      <c r="D5020" t="s">
        <v>613</v>
      </c>
      <c r="E5020" t="s">
        <v>12440</v>
      </c>
      <c r="F5020">
        <v>561.08000000000004</v>
      </c>
      <c r="H5020" t="s">
        <v>1869</v>
      </c>
    </row>
    <row r="5021" spans="2:8" x14ac:dyDescent="0.2">
      <c r="B5021" t="s">
        <v>1433</v>
      </c>
      <c r="C5021" t="s">
        <v>12909</v>
      </c>
      <c r="D5021" t="s">
        <v>613</v>
      </c>
      <c r="E5021" t="s">
        <v>12441</v>
      </c>
      <c r="F5021">
        <v>286</v>
      </c>
      <c r="H5021" t="s">
        <v>1609</v>
      </c>
    </row>
    <row r="5022" spans="2:8" x14ac:dyDescent="0.2">
      <c r="B5022" t="s">
        <v>1433</v>
      </c>
      <c r="C5022" t="s">
        <v>12909</v>
      </c>
      <c r="D5022" t="s">
        <v>613</v>
      </c>
      <c r="E5022" t="s">
        <v>12442</v>
      </c>
      <c r="F5022">
        <v>4500</v>
      </c>
      <c r="H5022" t="s">
        <v>1499</v>
      </c>
    </row>
    <row r="5023" spans="2:8" x14ac:dyDescent="0.2">
      <c r="B5023" t="s">
        <v>1433</v>
      </c>
      <c r="C5023" t="s">
        <v>12909</v>
      </c>
      <c r="D5023" t="s">
        <v>613</v>
      </c>
      <c r="E5023" t="s">
        <v>12443</v>
      </c>
      <c r="F5023">
        <v>138.80000000000001</v>
      </c>
      <c r="H5023" t="s">
        <v>1503</v>
      </c>
    </row>
    <row r="5024" spans="2:8" x14ac:dyDescent="0.2">
      <c r="B5024" t="s">
        <v>1433</v>
      </c>
      <c r="C5024" t="s">
        <v>12909</v>
      </c>
      <c r="D5024" t="s">
        <v>554</v>
      </c>
      <c r="E5024" t="s">
        <v>12444</v>
      </c>
      <c r="F5024">
        <v>126088</v>
      </c>
      <c r="H5024" t="s">
        <v>2285</v>
      </c>
    </row>
    <row r="5025" spans="2:8" x14ac:dyDescent="0.2">
      <c r="B5025" t="s">
        <v>1433</v>
      </c>
      <c r="C5025" t="s">
        <v>12909</v>
      </c>
      <c r="D5025" t="s">
        <v>613</v>
      </c>
      <c r="E5025" t="s">
        <v>12445</v>
      </c>
      <c r="F5025">
        <v>26.3</v>
      </c>
      <c r="H5025" t="s">
        <v>1617</v>
      </c>
    </row>
    <row r="5026" spans="2:8" x14ac:dyDescent="0.2">
      <c r="B5026" t="s">
        <v>1433</v>
      </c>
      <c r="C5026" t="s">
        <v>12909</v>
      </c>
      <c r="D5026" t="s">
        <v>613</v>
      </c>
      <c r="E5026" t="s">
        <v>12446</v>
      </c>
      <c r="F5026">
        <v>90.4</v>
      </c>
      <c r="H5026" t="s">
        <v>1243</v>
      </c>
    </row>
    <row r="5027" spans="2:8" x14ac:dyDescent="0.2">
      <c r="B5027" t="s">
        <v>1433</v>
      </c>
      <c r="C5027" t="s">
        <v>12909</v>
      </c>
      <c r="D5027" t="s">
        <v>613</v>
      </c>
      <c r="E5027" t="s">
        <v>12447</v>
      </c>
      <c r="F5027">
        <v>120.4</v>
      </c>
      <c r="H5027" t="s">
        <v>1245</v>
      </c>
    </row>
    <row r="5028" spans="2:8" x14ac:dyDescent="0.2">
      <c r="B5028" t="s">
        <v>1433</v>
      </c>
      <c r="C5028" t="s">
        <v>12909</v>
      </c>
      <c r="D5028" t="s">
        <v>613</v>
      </c>
      <c r="E5028" t="s">
        <v>12448</v>
      </c>
      <c r="F5028">
        <v>799.02</v>
      </c>
      <c r="H5028" t="s">
        <v>1565</v>
      </c>
    </row>
    <row r="5029" spans="2:8" x14ac:dyDescent="0.2">
      <c r="B5029" t="s">
        <v>1433</v>
      </c>
      <c r="C5029" t="s">
        <v>12909</v>
      </c>
      <c r="D5029" t="s">
        <v>613</v>
      </c>
      <c r="E5029" t="s">
        <v>12449</v>
      </c>
      <c r="F5029">
        <v>266.33999999999997</v>
      </c>
      <c r="H5029" t="s">
        <v>1568</v>
      </c>
    </row>
    <row r="5030" spans="2:8" x14ac:dyDescent="0.2">
      <c r="B5030" t="s">
        <v>1433</v>
      </c>
      <c r="C5030" t="s">
        <v>12909</v>
      </c>
      <c r="D5030" t="s">
        <v>613</v>
      </c>
      <c r="E5030" t="s">
        <v>12450</v>
      </c>
      <c r="F5030">
        <v>266.33999999999997</v>
      </c>
      <c r="H5030" t="s">
        <v>1933</v>
      </c>
    </row>
    <row r="5031" spans="2:8" x14ac:dyDescent="0.2">
      <c r="B5031" t="s">
        <v>1433</v>
      </c>
      <c r="C5031" t="s">
        <v>12909</v>
      </c>
      <c r="D5031" t="s">
        <v>554</v>
      </c>
      <c r="E5031" t="s">
        <v>12451</v>
      </c>
      <c r="F5031">
        <v>18448</v>
      </c>
      <c r="H5031" t="s">
        <v>2334</v>
      </c>
    </row>
    <row r="5032" spans="2:8" x14ac:dyDescent="0.2">
      <c r="B5032" t="s">
        <v>1433</v>
      </c>
      <c r="C5032" t="s">
        <v>12909</v>
      </c>
      <c r="D5032" t="s">
        <v>554</v>
      </c>
      <c r="E5032" t="s">
        <v>12452</v>
      </c>
      <c r="F5032">
        <v>78.42</v>
      </c>
      <c r="H5032" t="s">
        <v>2444</v>
      </c>
    </row>
    <row r="5033" spans="2:8" x14ac:dyDescent="0.2">
      <c r="B5033" t="s">
        <v>1433</v>
      </c>
      <c r="C5033" t="s">
        <v>12909</v>
      </c>
      <c r="D5033" t="s">
        <v>84</v>
      </c>
      <c r="E5033" t="s">
        <v>12453</v>
      </c>
      <c r="F5033">
        <v>21</v>
      </c>
      <c r="H5033" t="s">
        <v>6257</v>
      </c>
    </row>
    <row r="5034" spans="2:8" x14ac:dyDescent="0.2">
      <c r="B5034" t="s">
        <v>1433</v>
      </c>
      <c r="C5034" t="s">
        <v>12909</v>
      </c>
      <c r="D5034" t="s">
        <v>84</v>
      </c>
      <c r="E5034" t="s">
        <v>12454</v>
      </c>
      <c r="F5034">
        <v>26.71</v>
      </c>
      <c r="H5034" t="s">
        <v>3553</v>
      </c>
    </row>
    <row r="5035" spans="2:8" x14ac:dyDescent="0.2">
      <c r="B5035" t="s">
        <v>1433</v>
      </c>
      <c r="C5035" t="s">
        <v>12909</v>
      </c>
      <c r="D5035" t="s">
        <v>613</v>
      </c>
      <c r="E5035" t="s">
        <v>12455</v>
      </c>
      <c r="F5035">
        <v>17.2</v>
      </c>
      <c r="H5035" t="s">
        <v>3484</v>
      </c>
    </row>
    <row r="5036" spans="2:8" x14ac:dyDescent="0.2">
      <c r="B5036" t="s">
        <v>1433</v>
      </c>
      <c r="C5036" t="s">
        <v>12909</v>
      </c>
      <c r="D5036" t="s">
        <v>613</v>
      </c>
      <c r="E5036" t="s">
        <v>12456</v>
      </c>
      <c r="F5036">
        <v>1.26</v>
      </c>
      <c r="H5036" t="s">
        <v>3485</v>
      </c>
    </row>
    <row r="5037" spans="2:8" x14ac:dyDescent="0.2">
      <c r="B5037" t="s">
        <v>1433</v>
      </c>
      <c r="C5037" t="s">
        <v>12909</v>
      </c>
      <c r="D5037" t="s">
        <v>613</v>
      </c>
      <c r="E5037" t="s">
        <v>12457</v>
      </c>
      <c r="F5037">
        <v>3.2</v>
      </c>
      <c r="H5037" t="s">
        <v>3482</v>
      </c>
    </row>
    <row r="5038" spans="2:8" x14ac:dyDescent="0.2">
      <c r="B5038" t="s">
        <v>1433</v>
      </c>
      <c r="C5038" t="s">
        <v>12909</v>
      </c>
      <c r="D5038" t="s">
        <v>554</v>
      </c>
      <c r="E5038" t="s">
        <v>12458</v>
      </c>
      <c r="F5038">
        <v>11242</v>
      </c>
      <c r="H5038" t="s">
        <v>3256</v>
      </c>
    </row>
    <row r="5039" spans="2:8" x14ac:dyDescent="0.2">
      <c r="B5039" t="s">
        <v>1433</v>
      </c>
      <c r="C5039" t="s">
        <v>12909</v>
      </c>
      <c r="D5039" t="s">
        <v>613</v>
      </c>
      <c r="E5039" t="s">
        <v>12459</v>
      </c>
      <c r="F5039">
        <v>3348.06</v>
      </c>
      <c r="H5039" t="s">
        <v>3311</v>
      </c>
    </row>
    <row r="5040" spans="2:8" x14ac:dyDescent="0.2">
      <c r="B5040" t="s">
        <v>1433</v>
      </c>
      <c r="C5040" t="s">
        <v>12909</v>
      </c>
      <c r="D5040" t="s">
        <v>613</v>
      </c>
      <c r="E5040" t="s">
        <v>12460</v>
      </c>
      <c r="F5040">
        <v>521.1</v>
      </c>
      <c r="H5040" t="s">
        <v>1574</v>
      </c>
    </row>
    <row r="5041" spans="2:8" x14ac:dyDescent="0.2">
      <c r="B5041" t="s">
        <v>1433</v>
      </c>
      <c r="C5041" t="s">
        <v>12909</v>
      </c>
      <c r="D5041" t="s">
        <v>613</v>
      </c>
      <c r="E5041" t="s">
        <v>12461</v>
      </c>
      <c r="F5041">
        <v>260.55</v>
      </c>
      <c r="H5041" t="s">
        <v>3259</v>
      </c>
    </row>
    <row r="5042" spans="2:8" x14ac:dyDescent="0.2">
      <c r="B5042" t="s">
        <v>1433</v>
      </c>
      <c r="C5042" t="s">
        <v>12909</v>
      </c>
      <c r="D5042" t="s">
        <v>613</v>
      </c>
      <c r="E5042" t="s">
        <v>12462</v>
      </c>
      <c r="F5042">
        <v>5.84</v>
      </c>
      <c r="H5042" t="s">
        <v>1530</v>
      </c>
    </row>
    <row r="5043" spans="2:8" x14ac:dyDescent="0.2">
      <c r="B5043" t="s">
        <v>1433</v>
      </c>
      <c r="C5043" t="s">
        <v>12909</v>
      </c>
      <c r="D5043" t="s">
        <v>613</v>
      </c>
      <c r="E5043" t="s">
        <v>12463</v>
      </c>
      <c r="F5043">
        <v>8.68</v>
      </c>
      <c r="H5043" t="s">
        <v>1529</v>
      </c>
    </row>
    <row r="5044" spans="2:8" x14ac:dyDescent="0.2">
      <c r="B5044" t="s">
        <v>1433</v>
      </c>
      <c r="C5044" t="s">
        <v>12909</v>
      </c>
      <c r="D5044" t="s">
        <v>613</v>
      </c>
      <c r="E5044" t="s">
        <v>12464</v>
      </c>
      <c r="F5044">
        <v>63.08</v>
      </c>
      <c r="H5044" t="s">
        <v>1496</v>
      </c>
    </row>
    <row r="5045" spans="2:8" x14ac:dyDescent="0.2">
      <c r="B5045" t="s">
        <v>1433</v>
      </c>
      <c r="C5045" t="s">
        <v>12909</v>
      </c>
      <c r="D5045" t="s">
        <v>613</v>
      </c>
      <c r="E5045" t="s">
        <v>12465</v>
      </c>
      <c r="F5045">
        <v>109.92</v>
      </c>
      <c r="H5045" t="s">
        <v>1532</v>
      </c>
    </row>
    <row r="5046" spans="2:8" x14ac:dyDescent="0.2">
      <c r="B5046" t="s">
        <v>1433</v>
      </c>
      <c r="C5046" t="s">
        <v>12909</v>
      </c>
      <c r="D5046" t="s">
        <v>613</v>
      </c>
      <c r="E5046" t="s">
        <v>12466</v>
      </c>
      <c r="F5046">
        <v>14.26</v>
      </c>
      <c r="H5046" t="s">
        <v>1526</v>
      </c>
    </row>
    <row r="5047" spans="2:8" x14ac:dyDescent="0.2">
      <c r="B5047" t="s">
        <v>1433</v>
      </c>
      <c r="C5047" t="s">
        <v>12909</v>
      </c>
      <c r="D5047" t="s">
        <v>613</v>
      </c>
      <c r="E5047" t="s">
        <v>12467</v>
      </c>
      <c r="F5047">
        <v>8.98</v>
      </c>
      <c r="H5047" t="s">
        <v>1528</v>
      </c>
    </row>
    <row r="5048" spans="2:8" x14ac:dyDescent="0.2">
      <c r="B5048" t="s">
        <v>1433</v>
      </c>
      <c r="C5048" t="s">
        <v>12909</v>
      </c>
      <c r="D5048" t="s">
        <v>613</v>
      </c>
      <c r="E5048" t="s">
        <v>12468</v>
      </c>
      <c r="F5048">
        <v>67.8</v>
      </c>
      <c r="H5048" t="s">
        <v>1243</v>
      </c>
    </row>
    <row r="5049" spans="2:8" x14ac:dyDescent="0.2">
      <c r="B5049" t="s">
        <v>1433</v>
      </c>
      <c r="C5049" t="s">
        <v>12909</v>
      </c>
      <c r="D5049" t="s">
        <v>613</v>
      </c>
      <c r="E5049" t="s">
        <v>12469</v>
      </c>
      <c r="F5049">
        <v>120.4</v>
      </c>
      <c r="H5049" t="s">
        <v>1245</v>
      </c>
    </row>
    <row r="5050" spans="2:8" x14ac:dyDescent="0.2">
      <c r="B5050" t="s">
        <v>1433</v>
      </c>
      <c r="C5050" t="s">
        <v>12909</v>
      </c>
      <c r="D5050" t="s">
        <v>613</v>
      </c>
      <c r="E5050" t="s">
        <v>12470</v>
      </c>
      <c r="F5050">
        <v>781.65</v>
      </c>
      <c r="H5050" t="s">
        <v>1517</v>
      </c>
    </row>
    <row r="5051" spans="2:8" x14ac:dyDescent="0.2">
      <c r="B5051" t="s">
        <v>1433</v>
      </c>
      <c r="C5051" t="s">
        <v>12909</v>
      </c>
      <c r="D5051" t="s">
        <v>613</v>
      </c>
      <c r="E5051" t="s">
        <v>12471</v>
      </c>
      <c r="F5051">
        <v>799.02</v>
      </c>
      <c r="H5051" t="s">
        <v>1559</v>
      </c>
    </row>
    <row r="5052" spans="2:8" x14ac:dyDescent="0.2">
      <c r="B5052" t="s">
        <v>1433</v>
      </c>
      <c r="C5052" t="s">
        <v>12909</v>
      </c>
      <c r="D5052" t="s">
        <v>613</v>
      </c>
      <c r="E5052" t="s">
        <v>12472</v>
      </c>
      <c r="F5052">
        <v>241.25</v>
      </c>
      <c r="H5052" t="s">
        <v>1577</v>
      </c>
    </row>
    <row r="5053" spans="2:8" x14ac:dyDescent="0.2">
      <c r="B5053" t="s">
        <v>1433</v>
      </c>
      <c r="C5053" t="s">
        <v>12909</v>
      </c>
      <c r="D5053" t="s">
        <v>613</v>
      </c>
      <c r="E5053" t="s">
        <v>12473</v>
      </c>
      <c r="F5053">
        <v>68.36</v>
      </c>
      <c r="H5053" t="s">
        <v>1818</v>
      </c>
    </row>
    <row r="5054" spans="2:8" x14ac:dyDescent="0.2">
      <c r="B5054" t="s">
        <v>1433</v>
      </c>
      <c r="C5054" t="s">
        <v>12909</v>
      </c>
      <c r="D5054" t="s">
        <v>613</v>
      </c>
      <c r="E5054" t="s">
        <v>12474</v>
      </c>
      <c r="F5054">
        <v>87.96</v>
      </c>
      <c r="H5054" t="s">
        <v>1533</v>
      </c>
    </row>
    <row r="5055" spans="2:8" x14ac:dyDescent="0.2">
      <c r="B5055" t="s">
        <v>1433</v>
      </c>
      <c r="C5055" t="s">
        <v>12909</v>
      </c>
      <c r="D5055" t="s">
        <v>613</v>
      </c>
      <c r="E5055" t="s">
        <v>12475</v>
      </c>
      <c r="F5055">
        <v>6.6</v>
      </c>
      <c r="H5055" t="s">
        <v>1536</v>
      </c>
    </row>
    <row r="5056" spans="2:8" x14ac:dyDescent="0.2">
      <c r="B5056" t="s">
        <v>1433</v>
      </c>
      <c r="C5056" t="s">
        <v>12909</v>
      </c>
      <c r="D5056" t="s">
        <v>613</v>
      </c>
      <c r="E5056" t="s">
        <v>12476</v>
      </c>
      <c r="F5056">
        <v>101.08</v>
      </c>
      <c r="H5056" t="s">
        <v>1956</v>
      </c>
    </row>
    <row r="5057" spans="2:8" x14ac:dyDescent="0.2">
      <c r="B5057" t="s">
        <v>1433</v>
      </c>
      <c r="C5057" t="s">
        <v>12909</v>
      </c>
      <c r="D5057" t="s">
        <v>554</v>
      </c>
      <c r="E5057" t="s">
        <v>12477</v>
      </c>
      <c r="F5057">
        <v>6402</v>
      </c>
      <c r="H5057" t="s">
        <v>2338</v>
      </c>
    </row>
    <row r="5058" spans="2:8" x14ac:dyDescent="0.2">
      <c r="B5058" t="s">
        <v>1433</v>
      </c>
      <c r="C5058" t="s">
        <v>12909</v>
      </c>
      <c r="D5058" t="s">
        <v>554</v>
      </c>
      <c r="E5058" t="s">
        <v>12478</v>
      </c>
      <c r="F5058">
        <v>6402</v>
      </c>
      <c r="H5058" t="s">
        <v>2338</v>
      </c>
    </row>
    <row r="5059" spans="2:8" x14ac:dyDescent="0.2">
      <c r="B5059" t="s">
        <v>1433</v>
      </c>
      <c r="C5059" t="s">
        <v>12909</v>
      </c>
      <c r="D5059" t="s">
        <v>613</v>
      </c>
      <c r="E5059" t="s">
        <v>12479</v>
      </c>
      <c r="F5059">
        <v>5.84</v>
      </c>
      <c r="H5059" t="s">
        <v>1530</v>
      </c>
    </row>
    <row r="5060" spans="2:8" x14ac:dyDescent="0.2">
      <c r="B5060" t="s">
        <v>1433</v>
      </c>
      <c r="C5060" t="s">
        <v>12909</v>
      </c>
      <c r="D5060" t="s">
        <v>613</v>
      </c>
      <c r="E5060" t="s">
        <v>12480</v>
      </c>
      <c r="F5060">
        <v>8.68</v>
      </c>
      <c r="H5060" t="s">
        <v>1529</v>
      </c>
    </row>
    <row r="5061" spans="2:8" x14ac:dyDescent="0.2">
      <c r="B5061" t="s">
        <v>1433</v>
      </c>
      <c r="C5061" t="s">
        <v>12909</v>
      </c>
      <c r="D5061" t="s">
        <v>613</v>
      </c>
      <c r="E5061" t="s">
        <v>12481</v>
      </c>
      <c r="F5061">
        <v>63.08</v>
      </c>
      <c r="H5061" t="s">
        <v>1496</v>
      </c>
    </row>
    <row r="5062" spans="2:8" x14ac:dyDescent="0.2">
      <c r="B5062" t="s">
        <v>1433</v>
      </c>
      <c r="C5062" t="s">
        <v>12909</v>
      </c>
      <c r="D5062" t="s">
        <v>613</v>
      </c>
      <c r="E5062" t="s">
        <v>12482</v>
      </c>
      <c r="F5062">
        <v>109.92</v>
      </c>
      <c r="H5062" t="s">
        <v>1532</v>
      </c>
    </row>
    <row r="5063" spans="2:8" x14ac:dyDescent="0.2">
      <c r="B5063" t="s">
        <v>1433</v>
      </c>
      <c r="C5063" t="s">
        <v>12909</v>
      </c>
      <c r="D5063" t="s">
        <v>613</v>
      </c>
      <c r="E5063" t="s">
        <v>12483</v>
      </c>
      <c r="F5063">
        <v>14.26</v>
      </c>
      <c r="H5063" t="s">
        <v>1526</v>
      </c>
    </row>
    <row r="5064" spans="2:8" x14ac:dyDescent="0.2">
      <c r="B5064" t="s">
        <v>1433</v>
      </c>
      <c r="C5064" t="s">
        <v>12909</v>
      </c>
      <c r="D5064" t="s">
        <v>613</v>
      </c>
      <c r="E5064" t="s">
        <v>12484</v>
      </c>
      <c r="F5064">
        <v>8.98</v>
      </c>
      <c r="H5064" t="s">
        <v>1528</v>
      </c>
    </row>
    <row r="5065" spans="2:8" x14ac:dyDescent="0.2">
      <c r="B5065" t="s">
        <v>1433</v>
      </c>
      <c r="C5065" t="s">
        <v>12909</v>
      </c>
      <c r="D5065" t="s">
        <v>613</v>
      </c>
      <c r="E5065" t="s">
        <v>12485</v>
      </c>
      <c r="F5065">
        <v>67.8</v>
      </c>
      <c r="H5065" t="s">
        <v>1243</v>
      </c>
    </row>
    <row r="5066" spans="2:8" x14ac:dyDescent="0.2">
      <c r="B5066" t="s">
        <v>1433</v>
      </c>
      <c r="C5066" t="s">
        <v>12909</v>
      </c>
      <c r="D5066" t="s">
        <v>613</v>
      </c>
      <c r="E5066" t="s">
        <v>12486</v>
      </c>
      <c r="F5066">
        <v>120.4</v>
      </c>
      <c r="H5066" t="s">
        <v>1245</v>
      </c>
    </row>
    <row r="5067" spans="2:8" x14ac:dyDescent="0.2">
      <c r="B5067" t="s">
        <v>1433</v>
      </c>
      <c r="C5067" t="s">
        <v>12909</v>
      </c>
      <c r="D5067" t="s">
        <v>613</v>
      </c>
      <c r="E5067" t="s">
        <v>12487</v>
      </c>
      <c r="F5067">
        <v>1042.2</v>
      </c>
      <c r="H5067" t="s">
        <v>1517</v>
      </c>
    </row>
    <row r="5068" spans="2:8" x14ac:dyDescent="0.2">
      <c r="B5068" t="s">
        <v>1433</v>
      </c>
      <c r="C5068" t="s">
        <v>12909</v>
      </c>
      <c r="D5068" t="s">
        <v>613</v>
      </c>
      <c r="E5068" t="s">
        <v>12488</v>
      </c>
      <c r="F5068">
        <v>532.67999999999995</v>
      </c>
      <c r="H5068" t="s">
        <v>1559</v>
      </c>
    </row>
    <row r="5069" spans="2:8" x14ac:dyDescent="0.2">
      <c r="B5069" t="s">
        <v>1433</v>
      </c>
      <c r="C5069" t="s">
        <v>12909</v>
      </c>
      <c r="D5069" t="s">
        <v>613</v>
      </c>
      <c r="E5069" t="s">
        <v>12489</v>
      </c>
      <c r="F5069">
        <v>241.25</v>
      </c>
      <c r="H5069" t="s">
        <v>1577</v>
      </c>
    </row>
    <row r="5070" spans="2:8" x14ac:dyDescent="0.2">
      <c r="B5070" t="s">
        <v>1433</v>
      </c>
      <c r="C5070" t="s">
        <v>12909</v>
      </c>
      <c r="D5070" t="s">
        <v>613</v>
      </c>
      <c r="E5070" t="s">
        <v>12490</v>
      </c>
      <c r="F5070">
        <v>68.36</v>
      </c>
      <c r="H5070" t="s">
        <v>1818</v>
      </c>
    </row>
    <row r="5071" spans="2:8" x14ac:dyDescent="0.2">
      <c r="B5071" t="s">
        <v>1433</v>
      </c>
      <c r="C5071" t="s">
        <v>12909</v>
      </c>
      <c r="D5071" t="s">
        <v>613</v>
      </c>
      <c r="E5071" t="s">
        <v>12491</v>
      </c>
      <c r="F5071">
        <v>87.96</v>
      </c>
      <c r="H5071" t="s">
        <v>1533</v>
      </c>
    </row>
    <row r="5072" spans="2:8" x14ac:dyDescent="0.2">
      <c r="B5072" t="s">
        <v>1433</v>
      </c>
      <c r="C5072" t="s">
        <v>12909</v>
      </c>
      <c r="D5072" t="s">
        <v>613</v>
      </c>
      <c r="E5072" t="s">
        <v>12492</v>
      </c>
      <c r="F5072">
        <v>101.08</v>
      </c>
      <c r="H5072" t="s">
        <v>1956</v>
      </c>
    </row>
    <row r="5073" spans="2:8" x14ac:dyDescent="0.2">
      <c r="B5073" t="s">
        <v>1433</v>
      </c>
      <c r="C5073" t="s">
        <v>12909</v>
      </c>
      <c r="D5073" t="s">
        <v>554</v>
      </c>
      <c r="E5073" t="s">
        <v>12493</v>
      </c>
      <c r="F5073">
        <v>6720</v>
      </c>
      <c r="H5073" t="s">
        <v>2339</v>
      </c>
    </row>
    <row r="5074" spans="2:8" x14ac:dyDescent="0.2">
      <c r="B5074" t="s">
        <v>1433</v>
      </c>
      <c r="C5074" t="s">
        <v>12909</v>
      </c>
      <c r="D5074" t="s">
        <v>554</v>
      </c>
      <c r="E5074" t="s">
        <v>12494</v>
      </c>
      <c r="F5074">
        <v>6720</v>
      </c>
      <c r="H5074" t="s">
        <v>2339</v>
      </c>
    </row>
    <row r="5075" spans="2:8" x14ac:dyDescent="0.2">
      <c r="B5075" t="s">
        <v>1433</v>
      </c>
      <c r="C5075" t="s">
        <v>12909</v>
      </c>
      <c r="D5075" t="s">
        <v>613</v>
      </c>
      <c r="E5075" t="s">
        <v>12495</v>
      </c>
      <c r="F5075">
        <v>43.44</v>
      </c>
      <c r="H5075" t="s">
        <v>1691</v>
      </c>
    </row>
    <row r="5076" spans="2:8" x14ac:dyDescent="0.2">
      <c r="B5076" t="s">
        <v>1433</v>
      </c>
      <c r="C5076" t="s">
        <v>12909</v>
      </c>
      <c r="D5076" t="s">
        <v>613</v>
      </c>
      <c r="E5076" t="s">
        <v>12496</v>
      </c>
      <c r="F5076">
        <v>36.28</v>
      </c>
      <c r="H5076" t="s">
        <v>1692</v>
      </c>
    </row>
    <row r="5077" spans="2:8" x14ac:dyDescent="0.2">
      <c r="B5077" t="s">
        <v>1433</v>
      </c>
      <c r="C5077" t="s">
        <v>12909</v>
      </c>
      <c r="D5077" t="s">
        <v>613</v>
      </c>
      <c r="E5077" t="s">
        <v>12497</v>
      </c>
      <c r="F5077">
        <v>17.36</v>
      </c>
      <c r="H5077" t="s">
        <v>1529</v>
      </c>
    </row>
    <row r="5078" spans="2:8" x14ac:dyDescent="0.2">
      <c r="B5078" t="s">
        <v>1433</v>
      </c>
      <c r="C5078" t="s">
        <v>12909</v>
      </c>
      <c r="D5078" t="s">
        <v>613</v>
      </c>
      <c r="E5078" t="s">
        <v>12498</v>
      </c>
      <c r="F5078">
        <v>63.14</v>
      </c>
      <c r="H5078" t="s">
        <v>1498</v>
      </c>
    </row>
    <row r="5079" spans="2:8" x14ac:dyDescent="0.2">
      <c r="B5079" t="s">
        <v>1433</v>
      </c>
      <c r="C5079" t="s">
        <v>12909</v>
      </c>
      <c r="D5079" t="s">
        <v>613</v>
      </c>
      <c r="E5079" t="s">
        <v>12499</v>
      </c>
      <c r="F5079">
        <v>67.8</v>
      </c>
      <c r="H5079" t="s">
        <v>1243</v>
      </c>
    </row>
    <row r="5080" spans="2:8" x14ac:dyDescent="0.2">
      <c r="B5080" t="s">
        <v>1433</v>
      </c>
      <c r="C5080" t="s">
        <v>12909</v>
      </c>
      <c r="D5080" t="s">
        <v>613</v>
      </c>
      <c r="E5080" t="s">
        <v>12500</v>
      </c>
      <c r="F5080">
        <v>120.4</v>
      </c>
      <c r="H5080" t="s">
        <v>1245</v>
      </c>
    </row>
    <row r="5081" spans="2:8" x14ac:dyDescent="0.2">
      <c r="B5081" t="s">
        <v>1433</v>
      </c>
      <c r="C5081" t="s">
        <v>12909</v>
      </c>
      <c r="D5081" t="s">
        <v>613</v>
      </c>
      <c r="E5081" t="s">
        <v>12501</v>
      </c>
      <c r="F5081">
        <v>1042.2</v>
      </c>
      <c r="H5081" t="s">
        <v>1517</v>
      </c>
    </row>
    <row r="5082" spans="2:8" x14ac:dyDescent="0.2">
      <c r="B5082" t="s">
        <v>1433</v>
      </c>
      <c r="C5082" t="s">
        <v>12909</v>
      </c>
      <c r="D5082" t="s">
        <v>613</v>
      </c>
      <c r="E5082" t="s">
        <v>12502</v>
      </c>
      <c r="F5082">
        <v>133.16999999999999</v>
      </c>
      <c r="H5082" t="s">
        <v>1569</v>
      </c>
    </row>
    <row r="5083" spans="2:8" x14ac:dyDescent="0.2">
      <c r="B5083" t="s">
        <v>1433</v>
      </c>
      <c r="C5083" t="s">
        <v>12909</v>
      </c>
      <c r="D5083" t="s">
        <v>613</v>
      </c>
      <c r="E5083" t="s">
        <v>12503</v>
      </c>
      <c r="F5083">
        <v>-133.16999999999999</v>
      </c>
      <c r="H5083" t="s">
        <v>1569</v>
      </c>
    </row>
    <row r="5084" spans="2:8" x14ac:dyDescent="0.2">
      <c r="B5084" t="s">
        <v>1433</v>
      </c>
      <c r="C5084" t="s">
        <v>12909</v>
      </c>
      <c r="D5084" t="s">
        <v>613</v>
      </c>
      <c r="E5084" t="s">
        <v>12504</v>
      </c>
      <c r="F5084">
        <v>133.16999999999999</v>
      </c>
      <c r="H5084" t="s">
        <v>1569</v>
      </c>
    </row>
    <row r="5085" spans="2:8" x14ac:dyDescent="0.2">
      <c r="B5085" t="s">
        <v>1433</v>
      </c>
      <c r="C5085" t="s">
        <v>12909</v>
      </c>
      <c r="D5085" t="s">
        <v>613</v>
      </c>
      <c r="E5085" t="s">
        <v>12505</v>
      </c>
      <c r="F5085">
        <v>133.16999999999999</v>
      </c>
      <c r="H5085" t="s">
        <v>1569</v>
      </c>
    </row>
    <row r="5086" spans="2:8" x14ac:dyDescent="0.2">
      <c r="B5086" t="s">
        <v>1433</v>
      </c>
      <c r="C5086" t="s">
        <v>12909</v>
      </c>
      <c r="D5086" t="s">
        <v>613</v>
      </c>
      <c r="E5086" t="s">
        <v>12506</v>
      </c>
      <c r="F5086">
        <v>482.5</v>
      </c>
      <c r="H5086" t="s">
        <v>1577</v>
      </c>
    </row>
    <row r="5087" spans="2:8" x14ac:dyDescent="0.2">
      <c r="B5087" t="s">
        <v>1433</v>
      </c>
      <c r="C5087" t="s">
        <v>12909</v>
      </c>
      <c r="D5087" t="s">
        <v>613</v>
      </c>
      <c r="E5087" t="s">
        <v>12507</v>
      </c>
      <c r="F5087">
        <v>175.92</v>
      </c>
      <c r="H5087" t="s">
        <v>1533</v>
      </c>
    </row>
    <row r="5088" spans="2:8" x14ac:dyDescent="0.2">
      <c r="B5088" t="s">
        <v>1433</v>
      </c>
      <c r="C5088" t="s">
        <v>12909</v>
      </c>
      <c r="D5088" t="s">
        <v>613</v>
      </c>
      <c r="E5088" t="s">
        <v>12508</v>
      </c>
      <c r="F5088">
        <v>136.72</v>
      </c>
      <c r="H5088" t="s">
        <v>1908</v>
      </c>
    </row>
    <row r="5089" spans="2:8" x14ac:dyDescent="0.2">
      <c r="B5089" t="s">
        <v>1433</v>
      </c>
      <c r="C5089" t="s">
        <v>12909</v>
      </c>
      <c r="D5089" t="s">
        <v>613</v>
      </c>
      <c r="E5089" t="s">
        <v>12509</v>
      </c>
      <c r="F5089">
        <v>43.2</v>
      </c>
      <c r="H5089" t="s">
        <v>1501</v>
      </c>
    </row>
    <row r="5090" spans="2:8" x14ac:dyDescent="0.2">
      <c r="B5090" t="s">
        <v>1433</v>
      </c>
      <c r="C5090" t="s">
        <v>12909</v>
      </c>
      <c r="D5090" t="s">
        <v>613</v>
      </c>
      <c r="E5090" t="s">
        <v>12510</v>
      </c>
      <c r="F5090">
        <v>133.16999999999999</v>
      </c>
      <c r="H5090" t="s">
        <v>2160</v>
      </c>
    </row>
    <row r="5091" spans="2:8" x14ac:dyDescent="0.2">
      <c r="B5091" t="s">
        <v>1433</v>
      </c>
      <c r="C5091" t="s">
        <v>12909</v>
      </c>
      <c r="D5091" t="s">
        <v>613</v>
      </c>
      <c r="E5091" t="s">
        <v>12511</v>
      </c>
      <c r="F5091">
        <v>133.16999999999999</v>
      </c>
      <c r="H5091" t="s">
        <v>2161</v>
      </c>
    </row>
    <row r="5092" spans="2:8" x14ac:dyDescent="0.2">
      <c r="B5092" t="s">
        <v>1433</v>
      </c>
      <c r="C5092" t="s">
        <v>12909</v>
      </c>
      <c r="D5092" t="s">
        <v>613</v>
      </c>
      <c r="E5092" t="s">
        <v>12512</v>
      </c>
      <c r="F5092">
        <v>101.08</v>
      </c>
      <c r="H5092" t="s">
        <v>1956</v>
      </c>
    </row>
    <row r="5093" spans="2:8" x14ac:dyDescent="0.2">
      <c r="B5093" t="s">
        <v>1433</v>
      </c>
      <c r="C5093" t="s">
        <v>12909</v>
      </c>
      <c r="D5093" t="s">
        <v>554</v>
      </c>
      <c r="E5093" t="s">
        <v>12513</v>
      </c>
      <c r="F5093">
        <v>16390</v>
      </c>
      <c r="H5093" t="s">
        <v>2359</v>
      </c>
    </row>
    <row r="5094" spans="2:8" x14ac:dyDescent="0.2">
      <c r="B5094" t="s">
        <v>1433</v>
      </c>
      <c r="C5094" t="s">
        <v>12909</v>
      </c>
      <c r="D5094" t="s">
        <v>613</v>
      </c>
      <c r="E5094" t="s">
        <v>12514</v>
      </c>
      <c r="F5094">
        <v>109.92</v>
      </c>
      <c r="H5094" t="s">
        <v>1532</v>
      </c>
    </row>
    <row r="5095" spans="2:8" x14ac:dyDescent="0.2">
      <c r="B5095" t="s">
        <v>1433</v>
      </c>
      <c r="C5095" t="s">
        <v>12909</v>
      </c>
      <c r="D5095" t="s">
        <v>613</v>
      </c>
      <c r="E5095" t="s">
        <v>12515</v>
      </c>
      <c r="F5095">
        <v>16.850000000000001</v>
      </c>
      <c r="H5095" t="s">
        <v>5286</v>
      </c>
    </row>
    <row r="5096" spans="2:8" x14ac:dyDescent="0.2">
      <c r="B5096" t="s">
        <v>1433</v>
      </c>
      <c r="C5096" t="s">
        <v>12909</v>
      </c>
      <c r="D5096" t="s">
        <v>613</v>
      </c>
      <c r="E5096" t="s">
        <v>12516</v>
      </c>
      <c r="F5096">
        <v>21.72</v>
      </c>
      <c r="H5096" t="s">
        <v>1691</v>
      </c>
    </row>
    <row r="5097" spans="2:8" x14ac:dyDescent="0.2">
      <c r="B5097" t="s">
        <v>1433</v>
      </c>
      <c r="C5097" t="s">
        <v>12909</v>
      </c>
      <c r="D5097" t="s">
        <v>613</v>
      </c>
      <c r="E5097" t="s">
        <v>12517</v>
      </c>
      <c r="F5097">
        <v>18.14</v>
      </c>
      <c r="H5097" t="s">
        <v>1692</v>
      </c>
    </row>
    <row r="5098" spans="2:8" x14ac:dyDescent="0.2">
      <c r="B5098" t="s">
        <v>1433</v>
      </c>
      <c r="C5098" t="s">
        <v>12909</v>
      </c>
      <c r="D5098" t="s">
        <v>613</v>
      </c>
      <c r="E5098" t="s">
        <v>12518</v>
      </c>
      <c r="F5098">
        <v>478.58</v>
      </c>
      <c r="H5098" t="s">
        <v>1875</v>
      </c>
    </row>
    <row r="5099" spans="2:8" x14ac:dyDescent="0.2">
      <c r="B5099" t="s">
        <v>1433</v>
      </c>
      <c r="C5099" t="s">
        <v>12909</v>
      </c>
      <c r="D5099" t="s">
        <v>613</v>
      </c>
      <c r="E5099" t="s">
        <v>12519</v>
      </c>
      <c r="F5099">
        <v>109.92</v>
      </c>
      <c r="H5099" t="s">
        <v>1532</v>
      </c>
    </row>
    <row r="5100" spans="2:8" x14ac:dyDescent="0.2">
      <c r="B5100" t="s">
        <v>1433</v>
      </c>
      <c r="C5100" t="s">
        <v>12909</v>
      </c>
      <c r="D5100" t="s">
        <v>613</v>
      </c>
      <c r="E5100" t="s">
        <v>12520</v>
      </c>
      <c r="F5100">
        <v>339</v>
      </c>
      <c r="H5100" t="s">
        <v>1243</v>
      </c>
    </row>
    <row r="5101" spans="2:8" x14ac:dyDescent="0.2">
      <c r="B5101" t="s">
        <v>1433</v>
      </c>
      <c r="C5101" t="s">
        <v>12909</v>
      </c>
      <c r="D5101" t="s">
        <v>613</v>
      </c>
      <c r="E5101" t="s">
        <v>12521</v>
      </c>
      <c r="F5101">
        <v>451.5</v>
      </c>
      <c r="H5101" t="s">
        <v>1245</v>
      </c>
    </row>
    <row r="5102" spans="2:8" x14ac:dyDescent="0.2">
      <c r="B5102" t="s">
        <v>1433</v>
      </c>
      <c r="C5102" t="s">
        <v>12909</v>
      </c>
      <c r="D5102" t="s">
        <v>613</v>
      </c>
      <c r="E5102" t="s">
        <v>12522</v>
      </c>
      <c r="F5102">
        <v>260.55</v>
      </c>
      <c r="H5102" t="s">
        <v>1517</v>
      </c>
    </row>
    <row r="5103" spans="2:8" x14ac:dyDescent="0.2">
      <c r="B5103" t="s">
        <v>1433</v>
      </c>
      <c r="C5103" t="s">
        <v>12909</v>
      </c>
      <c r="D5103" t="s">
        <v>613</v>
      </c>
      <c r="E5103" t="s">
        <v>12523</v>
      </c>
      <c r="F5103">
        <v>266.33999999999997</v>
      </c>
      <c r="H5103" t="s">
        <v>1565</v>
      </c>
    </row>
    <row r="5104" spans="2:8" x14ac:dyDescent="0.2">
      <c r="B5104" t="s">
        <v>1433</v>
      </c>
      <c r="C5104" t="s">
        <v>12909</v>
      </c>
      <c r="D5104" t="s">
        <v>613</v>
      </c>
      <c r="E5104" t="s">
        <v>12524</v>
      </c>
      <c r="F5104">
        <v>532.67999999999995</v>
      </c>
      <c r="H5104" t="s">
        <v>1568</v>
      </c>
    </row>
    <row r="5105" spans="2:8" x14ac:dyDescent="0.2">
      <c r="B5105" t="s">
        <v>1433</v>
      </c>
      <c r="C5105" t="s">
        <v>12909</v>
      </c>
      <c r="D5105" t="s">
        <v>613</v>
      </c>
      <c r="E5105" t="s">
        <v>12525</v>
      </c>
      <c r="F5105">
        <v>101.08</v>
      </c>
      <c r="H5105" t="s">
        <v>1956</v>
      </c>
    </row>
    <row r="5106" spans="2:8" x14ac:dyDescent="0.2">
      <c r="B5106" t="s">
        <v>1433</v>
      </c>
      <c r="C5106" t="s">
        <v>12909</v>
      </c>
      <c r="D5106" t="s">
        <v>613</v>
      </c>
      <c r="E5106" t="s">
        <v>12526</v>
      </c>
      <c r="F5106">
        <v>142.52000000000001</v>
      </c>
      <c r="H5106" t="s">
        <v>1955</v>
      </c>
    </row>
    <row r="5107" spans="2:8" x14ac:dyDescent="0.2">
      <c r="B5107" t="s">
        <v>1433</v>
      </c>
      <c r="C5107" t="s">
        <v>12909</v>
      </c>
      <c r="D5107" t="s">
        <v>613</v>
      </c>
      <c r="E5107" t="s">
        <v>12527</v>
      </c>
      <c r="F5107">
        <v>77.2</v>
      </c>
      <c r="H5107" t="s">
        <v>2210</v>
      </c>
    </row>
    <row r="5108" spans="2:8" x14ac:dyDescent="0.2">
      <c r="B5108" t="s">
        <v>1433</v>
      </c>
      <c r="C5108" t="s">
        <v>12909</v>
      </c>
      <c r="D5108" t="s">
        <v>613</v>
      </c>
      <c r="E5108" t="s">
        <v>12528</v>
      </c>
      <c r="F5108">
        <v>1065.3599999999999</v>
      </c>
      <c r="H5108" t="s">
        <v>2211</v>
      </c>
    </row>
    <row r="5109" spans="2:8" x14ac:dyDescent="0.2">
      <c r="B5109" t="s">
        <v>1433</v>
      </c>
      <c r="C5109" t="s">
        <v>12909</v>
      </c>
      <c r="D5109" t="s">
        <v>554</v>
      </c>
      <c r="E5109" t="s">
        <v>12529</v>
      </c>
      <c r="F5109">
        <v>21400</v>
      </c>
      <c r="H5109" t="s">
        <v>2427</v>
      </c>
    </row>
    <row r="5110" spans="2:8" x14ac:dyDescent="0.2">
      <c r="B5110" t="s">
        <v>1433</v>
      </c>
      <c r="C5110" t="s">
        <v>12909</v>
      </c>
      <c r="D5110" t="s">
        <v>554</v>
      </c>
      <c r="E5110" t="s">
        <v>12530</v>
      </c>
      <c r="F5110">
        <v>78.42</v>
      </c>
      <c r="H5110" t="s">
        <v>2444</v>
      </c>
    </row>
    <row r="5111" spans="2:8" x14ac:dyDescent="0.2">
      <c r="B5111" t="s">
        <v>1433</v>
      </c>
      <c r="C5111" t="s">
        <v>12909</v>
      </c>
      <c r="D5111" t="s">
        <v>84</v>
      </c>
      <c r="E5111" t="s">
        <v>12531</v>
      </c>
      <c r="F5111">
        <v>21</v>
      </c>
      <c r="H5111" t="s">
        <v>6257</v>
      </c>
    </row>
    <row r="5112" spans="2:8" x14ac:dyDescent="0.2">
      <c r="B5112" t="s">
        <v>1433</v>
      </c>
      <c r="C5112" t="s">
        <v>12909</v>
      </c>
      <c r="D5112" t="s">
        <v>84</v>
      </c>
      <c r="E5112" t="s">
        <v>12532</v>
      </c>
      <c r="F5112">
        <v>26.71</v>
      </c>
      <c r="H5112" t="s">
        <v>3553</v>
      </c>
    </row>
    <row r="5113" spans="2:8" x14ac:dyDescent="0.2">
      <c r="B5113" t="s">
        <v>1433</v>
      </c>
      <c r="C5113" t="s">
        <v>12909</v>
      </c>
      <c r="D5113" t="s">
        <v>613</v>
      </c>
      <c r="E5113" t="s">
        <v>12533</v>
      </c>
      <c r="F5113">
        <v>17.2</v>
      </c>
      <c r="H5113" t="s">
        <v>3484</v>
      </c>
    </row>
    <row r="5114" spans="2:8" x14ac:dyDescent="0.2">
      <c r="B5114" t="s">
        <v>1433</v>
      </c>
      <c r="C5114" t="s">
        <v>12909</v>
      </c>
      <c r="D5114" t="s">
        <v>613</v>
      </c>
      <c r="E5114" t="s">
        <v>12534</v>
      </c>
      <c r="F5114">
        <v>1.26</v>
      </c>
      <c r="H5114" t="s">
        <v>3485</v>
      </c>
    </row>
    <row r="5115" spans="2:8" x14ac:dyDescent="0.2">
      <c r="B5115" t="s">
        <v>1433</v>
      </c>
      <c r="C5115" t="s">
        <v>12909</v>
      </c>
      <c r="D5115" t="s">
        <v>613</v>
      </c>
      <c r="E5115" t="s">
        <v>12535</v>
      </c>
      <c r="F5115">
        <v>3.2</v>
      </c>
      <c r="H5115" t="s">
        <v>3482</v>
      </c>
    </row>
    <row r="5116" spans="2:8" x14ac:dyDescent="0.2">
      <c r="B5116" t="s">
        <v>1433</v>
      </c>
      <c r="C5116" t="s">
        <v>12909</v>
      </c>
      <c r="D5116" t="s">
        <v>554</v>
      </c>
      <c r="E5116" t="s">
        <v>12536</v>
      </c>
      <c r="F5116">
        <v>2501</v>
      </c>
      <c r="H5116" t="s">
        <v>3260</v>
      </c>
    </row>
    <row r="5117" spans="2:8" x14ac:dyDescent="0.2">
      <c r="B5117" t="s">
        <v>1433</v>
      </c>
      <c r="C5117" t="s">
        <v>12909</v>
      </c>
      <c r="D5117" t="s">
        <v>613</v>
      </c>
      <c r="E5117" t="s">
        <v>12537</v>
      </c>
      <c r="F5117">
        <v>521.1</v>
      </c>
      <c r="H5117" t="s">
        <v>1574</v>
      </c>
    </row>
    <row r="5118" spans="2:8" x14ac:dyDescent="0.2">
      <c r="B5118" t="s">
        <v>1433</v>
      </c>
      <c r="C5118" t="s">
        <v>12909</v>
      </c>
      <c r="D5118" t="s">
        <v>613</v>
      </c>
      <c r="E5118" t="s">
        <v>12538</v>
      </c>
      <c r="F5118">
        <v>-521.1</v>
      </c>
      <c r="H5118" t="s">
        <v>1574</v>
      </c>
    </row>
    <row r="5119" spans="2:8" x14ac:dyDescent="0.2">
      <c r="B5119" t="s">
        <v>1433</v>
      </c>
      <c r="C5119" t="s">
        <v>12909</v>
      </c>
      <c r="D5119" t="s">
        <v>613</v>
      </c>
      <c r="E5119" t="s">
        <v>12539</v>
      </c>
      <c r="F5119">
        <v>521.1</v>
      </c>
      <c r="H5119" t="s">
        <v>1574</v>
      </c>
    </row>
    <row r="5120" spans="2:8" x14ac:dyDescent="0.2">
      <c r="B5120" t="s">
        <v>1433</v>
      </c>
      <c r="C5120" t="s">
        <v>12909</v>
      </c>
      <c r="D5120" t="s">
        <v>613</v>
      </c>
      <c r="E5120" t="s">
        <v>12540</v>
      </c>
      <c r="F5120">
        <v>521.1</v>
      </c>
      <c r="H5120" t="s">
        <v>1574</v>
      </c>
    </row>
    <row r="5121" spans="2:8" x14ac:dyDescent="0.2">
      <c r="B5121" t="s">
        <v>1433</v>
      </c>
      <c r="C5121" t="s">
        <v>12909</v>
      </c>
      <c r="D5121" t="s">
        <v>613</v>
      </c>
      <c r="E5121" t="s">
        <v>12541</v>
      </c>
      <c r="F5121">
        <v>3348.06</v>
      </c>
      <c r="H5121" t="s">
        <v>3311</v>
      </c>
    </row>
    <row r="5122" spans="2:8" x14ac:dyDescent="0.2">
      <c r="B5122" t="s">
        <v>1433</v>
      </c>
      <c r="C5122" t="s">
        <v>12909</v>
      </c>
      <c r="D5122" t="s">
        <v>613</v>
      </c>
      <c r="E5122" t="s">
        <v>12542</v>
      </c>
      <c r="F5122">
        <v>67.8</v>
      </c>
      <c r="H5122" t="s">
        <v>1243</v>
      </c>
    </row>
    <row r="5123" spans="2:8" x14ac:dyDescent="0.2">
      <c r="B5123" t="s">
        <v>1433</v>
      </c>
      <c r="C5123" t="s">
        <v>12909</v>
      </c>
      <c r="D5123" t="s">
        <v>613</v>
      </c>
      <c r="E5123" t="s">
        <v>12543</v>
      </c>
      <c r="F5123">
        <v>90.3</v>
      </c>
      <c r="H5123" t="s">
        <v>1245</v>
      </c>
    </row>
    <row r="5124" spans="2:8" x14ac:dyDescent="0.2">
      <c r="B5124" t="s">
        <v>1433</v>
      </c>
      <c r="C5124" t="s">
        <v>12909</v>
      </c>
      <c r="D5124" t="s">
        <v>613</v>
      </c>
      <c r="E5124" t="s">
        <v>12544</v>
      </c>
      <c r="F5124">
        <v>675</v>
      </c>
      <c r="H5124" t="s">
        <v>1330</v>
      </c>
    </row>
    <row r="5125" spans="2:8" x14ac:dyDescent="0.2">
      <c r="B5125" t="s">
        <v>1433</v>
      </c>
      <c r="C5125" t="s">
        <v>12909</v>
      </c>
      <c r="D5125" t="s">
        <v>613</v>
      </c>
      <c r="E5125" t="s">
        <v>12545</v>
      </c>
      <c r="F5125">
        <v>1042.2</v>
      </c>
      <c r="H5125" t="s">
        <v>1517</v>
      </c>
    </row>
    <row r="5126" spans="2:8" x14ac:dyDescent="0.2">
      <c r="B5126" t="s">
        <v>1433</v>
      </c>
      <c r="C5126" t="s">
        <v>12909</v>
      </c>
      <c r="D5126" t="s">
        <v>613</v>
      </c>
      <c r="E5126" t="s">
        <v>12546</v>
      </c>
      <c r="F5126">
        <v>482.5</v>
      </c>
      <c r="H5126" t="s">
        <v>1577</v>
      </c>
    </row>
    <row r="5127" spans="2:8" x14ac:dyDescent="0.2">
      <c r="B5127" t="s">
        <v>1433</v>
      </c>
      <c r="C5127" t="s">
        <v>12909</v>
      </c>
      <c r="D5127" t="s">
        <v>613</v>
      </c>
      <c r="E5127" t="s">
        <v>12547</v>
      </c>
      <c r="F5127">
        <v>2.25</v>
      </c>
      <c r="H5127" t="s">
        <v>1536</v>
      </c>
    </row>
    <row r="5128" spans="2:8" x14ac:dyDescent="0.2">
      <c r="B5128" t="s">
        <v>1433</v>
      </c>
      <c r="C5128" t="s">
        <v>12909</v>
      </c>
      <c r="D5128" t="s">
        <v>613</v>
      </c>
      <c r="E5128" t="s">
        <v>12548</v>
      </c>
      <c r="F5128">
        <v>77.2</v>
      </c>
      <c r="H5128" t="s">
        <v>1927</v>
      </c>
    </row>
    <row r="5129" spans="2:8" x14ac:dyDescent="0.2">
      <c r="B5129" t="s">
        <v>1433</v>
      </c>
      <c r="C5129" t="s">
        <v>12909</v>
      </c>
      <c r="D5129" t="s">
        <v>613</v>
      </c>
      <c r="E5129" t="s">
        <v>12549</v>
      </c>
      <c r="F5129">
        <v>77.2</v>
      </c>
      <c r="H5129" t="s">
        <v>1927</v>
      </c>
    </row>
    <row r="5130" spans="2:8" x14ac:dyDescent="0.2">
      <c r="B5130" t="s">
        <v>1433</v>
      </c>
      <c r="C5130" t="s">
        <v>12909</v>
      </c>
      <c r="D5130" t="s">
        <v>613</v>
      </c>
      <c r="E5130" t="s">
        <v>12550</v>
      </c>
      <c r="F5130">
        <v>77.2</v>
      </c>
      <c r="H5130" t="s">
        <v>1929</v>
      </c>
    </row>
    <row r="5131" spans="2:8" x14ac:dyDescent="0.2">
      <c r="B5131" t="s">
        <v>1433</v>
      </c>
      <c r="C5131" t="s">
        <v>12909</v>
      </c>
      <c r="D5131" t="s">
        <v>613</v>
      </c>
      <c r="E5131" t="s">
        <v>12551</v>
      </c>
      <c r="F5131">
        <v>77.2</v>
      </c>
      <c r="H5131" t="s">
        <v>1929</v>
      </c>
    </row>
    <row r="5132" spans="2:8" x14ac:dyDescent="0.2">
      <c r="B5132" t="s">
        <v>1433</v>
      </c>
      <c r="C5132" t="s">
        <v>12909</v>
      </c>
      <c r="D5132" t="s">
        <v>554</v>
      </c>
      <c r="E5132" t="s">
        <v>12552</v>
      </c>
      <c r="F5132">
        <v>7066</v>
      </c>
      <c r="H5132" t="s">
        <v>2492</v>
      </c>
    </row>
    <row r="5133" spans="2:8" x14ac:dyDescent="0.2">
      <c r="B5133" t="s">
        <v>1433</v>
      </c>
      <c r="C5133" t="s">
        <v>12909</v>
      </c>
      <c r="D5133" t="s">
        <v>613</v>
      </c>
      <c r="E5133" t="s">
        <v>12553</v>
      </c>
      <c r="F5133">
        <v>90.4</v>
      </c>
      <c r="H5133" t="s">
        <v>1243</v>
      </c>
    </row>
    <row r="5134" spans="2:8" x14ac:dyDescent="0.2">
      <c r="B5134" t="s">
        <v>1433</v>
      </c>
      <c r="C5134" t="s">
        <v>12909</v>
      </c>
      <c r="D5134" t="s">
        <v>613</v>
      </c>
      <c r="E5134" t="s">
        <v>12554</v>
      </c>
      <c r="F5134">
        <v>120.4</v>
      </c>
      <c r="H5134" t="s">
        <v>1245</v>
      </c>
    </row>
    <row r="5135" spans="2:8" x14ac:dyDescent="0.2">
      <c r="B5135" t="s">
        <v>1433</v>
      </c>
      <c r="C5135" t="s">
        <v>12909</v>
      </c>
      <c r="D5135" t="s">
        <v>613</v>
      </c>
      <c r="E5135" t="s">
        <v>12555</v>
      </c>
      <c r="F5135">
        <v>450</v>
      </c>
      <c r="H5135" t="s">
        <v>1330</v>
      </c>
    </row>
    <row r="5136" spans="2:8" x14ac:dyDescent="0.2">
      <c r="B5136" t="s">
        <v>1433</v>
      </c>
      <c r="C5136" t="s">
        <v>12909</v>
      </c>
      <c r="D5136" t="s">
        <v>613</v>
      </c>
      <c r="E5136" t="s">
        <v>12556</v>
      </c>
      <c r="F5136">
        <v>1042.2</v>
      </c>
      <c r="H5136" t="s">
        <v>1517</v>
      </c>
    </row>
    <row r="5137" spans="2:8" x14ac:dyDescent="0.2">
      <c r="B5137" t="s">
        <v>1433</v>
      </c>
      <c r="C5137" t="s">
        <v>12909</v>
      </c>
      <c r="D5137" t="s">
        <v>613</v>
      </c>
      <c r="E5137" t="s">
        <v>12557</v>
      </c>
      <c r="F5137">
        <v>965</v>
      </c>
      <c r="H5137" t="s">
        <v>1577</v>
      </c>
    </row>
    <row r="5138" spans="2:8" x14ac:dyDescent="0.2">
      <c r="B5138" t="s">
        <v>1433</v>
      </c>
      <c r="C5138" t="s">
        <v>12909</v>
      </c>
      <c r="D5138" t="s">
        <v>613</v>
      </c>
      <c r="E5138" t="s">
        <v>12558</v>
      </c>
      <c r="F5138">
        <v>3.75</v>
      </c>
      <c r="H5138" t="s">
        <v>1536</v>
      </c>
    </row>
    <row r="5139" spans="2:8" x14ac:dyDescent="0.2">
      <c r="B5139" t="s">
        <v>1433</v>
      </c>
      <c r="C5139" t="s">
        <v>12909</v>
      </c>
      <c r="D5139" t="s">
        <v>613</v>
      </c>
      <c r="E5139" t="s">
        <v>12559</v>
      </c>
      <c r="F5139">
        <v>77.2</v>
      </c>
      <c r="H5139" t="s">
        <v>1927</v>
      </c>
    </row>
    <row r="5140" spans="2:8" x14ac:dyDescent="0.2">
      <c r="B5140" t="s">
        <v>1433</v>
      </c>
      <c r="C5140" t="s">
        <v>12909</v>
      </c>
      <c r="D5140" t="s">
        <v>613</v>
      </c>
      <c r="E5140" t="s">
        <v>12560</v>
      </c>
      <c r="F5140">
        <v>38.6</v>
      </c>
      <c r="H5140" t="s">
        <v>1927</v>
      </c>
    </row>
    <row r="5141" spans="2:8" x14ac:dyDescent="0.2">
      <c r="B5141" t="s">
        <v>1433</v>
      </c>
      <c r="C5141" t="s">
        <v>12909</v>
      </c>
      <c r="D5141" t="s">
        <v>613</v>
      </c>
      <c r="E5141" t="s">
        <v>12561</v>
      </c>
      <c r="F5141">
        <v>77.2</v>
      </c>
      <c r="H5141" t="s">
        <v>1929</v>
      </c>
    </row>
    <row r="5142" spans="2:8" x14ac:dyDescent="0.2">
      <c r="B5142" t="s">
        <v>1433</v>
      </c>
      <c r="C5142" t="s">
        <v>12909</v>
      </c>
      <c r="D5142" t="s">
        <v>613</v>
      </c>
      <c r="E5142" t="s">
        <v>12562</v>
      </c>
      <c r="F5142">
        <v>38.6</v>
      </c>
      <c r="H5142" t="s">
        <v>1929</v>
      </c>
    </row>
    <row r="5143" spans="2:8" x14ac:dyDescent="0.2">
      <c r="B5143" t="s">
        <v>1433</v>
      </c>
      <c r="C5143" t="s">
        <v>12909</v>
      </c>
      <c r="D5143" t="s">
        <v>554</v>
      </c>
      <c r="E5143" t="s">
        <v>12563</v>
      </c>
      <c r="F5143">
        <v>7711</v>
      </c>
      <c r="H5143" t="s">
        <v>2493</v>
      </c>
    </row>
    <row r="5144" spans="2:8" x14ac:dyDescent="0.2">
      <c r="B5144" t="s">
        <v>1433</v>
      </c>
      <c r="C5144" t="s">
        <v>12909</v>
      </c>
      <c r="D5144" t="s">
        <v>613</v>
      </c>
      <c r="E5144" t="s">
        <v>12564</v>
      </c>
      <c r="F5144">
        <v>45.2</v>
      </c>
      <c r="H5144" t="s">
        <v>1243</v>
      </c>
    </row>
    <row r="5145" spans="2:8" x14ac:dyDescent="0.2">
      <c r="B5145" t="s">
        <v>1433</v>
      </c>
      <c r="C5145" t="s">
        <v>12909</v>
      </c>
      <c r="D5145" t="s">
        <v>613</v>
      </c>
      <c r="E5145" t="s">
        <v>12565</v>
      </c>
      <c r="F5145">
        <v>120.4</v>
      </c>
      <c r="H5145" t="s">
        <v>1245</v>
      </c>
    </row>
    <row r="5146" spans="2:8" x14ac:dyDescent="0.2">
      <c r="B5146" t="s">
        <v>1433</v>
      </c>
      <c r="C5146" t="s">
        <v>12909</v>
      </c>
      <c r="D5146" t="s">
        <v>613</v>
      </c>
      <c r="E5146" t="s">
        <v>12566</v>
      </c>
      <c r="F5146">
        <v>450</v>
      </c>
      <c r="H5146" t="s">
        <v>1330</v>
      </c>
    </row>
    <row r="5147" spans="2:8" x14ac:dyDescent="0.2">
      <c r="B5147" t="s">
        <v>1433</v>
      </c>
      <c r="C5147" t="s">
        <v>12909</v>
      </c>
      <c r="D5147" t="s">
        <v>613</v>
      </c>
      <c r="E5147" t="s">
        <v>12567</v>
      </c>
      <c r="F5147">
        <v>1302.75</v>
      </c>
      <c r="H5147" t="s">
        <v>1517</v>
      </c>
    </row>
    <row r="5148" spans="2:8" x14ac:dyDescent="0.2">
      <c r="B5148" t="s">
        <v>1433</v>
      </c>
      <c r="C5148" t="s">
        <v>12909</v>
      </c>
      <c r="D5148" t="s">
        <v>613</v>
      </c>
      <c r="E5148" t="s">
        <v>12568</v>
      </c>
      <c r="F5148">
        <v>482.5</v>
      </c>
      <c r="H5148" t="s">
        <v>1577</v>
      </c>
    </row>
    <row r="5149" spans="2:8" x14ac:dyDescent="0.2">
      <c r="B5149" t="s">
        <v>1433</v>
      </c>
      <c r="C5149" t="s">
        <v>12909</v>
      </c>
      <c r="D5149" t="s">
        <v>613</v>
      </c>
      <c r="E5149" t="s">
        <v>12569</v>
      </c>
      <c r="F5149">
        <v>202.16</v>
      </c>
      <c r="H5149" t="s">
        <v>1956</v>
      </c>
    </row>
    <row r="5150" spans="2:8" x14ac:dyDescent="0.2">
      <c r="B5150" t="s">
        <v>1433</v>
      </c>
      <c r="C5150" t="s">
        <v>12909</v>
      </c>
      <c r="D5150" t="s">
        <v>554</v>
      </c>
      <c r="E5150" t="s">
        <v>12570</v>
      </c>
      <c r="F5150">
        <v>9836</v>
      </c>
      <c r="H5150" t="s">
        <v>2494</v>
      </c>
    </row>
    <row r="5151" spans="2:8" x14ac:dyDescent="0.2">
      <c r="B5151" t="s">
        <v>1433</v>
      </c>
      <c r="C5151" t="s">
        <v>12909</v>
      </c>
      <c r="D5151" t="s">
        <v>613</v>
      </c>
      <c r="E5151" t="s">
        <v>12571</v>
      </c>
      <c r="F5151">
        <v>67.8</v>
      </c>
      <c r="H5151" t="s">
        <v>1243</v>
      </c>
    </row>
    <row r="5152" spans="2:8" x14ac:dyDescent="0.2">
      <c r="B5152" t="s">
        <v>1433</v>
      </c>
      <c r="C5152" t="s">
        <v>12909</v>
      </c>
      <c r="D5152" t="s">
        <v>613</v>
      </c>
      <c r="E5152" t="s">
        <v>12572</v>
      </c>
      <c r="F5152">
        <v>120.4</v>
      </c>
      <c r="H5152" t="s">
        <v>1245</v>
      </c>
    </row>
    <row r="5153" spans="2:8" x14ac:dyDescent="0.2">
      <c r="B5153" t="s">
        <v>1433</v>
      </c>
      <c r="C5153" t="s">
        <v>12909</v>
      </c>
      <c r="D5153" t="s">
        <v>613</v>
      </c>
      <c r="E5153" t="s">
        <v>12573</v>
      </c>
      <c r="F5153">
        <v>1042.2</v>
      </c>
      <c r="H5153" t="s">
        <v>1517</v>
      </c>
    </row>
    <row r="5154" spans="2:8" x14ac:dyDescent="0.2">
      <c r="B5154" t="s">
        <v>1433</v>
      </c>
      <c r="C5154" t="s">
        <v>12909</v>
      </c>
      <c r="D5154" t="s">
        <v>613</v>
      </c>
      <c r="E5154" t="s">
        <v>12574</v>
      </c>
      <c r="F5154">
        <v>482.5</v>
      </c>
      <c r="H5154" t="s">
        <v>1577</v>
      </c>
    </row>
    <row r="5155" spans="2:8" x14ac:dyDescent="0.2">
      <c r="B5155" t="s">
        <v>1433</v>
      </c>
      <c r="C5155" t="s">
        <v>12909</v>
      </c>
      <c r="D5155" t="s">
        <v>613</v>
      </c>
      <c r="E5155" t="s">
        <v>12575</v>
      </c>
      <c r="F5155">
        <v>3.75</v>
      </c>
      <c r="H5155" t="s">
        <v>1536</v>
      </c>
    </row>
    <row r="5156" spans="2:8" x14ac:dyDescent="0.2">
      <c r="B5156" t="s">
        <v>1433</v>
      </c>
      <c r="C5156" t="s">
        <v>12909</v>
      </c>
      <c r="D5156" t="s">
        <v>613</v>
      </c>
      <c r="E5156" t="s">
        <v>12576</v>
      </c>
      <c r="F5156">
        <v>77.2</v>
      </c>
      <c r="H5156" t="s">
        <v>1927</v>
      </c>
    </row>
    <row r="5157" spans="2:8" x14ac:dyDescent="0.2">
      <c r="B5157" t="s">
        <v>1433</v>
      </c>
      <c r="C5157" t="s">
        <v>12909</v>
      </c>
      <c r="D5157" t="s">
        <v>613</v>
      </c>
      <c r="E5157" t="s">
        <v>12577</v>
      </c>
      <c r="F5157">
        <v>38.6</v>
      </c>
      <c r="H5157" t="s">
        <v>1927</v>
      </c>
    </row>
    <row r="5158" spans="2:8" x14ac:dyDescent="0.2">
      <c r="B5158" t="s">
        <v>1433</v>
      </c>
      <c r="C5158" t="s">
        <v>12909</v>
      </c>
      <c r="D5158" t="s">
        <v>613</v>
      </c>
      <c r="E5158" t="s">
        <v>12578</v>
      </c>
      <c r="F5158">
        <v>77.2</v>
      </c>
      <c r="H5158" t="s">
        <v>1929</v>
      </c>
    </row>
    <row r="5159" spans="2:8" x14ac:dyDescent="0.2">
      <c r="B5159" t="s">
        <v>1433</v>
      </c>
      <c r="C5159" t="s">
        <v>12909</v>
      </c>
      <c r="D5159" t="s">
        <v>613</v>
      </c>
      <c r="E5159" t="s">
        <v>12579</v>
      </c>
      <c r="F5159">
        <v>38.6</v>
      </c>
      <c r="H5159" t="s">
        <v>1929</v>
      </c>
    </row>
    <row r="5160" spans="2:8" x14ac:dyDescent="0.2">
      <c r="B5160" t="s">
        <v>1433</v>
      </c>
      <c r="C5160" t="s">
        <v>12909</v>
      </c>
      <c r="D5160" t="s">
        <v>613</v>
      </c>
      <c r="E5160" t="s">
        <v>12580</v>
      </c>
      <c r="F5160">
        <v>101.08</v>
      </c>
      <c r="H5160" t="s">
        <v>1956</v>
      </c>
    </row>
    <row r="5161" spans="2:8" x14ac:dyDescent="0.2">
      <c r="B5161" t="s">
        <v>1433</v>
      </c>
      <c r="C5161" t="s">
        <v>12909</v>
      </c>
      <c r="D5161" t="s">
        <v>554</v>
      </c>
      <c r="E5161" t="s">
        <v>12581</v>
      </c>
      <c r="F5161">
        <v>6525</v>
      </c>
      <c r="H5161" t="s">
        <v>2495</v>
      </c>
    </row>
    <row r="5162" spans="2:8" x14ac:dyDescent="0.2">
      <c r="B5162" t="s">
        <v>1433</v>
      </c>
      <c r="C5162" t="s">
        <v>12909</v>
      </c>
      <c r="D5162" t="s">
        <v>613</v>
      </c>
      <c r="E5162" t="s">
        <v>12582</v>
      </c>
      <c r="F5162">
        <v>67.8</v>
      </c>
      <c r="H5162" t="s">
        <v>1243</v>
      </c>
    </row>
    <row r="5163" spans="2:8" x14ac:dyDescent="0.2">
      <c r="B5163" t="s">
        <v>1433</v>
      </c>
      <c r="C5163" t="s">
        <v>12909</v>
      </c>
      <c r="D5163" t="s">
        <v>613</v>
      </c>
      <c r="E5163" t="s">
        <v>12583</v>
      </c>
      <c r="F5163">
        <v>120.4</v>
      </c>
      <c r="H5163" t="s">
        <v>1245</v>
      </c>
    </row>
    <row r="5164" spans="2:8" x14ac:dyDescent="0.2">
      <c r="B5164" t="s">
        <v>1433</v>
      </c>
      <c r="C5164" t="s">
        <v>12909</v>
      </c>
      <c r="D5164" t="s">
        <v>613</v>
      </c>
      <c r="E5164" t="s">
        <v>12584</v>
      </c>
      <c r="F5164">
        <v>1042.2</v>
      </c>
      <c r="H5164" t="s">
        <v>1517</v>
      </c>
    </row>
    <row r="5165" spans="2:8" x14ac:dyDescent="0.2">
      <c r="B5165" t="s">
        <v>1433</v>
      </c>
      <c r="C5165" t="s">
        <v>12909</v>
      </c>
      <c r="D5165" t="s">
        <v>613</v>
      </c>
      <c r="E5165" t="s">
        <v>12585</v>
      </c>
      <c r="F5165">
        <v>482.5</v>
      </c>
      <c r="H5165" t="s">
        <v>1577</v>
      </c>
    </row>
    <row r="5166" spans="2:8" x14ac:dyDescent="0.2">
      <c r="B5166" t="s">
        <v>1433</v>
      </c>
      <c r="C5166" t="s">
        <v>12909</v>
      </c>
      <c r="D5166" t="s">
        <v>613</v>
      </c>
      <c r="E5166" t="s">
        <v>12586</v>
      </c>
      <c r="F5166">
        <v>3.75</v>
      </c>
      <c r="H5166" t="s">
        <v>1536</v>
      </c>
    </row>
    <row r="5167" spans="2:8" x14ac:dyDescent="0.2">
      <c r="B5167" t="s">
        <v>1433</v>
      </c>
      <c r="C5167" t="s">
        <v>12909</v>
      </c>
      <c r="D5167" t="s">
        <v>613</v>
      </c>
      <c r="E5167" t="s">
        <v>12587</v>
      </c>
      <c r="F5167">
        <v>77.2</v>
      </c>
      <c r="H5167" t="s">
        <v>1927</v>
      </c>
    </row>
    <row r="5168" spans="2:8" x14ac:dyDescent="0.2">
      <c r="B5168" t="s">
        <v>1433</v>
      </c>
      <c r="C5168" t="s">
        <v>12909</v>
      </c>
      <c r="D5168" t="s">
        <v>613</v>
      </c>
      <c r="E5168" t="s">
        <v>12588</v>
      </c>
      <c r="F5168">
        <v>38.6</v>
      </c>
      <c r="H5168" t="s">
        <v>1927</v>
      </c>
    </row>
    <row r="5169" spans="2:8" x14ac:dyDescent="0.2">
      <c r="B5169" t="s">
        <v>1433</v>
      </c>
      <c r="C5169" t="s">
        <v>12909</v>
      </c>
      <c r="D5169" t="s">
        <v>613</v>
      </c>
      <c r="E5169" t="s">
        <v>12589</v>
      </c>
      <c r="F5169">
        <v>77.2</v>
      </c>
      <c r="H5169" t="s">
        <v>1929</v>
      </c>
    </row>
    <row r="5170" spans="2:8" x14ac:dyDescent="0.2">
      <c r="B5170" t="s">
        <v>1433</v>
      </c>
      <c r="C5170" t="s">
        <v>12909</v>
      </c>
      <c r="D5170" t="s">
        <v>613</v>
      </c>
      <c r="E5170" t="s">
        <v>12590</v>
      </c>
      <c r="F5170">
        <v>38.6</v>
      </c>
      <c r="H5170" t="s">
        <v>1929</v>
      </c>
    </row>
    <row r="5171" spans="2:8" x14ac:dyDescent="0.2">
      <c r="B5171" t="s">
        <v>1433</v>
      </c>
      <c r="C5171" t="s">
        <v>12909</v>
      </c>
      <c r="D5171" t="s">
        <v>613</v>
      </c>
      <c r="E5171" t="s">
        <v>12591</v>
      </c>
      <c r="F5171">
        <v>101.08</v>
      </c>
      <c r="H5171" t="s">
        <v>1956</v>
      </c>
    </row>
    <row r="5172" spans="2:8" x14ac:dyDescent="0.2">
      <c r="B5172" t="s">
        <v>1433</v>
      </c>
      <c r="C5172" t="s">
        <v>12909</v>
      </c>
      <c r="D5172" t="s">
        <v>554</v>
      </c>
      <c r="E5172" t="s">
        <v>12592</v>
      </c>
      <c r="F5172">
        <v>6311</v>
      </c>
      <c r="H5172" t="s">
        <v>2545</v>
      </c>
    </row>
    <row r="5173" spans="2:8" x14ac:dyDescent="0.2">
      <c r="B5173" t="s">
        <v>1433</v>
      </c>
      <c r="C5173" t="s">
        <v>12909</v>
      </c>
      <c r="D5173" t="s">
        <v>613</v>
      </c>
      <c r="E5173" t="s">
        <v>12593</v>
      </c>
      <c r="F5173">
        <v>135.6</v>
      </c>
      <c r="H5173" t="s">
        <v>1243</v>
      </c>
    </row>
    <row r="5174" spans="2:8" x14ac:dyDescent="0.2">
      <c r="B5174" t="s">
        <v>1433</v>
      </c>
      <c r="C5174" t="s">
        <v>12909</v>
      </c>
      <c r="D5174" t="s">
        <v>613</v>
      </c>
      <c r="E5174" t="s">
        <v>12594</v>
      </c>
      <c r="F5174">
        <v>180.6</v>
      </c>
      <c r="H5174" t="s">
        <v>1245</v>
      </c>
    </row>
    <row r="5175" spans="2:8" x14ac:dyDescent="0.2">
      <c r="B5175" t="s">
        <v>1433</v>
      </c>
      <c r="C5175" t="s">
        <v>12909</v>
      </c>
      <c r="D5175" t="s">
        <v>613</v>
      </c>
      <c r="E5175" t="s">
        <v>12595</v>
      </c>
      <c r="F5175">
        <v>900</v>
      </c>
      <c r="H5175" t="s">
        <v>1330</v>
      </c>
    </row>
    <row r="5176" spans="2:8" x14ac:dyDescent="0.2">
      <c r="B5176" t="s">
        <v>1433</v>
      </c>
      <c r="C5176" t="s">
        <v>12909</v>
      </c>
      <c r="D5176" t="s">
        <v>613</v>
      </c>
      <c r="E5176" t="s">
        <v>12596</v>
      </c>
      <c r="F5176">
        <v>1563.3</v>
      </c>
      <c r="H5176" t="s">
        <v>1517</v>
      </c>
    </row>
    <row r="5177" spans="2:8" x14ac:dyDescent="0.2">
      <c r="B5177" t="s">
        <v>1433</v>
      </c>
      <c r="C5177" t="s">
        <v>12909</v>
      </c>
      <c r="D5177" t="s">
        <v>613</v>
      </c>
      <c r="E5177" t="s">
        <v>12597</v>
      </c>
      <c r="F5177">
        <v>-1563.3</v>
      </c>
      <c r="H5177" t="s">
        <v>1517</v>
      </c>
    </row>
    <row r="5178" spans="2:8" x14ac:dyDescent="0.2">
      <c r="B5178" t="s">
        <v>1433</v>
      </c>
      <c r="C5178" t="s">
        <v>12909</v>
      </c>
      <c r="D5178" t="s">
        <v>613</v>
      </c>
      <c r="E5178" t="s">
        <v>12598</v>
      </c>
      <c r="F5178">
        <v>1563.3</v>
      </c>
      <c r="H5178" t="s">
        <v>1517</v>
      </c>
    </row>
    <row r="5179" spans="2:8" x14ac:dyDescent="0.2">
      <c r="B5179" t="s">
        <v>1433</v>
      </c>
      <c r="C5179" t="s">
        <v>12909</v>
      </c>
      <c r="D5179" t="s">
        <v>613</v>
      </c>
      <c r="E5179" t="s">
        <v>12599</v>
      </c>
      <c r="F5179">
        <v>521.1</v>
      </c>
      <c r="H5179" t="s">
        <v>1517</v>
      </c>
    </row>
    <row r="5180" spans="2:8" x14ac:dyDescent="0.2">
      <c r="B5180" t="s">
        <v>1433</v>
      </c>
      <c r="C5180" t="s">
        <v>12909</v>
      </c>
      <c r="D5180" t="s">
        <v>613</v>
      </c>
      <c r="E5180" t="s">
        <v>12600</v>
      </c>
      <c r="F5180">
        <v>1930</v>
      </c>
      <c r="H5180" t="s">
        <v>1577</v>
      </c>
    </row>
    <row r="5181" spans="2:8" x14ac:dyDescent="0.2">
      <c r="B5181" t="s">
        <v>1433</v>
      </c>
      <c r="C5181" t="s">
        <v>12909</v>
      </c>
      <c r="D5181" t="s">
        <v>613</v>
      </c>
      <c r="E5181" t="s">
        <v>12601</v>
      </c>
      <c r="F5181">
        <v>6</v>
      </c>
      <c r="H5181" t="s">
        <v>1536</v>
      </c>
    </row>
    <row r="5182" spans="2:8" x14ac:dyDescent="0.2">
      <c r="B5182" t="s">
        <v>1433</v>
      </c>
      <c r="C5182" t="s">
        <v>12909</v>
      </c>
      <c r="D5182" t="s">
        <v>613</v>
      </c>
      <c r="E5182" t="s">
        <v>12602</v>
      </c>
      <c r="F5182">
        <v>77.2</v>
      </c>
      <c r="H5182" t="s">
        <v>1927</v>
      </c>
    </row>
    <row r="5183" spans="2:8" x14ac:dyDescent="0.2">
      <c r="B5183" t="s">
        <v>1433</v>
      </c>
      <c r="C5183" t="s">
        <v>12909</v>
      </c>
      <c r="D5183" t="s">
        <v>613</v>
      </c>
      <c r="E5183" t="s">
        <v>12603</v>
      </c>
      <c r="F5183">
        <v>231.6</v>
      </c>
      <c r="H5183" t="s">
        <v>1927</v>
      </c>
    </row>
    <row r="5184" spans="2:8" x14ac:dyDescent="0.2">
      <c r="B5184" t="s">
        <v>1433</v>
      </c>
      <c r="C5184" t="s">
        <v>12909</v>
      </c>
      <c r="D5184" t="s">
        <v>613</v>
      </c>
      <c r="E5184" t="s">
        <v>12604</v>
      </c>
      <c r="F5184">
        <v>77.2</v>
      </c>
      <c r="H5184" t="s">
        <v>1929</v>
      </c>
    </row>
    <row r="5185" spans="2:8" x14ac:dyDescent="0.2">
      <c r="B5185" t="s">
        <v>1433</v>
      </c>
      <c r="C5185" t="s">
        <v>12909</v>
      </c>
      <c r="D5185" t="s">
        <v>613</v>
      </c>
      <c r="E5185" t="s">
        <v>12605</v>
      </c>
      <c r="F5185">
        <v>231.6</v>
      </c>
      <c r="H5185" t="s">
        <v>1929</v>
      </c>
    </row>
    <row r="5186" spans="2:8" x14ac:dyDescent="0.2">
      <c r="B5186" t="s">
        <v>1433</v>
      </c>
      <c r="C5186" t="s">
        <v>12909</v>
      </c>
      <c r="D5186" t="s">
        <v>554</v>
      </c>
      <c r="E5186" t="s">
        <v>12606</v>
      </c>
      <c r="F5186">
        <v>22036</v>
      </c>
      <c r="H5186" t="s">
        <v>2496</v>
      </c>
    </row>
    <row r="5187" spans="2:8" x14ac:dyDescent="0.2">
      <c r="B5187" t="s">
        <v>1433</v>
      </c>
      <c r="C5187" t="s">
        <v>12909</v>
      </c>
      <c r="D5187" t="s">
        <v>554</v>
      </c>
      <c r="E5187" t="s">
        <v>12607</v>
      </c>
      <c r="F5187">
        <v>2196</v>
      </c>
      <c r="G5187" t="s">
        <v>2768</v>
      </c>
    </row>
    <row r="5188" spans="2:8" x14ac:dyDescent="0.2">
      <c r="B5188" t="s">
        <v>1433</v>
      </c>
      <c r="C5188" t="s">
        <v>12909</v>
      </c>
      <c r="D5188" t="s">
        <v>554</v>
      </c>
      <c r="E5188" t="s">
        <v>12608</v>
      </c>
      <c r="F5188">
        <v>28548</v>
      </c>
      <c r="G5188" t="s">
        <v>2768</v>
      </c>
    </row>
    <row r="5189" spans="2:8" x14ac:dyDescent="0.2">
      <c r="B5189" t="s">
        <v>1433</v>
      </c>
      <c r="C5189" t="s">
        <v>12909</v>
      </c>
      <c r="D5189" t="s">
        <v>554</v>
      </c>
      <c r="E5189" t="s">
        <v>12609</v>
      </c>
      <c r="F5189">
        <v>34038</v>
      </c>
      <c r="G5189" t="s">
        <v>2768</v>
      </c>
    </row>
    <row r="5190" spans="2:8" x14ac:dyDescent="0.2">
      <c r="B5190" t="s">
        <v>1433</v>
      </c>
      <c r="C5190" t="s">
        <v>12909</v>
      </c>
      <c r="D5190" t="s">
        <v>613</v>
      </c>
      <c r="E5190" t="s">
        <v>12610</v>
      </c>
      <c r="F5190">
        <v>8.76</v>
      </c>
      <c r="H5190" t="s">
        <v>6713</v>
      </c>
    </row>
    <row r="5191" spans="2:8" x14ac:dyDescent="0.2">
      <c r="B5191" t="s">
        <v>1433</v>
      </c>
      <c r="C5191" t="s">
        <v>12909</v>
      </c>
      <c r="D5191" t="s">
        <v>613</v>
      </c>
      <c r="E5191" t="s">
        <v>12611</v>
      </c>
      <c r="F5191">
        <v>249.48</v>
      </c>
      <c r="H5191" t="s">
        <v>2557</v>
      </c>
    </row>
    <row r="5192" spans="2:8" x14ac:dyDescent="0.2">
      <c r="B5192" t="s">
        <v>1433</v>
      </c>
      <c r="C5192" t="s">
        <v>12909</v>
      </c>
      <c r="D5192" t="s">
        <v>613</v>
      </c>
      <c r="E5192" t="s">
        <v>12612</v>
      </c>
      <c r="F5192">
        <v>146.24</v>
      </c>
      <c r="H5192" t="s">
        <v>2553</v>
      </c>
    </row>
    <row r="5193" spans="2:8" x14ac:dyDescent="0.2">
      <c r="B5193" t="s">
        <v>1433</v>
      </c>
      <c r="C5193" t="s">
        <v>12909</v>
      </c>
      <c r="D5193" t="s">
        <v>613</v>
      </c>
      <c r="E5193" t="s">
        <v>12613</v>
      </c>
      <c r="F5193">
        <v>2855.16</v>
      </c>
      <c r="H5193" t="s">
        <v>2555</v>
      </c>
    </row>
    <row r="5194" spans="2:8" x14ac:dyDescent="0.2">
      <c r="B5194" t="s">
        <v>1433</v>
      </c>
      <c r="C5194" t="s">
        <v>12909</v>
      </c>
      <c r="D5194" t="s">
        <v>613</v>
      </c>
      <c r="E5194" t="s">
        <v>12614</v>
      </c>
      <c r="F5194">
        <v>63.6</v>
      </c>
      <c r="H5194" t="s">
        <v>2556</v>
      </c>
    </row>
    <row r="5195" spans="2:8" x14ac:dyDescent="0.2">
      <c r="B5195" t="s">
        <v>1433</v>
      </c>
      <c r="C5195" t="s">
        <v>12909</v>
      </c>
      <c r="D5195" t="s">
        <v>554</v>
      </c>
      <c r="E5195" t="s">
        <v>12615</v>
      </c>
      <c r="F5195">
        <v>2408.75</v>
      </c>
      <c r="H5195" t="s">
        <v>2573</v>
      </c>
    </row>
    <row r="5196" spans="2:8" x14ac:dyDescent="0.2">
      <c r="B5196" t="s">
        <v>1433</v>
      </c>
      <c r="C5196" t="s">
        <v>12909</v>
      </c>
      <c r="D5196" t="s">
        <v>554</v>
      </c>
      <c r="E5196" t="s">
        <v>12616</v>
      </c>
      <c r="F5196">
        <v>14452.5</v>
      </c>
      <c r="H5196" t="s">
        <v>2573</v>
      </c>
    </row>
    <row r="5197" spans="2:8" x14ac:dyDescent="0.2">
      <c r="B5197" t="s">
        <v>1433</v>
      </c>
      <c r="C5197" t="s">
        <v>12909</v>
      </c>
      <c r="D5197" t="s">
        <v>554</v>
      </c>
      <c r="E5197" t="s">
        <v>12617</v>
      </c>
      <c r="F5197">
        <v>2408.75</v>
      </c>
      <c r="H5197" t="s">
        <v>2573</v>
      </c>
    </row>
    <row r="5198" spans="2:8" x14ac:dyDescent="0.2">
      <c r="B5198" t="s">
        <v>1433</v>
      </c>
      <c r="C5198" t="s">
        <v>12909</v>
      </c>
      <c r="D5198" t="s">
        <v>554</v>
      </c>
      <c r="E5198" t="s">
        <v>12618</v>
      </c>
      <c r="F5198">
        <v>2566</v>
      </c>
      <c r="H5198" t="s">
        <v>2564</v>
      </c>
    </row>
    <row r="5199" spans="2:8" x14ac:dyDescent="0.2">
      <c r="B5199" t="s">
        <v>1433</v>
      </c>
      <c r="C5199" t="s">
        <v>12909</v>
      </c>
      <c r="D5199" t="s">
        <v>554</v>
      </c>
      <c r="E5199" t="s">
        <v>12619</v>
      </c>
      <c r="F5199">
        <v>10264</v>
      </c>
      <c r="H5199" t="s">
        <v>2564</v>
      </c>
    </row>
    <row r="5200" spans="2:8" x14ac:dyDescent="0.2">
      <c r="B5200" t="s">
        <v>1433</v>
      </c>
      <c r="C5200" t="s">
        <v>12909</v>
      </c>
      <c r="D5200" t="s">
        <v>554</v>
      </c>
      <c r="E5200" t="s">
        <v>12620</v>
      </c>
      <c r="F5200">
        <v>1213.5999999999999</v>
      </c>
      <c r="H5200" t="s">
        <v>2566</v>
      </c>
    </row>
    <row r="5201" spans="2:8" x14ac:dyDescent="0.2">
      <c r="B5201" t="s">
        <v>1433</v>
      </c>
      <c r="C5201" t="s">
        <v>12909</v>
      </c>
      <c r="D5201" t="s">
        <v>554</v>
      </c>
      <c r="E5201" t="s">
        <v>12621</v>
      </c>
      <c r="F5201">
        <v>4854.3999999999996</v>
      </c>
      <c r="H5201" t="s">
        <v>2566</v>
      </c>
    </row>
    <row r="5202" spans="2:8" x14ac:dyDescent="0.2">
      <c r="B5202" t="s">
        <v>1433</v>
      </c>
      <c r="C5202" t="s">
        <v>12909</v>
      </c>
      <c r="D5202" t="s">
        <v>554</v>
      </c>
      <c r="E5202" t="s">
        <v>12622</v>
      </c>
      <c r="F5202">
        <v>1951.5</v>
      </c>
      <c r="H5202" t="s">
        <v>2567</v>
      </c>
    </row>
    <row r="5203" spans="2:8" x14ac:dyDescent="0.2">
      <c r="B5203" t="s">
        <v>1433</v>
      </c>
      <c r="C5203" t="s">
        <v>12909</v>
      </c>
      <c r="D5203" t="s">
        <v>554</v>
      </c>
      <c r="E5203" t="s">
        <v>12623</v>
      </c>
      <c r="F5203">
        <v>7806</v>
      </c>
      <c r="H5203" t="s">
        <v>2567</v>
      </c>
    </row>
    <row r="5204" spans="2:8" x14ac:dyDescent="0.2">
      <c r="B5204" t="s">
        <v>1433</v>
      </c>
      <c r="C5204" t="s">
        <v>12909</v>
      </c>
      <c r="D5204" t="s">
        <v>554</v>
      </c>
      <c r="E5204" t="s">
        <v>12624</v>
      </c>
      <c r="F5204">
        <v>2457.6</v>
      </c>
      <c r="H5204" t="s">
        <v>2568</v>
      </c>
    </row>
    <row r="5205" spans="2:8" x14ac:dyDescent="0.2">
      <c r="B5205" t="s">
        <v>1433</v>
      </c>
      <c r="C5205" t="s">
        <v>12909</v>
      </c>
      <c r="D5205" t="s">
        <v>554</v>
      </c>
      <c r="E5205" t="s">
        <v>12625</v>
      </c>
      <c r="F5205">
        <v>9830.4</v>
      </c>
      <c r="H5205" t="s">
        <v>2568</v>
      </c>
    </row>
    <row r="5206" spans="2:8" x14ac:dyDescent="0.2">
      <c r="B5206" t="s">
        <v>1433</v>
      </c>
      <c r="C5206" t="s">
        <v>12909</v>
      </c>
      <c r="D5206" t="s">
        <v>613</v>
      </c>
      <c r="E5206" t="s">
        <v>12626</v>
      </c>
      <c r="F5206">
        <v>269.76</v>
      </c>
      <c r="H5206" t="s">
        <v>2892</v>
      </c>
    </row>
    <row r="5207" spans="2:8" x14ac:dyDescent="0.2">
      <c r="B5207" t="s">
        <v>1433</v>
      </c>
      <c r="C5207" t="s">
        <v>12909</v>
      </c>
      <c r="D5207" t="s">
        <v>613</v>
      </c>
      <c r="E5207" t="s">
        <v>12627</v>
      </c>
      <c r="F5207">
        <v>35.03</v>
      </c>
      <c r="H5207" t="s">
        <v>6713</v>
      </c>
    </row>
    <row r="5208" spans="2:8" x14ac:dyDescent="0.2">
      <c r="B5208" t="s">
        <v>1433</v>
      </c>
      <c r="C5208" t="s">
        <v>12909</v>
      </c>
      <c r="D5208" t="s">
        <v>613</v>
      </c>
      <c r="E5208" t="s">
        <v>12628</v>
      </c>
      <c r="F5208">
        <v>35.03</v>
      </c>
      <c r="H5208" t="s">
        <v>6713</v>
      </c>
    </row>
    <row r="5209" spans="2:8" x14ac:dyDescent="0.2">
      <c r="B5209" t="s">
        <v>1433</v>
      </c>
      <c r="C5209" t="s">
        <v>12909</v>
      </c>
      <c r="D5209" t="s">
        <v>613</v>
      </c>
      <c r="E5209" t="s">
        <v>12629</v>
      </c>
      <c r="F5209">
        <v>415.8</v>
      </c>
      <c r="H5209" t="s">
        <v>2557</v>
      </c>
    </row>
    <row r="5210" spans="2:8" x14ac:dyDescent="0.2">
      <c r="B5210" t="s">
        <v>1433</v>
      </c>
      <c r="C5210" t="s">
        <v>12909</v>
      </c>
      <c r="D5210" t="s">
        <v>613</v>
      </c>
      <c r="E5210" t="s">
        <v>12630</v>
      </c>
      <c r="F5210">
        <v>146.24</v>
      </c>
      <c r="H5210" t="s">
        <v>2553</v>
      </c>
    </row>
    <row r="5211" spans="2:8" x14ac:dyDescent="0.2">
      <c r="B5211" t="s">
        <v>1433</v>
      </c>
      <c r="C5211" t="s">
        <v>12909</v>
      </c>
      <c r="D5211" t="s">
        <v>613</v>
      </c>
      <c r="E5211" t="s">
        <v>12631</v>
      </c>
      <c r="F5211">
        <v>4758.6000000000004</v>
      </c>
      <c r="H5211" t="s">
        <v>2555</v>
      </c>
    </row>
    <row r="5212" spans="2:8" x14ac:dyDescent="0.2">
      <c r="B5212" t="s">
        <v>1433</v>
      </c>
      <c r="C5212" t="s">
        <v>12909</v>
      </c>
      <c r="D5212" t="s">
        <v>613</v>
      </c>
      <c r="E5212" t="s">
        <v>12632</v>
      </c>
      <c r="F5212">
        <v>106</v>
      </c>
      <c r="H5212" t="s">
        <v>2556</v>
      </c>
    </row>
    <row r="5213" spans="2:8" x14ac:dyDescent="0.2">
      <c r="B5213" t="s">
        <v>1433</v>
      </c>
      <c r="C5213" t="s">
        <v>12909</v>
      </c>
      <c r="D5213" t="s">
        <v>554</v>
      </c>
      <c r="E5213" t="s">
        <v>12633</v>
      </c>
      <c r="F5213">
        <v>2838.13</v>
      </c>
      <c r="H5213" t="s">
        <v>2575</v>
      </c>
    </row>
    <row r="5214" spans="2:8" x14ac:dyDescent="0.2">
      <c r="B5214" t="s">
        <v>1433</v>
      </c>
      <c r="C5214" t="s">
        <v>12909</v>
      </c>
      <c r="D5214" t="s">
        <v>554</v>
      </c>
      <c r="E5214" t="s">
        <v>12634</v>
      </c>
      <c r="F5214">
        <v>5676.25</v>
      </c>
      <c r="H5214" t="s">
        <v>2575</v>
      </c>
    </row>
    <row r="5215" spans="2:8" x14ac:dyDescent="0.2">
      <c r="B5215" t="s">
        <v>1433</v>
      </c>
      <c r="C5215" t="s">
        <v>12909</v>
      </c>
      <c r="D5215" t="s">
        <v>554</v>
      </c>
      <c r="E5215" t="s">
        <v>12635</v>
      </c>
      <c r="F5215">
        <v>11352.5</v>
      </c>
      <c r="H5215" t="s">
        <v>2575</v>
      </c>
    </row>
    <row r="5216" spans="2:8" x14ac:dyDescent="0.2">
      <c r="B5216" t="s">
        <v>1433</v>
      </c>
      <c r="C5216" t="s">
        <v>12909</v>
      </c>
      <c r="D5216" t="s">
        <v>554</v>
      </c>
      <c r="E5216" t="s">
        <v>12636</v>
      </c>
      <c r="F5216">
        <v>2838.13</v>
      </c>
      <c r="H5216" t="s">
        <v>2575</v>
      </c>
    </row>
    <row r="5217" spans="2:8" x14ac:dyDescent="0.2">
      <c r="B5217" t="s">
        <v>1433</v>
      </c>
      <c r="C5217" t="s">
        <v>12909</v>
      </c>
      <c r="D5217" t="s">
        <v>554</v>
      </c>
      <c r="E5217" t="s">
        <v>12637</v>
      </c>
      <c r="F5217">
        <v>2566</v>
      </c>
      <c r="H5217" t="s">
        <v>2569</v>
      </c>
    </row>
    <row r="5218" spans="2:8" x14ac:dyDescent="0.2">
      <c r="B5218" t="s">
        <v>1433</v>
      </c>
      <c r="C5218" t="s">
        <v>12909</v>
      </c>
      <c r="D5218" t="s">
        <v>554</v>
      </c>
      <c r="E5218" t="s">
        <v>12638</v>
      </c>
      <c r="F5218">
        <v>10264</v>
      </c>
      <c r="H5218" t="s">
        <v>2569</v>
      </c>
    </row>
    <row r="5219" spans="2:8" x14ac:dyDescent="0.2">
      <c r="B5219" t="s">
        <v>1433</v>
      </c>
      <c r="C5219" t="s">
        <v>12909</v>
      </c>
      <c r="D5219" t="s">
        <v>554</v>
      </c>
      <c r="E5219" t="s">
        <v>12639</v>
      </c>
      <c r="F5219">
        <v>1213.5999999999999</v>
      </c>
      <c r="H5219" t="s">
        <v>2570</v>
      </c>
    </row>
    <row r="5220" spans="2:8" x14ac:dyDescent="0.2">
      <c r="B5220" t="s">
        <v>1433</v>
      </c>
      <c r="C5220" t="s">
        <v>12909</v>
      </c>
      <c r="D5220" t="s">
        <v>554</v>
      </c>
      <c r="E5220" t="s">
        <v>12640</v>
      </c>
      <c r="F5220">
        <v>4854.3999999999996</v>
      </c>
      <c r="H5220" t="s">
        <v>2570</v>
      </c>
    </row>
    <row r="5221" spans="2:8" x14ac:dyDescent="0.2">
      <c r="B5221" t="s">
        <v>1433</v>
      </c>
      <c r="C5221" t="s">
        <v>12909</v>
      </c>
      <c r="D5221" t="s">
        <v>554</v>
      </c>
      <c r="E5221" t="s">
        <v>12641</v>
      </c>
      <c r="F5221">
        <v>1951.5</v>
      </c>
      <c r="H5221" t="s">
        <v>2571</v>
      </c>
    </row>
    <row r="5222" spans="2:8" x14ac:dyDescent="0.2">
      <c r="B5222" t="s">
        <v>1433</v>
      </c>
      <c r="C5222" t="s">
        <v>12909</v>
      </c>
      <c r="D5222" t="s">
        <v>554</v>
      </c>
      <c r="E5222" t="s">
        <v>12642</v>
      </c>
      <c r="F5222">
        <v>7806</v>
      </c>
      <c r="H5222" t="s">
        <v>2571</v>
      </c>
    </row>
    <row r="5223" spans="2:8" x14ac:dyDescent="0.2">
      <c r="B5223" t="s">
        <v>1433</v>
      </c>
      <c r="C5223" t="s">
        <v>12909</v>
      </c>
      <c r="D5223" t="s">
        <v>554</v>
      </c>
      <c r="E5223" t="s">
        <v>12643</v>
      </c>
      <c r="F5223">
        <v>3436.2</v>
      </c>
      <c r="H5223" t="s">
        <v>2572</v>
      </c>
    </row>
    <row r="5224" spans="2:8" x14ac:dyDescent="0.2">
      <c r="B5224" t="s">
        <v>1433</v>
      </c>
      <c r="C5224" t="s">
        <v>12909</v>
      </c>
      <c r="D5224" t="s">
        <v>554</v>
      </c>
      <c r="E5224" t="s">
        <v>12644</v>
      </c>
      <c r="F5224">
        <v>13744.8</v>
      </c>
      <c r="H5224" t="s">
        <v>2572</v>
      </c>
    </row>
    <row r="5225" spans="2:8" x14ac:dyDescent="0.2">
      <c r="B5225" t="s">
        <v>1433</v>
      </c>
      <c r="C5225" t="s">
        <v>12909</v>
      </c>
      <c r="D5225" t="s">
        <v>613</v>
      </c>
      <c r="E5225" t="s">
        <v>12645</v>
      </c>
      <c r="F5225">
        <v>269.76</v>
      </c>
      <c r="H5225" t="s">
        <v>2892</v>
      </c>
    </row>
    <row r="5226" spans="2:8" x14ac:dyDescent="0.2">
      <c r="B5226" t="s">
        <v>1433</v>
      </c>
      <c r="C5226" t="s">
        <v>12909</v>
      </c>
      <c r="D5226" t="s">
        <v>1144</v>
      </c>
      <c r="E5226" t="s">
        <v>12646</v>
      </c>
      <c r="F5226">
        <v>192</v>
      </c>
      <c r="G5226" t="s">
        <v>2530</v>
      </c>
    </row>
    <row r="5227" spans="2:8" x14ac:dyDescent="0.2">
      <c r="B5227" t="s">
        <v>1433</v>
      </c>
      <c r="C5227" t="s">
        <v>12909</v>
      </c>
      <c r="D5227" t="s">
        <v>1144</v>
      </c>
      <c r="E5227" t="s">
        <v>12647</v>
      </c>
      <c r="F5227">
        <v>336</v>
      </c>
      <c r="G5227" t="s">
        <v>2532</v>
      </c>
    </row>
    <row r="5228" spans="2:8" x14ac:dyDescent="0.2">
      <c r="B5228" t="s">
        <v>1433</v>
      </c>
      <c r="C5228" t="s">
        <v>12909</v>
      </c>
      <c r="D5228" t="s">
        <v>1144</v>
      </c>
      <c r="E5228" t="s">
        <v>12648</v>
      </c>
      <c r="F5228">
        <v>92</v>
      </c>
      <c r="G5228" t="s">
        <v>1415</v>
      </c>
    </row>
    <row r="5229" spans="2:8" x14ac:dyDescent="0.2">
      <c r="B5229" t="s">
        <v>1433</v>
      </c>
      <c r="C5229" t="s">
        <v>12909</v>
      </c>
      <c r="D5229" t="s">
        <v>1144</v>
      </c>
      <c r="E5229" t="s">
        <v>12649</v>
      </c>
      <c r="F5229">
        <v>184</v>
      </c>
      <c r="G5229" t="s">
        <v>2181</v>
      </c>
    </row>
    <row r="5230" spans="2:8" x14ac:dyDescent="0.2">
      <c r="B5230" t="s">
        <v>1433</v>
      </c>
      <c r="C5230" t="s">
        <v>12909</v>
      </c>
      <c r="D5230" t="s">
        <v>613</v>
      </c>
      <c r="E5230" t="s">
        <v>12650</v>
      </c>
      <c r="F5230">
        <v>14.74</v>
      </c>
      <c r="H5230" t="s">
        <v>5286</v>
      </c>
    </row>
    <row r="5231" spans="2:8" x14ac:dyDescent="0.2">
      <c r="B5231" t="s">
        <v>1433</v>
      </c>
      <c r="C5231" t="s">
        <v>12909</v>
      </c>
      <c r="D5231" t="s">
        <v>613</v>
      </c>
      <c r="E5231" t="s">
        <v>12651</v>
      </c>
      <c r="F5231">
        <v>6.3</v>
      </c>
      <c r="H5231" t="s">
        <v>3485</v>
      </c>
    </row>
    <row r="5232" spans="2:8" x14ac:dyDescent="0.2">
      <c r="B5232" t="s">
        <v>1433</v>
      </c>
      <c r="C5232" t="s">
        <v>12909</v>
      </c>
      <c r="D5232" t="s">
        <v>613</v>
      </c>
      <c r="E5232" t="s">
        <v>12652</v>
      </c>
      <c r="F5232">
        <v>86.88</v>
      </c>
      <c r="H5232" t="s">
        <v>1691</v>
      </c>
    </row>
    <row r="5233" spans="2:8" x14ac:dyDescent="0.2">
      <c r="B5233" t="s">
        <v>1433</v>
      </c>
      <c r="C5233" t="s">
        <v>12909</v>
      </c>
      <c r="D5233" t="s">
        <v>613</v>
      </c>
      <c r="E5233" t="s">
        <v>12653</v>
      </c>
      <c r="F5233">
        <v>36.28</v>
      </c>
      <c r="H5233" t="s">
        <v>1692</v>
      </c>
    </row>
    <row r="5234" spans="2:8" x14ac:dyDescent="0.2">
      <c r="B5234" t="s">
        <v>1433</v>
      </c>
      <c r="C5234" t="s">
        <v>12909</v>
      </c>
      <c r="D5234" t="s">
        <v>613</v>
      </c>
      <c r="E5234" t="s">
        <v>12654</v>
      </c>
      <c r="F5234">
        <v>37.1</v>
      </c>
      <c r="H5234" t="s">
        <v>2601</v>
      </c>
    </row>
    <row r="5235" spans="2:8" x14ac:dyDescent="0.2">
      <c r="B5235" t="s">
        <v>1433</v>
      </c>
      <c r="C5235" t="s">
        <v>12909</v>
      </c>
      <c r="D5235" t="s">
        <v>613</v>
      </c>
      <c r="E5235" t="s">
        <v>12655</v>
      </c>
      <c r="F5235">
        <v>34.4</v>
      </c>
      <c r="H5235" t="s">
        <v>3484</v>
      </c>
    </row>
    <row r="5236" spans="2:8" x14ac:dyDescent="0.2">
      <c r="B5236" t="s">
        <v>1433</v>
      </c>
      <c r="C5236" t="s">
        <v>12909</v>
      </c>
      <c r="D5236" t="s">
        <v>613</v>
      </c>
      <c r="E5236" t="s">
        <v>12656</v>
      </c>
      <c r="F5236">
        <v>219.94</v>
      </c>
      <c r="H5236" t="s">
        <v>2604</v>
      </c>
    </row>
    <row r="5237" spans="2:8" x14ac:dyDescent="0.2">
      <c r="B5237" t="s">
        <v>1433</v>
      </c>
      <c r="C5237" t="s">
        <v>12909</v>
      </c>
      <c r="D5237" t="s">
        <v>613</v>
      </c>
      <c r="E5237" t="s">
        <v>12657</v>
      </c>
      <c r="F5237">
        <v>30.34</v>
      </c>
      <c r="H5237" t="s">
        <v>2599</v>
      </c>
    </row>
    <row r="5238" spans="2:8" x14ac:dyDescent="0.2">
      <c r="B5238" t="s">
        <v>1433</v>
      </c>
      <c r="C5238" t="s">
        <v>12909</v>
      </c>
      <c r="D5238" t="s">
        <v>613</v>
      </c>
      <c r="E5238" t="s">
        <v>12658</v>
      </c>
      <c r="F5238">
        <v>29.44</v>
      </c>
      <c r="H5238" t="s">
        <v>2598</v>
      </c>
    </row>
    <row r="5239" spans="2:8" x14ac:dyDescent="0.2">
      <c r="B5239" t="s">
        <v>1433</v>
      </c>
      <c r="C5239" t="s">
        <v>12909</v>
      </c>
      <c r="D5239" t="s">
        <v>613</v>
      </c>
      <c r="E5239" t="s">
        <v>12659</v>
      </c>
      <c r="F5239">
        <v>36.04</v>
      </c>
      <c r="H5239" t="s">
        <v>2690</v>
      </c>
    </row>
    <row r="5240" spans="2:8" x14ac:dyDescent="0.2">
      <c r="B5240" t="s">
        <v>1433</v>
      </c>
      <c r="C5240" t="s">
        <v>12909</v>
      </c>
      <c r="D5240" t="s">
        <v>613</v>
      </c>
      <c r="E5240" t="s">
        <v>12660</v>
      </c>
      <c r="F5240">
        <v>62.38</v>
      </c>
      <c r="H5240" t="s">
        <v>2600</v>
      </c>
    </row>
    <row r="5241" spans="2:8" x14ac:dyDescent="0.2">
      <c r="B5241" t="s">
        <v>1433</v>
      </c>
      <c r="C5241" t="s">
        <v>12909</v>
      </c>
      <c r="D5241" t="s">
        <v>613</v>
      </c>
      <c r="E5241" t="s">
        <v>12661</v>
      </c>
      <c r="F5241">
        <v>45.2</v>
      </c>
      <c r="H5241" t="s">
        <v>1243</v>
      </c>
    </row>
    <row r="5242" spans="2:8" x14ac:dyDescent="0.2">
      <c r="B5242" t="s">
        <v>1433</v>
      </c>
      <c r="C5242" t="s">
        <v>12909</v>
      </c>
      <c r="D5242" t="s">
        <v>613</v>
      </c>
      <c r="E5242" t="s">
        <v>12662</v>
      </c>
      <c r="F5242">
        <v>90.3</v>
      </c>
      <c r="H5242" t="s">
        <v>1245</v>
      </c>
    </row>
    <row r="5243" spans="2:8" x14ac:dyDescent="0.2">
      <c r="B5243" t="s">
        <v>1433</v>
      </c>
      <c r="C5243" t="s">
        <v>12909</v>
      </c>
      <c r="D5243" t="s">
        <v>554</v>
      </c>
      <c r="E5243" t="s">
        <v>12663</v>
      </c>
      <c r="F5243">
        <v>156.85</v>
      </c>
      <c r="H5243" t="s">
        <v>2444</v>
      </c>
    </row>
    <row r="5244" spans="2:8" x14ac:dyDescent="0.2">
      <c r="B5244" t="s">
        <v>1433</v>
      </c>
      <c r="C5244" t="s">
        <v>12909</v>
      </c>
      <c r="D5244" t="s">
        <v>84</v>
      </c>
      <c r="E5244" t="s">
        <v>12664</v>
      </c>
      <c r="F5244">
        <v>42.01</v>
      </c>
      <c r="H5244" t="s">
        <v>6257</v>
      </c>
    </row>
    <row r="5245" spans="2:8" x14ac:dyDescent="0.2">
      <c r="B5245" t="s">
        <v>1433</v>
      </c>
      <c r="C5245" t="s">
        <v>12909</v>
      </c>
      <c r="D5245" t="s">
        <v>84</v>
      </c>
      <c r="E5245" t="s">
        <v>12665</v>
      </c>
      <c r="F5245">
        <v>59.36</v>
      </c>
      <c r="H5245" t="s">
        <v>3553</v>
      </c>
    </row>
    <row r="5246" spans="2:8" x14ac:dyDescent="0.2">
      <c r="B5246" t="s">
        <v>1433</v>
      </c>
      <c r="C5246" t="s">
        <v>12909</v>
      </c>
      <c r="D5246" t="s">
        <v>613</v>
      </c>
      <c r="E5246" t="s">
        <v>12666</v>
      </c>
      <c r="F5246">
        <v>532.67999999999995</v>
      </c>
      <c r="H5246" t="s">
        <v>1568</v>
      </c>
    </row>
    <row r="5247" spans="2:8" x14ac:dyDescent="0.2">
      <c r="B5247" t="s">
        <v>1433</v>
      </c>
      <c r="C5247" t="s">
        <v>12909</v>
      </c>
      <c r="D5247" t="s">
        <v>613</v>
      </c>
      <c r="E5247" t="s">
        <v>12667</v>
      </c>
      <c r="F5247">
        <v>482.5</v>
      </c>
      <c r="H5247" t="s">
        <v>1577</v>
      </c>
    </row>
    <row r="5248" spans="2:8" x14ac:dyDescent="0.2">
      <c r="B5248" t="s">
        <v>1433</v>
      </c>
      <c r="C5248" t="s">
        <v>12909</v>
      </c>
      <c r="D5248" t="s">
        <v>613</v>
      </c>
      <c r="E5248" t="s">
        <v>12668</v>
      </c>
      <c r="F5248">
        <v>101.08</v>
      </c>
      <c r="H5248" t="s">
        <v>1956</v>
      </c>
    </row>
    <row r="5249" spans="2:8" x14ac:dyDescent="0.2">
      <c r="B5249" t="s">
        <v>1433</v>
      </c>
      <c r="C5249" t="s">
        <v>12909</v>
      </c>
      <c r="D5249" t="s">
        <v>613</v>
      </c>
      <c r="E5249" t="s">
        <v>12669</v>
      </c>
      <c r="F5249">
        <v>515.84</v>
      </c>
      <c r="H5249" t="s">
        <v>2659</v>
      </c>
    </row>
    <row r="5250" spans="2:8" x14ac:dyDescent="0.2">
      <c r="B5250" t="s">
        <v>1433</v>
      </c>
      <c r="C5250" t="s">
        <v>12909</v>
      </c>
      <c r="D5250" t="s">
        <v>613</v>
      </c>
      <c r="E5250" t="s">
        <v>12670</v>
      </c>
      <c r="F5250">
        <v>323.64</v>
      </c>
      <c r="H5250" t="s">
        <v>2661</v>
      </c>
    </row>
    <row r="5251" spans="2:8" x14ac:dyDescent="0.2">
      <c r="B5251" t="s">
        <v>1433</v>
      </c>
      <c r="C5251" t="s">
        <v>12909</v>
      </c>
      <c r="D5251" t="s">
        <v>613</v>
      </c>
      <c r="E5251" t="s">
        <v>12671</v>
      </c>
      <c r="F5251">
        <v>484.76</v>
      </c>
      <c r="H5251" t="s">
        <v>2729</v>
      </c>
    </row>
    <row r="5252" spans="2:8" x14ac:dyDescent="0.2">
      <c r="B5252" t="s">
        <v>1433</v>
      </c>
      <c r="C5252" t="s">
        <v>12909</v>
      </c>
      <c r="D5252" t="s">
        <v>613</v>
      </c>
      <c r="E5252" t="s">
        <v>12672</v>
      </c>
      <c r="F5252">
        <v>248.2</v>
      </c>
      <c r="H5252" t="s">
        <v>2607</v>
      </c>
    </row>
    <row r="5253" spans="2:8" x14ac:dyDescent="0.2">
      <c r="B5253" t="s">
        <v>1433</v>
      </c>
      <c r="C5253" t="s">
        <v>12909</v>
      </c>
      <c r="D5253" t="s">
        <v>613</v>
      </c>
      <c r="E5253" t="s">
        <v>12673</v>
      </c>
      <c r="F5253">
        <v>291.86</v>
      </c>
      <c r="H5253" t="s">
        <v>2806</v>
      </c>
    </row>
    <row r="5254" spans="2:8" x14ac:dyDescent="0.2">
      <c r="B5254" t="s">
        <v>1433</v>
      </c>
      <c r="C5254" t="s">
        <v>12909</v>
      </c>
      <c r="D5254" t="s">
        <v>554</v>
      </c>
      <c r="E5254" t="s">
        <v>12674</v>
      </c>
      <c r="F5254">
        <v>21178</v>
      </c>
      <c r="H5254" t="s">
        <v>2830</v>
      </c>
    </row>
    <row r="5255" spans="2:8" x14ac:dyDescent="0.2">
      <c r="B5255" t="s">
        <v>1433</v>
      </c>
      <c r="C5255" t="s">
        <v>12909</v>
      </c>
      <c r="D5255" t="s">
        <v>613</v>
      </c>
      <c r="E5255" t="s">
        <v>12675</v>
      </c>
      <c r="F5255">
        <v>6.4</v>
      </c>
      <c r="H5255" t="s">
        <v>3482</v>
      </c>
    </row>
    <row r="5256" spans="2:8" x14ac:dyDescent="0.2">
      <c r="B5256" t="s">
        <v>1433</v>
      </c>
      <c r="C5256" t="s">
        <v>12909</v>
      </c>
      <c r="D5256" t="s">
        <v>1137</v>
      </c>
      <c r="E5256" t="s">
        <v>12676</v>
      </c>
      <c r="F5256">
        <v>674</v>
      </c>
      <c r="G5256" t="s">
        <v>2629</v>
      </c>
    </row>
    <row r="5257" spans="2:8" x14ac:dyDescent="0.2">
      <c r="B5257" t="s">
        <v>1433</v>
      </c>
      <c r="C5257" t="s">
        <v>12909</v>
      </c>
      <c r="D5257" t="s">
        <v>1137</v>
      </c>
      <c r="E5257" t="s">
        <v>12677</v>
      </c>
      <c r="F5257">
        <v>325</v>
      </c>
      <c r="G5257" t="s">
        <v>2632</v>
      </c>
    </row>
    <row r="5258" spans="2:8" x14ac:dyDescent="0.2">
      <c r="B5258" t="s">
        <v>1433</v>
      </c>
      <c r="C5258" t="s">
        <v>12909</v>
      </c>
      <c r="D5258" t="s">
        <v>1137</v>
      </c>
      <c r="E5258" t="s">
        <v>12678</v>
      </c>
      <c r="F5258">
        <v>235</v>
      </c>
      <c r="G5258" t="s">
        <v>2633</v>
      </c>
    </row>
    <row r="5259" spans="2:8" x14ac:dyDescent="0.2">
      <c r="B5259" t="s">
        <v>1433</v>
      </c>
      <c r="C5259" t="s">
        <v>12909</v>
      </c>
      <c r="D5259" t="s">
        <v>1137</v>
      </c>
      <c r="E5259" t="s">
        <v>12679</v>
      </c>
      <c r="F5259">
        <v>674</v>
      </c>
      <c r="G5259" t="s">
        <v>2636</v>
      </c>
    </row>
    <row r="5260" spans="2:8" x14ac:dyDescent="0.2">
      <c r="B5260" t="s">
        <v>1433</v>
      </c>
      <c r="C5260" t="s">
        <v>12909</v>
      </c>
      <c r="D5260" t="s">
        <v>613</v>
      </c>
      <c r="E5260" t="s">
        <v>12680</v>
      </c>
      <c r="F5260">
        <v>886.5</v>
      </c>
      <c r="G5260" t="s">
        <v>2664</v>
      </c>
    </row>
    <row r="5261" spans="2:8" x14ac:dyDescent="0.2">
      <c r="B5261" t="s">
        <v>1433</v>
      </c>
      <c r="C5261" t="s">
        <v>12909</v>
      </c>
      <c r="D5261" t="s">
        <v>613</v>
      </c>
      <c r="E5261" t="s">
        <v>12681</v>
      </c>
      <c r="F5261">
        <v>7.37</v>
      </c>
      <c r="H5261" t="s">
        <v>5286</v>
      </c>
    </row>
    <row r="5262" spans="2:8" x14ac:dyDescent="0.2">
      <c r="B5262" t="s">
        <v>1433</v>
      </c>
      <c r="C5262" t="s">
        <v>12909</v>
      </c>
      <c r="D5262" t="s">
        <v>613</v>
      </c>
      <c r="E5262" t="s">
        <v>12682</v>
      </c>
      <c r="F5262">
        <v>10.86</v>
      </c>
      <c r="H5262" t="s">
        <v>1691</v>
      </c>
    </row>
    <row r="5263" spans="2:8" x14ac:dyDescent="0.2">
      <c r="B5263" t="s">
        <v>1433</v>
      </c>
      <c r="C5263" t="s">
        <v>12909</v>
      </c>
      <c r="D5263" t="s">
        <v>613</v>
      </c>
      <c r="E5263" t="s">
        <v>12683</v>
      </c>
      <c r="F5263">
        <v>45.35</v>
      </c>
      <c r="H5263" t="s">
        <v>1692</v>
      </c>
    </row>
    <row r="5264" spans="2:8" x14ac:dyDescent="0.2">
      <c r="B5264" t="s">
        <v>1433</v>
      </c>
      <c r="C5264" t="s">
        <v>12909</v>
      </c>
      <c r="D5264" t="s">
        <v>613</v>
      </c>
      <c r="E5264" t="s">
        <v>12684</v>
      </c>
      <c r="F5264">
        <v>18.55</v>
      </c>
      <c r="H5264" t="s">
        <v>2601</v>
      </c>
    </row>
    <row r="5265" spans="2:8" x14ac:dyDescent="0.2">
      <c r="B5265" t="s">
        <v>1433</v>
      </c>
      <c r="C5265" t="s">
        <v>12909</v>
      </c>
      <c r="D5265" t="s">
        <v>613</v>
      </c>
      <c r="E5265" t="s">
        <v>12685</v>
      </c>
      <c r="F5265">
        <v>8.6</v>
      </c>
      <c r="H5265" t="s">
        <v>3484</v>
      </c>
    </row>
    <row r="5266" spans="2:8" x14ac:dyDescent="0.2">
      <c r="B5266" t="s">
        <v>1433</v>
      </c>
      <c r="C5266" t="s">
        <v>12909</v>
      </c>
      <c r="D5266" t="s">
        <v>613</v>
      </c>
      <c r="E5266" t="s">
        <v>12686</v>
      </c>
      <c r="F5266">
        <v>15.17</v>
      </c>
      <c r="H5266" t="s">
        <v>2599</v>
      </c>
    </row>
    <row r="5267" spans="2:8" x14ac:dyDescent="0.2">
      <c r="B5267" t="s">
        <v>1433</v>
      </c>
      <c r="C5267" t="s">
        <v>12909</v>
      </c>
      <c r="D5267" t="s">
        <v>613</v>
      </c>
      <c r="E5267" t="s">
        <v>12687</v>
      </c>
      <c r="F5267">
        <v>14.72</v>
      </c>
      <c r="H5267" t="s">
        <v>2598</v>
      </c>
    </row>
    <row r="5268" spans="2:8" x14ac:dyDescent="0.2">
      <c r="B5268" t="s">
        <v>1433</v>
      </c>
      <c r="C5268" t="s">
        <v>12909</v>
      </c>
      <c r="D5268" t="s">
        <v>613</v>
      </c>
      <c r="E5268" t="s">
        <v>12688</v>
      </c>
      <c r="F5268">
        <v>36.04</v>
      </c>
      <c r="H5268" t="s">
        <v>2690</v>
      </c>
    </row>
    <row r="5269" spans="2:8" x14ac:dyDescent="0.2">
      <c r="B5269" t="s">
        <v>1433</v>
      </c>
      <c r="C5269" t="s">
        <v>12909</v>
      </c>
      <c r="D5269" t="s">
        <v>613</v>
      </c>
      <c r="E5269" t="s">
        <v>12689</v>
      </c>
      <c r="F5269">
        <v>18.02</v>
      </c>
      <c r="H5269" t="s">
        <v>2690</v>
      </c>
    </row>
    <row r="5270" spans="2:8" x14ac:dyDescent="0.2">
      <c r="B5270" t="s">
        <v>1433</v>
      </c>
      <c r="C5270" t="s">
        <v>12909</v>
      </c>
      <c r="D5270" t="s">
        <v>613</v>
      </c>
      <c r="E5270" t="s">
        <v>12690</v>
      </c>
      <c r="F5270">
        <v>31.19</v>
      </c>
      <c r="H5270" t="s">
        <v>2600</v>
      </c>
    </row>
    <row r="5271" spans="2:8" x14ac:dyDescent="0.2">
      <c r="B5271" t="s">
        <v>1433</v>
      </c>
      <c r="C5271" t="s">
        <v>12909</v>
      </c>
      <c r="D5271" t="s">
        <v>613</v>
      </c>
      <c r="E5271" t="s">
        <v>12691</v>
      </c>
      <c r="F5271">
        <v>597.6</v>
      </c>
      <c r="H5271" t="s">
        <v>2602</v>
      </c>
    </row>
    <row r="5272" spans="2:8" x14ac:dyDescent="0.2">
      <c r="B5272" t="s">
        <v>1433</v>
      </c>
      <c r="C5272" t="s">
        <v>12909</v>
      </c>
      <c r="D5272" t="s">
        <v>613</v>
      </c>
      <c r="E5272" t="s">
        <v>12692</v>
      </c>
      <c r="F5272">
        <v>553.70000000000005</v>
      </c>
      <c r="H5272" t="s">
        <v>1243</v>
      </c>
    </row>
    <row r="5273" spans="2:8" x14ac:dyDescent="0.2">
      <c r="B5273" t="s">
        <v>1433</v>
      </c>
      <c r="C5273" t="s">
        <v>12909</v>
      </c>
      <c r="D5273" t="s">
        <v>613</v>
      </c>
      <c r="E5273" t="s">
        <v>12693</v>
      </c>
      <c r="F5273">
        <v>737.45</v>
      </c>
      <c r="H5273" t="s">
        <v>1245</v>
      </c>
    </row>
    <row r="5274" spans="2:8" x14ac:dyDescent="0.2">
      <c r="B5274" t="s">
        <v>1433</v>
      </c>
      <c r="C5274" t="s">
        <v>12909</v>
      </c>
      <c r="D5274" t="s">
        <v>554</v>
      </c>
      <c r="E5274" t="s">
        <v>12694</v>
      </c>
      <c r="F5274">
        <v>39.21</v>
      </c>
      <c r="H5274" t="s">
        <v>2444</v>
      </c>
    </row>
    <row r="5275" spans="2:8" x14ac:dyDescent="0.2">
      <c r="B5275" t="s">
        <v>1433</v>
      </c>
      <c r="C5275" t="s">
        <v>12909</v>
      </c>
      <c r="D5275" t="s">
        <v>84</v>
      </c>
      <c r="E5275" t="s">
        <v>12695</v>
      </c>
      <c r="F5275">
        <v>10.5</v>
      </c>
      <c r="H5275" t="s">
        <v>6257</v>
      </c>
    </row>
    <row r="5276" spans="2:8" x14ac:dyDescent="0.2">
      <c r="B5276" t="s">
        <v>1433</v>
      </c>
      <c r="C5276" t="s">
        <v>12909</v>
      </c>
      <c r="D5276" t="s">
        <v>84</v>
      </c>
      <c r="E5276" t="s">
        <v>12696</v>
      </c>
      <c r="F5276">
        <v>14.84</v>
      </c>
      <c r="H5276" t="s">
        <v>3553</v>
      </c>
    </row>
    <row r="5277" spans="2:8" x14ac:dyDescent="0.2">
      <c r="B5277" t="s">
        <v>1433</v>
      </c>
      <c r="C5277" t="s">
        <v>12909</v>
      </c>
      <c r="D5277" t="s">
        <v>613</v>
      </c>
      <c r="E5277" t="s">
        <v>12697</v>
      </c>
      <c r="F5277">
        <v>390.83</v>
      </c>
      <c r="H5277" t="s">
        <v>1517</v>
      </c>
    </row>
    <row r="5278" spans="2:8" x14ac:dyDescent="0.2">
      <c r="B5278" t="s">
        <v>1433</v>
      </c>
      <c r="C5278" t="s">
        <v>12909</v>
      </c>
      <c r="D5278" t="s">
        <v>613</v>
      </c>
      <c r="E5278" t="s">
        <v>12698</v>
      </c>
      <c r="F5278">
        <v>120.63</v>
      </c>
      <c r="H5278" t="s">
        <v>1577</v>
      </c>
    </row>
    <row r="5279" spans="2:8" x14ac:dyDescent="0.2">
      <c r="B5279" t="s">
        <v>1433</v>
      </c>
      <c r="C5279" t="s">
        <v>12909</v>
      </c>
      <c r="D5279" t="s">
        <v>613</v>
      </c>
      <c r="E5279" t="s">
        <v>12699</v>
      </c>
      <c r="F5279">
        <v>77.2</v>
      </c>
      <c r="H5279" t="s">
        <v>1701</v>
      </c>
    </row>
    <row r="5280" spans="2:8" x14ac:dyDescent="0.2">
      <c r="B5280" t="s">
        <v>1433</v>
      </c>
      <c r="C5280" t="s">
        <v>12909</v>
      </c>
      <c r="D5280" t="s">
        <v>613</v>
      </c>
      <c r="E5280" t="s">
        <v>12700</v>
      </c>
      <c r="F5280">
        <v>50.54</v>
      </c>
      <c r="H5280" t="s">
        <v>1956</v>
      </c>
    </row>
    <row r="5281" spans="2:8" x14ac:dyDescent="0.2">
      <c r="B5281" t="s">
        <v>1433</v>
      </c>
      <c r="C5281" t="s">
        <v>12909</v>
      </c>
      <c r="D5281" t="s">
        <v>613</v>
      </c>
      <c r="E5281" t="s">
        <v>12701</v>
      </c>
      <c r="F5281">
        <v>266.33999999999997</v>
      </c>
      <c r="H5281" t="s">
        <v>2211</v>
      </c>
    </row>
    <row r="5282" spans="2:8" x14ac:dyDescent="0.2">
      <c r="B5282" t="s">
        <v>1433</v>
      </c>
      <c r="C5282" t="s">
        <v>12909</v>
      </c>
      <c r="D5282" t="s">
        <v>613</v>
      </c>
      <c r="E5282" t="s">
        <v>12702</v>
      </c>
      <c r="F5282">
        <v>463.2</v>
      </c>
      <c r="H5282" t="s">
        <v>2595</v>
      </c>
    </row>
    <row r="5283" spans="2:8" x14ac:dyDescent="0.2">
      <c r="B5283" t="s">
        <v>1433</v>
      </c>
      <c r="C5283" t="s">
        <v>12909</v>
      </c>
      <c r="D5283" t="s">
        <v>613</v>
      </c>
      <c r="E5283" t="s">
        <v>12703</v>
      </c>
      <c r="F5283">
        <v>257.92</v>
      </c>
      <c r="H5283" t="s">
        <v>2659</v>
      </c>
    </row>
    <row r="5284" spans="2:8" x14ac:dyDescent="0.2">
      <c r="B5284" t="s">
        <v>1433</v>
      </c>
      <c r="C5284" t="s">
        <v>12909</v>
      </c>
      <c r="D5284" t="s">
        <v>613</v>
      </c>
      <c r="E5284" t="s">
        <v>12704</v>
      </c>
      <c r="F5284">
        <v>180.26</v>
      </c>
      <c r="H5284" t="s">
        <v>2662</v>
      </c>
    </row>
    <row r="5285" spans="2:8" x14ac:dyDescent="0.2">
      <c r="B5285" t="s">
        <v>1433</v>
      </c>
      <c r="C5285" t="s">
        <v>12909</v>
      </c>
      <c r="D5285" t="s">
        <v>613</v>
      </c>
      <c r="E5285" t="s">
        <v>12705</v>
      </c>
      <c r="F5285">
        <v>121.19</v>
      </c>
      <c r="H5285" t="s">
        <v>2729</v>
      </c>
    </row>
    <row r="5286" spans="2:8" x14ac:dyDescent="0.2">
      <c r="B5286" t="s">
        <v>1433</v>
      </c>
      <c r="C5286" t="s">
        <v>12909</v>
      </c>
      <c r="D5286" t="s">
        <v>613</v>
      </c>
      <c r="E5286" t="s">
        <v>12706</v>
      </c>
      <c r="F5286">
        <v>112.99</v>
      </c>
      <c r="H5286" t="s">
        <v>2603</v>
      </c>
    </row>
    <row r="5287" spans="2:8" x14ac:dyDescent="0.2">
      <c r="B5287" t="s">
        <v>1433</v>
      </c>
      <c r="C5287" t="s">
        <v>12909</v>
      </c>
      <c r="D5287" t="s">
        <v>613</v>
      </c>
      <c r="E5287" t="s">
        <v>12707</v>
      </c>
      <c r="F5287">
        <v>85.9</v>
      </c>
      <c r="H5287" t="s">
        <v>2605</v>
      </c>
    </row>
    <row r="5288" spans="2:8" x14ac:dyDescent="0.2">
      <c r="B5288" t="s">
        <v>1433</v>
      </c>
      <c r="C5288" t="s">
        <v>12909</v>
      </c>
      <c r="D5288" t="s">
        <v>613</v>
      </c>
      <c r="E5288" t="s">
        <v>12708</v>
      </c>
      <c r="F5288">
        <v>145.93</v>
      </c>
      <c r="H5288" t="s">
        <v>2806</v>
      </c>
    </row>
    <row r="5289" spans="2:8" x14ac:dyDescent="0.2">
      <c r="B5289" t="s">
        <v>1433</v>
      </c>
      <c r="C5289" t="s">
        <v>12909</v>
      </c>
      <c r="D5289" t="s">
        <v>554</v>
      </c>
      <c r="E5289" t="s">
        <v>12709</v>
      </c>
      <c r="F5289">
        <v>11732</v>
      </c>
      <c r="H5289" t="s">
        <v>2977</v>
      </c>
    </row>
    <row r="5290" spans="2:8" x14ac:dyDescent="0.2">
      <c r="B5290" t="s">
        <v>1433</v>
      </c>
      <c r="C5290" t="s">
        <v>12909</v>
      </c>
      <c r="D5290" t="s">
        <v>613</v>
      </c>
      <c r="E5290" t="s">
        <v>12710</v>
      </c>
      <c r="F5290">
        <v>1.6</v>
      </c>
      <c r="H5290" t="s">
        <v>3482</v>
      </c>
    </row>
    <row r="5291" spans="2:8" x14ac:dyDescent="0.2">
      <c r="B5291" t="s">
        <v>1433</v>
      </c>
      <c r="C5291" t="s">
        <v>12909</v>
      </c>
      <c r="D5291" t="s">
        <v>613</v>
      </c>
      <c r="E5291" t="s">
        <v>12711</v>
      </c>
      <c r="F5291">
        <v>564.53</v>
      </c>
      <c r="H5291" t="s">
        <v>2162</v>
      </c>
    </row>
    <row r="5292" spans="2:8" x14ac:dyDescent="0.2">
      <c r="B5292" t="s">
        <v>1433</v>
      </c>
      <c r="C5292" t="s">
        <v>12909</v>
      </c>
      <c r="D5292" t="s">
        <v>613</v>
      </c>
      <c r="E5292" t="s">
        <v>12712</v>
      </c>
      <c r="F5292">
        <v>22.16</v>
      </c>
      <c r="H5292" t="s">
        <v>2737</v>
      </c>
    </row>
    <row r="5293" spans="2:8" x14ac:dyDescent="0.2">
      <c r="B5293" t="s">
        <v>1433</v>
      </c>
      <c r="C5293" t="s">
        <v>12909</v>
      </c>
      <c r="D5293" t="s">
        <v>613</v>
      </c>
      <c r="E5293" t="s">
        <v>12713</v>
      </c>
      <c r="F5293">
        <v>13.07</v>
      </c>
      <c r="H5293" t="s">
        <v>5286</v>
      </c>
    </row>
    <row r="5294" spans="2:8" x14ac:dyDescent="0.2">
      <c r="B5294" t="s">
        <v>1433</v>
      </c>
      <c r="C5294" t="s">
        <v>12909</v>
      </c>
      <c r="D5294" t="s">
        <v>613</v>
      </c>
      <c r="E5294" t="s">
        <v>12714</v>
      </c>
      <c r="F5294">
        <v>19.52</v>
      </c>
      <c r="H5294" t="s">
        <v>2967</v>
      </c>
    </row>
    <row r="5295" spans="2:8" x14ac:dyDescent="0.2">
      <c r="B5295" t="s">
        <v>1433</v>
      </c>
      <c r="C5295" t="s">
        <v>12909</v>
      </c>
      <c r="D5295" t="s">
        <v>613</v>
      </c>
      <c r="E5295" t="s">
        <v>12715</v>
      </c>
      <c r="F5295">
        <v>1.68</v>
      </c>
      <c r="H5295" t="s">
        <v>3485</v>
      </c>
    </row>
    <row r="5296" spans="2:8" x14ac:dyDescent="0.2">
      <c r="B5296" t="s">
        <v>1433</v>
      </c>
      <c r="C5296" t="s">
        <v>12909</v>
      </c>
      <c r="D5296" t="s">
        <v>613</v>
      </c>
      <c r="E5296" t="s">
        <v>12716</v>
      </c>
      <c r="F5296">
        <v>17.2</v>
      </c>
      <c r="H5296" t="s">
        <v>3484</v>
      </c>
    </row>
    <row r="5297" spans="2:8" x14ac:dyDescent="0.2">
      <c r="B5297" t="s">
        <v>1433</v>
      </c>
      <c r="C5297" t="s">
        <v>12909</v>
      </c>
      <c r="D5297" t="s">
        <v>613</v>
      </c>
      <c r="E5297" t="s">
        <v>12717</v>
      </c>
      <c r="F5297">
        <v>67.8</v>
      </c>
      <c r="H5297" t="s">
        <v>1243</v>
      </c>
    </row>
    <row r="5298" spans="2:8" x14ac:dyDescent="0.2">
      <c r="B5298" t="s">
        <v>1433</v>
      </c>
      <c r="C5298" t="s">
        <v>12909</v>
      </c>
      <c r="D5298" t="s">
        <v>613</v>
      </c>
      <c r="E5298" t="s">
        <v>12718</v>
      </c>
      <c r="F5298">
        <v>120.4</v>
      </c>
      <c r="H5298" t="s">
        <v>1245</v>
      </c>
    </row>
    <row r="5299" spans="2:8" x14ac:dyDescent="0.2">
      <c r="B5299" t="s">
        <v>1433</v>
      </c>
      <c r="C5299" t="s">
        <v>12909</v>
      </c>
      <c r="D5299" t="s">
        <v>554</v>
      </c>
      <c r="E5299" t="s">
        <v>12719</v>
      </c>
      <c r="F5299">
        <v>78.42</v>
      </c>
      <c r="H5299" t="s">
        <v>2444</v>
      </c>
    </row>
    <row r="5300" spans="2:8" x14ac:dyDescent="0.2">
      <c r="B5300" t="s">
        <v>1433</v>
      </c>
      <c r="C5300" t="s">
        <v>12909</v>
      </c>
      <c r="D5300" t="s">
        <v>84</v>
      </c>
      <c r="E5300" t="s">
        <v>12720</v>
      </c>
      <c r="F5300">
        <v>21</v>
      </c>
      <c r="H5300" t="s">
        <v>6257</v>
      </c>
    </row>
    <row r="5301" spans="2:8" x14ac:dyDescent="0.2">
      <c r="B5301" t="s">
        <v>1433</v>
      </c>
      <c r="C5301" t="s">
        <v>12909</v>
      </c>
      <c r="D5301" t="s">
        <v>84</v>
      </c>
      <c r="E5301" t="s">
        <v>12721</v>
      </c>
      <c r="F5301">
        <v>27.62</v>
      </c>
      <c r="H5301" t="s">
        <v>3553</v>
      </c>
    </row>
    <row r="5302" spans="2:8" x14ac:dyDescent="0.2">
      <c r="B5302" t="s">
        <v>1433</v>
      </c>
      <c r="C5302" t="s">
        <v>12909</v>
      </c>
      <c r="D5302" t="s">
        <v>613</v>
      </c>
      <c r="E5302" t="s">
        <v>12722</v>
      </c>
      <c r="F5302">
        <v>1331.7</v>
      </c>
      <c r="H5302" t="s">
        <v>1565</v>
      </c>
    </row>
    <row r="5303" spans="2:8" x14ac:dyDescent="0.2">
      <c r="B5303" t="s">
        <v>1433</v>
      </c>
      <c r="C5303" t="s">
        <v>12909</v>
      </c>
      <c r="D5303" t="s">
        <v>613</v>
      </c>
      <c r="E5303" t="s">
        <v>12723</v>
      </c>
      <c r="F5303">
        <v>266.33999999999997</v>
      </c>
      <c r="H5303" t="s">
        <v>1567</v>
      </c>
    </row>
    <row r="5304" spans="2:8" x14ac:dyDescent="0.2">
      <c r="B5304" t="s">
        <v>1433</v>
      </c>
      <c r="C5304" t="s">
        <v>12909</v>
      </c>
      <c r="D5304" t="s">
        <v>613</v>
      </c>
      <c r="E5304" t="s">
        <v>12724</v>
      </c>
      <c r="F5304">
        <v>101.08</v>
      </c>
      <c r="H5304" t="s">
        <v>1956</v>
      </c>
    </row>
    <row r="5305" spans="2:8" x14ac:dyDescent="0.2">
      <c r="B5305" t="s">
        <v>1433</v>
      </c>
      <c r="C5305" t="s">
        <v>12909</v>
      </c>
      <c r="D5305" t="s">
        <v>613</v>
      </c>
      <c r="E5305" t="s">
        <v>12725</v>
      </c>
      <c r="F5305">
        <v>1065.3599999999999</v>
      </c>
      <c r="H5305" t="s">
        <v>2211</v>
      </c>
    </row>
    <row r="5306" spans="2:8" x14ac:dyDescent="0.2">
      <c r="B5306" t="s">
        <v>1433</v>
      </c>
      <c r="C5306" t="s">
        <v>12909</v>
      </c>
      <c r="D5306" t="s">
        <v>613</v>
      </c>
      <c r="E5306" t="s">
        <v>12726</v>
      </c>
      <c r="F5306">
        <v>482.5</v>
      </c>
      <c r="H5306" t="s">
        <v>2960</v>
      </c>
    </row>
    <row r="5307" spans="2:8" x14ac:dyDescent="0.2">
      <c r="B5307" t="s">
        <v>1433</v>
      </c>
      <c r="C5307" t="s">
        <v>12909</v>
      </c>
      <c r="D5307" t="s">
        <v>613</v>
      </c>
      <c r="E5307" t="s">
        <v>12727</v>
      </c>
      <c r="F5307">
        <v>121.59</v>
      </c>
      <c r="H5307" t="s">
        <v>2962</v>
      </c>
    </row>
    <row r="5308" spans="2:8" x14ac:dyDescent="0.2">
      <c r="B5308" t="s">
        <v>1433</v>
      </c>
      <c r="C5308" t="s">
        <v>12909</v>
      </c>
      <c r="D5308" t="s">
        <v>554</v>
      </c>
      <c r="E5308" t="s">
        <v>12728</v>
      </c>
      <c r="F5308">
        <v>29294</v>
      </c>
      <c r="H5308" t="s">
        <v>2980</v>
      </c>
    </row>
    <row r="5309" spans="2:8" x14ac:dyDescent="0.2">
      <c r="B5309" t="s">
        <v>1433</v>
      </c>
      <c r="C5309" t="s">
        <v>12909</v>
      </c>
      <c r="D5309" t="s">
        <v>613</v>
      </c>
      <c r="E5309" t="s">
        <v>12729</v>
      </c>
      <c r="F5309">
        <v>33.659999999999997</v>
      </c>
      <c r="H5309" t="s">
        <v>2967</v>
      </c>
    </row>
    <row r="5310" spans="2:8" x14ac:dyDescent="0.2">
      <c r="B5310" t="s">
        <v>1433</v>
      </c>
      <c r="C5310" t="s">
        <v>12909</v>
      </c>
      <c r="D5310" t="s">
        <v>613</v>
      </c>
      <c r="E5310" t="s">
        <v>12730</v>
      </c>
      <c r="F5310">
        <v>60.79</v>
      </c>
      <c r="H5310" t="s">
        <v>2785</v>
      </c>
    </row>
    <row r="5311" spans="2:8" x14ac:dyDescent="0.2">
      <c r="B5311" t="s">
        <v>1433</v>
      </c>
      <c r="C5311" t="s">
        <v>12909</v>
      </c>
      <c r="D5311" t="s">
        <v>613</v>
      </c>
      <c r="E5311" t="s">
        <v>12731</v>
      </c>
      <c r="F5311">
        <v>133.16999999999999</v>
      </c>
      <c r="H5311" t="s">
        <v>1566</v>
      </c>
    </row>
    <row r="5312" spans="2:8" x14ac:dyDescent="0.2">
      <c r="B5312" t="s">
        <v>1433</v>
      </c>
      <c r="C5312" t="s">
        <v>12909</v>
      </c>
      <c r="D5312" t="s">
        <v>613</v>
      </c>
      <c r="E5312" t="s">
        <v>12732</v>
      </c>
      <c r="F5312">
        <v>5.84</v>
      </c>
      <c r="H5312" t="s">
        <v>1530</v>
      </c>
    </row>
    <row r="5313" spans="2:8" x14ac:dyDescent="0.2">
      <c r="B5313" t="s">
        <v>1433</v>
      </c>
      <c r="C5313" t="s">
        <v>12909</v>
      </c>
      <c r="D5313" t="s">
        <v>613</v>
      </c>
      <c r="E5313" t="s">
        <v>12733</v>
      </c>
      <c r="F5313">
        <v>36.28</v>
      </c>
      <c r="H5313" t="s">
        <v>1692</v>
      </c>
    </row>
    <row r="5314" spans="2:8" x14ac:dyDescent="0.2">
      <c r="B5314" t="s">
        <v>1433</v>
      </c>
      <c r="C5314" t="s">
        <v>12909</v>
      </c>
      <c r="D5314" t="s">
        <v>613</v>
      </c>
      <c r="E5314" t="s">
        <v>12734</v>
      </c>
      <c r="F5314">
        <v>43.44</v>
      </c>
      <c r="H5314" t="s">
        <v>1691</v>
      </c>
    </row>
    <row r="5315" spans="2:8" x14ac:dyDescent="0.2">
      <c r="B5315" t="s">
        <v>1433</v>
      </c>
      <c r="C5315" t="s">
        <v>12909</v>
      </c>
      <c r="D5315" t="s">
        <v>613</v>
      </c>
      <c r="E5315" t="s">
        <v>12735</v>
      </c>
      <c r="F5315">
        <v>63.14</v>
      </c>
      <c r="H5315" t="s">
        <v>1498</v>
      </c>
    </row>
    <row r="5316" spans="2:8" x14ac:dyDescent="0.2">
      <c r="B5316" t="s">
        <v>1433</v>
      </c>
      <c r="C5316" t="s">
        <v>12909</v>
      </c>
      <c r="D5316" t="s">
        <v>613</v>
      </c>
      <c r="E5316" t="s">
        <v>12736</v>
      </c>
      <c r="F5316">
        <v>136.72</v>
      </c>
      <c r="H5316" t="s">
        <v>1908</v>
      </c>
    </row>
    <row r="5317" spans="2:8" x14ac:dyDescent="0.2">
      <c r="B5317" t="s">
        <v>1433</v>
      </c>
      <c r="C5317" t="s">
        <v>12909</v>
      </c>
      <c r="D5317" t="s">
        <v>613</v>
      </c>
      <c r="E5317" t="s">
        <v>12737</v>
      </c>
      <c r="F5317">
        <v>175.92</v>
      </c>
      <c r="H5317" t="s">
        <v>1533</v>
      </c>
    </row>
    <row r="5318" spans="2:8" x14ac:dyDescent="0.2">
      <c r="B5318" t="s">
        <v>1433</v>
      </c>
      <c r="C5318" t="s">
        <v>12909</v>
      </c>
      <c r="D5318" t="s">
        <v>613</v>
      </c>
      <c r="E5318" t="s">
        <v>12738</v>
      </c>
      <c r="F5318">
        <v>17.36</v>
      </c>
      <c r="H5318" t="s">
        <v>1529</v>
      </c>
    </row>
    <row r="5319" spans="2:8" x14ac:dyDescent="0.2">
      <c r="B5319" t="s">
        <v>1433</v>
      </c>
      <c r="C5319" t="s">
        <v>12909</v>
      </c>
      <c r="D5319" t="s">
        <v>613</v>
      </c>
      <c r="E5319" t="s">
        <v>12739</v>
      </c>
      <c r="F5319">
        <v>109.92</v>
      </c>
      <c r="H5319" t="s">
        <v>1532</v>
      </c>
    </row>
    <row r="5320" spans="2:8" x14ac:dyDescent="0.2">
      <c r="B5320" t="s">
        <v>1433</v>
      </c>
      <c r="C5320" t="s">
        <v>12909</v>
      </c>
      <c r="D5320" t="s">
        <v>613</v>
      </c>
      <c r="E5320" t="s">
        <v>12740</v>
      </c>
      <c r="F5320">
        <v>3.2</v>
      </c>
      <c r="H5320" t="s">
        <v>3482</v>
      </c>
    </row>
    <row r="5321" spans="2:8" x14ac:dyDescent="0.2">
      <c r="B5321" t="s">
        <v>1433</v>
      </c>
      <c r="C5321" t="s">
        <v>12909</v>
      </c>
      <c r="D5321" t="s">
        <v>613</v>
      </c>
      <c r="E5321" t="s">
        <v>12741</v>
      </c>
      <c r="F5321">
        <v>109.92</v>
      </c>
      <c r="H5321" t="s">
        <v>1532</v>
      </c>
    </row>
    <row r="5322" spans="2:8" x14ac:dyDescent="0.2">
      <c r="B5322" t="s">
        <v>1433</v>
      </c>
      <c r="C5322" t="s">
        <v>12909</v>
      </c>
      <c r="D5322" t="s">
        <v>613</v>
      </c>
      <c r="E5322" t="s">
        <v>12742</v>
      </c>
      <c r="F5322">
        <v>60</v>
      </c>
      <c r="H5322" t="s">
        <v>3666</v>
      </c>
    </row>
    <row r="5323" spans="2:8" x14ac:dyDescent="0.2">
      <c r="B5323" t="s">
        <v>1433</v>
      </c>
      <c r="C5323" t="s">
        <v>12909</v>
      </c>
      <c r="D5323" t="s">
        <v>613</v>
      </c>
      <c r="E5323" t="s">
        <v>12743</v>
      </c>
      <c r="F5323">
        <v>4</v>
      </c>
      <c r="H5323" t="s">
        <v>3666</v>
      </c>
    </row>
    <row r="5324" spans="2:8" x14ac:dyDescent="0.2">
      <c r="B5324" t="s">
        <v>1433</v>
      </c>
      <c r="C5324" t="s">
        <v>12909</v>
      </c>
      <c r="D5324" t="s">
        <v>613</v>
      </c>
      <c r="E5324" t="s">
        <v>12744</v>
      </c>
      <c r="F5324">
        <v>7.52</v>
      </c>
      <c r="H5324" t="s">
        <v>3759</v>
      </c>
    </row>
    <row r="5325" spans="2:8" x14ac:dyDescent="0.2">
      <c r="B5325" t="s">
        <v>1433</v>
      </c>
      <c r="C5325" t="s">
        <v>12909</v>
      </c>
      <c r="D5325" t="s">
        <v>1137</v>
      </c>
      <c r="E5325" t="s">
        <v>12745</v>
      </c>
      <c r="F5325">
        <v>35</v>
      </c>
      <c r="G5325" t="s">
        <v>2779</v>
      </c>
    </row>
    <row r="5326" spans="2:8" x14ac:dyDescent="0.2">
      <c r="B5326" t="s">
        <v>1433</v>
      </c>
      <c r="C5326" t="s">
        <v>12909</v>
      </c>
      <c r="D5326" t="s">
        <v>1137</v>
      </c>
      <c r="E5326" t="s">
        <v>12746</v>
      </c>
      <c r="F5326">
        <v>692.5</v>
      </c>
      <c r="G5326" t="s">
        <v>2808</v>
      </c>
    </row>
    <row r="5327" spans="2:8" x14ac:dyDescent="0.2">
      <c r="B5327" t="s">
        <v>1433</v>
      </c>
      <c r="C5327" t="s">
        <v>12909</v>
      </c>
      <c r="D5327" t="s">
        <v>1137</v>
      </c>
      <c r="E5327" t="s">
        <v>12747</v>
      </c>
      <c r="F5327">
        <v>466</v>
      </c>
      <c r="G5327" t="s">
        <v>2921</v>
      </c>
    </row>
    <row r="5328" spans="2:8" x14ac:dyDescent="0.2">
      <c r="B5328" t="s">
        <v>1433</v>
      </c>
      <c r="C5328" t="s">
        <v>12909</v>
      </c>
      <c r="D5328" t="s">
        <v>1137</v>
      </c>
      <c r="E5328" t="s">
        <v>12748</v>
      </c>
      <c r="F5328">
        <v>480</v>
      </c>
      <c r="G5328" t="s">
        <v>2975</v>
      </c>
    </row>
    <row r="5329" spans="2:7" x14ac:dyDescent="0.2">
      <c r="B5329" t="s">
        <v>1433</v>
      </c>
      <c r="C5329" t="s">
        <v>12909</v>
      </c>
      <c r="D5329" t="s">
        <v>1137</v>
      </c>
      <c r="E5329" t="s">
        <v>12749</v>
      </c>
      <c r="F5329">
        <v>147</v>
      </c>
      <c r="G5329" t="s">
        <v>3215</v>
      </c>
    </row>
    <row r="5330" spans="2:7" x14ac:dyDescent="0.2">
      <c r="B5330" t="s">
        <v>1433</v>
      </c>
      <c r="C5330" t="s">
        <v>12909</v>
      </c>
      <c r="D5330" t="s">
        <v>1137</v>
      </c>
      <c r="E5330" t="s">
        <v>12750</v>
      </c>
      <c r="F5330">
        <v>128</v>
      </c>
      <c r="G5330" t="s">
        <v>3224</v>
      </c>
    </row>
    <row r="5331" spans="2:7" x14ac:dyDescent="0.2">
      <c r="B5331" t="s">
        <v>1433</v>
      </c>
      <c r="C5331" t="s">
        <v>12909</v>
      </c>
      <c r="D5331" t="s">
        <v>1137</v>
      </c>
      <c r="E5331" t="s">
        <v>12751</v>
      </c>
      <c r="F5331">
        <v>2920</v>
      </c>
      <c r="G5331" t="s">
        <v>3297</v>
      </c>
    </row>
    <row r="5332" spans="2:7" x14ac:dyDescent="0.2">
      <c r="B5332" t="s">
        <v>1433</v>
      </c>
      <c r="C5332" t="s">
        <v>12909</v>
      </c>
      <c r="D5332" t="s">
        <v>1137</v>
      </c>
      <c r="E5332" t="s">
        <v>12752</v>
      </c>
      <c r="F5332">
        <v>94</v>
      </c>
      <c r="G5332" t="s">
        <v>3313</v>
      </c>
    </row>
    <row r="5333" spans="2:7" x14ac:dyDescent="0.2">
      <c r="B5333" t="s">
        <v>1433</v>
      </c>
      <c r="C5333" t="s">
        <v>12909</v>
      </c>
      <c r="D5333" t="s">
        <v>1137</v>
      </c>
      <c r="E5333" t="s">
        <v>12753</v>
      </c>
      <c r="F5333">
        <v>44</v>
      </c>
      <c r="G5333" t="s">
        <v>3315</v>
      </c>
    </row>
    <row r="5334" spans="2:7" x14ac:dyDescent="0.2">
      <c r="B5334" t="s">
        <v>1433</v>
      </c>
      <c r="C5334" t="s">
        <v>12909</v>
      </c>
      <c r="D5334" t="s">
        <v>1137</v>
      </c>
      <c r="E5334" t="s">
        <v>12754</v>
      </c>
      <c r="F5334">
        <v>88</v>
      </c>
      <c r="G5334" t="s">
        <v>3317</v>
      </c>
    </row>
    <row r="5335" spans="2:7" x14ac:dyDescent="0.2">
      <c r="B5335" t="s">
        <v>1433</v>
      </c>
      <c r="C5335" t="s">
        <v>12909</v>
      </c>
      <c r="D5335" t="s">
        <v>1137</v>
      </c>
      <c r="E5335" t="s">
        <v>12755</v>
      </c>
      <c r="F5335">
        <v>49</v>
      </c>
      <c r="G5335" t="s">
        <v>3318</v>
      </c>
    </row>
    <row r="5336" spans="2:7" x14ac:dyDescent="0.2">
      <c r="B5336" t="s">
        <v>1433</v>
      </c>
      <c r="C5336" t="s">
        <v>12909</v>
      </c>
      <c r="D5336" t="s">
        <v>613</v>
      </c>
      <c r="E5336" t="s">
        <v>12756</v>
      </c>
      <c r="F5336">
        <v>3.36</v>
      </c>
      <c r="G5336" t="s">
        <v>7020</v>
      </c>
    </row>
    <row r="5337" spans="2:7" x14ac:dyDescent="0.2">
      <c r="B5337" t="s">
        <v>1433</v>
      </c>
      <c r="C5337" t="s">
        <v>12909</v>
      </c>
      <c r="D5337" t="s">
        <v>1144</v>
      </c>
      <c r="E5337" t="s">
        <v>12757</v>
      </c>
      <c r="F5337">
        <v>496.5</v>
      </c>
      <c r="G5337" t="s">
        <v>3915</v>
      </c>
    </row>
    <row r="5338" spans="2:7" x14ac:dyDescent="0.2">
      <c r="B5338" t="s">
        <v>1433</v>
      </c>
      <c r="C5338" t="s">
        <v>12909</v>
      </c>
      <c r="D5338" t="s">
        <v>1137</v>
      </c>
      <c r="E5338" t="s">
        <v>12758</v>
      </c>
      <c r="F5338">
        <v>985</v>
      </c>
      <c r="G5338" t="s">
        <v>3444</v>
      </c>
    </row>
    <row r="5339" spans="2:7" x14ac:dyDescent="0.2">
      <c r="B5339" t="s">
        <v>1433</v>
      </c>
      <c r="C5339" t="s">
        <v>12909</v>
      </c>
      <c r="D5339" t="s">
        <v>1137</v>
      </c>
      <c r="E5339" t="s">
        <v>12759</v>
      </c>
      <c r="F5339">
        <v>1004</v>
      </c>
      <c r="G5339" t="s">
        <v>3524</v>
      </c>
    </row>
    <row r="5340" spans="2:7" x14ac:dyDescent="0.2">
      <c r="B5340" t="s">
        <v>1433</v>
      </c>
      <c r="C5340" t="s">
        <v>12909</v>
      </c>
      <c r="D5340" t="s">
        <v>1137</v>
      </c>
      <c r="E5340" t="s">
        <v>12760</v>
      </c>
      <c r="F5340">
        <v>2395</v>
      </c>
      <c r="G5340" t="s">
        <v>3526</v>
      </c>
    </row>
    <row r="5341" spans="2:7" x14ac:dyDescent="0.2">
      <c r="B5341" t="s">
        <v>1433</v>
      </c>
      <c r="C5341" t="s">
        <v>12909</v>
      </c>
      <c r="D5341" t="s">
        <v>1137</v>
      </c>
      <c r="E5341" t="s">
        <v>12761</v>
      </c>
      <c r="F5341">
        <v>800</v>
      </c>
      <c r="G5341" t="s">
        <v>3537</v>
      </c>
    </row>
    <row r="5342" spans="2:7" x14ac:dyDescent="0.2">
      <c r="B5342" t="s">
        <v>1433</v>
      </c>
      <c r="C5342" t="s">
        <v>12909</v>
      </c>
      <c r="D5342" t="s">
        <v>1137</v>
      </c>
      <c r="E5342" t="s">
        <v>12762</v>
      </c>
      <c r="F5342">
        <v>381.76</v>
      </c>
      <c r="G5342" t="s">
        <v>3658</v>
      </c>
    </row>
    <row r="5343" spans="2:7" x14ac:dyDescent="0.2">
      <c r="B5343" t="s">
        <v>1433</v>
      </c>
      <c r="C5343" t="s">
        <v>12909</v>
      </c>
      <c r="D5343" t="s">
        <v>554</v>
      </c>
      <c r="E5343" t="s">
        <v>12763</v>
      </c>
      <c r="F5343">
        <v>2216.54</v>
      </c>
      <c r="G5343" t="s">
        <v>3694</v>
      </c>
    </row>
    <row r="5344" spans="2:7" x14ac:dyDescent="0.2">
      <c r="B5344" t="s">
        <v>1433</v>
      </c>
      <c r="C5344" t="s">
        <v>12909</v>
      </c>
      <c r="D5344" t="s">
        <v>1137</v>
      </c>
      <c r="E5344" t="s">
        <v>12764</v>
      </c>
      <c r="F5344">
        <v>2670</v>
      </c>
      <c r="G5344" t="s">
        <v>3723</v>
      </c>
    </row>
    <row r="5345" spans="2:7" x14ac:dyDescent="0.2">
      <c r="B5345" t="s">
        <v>1433</v>
      </c>
      <c r="C5345" t="s">
        <v>12909</v>
      </c>
      <c r="D5345" t="s">
        <v>1137</v>
      </c>
      <c r="E5345" t="s">
        <v>12765</v>
      </c>
      <c r="F5345">
        <v>76</v>
      </c>
      <c r="G5345" t="s">
        <v>3726</v>
      </c>
    </row>
    <row r="5346" spans="2:7" x14ac:dyDescent="0.2">
      <c r="B5346" t="s">
        <v>1433</v>
      </c>
      <c r="C5346" t="s">
        <v>12909</v>
      </c>
      <c r="D5346" t="s">
        <v>1137</v>
      </c>
      <c r="E5346" t="s">
        <v>12766</v>
      </c>
      <c r="F5346">
        <v>210.54</v>
      </c>
      <c r="G5346" t="s">
        <v>3718</v>
      </c>
    </row>
    <row r="5347" spans="2:7" x14ac:dyDescent="0.2">
      <c r="B5347" t="s">
        <v>1433</v>
      </c>
      <c r="C5347" t="s">
        <v>12909</v>
      </c>
      <c r="D5347" t="s">
        <v>1137</v>
      </c>
      <c r="E5347" t="s">
        <v>12767</v>
      </c>
      <c r="F5347">
        <v>416</v>
      </c>
      <c r="G5347" t="s">
        <v>3797</v>
      </c>
    </row>
    <row r="5348" spans="2:7" x14ac:dyDescent="0.2">
      <c r="B5348" t="s">
        <v>1433</v>
      </c>
      <c r="C5348" t="s">
        <v>12909</v>
      </c>
      <c r="D5348" t="s">
        <v>1137</v>
      </c>
      <c r="E5348" t="s">
        <v>12768</v>
      </c>
      <c r="F5348">
        <v>240</v>
      </c>
      <c r="G5348" t="s">
        <v>3799</v>
      </c>
    </row>
    <row r="5349" spans="2:7" x14ac:dyDescent="0.2">
      <c r="B5349" t="s">
        <v>1433</v>
      </c>
      <c r="C5349" t="s">
        <v>12909</v>
      </c>
      <c r="D5349" t="s">
        <v>1137</v>
      </c>
      <c r="E5349" t="s">
        <v>12769</v>
      </c>
      <c r="F5349">
        <v>1329.5</v>
      </c>
      <c r="G5349" t="s">
        <v>3807</v>
      </c>
    </row>
    <row r="5350" spans="2:7" x14ac:dyDescent="0.2">
      <c r="B5350" t="s">
        <v>1433</v>
      </c>
      <c r="C5350" t="s">
        <v>12909</v>
      </c>
      <c r="D5350" t="s">
        <v>1137</v>
      </c>
      <c r="E5350" t="s">
        <v>12770</v>
      </c>
      <c r="F5350">
        <v>1200</v>
      </c>
      <c r="G5350" t="s">
        <v>3862</v>
      </c>
    </row>
    <row r="5351" spans="2:7" x14ac:dyDescent="0.2">
      <c r="B5351" t="s">
        <v>1433</v>
      </c>
      <c r="C5351" t="s">
        <v>12909</v>
      </c>
      <c r="D5351" t="s">
        <v>1137</v>
      </c>
      <c r="E5351" t="s">
        <v>12771</v>
      </c>
      <c r="F5351">
        <v>456</v>
      </c>
      <c r="G5351" t="s">
        <v>3928</v>
      </c>
    </row>
    <row r="5352" spans="2:7" x14ac:dyDescent="0.2">
      <c r="B5352" t="s">
        <v>1433</v>
      </c>
      <c r="C5352" t="s">
        <v>12909</v>
      </c>
      <c r="D5352" t="s">
        <v>1137</v>
      </c>
      <c r="E5352" t="s">
        <v>12772</v>
      </c>
      <c r="F5352">
        <v>349</v>
      </c>
      <c r="G5352" t="s">
        <v>3932</v>
      </c>
    </row>
    <row r="5353" spans="2:7" x14ac:dyDescent="0.2">
      <c r="B5353" t="s">
        <v>1433</v>
      </c>
      <c r="C5353" t="s">
        <v>12909</v>
      </c>
      <c r="D5353" t="s">
        <v>1137</v>
      </c>
      <c r="E5353" t="s">
        <v>12773</v>
      </c>
      <c r="F5353">
        <v>788</v>
      </c>
      <c r="G5353" t="s">
        <v>4026</v>
      </c>
    </row>
    <row r="5354" spans="2:7" x14ac:dyDescent="0.2">
      <c r="B5354" t="s">
        <v>1433</v>
      </c>
      <c r="C5354" t="s">
        <v>12909</v>
      </c>
      <c r="D5354" t="s">
        <v>1137</v>
      </c>
      <c r="E5354" t="s">
        <v>12774</v>
      </c>
      <c r="F5354">
        <v>1360</v>
      </c>
      <c r="G5354" t="s">
        <v>4031</v>
      </c>
    </row>
    <row r="5355" spans="2:7" x14ac:dyDescent="0.2">
      <c r="B5355" t="s">
        <v>1433</v>
      </c>
      <c r="C5355" t="s">
        <v>12909</v>
      </c>
      <c r="D5355" t="s">
        <v>1137</v>
      </c>
      <c r="E5355" t="s">
        <v>12775</v>
      </c>
      <c r="F5355">
        <v>96</v>
      </c>
      <c r="G5355" t="s">
        <v>4093</v>
      </c>
    </row>
    <row r="5356" spans="2:7" x14ac:dyDescent="0.2">
      <c r="B5356" t="s">
        <v>1433</v>
      </c>
      <c r="C5356" t="s">
        <v>12909</v>
      </c>
      <c r="D5356" t="s">
        <v>1137</v>
      </c>
      <c r="E5356" t="s">
        <v>12776</v>
      </c>
      <c r="F5356">
        <v>96</v>
      </c>
      <c r="G5356" t="s">
        <v>4095</v>
      </c>
    </row>
    <row r="5357" spans="2:7" x14ac:dyDescent="0.2">
      <c r="B5357" t="s">
        <v>1433</v>
      </c>
      <c r="C5357" t="s">
        <v>12909</v>
      </c>
      <c r="D5357" t="s">
        <v>478</v>
      </c>
      <c r="E5357" t="s">
        <v>12777</v>
      </c>
      <c r="F5357">
        <v>9745.75</v>
      </c>
      <c r="G5357" t="s">
        <v>12778</v>
      </c>
    </row>
    <row r="5358" spans="2:7" x14ac:dyDescent="0.2">
      <c r="B5358" t="s">
        <v>1433</v>
      </c>
      <c r="C5358" t="s">
        <v>12910</v>
      </c>
      <c r="D5358" t="s">
        <v>1030</v>
      </c>
      <c r="E5358" t="s">
        <v>12779</v>
      </c>
      <c r="F5358">
        <v>5510.5</v>
      </c>
      <c r="G5358" t="s">
        <v>3508</v>
      </c>
    </row>
    <row r="5359" spans="2:7" x14ac:dyDescent="0.2">
      <c r="B5359" t="s">
        <v>1433</v>
      </c>
      <c r="C5359" t="s">
        <v>12910</v>
      </c>
      <c r="D5359" t="s">
        <v>1041</v>
      </c>
      <c r="E5359" t="s">
        <v>12780</v>
      </c>
      <c r="F5359">
        <v>5510.5</v>
      </c>
      <c r="G5359" t="s">
        <v>3510</v>
      </c>
    </row>
    <row r="5360" spans="2:7" x14ac:dyDescent="0.2">
      <c r="B5360" t="s">
        <v>1433</v>
      </c>
      <c r="C5360" t="s">
        <v>12910</v>
      </c>
      <c r="D5360" t="s">
        <v>1048</v>
      </c>
      <c r="E5360" t="s">
        <v>12782</v>
      </c>
      <c r="F5360">
        <v>1258</v>
      </c>
      <c r="G5360" t="s">
        <v>3572</v>
      </c>
    </row>
    <row r="5361" spans="2:7" x14ac:dyDescent="0.2">
      <c r="B5361" t="s">
        <v>1433</v>
      </c>
      <c r="C5361" t="s">
        <v>12910</v>
      </c>
      <c r="D5361" t="s">
        <v>1048</v>
      </c>
      <c r="E5361" t="s">
        <v>12783</v>
      </c>
      <c r="F5361">
        <v>1214</v>
      </c>
      <c r="G5361" t="s">
        <v>3582</v>
      </c>
    </row>
    <row r="5362" spans="2:7" x14ac:dyDescent="0.2">
      <c r="B5362" t="s">
        <v>1433</v>
      </c>
      <c r="C5362" t="s">
        <v>12910</v>
      </c>
      <c r="D5362" t="s">
        <v>1048</v>
      </c>
      <c r="E5362" t="s">
        <v>12784</v>
      </c>
      <c r="F5362">
        <v>1262.5</v>
      </c>
      <c r="G5362" t="s">
        <v>3584</v>
      </c>
    </row>
    <row r="5363" spans="2:7" x14ac:dyDescent="0.2">
      <c r="B5363" t="s">
        <v>1433</v>
      </c>
      <c r="C5363" t="s">
        <v>12910</v>
      </c>
      <c r="D5363" t="s">
        <v>1048</v>
      </c>
      <c r="E5363" t="s">
        <v>12785</v>
      </c>
      <c r="F5363">
        <v>1162.5</v>
      </c>
      <c r="G5363" t="s">
        <v>3588</v>
      </c>
    </row>
    <row r="5364" spans="2:7" x14ac:dyDescent="0.2">
      <c r="B5364" t="s">
        <v>1433</v>
      </c>
      <c r="C5364" t="s">
        <v>12910</v>
      </c>
      <c r="D5364" t="s">
        <v>1048</v>
      </c>
      <c r="E5364" t="s">
        <v>12786</v>
      </c>
      <c r="F5364">
        <v>2567</v>
      </c>
      <c r="G5364" t="s">
        <v>3589</v>
      </c>
    </row>
    <row r="5365" spans="2:7" x14ac:dyDescent="0.2">
      <c r="B5365" t="s">
        <v>1433</v>
      </c>
      <c r="C5365" t="s">
        <v>12910</v>
      </c>
      <c r="D5365" t="s">
        <v>954</v>
      </c>
      <c r="E5365" t="s">
        <v>12787</v>
      </c>
      <c r="F5365">
        <v>12240</v>
      </c>
      <c r="G5365" t="s">
        <v>3633</v>
      </c>
    </row>
    <row r="5366" spans="2:7" x14ac:dyDescent="0.2">
      <c r="B5366" t="s">
        <v>1433</v>
      </c>
      <c r="C5366" t="s">
        <v>12910</v>
      </c>
      <c r="D5366" t="s">
        <v>967</v>
      </c>
      <c r="E5366" t="s">
        <v>12788</v>
      </c>
      <c r="F5366">
        <v>7134</v>
      </c>
      <c r="G5366" t="s">
        <v>3635</v>
      </c>
    </row>
    <row r="5367" spans="2:7" x14ac:dyDescent="0.2">
      <c r="B5367" t="s">
        <v>1433</v>
      </c>
      <c r="C5367" t="s">
        <v>12910</v>
      </c>
      <c r="D5367" t="s">
        <v>967</v>
      </c>
      <c r="E5367" t="s">
        <v>12789</v>
      </c>
      <c r="F5367">
        <v>12240</v>
      </c>
      <c r="G5367" t="s">
        <v>3635</v>
      </c>
    </row>
    <row r="5368" spans="2:7" x14ac:dyDescent="0.2">
      <c r="B5368" t="s">
        <v>1433</v>
      </c>
      <c r="C5368" t="s">
        <v>12910</v>
      </c>
      <c r="D5368" t="s">
        <v>1048</v>
      </c>
      <c r="E5368" t="s">
        <v>12790</v>
      </c>
      <c r="F5368">
        <v>1000</v>
      </c>
      <c r="G5368" t="s">
        <v>3707</v>
      </c>
    </row>
    <row r="5369" spans="2:7" x14ac:dyDescent="0.2">
      <c r="B5369" t="s">
        <v>1433</v>
      </c>
      <c r="C5369" t="s">
        <v>12910</v>
      </c>
      <c r="D5369" t="s">
        <v>1048</v>
      </c>
      <c r="E5369" t="s">
        <v>12791</v>
      </c>
      <c r="F5369">
        <v>960</v>
      </c>
      <c r="G5369" t="s">
        <v>3696</v>
      </c>
    </row>
    <row r="5370" spans="2:7" x14ac:dyDescent="0.2">
      <c r="B5370" t="s">
        <v>1433</v>
      </c>
      <c r="C5370" t="s">
        <v>12910</v>
      </c>
      <c r="D5370" t="s">
        <v>1048</v>
      </c>
      <c r="E5370" t="s">
        <v>12792</v>
      </c>
      <c r="F5370">
        <v>960</v>
      </c>
      <c r="G5370" t="s">
        <v>3699</v>
      </c>
    </row>
    <row r="5371" spans="2:7" x14ac:dyDescent="0.2">
      <c r="B5371" t="s">
        <v>1433</v>
      </c>
      <c r="C5371" t="s">
        <v>12910</v>
      </c>
      <c r="D5371" t="s">
        <v>1048</v>
      </c>
      <c r="E5371" t="s">
        <v>12793</v>
      </c>
      <c r="F5371">
        <v>768</v>
      </c>
      <c r="G5371" t="s">
        <v>3705</v>
      </c>
    </row>
    <row r="5372" spans="2:7" x14ac:dyDescent="0.2">
      <c r="B5372" t="s">
        <v>1433</v>
      </c>
      <c r="C5372" t="s">
        <v>12910</v>
      </c>
      <c r="D5372" t="s">
        <v>1048</v>
      </c>
      <c r="E5372" t="s">
        <v>12794</v>
      </c>
      <c r="F5372">
        <v>968</v>
      </c>
      <c r="G5372" t="s">
        <v>3746</v>
      </c>
    </row>
    <row r="5373" spans="2:7" x14ac:dyDescent="0.2">
      <c r="B5373" t="s">
        <v>1433</v>
      </c>
      <c r="C5373" t="s">
        <v>12910</v>
      </c>
      <c r="D5373" t="s">
        <v>1048</v>
      </c>
      <c r="E5373" t="s">
        <v>12795</v>
      </c>
      <c r="F5373">
        <v>768</v>
      </c>
      <c r="G5373" t="s">
        <v>3750</v>
      </c>
    </row>
    <row r="5374" spans="2:7" x14ac:dyDescent="0.2">
      <c r="B5374" t="s">
        <v>1433</v>
      </c>
      <c r="C5374" t="s">
        <v>12910</v>
      </c>
      <c r="D5374" t="s">
        <v>1048</v>
      </c>
      <c r="E5374" t="s">
        <v>12796</v>
      </c>
      <c r="F5374">
        <v>960</v>
      </c>
      <c r="G5374" t="s">
        <v>3752</v>
      </c>
    </row>
    <row r="5375" spans="2:7" x14ac:dyDescent="0.2">
      <c r="B5375" t="s">
        <v>1433</v>
      </c>
      <c r="C5375" t="s">
        <v>12910</v>
      </c>
      <c r="D5375" t="s">
        <v>621</v>
      </c>
      <c r="E5375" t="s">
        <v>12797</v>
      </c>
      <c r="F5375">
        <v>1092.96</v>
      </c>
      <c r="G5375" t="s">
        <v>3739</v>
      </c>
    </row>
    <row r="5376" spans="2:7" x14ac:dyDescent="0.2">
      <c r="B5376" t="s">
        <v>1433</v>
      </c>
      <c r="C5376" t="s">
        <v>12910</v>
      </c>
      <c r="D5376" t="s">
        <v>621</v>
      </c>
      <c r="E5376" t="s">
        <v>12798</v>
      </c>
      <c r="F5376">
        <v>713.24</v>
      </c>
      <c r="G5376" t="s">
        <v>3740</v>
      </c>
    </row>
    <row r="5377" spans="2:7" x14ac:dyDescent="0.2">
      <c r="B5377" t="s">
        <v>1433</v>
      </c>
      <c r="C5377" t="s">
        <v>12910</v>
      </c>
      <c r="D5377" t="s">
        <v>621</v>
      </c>
      <c r="E5377" t="s">
        <v>12799</v>
      </c>
      <c r="F5377">
        <v>254.84</v>
      </c>
      <c r="G5377" t="s">
        <v>3741</v>
      </c>
    </row>
    <row r="5378" spans="2:7" x14ac:dyDescent="0.2">
      <c r="B5378" t="s">
        <v>1433</v>
      </c>
      <c r="C5378" t="s">
        <v>12910</v>
      </c>
      <c r="D5378" t="s">
        <v>621</v>
      </c>
      <c r="E5378" t="s">
        <v>12800</v>
      </c>
      <c r="F5378">
        <v>228.05</v>
      </c>
      <c r="G5378" t="s">
        <v>3742</v>
      </c>
    </row>
    <row r="5379" spans="2:7" x14ac:dyDescent="0.2">
      <c r="B5379" t="s">
        <v>1433</v>
      </c>
      <c r="C5379" t="s">
        <v>12910</v>
      </c>
      <c r="D5379" t="s">
        <v>1048</v>
      </c>
      <c r="E5379" t="s">
        <v>12801</v>
      </c>
      <c r="F5379">
        <v>768</v>
      </c>
      <c r="G5379" t="s">
        <v>3771</v>
      </c>
    </row>
    <row r="5380" spans="2:7" x14ac:dyDescent="0.2">
      <c r="B5380" t="s">
        <v>1433</v>
      </c>
      <c r="C5380" t="s">
        <v>12910</v>
      </c>
      <c r="D5380" t="s">
        <v>1041</v>
      </c>
      <c r="E5380" t="s">
        <v>12802</v>
      </c>
      <c r="F5380">
        <v>32640</v>
      </c>
      <c r="G5380" t="s">
        <v>3775</v>
      </c>
    </row>
    <row r="5381" spans="2:7" x14ac:dyDescent="0.2">
      <c r="B5381" t="s">
        <v>1433</v>
      </c>
      <c r="C5381" t="s">
        <v>12910</v>
      </c>
      <c r="D5381" t="s">
        <v>1048</v>
      </c>
      <c r="E5381" t="s">
        <v>12803</v>
      </c>
      <c r="F5381">
        <v>901</v>
      </c>
      <c r="G5381" t="s">
        <v>3817</v>
      </c>
    </row>
    <row r="5382" spans="2:7" x14ac:dyDescent="0.2">
      <c r="B5382" t="s">
        <v>1433</v>
      </c>
      <c r="C5382" t="s">
        <v>12910</v>
      </c>
      <c r="D5382" t="s">
        <v>1048</v>
      </c>
      <c r="E5382" t="s">
        <v>12804</v>
      </c>
      <c r="F5382">
        <v>812.35</v>
      </c>
      <c r="G5382" t="s">
        <v>3819</v>
      </c>
    </row>
    <row r="5383" spans="2:7" x14ac:dyDescent="0.2">
      <c r="B5383" t="s">
        <v>1433</v>
      </c>
      <c r="C5383" t="s">
        <v>12910</v>
      </c>
      <c r="D5383" t="s">
        <v>1048</v>
      </c>
      <c r="E5383" t="s">
        <v>12805</v>
      </c>
      <c r="F5383">
        <v>812.35</v>
      </c>
      <c r="G5383" t="s">
        <v>3826</v>
      </c>
    </row>
    <row r="5384" spans="2:7" x14ac:dyDescent="0.2">
      <c r="B5384" t="s">
        <v>1433</v>
      </c>
      <c r="C5384" t="s">
        <v>12910</v>
      </c>
      <c r="D5384" t="s">
        <v>1048</v>
      </c>
      <c r="E5384" t="s">
        <v>12806</v>
      </c>
      <c r="F5384">
        <v>968</v>
      </c>
      <c r="G5384" t="s">
        <v>3864</v>
      </c>
    </row>
    <row r="5385" spans="2:7" x14ac:dyDescent="0.2">
      <c r="B5385" t="s">
        <v>1433</v>
      </c>
      <c r="C5385" t="s">
        <v>12910</v>
      </c>
      <c r="D5385" t="s">
        <v>372</v>
      </c>
      <c r="E5385" t="s">
        <v>12807</v>
      </c>
      <c r="F5385">
        <v>4098.6400000000003</v>
      </c>
      <c r="G5385" t="s">
        <v>12781</v>
      </c>
    </row>
    <row r="5386" spans="2:7" x14ac:dyDescent="0.2">
      <c r="B5386" t="s">
        <v>1433</v>
      </c>
      <c r="C5386" t="s">
        <v>12911</v>
      </c>
      <c r="D5386" t="s">
        <v>1048</v>
      </c>
      <c r="E5386" t="s">
        <v>12808</v>
      </c>
      <c r="F5386">
        <v>1000</v>
      </c>
      <c r="G5386" t="s">
        <v>3470</v>
      </c>
    </row>
    <row r="5387" spans="2:7" x14ac:dyDescent="0.2">
      <c r="B5387" t="s">
        <v>1433</v>
      </c>
      <c r="C5387" t="s">
        <v>12911</v>
      </c>
      <c r="D5387" t="s">
        <v>1041</v>
      </c>
      <c r="E5387" t="s">
        <v>12809</v>
      </c>
      <c r="F5387">
        <v>15200</v>
      </c>
      <c r="G5387" t="s">
        <v>3466</v>
      </c>
    </row>
    <row r="5388" spans="2:7" x14ac:dyDescent="0.2">
      <c r="B5388" t="s">
        <v>1433</v>
      </c>
      <c r="C5388" t="s">
        <v>12911</v>
      </c>
      <c r="D5388" t="s">
        <v>1030</v>
      </c>
      <c r="E5388" t="s">
        <v>12811</v>
      </c>
      <c r="F5388">
        <v>8516</v>
      </c>
      <c r="G5388" t="s">
        <v>3475</v>
      </c>
    </row>
    <row r="5389" spans="2:7" x14ac:dyDescent="0.2">
      <c r="B5389" t="s">
        <v>1433</v>
      </c>
      <c r="C5389" t="s">
        <v>12911</v>
      </c>
      <c r="D5389" t="s">
        <v>1030</v>
      </c>
      <c r="E5389" t="s">
        <v>12813</v>
      </c>
      <c r="F5389">
        <v>4226</v>
      </c>
      <c r="G5389" t="s">
        <v>3478</v>
      </c>
    </row>
    <row r="5390" spans="2:7" x14ac:dyDescent="0.2">
      <c r="B5390" t="s">
        <v>1433</v>
      </c>
      <c r="C5390" t="s">
        <v>12911</v>
      </c>
      <c r="D5390" t="s">
        <v>1030</v>
      </c>
      <c r="E5390" t="s">
        <v>12814</v>
      </c>
      <c r="F5390">
        <v>5266</v>
      </c>
      <c r="G5390" t="s">
        <v>3511</v>
      </c>
    </row>
    <row r="5391" spans="2:7" x14ac:dyDescent="0.2">
      <c r="B5391" t="s">
        <v>1433</v>
      </c>
      <c r="C5391" t="s">
        <v>12911</v>
      </c>
      <c r="D5391" t="s">
        <v>1030</v>
      </c>
      <c r="E5391" t="s">
        <v>12815</v>
      </c>
      <c r="F5391">
        <v>4950</v>
      </c>
      <c r="G5391" t="s">
        <v>3549</v>
      </c>
    </row>
    <row r="5392" spans="2:7" x14ac:dyDescent="0.2">
      <c r="B5392" t="s">
        <v>1433</v>
      </c>
      <c r="C5392" t="s">
        <v>12911</v>
      </c>
      <c r="D5392" t="s">
        <v>1048</v>
      </c>
      <c r="E5392" t="s">
        <v>12816</v>
      </c>
      <c r="F5392">
        <v>1250</v>
      </c>
      <c r="G5392" t="s">
        <v>3585</v>
      </c>
    </row>
    <row r="5393" spans="2:7" x14ac:dyDescent="0.2">
      <c r="B5393" t="s">
        <v>1433</v>
      </c>
      <c r="C5393" t="s">
        <v>12911</v>
      </c>
      <c r="D5393" t="s">
        <v>1048</v>
      </c>
      <c r="E5393" t="s">
        <v>12817</v>
      </c>
      <c r="F5393">
        <v>1250</v>
      </c>
      <c r="G5393" t="s">
        <v>3592</v>
      </c>
    </row>
    <row r="5394" spans="2:7" x14ac:dyDescent="0.2">
      <c r="B5394" t="s">
        <v>1433</v>
      </c>
      <c r="C5394" t="s">
        <v>12911</v>
      </c>
      <c r="D5394" t="s">
        <v>1048</v>
      </c>
      <c r="E5394" t="s">
        <v>12818</v>
      </c>
      <c r="F5394">
        <v>1250</v>
      </c>
      <c r="G5394" t="s">
        <v>3594</v>
      </c>
    </row>
    <row r="5395" spans="2:7" x14ac:dyDescent="0.2">
      <c r="B5395" t="s">
        <v>1433</v>
      </c>
      <c r="C5395" t="s">
        <v>12911</v>
      </c>
      <c r="D5395" t="s">
        <v>1048</v>
      </c>
      <c r="E5395" t="s">
        <v>12819</v>
      </c>
      <c r="F5395">
        <v>1000</v>
      </c>
      <c r="G5395" t="s">
        <v>3701</v>
      </c>
    </row>
    <row r="5396" spans="2:7" x14ac:dyDescent="0.2">
      <c r="B5396" t="s">
        <v>1433</v>
      </c>
      <c r="C5396" t="s">
        <v>12911</v>
      </c>
      <c r="D5396" t="s">
        <v>1048</v>
      </c>
      <c r="E5396" t="s">
        <v>12820</v>
      </c>
      <c r="F5396">
        <v>1000</v>
      </c>
      <c r="G5396" t="s">
        <v>3703</v>
      </c>
    </row>
    <row r="5397" spans="2:7" x14ac:dyDescent="0.2">
      <c r="B5397" t="s">
        <v>1433</v>
      </c>
      <c r="C5397" t="s">
        <v>12911</v>
      </c>
      <c r="D5397" t="s">
        <v>1048</v>
      </c>
      <c r="E5397" t="s">
        <v>12821</v>
      </c>
      <c r="F5397">
        <v>1016</v>
      </c>
      <c r="G5397" t="s">
        <v>3745</v>
      </c>
    </row>
    <row r="5398" spans="2:7" x14ac:dyDescent="0.2">
      <c r="B5398" t="s">
        <v>1433</v>
      </c>
      <c r="C5398" t="s">
        <v>12911</v>
      </c>
      <c r="D5398" t="s">
        <v>621</v>
      </c>
      <c r="E5398" t="s">
        <v>12822</v>
      </c>
      <c r="F5398">
        <v>1019.36</v>
      </c>
      <c r="G5398" t="s">
        <v>3735</v>
      </c>
    </row>
    <row r="5399" spans="2:7" x14ac:dyDescent="0.2">
      <c r="B5399" t="s">
        <v>1433</v>
      </c>
      <c r="C5399" t="s">
        <v>12911</v>
      </c>
      <c r="D5399" t="s">
        <v>621</v>
      </c>
      <c r="E5399" t="s">
        <v>12823</v>
      </c>
      <c r="F5399">
        <v>456.1</v>
      </c>
      <c r="G5399" t="s">
        <v>3737</v>
      </c>
    </row>
    <row r="5400" spans="2:7" x14ac:dyDescent="0.2">
      <c r="B5400" t="s">
        <v>1433</v>
      </c>
      <c r="C5400" t="s">
        <v>12911</v>
      </c>
      <c r="D5400" t="s">
        <v>621</v>
      </c>
      <c r="E5400" t="s">
        <v>12824</v>
      </c>
      <c r="F5400">
        <v>323.62</v>
      </c>
      <c r="G5400" t="s">
        <v>3738</v>
      </c>
    </row>
    <row r="5401" spans="2:7" x14ac:dyDescent="0.2">
      <c r="B5401" t="s">
        <v>1433</v>
      </c>
      <c r="C5401" t="s">
        <v>12911</v>
      </c>
      <c r="D5401" t="s">
        <v>1048</v>
      </c>
      <c r="E5401" t="s">
        <v>12825</v>
      </c>
      <c r="F5401">
        <v>1216</v>
      </c>
      <c r="G5401" t="s">
        <v>3768</v>
      </c>
    </row>
    <row r="5402" spans="2:7" x14ac:dyDescent="0.2">
      <c r="B5402" t="s">
        <v>1433</v>
      </c>
      <c r="C5402" t="s">
        <v>12911</v>
      </c>
      <c r="D5402" t="s">
        <v>1048</v>
      </c>
      <c r="E5402" t="s">
        <v>12826</v>
      </c>
      <c r="F5402">
        <v>1016</v>
      </c>
      <c r="G5402" t="s">
        <v>3811</v>
      </c>
    </row>
    <row r="5403" spans="2:7" x14ac:dyDescent="0.2">
      <c r="B5403" t="s">
        <v>1433</v>
      </c>
      <c r="C5403" t="s">
        <v>12911</v>
      </c>
      <c r="D5403" t="s">
        <v>1048</v>
      </c>
      <c r="E5403" t="s">
        <v>12827</v>
      </c>
      <c r="F5403">
        <v>1274.0999999999999</v>
      </c>
      <c r="G5403" t="s">
        <v>3815</v>
      </c>
    </row>
    <row r="5404" spans="2:7" x14ac:dyDescent="0.2">
      <c r="B5404" t="s">
        <v>1433</v>
      </c>
      <c r="C5404" t="s">
        <v>12911</v>
      </c>
      <c r="D5404" t="s">
        <v>1048</v>
      </c>
      <c r="E5404" t="s">
        <v>12828</v>
      </c>
      <c r="F5404">
        <v>1216</v>
      </c>
      <c r="G5404" t="s">
        <v>3821</v>
      </c>
    </row>
    <row r="5405" spans="2:7" x14ac:dyDescent="0.2">
      <c r="B5405" t="s">
        <v>1433</v>
      </c>
      <c r="C5405" t="s">
        <v>12911</v>
      </c>
      <c r="D5405" t="s">
        <v>1048</v>
      </c>
      <c r="E5405" t="s">
        <v>12829</v>
      </c>
      <c r="F5405">
        <v>1271.1099999999999</v>
      </c>
      <c r="G5405" t="s">
        <v>3824</v>
      </c>
    </row>
    <row r="5406" spans="2:7" x14ac:dyDescent="0.2">
      <c r="B5406" t="s">
        <v>1433</v>
      </c>
      <c r="C5406" t="s">
        <v>12911</v>
      </c>
      <c r="D5406" t="s">
        <v>1048</v>
      </c>
      <c r="E5406" t="s">
        <v>12830</v>
      </c>
      <c r="F5406">
        <v>1216</v>
      </c>
      <c r="G5406" t="s">
        <v>3828</v>
      </c>
    </row>
    <row r="5407" spans="2:7" x14ac:dyDescent="0.2">
      <c r="B5407" t="s">
        <v>1433</v>
      </c>
      <c r="C5407" t="s">
        <v>12911</v>
      </c>
      <c r="D5407" t="s">
        <v>1048</v>
      </c>
      <c r="E5407" t="s">
        <v>12831</v>
      </c>
      <c r="F5407">
        <v>960</v>
      </c>
      <c r="G5407" t="s">
        <v>3830</v>
      </c>
    </row>
    <row r="5408" spans="2:7" x14ac:dyDescent="0.2">
      <c r="B5408" t="s">
        <v>1433</v>
      </c>
      <c r="C5408" t="s">
        <v>12911</v>
      </c>
      <c r="D5408" t="s">
        <v>1048</v>
      </c>
      <c r="E5408" t="s">
        <v>12832</v>
      </c>
      <c r="F5408">
        <v>1240.1600000000001</v>
      </c>
      <c r="G5408" t="s">
        <v>3842</v>
      </c>
    </row>
    <row r="5409" spans="2:7" x14ac:dyDescent="0.2">
      <c r="B5409" t="s">
        <v>1433</v>
      </c>
      <c r="C5409" t="s">
        <v>12911</v>
      </c>
      <c r="D5409" t="s">
        <v>1048</v>
      </c>
      <c r="E5409" t="s">
        <v>12833</v>
      </c>
      <c r="F5409">
        <v>1473.87</v>
      </c>
      <c r="G5409" t="s">
        <v>3844</v>
      </c>
    </row>
    <row r="5410" spans="2:7" x14ac:dyDescent="0.2">
      <c r="B5410" t="s">
        <v>1433</v>
      </c>
      <c r="C5410" t="s">
        <v>12911</v>
      </c>
      <c r="D5410" t="s">
        <v>372</v>
      </c>
      <c r="E5410" t="s">
        <v>12834</v>
      </c>
      <c r="F5410">
        <v>3378</v>
      </c>
      <c r="G5410" t="s">
        <v>12810</v>
      </c>
    </row>
    <row r="5411" spans="2:7" x14ac:dyDescent="0.2">
      <c r="B5411" t="s">
        <v>1433</v>
      </c>
      <c r="C5411" t="s">
        <v>12911</v>
      </c>
      <c r="D5411" t="s">
        <v>498</v>
      </c>
      <c r="E5411" t="s">
        <v>12835</v>
      </c>
      <c r="F5411">
        <v>415.5</v>
      </c>
      <c r="G5411" t="s">
        <v>12812</v>
      </c>
    </row>
    <row r="5412" spans="2:7" x14ac:dyDescent="0.2">
      <c r="B5412" t="s">
        <v>1433</v>
      </c>
      <c r="C5412" t="s">
        <v>12912</v>
      </c>
      <c r="D5412" t="s">
        <v>845</v>
      </c>
      <c r="E5412" t="s">
        <v>12836</v>
      </c>
      <c r="F5412">
        <v>23027</v>
      </c>
      <c r="G5412" t="s">
        <v>3636</v>
      </c>
    </row>
    <row r="5413" spans="2:7" x14ac:dyDescent="0.2">
      <c r="B5413" t="s">
        <v>1433</v>
      </c>
      <c r="C5413" t="s">
        <v>12912</v>
      </c>
      <c r="D5413" t="s">
        <v>856</v>
      </c>
      <c r="E5413" t="s">
        <v>12837</v>
      </c>
      <c r="F5413">
        <v>23027</v>
      </c>
      <c r="G5413" t="s">
        <v>3637</v>
      </c>
    </row>
    <row r="5414" spans="2:7" x14ac:dyDescent="0.2">
      <c r="B5414" t="s">
        <v>1433</v>
      </c>
      <c r="C5414" t="s">
        <v>12912</v>
      </c>
      <c r="D5414" t="s">
        <v>1048</v>
      </c>
      <c r="E5414" t="s">
        <v>12839</v>
      </c>
      <c r="F5414">
        <v>192</v>
      </c>
      <c r="G5414" t="s">
        <v>3748</v>
      </c>
    </row>
    <row r="5415" spans="2:7" x14ac:dyDescent="0.2">
      <c r="B5415" t="s">
        <v>1433</v>
      </c>
      <c r="C5415" t="s">
        <v>12912</v>
      </c>
      <c r="D5415" t="s">
        <v>1048</v>
      </c>
      <c r="E5415" t="s">
        <v>12841</v>
      </c>
      <c r="F5415">
        <v>2468.9699999999998</v>
      </c>
      <c r="G5415" t="s">
        <v>3754</v>
      </c>
    </row>
    <row r="5416" spans="2:7" x14ac:dyDescent="0.2">
      <c r="B5416" t="s">
        <v>1433</v>
      </c>
      <c r="C5416" t="s">
        <v>12912</v>
      </c>
      <c r="D5416" t="s">
        <v>1048</v>
      </c>
      <c r="E5416" t="s">
        <v>12843</v>
      </c>
      <c r="F5416">
        <v>6600</v>
      </c>
      <c r="G5416" t="s">
        <v>3728</v>
      </c>
    </row>
    <row r="5417" spans="2:7" x14ac:dyDescent="0.2">
      <c r="B5417" t="s">
        <v>1433</v>
      </c>
      <c r="C5417" t="s">
        <v>12912</v>
      </c>
      <c r="D5417" t="s">
        <v>1048</v>
      </c>
      <c r="E5417" t="s">
        <v>12845</v>
      </c>
      <c r="F5417">
        <v>734</v>
      </c>
      <c r="G5417" t="s">
        <v>3893</v>
      </c>
    </row>
    <row r="5418" spans="2:7" x14ac:dyDescent="0.2">
      <c r="B5418" t="s">
        <v>1433</v>
      </c>
      <c r="C5418" t="s">
        <v>12912</v>
      </c>
      <c r="D5418" t="s">
        <v>1048</v>
      </c>
      <c r="E5418" t="s">
        <v>12846</v>
      </c>
      <c r="F5418">
        <v>1780</v>
      </c>
      <c r="G5418" t="s">
        <v>3895</v>
      </c>
    </row>
    <row r="5419" spans="2:7" x14ac:dyDescent="0.2">
      <c r="B5419" t="s">
        <v>1433</v>
      </c>
      <c r="C5419" t="s">
        <v>12912</v>
      </c>
      <c r="D5419" t="s">
        <v>1048</v>
      </c>
      <c r="E5419" t="s">
        <v>12847</v>
      </c>
      <c r="F5419">
        <v>200</v>
      </c>
      <c r="G5419" t="s">
        <v>3896</v>
      </c>
    </row>
    <row r="5420" spans="2:7" x14ac:dyDescent="0.2">
      <c r="B5420" t="s">
        <v>1433</v>
      </c>
      <c r="C5420" t="s">
        <v>12912</v>
      </c>
      <c r="D5420" t="s">
        <v>1048</v>
      </c>
      <c r="E5420" t="s">
        <v>12848</v>
      </c>
      <c r="F5420">
        <v>3255.94</v>
      </c>
      <c r="G5420" t="s">
        <v>3897</v>
      </c>
    </row>
    <row r="5421" spans="2:7" x14ac:dyDescent="0.2">
      <c r="B5421" t="s">
        <v>1433</v>
      </c>
      <c r="C5421" t="s">
        <v>12912</v>
      </c>
      <c r="D5421" t="s">
        <v>613</v>
      </c>
      <c r="E5421" t="s">
        <v>12849</v>
      </c>
      <c r="F5421">
        <v>0.12</v>
      </c>
      <c r="G5421" t="s">
        <v>12850</v>
      </c>
    </row>
    <row r="5422" spans="2:7" x14ac:dyDescent="0.2">
      <c r="B5422" t="s">
        <v>1433</v>
      </c>
      <c r="C5422" t="s">
        <v>12912</v>
      </c>
      <c r="D5422" t="s">
        <v>613</v>
      </c>
      <c r="E5422" t="s">
        <v>12851</v>
      </c>
      <c r="F5422">
        <v>1.5</v>
      </c>
      <c r="G5422" t="s">
        <v>7606</v>
      </c>
    </row>
    <row r="5423" spans="2:7" x14ac:dyDescent="0.2">
      <c r="B5423" t="s">
        <v>1433</v>
      </c>
      <c r="C5423" t="s">
        <v>12912</v>
      </c>
      <c r="D5423" t="s">
        <v>1048</v>
      </c>
      <c r="E5423" t="s">
        <v>12852</v>
      </c>
      <c r="F5423">
        <v>703</v>
      </c>
      <c r="G5423" t="s">
        <v>3940</v>
      </c>
    </row>
    <row r="5424" spans="2:7" x14ac:dyDescent="0.2">
      <c r="B5424" t="s">
        <v>1433</v>
      </c>
      <c r="C5424" t="s">
        <v>12912</v>
      </c>
      <c r="D5424" t="s">
        <v>1048</v>
      </c>
      <c r="E5424" t="s">
        <v>12853</v>
      </c>
      <c r="F5424">
        <v>200</v>
      </c>
      <c r="G5424" t="s">
        <v>3942</v>
      </c>
    </row>
    <row r="5425" spans="2:7" x14ac:dyDescent="0.2">
      <c r="B5425" t="s">
        <v>1433</v>
      </c>
      <c r="C5425" t="s">
        <v>12912</v>
      </c>
      <c r="D5425" t="s">
        <v>1048</v>
      </c>
      <c r="E5425" t="s">
        <v>12854</v>
      </c>
      <c r="F5425">
        <v>6600</v>
      </c>
      <c r="G5425" t="s">
        <v>3951</v>
      </c>
    </row>
    <row r="5426" spans="2:7" x14ac:dyDescent="0.2">
      <c r="B5426" t="s">
        <v>1433</v>
      </c>
      <c r="C5426" t="s">
        <v>12912</v>
      </c>
      <c r="D5426" t="s">
        <v>1048</v>
      </c>
      <c r="E5426" t="s">
        <v>12855</v>
      </c>
      <c r="F5426">
        <v>3300</v>
      </c>
      <c r="G5426" t="s">
        <v>3953</v>
      </c>
    </row>
    <row r="5427" spans="2:7" x14ac:dyDescent="0.2">
      <c r="B5427" t="s">
        <v>1433</v>
      </c>
      <c r="C5427" t="s">
        <v>12912</v>
      </c>
      <c r="D5427" t="s">
        <v>1048</v>
      </c>
      <c r="E5427" t="s">
        <v>12856</v>
      </c>
      <c r="F5427">
        <v>830</v>
      </c>
      <c r="G5427" t="s">
        <v>3962</v>
      </c>
    </row>
    <row r="5428" spans="2:7" x14ac:dyDescent="0.2">
      <c r="B5428" t="s">
        <v>1433</v>
      </c>
      <c r="C5428" t="s">
        <v>12912</v>
      </c>
      <c r="D5428" t="s">
        <v>1048</v>
      </c>
      <c r="E5428" t="s">
        <v>12857</v>
      </c>
      <c r="F5428">
        <v>275</v>
      </c>
      <c r="G5428" t="s">
        <v>3964</v>
      </c>
    </row>
    <row r="5429" spans="2:7" x14ac:dyDescent="0.2">
      <c r="B5429" t="s">
        <v>1433</v>
      </c>
      <c r="C5429" t="s">
        <v>12912</v>
      </c>
      <c r="D5429" t="s">
        <v>372</v>
      </c>
      <c r="E5429" t="s">
        <v>12858</v>
      </c>
      <c r="F5429">
        <v>810.72</v>
      </c>
      <c r="G5429" t="s">
        <v>12838</v>
      </c>
    </row>
    <row r="5430" spans="2:7" x14ac:dyDescent="0.2">
      <c r="B5430" t="s">
        <v>1433</v>
      </c>
      <c r="C5430" t="s">
        <v>12912</v>
      </c>
      <c r="D5430" t="s">
        <v>498</v>
      </c>
      <c r="E5430" t="s">
        <v>12859</v>
      </c>
      <c r="F5430">
        <v>8176.18</v>
      </c>
      <c r="G5430" t="s">
        <v>12840</v>
      </c>
    </row>
    <row r="5431" spans="2:7" x14ac:dyDescent="0.2">
      <c r="B5431" t="s">
        <v>1433</v>
      </c>
      <c r="C5431" t="s">
        <v>12912</v>
      </c>
      <c r="D5431" t="s">
        <v>453</v>
      </c>
      <c r="E5431" t="s">
        <v>12860</v>
      </c>
      <c r="F5431">
        <v>39971.24</v>
      </c>
      <c r="G5431" t="s">
        <v>12842</v>
      </c>
    </row>
    <row r="5432" spans="2:7" x14ac:dyDescent="0.2">
      <c r="B5432" t="s">
        <v>1433</v>
      </c>
      <c r="C5432" t="s">
        <v>12912</v>
      </c>
      <c r="D5432" t="s">
        <v>308</v>
      </c>
      <c r="E5432" t="s">
        <v>12861</v>
      </c>
      <c r="F5432">
        <v>1260.48</v>
      </c>
      <c r="G5432" t="s">
        <v>12844</v>
      </c>
    </row>
    <row r="5433" spans="2:7" x14ac:dyDescent="0.2">
      <c r="B5433" t="s">
        <v>1433</v>
      </c>
      <c r="C5433" t="s">
        <v>12913</v>
      </c>
      <c r="D5433" t="s">
        <v>967</v>
      </c>
      <c r="E5433" t="s">
        <v>12862</v>
      </c>
      <c r="F5433">
        <v>10000</v>
      </c>
      <c r="G5433" t="s">
        <v>3643</v>
      </c>
    </row>
    <row r="5434" spans="2:7" x14ac:dyDescent="0.2">
      <c r="B5434" t="s">
        <v>1433</v>
      </c>
      <c r="C5434" t="s">
        <v>12913</v>
      </c>
      <c r="D5434" t="s">
        <v>845</v>
      </c>
      <c r="E5434" t="s">
        <v>12863</v>
      </c>
      <c r="F5434">
        <v>13500</v>
      </c>
      <c r="G5434" t="s">
        <v>3642</v>
      </c>
    </row>
    <row r="5435" spans="2:7" x14ac:dyDescent="0.2">
      <c r="B5435" t="s">
        <v>1433</v>
      </c>
      <c r="C5435" t="s">
        <v>12913</v>
      </c>
      <c r="D5435" t="s">
        <v>730</v>
      </c>
      <c r="E5435" t="s">
        <v>12865</v>
      </c>
      <c r="F5435">
        <v>10000</v>
      </c>
      <c r="G5435" t="s">
        <v>3640</v>
      </c>
    </row>
    <row r="5436" spans="2:7" x14ac:dyDescent="0.2">
      <c r="B5436" t="s">
        <v>1433</v>
      </c>
      <c r="C5436" t="s">
        <v>12913</v>
      </c>
      <c r="D5436" t="s">
        <v>1048</v>
      </c>
      <c r="E5436" t="s">
        <v>12867</v>
      </c>
      <c r="F5436">
        <v>16500</v>
      </c>
      <c r="G5436" t="s">
        <v>3954</v>
      </c>
    </row>
    <row r="5437" spans="2:7" x14ac:dyDescent="0.2">
      <c r="B5437" t="s">
        <v>1433</v>
      </c>
      <c r="C5437" t="s">
        <v>12913</v>
      </c>
      <c r="D5437" t="s">
        <v>1048</v>
      </c>
      <c r="E5437" t="s">
        <v>12869</v>
      </c>
      <c r="F5437">
        <v>1554</v>
      </c>
      <c r="G5437" t="s">
        <v>3965</v>
      </c>
    </row>
    <row r="5438" spans="2:7" x14ac:dyDescent="0.2">
      <c r="B5438" t="s">
        <v>1433</v>
      </c>
      <c r="C5438" t="s">
        <v>12913</v>
      </c>
      <c r="D5438" t="s">
        <v>1048</v>
      </c>
      <c r="E5438" t="s">
        <v>12870</v>
      </c>
      <c r="F5438">
        <v>2525</v>
      </c>
      <c r="G5438" t="s">
        <v>3984</v>
      </c>
    </row>
    <row r="5439" spans="2:7" x14ac:dyDescent="0.2">
      <c r="B5439" t="s">
        <v>1433</v>
      </c>
      <c r="C5439" t="s">
        <v>12913</v>
      </c>
      <c r="D5439" t="s">
        <v>1048</v>
      </c>
      <c r="E5439" t="s">
        <v>12871</v>
      </c>
      <c r="F5439">
        <v>3864</v>
      </c>
      <c r="G5439" t="s">
        <v>3986</v>
      </c>
    </row>
    <row r="5440" spans="2:7" x14ac:dyDescent="0.2">
      <c r="B5440" t="s">
        <v>1433</v>
      </c>
      <c r="C5440" t="s">
        <v>12913</v>
      </c>
      <c r="D5440" t="s">
        <v>1048</v>
      </c>
      <c r="E5440" t="s">
        <v>12872</v>
      </c>
      <c r="F5440">
        <v>260</v>
      </c>
      <c r="G5440" t="s">
        <v>4003</v>
      </c>
    </row>
    <row r="5441" spans="2:7" x14ac:dyDescent="0.2">
      <c r="B5441" t="s">
        <v>1433</v>
      </c>
      <c r="C5441" t="s">
        <v>12913</v>
      </c>
      <c r="D5441" t="s">
        <v>1048</v>
      </c>
      <c r="E5441" t="s">
        <v>12873</v>
      </c>
      <c r="F5441">
        <v>1152</v>
      </c>
      <c r="G5441" t="s">
        <v>4004</v>
      </c>
    </row>
    <row r="5442" spans="2:7" x14ac:dyDescent="0.2">
      <c r="B5442" t="s">
        <v>1433</v>
      </c>
      <c r="C5442" t="s">
        <v>12913</v>
      </c>
      <c r="D5442" t="s">
        <v>1048</v>
      </c>
      <c r="E5442" t="s">
        <v>12874</v>
      </c>
      <c r="F5442">
        <v>1241</v>
      </c>
      <c r="G5442" t="s">
        <v>4005</v>
      </c>
    </row>
    <row r="5443" spans="2:7" x14ac:dyDescent="0.2">
      <c r="B5443" t="s">
        <v>1433</v>
      </c>
      <c r="C5443" t="s">
        <v>12913</v>
      </c>
      <c r="D5443" t="s">
        <v>372</v>
      </c>
      <c r="E5443" t="s">
        <v>12875</v>
      </c>
      <c r="F5443">
        <v>900.8</v>
      </c>
      <c r="G5443" t="s">
        <v>12864</v>
      </c>
    </row>
    <row r="5444" spans="2:7" x14ac:dyDescent="0.2">
      <c r="B5444" t="s">
        <v>1433</v>
      </c>
      <c r="C5444" t="s">
        <v>12913</v>
      </c>
      <c r="D5444" t="s">
        <v>498</v>
      </c>
      <c r="E5444" t="s">
        <v>12876</v>
      </c>
      <c r="F5444">
        <v>19862.75</v>
      </c>
      <c r="G5444" t="s">
        <v>12866</v>
      </c>
    </row>
    <row r="5445" spans="2:7" x14ac:dyDescent="0.2">
      <c r="B5445" t="s">
        <v>1433</v>
      </c>
      <c r="C5445" t="s">
        <v>12913</v>
      </c>
      <c r="D5445" t="s">
        <v>453</v>
      </c>
      <c r="E5445" t="s">
        <v>12877</v>
      </c>
      <c r="F5445">
        <v>22045.98</v>
      </c>
      <c r="G5445" t="s">
        <v>12868</v>
      </c>
    </row>
    <row r="5446" spans="2:7" x14ac:dyDescent="0.2">
      <c r="B5446" t="s">
        <v>4146</v>
      </c>
      <c r="C5446" t="s">
        <v>12914</v>
      </c>
      <c r="D5446" t="s">
        <v>613</v>
      </c>
      <c r="E5446" t="s">
        <v>5023</v>
      </c>
      <c r="F5446">
        <v>1803129.81</v>
      </c>
      <c r="G5446" t="s">
        <v>1195</v>
      </c>
    </row>
    <row r="5447" spans="2:7" x14ac:dyDescent="0.2">
      <c r="B5447" t="s">
        <v>4146</v>
      </c>
      <c r="C5447" t="s">
        <v>12914</v>
      </c>
      <c r="D5447" t="s">
        <v>613</v>
      </c>
      <c r="E5447" t="s">
        <v>5027</v>
      </c>
      <c r="F5447">
        <v>125487.5</v>
      </c>
      <c r="G5447" t="s">
        <v>1196</v>
      </c>
    </row>
    <row r="5448" spans="2:7" x14ac:dyDescent="0.2">
      <c r="B5448" t="s">
        <v>4146</v>
      </c>
      <c r="C5448" t="s">
        <v>12915</v>
      </c>
      <c r="D5448" t="s">
        <v>613</v>
      </c>
      <c r="E5448" t="s">
        <v>5061</v>
      </c>
      <c r="F5448">
        <v>5520</v>
      </c>
      <c r="G5448" t="s">
        <v>1282</v>
      </c>
    </row>
    <row r="5449" spans="2:7" x14ac:dyDescent="0.2">
      <c r="B5449" t="s">
        <v>4146</v>
      </c>
      <c r="C5449" t="s">
        <v>12915</v>
      </c>
      <c r="D5449" t="s">
        <v>613</v>
      </c>
      <c r="E5449" t="s">
        <v>5065</v>
      </c>
      <c r="F5449">
        <v>-5520</v>
      </c>
      <c r="G5449" t="s">
        <v>1282</v>
      </c>
    </row>
    <row r="5450" spans="2:7" x14ac:dyDescent="0.2">
      <c r="B5450" t="s">
        <v>4146</v>
      </c>
      <c r="C5450" t="s">
        <v>12915</v>
      </c>
      <c r="D5450" t="s">
        <v>613</v>
      </c>
      <c r="E5450" t="s">
        <v>5067</v>
      </c>
      <c r="F5450">
        <v>5520</v>
      </c>
      <c r="G5450" t="s">
        <v>1282</v>
      </c>
    </row>
    <row r="5451" spans="2:7" x14ac:dyDescent="0.2">
      <c r="B5451" t="s">
        <v>4146</v>
      </c>
      <c r="C5451" t="s">
        <v>12915</v>
      </c>
      <c r="D5451" t="s">
        <v>613</v>
      </c>
      <c r="E5451" t="s">
        <v>5068</v>
      </c>
      <c r="F5451">
        <v>-5520</v>
      </c>
      <c r="G5451" t="s">
        <v>1282</v>
      </c>
    </row>
    <row r="5452" spans="2:7" x14ac:dyDescent="0.2">
      <c r="B5452" t="s">
        <v>4146</v>
      </c>
      <c r="C5452" t="s">
        <v>12915</v>
      </c>
      <c r="D5452" t="s">
        <v>613</v>
      </c>
      <c r="E5452" t="s">
        <v>5070</v>
      </c>
      <c r="F5452">
        <v>11040</v>
      </c>
      <c r="G5452" t="s">
        <v>1282</v>
      </c>
    </row>
    <row r="5453" spans="2:7" x14ac:dyDescent="0.2">
      <c r="B5453" t="s">
        <v>4146</v>
      </c>
      <c r="C5453" t="s">
        <v>12915</v>
      </c>
      <c r="D5453" t="s">
        <v>613</v>
      </c>
      <c r="E5453" t="s">
        <v>5073</v>
      </c>
      <c r="F5453">
        <v>25760</v>
      </c>
      <c r="G5453" t="s">
        <v>1282</v>
      </c>
    </row>
    <row r="5454" spans="2:7" x14ac:dyDescent="0.2">
      <c r="B5454" t="s">
        <v>4146</v>
      </c>
      <c r="C5454" t="s">
        <v>12915</v>
      </c>
      <c r="D5454" t="s">
        <v>613</v>
      </c>
      <c r="E5454" t="s">
        <v>5074</v>
      </c>
      <c r="F5454">
        <v>10980</v>
      </c>
      <c r="G5454" t="s">
        <v>1284</v>
      </c>
    </row>
    <row r="5455" spans="2:7" x14ac:dyDescent="0.2">
      <c r="B5455" t="s">
        <v>4146</v>
      </c>
      <c r="C5455" t="s">
        <v>12915</v>
      </c>
      <c r="D5455" t="s">
        <v>613</v>
      </c>
      <c r="E5455" t="s">
        <v>5076</v>
      </c>
      <c r="F5455">
        <v>-10980</v>
      </c>
      <c r="G5455" t="s">
        <v>1284</v>
      </c>
    </row>
    <row r="5456" spans="2:7" x14ac:dyDescent="0.2">
      <c r="B5456" t="s">
        <v>4146</v>
      </c>
      <c r="C5456" t="s">
        <v>12915</v>
      </c>
      <c r="D5456" t="s">
        <v>613</v>
      </c>
      <c r="E5456" t="s">
        <v>5078</v>
      </c>
      <c r="F5456">
        <v>21960</v>
      </c>
      <c r="G5456" t="s">
        <v>1284</v>
      </c>
    </row>
    <row r="5457" spans="2:7" x14ac:dyDescent="0.2">
      <c r="B5457" t="s">
        <v>4146</v>
      </c>
      <c r="C5457" t="s">
        <v>12915</v>
      </c>
      <c r="D5457" t="s">
        <v>613</v>
      </c>
      <c r="E5457" t="s">
        <v>5079</v>
      </c>
      <c r="F5457">
        <v>51240</v>
      </c>
      <c r="G5457" t="s">
        <v>1284</v>
      </c>
    </row>
    <row r="5458" spans="2:7" x14ac:dyDescent="0.2">
      <c r="B5458" t="s">
        <v>4146</v>
      </c>
      <c r="C5458" t="s">
        <v>12915</v>
      </c>
      <c r="D5458" t="s">
        <v>613</v>
      </c>
      <c r="E5458" t="s">
        <v>5080</v>
      </c>
      <c r="F5458">
        <v>9210</v>
      </c>
      <c r="G5458" t="s">
        <v>1298</v>
      </c>
    </row>
    <row r="5459" spans="2:7" x14ac:dyDescent="0.2">
      <c r="B5459" t="s">
        <v>4146</v>
      </c>
      <c r="C5459" t="s">
        <v>12915</v>
      </c>
      <c r="D5459" t="s">
        <v>613</v>
      </c>
      <c r="E5459" t="s">
        <v>5081</v>
      </c>
      <c r="F5459">
        <v>-9210</v>
      </c>
      <c r="G5459" t="s">
        <v>1298</v>
      </c>
    </row>
    <row r="5460" spans="2:7" x14ac:dyDescent="0.2">
      <c r="B5460" t="s">
        <v>4146</v>
      </c>
      <c r="C5460" t="s">
        <v>12915</v>
      </c>
      <c r="D5460" t="s">
        <v>613</v>
      </c>
      <c r="E5460" t="s">
        <v>5082</v>
      </c>
      <c r="F5460">
        <v>9210</v>
      </c>
      <c r="G5460" t="s">
        <v>1298</v>
      </c>
    </row>
    <row r="5461" spans="2:7" x14ac:dyDescent="0.2">
      <c r="B5461" t="s">
        <v>4146</v>
      </c>
      <c r="C5461" t="s">
        <v>12915</v>
      </c>
      <c r="D5461" t="s">
        <v>613</v>
      </c>
      <c r="E5461" t="s">
        <v>5083</v>
      </c>
      <c r="F5461">
        <v>21490</v>
      </c>
      <c r="G5461" t="s">
        <v>1298</v>
      </c>
    </row>
    <row r="5462" spans="2:7" x14ac:dyDescent="0.2">
      <c r="B5462" t="s">
        <v>4146</v>
      </c>
      <c r="C5462" t="s">
        <v>12915</v>
      </c>
      <c r="D5462" t="s">
        <v>613</v>
      </c>
      <c r="E5462" t="s">
        <v>5084</v>
      </c>
      <c r="F5462">
        <v>10380</v>
      </c>
      <c r="G5462" t="s">
        <v>1317</v>
      </c>
    </row>
    <row r="5463" spans="2:7" x14ac:dyDescent="0.2">
      <c r="B5463" t="s">
        <v>4146</v>
      </c>
      <c r="C5463" t="s">
        <v>12915</v>
      </c>
      <c r="D5463" t="s">
        <v>613</v>
      </c>
      <c r="E5463" t="s">
        <v>5085</v>
      </c>
      <c r="F5463">
        <v>-10380</v>
      </c>
      <c r="G5463" t="s">
        <v>1317</v>
      </c>
    </row>
    <row r="5464" spans="2:7" x14ac:dyDescent="0.2">
      <c r="B5464" t="s">
        <v>4146</v>
      </c>
      <c r="C5464" t="s">
        <v>12915</v>
      </c>
      <c r="D5464" t="s">
        <v>613</v>
      </c>
      <c r="E5464" t="s">
        <v>5086</v>
      </c>
      <c r="F5464">
        <v>20760</v>
      </c>
      <c r="G5464" t="s">
        <v>1317</v>
      </c>
    </row>
    <row r="5465" spans="2:7" x14ac:dyDescent="0.2">
      <c r="B5465" t="s">
        <v>4146</v>
      </c>
      <c r="C5465" t="s">
        <v>12915</v>
      </c>
      <c r="D5465" t="s">
        <v>613</v>
      </c>
      <c r="E5465" t="s">
        <v>5087</v>
      </c>
      <c r="F5465">
        <v>48440</v>
      </c>
      <c r="G5465" t="s">
        <v>1317</v>
      </c>
    </row>
    <row r="5466" spans="2:7" x14ac:dyDescent="0.2">
      <c r="B5466" t="s">
        <v>4146</v>
      </c>
      <c r="C5466" t="s">
        <v>12915</v>
      </c>
      <c r="D5466" t="s">
        <v>613</v>
      </c>
      <c r="E5466" t="s">
        <v>5088</v>
      </c>
      <c r="F5466">
        <v>8190</v>
      </c>
      <c r="G5466" t="s">
        <v>1327</v>
      </c>
    </row>
    <row r="5467" spans="2:7" x14ac:dyDescent="0.2">
      <c r="B5467" t="s">
        <v>4146</v>
      </c>
      <c r="C5467" t="s">
        <v>12915</v>
      </c>
      <c r="D5467" t="s">
        <v>613</v>
      </c>
      <c r="E5467" t="s">
        <v>5089</v>
      </c>
      <c r="F5467">
        <v>-8190</v>
      </c>
      <c r="G5467" t="s">
        <v>1327</v>
      </c>
    </row>
    <row r="5468" spans="2:7" x14ac:dyDescent="0.2">
      <c r="B5468" t="s">
        <v>4146</v>
      </c>
      <c r="C5468" t="s">
        <v>12915</v>
      </c>
      <c r="D5468" t="s">
        <v>613</v>
      </c>
      <c r="E5468" t="s">
        <v>5090</v>
      </c>
      <c r="F5468">
        <v>8190</v>
      </c>
      <c r="G5468" t="s">
        <v>1327</v>
      </c>
    </row>
    <row r="5469" spans="2:7" x14ac:dyDescent="0.2">
      <c r="B5469" t="s">
        <v>4146</v>
      </c>
      <c r="C5469" t="s">
        <v>12915</v>
      </c>
      <c r="D5469" t="s">
        <v>613</v>
      </c>
      <c r="E5469" t="s">
        <v>5091</v>
      </c>
      <c r="F5469">
        <v>19110</v>
      </c>
      <c r="G5469" t="s">
        <v>1327</v>
      </c>
    </row>
    <row r="5470" spans="2:7" x14ac:dyDescent="0.2">
      <c r="B5470" t="s">
        <v>4146</v>
      </c>
      <c r="C5470" t="s">
        <v>12915</v>
      </c>
      <c r="D5470" t="s">
        <v>613</v>
      </c>
      <c r="E5470" t="s">
        <v>5092</v>
      </c>
      <c r="F5470">
        <v>14340</v>
      </c>
      <c r="G5470" t="s">
        <v>1325</v>
      </c>
    </row>
    <row r="5471" spans="2:7" x14ac:dyDescent="0.2">
      <c r="B5471" t="s">
        <v>4146</v>
      </c>
      <c r="C5471" t="s">
        <v>12915</v>
      </c>
      <c r="D5471" t="s">
        <v>613</v>
      </c>
      <c r="E5471" t="s">
        <v>5093</v>
      </c>
      <c r="F5471">
        <v>33460</v>
      </c>
      <c r="G5471" t="s">
        <v>1325</v>
      </c>
    </row>
    <row r="5472" spans="2:7" x14ac:dyDescent="0.2">
      <c r="B5472" t="s">
        <v>4146</v>
      </c>
      <c r="C5472" t="s">
        <v>12915</v>
      </c>
      <c r="D5472" t="s">
        <v>613</v>
      </c>
      <c r="E5472" t="s">
        <v>5094</v>
      </c>
      <c r="F5472">
        <v>8190</v>
      </c>
      <c r="G5472" t="s">
        <v>1358</v>
      </c>
    </row>
    <row r="5473" spans="2:7" x14ac:dyDescent="0.2">
      <c r="B5473" t="s">
        <v>4146</v>
      </c>
      <c r="C5473" t="s">
        <v>12915</v>
      </c>
      <c r="D5473" t="s">
        <v>613</v>
      </c>
      <c r="E5473" t="s">
        <v>5095</v>
      </c>
      <c r="F5473">
        <v>-8190</v>
      </c>
      <c r="G5473" t="s">
        <v>1358</v>
      </c>
    </row>
    <row r="5474" spans="2:7" x14ac:dyDescent="0.2">
      <c r="B5474" t="s">
        <v>4146</v>
      </c>
      <c r="C5474" t="s">
        <v>12915</v>
      </c>
      <c r="D5474" t="s">
        <v>613</v>
      </c>
      <c r="E5474" t="s">
        <v>5096</v>
      </c>
      <c r="F5474">
        <v>8190</v>
      </c>
      <c r="G5474" t="s">
        <v>1358</v>
      </c>
    </row>
    <row r="5475" spans="2:7" x14ac:dyDescent="0.2">
      <c r="B5475" t="s">
        <v>4146</v>
      </c>
      <c r="C5475" t="s">
        <v>12915</v>
      </c>
      <c r="D5475" t="s">
        <v>613</v>
      </c>
      <c r="E5475" t="s">
        <v>5097</v>
      </c>
      <c r="F5475">
        <v>19110</v>
      </c>
      <c r="G5475" t="s">
        <v>1358</v>
      </c>
    </row>
    <row r="5476" spans="2:7" x14ac:dyDescent="0.2">
      <c r="B5476" t="s">
        <v>4146</v>
      </c>
      <c r="C5476" t="s">
        <v>12916</v>
      </c>
      <c r="D5476" t="s">
        <v>613</v>
      </c>
      <c r="E5476" t="s">
        <v>5098</v>
      </c>
      <c r="F5476">
        <v>1876550.76</v>
      </c>
      <c r="G5476" t="s">
        <v>1261</v>
      </c>
    </row>
    <row r="5477" spans="2:7" x14ac:dyDescent="0.2">
      <c r="B5477" t="s">
        <v>4146</v>
      </c>
      <c r="C5477" t="s">
        <v>12916</v>
      </c>
      <c r="D5477" t="s">
        <v>613</v>
      </c>
      <c r="E5477" t="s">
        <v>5102</v>
      </c>
      <c r="F5477">
        <v>108192</v>
      </c>
      <c r="G5477" t="s">
        <v>1263</v>
      </c>
    </row>
    <row r="5478" spans="2:7" x14ac:dyDescent="0.2">
      <c r="B5478" t="s">
        <v>4146</v>
      </c>
      <c r="C5478" t="s">
        <v>12916</v>
      </c>
      <c r="D5478" t="s">
        <v>613</v>
      </c>
      <c r="E5478" t="s">
        <v>5105</v>
      </c>
      <c r="F5478">
        <v>293664</v>
      </c>
      <c r="G5478" t="s">
        <v>1263</v>
      </c>
    </row>
    <row r="5479" spans="2:7" x14ac:dyDescent="0.2">
      <c r="B5479" t="s">
        <v>4146</v>
      </c>
      <c r="C5479" t="s">
        <v>12916</v>
      </c>
      <c r="D5479" t="s">
        <v>613</v>
      </c>
      <c r="E5479" t="s">
        <v>5108</v>
      </c>
      <c r="F5479">
        <v>7019.6</v>
      </c>
      <c r="G5479" t="s">
        <v>1264</v>
      </c>
    </row>
    <row r="5480" spans="2:7" x14ac:dyDescent="0.2">
      <c r="B5480" t="s">
        <v>4146</v>
      </c>
      <c r="C5480" t="s">
        <v>12916</v>
      </c>
      <c r="D5480" t="s">
        <v>613</v>
      </c>
      <c r="E5480" t="s">
        <v>5109</v>
      </c>
      <c r="F5480">
        <v>19053.2</v>
      </c>
      <c r="G5480" t="s">
        <v>1264</v>
      </c>
    </row>
    <row r="5481" spans="2:7" x14ac:dyDescent="0.2">
      <c r="B5481" t="s">
        <v>4146</v>
      </c>
      <c r="C5481" t="s">
        <v>12916</v>
      </c>
      <c r="D5481" t="s">
        <v>613</v>
      </c>
      <c r="E5481" t="s">
        <v>5110</v>
      </c>
      <c r="F5481">
        <v>30245.919999999998</v>
      </c>
      <c r="G5481" t="s">
        <v>1265</v>
      </c>
    </row>
    <row r="5482" spans="2:7" x14ac:dyDescent="0.2">
      <c r="B5482" t="s">
        <v>4146</v>
      </c>
      <c r="C5482" t="s">
        <v>12916</v>
      </c>
      <c r="D5482" t="s">
        <v>613</v>
      </c>
      <c r="E5482" t="s">
        <v>5111</v>
      </c>
      <c r="F5482">
        <v>15686</v>
      </c>
      <c r="G5482" t="s">
        <v>1266</v>
      </c>
    </row>
    <row r="5483" spans="2:7" x14ac:dyDescent="0.2">
      <c r="B5483" t="s">
        <v>4146</v>
      </c>
      <c r="C5483" t="s">
        <v>12916</v>
      </c>
      <c r="D5483" t="s">
        <v>613</v>
      </c>
      <c r="E5483" t="s">
        <v>5112</v>
      </c>
      <c r="F5483">
        <v>144628.4</v>
      </c>
      <c r="G5483" t="s">
        <v>1267</v>
      </c>
    </row>
    <row r="5484" spans="2:7" x14ac:dyDescent="0.2">
      <c r="B5484" t="s">
        <v>4146</v>
      </c>
      <c r="C5484" t="s">
        <v>12916</v>
      </c>
      <c r="D5484" t="s">
        <v>613</v>
      </c>
      <c r="E5484" t="s">
        <v>5113</v>
      </c>
      <c r="F5484">
        <v>3684.8</v>
      </c>
      <c r="G5484" t="s">
        <v>1268</v>
      </c>
    </row>
    <row r="5485" spans="2:7" x14ac:dyDescent="0.2">
      <c r="B5485" t="s">
        <v>4146</v>
      </c>
      <c r="C5485" t="s">
        <v>12916</v>
      </c>
      <c r="D5485" t="s">
        <v>613</v>
      </c>
      <c r="E5485" t="s">
        <v>5115</v>
      </c>
      <c r="F5485">
        <v>6316.8</v>
      </c>
      <c r="G5485" t="s">
        <v>1269</v>
      </c>
    </row>
    <row r="5486" spans="2:7" x14ac:dyDescent="0.2">
      <c r="B5486" t="s">
        <v>4146</v>
      </c>
      <c r="C5486" t="s">
        <v>12916</v>
      </c>
      <c r="D5486" t="s">
        <v>613</v>
      </c>
      <c r="E5486" t="s">
        <v>5116</v>
      </c>
      <c r="F5486">
        <v>28900</v>
      </c>
      <c r="G5486" t="s">
        <v>1199</v>
      </c>
    </row>
    <row r="5487" spans="2:7" x14ac:dyDescent="0.2">
      <c r="B5487" t="s">
        <v>4146</v>
      </c>
      <c r="C5487" t="s">
        <v>12917</v>
      </c>
      <c r="D5487" t="s">
        <v>613</v>
      </c>
      <c r="E5487" t="s">
        <v>5135</v>
      </c>
      <c r="F5487">
        <v>534000</v>
      </c>
      <c r="G5487" t="s">
        <v>2385</v>
      </c>
    </row>
    <row r="5488" spans="2:7" x14ac:dyDescent="0.2">
      <c r="B5488" t="s">
        <v>4146</v>
      </c>
      <c r="C5488" t="s">
        <v>12917</v>
      </c>
      <c r="D5488" t="s">
        <v>613</v>
      </c>
      <c r="E5488" t="s">
        <v>5139</v>
      </c>
      <c r="F5488">
        <v>72712.800000000003</v>
      </c>
      <c r="G5488" t="s">
        <v>1193</v>
      </c>
    </row>
    <row r="5489" spans="2:7" x14ac:dyDescent="0.2">
      <c r="B5489" t="s">
        <v>4146</v>
      </c>
      <c r="C5489" t="s">
        <v>12917</v>
      </c>
      <c r="D5489" t="s">
        <v>613</v>
      </c>
      <c r="E5489" t="s">
        <v>5141</v>
      </c>
      <c r="F5489">
        <v>48475.199999999997</v>
      </c>
      <c r="G5489" t="s">
        <v>1193</v>
      </c>
    </row>
    <row r="5490" spans="2:7" x14ac:dyDescent="0.2">
      <c r="B5490" t="s">
        <v>19</v>
      </c>
      <c r="C5490" t="s">
        <v>12918</v>
      </c>
      <c r="D5490" t="s">
        <v>688</v>
      </c>
      <c r="E5490" t="s">
        <v>5023</v>
      </c>
      <c r="F5490">
        <v>1890</v>
      </c>
      <c r="G5490" t="s">
        <v>1196</v>
      </c>
    </row>
    <row r="5491" spans="2:7" x14ac:dyDescent="0.2">
      <c r="B5491" t="s">
        <v>19</v>
      </c>
      <c r="C5491" t="s">
        <v>12918</v>
      </c>
      <c r="D5491" t="s">
        <v>688</v>
      </c>
      <c r="E5491" t="s">
        <v>5027</v>
      </c>
      <c r="F5491">
        <v>1260</v>
      </c>
      <c r="G5491" t="s">
        <v>1196</v>
      </c>
    </row>
    <row r="5492" spans="2:7" x14ac:dyDescent="0.2">
      <c r="B5492" t="s">
        <v>19</v>
      </c>
      <c r="C5492" t="s">
        <v>12918</v>
      </c>
      <c r="D5492" t="s">
        <v>688</v>
      </c>
      <c r="E5492" t="s">
        <v>5029</v>
      </c>
      <c r="F5492">
        <v>1260</v>
      </c>
      <c r="G5492" t="s">
        <v>1196</v>
      </c>
    </row>
    <row r="5493" spans="2:7" x14ac:dyDescent="0.2">
      <c r="B5493" t="s">
        <v>19</v>
      </c>
      <c r="C5493" t="s">
        <v>12918</v>
      </c>
      <c r="D5493" t="s">
        <v>688</v>
      </c>
      <c r="E5493" t="s">
        <v>5031</v>
      </c>
      <c r="F5493">
        <v>1260</v>
      </c>
      <c r="G5493" t="s">
        <v>1196</v>
      </c>
    </row>
    <row r="5494" spans="2:7" x14ac:dyDescent="0.2">
      <c r="B5494" t="s">
        <v>19</v>
      </c>
      <c r="C5494" t="s">
        <v>12918</v>
      </c>
      <c r="D5494" t="s">
        <v>688</v>
      </c>
      <c r="E5494" t="s">
        <v>5034</v>
      </c>
      <c r="F5494">
        <v>630</v>
      </c>
      <c r="G5494" t="s">
        <v>1196</v>
      </c>
    </row>
    <row r="5495" spans="2:7" x14ac:dyDescent="0.2">
      <c r="B5495" t="s">
        <v>19</v>
      </c>
      <c r="C5495" t="s">
        <v>12918</v>
      </c>
      <c r="D5495" t="s">
        <v>688</v>
      </c>
      <c r="E5495" t="s">
        <v>5036</v>
      </c>
      <c r="F5495">
        <v>72</v>
      </c>
      <c r="G5495" t="s">
        <v>1207</v>
      </c>
    </row>
    <row r="5496" spans="2:7" x14ac:dyDescent="0.2">
      <c r="B5496" t="s">
        <v>19</v>
      </c>
      <c r="C5496" t="s">
        <v>12918</v>
      </c>
      <c r="D5496" t="s">
        <v>222</v>
      </c>
      <c r="E5496" t="s">
        <v>5039</v>
      </c>
      <c r="F5496">
        <v>32839.379999999997</v>
      </c>
      <c r="G5496" t="s">
        <v>5024</v>
      </c>
    </row>
    <row r="5497" spans="2:7" x14ac:dyDescent="0.2">
      <c r="B5497" t="s">
        <v>19</v>
      </c>
      <c r="C5497" t="s">
        <v>12918</v>
      </c>
      <c r="D5497" t="s">
        <v>227</v>
      </c>
      <c r="E5497" t="s">
        <v>5043</v>
      </c>
      <c r="F5497">
        <v>19973.439999999999</v>
      </c>
      <c r="G5497" t="s">
        <v>5038</v>
      </c>
    </row>
    <row r="5498" spans="2:7" x14ac:dyDescent="0.2">
      <c r="B5498" t="s">
        <v>19</v>
      </c>
      <c r="C5498" t="s">
        <v>12918</v>
      </c>
      <c r="D5498" t="s">
        <v>323</v>
      </c>
      <c r="E5498" t="s">
        <v>5046</v>
      </c>
      <c r="F5498">
        <v>4663.84</v>
      </c>
      <c r="G5498" t="s">
        <v>5049</v>
      </c>
    </row>
    <row r="5499" spans="2:7" x14ac:dyDescent="0.2">
      <c r="B5499" t="s">
        <v>19</v>
      </c>
      <c r="C5499" t="s">
        <v>12918</v>
      </c>
      <c r="D5499" t="s">
        <v>423</v>
      </c>
      <c r="E5499" t="s">
        <v>5050</v>
      </c>
      <c r="F5499">
        <v>5099.92</v>
      </c>
      <c r="G5499" t="s">
        <v>5051</v>
      </c>
    </row>
    <row r="5500" spans="2:7" x14ac:dyDescent="0.2">
      <c r="B5500" t="s">
        <v>19</v>
      </c>
      <c r="C5500" t="s">
        <v>12918</v>
      </c>
      <c r="D5500" t="s">
        <v>227</v>
      </c>
      <c r="E5500" t="s">
        <v>5052</v>
      </c>
      <c r="F5500">
        <v>919.92</v>
      </c>
      <c r="G5500" t="s">
        <v>5053</v>
      </c>
    </row>
    <row r="5501" spans="2:7" x14ac:dyDescent="0.2">
      <c r="B5501" t="s">
        <v>19</v>
      </c>
      <c r="C5501" t="s">
        <v>12919</v>
      </c>
      <c r="D5501" t="s">
        <v>330</v>
      </c>
      <c r="E5501" t="s">
        <v>5061</v>
      </c>
      <c r="F5501">
        <v>10563.68</v>
      </c>
      <c r="G5501" t="s">
        <v>5062</v>
      </c>
    </row>
    <row r="5502" spans="2:7" x14ac:dyDescent="0.2">
      <c r="B5502" t="s">
        <v>19</v>
      </c>
      <c r="C5502" t="s">
        <v>12919</v>
      </c>
      <c r="D5502" t="s">
        <v>353</v>
      </c>
      <c r="E5502" t="s">
        <v>5065</v>
      </c>
      <c r="F5502">
        <v>6012.84</v>
      </c>
      <c r="G5502" t="s">
        <v>5066</v>
      </c>
    </row>
    <row r="5503" spans="2:7" x14ac:dyDescent="0.2">
      <c r="B5503" t="s">
        <v>19</v>
      </c>
      <c r="C5503" t="s">
        <v>12920</v>
      </c>
      <c r="D5503" t="s">
        <v>345</v>
      </c>
      <c r="E5503" t="s">
        <v>5098</v>
      </c>
      <c r="F5503">
        <v>36.619999999999997</v>
      </c>
      <c r="G5503" t="s">
        <v>5101</v>
      </c>
    </row>
    <row r="5504" spans="2:7" x14ac:dyDescent="0.2">
      <c r="B5504" t="s">
        <v>19</v>
      </c>
      <c r="C5504" t="s">
        <v>12920</v>
      </c>
      <c r="D5504" t="s">
        <v>488</v>
      </c>
      <c r="E5504" t="s">
        <v>5102</v>
      </c>
      <c r="F5504">
        <v>23163.759999999998</v>
      </c>
      <c r="G5504" t="s">
        <v>5104</v>
      </c>
    </row>
    <row r="5505" spans="2:7" x14ac:dyDescent="0.2">
      <c r="B5505" t="s">
        <v>19</v>
      </c>
      <c r="C5505" t="s">
        <v>12921</v>
      </c>
      <c r="D5505" t="s">
        <v>818</v>
      </c>
      <c r="E5505" t="s">
        <v>5135</v>
      </c>
      <c r="F5505">
        <v>9481.7999999999993</v>
      </c>
      <c r="G5505" t="s">
        <v>1193</v>
      </c>
    </row>
    <row r="5506" spans="2:7" x14ac:dyDescent="0.2">
      <c r="B5506" t="s">
        <v>19</v>
      </c>
      <c r="C5506" t="s">
        <v>12921</v>
      </c>
      <c r="D5506" t="s">
        <v>818</v>
      </c>
      <c r="E5506" t="s">
        <v>5139</v>
      </c>
      <c r="F5506">
        <v>6321.2</v>
      </c>
      <c r="G5506" t="s">
        <v>1193</v>
      </c>
    </row>
    <row r="5507" spans="2:7" x14ac:dyDescent="0.2">
      <c r="B5507" t="s">
        <v>19</v>
      </c>
      <c r="C5507" t="s">
        <v>12921</v>
      </c>
      <c r="D5507" t="s">
        <v>818</v>
      </c>
      <c r="E5507" t="s">
        <v>5141</v>
      </c>
      <c r="F5507">
        <v>6321.2</v>
      </c>
      <c r="G5507" t="s">
        <v>1193</v>
      </c>
    </row>
    <row r="5508" spans="2:7" x14ac:dyDescent="0.2">
      <c r="B5508" t="s">
        <v>19</v>
      </c>
      <c r="C5508" t="s">
        <v>12921</v>
      </c>
      <c r="D5508" t="s">
        <v>818</v>
      </c>
      <c r="E5508" t="s">
        <v>5142</v>
      </c>
      <c r="F5508">
        <v>6321.2</v>
      </c>
      <c r="G5508" t="s">
        <v>1193</v>
      </c>
    </row>
    <row r="5509" spans="2:7" x14ac:dyDescent="0.2">
      <c r="B5509" t="s">
        <v>19</v>
      </c>
      <c r="C5509" t="s">
        <v>12921</v>
      </c>
      <c r="D5509" t="s">
        <v>818</v>
      </c>
      <c r="E5509" t="s">
        <v>5143</v>
      </c>
      <c r="F5509">
        <v>3160.6</v>
      </c>
      <c r="G5509" t="s">
        <v>1193</v>
      </c>
    </row>
    <row r="5510" spans="2:7" x14ac:dyDescent="0.2">
      <c r="B5510" t="s">
        <v>19</v>
      </c>
      <c r="C5510" t="s">
        <v>12921</v>
      </c>
      <c r="D5510" t="s">
        <v>818</v>
      </c>
      <c r="E5510" t="s">
        <v>5145</v>
      </c>
      <c r="F5510">
        <v>160</v>
      </c>
      <c r="G5510" t="s">
        <v>1205</v>
      </c>
    </row>
    <row r="5511" spans="2:7" x14ac:dyDescent="0.2">
      <c r="B5511" t="s">
        <v>19</v>
      </c>
      <c r="C5511" t="s">
        <v>12921</v>
      </c>
      <c r="D5511" t="s">
        <v>314</v>
      </c>
      <c r="E5511" t="s">
        <v>5147</v>
      </c>
      <c r="F5511">
        <v>4152.1899999999996</v>
      </c>
      <c r="G5511" t="s">
        <v>5137</v>
      </c>
    </row>
    <row r="5512" spans="2:7" x14ac:dyDescent="0.2">
      <c r="B5512" t="s">
        <v>19</v>
      </c>
      <c r="C5512" t="s">
        <v>12922</v>
      </c>
      <c r="D5512" t="s">
        <v>1048</v>
      </c>
      <c r="E5512" t="s">
        <v>5211</v>
      </c>
      <c r="F5512">
        <v>1218</v>
      </c>
      <c r="G5512" t="s">
        <v>1364</v>
      </c>
    </row>
    <row r="5513" spans="2:7" x14ac:dyDescent="0.2">
      <c r="B5513" t="s">
        <v>19</v>
      </c>
      <c r="C5513" t="s">
        <v>12923</v>
      </c>
      <c r="D5513" t="s">
        <v>1130</v>
      </c>
      <c r="E5513" t="s">
        <v>5230</v>
      </c>
      <c r="F5513">
        <v>31212</v>
      </c>
      <c r="G5513" t="s">
        <v>2385</v>
      </c>
    </row>
    <row r="5514" spans="2:7" x14ac:dyDescent="0.2">
      <c r="B5514" t="s">
        <v>19</v>
      </c>
      <c r="C5514" t="s">
        <v>12923</v>
      </c>
      <c r="D5514" t="s">
        <v>1130</v>
      </c>
      <c r="E5514" t="s">
        <v>5233</v>
      </c>
      <c r="F5514">
        <v>20808</v>
      </c>
      <c r="G5514" t="s">
        <v>2385</v>
      </c>
    </row>
    <row r="5515" spans="2:7" x14ac:dyDescent="0.2">
      <c r="B5515" t="s">
        <v>19</v>
      </c>
      <c r="C5515" t="s">
        <v>12923</v>
      </c>
      <c r="D5515" t="s">
        <v>1130</v>
      </c>
      <c r="E5515" t="s">
        <v>5234</v>
      </c>
      <c r="F5515">
        <v>20808</v>
      </c>
      <c r="G5515" t="s">
        <v>2385</v>
      </c>
    </row>
    <row r="5516" spans="2:7" x14ac:dyDescent="0.2">
      <c r="B5516" t="s">
        <v>19</v>
      </c>
      <c r="C5516" t="s">
        <v>12923</v>
      </c>
      <c r="D5516" t="s">
        <v>1130</v>
      </c>
      <c r="E5516" t="s">
        <v>5236</v>
      </c>
      <c r="F5516">
        <v>20808</v>
      </c>
      <c r="G5516" t="s">
        <v>2385</v>
      </c>
    </row>
    <row r="5517" spans="2:7" x14ac:dyDescent="0.2">
      <c r="B5517" t="s">
        <v>19</v>
      </c>
      <c r="C5517" t="s">
        <v>12923</v>
      </c>
      <c r="D5517" t="s">
        <v>1130</v>
      </c>
      <c r="E5517" t="s">
        <v>5237</v>
      </c>
      <c r="F5517">
        <v>10404</v>
      </c>
      <c r="G5517" t="s">
        <v>2385</v>
      </c>
    </row>
    <row r="5518" spans="2:7" x14ac:dyDescent="0.2">
      <c r="B5518" t="s">
        <v>19</v>
      </c>
      <c r="C5518" t="s">
        <v>12923</v>
      </c>
      <c r="D5518" t="s">
        <v>1130</v>
      </c>
      <c r="E5518" t="s">
        <v>5238</v>
      </c>
      <c r="F5518">
        <v>2524.5</v>
      </c>
      <c r="G5518" t="s">
        <v>1434</v>
      </c>
    </row>
    <row r="5519" spans="2:7" x14ac:dyDescent="0.2">
      <c r="B5519" t="s">
        <v>19</v>
      </c>
      <c r="C5519" t="s">
        <v>12923</v>
      </c>
      <c r="D5519" t="s">
        <v>1130</v>
      </c>
      <c r="E5519" t="s">
        <v>5239</v>
      </c>
      <c r="F5519">
        <v>2524.5</v>
      </c>
      <c r="G5519" t="s">
        <v>1434</v>
      </c>
    </row>
    <row r="5520" spans="2:7" x14ac:dyDescent="0.2">
      <c r="B5520" t="s">
        <v>19</v>
      </c>
      <c r="C5520" t="s">
        <v>12923</v>
      </c>
      <c r="D5520" t="s">
        <v>1130</v>
      </c>
      <c r="E5520" t="s">
        <v>5240</v>
      </c>
      <c r="F5520">
        <v>5280</v>
      </c>
      <c r="G5520" t="s">
        <v>1434</v>
      </c>
    </row>
    <row r="5521" spans="2:8" x14ac:dyDescent="0.2">
      <c r="B5521" t="s">
        <v>19</v>
      </c>
      <c r="C5521" t="s">
        <v>12923</v>
      </c>
      <c r="D5521" t="s">
        <v>1130</v>
      </c>
      <c r="E5521" t="s">
        <v>5241</v>
      </c>
      <c r="F5521">
        <v>2524.5</v>
      </c>
      <c r="G5521" t="s">
        <v>1434</v>
      </c>
    </row>
    <row r="5522" spans="2:8" x14ac:dyDescent="0.2">
      <c r="B5522" t="s">
        <v>19</v>
      </c>
      <c r="C5522" t="s">
        <v>12923</v>
      </c>
      <c r="D5522" t="s">
        <v>1130</v>
      </c>
      <c r="E5522" t="s">
        <v>5243</v>
      </c>
      <c r="F5522">
        <v>4059</v>
      </c>
      <c r="G5522" t="s">
        <v>1434</v>
      </c>
    </row>
    <row r="5523" spans="2:8" x14ac:dyDescent="0.2">
      <c r="B5523" t="s">
        <v>19</v>
      </c>
      <c r="C5523" t="s">
        <v>12923</v>
      </c>
      <c r="D5523" t="s">
        <v>1130</v>
      </c>
      <c r="E5523" t="s">
        <v>5245</v>
      </c>
      <c r="F5523">
        <v>429</v>
      </c>
      <c r="G5523" t="s">
        <v>1434</v>
      </c>
    </row>
    <row r="5524" spans="2:8" x14ac:dyDescent="0.2">
      <c r="B5524" t="s">
        <v>19</v>
      </c>
      <c r="C5524" t="s">
        <v>12923</v>
      </c>
      <c r="D5524" t="s">
        <v>1144</v>
      </c>
      <c r="E5524" t="s">
        <v>5246</v>
      </c>
      <c r="F5524">
        <v>2736</v>
      </c>
      <c r="G5524" t="s">
        <v>1203</v>
      </c>
    </row>
    <row r="5525" spans="2:8" x14ac:dyDescent="0.2">
      <c r="B5525" t="s">
        <v>19</v>
      </c>
      <c r="C5525" t="s">
        <v>12923</v>
      </c>
      <c r="D5525" t="s">
        <v>1130</v>
      </c>
      <c r="E5525" t="s">
        <v>5247</v>
      </c>
      <c r="F5525">
        <v>3111.2</v>
      </c>
      <c r="G5525" t="s">
        <v>1274</v>
      </c>
    </row>
    <row r="5526" spans="2:8" x14ac:dyDescent="0.2">
      <c r="B5526" t="s">
        <v>19</v>
      </c>
      <c r="C5526" t="s">
        <v>12923</v>
      </c>
      <c r="D5526" t="s">
        <v>1130</v>
      </c>
      <c r="E5526" t="s">
        <v>5248</v>
      </c>
      <c r="F5526">
        <v>1361.15</v>
      </c>
      <c r="G5526" t="s">
        <v>1251</v>
      </c>
    </row>
    <row r="5527" spans="2:8" x14ac:dyDescent="0.2">
      <c r="B5527" t="s">
        <v>19</v>
      </c>
      <c r="C5527" t="s">
        <v>12923</v>
      </c>
      <c r="D5527" t="s">
        <v>1130</v>
      </c>
      <c r="E5527" t="s">
        <v>5250</v>
      </c>
      <c r="F5527">
        <v>1795.4</v>
      </c>
      <c r="G5527" t="s">
        <v>1356</v>
      </c>
    </row>
    <row r="5528" spans="2:8" x14ac:dyDescent="0.2">
      <c r="B5528" t="s">
        <v>19</v>
      </c>
      <c r="C5528" t="s">
        <v>12923</v>
      </c>
      <c r="D5528" t="s">
        <v>1130</v>
      </c>
      <c r="E5528" t="s">
        <v>5252</v>
      </c>
      <c r="F5528">
        <v>458.4</v>
      </c>
      <c r="G5528" t="s">
        <v>1370</v>
      </c>
    </row>
    <row r="5529" spans="2:8" x14ac:dyDescent="0.2">
      <c r="B5529" t="s">
        <v>19</v>
      </c>
      <c r="C5529" t="s">
        <v>12923</v>
      </c>
      <c r="D5529" t="s">
        <v>308</v>
      </c>
      <c r="E5529" t="s">
        <v>5254</v>
      </c>
      <c r="F5529">
        <v>2216.0300000000002</v>
      </c>
      <c r="G5529" t="s">
        <v>5232</v>
      </c>
    </row>
    <row r="5530" spans="2:8" x14ac:dyDescent="0.2">
      <c r="B5530" t="s">
        <v>19</v>
      </c>
      <c r="C5530" t="s">
        <v>12924</v>
      </c>
      <c r="D5530" t="s">
        <v>613</v>
      </c>
      <c r="E5530" t="s">
        <v>5285</v>
      </c>
      <c r="F5530">
        <v>13.07</v>
      </c>
      <c r="H5530" t="s">
        <v>5286</v>
      </c>
    </row>
    <row r="5531" spans="2:8" x14ac:dyDescent="0.2">
      <c r="B5531" t="s">
        <v>19</v>
      </c>
      <c r="C5531" t="s">
        <v>12924</v>
      </c>
      <c r="D5531" t="s">
        <v>613</v>
      </c>
      <c r="E5531" t="s">
        <v>5287</v>
      </c>
      <c r="F5531">
        <v>1220.04</v>
      </c>
      <c r="H5531" t="s">
        <v>4619</v>
      </c>
    </row>
    <row r="5532" spans="2:8" x14ac:dyDescent="0.2">
      <c r="B5532" t="s">
        <v>19</v>
      </c>
      <c r="C5532" t="s">
        <v>12924</v>
      </c>
      <c r="D5532" t="s">
        <v>613</v>
      </c>
      <c r="E5532" t="s">
        <v>5288</v>
      </c>
      <c r="F5532">
        <v>684.8</v>
      </c>
      <c r="H5532" t="s">
        <v>4179</v>
      </c>
    </row>
    <row r="5533" spans="2:8" x14ac:dyDescent="0.2">
      <c r="B5533" t="s">
        <v>19</v>
      </c>
      <c r="C5533" t="s">
        <v>12924</v>
      </c>
      <c r="D5533" t="s">
        <v>613</v>
      </c>
      <c r="E5533" t="s">
        <v>5289</v>
      </c>
      <c r="F5533">
        <v>406.6</v>
      </c>
      <c r="H5533" t="s">
        <v>4180</v>
      </c>
    </row>
    <row r="5534" spans="2:8" x14ac:dyDescent="0.2">
      <c r="B5534" t="s">
        <v>19</v>
      </c>
      <c r="C5534" t="s">
        <v>12924</v>
      </c>
      <c r="D5534" t="s">
        <v>613</v>
      </c>
      <c r="E5534" t="s">
        <v>5290</v>
      </c>
      <c r="F5534">
        <v>43.32</v>
      </c>
      <c r="H5534" t="s">
        <v>1243</v>
      </c>
    </row>
    <row r="5535" spans="2:8" x14ac:dyDescent="0.2">
      <c r="B5535" t="s">
        <v>19</v>
      </c>
      <c r="C5535" t="s">
        <v>12924</v>
      </c>
      <c r="D5535" t="s">
        <v>613</v>
      </c>
      <c r="E5535" t="s">
        <v>5291</v>
      </c>
      <c r="F5535">
        <v>129.96</v>
      </c>
      <c r="H5535" t="s">
        <v>1243</v>
      </c>
    </row>
    <row r="5536" spans="2:8" x14ac:dyDescent="0.2">
      <c r="B5536" t="s">
        <v>19</v>
      </c>
      <c r="C5536" t="s">
        <v>12924</v>
      </c>
      <c r="D5536" t="s">
        <v>613</v>
      </c>
      <c r="E5536" t="s">
        <v>5292</v>
      </c>
      <c r="F5536">
        <v>4386.8</v>
      </c>
      <c r="H5536" t="s">
        <v>1261</v>
      </c>
    </row>
    <row r="5537" spans="2:8" x14ac:dyDescent="0.2">
      <c r="B5537" t="s">
        <v>19</v>
      </c>
      <c r="C5537" t="s">
        <v>12924</v>
      </c>
      <c r="D5537" t="s">
        <v>613</v>
      </c>
      <c r="E5537" t="s">
        <v>5293</v>
      </c>
      <c r="F5537">
        <v>524.29999999999995</v>
      </c>
      <c r="H5537" t="s">
        <v>1269</v>
      </c>
    </row>
    <row r="5538" spans="2:8" x14ac:dyDescent="0.2">
      <c r="B5538" t="s">
        <v>19</v>
      </c>
      <c r="C5538" t="s">
        <v>12924</v>
      </c>
      <c r="D5538" t="s">
        <v>613</v>
      </c>
      <c r="E5538" t="s">
        <v>5294</v>
      </c>
      <c r="F5538">
        <v>80.25</v>
      </c>
      <c r="H5538" t="s">
        <v>1517</v>
      </c>
    </row>
    <row r="5539" spans="2:8" x14ac:dyDescent="0.2">
      <c r="B5539" t="s">
        <v>19</v>
      </c>
      <c r="C5539" t="s">
        <v>12924</v>
      </c>
      <c r="D5539" t="s">
        <v>613</v>
      </c>
      <c r="E5539" t="s">
        <v>5295</v>
      </c>
      <c r="F5539">
        <v>53.5</v>
      </c>
      <c r="H5539" t="s">
        <v>1518</v>
      </c>
    </row>
    <row r="5540" spans="2:8" x14ac:dyDescent="0.2">
      <c r="B5540" t="s">
        <v>19</v>
      </c>
      <c r="C5540" t="s">
        <v>12924</v>
      </c>
      <c r="D5540" t="s">
        <v>613</v>
      </c>
      <c r="E5540" t="s">
        <v>5296</v>
      </c>
      <c r="F5540">
        <v>42.8</v>
      </c>
      <c r="H5540" t="s">
        <v>1519</v>
      </c>
    </row>
    <row r="5541" spans="2:8" x14ac:dyDescent="0.2">
      <c r="B5541" t="s">
        <v>19</v>
      </c>
      <c r="C5541" t="s">
        <v>12924</v>
      </c>
      <c r="D5541" t="s">
        <v>613</v>
      </c>
      <c r="E5541" t="s">
        <v>5297</v>
      </c>
      <c r="F5541">
        <v>26.75</v>
      </c>
      <c r="H5541" t="s">
        <v>1885</v>
      </c>
    </row>
    <row r="5542" spans="2:8" x14ac:dyDescent="0.2">
      <c r="B5542" t="s">
        <v>19</v>
      </c>
      <c r="C5542" t="s">
        <v>12924</v>
      </c>
      <c r="D5542" t="s">
        <v>613</v>
      </c>
      <c r="E5542" t="s">
        <v>5298</v>
      </c>
      <c r="F5542">
        <v>26.75</v>
      </c>
      <c r="H5542" t="s">
        <v>2009</v>
      </c>
    </row>
    <row r="5543" spans="2:8" x14ac:dyDescent="0.2">
      <c r="B5543" t="s">
        <v>19</v>
      </c>
      <c r="C5543" t="s">
        <v>12924</v>
      </c>
      <c r="D5543" t="s">
        <v>613</v>
      </c>
      <c r="E5543" t="s">
        <v>5299</v>
      </c>
      <c r="F5543">
        <v>211.28</v>
      </c>
      <c r="H5543" t="s">
        <v>2010</v>
      </c>
    </row>
    <row r="5544" spans="2:8" x14ac:dyDescent="0.2">
      <c r="B5544" t="s">
        <v>19</v>
      </c>
      <c r="C5544" t="s">
        <v>12924</v>
      </c>
      <c r="D5544" t="s">
        <v>554</v>
      </c>
      <c r="E5544" t="s">
        <v>5300</v>
      </c>
      <c r="F5544">
        <v>8086</v>
      </c>
      <c r="H5544" t="s">
        <v>4220</v>
      </c>
    </row>
    <row r="5545" spans="2:8" x14ac:dyDescent="0.2">
      <c r="B5545" t="s">
        <v>19</v>
      </c>
      <c r="C5545" t="s">
        <v>12924</v>
      </c>
      <c r="D5545" t="s">
        <v>554</v>
      </c>
      <c r="E5545" t="s">
        <v>5301</v>
      </c>
      <c r="F5545">
        <v>8086</v>
      </c>
      <c r="H5545" t="s">
        <v>4220</v>
      </c>
    </row>
    <row r="5546" spans="2:8" x14ac:dyDescent="0.2">
      <c r="B5546" t="s">
        <v>19</v>
      </c>
      <c r="C5546" t="s">
        <v>12924</v>
      </c>
      <c r="D5546" t="s">
        <v>613</v>
      </c>
      <c r="E5546" t="s">
        <v>5302</v>
      </c>
      <c r="F5546">
        <v>4386.8</v>
      </c>
      <c r="H5546" t="s">
        <v>4277</v>
      </c>
    </row>
    <row r="5547" spans="2:8" x14ac:dyDescent="0.2">
      <c r="B5547" t="s">
        <v>19</v>
      </c>
      <c r="C5547" t="s">
        <v>12924</v>
      </c>
      <c r="D5547" t="s">
        <v>613</v>
      </c>
      <c r="E5547" t="s">
        <v>5303</v>
      </c>
      <c r="F5547">
        <v>42.8</v>
      </c>
      <c r="H5547" t="s">
        <v>1519</v>
      </c>
    </row>
    <row r="5548" spans="2:8" x14ac:dyDescent="0.2">
      <c r="B5548" t="s">
        <v>19</v>
      </c>
      <c r="C5548" t="s">
        <v>12924</v>
      </c>
      <c r="D5548" t="s">
        <v>613</v>
      </c>
      <c r="E5548" t="s">
        <v>5304</v>
      </c>
      <c r="F5548">
        <v>52.82</v>
      </c>
      <c r="H5548" t="s">
        <v>2010</v>
      </c>
    </row>
    <row r="5549" spans="2:8" x14ac:dyDescent="0.2">
      <c r="B5549" t="s">
        <v>19</v>
      </c>
      <c r="C5549" t="s">
        <v>12924</v>
      </c>
      <c r="D5549" t="s">
        <v>613</v>
      </c>
      <c r="E5549" t="s">
        <v>5305</v>
      </c>
      <c r="F5549">
        <v>145.52000000000001</v>
      </c>
      <c r="H5549" t="s">
        <v>4238</v>
      </c>
    </row>
    <row r="5550" spans="2:8" x14ac:dyDescent="0.2">
      <c r="B5550" t="s">
        <v>19</v>
      </c>
      <c r="C5550" t="s">
        <v>12924</v>
      </c>
      <c r="D5550" t="s">
        <v>613</v>
      </c>
      <c r="E5550" t="s">
        <v>5341</v>
      </c>
      <c r="F5550">
        <v>13.07</v>
      </c>
      <c r="H5550" t="s">
        <v>5286</v>
      </c>
    </row>
    <row r="5551" spans="2:8" x14ac:dyDescent="0.2">
      <c r="B5551" t="s">
        <v>19</v>
      </c>
      <c r="C5551" t="s">
        <v>12924</v>
      </c>
      <c r="D5551" t="s">
        <v>613</v>
      </c>
      <c r="E5551" t="s">
        <v>5342</v>
      </c>
      <c r="F5551">
        <v>1220.04</v>
      </c>
      <c r="H5551" t="s">
        <v>4619</v>
      </c>
    </row>
    <row r="5552" spans="2:8" x14ac:dyDescent="0.2">
      <c r="B5552" t="s">
        <v>19</v>
      </c>
      <c r="C5552" t="s">
        <v>12924</v>
      </c>
      <c r="D5552" t="s">
        <v>613</v>
      </c>
      <c r="E5552" t="s">
        <v>5343</v>
      </c>
      <c r="F5552">
        <v>342.4</v>
      </c>
      <c r="H5552" t="s">
        <v>4179</v>
      </c>
    </row>
    <row r="5553" spans="2:8" x14ac:dyDescent="0.2">
      <c r="B5553" t="s">
        <v>19</v>
      </c>
      <c r="C5553" t="s">
        <v>12924</v>
      </c>
      <c r="D5553" t="s">
        <v>613</v>
      </c>
      <c r="E5553" t="s">
        <v>5344</v>
      </c>
      <c r="F5553">
        <v>43.32</v>
      </c>
      <c r="H5553" t="s">
        <v>1243</v>
      </c>
    </row>
    <row r="5554" spans="2:8" x14ac:dyDescent="0.2">
      <c r="B5554" t="s">
        <v>19</v>
      </c>
      <c r="C5554" t="s">
        <v>12924</v>
      </c>
      <c r="D5554" t="s">
        <v>613</v>
      </c>
      <c r="E5554" t="s">
        <v>5345</v>
      </c>
      <c r="F5554">
        <v>43.32</v>
      </c>
      <c r="H5554" t="s">
        <v>1243</v>
      </c>
    </row>
    <row r="5555" spans="2:8" x14ac:dyDescent="0.2">
      <c r="B5555" t="s">
        <v>19</v>
      </c>
      <c r="C5555" t="s">
        <v>12924</v>
      </c>
      <c r="D5555" t="s">
        <v>613</v>
      </c>
      <c r="E5555" t="s">
        <v>5346</v>
      </c>
      <c r="F5555">
        <v>590</v>
      </c>
      <c r="H5555" t="s">
        <v>1282</v>
      </c>
    </row>
    <row r="5556" spans="2:8" x14ac:dyDescent="0.2">
      <c r="B5556" t="s">
        <v>19</v>
      </c>
      <c r="C5556" t="s">
        <v>12924</v>
      </c>
      <c r="D5556" t="s">
        <v>613</v>
      </c>
      <c r="E5556" t="s">
        <v>5347</v>
      </c>
      <c r="F5556">
        <v>26.75</v>
      </c>
      <c r="H5556" t="s">
        <v>1517</v>
      </c>
    </row>
    <row r="5557" spans="2:8" x14ac:dyDescent="0.2">
      <c r="B5557" t="s">
        <v>19</v>
      </c>
      <c r="C5557" t="s">
        <v>12924</v>
      </c>
      <c r="D5557" t="s">
        <v>613</v>
      </c>
      <c r="E5557" t="s">
        <v>5348</v>
      </c>
      <c r="F5557">
        <v>26.75</v>
      </c>
      <c r="H5557" t="s">
        <v>1518</v>
      </c>
    </row>
    <row r="5558" spans="2:8" x14ac:dyDescent="0.2">
      <c r="B5558" t="s">
        <v>19</v>
      </c>
      <c r="C5558" t="s">
        <v>12924</v>
      </c>
      <c r="D5558" t="s">
        <v>613</v>
      </c>
      <c r="E5558" t="s">
        <v>5349</v>
      </c>
      <c r="F5558">
        <v>128.4</v>
      </c>
      <c r="H5558" t="s">
        <v>1519</v>
      </c>
    </row>
    <row r="5559" spans="2:8" x14ac:dyDescent="0.2">
      <c r="B5559" t="s">
        <v>19</v>
      </c>
      <c r="C5559" t="s">
        <v>12924</v>
      </c>
      <c r="D5559" t="s">
        <v>554</v>
      </c>
      <c r="E5559" t="s">
        <v>5350</v>
      </c>
      <c r="F5559">
        <v>4469</v>
      </c>
      <c r="H5559" t="s">
        <v>4222</v>
      </c>
    </row>
    <row r="5560" spans="2:8" x14ac:dyDescent="0.2">
      <c r="B5560" t="s">
        <v>19</v>
      </c>
      <c r="C5560" t="s">
        <v>12924</v>
      </c>
      <c r="D5560" t="s">
        <v>554</v>
      </c>
      <c r="E5560" t="s">
        <v>5351</v>
      </c>
      <c r="F5560">
        <v>4469</v>
      </c>
      <c r="H5560" t="s">
        <v>4222</v>
      </c>
    </row>
    <row r="5561" spans="2:8" x14ac:dyDescent="0.2">
      <c r="B5561" t="s">
        <v>19</v>
      </c>
      <c r="C5561" t="s">
        <v>12924</v>
      </c>
      <c r="D5561" t="s">
        <v>554</v>
      </c>
      <c r="E5561" t="s">
        <v>5352</v>
      </c>
      <c r="F5561">
        <v>1078</v>
      </c>
      <c r="H5561" t="s">
        <v>4323</v>
      </c>
    </row>
    <row r="5562" spans="2:8" x14ac:dyDescent="0.2">
      <c r="B5562" t="s">
        <v>19</v>
      </c>
      <c r="C5562" t="s">
        <v>12924</v>
      </c>
      <c r="D5562" t="s">
        <v>613</v>
      </c>
      <c r="E5562" t="s">
        <v>5529</v>
      </c>
      <c r="F5562">
        <v>13.07</v>
      </c>
      <c r="H5562" t="s">
        <v>5286</v>
      </c>
    </row>
    <row r="5563" spans="2:8" x14ac:dyDescent="0.2">
      <c r="B5563" t="s">
        <v>19</v>
      </c>
      <c r="C5563" t="s">
        <v>12924</v>
      </c>
      <c r="D5563" t="s">
        <v>613</v>
      </c>
      <c r="E5563" t="s">
        <v>5530</v>
      </c>
      <c r="F5563">
        <v>1525.05</v>
      </c>
      <c r="H5563" t="s">
        <v>4619</v>
      </c>
    </row>
    <row r="5564" spans="2:8" x14ac:dyDescent="0.2">
      <c r="B5564" t="s">
        <v>19</v>
      </c>
      <c r="C5564" t="s">
        <v>12924</v>
      </c>
      <c r="D5564" t="s">
        <v>613</v>
      </c>
      <c r="E5564" t="s">
        <v>5531</v>
      </c>
      <c r="F5564">
        <v>582.08000000000004</v>
      </c>
      <c r="H5564" t="s">
        <v>4212</v>
      </c>
    </row>
    <row r="5565" spans="2:8" x14ac:dyDescent="0.2">
      <c r="B5565" t="s">
        <v>19</v>
      </c>
      <c r="C5565" t="s">
        <v>12924</v>
      </c>
      <c r="D5565" t="s">
        <v>613</v>
      </c>
      <c r="E5565" t="s">
        <v>5532</v>
      </c>
      <c r="F5565">
        <v>684.8</v>
      </c>
      <c r="H5565" t="s">
        <v>4179</v>
      </c>
    </row>
    <row r="5566" spans="2:8" x14ac:dyDescent="0.2">
      <c r="B5566" t="s">
        <v>19</v>
      </c>
      <c r="C5566" t="s">
        <v>12924</v>
      </c>
      <c r="D5566" t="s">
        <v>613</v>
      </c>
      <c r="E5566" t="s">
        <v>5533</v>
      </c>
      <c r="F5566">
        <v>406.6</v>
      </c>
      <c r="H5566" t="s">
        <v>4180</v>
      </c>
    </row>
    <row r="5567" spans="2:8" x14ac:dyDescent="0.2">
      <c r="B5567" t="s">
        <v>19</v>
      </c>
      <c r="C5567" t="s">
        <v>12924</v>
      </c>
      <c r="D5567" t="s">
        <v>613</v>
      </c>
      <c r="E5567" t="s">
        <v>5534</v>
      </c>
      <c r="F5567">
        <v>372.36</v>
      </c>
      <c r="H5567" t="s">
        <v>4182</v>
      </c>
    </row>
    <row r="5568" spans="2:8" x14ac:dyDescent="0.2">
      <c r="B5568" t="s">
        <v>19</v>
      </c>
      <c r="C5568" t="s">
        <v>12924</v>
      </c>
      <c r="D5568" t="s">
        <v>613</v>
      </c>
      <c r="E5568" t="s">
        <v>5535</v>
      </c>
      <c r="F5568">
        <v>425.98</v>
      </c>
      <c r="H5568" t="s">
        <v>1298</v>
      </c>
    </row>
    <row r="5569" spans="2:8" x14ac:dyDescent="0.2">
      <c r="B5569" t="s">
        <v>19</v>
      </c>
      <c r="C5569" t="s">
        <v>12924</v>
      </c>
      <c r="D5569" t="s">
        <v>613</v>
      </c>
      <c r="E5569" t="s">
        <v>5536</v>
      </c>
      <c r="F5569">
        <v>108.7</v>
      </c>
      <c r="H5569" t="s">
        <v>1384</v>
      </c>
    </row>
    <row r="5570" spans="2:8" x14ac:dyDescent="0.2">
      <c r="B5570" t="s">
        <v>19</v>
      </c>
      <c r="C5570" t="s">
        <v>12924</v>
      </c>
      <c r="D5570" t="s">
        <v>613</v>
      </c>
      <c r="E5570" t="s">
        <v>5537</v>
      </c>
      <c r="F5570">
        <v>42.8</v>
      </c>
      <c r="H5570" t="s">
        <v>2516</v>
      </c>
    </row>
    <row r="5571" spans="2:8" x14ac:dyDescent="0.2">
      <c r="B5571" t="s">
        <v>19</v>
      </c>
      <c r="C5571" t="s">
        <v>12924</v>
      </c>
      <c r="D5571" t="s">
        <v>613</v>
      </c>
      <c r="E5571" t="s">
        <v>5538</v>
      </c>
      <c r="F5571">
        <v>107</v>
      </c>
      <c r="H5571" t="s">
        <v>1517</v>
      </c>
    </row>
    <row r="5572" spans="2:8" x14ac:dyDescent="0.2">
      <c r="B5572" t="s">
        <v>19</v>
      </c>
      <c r="C5572" t="s">
        <v>12924</v>
      </c>
      <c r="D5572" t="s">
        <v>613</v>
      </c>
      <c r="E5572" t="s">
        <v>5539</v>
      </c>
      <c r="F5572">
        <v>107</v>
      </c>
      <c r="H5572" t="s">
        <v>1518</v>
      </c>
    </row>
    <row r="5573" spans="2:8" x14ac:dyDescent="0.2">
      <c r="B5573" t="s">
        <v>19</v>
      </c>
      <c r="C5573" t="s">
        <v>12924</v>
      </c>
      <c r="D5573" t="s">
        <v>613</v>
      </c>
      <c r="E5573" t="s">
        <v>5540</v>
      </c>
      <c r="F5573">
        <v>42.8</v>
      </c>
      <c r="H5573" t="s">
        <v>1519</v>
      </c>
    </row>
    <row r="5574" spans="2:8" x14ac:dyDescent="0.2">
      <c r="B5574" t="s">
        <v>19</v>
      </c>
      <c r="C5574" t="s">
        <v>12924</v>
      </c>
      <c r="D5574" t="s">
        <v>613</v>
      </c>
      <c r="E5574" t="s">
        <v>5541</v>
      </c>
      <c r="F5574">
        <v>42.8</v>
      </c>
      <c r="H5574" t="s">
        <v>1684</v>
      </c>
    </row>
    <row r="5575" spans="2:8" x14ac:dyDescent="0.2">
      <c r="B5575" t="s">
        <v>19</v>
      </c>
      <c r="C5575" t="s">
        <v>12924</v>
      </c>
      <c r="D5575" t="s">
        <v>613</v>
      </c>
      <c r="E5575" t="s">
        <v>5542</v>
      </c>
      <c r="F5575">
        <v>211.28</v>
      </c>
      <c r="H5575" t="s">
        <v>2010</v>
      </c>
    </row>
    <row r="5576" spans="2:8" x14ac:dyDescent="0.2">
      <c r="B5576" t="s">
        <v>19</v>
      </c>
      <c r="C5576" t="s">
        <v>12924</v>
      </c>
      <c r="D5576" t="s">
        <v>613</v>
      </c>
      <c r="E5576" t="s">
        <v>5543</v>
      </c>
      <c r="F5576">
        <v>264.10000000000002</v>
      </c>
      <c r="H5576" t="s">
        <v>2010</v>
      </c>
    </row>
    <row r="5577" spans="2:8" x14ac:dyDescent="0.2">
      <c r="B5577" t="s">
        <v>19</v>
      </c>
      <c r="C5577" t="s">
        <v>12924</v>
      </c>
      <c r="D5577" t="s">
        <v>613</v>
      </c>
      <c r="E5577" t="s">
        <v>5544</v>
      </c>
      <c r="F5577">
        <v>1.92</v>
      </c>
      <c r="H5577" t="s">
        <v>2011</v>
      </c>
    </row>
    <row r="5578" spans="2:8" x14ac:dyDescent="0.2">
      <c r="B5578" t="s">
        <v>19</v>
      </c>
      <c r="C5578" t="s">
        <v>12924</v>
      </c>
      <c r="D5578" t="s">
        <v>613</v>
      </c>
      <c r="E5578" t="s">
        <v>5545</v>
      </c>
      <c r="F5578">
        <v>6.14</v>
      </c>
      <c r="H5578" t="s">
        <v>1700</v>
      </c>
    </row>
    <row r="5579" spans="2:8" x14ac:dyDescent="0.2">
      <c r="B5579" t="s">
        <v>19</v>
      </c>
      <c r="C5579" t="s">
        <v>12924</v>
      </c>
      <c r="D5579" t="s">
        <v>613</v>
      </c>
      <c r="E5579" t="s">
        <v>5546</v>
      </c>
      <c r="F5579">
        <v>148.44</v>
      </c>
      <c r="H5579" t="s">
        <v>1845</v>
      </c>
    </row>
    <row r="5580" spans="2:8" x14ac:dyDescent="0.2">
      <c r="B5580" t="s">
        <v>19</v>
      </c>
      <c r="C5580" t="s">
        <v>12924</v>
      </c>
      <c r="D5580" t="s">
        <v>613</v>
      </c>
      <c r="E5580" t="s">
        <v>5547</v>
      </c>
      <c r="F5580">
        <v>55.4</v>
      </c>
      <c r="H5580" t="s">
        <v>2012</v>
      </c>
    </row>
    <row r="5581" spans="2:8" x14ac:dyDescent="0.2">
      <c r="B5581" t="s">
        <v>19</v>
      </c>
      <c r="C5581" t="s">
        <v>12924</v>
      </c>
      <c r="D5581" t="s">
        <v>613</v>
      </c>
      <c r="E5581" t="s">
        <v>5548</v>
      </c>
      <c r="F5581">
        <v>383.8</v>
      </c>
      <c r="H5581" t="s">
        <v>2013</v>
      </c>
    </row>
    <row r="5582" spans="2:8" x14ac:dyDescent="0.2">
      <c r="B5582" t="s">
        <v>19</v>
      </c>
      <c r="C5582" t="s">
        <v>12924</v>
      </c>
      <c r="D5582" t="s">
        <v>613</v>
      </c>
      <c r="E5582" t="s">
        <v>5549</v>
      </c>
      <c r="F5582">
        <v>83.92</v>
      </c>
      <c r="H5582" t="s">
        <v>2014</v>
      </c>
    </row>
    <row r="5583" spans="2:8" x14ac:dyDescent="0.2">
      <c r="B5583" t="s">
        <v>19</v>
      </c>
      <c r="C5583" t="s">
        <v>12924</v>
      </c>
      <c r="D5583" t="s">
        <v>613</v>
      </c>
      <c r="E5583" t="s">
        <v>5550</v>
      </c>
      <c r="F5583">
        <v>3.96</v>
      </c>
      <c r="H5583" t="s">
        <v>2015</v>
      </c>
    </row>
    <row r="5584" spans="2:8" x14ac:dyDescent="0.2">
      <c r="B5584" t="s">
        <v>19</v>
      </c>
      <c r="C5584" t="s">
        <v>12924</v>
      </c>
      <c r="D5584" t="s">
        <v>613</v>
      </c>
      <c r="E5584" t="s">
        <v>5551</v>
      </c>
      <c r="F5584">
        <v>7.32</v>
      </c>
      <c r="H5584" t="s">
        <v>2016</v>
      </c>
    </row>
    <row r="5585" spans="2:8" x14ac:dyDescent="0.2">
      <c r="B5585" t="s">
        <v>19</v>
      </c>
      <c r="C5585" t="s">
        <v>12924</v>
      </c>
      <c r="D5585" t="s">
        <v>554</v>
      </c>
      <c r="E5585" t="s">
        <v>5552</v>
      </c>
      <c r="F5585">
        <v>13892</v>
      </c>
      <c r="H5585" t="s">
        <v>4223</v>
      </c>
    </row>
    <row r="5586" spans="2:8" x14ac:dyDescent="0.2">
      <c r="B5586" t="s">
        <v>19</v>
      </c>
      <c r="C5586" t="s">
        <v>12924</v>
      </c>
      <c r="D5586" t="s">
        <v>554</v>
      </c>
      <c r="E5586" t="s">
        <v>5553</v>
      </c>
      <c r="F5586">
        <v>13892</v>
      </c>
      <c r="H5586" t="s">
        <v>4223</v>
      </c>
    </row>
    <row r="5587" spans="2:8" x14ac:dyDescent="0.2">
      <c r="B5587" t="s">
        <v>19</v>
      </c>
      <c r="C5587" t="s">
        <v>12924</v>
      </c>
      <c r="D5587" t="s">
        <v>613</v>
      </c>
      <c r="E5587" t="s">
        <v>5554</v>
      </c>
      <c r="F5587">
        <v>45.26</v>
      </c>
      <c r="H5587" t="s">
        <v>5555</v>
      </c>
    </row>
    <row r="5588" spans="2:8" x14ac:dyDescent="0.2">
      <c r="B5588" t="s">
        <v>19</v>
      </c>
      <c r="C5588" t="s">
        <v>12924</v>
      </c>
      <c r="D5588" t="s">
        <v>613</v>
      </c>
      <c r="E5588" t="s">
        <v>5556</v>
      </c>
      <c r="F5588">
        <v>38.549999999999997</v>
      </c>
      <c r="H5588" t="s">
        <v>5557</v>
      </c>
    </row>
    <row r="5589" spans="2:8" x14ac:dyDescent="0.2">
      <c r="B5589" t="s">
        <v>19</v>
      </c>
      <c r="C5589" t="s">
        <v>12924</v>
      </c>
      <c r="D5589" t="s">
        <v>613</v>
      </c>
      <c r="E5589" t="s">
        <v>5558</v>
      </c>
      <c r="F5589">
        <v>582.08000000000004</v>
      </c>
      <c r="H5589" t="s">
        <v>4238</v>
      </c>
    </row>
    <row r="5590" spans="2:8" x14ac:dyDescent="0.2">
      <c r="B5590" t="s">
        <v>19</v>
      </c>
      <c r="C5590" t="s">
        <v>12924</v>
      </c>
      <c r="D5590" t="s">
        <v>613</v>
      </c>
      <c r="E5590" t="s">
        <v>5559</v>
      </c>
      <c r="F5590">
        <v>145.52000000000001</v>
      </c>
      <c r="H5590" t="s">
        <v>4238</v>
      </c>
    </row>
    <row r="5591" spans="2:8" x14ac:dyDescent="0.2">
      <c r="B5591" t="s">
        <v>19</v>
      </c>
      <c r="C5591" t="s">
        <v>12924</v>
      </c>
      <c r="D5591" t="s">
        <v>613</v>
      </c>
      <c r="E5591" t="s">
        <v>5621</v>
      </c>
      <c r="F5591">
        <v>297.45999999999998</v>
      </c>
      <c r="H5591" t="s">
        <v>4176</v>
      </c>
    </row>
    <row r="5592" spans="2:8" x14ac:dyDescent="0.2">
      <c r="B5592" t="s">
        <v>19</v>
      </c>
      <c r="C5592" t="s">
        <v>12924</v>
      </c>
      <c r="D5592" t="s">
        <v>613</v>
      </c>
      <c r="E5592" t="s">
        <v>5622</v>
      </c>
      <c r="F5592">
        <v>-297.45999999999998</v>
      </c>
      <c r="H5592" t="s">
        <v>4176</v>
      </c>
    </row>
    <row r="5593" spans="2:8" x14ac:dyDescent="0.2">
      <c r="B5593" t="s">
        <v>19</v>
      </c>
      <c r="C5593" t="s">
        <v>12924</v>
      </c>
      <c r="D5593" t="s">
        <v>613</v>
      </c>
      <c r="E5593" t="s">
        <v>5623</v>
      </c>
      <c r="F5593">
        <v>297.45999999999998</v>
      </c>
      <c r="H5593" t="s">
        <v>4176</v>
      </c>
    </row>
    <row r="5594" spans="2:8" x14ac:dyDescent="0.2">
      <c r="B5594" t="s">
        <v>19</v>
      </c>
      <c r="C5594" t="s">
        <v>12924</v>
      </c>
      <c r="D5594" t="s">
        <v>613</v>
      </c>
      <c r="E5594" t="s">
        <v>5624</v>
      </c>
      <c r="F5594">
        <v>892.38</v>
      </c>
      <c r="H5594" t="s">
        <v>4176</v>
      </c>
    </row>
    <row r="5595" spans="2:8" x14ac:dyDescent="0.2">
      <c r="B5595" t="s">
        <v>19</v>
      </c>
      <c r="C5595" t="s">
        <v>12924</v>
      </c>
      <c r="D5595" t="s">
        <v>613</v>
      </c>
      <c r="E5595" t="s">
        <v>5625</v>
      </c>
      <c r="F5595">
        <v>43.32</v>
      </c>
      <c r="H5595" t="s">
        <v>1243</v>
      </c>
    </row>
    <row r="5596" spans="2:8" x14ac:dyDescent="0.2">
      <c r="B5596" t="s">
        <v>19</v>
      </c>
      <c r="C5596" t="s">
        <v>12924</v>
      </c>
      <c r="D5596" t="s">
        <v>613</v>
      </c>
      <c r="E5596" t="s">
        <v>5626</v>
      </c>
      <c r="F5596">
        <v>129.96</v>
      </c>
      <c r="H5596" t="s">
        <v>1243</v>
      </c>
    </row>
    <row r="5597" spans="2:8" x14ac:dyDescent="0.2">
      <c r="B5597" t="s">
        <v>19</v>
      </c>
      <c r="C5597" t="s">
        <v>12924</v>
      </c>
      <c r="D5597" t="s">
        <v>613</v>
      </c>
      <c r="E5597" t="s">
        <v>5627</v>
      </c>
      <c r="F5597">
        <v>42.8</v>
      </c>
      <c r="H5597" t="s">
        <v>2516</v>
      </c>
    </row>
    <row r="5598" spans="2:8" x14ac:dyDescent="0.2">
      <c r="B5598" t="s">
        <v>19</v>
      </c>
      <c r="C5598" t="s">
        <v>12924</v>
      </c>
      <c r="D5598" t="s">
        <v>613</v>
      </c>
      <c r="E5598" t="s">
        <v>5628</v>
      </c>
      <c r="F5598">
        <v>-42.8</v>
      </c>
      <c r="H5598" t="s">
        <v>2516</v>
      </c>
    </row>
    <row r="5599" spans="2:8" x14ac:dyDescent="0.2">
      <c r="B5599" t="s">
        <v>19</v>
      </c>
      <c r="C5599" t="s">
        <v>12924</v>
      </c>
      <c r="D5599" t="s">
        <v>613</v>
      </c>
      <c r="E5599" t="s">
        <v>5629</v>
      </c>
      <c r="F5599">
        <v>42.8</v>
      </c>
      <c r="H5599" t="s">
        <v>2516</v>
      </c>
    </row>
    <row r="5600" spans="2:8" x14ac:dyDescent="0.2">
      <c r="B5600" t="s">
        <v>19</v>
      </c>
      <c r="C5600" t="s">
        <v>12924</v>
      </c>
      <c r="D5600" t="s">
        <v>613</v>
      </c>
      <c r="E5600" t="s">
        <v>5630</v>
      </c>
      <c r="F5600">
        <v>42.8</v>
      </c>
      <c r="H5600" t="s">
        <v>2516</v>
      </c>
    </row>
    <row r="5601" spans="2:8" x14ac:dyDescent="0.2">
      <c r="B5601" t="s">
        <v>19</v>
      </c>
      <c r="C5601" t="s">
        <v>12924</v>
      </c>
      <c r="D5601" t="s">
        <v>613</v>
      </c>
      <c r="E5601" t="s">
        <v>5631</v>
      </c>
      <c r="F5601">
        <v>21.4</v>
      </c>
      <c r="H5601" t="s">
        <v>1514</v>
      </c>
    </row>
    <row r="5602" spans="2:8" x14ac:dyDescent="0.2">
      <c r="B5602" t="s">
        <v>19</v>
      </c>
      <c r="C5602" t="s">
        <v>12924</v>
      </c>
      <c r="D5602" t="s">
        <v>613</v>
      </c>
      <c r="E5602" t="s">
        <v>5632</v>
      </c>
      <c r="F5602">
        <v>-21.4</v>
      </c>
      <c r="H5602" t="s">
        <v>1514</v>
      </c>
    </row>
    <row r="5603" spans="2:8" x14ac:dyDescent="0.2">
      <c r="B5603" t="s">
        <v>19</v>
      </c>
      <c r="C5603" t="s">
        <v>12924</v>
      </c>
      <c r="D5603" t="s">
        <v>613</v>
      </c>
      <c r="E5603" t="s">
        <v>5633</v>
      </c>
      <c r="F5603">
        <v>21.4</v>
      </c>
      <c r="H5603" t="s">
        <v>1514</v>
      </c>
    </row>
    <row r="5604" spans="2:8" x14ac:dyDescent="0.2">
      <c r="B5604" t="s">
        <v>19</v>
      </c>
      <c r="C5604" t="s">
        <v>12924</v>
      </c>
      <c r="D5604" t="s">
        <v>613</v>
      </c>
      <c r="E5604" t="s">
        <v>5634</v>
      </c>
      <c r="F5604">
        <v>21.4</v>
      </c>
      <c r="H5604" t="s">
        <v>1514</v>
      </c>
    </row>
    <row r="5605" spans="2:8" x14ac:dyDescent="0.2">
      <c r="B5605" t="s">
        <v>19</v>
      </c>
      <c r="C5605" t="s">
        <v>12924</v>
      </c>
      <c r="D5605" t="s">
        <v>613</v>
      </c>
      <c r="E5605" t="s">
        <v>5635</v>
      </c>
      <c r="F5605">
        <v>21.4</v>
      </c>
      <c r="H5605" t="s">
        <v>1516</v>
      </c>
    </row>
    <row r="5606" spans="2:8" x14ac:dyDescent="0.2">
      <c r="B5606" t="s">
        <v>19</v>
      </c>
      <c r="C5606" t="s">
        <v>12924</v>
      </c>
      <c r="D5606" t="s">
        <v>613</v>
      </c>
      <c r="E5606" t="s">
        <v>5636</v>
      </c>
      <c r="F5606">
        <v>-21.4</v>
      </c>
      <c r="H5606" t="s">
        <v>1516</v>
      </c>
    </row>
    <row r="5607" spans="2:8" x14ac:dyDescent="0.2">
      <c r="B5607" t="s">
        <v>19</v>
      </c>
      <c r="C5607" t="s">
        <v>12924</v>
      </c>
      <c r="D5607" t="s">
        <v>613</v>
      </c>
      <c r="E5607" t="s">
        <v>5637</v>
      </c>
      <c r="F5607">
        <v>21.4</v>
      </c>
      <c r="H5607" t="s">
        <v>1516</v>
      </c>
    </row>
    <row r="5608" spans="2:8" x14ac:dyDescent="0.2">
      <c r="B5608" t="s">
        <v>19</v>
      </c>
      <c r="C5608" t="s">
        <v>12924</v>
      </c>
      <c r="D5608" t="s">
        <v>613</v>
      </c>
      <c r="E5608" t="s">
        <v>5638</v>
      </c>
      <c r="F5608">
        <v>21.4</v>
      </c>
      <c r="H5608" t="s">
        <v>1516</v>
      </c>
    </row>
    <row r="5609" spans="2:8" x14ac:dyDescent="0.2">
      <c r="B5609" t="s">
        <v>19</v>
      </c>
      <c r="C5609" t="s">
        <v>12924</v>
      </c>
      <c r="D5609" t="s">
        <v>554</v>
      </c>
      <c r="E5609" t="s">
        <v>5639</v>
      </c>
      <c r="F5609">
        <v>4564</v>
      </c>
      <c r="H5609" t="s">
        <v>4225</v>
      </c>
    </row>
    <row r="5610" spans="2:8" x14ac:dyDescent="0.2">
      <c r="B5610" t="s">
        <v>19</v>
      </c>
      <c r="C5610" t="s">
        <v>12924</v>
      </c>
      <c r="D5610" t="s">
        <v>554</v>
      </c>
      <c r="E5610" t="s">
        <v>5640</v>
      </c>
      <c r="F5610">
        <v>4564</v>
      </c>
      <c r="H5610" t="s">
        <v>4326</v>
      </c>
    </row>
    <row r="5611" spans="2:8" x14ac:dyDescent="0.2">
      <c r="B5611" t="s">
        <v>19</v>
      </c>
      <c r="C5611" t="s">
        <v>12924</v>
      </c>
      <c r="D5611" t="s">
        <v>613</v>
      </c>
      <c r="E5611" t="s">
        <v>5641</v>
      </c>
      <c r="F5611">
        <v>13.07</v>
      </c>
      <c r="H5611" t="s">
        <v>5286</v>
      </c>
    </row>
    <row r="5612" spans="2:8" x14ac:dyDescent="0.2">
      <c r="B5612" t="s">
        <v>19</v>
      </c>
      <c r="C5612" t="s">
        <v>12924</v>
      </c>
      <c r="D5612" t="s">
        <v>613</v>
      </c>
      <c r="E5612" t="s">
        <v>5642</v>
      </c>
      <c r="F5612">
        <v>148.44</v>
      </c>
      <c r="H5612" t="s">
        <v>1845</v>
      </c>
    </row>
    <row r="5613" spans="2:8" x14ac:dyDescent="0.2">
      <c r="B5613" t="s">
        <v>19</v>
      </c>
      <c r="C5613" t="s">
        <v>12924</v>
      </c>
      <c r="D5613" t="s">
        <v>613</v>
      </c>
      <c r="E5613" t="s">
        <v>5643</v>
      </c>
      <c r="F5613">
        <v>6.88</v>
      </c>
      <c r="H5613" t="s">
        <v>1689</v>
      </c>
    </row>
    <row r="5614" spans="2:8" x14ac:dyDescent="0.2">
      <c r="B5614" t="s">
        <v>19</v>
      </c>
      <c r="C5614" t="s">
        <v>12924</v>
      </c>
      <c r="D5614" t="s">
        <v>613</v>
      </c>
      <c r="E5614" t="s">
        <v>5644</v>
      </c>
      <c r="F5614">
        <v>6.88</v>
      </c>
      <c r="H5614" t="s">
        <v>1689</v>
      </c>
    </row>
    <row r="5615" spans="2:8" x14ac:dyDescent="0.2">
      <c r="B5615" t="s">
        <v>19</v>
      </c>
      <c r="C5615" t="s">
        <v>12924</v>
      </c>
      <c r="D5615" t="s">
        <v>613</v>
      </c>
      <c r="E5615" t="s">
        <v>5652</v>
      </c>
      <c r="F5615">
        <v>152.51</v>
      </c>
      <c r="H5615" t="s">
        <v>4619</v>
      </c>
    </row>
    <row r="5616" spans="2:8" x14ac:dyDescent="0.2">
      <c r="B5616" t="s">
        <v>19</v>
      </c>
      <c r="C5616" t="s">
        <v>12924</v>
      </c>
      <c r="D5616" t="s">
        <v>613</v>
      </c>
      <c r="E5616" t="s">
        <v>5653</v>
      </c>
      <c r="F5616">
        <v>637.72</v>
      </c>
      <c r="H5616" t="s">
        <v>4178</v>
      </c>
    </row>
    <row r="5617" spans="2:8" x14ac:dyDescent="0.2">
      <c r="B5617" t="s">
        <v>19</v>
      </c>
      <c r="C5617" t="s">
        <v>12924</v>
      </c>
      <c r="D5617" t="s">
        <v>613</v>
      </c>
      <c r="E5617" t="s">
        <v>5654</v>
      </c>
      <c r="F5617">
        <v>43.32</v>
      </c>
      <c r="H5617" t="s">
        <v>1243</v>
      </c>
    </row>
    <row r="5618" spans="2:8" x14ac:dyDescent="0.2">
      <c r="B5618" t="s">
        <v>19</v>
      </c>
      <c r="C5618" t="s">
        <v>12924</v>
      </c>
      <c r="D5618" t="s">
        <v>613</v>
      </c>
      <c r="E5618" t="s">
        <v>5655</v>
      </c>
      <c r="F5618">
        <v>21.4</v>
      </c>
      <c r="H5618" t="s">
        <v>1519</v>
      </c>
    </row>
    <row r="5619" spans="2:8" x14ac:dyDescent="0.2">
      <c r="B5619" t="s">
        <v>19</v>
      </c>
      <c r="C5619" t="s">
        <v>12924</v>
      </c>
      <c r="D5619" t="s">
        <v>613</v>
      </c>
      <c r="E5619" t="s">
        <v>5656</v>
      </c>
      <c r="F5619">
        <v>42.8</v>
      </c>
      <c r="H5619" t="s">
        <v>1684</v>
      </c>
    </row>
    <row r="5620" spans="2:8" x14ac:dyDescent="0.2">
      <c r="B5620" t="s">
        <v>19</v>
      </c>
      <c r="C5620" t="s">
        <v>12924</v>
      </c>
      <c r="D5620" t="s">
        <v>613</v>
      </c>
      <c r="E5620" t="s">
        <v>5657</v>
      </c>
      <c r="F5620">
        <v>26.75</v>
      </c>
      <c r="H5620" t="s">
        <v>1885</v>
      </c>
    </row>
    <row r="5621" spans="2:8" x14ac:dyDescent="0.2">
      <c r="B5621" t="s">
        <v>19</v>
      </c>
      <c r="C5621" t="s">
        <v>12924</v>
      </c>
      <c r="D5621" t="s">
        <v>613</v>
      </c>
      <c r="E5621" t="s">
        <v>5658</v>
      </c>
      <c r="F5621">
        <v>26.75</v>
      </c>
      <c r="H5621" t="s">
        <v>2009</v>
      </c>
    </row>
    <row r="5622" spans="2:8" x14ac:dyDescent="0.2">
      <c r="B5622" t="s">
        <v>19</v>
      </c>
      <c r="C5622" t="s">
        <v>12924</v>
      </c>
      <c r="D5622" t="s">
        <v>554</v>
      </c>
      <c r="E5622" t="s">
        <v>5659</v>
      </c>
      <c r="F5622">
        <v>5474</v>
      </c>
      <c r="H5622" t="s">
        <v>4242</v>
      </c>
    </row>
    <row r="5623" spans="2:8" x14ac:dyDescent="0.2">
      <c r="B5623" t="s">
        <v>19</v>
      </c>
      <c r="C5623" t="s">
        <v>12924</v>
      </c>
      <c r="D5623" t="s">
        <v>613</v>
      </c>
      <c r="E5623" t="s">
        <v>5660</v>
      </c>
      <c r="F5623">
        <v>6.54</v>
      </c>
      <c r="H5623" t="s">
        <v>5286</v>
      </c>
    </row>
    <row r="5624" spans="2:8" x14ac:dyDescent="0.2">
      <c r="B5624" t="s">
        <v>19</v>
      </c>
      <c r="C5624" t="s">
        <v>12924</v>
      </c>
      <c r="D5624" t="s">
        <v>613</v>
      </c>
      <c r="E5624" t="s">
        <v>5666</v>
      </c>
      <c r="F5624">
        <v>1067.54</v>
      </c>
      <c r="H5624" t="s">
        <v>4619</v>
      </c>
    </row>
    <row r="5625" spans="2:8" x14ac:dyDescent="0.2">
      <c r="B5625" t="s">
        <v>19</v>
      </c>
      <c r="C5625" t="s">
        <v>12924</v>
      </c>
      <c r="D5625" t="s">
        <v>613</v>
      </c>
      <c r="E5625" t="s">
        <v>5667</v>
      </c>
      <c r="F5625">
        <v>637.72</v>
      </c>
      <c r="H5625" t="s">
        <v>4178</v>
      </c>
    </row>
    <row r="5626" spans="2:8" x14ac:dyDescent="0.2">
      <c r="B5626" t="s">
        <v>19</v>
      </c>
      <c r="C5626" t="s">
        <v>12924</v>
      </c>
      <c r="D5626" t="s">
        <v>613</v>
      </c>
      <c r="E5626" t="s">
        <v>5668</v>
      </c>
      <c r="F5626">
        <v>684.8</v>
      </c>
      <c r="H5626" t="s">
        <v>4179</v>
      </c>
    </row>
    <row r="5627" spans="2:8" x14ac:dyDescent="0.2">
      <c r="B5627" t="s">
        <v>19</v>
      </c>
      <c r="C5627" t="s">
        <v>12924</v>
      </c>
      <c r="D5627" t="s">
        <v>613</v>
      </c>
      <c r="E5627" t="s">
        <v>5669</v>
      </c>
      <c r="F5627">
        <v>43.32</v>
      </c>
      <c r="H5627" t="s">
        <v>1243</v>
      </c>
    </row>
    <row r="5628" spans="2:8" x14ac:dyDescent="0.2">
      <c r="B5628" t="s">
        <v>19</v>
      </c>
      <c r="C5628" t="s">
        <v>12924</v>
      </c>
      <c r="D5628" t="s">
        <v>613</v>
      </c>
      <c r="E5628" t="s">
        <v>5670</v>
      </c>
      <c r="F5628">
        <v>86.64</v>
      </c>
      <c r="H5628" t="s">
        <v>1243</v>
      </c>
    </row>
    <row r="5629" spans="2:8" x14ac:dyDescent="0.2">
      <c r="B5629" t="s">
        <v>19</v>
      </c>
      <c r="C5629" t="s">
        <v>12924</v>
      </c>
      <c r="D5629" t="s">
        <v>613</v>
      </c>
      <c r="E5629" t="s">
        <v>5671</v>
      </c>
      <c r="F5629">
        <v>138.04</v>
      </c>
      <c r="H5629" t="s">
        <v>1325</v>
      </c>
    </row>
    <row r="5630" spans="2:8" x14ac:dyDescent="0.2">
      <c r="B5630" t="s">
        <v>19</v>
      </c>
      <c r="C5630" t="s">
        <v>12924</v>
      </c>
      <c r="D5630" t="s">
        <v>613</v>
      </c>
      <c r="E5630" t="s">
        <v>5672</v>
      </c>
      <c r="F5630">
        <v>53.5</v>
      </c>
      <c r="H5630" t="s">
        <v>1517</v>
      </c>
    </row>
    <row r="5631" spans="2:8" x14ac:dyDescent="0.2">
      <c r="B5631" t="s">
        <v>19</v>
      </c>
      <c r="C5631" t="s">
        <v>12924</v>
      </c>
      <c r="D5631" t="s">
        <v>613</v>
      </c>
      <c r="E5631" t="s">
        <v>5673</v>
      </c>
      <c r="F5631">
        <v>26.75</v>
      </c>
      <c r="H5631" t="s">
        <v>1518</v>
      </c>
    </row>
    <row r="5632" spans="2:8" x14ac:dyDescent="0.2">
      <c r="B5632" t="s">
        <v>19</v>
      </c>
      <c r="C5632" t="s">
        <v>12924</v>
      </c>
      <c r="D5632" t="s">
        <v>613</v>
      </c>
      <c r="E5632" t="s">
        <v>5674</v>
      </c>
      <c r="F5632">
        <v>64.2</v>
      </c>
      <c r="H5632" t="s">
        <v>1519</v>
      </c>
    </row>
    <row r="5633" spans="2:8" x14ac:dyDescent="0.2">
      <c r="B5633" t="s">
        <v>19</v>
      </c>
      <c r="C5633" t="s">
        <v>12924</v>
      </c>
      <c r="D5633" t="s">
        <v>613</v>
      </c>
      <c r="E5633" t="s">
        <v>5675</v>
      </c>
      <c r="F5633">
        <v>64.2</v>
      </c>
      <c r="H5633" t="s">
        <v>1684</v>
      </c>
    </row>
    <row r="5634" spans="2:8" x14ac:dyDescent="0.2">
      <c r="B5634" t="s">
        <v>19</v>
      </c>
      <c r="C5634" t="s">
        <v>12924</v>
      </c>
      <c r="D5634" t="s">
        <v>613</v>
      </c>
      <c r="E5634" t="s">
        <v>5676</v>
      </c>
      <c r="F5634">
        <v>148.44</v>
      </c>
      <c r="H5634" t="s">
        <v>1845</v>
      </c>
    </row>
    <row r="5635" spans="2:8" x14ac:dyDescent="0.2">
      <c r="B5635" t="s">
        <v>19</v>
      </c>
      <c r="C5635" t="s">
        <v>12924</v>
      </c>
      <c r="D5635" t="s">
        <v>613</v>
      </c>
      <c r="E5635" t="s">
        <v>5677</v>
      </c>
      <c r="F5635">
        <v>55.4</v>
      </c>
      <c r="H5635" t="s">
        <v>2012</v>
      </c>
    </row>
    <row r="5636" spans="2:8" x14ac:dyDescent="0.2">
      <c r="B5636" t="s">
        <v>19</v>
      </c>
      <c r="C5636" t="s">
        <v>12924</v>
      </c>
      <c r="D5636" t="s">
        <v>613</v>
      </c>
      <c r="E5636" t="s">
        <v>5678</v>
      </c>
      <c r="F5636">
        <v>110.8</v>
      </c>
      <c r="H5636" t="s">
        <v>2012</v>
      </c>
    </row>
    <row r="5637" spans="2:8" x14ac:dyDescent="0.2">
      <c r="B5637" t="s">
        <v>19</v>
      </c>
      <c r="C5637" t="s">
        <v>12924</v>
      </c>
      <c r="D5637" t="s">
        <v>554</v>
      </c>
      <c r="E5637" t="s">
        <v>5679</v>
      </c>
      <c r="F5637">
        <v>12099</v>
      </c>
      <c r="H5637" t="s">
        <v>4263</v>
      </c>
    </row>
    <row r="5638" spans="2:8" x14ac:dyDescent="0.2">
      <c r="B5638" t="s">
        <v>19</v>
      </c>
      <c r="C5638" t="s">
        <v>12924</v>
      </c>
      <c r="D5638" t="s">
        <v>613</v>
      </c>
      <c r="E5638" t="s">
        <v>5680</v>
      </c>
      <c r="F5638">
        <v>252.84</v>
      </c>
      <c r="H5638" t="s">
        <v>2019</v>
      </c>
    </row>
    <row r="5639" spans="2:8" x14ac:dyDescent="0.2">
      <c r="B5639" t="s">
        <v>19</v>
      </c>
      <c r="C5639" t="s">
        <v>12924</v>
      </c>
      <c r="D5639" t="s">
        <v>613</v>
      </c>
      <c r="E5639" t="s">
        <v>5681</v>
      </c>
      <c r="F5639">
        <v>448</v>
      </c>
      <c r="H5639" t="s">
        <v>1265</v>
      </c>
    </row>
    <row r="5640" spans="2:8" x14ac:dyDescent="0.2">
      <c r="B5640" t="s">
        <v>19</v>
      </c>
      <c r="C5640" t="s">
        <v>12924</v>
      </c>
      <c r="D5640" t="s">
        <v>613</v>
      </c>
      <c r="E5640" t="s">
        <v>5682</v>
      </c>
      <c r="F5640">
        <v>6.54</v>
      </c>
      <c r="H5640" t="s">
        <v>5286</v>
      </c>
    </row>
    <row r="5641" spans="2:8" x14ac:dyDescent="0.2">
      <c r="B5641" t="s">
        <v>19</v>
      </c>
      <c r="C5641" t="s">
        <v>12924</v>
      </c>
      <c r="D5641" t="s">
        <v>613</v>
      </c>
      <c r="E5641" t="s">
        <v>5683</v>
      </c>
      <c r="F5641">
        <v>363.8</v>
      </c>
      <c r="H5641" t="s">
        <v>4238</v>
      </c>
    </row>
    <row r="5642" spans="2:8" x14ac:dyDescent="0.2">
      <c r="B5642" t="s">
        <v>19</v>
      </c>
      <c r="C5642" t="s">
        <v>12924</v>
      </c>
      <c r="D5642" t="s">
        <v>613</v>
      </c>
      <c r="E5642" t="s">
        <v>5706</v>
      </c>
      <c r="F5642">
        <v>297.45999999999998</v>
      </c>
      <c r="H5642" t="s">
        <v>4176</v>
      </c>
    </row>
    <row r="5643" spans="2:8" x14ac:dyDescent="0.2">
      <c r="B5643" t="s">
        <v>19</v>
      </c>
      <c r="C5643" t="s">
        <v>12924</v>
      </c>
      <c r="D5643" t="s">
        <v>613</v>
      </c>
      <c r="E5643" t="s">
        <v>5707</v>
      </c>
      <c r="F5643">
        <v>152.51</v>
      </c>
      <c r="H5643" t="s">
        <v>4619</v>
      </c>
    </row>
    <row r="5644" spans="2:8" x14ac:dyDescent="0.2">
      <c r="B5644" t="s">
        <v>19</v>
      </c>
      <c r="C5644" t="s">
        <v>12924</v>
      </c>
      <c r="D5644" t="s">
        <v>613</v>
      </c>
      <c r="E5644" t="s">
        <v>5708</v>
      </c>
      <c r="F5644">
        <v>637.72</v>
      </c>
      <c r="H5644" t="s">
        <v>4178</v>
      </c>
    </row>
    <row r="5645" spans="2:8" x14ac:dyDescent="0.2">
      <c r="B5645" t="s">
        <v>19</v>
      </c>
      <c r="C5645" t="s">
        <v>12924</v>
      </c>
      <c r="D5645" t="s">
        <v>613</v>
      </c>
      <c r="E5645" t="s">
        <v>5709</v>
      </c>
      <c r="F5645">
        <v>395.9</v>
      </c>
      <c r="H5645" t="s">
        <v>4181</v>
      </c>
    </row>
    <row r="5646" spans="2:8" x14ac:dyDescent="0.2">
      <c r="B5646" t="s">
        <v>19</v>
      </c>
      <c r="C5646" t="s">
        <v>12924</v>
      </c>
      <c r="D5646" t="s">
        <v>613</v>
      </c>
      <c r="E5646" t="s">
        <v>5710</v>
      </c>
      <c r="F5646">
        <v>43.32</v>
      </c>
      <c r="H5646" t="s">
        <v>1243</v>
      </c>
    </row>
    <row r="5647" spans="2:8" x14ac:dyDescent="0.2">
      <c r="B5647" t="s">
        <v>19</v>
      </c>
      <c r="C5647" t="s">
        <v>12924</v>
      </c>
      <c r="D5647" t="s">
        <v>613</v>
      </c>
      <c r="E5647" t="s">
        <v>5711</v>
      </c>
      <c r="F5647">
        <v>448</v>
      </c>
      <c r="H5647" t="s">
        <v>1265</v>
      </c>
    </row>
    <row r="5648" spans="2:8" x14ac:dyDescent="0.2">
      <c r="B5648" t="s">
        <v>19</v>
      </c>
      <c r="C5648" t="s">
        <v>12924</v>
      </c>
      <c r="D5648" t="s">
        <v>613</v>
      </c>
      <c r="E5648" t="s">
        <v>5712</v>
      </c>
      <c r="F5648">
        <v>21.4</v>
      </c>
      <c r="H5648" t="s">
        <v>1514</v>
      </c>
    </row>
    <row r="5649" spans="2:8" x14ac:dyDescent="0.2">
      <c r="B5649" t="s">
        <v>19</v>
      </c>
      <c r="C5649" t="s">
        <v>12924</v>
      </c>
      <c r="D5649" t="s">
        <v>613</v>
      </c>
      <c r="E5649" t="s">
        <v>5713</v>
      </c>
      <c r="F5649">
        <v>21.4</v>
      </c>
      <c r="H5649" t="s">
        <v>1516</v>
      </c>
    </row>
    <row r="5650" spans="2:8" x14ac:dyDescent="0.2">
      <c r="B5650" t="s">
        <v>19</v>
      </c>
      <c r="C5650" t="s">
        <v>12924</v>
      </c>
      <c r="D5650" t="s">
        <v>613</v>
      </c>
      <c r="E5650" t="s">
        <v>5714</v>
      </c>
      <c r="F5650">
        <v>21.4</v>
      </c>
      <c r="H5650" t="s">
        <v>1519</v>
      </c>
    </row>
    <row r="5651" spans="2:8" x14ac:dyDescent="0.2">
      <c r="B5651" t="s">
        <v>19</v>
      </c>
      <c r="C5651" t="s">
        <v>12924</v>
      </c>
      <c r="D5651" t="s">
        <v>613</v>
      </c>
      <c r="E5651" t="s">
        <v>5715</v>
      </c>
      <c r="F5651">
        <v>42.8</v>
      </c>
      <c r="H5651" t="s">
        <v>1493</v>
      </c>
    </row>
    <row r="5652" spans="2:8" x14ac:dyDescent="0.2">
      <c r="B5652" t="s">
        <v>19</v>
      </c>
      <c r="C5652" t="s">
        <v>12924</v>
      </c>
      <c r="D5652" t="s">
        <v>613</v>
      </c>
      <c r="E5652" t="s">
        <v>5716</v>
      </c>
      <c r="F5652">
        <v>42.8</v>
      </c>
      <c r="H5652" t="s">
        <v>1684</v>
      </c>
    </row>
    <row r="5653" spans="2:8" x14ac:dyDescent="0.2">
      <c r="B5653" t="s">
        <v>19</v>
      </c>
      <c r="C5653" t="s">
        <v>12924</v>
      </c>
      <c r="D5653" t="s">
        <v>613</v>
      </c>
      <c r="E5653" t="s">
        <v>5717</v>
      </c>
      <c r="F5653">
        <v>26.75</v>
      </c>
      <c r="H5653" t="s">
        <v>1885</v>
      </c>
    </row>
    <row r="5654" spans="2:8" x14ac:dyDescent="0.2">
      <c r="B5654" t="s">
        <v>19</v>
      </c>
      <c r="C5654" t="s">
        <v>12924</v>
      </c>
      <c r="D5654" t="s">
        <v>613</v>
      </c>
      <c r="E5654" t="s">
        <v>5718</v>
      </c>
      <c r="F5654">
        <v>26.75</v>
      </c>
      <c r="H5654" t="s">
        <v>2009</v>
      </c>
    </row>
    <row r="5655" spans="2:8" x14ac:dyDescent="0.2">
      <c r="B5655" t="s">
        <v>19</v>
      </c>
      <c r="C5655" t="s">
        <v>12924</v>
      </c>
      <c r="D5655" t="s">
        <v>613</v>
      </c>
      <c r="E5655" t="s">
        <v>5719</v>
      </c>
      <c r="F5655">
        <v>52.82</v>
      </c>
      <c r="H5655" t="s">
        <v>2010</v>
      </c>
    </row>
    <row r="5656" spans="2:8" x14ac:dyDescent="0.2">
      <c r="B5656" t="s">
        <v>19</v>
      </c>
      <c r="C5656" t="s">
        <v>12924</v>
      </c>
      <c r="D5656" t="s">
        <v>613</v>
      </c>
      <c r="E5656" t="s">
        <v>5720</v>
      </c>
      <c r="F5656">
        <v>148.44</v>
      </c>
      <c r="H5656" t="s">
        <v>1845</v>
      </c>
    </row>
    <row r="5657" spans="2:8" x14ac:dyDescent="0.2">
      <c r="B5657" t="s">
        <v>19</v>
      </c>
      <c r="C5657" t="s">
        <v>12924</v>
      </c>
      <c r="D5657" t="s">
        <v>613</v>
      </c>
      <c r="E5657" t="s">
        <v>5721</v>
      </c>
      <c r="F5657">
        <v>278.39999999999998</v>
      </c>
      <c r="H5657" t="s">
        <v>4262</v>
      </c>
    </row>
    <row r="5658" spans="2:8" x14ac:dyDescent="0.2">
      <c r="B5658" t="s">
        <v>19</v>
      </c>
      <c r="C5658" t="s">
        <v>12924</v>
      </c>
      <c r="D5658" t="s">
        <v>613</v>
      </c>
      <c r="E5658" t="s">
        <v>5722</v>
      </c>
      <c r="F5658">
        <v>144.19999999999999</v>
      </c>
      <c r="H5658" t="s">
        <v>2017</v>
      </c>
    </row>
    <row r="5659" spans="2:8" x14ac:dyDescent="0.2">
      <c r="B5659" t="s">
        <v>19</v>
      </c>
      <c r="C5659" t="s">
        <v>12924</v>
      </c>
      <c r="D5659" t="s">
        <v>554</v>
      </c>
      <c r="E5659" t="s">
        <v>5723</v>
      </c>
      <c r="F5659">
        <v>14786</v>
      </c>
      <c r="H5659" t="s">
        <v>4265</v>
      </c>
    </row>
    <row r="5660" spans="2:8" x14ac:dyDescent="0.2">
      <c r="B5660" t="s">
        <v>19</v>
      </c>
      <c r="C5660" t="s">
        <v>12924</v>
      </c>
      <c r="D5660" t="s">
        <v>613</v>
      </c>
      <c r="E5660" t="s">
        <v>5724</v>
      </c>
      <c r="F5660">
        <v>6.54</v>
      </c>
      <c r="H5660" t="s">
        <v>5286</v>
      </c>
    </row>
    <row r="5661" spans="2:8" x14ac:dyDescent="0.2">
      <c r="B5661" t="s">
        <v>19</v>
      </c>
      <c r="C5661" t="s">
        <v>12924</v>
      </c>
      <c r="D5661" t="s">
        <v>613</v>
      </c>
      <c r="E5661" t="s">
        <v>5729</v>
      </c>
      <c r="F5661">
        <v>297.45999999999998</v>
      </c>
      <c r="H5661" t="s">
        <v>4176</v>
      </c>
    </row>
    <row r="5662" spans="2:8" x14ac:dyDescent="0.2">
      <c r="B5662" t="s">
        <v>19</v>
      </c>
      <c r="C5662" t="s">
        <v>12924</v>
      </c>
      <c r="D5662" t="s">
        <v>613</v>
      </c>
      <c r="E5662" t="s">
        <v>5730</v>
      </c>
      <c r="F5662">
        <v>-297.45999999999998</v>
      </c>
      <c r="H5662" t="s">
        <v>4176</v>
      </c>
    </row>
    <row r="5663" spans="2:8" x14ac:dyDescent="0.2">
      <c r="B5663" t="s">
        <v>19</v>
      </c>
      <c r="C5663" t="s">
        <v>12924</v>
      </c>
      <c r="D5663" t="s">
        <v>613</v>
      </c>
      <c r="E5663" t="s">
        <v>5731</v>
      </c>
      <c r="F5663">
        <v>297.45999999999998</v>
      </c>
      <c r="H5663" t="s">
        <v>4176</v>
      </c>
    </row>
    <row r="5664" spans="2:8" x14ac:dyDescent="0.2">
      <c r="B5664" t="s">
        <v>19</v>
      </c>
      <c r="C5664" t="s">
        <v>12924</v>
      </c>
      <c r="D5664" t="s">
        <v>613</v>
      </c>
      <c r="E5664" t="s">
        <v>5732</v>
      </c>
      <c r="F5664">
        <v>892.38</v>
      </c>
      <c r="H5664" t="s">
        <v>4176</v>
      </c>
    </row>
    <row r="5665" spans="2:8" x14ac:dyDescent="0.2">
      <c r="B5665" t="s">
        <v>19</v>
      </c>
      <c r="C5665" t="s">
        <v>12924</v>
      </c>
      <c r="D5665" t="s">
        <v>613</v>
      </c>
      <c r="E5665" t="s">
        <v>5733</v>
      </c>
      <c r="F5665">
        <v>43.32</v>
      </c>
      <c r="H5665" t="s">
        <v>1243</v>
      </c>
    </row>
    <row r="5666" spans="2:8" x14ac:dyDescent="0.2">
      <c r="B5666" t="s">
        <v>19</v>
      </c>
      <c r="C5666" t="s">
        <v>12924</v>
      </c>
      <c r="D5666" t="s">
        <v>613</v>
      </c>
      <c r="E5666" t="s">
        <v>5734</v>
      </c>
      <c r="F5666">
        <v>43.32</v>
      </c>
      <c r="H5666" t="s">
        <v>1243</v>
      </c>
    </row>
    <row r="5667" spans="2:8" x14ac:dyDescent="0.2">
      <c r="B5667" t="s">
        <v>19</v>
      </c>
      <c r="C5667" t="s">
        <v>12924</v>
      </c>
      <c r="D5667" t="s">
        <v>613</v>
      </c>
      <c r="E5667" t="s">
        <v>5735</v>
      </c>
      <c r="F5667">
        <v>42.8</v>
      </c>
      <c r="H5667" t="s">
        <v>2516</v>
      </c>
    </row>
    <row r="5668" spans="2:8" x14ac:dyDescent="0.2">
      <c r="B5668" t="s">
        <v>19</v>
      </c>
      <c r="C5668" t="s">
        <v>12924</v>
      </c>
      <c r="D5668" t="s">
        <v>613</v>
      </c>
      <c r="E5668" t="s">
        <v>5736</v>
      </c>
      <c r="F5668">
        <v>-42.8</v>
      </c>
      <c r="H5668" t="s">
        <v>2516</v>
      </c>
    </row>
    <row r="5669" spans="2:8" x14ac:dyDescent="0.2">
      <c r="B5669" t="s">
        <v>19</v>
      </c>
      <c r="C5669" t="s">
        <v>12924</v>
      </c>
      <c r="D5669" t="s">
        <v>613</v>
      </c>
      <c r="E5669" t="s">
        <v>5737</v>
      </c>
      <c r="F5669">
        <v>42.8</v>
      </c>
      <c r="H5669" t="s">
        <v>2516</v>
      </c>
    </row>
    <row r="5670" spans="2:8" x14ac:dyDescent="0.2">
      <c r="B5670" t="s">
        <v>19</v>
      </c>
      <c r="C5670" t="s">
        <v>12924</v>
      </c>
      <c r="D5670" t="s">
        <v>613</v>
      </c>
      <c r="E5670" t="s">
        <v>5738</v>
      </c>
      <c r="F5670">
        <v>42.8</v>
      </c>
      <c r="H5670" t="s">
        <v>2516</v>
      </c>
    </row>
    <row r="5671" spans="2:8" x14ac:dyDescent="0.2">
      <c r="B5671" t="s">
        <v>19</v>
      </c>
      <c r="C5671" t="s">
        <v>12924</v>
      </c>
      <c r="D5671" t="s">
        <v>613</v>
      </c>
      <c r="E5671" t="s">
        <v>5739</v>
      </c>
      <c r="F5671">
        <v>85.6</v>
      </c>
      <c r="H5671" t="s">
        <v>2018</v>
      </c>
    </row>
    <row r="5672" spans="2:8" x14ac:dyDescent="0.2">
      <c r="B5672" t="s">
        <v>19</v>
      </c>
      <c r="C5672" t="s">
        <v>12924</v>
      </c>
      <c r="D5672" t="s">
        <v>554</v>
      </c>
      <c r="E5672" t="s">
        <v>5740</v>
      </c>
      <c r="F5672">
        <v>4871</v>
      </c>
      <c r="H5672" t="s">
        <v>4266</v>
      </c>
    </row>
    <row r="5673" spans="2:8" x14ac:dyDescent="0.2">
      <c r="B5673" t="s">
        <v>19</v>
      </c>
      <c r="C5673" t="s">
        <v>12924</v>
      </c>
      <c r="D5673" t="s">
        <v>613</v>
      </c>
      <c r="E5673" t="s">
        <v>5741</v>
      </c>
      <c r="F5673">
        <v>6.88</v>
      </c>
      <c r="H5673" t="s">
        <v>1689</v>
      </c>
    </row>
    <row r="5674" spans="2:8" x14ac:dyDescent="0.2">
      <c r="B5674" t="s">
        <v>19</v>
      </c>
      <c r="C5674" t="s">
        <v>12924</v>
      </c>
      <c r="D5674" t="s">
        <v>613</v>
      </c>
      <c r="E5674" t="s">
        <v>5760</v>
      </c>
      <c r="F5674">
        <v>6.54</v>
      </c>
      <c r="H5674" t="s">
        <v>5286</v>
      </c>
    </row>
    <row r="5675" spans="2:8" x14ac:dyDescent="0.2">
      <c r="B5675" t="s">
        <v>19</v>
      </c>
      <c r="C5675" t="s">
        <v>12924</v>
      </c>
      <c r="D5675" t="s">
        <v>613</v>
      </c>
      <c r="E5675" t="s">
        <v>5761</v>
      </c>
      <c r="F5675">
        <v>797.15</v>
      </c>
      <c r="H5675" t="s">
        <v>4178</v>
      </c>
    </row>
    <row r="5676" spans="2:8" x14ac:dyDescent="0.2">
      <c r="B5676" t="s">
        <v>19</v>
      </c>
      <c r="C5676" t="s">
        <v>12924</v>
      </c>
      <c r="D5676" t="s">
        <v>613</v>
      </c>
      <c r="E5676" t="s">
        <v>5762</v>
      </c>
      <c r="F5676">
        <v>43.32</v>
      </c>
      <c r="H5676" t="s">
        <v>1243</v>
      </c>
    </row>
    <row r="5677" spans="2:8" x14ac:dyDescent="0.2">
      <c r="B5677" t="s">
        <v>19</v>
      </c>
      <c r="C5677" t="s">
        <v>12924</v>
      </c>
      <c r="D5677" t="s">
        <v>613</v>
      </c>
      <c r="E5677" t="s">
        <v>5763</v>
      </c>
      <c r="F5677">
        <v>21.4</v>
      </c>
      <c r="H5677" t="s">
        <v>1519</v>
      </c>
    </row>
    <row r="5678" spans="2:8" x14ac:dyDescent="0.2">
      <c r="B5678" t="s">
        <v>19</v>
      </c>
      <c r="C5678" t="s">
        <v>12924</v>
      </c>
      <c r="D5678" t="s">
        <v>613</v>
      </c>
      <c r="E5678" t="s">
        <v>5764</v>
      </c>
      <c r="F5678">
        <v>42.8</v>
      </c>
      <c r="H5678" t="s">
        <v>1684</v>
      </c>
    </row>
    <row r="5679" spans="2:8" x14ac:dyDescent="0.2">
      <c r="B5679" t="s">
        <v>19</v>
      </c>
      <c r="C5679" t="s">
        <v>12924</v>
      </c>
      <c r="D5679" t="s">
        <v>613</v>
      </c>
      <c r="E5679" t="s">
        <v>5765</v>
      </c>
      <c r="F5679">
        <v>26.75</v>
      </c>
      <c r="H5679" t="s">
        <v>1885</v>
      </c>
    </row>
    <row r="5680" spans="2:8" x14ac:dyDescent="0.2">
      <c r="B5680" t="s">
        <v>19</v>
      </c>
      <c r="C5680" t="s">
        <v>12924</v>
      </c>
      <c r="D5680" t="s">
        <v>613</v>
      </c>
      <c r="E5680" t="s">
        <v>5766</v>
      </c>
      <c r="F5680">
        <v>26.75</v>
      </c>
      <c r="H5680" t="s">
        <v>2009</v>
      </c>
    </row>
    <row r="5681" spans="2:8" x14ac:dyDescent="0.2">
      <c r="B5681" t="s">
        <v>19</v>
      </c>
      <c r="C5681" t="s">
        <v>12924</v>
      </c>
      <c r="D5681" t="s">
        <v>554</v>
      </c>
      <c r="E5681" t="s">
        <v>5767</v>
      </c>
      <c r="F5681">
        <v>5466</v>
      </c>
      <c r="H5681" t="s">
        <v>4268</v>
      </c>
    </row>
    <row r="5682" spans="2:8" x14ac:dyDescent="0.2">
      <c r="B5682" t="s">
        <v>19</v>
      </c>
      <c r="C5682" t="s">
        <v>12924</v>
      </c>
      <c r="D5682" t="s">
        <v>613</v>
      </c>
      <c r="E5682" t="s">
        <v>5768</v>
      </c>
      <c r="F5682">
        <v>152.51</v>
      </c>
      <c r="H5682" t="s">
        <v>4619</v>
      </c>
    </row>
    <row r="5683" spans="2:8" x14ac:dyDescent="0.2">
      <c r="B5683" t="s">
        <v>19</v>
      </c>
      <c r="C5683" t="s">
        <v>12924</v>
      </c>
      <c r="D5683" t="s">
        <v>613</v>
      </c>
      <c r="E5683" t="s">
        <v>5769</v>
      </c>
      <c r="F5683">
        <v>152.51</v>
      </c>
      <c r="H5683" t="s">
        <v>4619</v>
      </c>
    </row>
    <row r="5684" spans="2:8" x14ac:dyDescent="0.2">
      <c r="B5684" t="s">
        <v>19</v>
      </c>
      <c r="C5684" t="s">
        <v>12924</v>
      </c>
      <c r="D5684" t="s">
        <v>613</v>
      </c>
      <c r="E5684" t="s">
        <v>5770</v>
      </c>
      <c r="F5684">
        <v>637.72</v>
      </c>
      <c r="H5684" t="s">
        <v>4178</v>
      </c>
    </row>
    <row r="5685" spans="2:8" x14ac:dyDescent="0.2">
      <c r="B5685" t="s">
        <v>19</v>
      </c>
      <c r="C5685" t="s">
        <v>12924</v>
      </c>
      <c r="D5685" t="s">
        <v>613</v>
      </c>
      <c r="E5685" t="s">
        <v>5771</v>
      </c>
      <c r="F5685">
        <v>406.6</v>
      </c>
      <c r="H5685" t="s">
        <v>4180</v>
      </c>
    </row>
    <row r="5686" spans="2:8" x14ac:dyDescent="0.2">
      <c r="B5686" t="s">
        <v>19</v>
      </c>
      <c r="C5686" t="s">
        <v>12924</v>
      </c>
      <c r="D5686" t="s">
        <v>613</v>
      </c>
      <c r="E5686" t="s">
        <v>5772</v>
      </c>
      <c r="F5686">
        <v>43.32</v>
      </c>
      <c r="H5686" t="s">
        <v>1243</v>
      </c>
    </row>
    <row r="5687" spans="2:8" x14ac:dyDescent="0.2">
      <c r="B5687" t="s">
        <v>19</v>
      </c>
      <c r="C5687" t="s">
        <v>12924</v>
      </c>
      <c r="D5687" t="s">
        <v>613</v>
      </c>
      <c r="E5687" t="s">
        <v>5773</v>
      </c>
      <c r="F5687">
        <v>21.4</v>
      </c>
      <c r="H5687" t="s">
        <v>1519</v>
      </c>
    </row>
    <row r="5688" spans="2:8" x14ac:dyDescent="0.2">
      <c r="B5688" t="s">
        <v>19</v>
      </c>
      <c r="C5688" t="s">
        <v>12924</v>
      </c>
      <c r="D5688" t="s">
        <v>613</v>
      </c>
      <c r="E5688" t="s">
        <v>5774</v>
      </c>
      <c r="F5688">
        <v>42.8</v>
      </c>
      <c r="H5688" t="s">
        <v>1684</v>
      </c>
    </row>
    <row r="5689" spans="2:8" x14ac:dyDescent="0.2">
      <c r="B5689" t="s">
        <v>19</v>
      </c>
      <c r="C5689" t="s">
        <v>12924</v>
      </c>
      <c r="D5689" t="s">
        <v>613</v>
      </c>
      <c r="E5689" t="s">
        <v>5775</v>
      </c>
      <c r="F5689">
        <v>53.5</v>
      </c>
      <c r="H5689" t="s">
        <v>1885</v>
      </c>
    </row>
    <row r="5690" spans="2:8" x14ac:dyDescent="0.2">
      <c r="B5690" t="s">
        <v>19</v>
      </c>
      <c r="C5690" t="s">
        <v>12924</v>
      </c>
      <c r="D5690" t="s">
        <v>613</v>
      </c>
      <c r="E5690" t="s">
        <v>5776</v>
      </c>
      <c r="F5690">
        <v>53.5</v>
      </c>
      <c r="H5690" t="s">
        <v>2009</v>
      </c>
    </row>
    <row r="5691" spans="2:8" x14ac:dyDescent="0.2">
      <c r="B5691" t="s">
        <v>19</v>
      </c>
      <c r="C5691" t="s">
        <v>12924</v>
      </c>
      <c r="D5691" t="s">
        <v>613</v>
      </c>
      <c r="E5691" t="s">
        <v>5777</v>
      </c>
      <c r="F5691">
        <v>52.82</v>
      </c>
      <c r="H5691" t="s">
        <v>2010</v>
      </c>
    </row>
    <row r="5692" spans="2:8" x14ac:dyDescent="0.2">
      <c r="B5692" t="s">
        <v>19</v>
      </c>
      <c r="C5692" t="s">
        <v>12924</v>
      </c>
      <c r="D5692" t="s">
        <v>554</v>
      </c>
      <c r="E5692" t="s">
        <v>5778</v>
      </c>
      <c r="F5692">
        <v>12866</v>
      </c>
      <c r="H5692" t="s">
        <v>4316</v>
      </c>
    </row>
    <row r="5693" spans="2:8" x14ac:dyDescent="0.2">
      <c r="B5693" t="s">
        <v>19</v>
      </c>
      <c r="C5693" t="s">
        <v>12924</v>
      </c>
      <c r="D5693" t="s">
        <v>613</v>
      </c>
      <c r="E5693" t="s">
        <v>5779</v>
      </c>
      <c r="F5693">
        <v>43.32</v>
      </c>
      <c r="H5693" t="s">
        <v>1243</v>
      </c>
    </row>
    <row r="5694" spans="2:8" x14ac:dyDescent="0.2">
      <c r="B5694" t="s">
        <v>19</v>
      </c>
      <c r="C5694" t="s">
        <v>12924</v>
      </c>
      <c r="D5694" t="s">
        <v>613</v>
      </c>
      <c r="E5694" t="s">
        <v>5780</v>
      </c>
      <c r="F5694">
        <v>148.44</v>
      </c>
      <c r="H5694" t="s">
        <v>1845</v>
      </c>
    </row>
    <row r="5695" spans="2:8" x14ac:dyDescent="0.2">
      <c r="B5695" t="s">
        <v>19</v>
      </c>
      <c r="C5695" t="s">
        <v>12924</v>
      </c>
      <c r="D5695" t="s">
        <v>613</v>
      </c>
      <c r="E5695" t="s">
        <v>5781</v>
      </c>
      <c r="F5695">
        <v>148.44</v>
      </c>
      <c r="H5695" t="s">
        <v>1845</v>
      </c>
    </row>
    <row r="5696" spans="2:8" x14ac:dyDescent="0.2">
      <c r="B5696" t="s">
        <v>19</v>
      </c>
      <c r="C5696" t="s">
        <v>12924</v>
      </c>
      <c r="D5696" t="s">
        <v>613</v>
      </c>
      <c r="E5696" t="s">
        <v>5782</v>
      </c>
      <c r="F5696">
        <v>5.28</v>
      </c>
      <c r="H5696" t="s">
        <v>4283</v>
      </c>
    </row>
    <row r="5697" spans="2:8" x14ac:dyDescent="0.2">
      <c r="B5697" t="s">
        <v>19</v>
      </c>
      <c r="C5697" t="s">
        <v>12924</v>
      </c>
      <c r="D5697" t="s">
        <v>613</v>
      </c>
      <c r="E5697" t="s">
        <v>5783</v>
      </c>
      <c r="F5697">
        <v>55.4</v>
      </c>
      <c r="H5697" t="s">
        <v>2012</v>
      </c>
    </row>
    <row r="5698" spans="2:8" x14ac:dyDescent="0.2">
      <c r="B5698" t="s">
        <v>19</v>
      </c>
      <c r="C5698" t="s">
        <v>12924</v>
      </c>
      <c r="D5698" t="s">
        <v>613</v>
      </c>
      <c r="E5698" t="s">
        <v>5784</v>
      </c>
      <c r="F5698">
        <v>110.8</v>
      </c>
      <c r="H5698" t="s">
        <v>2012</v>
      </c>
    </row>
    <row r="5699" spans="2:8" x14ac:dyDescent="0.2">
      <c r="B5699" t="s">
        <v>19</v>
      </c>
      <c r="C5699" t="s">
        <v>12924</v>
      </c>
      <c r="D5699" t="s">
        <v>613</v>
      </c>
      <c r="E5699" t="s">
        <v>5785</v>
      </c>
      <c r="F5699">
        <v>448</v>
      </c>
      <c r="H5699" t="s">
        <v>1265</v>
      </c>
    </row>
    <row r="5700" spans="2:8" x14ac:dyDescent="0.2">
      <c r="B5700" t="s">
        <v>19</v>
      </c>
      <c r="C5700" t="s">
        <v>12924</v>
      </c>
      <c r="D5700" t="s">
        <v>613</v>
      </c>
      <c r="E5700" t="s">
        <v>5786</v>
      </c>
      <c r="F5700">
        <v>229.68</v>
      </c>
      <c r="H5700" t="s">
        <v>1267</v>
      </c>
    </row>
    <row r="5701" spans="2:8" x14ac:dyDescent="0.2">
      <c r="B5701" t="s">
        <v>19</v>
      </c>
      <c r="C5701" t="s">
        <v>12924</v>
      </c>
      <c r="D5701" t="s">
        <v>613</v>
      </c>
      <c r="E5701" t="s">
        <v>5787</v>
      </c>
      <c r="F5701">
        <v>27.53</v>
      </c>
      <c r="H5701" t="s">
        <v>4289</v>
      </c>
    </row>
    <row r="5702" spans="2:8" x14ac:dyDescent="0.2">
      <c r="B5702" t="s">
        <v>19</v>
      </c>
      <c r="C5702" t="s">
        <v>12924</v>
      </c>
      <c r="D5702" t="s">
        <v>613</v>
      </c>
      <c r="E5702" t="s">
        <v>5788</v>
      </c>
      <c r="F5702">
        <v>99.92</v>
      </c>
      <c r="H5702" t="s">
        <v>1358</v>
      </c>
    </row>
    <row r="5703" spans="2:8" x14ac:dyDescent="0.2">
      <c r="B5703" t="s">
        <v>19</v>
      </c>
      <c r="C5703" t="s">
        <v>12924</v>
      </c>
      <c r="D5703" t="s">
        <v>613</v>
      </c>
      <c r="E5703" t="s">
        <v>5789</v>
      </c>
      <c r="F5703">
        <v>118.82</v>
      </c>
      <c r="H5703" t="s">
        <v>1360</v>
      </c>
    </row>
    <row r="5704" spans="2:8" x14ac:dyDescent="0.2">
      <c r="B5704" t="s">
        <v>19</v>
      </c>
      <c r="C5704" t="s">
        <v>12924</v>
      </c>
      <c r="D5704" t="s">
        <v>613</v>
      </c>
      <c r="E5704" t="s">
        <v>5790</v>
      </c>
      <c r="F5704">
        <v>0.96</v>
      </c>
      <c r="H5704" t="s">
        <v>2011</v>
      </c>
    </row>
    <row r="5705" spans="2:8" x14ac:dyDescent="0.2">
      <c r="B5705" t="s">
        <v>19</v>
      </c>
      <c r="C5705" t="s">
        <v>12924</v>
      </c>
      <c r="D5705" t="s">
        <v>613</v>
      </c>
      <c r="E5705" t="s">
        <v>5816</v>
      </c>
      <c r="F5705">
        <v>152.51</v>
      </c>
      <c r="H5705" t="s">
        <v>4619</v>
      </c>
    </row>
    <row r="5706" spans="2:8" x14ac:dyDescent="0.2">
      <c r="B5706" t="s">
        <v>19</v>
      </c>
      <c r="C5706" t="s">
        <v>12924</v>
      </c>
      <c r="D5706" t="s">
        <v>613</v>
      </c>
      <c r="E5706" t="s">
        <v>5817</v>
      </c>
      <c r="F5706">
        <v>956.58</v>
      </c>
      <c r="H5706" t="s">
        <v>4178</v>
      </c>
    </row>
    <row r="5707" spans="2:8" x14ac:dyDescent="0.2">
      <c r="B5707" t="s">
        <v>19</v>
      </c>
      <c r="C5707" t="s">
        <v>12924</v>
      </c>
      <c r="D5707" t="s">
        <v>613</v>
      </c>
      <c r="E5707" t="s">
        <v>5818</v>
      </c>
      <c r="F5707">
        <v>43.32</v>
      </c>
      <c r="H5707" t="s">
        <v>1243</v>
      </c>
    </row>
    <row r="5708" spans="2:8" x14ac:dyDescent="0.2">
      <c r="B5708" t="s">
        <v>19</v>
      </c>
      <c r="C5708" t="s">
        <v>12924</v>
      </c>
      <c r="D5708" t="s">
        <v>613</v>
      </c>
      <c r="E5708" t="s">
        <v>5819</v>
      </c>
      <c r="F5708">
        <v>21.66</v>
      </c>
      <c r="H5708" t="s">
        <v>1243</v>
      </c>
    </row>
    <row r="5709" spans="2:8" x14ac:dyDescent="0.2">
      <c r="B5709" t="s">
        <v>19</v>
      </c>
      <c r="C5709" t="s">
        <v>12924</v>
      </c>
      <c r="D5709" t="s">
        <v>613</v>
      </c>
      <c r="E5709" t="s">
        <v>5820</v>
      </c>
      <c r="F5709">
        <v>21.4</v>
      </c>
      <c r="H5709" t="s">
        <v>1519</v>
      </c>
    </row>
    <row r="5710" spans="2:8" x14ac:dyDescent="0.2">
      <c r="B5710" t="s">
        <v>19</v>
      </c>
      <c r="C5710" t="s">
        <v>12924</v>
      </c>
      <c r="D5710" t="s">
        <v>613</v>
      </c>
      <c r="E5710" t="s">
        <v>5821</v>
      </c>
      <c r="F5710">
        <v>42.8</v>
      </c>
      <c r="H5710" t="s">
        <v>1684</v>
      </c>
    </row>
    <row r="5711" spans="2:8" x14ac:dyDescent="0.2">
      <c r="B5711" t="s">
        <v>19</v>
      </c>
      <c r="C5711" t="s">
        <v>12924</v>
      </c>
      <c r="D5711" t="s">
        <v>613</v>
      </c>
      <c r="E5711" t="s">
        <v>5822</v>
      </c>
      <c r="F5711">
        <v>26.75</v>
      </c>
      <c r="H5711" t="s">
        <v>1885</v>
      </c>
    </row>
    <row r="5712" spans="2:8" x14ac:dyDescent="0.2">
      <c r="B5712" t="s">
        <v>19</v>
      </c>
      <c r="C5712" t="s">
        <v>12924</v>
      </c>
      <c r="D5712" t="s">
        <v>613</v>
      </c>
      <c r="E5712" t="s">
        <v>5823</v>
      </c>
      <c r="F5712">
        <v>26.75</v>
      </c>
      <c r="H5712" t="s">
        <v>2009</v>
      </c>
    </row>
    <row r="5713" spans="2:8" x14ac:dyDescent="0.2">
      <c r="B5713" t="s">
        <v>19</v>
      </c>
      <c r="C5713" t="s">
        <v>12924</v>
      </c>
      <c r="D5713" t="s">
        <v>613</v>
      </c>
      <c r="E5713" t="s">
        <v>5824</v>
      </c>
      <c r="F5713">
        <v>30</v>
      </c>
      <c r="H5713" t="s">
        <v>2020</v>
      </c>
    </row>
    <row r="5714" spans="2:8" x14ac:dyDescent="0.2">
      <c r="B5714" t="s">
        <v>19</v>
      </c>
      <c r="C5714" t="s">
        <v>12924</v>
      </c>
      <c r="D5714" t="s">
        <v>613</v>
      </c>
      <c r="E5714" t="s">
        <v>5825</v>
      </c>
      <c r="F5714">
        <v>30</v>
      </c>
      <c r="H5714" t="s">
        <v>2073</v>
      </c>
    </row>
    <row r="5715" spans="2:8" x14ac:dyDescent="0.2">
      <c r="B5715" t="s">
        <v>19</v>
      </c>
      <c r="C5715" t="s">
        <v>12924</v>
      </c>
      <c r="D5715" t="s">
        <v>554</v>
      </c>
      <c r="E5715" t="s">
        <v>5826</v>
      </c>
      <c r="F5715">
        <v>7126</v>
      </c>
      <c r="H5715" t="s">
        <v>4327</v>
      </c>
    </row>
    <row r="5716" spans="2:8" x14ac:dyDescent="0.2">
      <c r="B5716" t="s">
        <v>19</v>
      </c>
      <c r="C5716" t="s">
        <v>12924</v>
      </c>
      <c r="D5716" t="s">
        <v>613</v>
      </c>
      <c r="E5716" t="s">
        <v>5827</v>
      </c>
      <c r="F5716">
        <v>6.3</v>
      </c>
      <c r="H5716" t="s">
        <v>5286</v>
      </c>
    </row>
    <row r="5717" spans="2:8" x14ac:dyDescent="0.2">
      <c r="B5717" t="s">
        <v>19</v>
      </c>
      <c r="C5717" t="s">
        <v>12924</v>
      </c>
      <c r="D5717" t="s">
        <v>613</v>
      </c>
      <c r="E5717" t="s">
        <v>5828</v>
      </c>
      <c r="F5717">
        <v>0.77</v>
      </c>
      <c r="H5717" t="s">
        <v>5829</v>
      </c>
    </row>
    <row r="5718" spans="2:8" x14ac:dyDescent="0.2">
      <c r="B5718" t="s">
        <v>19</v>
      </c>
      <c r="C5718" t="s">
        <v>12924</v>
      </c>
      <c r="D5718" t="s">
        <v>613</v>
      </c>
      <c r="E5718" t="s">
        <v>5830</v>
      </c>
      <c r="F5718">
        <v>123</v>
      </c>
      <c r="H5718" t="s">
        <v>5354</v>
      </c>
    </row>
    <row r="5719" spans="2:8" x14ac:dyDescent="0.2">
      <c r="B5719" t="s">
        <v>19</v>
      </c>
      <c r="C5719" t="s">
        <v>12924</v>
      </c>
      <c r="D5719" t="s">
        <v>613</v>
      </c>
      <c r="E5719" t="s">
        <v>5845</v>
      </c>
      <c r="F5719">
        <v>6.54</v>
      </c>
      <c r="H5719" t="s">
        <v>5286</v>
      </c>
    </row>
    <row r="5720" spans="2:8" x14ac:dyDescent="0.2">
      <c r="B5720" t="s">
        <v>19</v>
      </c>
      <c r="C5720" t="s">
        <v>12924</v>
      </c>
      <c r="D5720" t="s">
        <v>613</v>
      </c>
      <c r="E5720" t="s">
        <v>5846</v>
      </c>
      <c r="F5720">
        <v>152.51</v>
      </c>
      <c r="H5720" t="s">
        <v>4619</v>
      </c>
    </row>
    <row r="5721" spans="2:8" x14ac:dyDescent="0.2">
      <c r="B5721" t="s">
        <v>19</v>
      </c>
      <c r="C5721" t="s">
        <v>12924</v>
      </c>
      <c r="D5721" t="s">
        <v>613</v>
      </c>
      <c r="E5721" t="s">
        <v>5847</v>
      </c>
      <c r="F5721">
        <v>637.72</v>
      </c>
      <c r="H5721" t="s">
        <v>4178</v>
      </c>
    </row>
    <row r="5722" spans="2:8" x14ac:dyDescent="0.2">
      <c r="B5722" t="s">
        <v>19</v>
      </c>
      <c r="C5722" t="s">
        <v>12924</v>
      </c>
      <c r="D5722" t="s">
        <v>613</v>
      </c>
      <c r="E5722" t="s">
        <v>5848</v>
      </c>
      <c r="F5722">
        <v>7.32</v>
      </c>
      <c r="H5722" t="s">
        <v>3688</v>
      </c>
    </row>
    <row r="5723" spans="2:8" x14ac:dyDescent="0.2">
      <c r="B5723" t="s">
        <v>19</v>
      </c>
      <c r="C5723" t="s">
        <v>12924</v>
      </c>
      <c r="D5723" t="s">
        <v>613</v>
      </c>
      <c r="E5723" t="s">
        <v>5849</v>
      </c>
      <c r="F5723">
        <v>372.36</v>
      </c>
      <c r="H5723" t="s">
        <v>4182</v>
      </c>
    </row>
    <row r="5724" spans="2:8" x14ac:dyDescent="0.2">
      <c r="B5724" t="s">
        <v>19</v>
      </c>
      <c r="C5724" t="s">
        <v>12924</v>
      </c>
      <c r="D5724" t="s">
        <v>613</v>
      </c>
      <c r="E5724" t="s">
        <v>5850</v>
      </c>
      <c r="F5724">
        <v>43.32</v>
      </c>
      <c r="H5724" t="s">
        <v>1243</v>
      </c>
    </row>
    <row r="5725" spans="2:8" x14ac:dyDescent="0.2">
      <c r="B5725" t="s">
        <v>19</v>
      </c>
      <c r="C5725" t="s">
        <v>12924</v>
      </c>
      <c r="D5725" t="s">
        <v>613</v>
      </c>
      <c r="E5725" t="s">
        <v>5851</v>
      </c>
      <c r="F5725">
        <v>21.4</v>
      </c>
      <c r="H5725" t="s">
        <v>1519</v>
      </c>
    </row>
    <row r="5726" spans="2:8" x14ac:dyDescent="0.2">
      <c r="B5726" t="s">
        <v>19</v>
      </c>
      <c r="C5726" t="s">
        <v>12924</v>
      </c>
      <c r="D5726" t="s">
        <v>613</v>
      </c>
      <c r="E5726" t="s">
        <v>5852</v>
      </c>
      <c r="F5726">
        <v>42.8</v>
      </c>
      <c r="H5726" t="s">
        <v>1684</v>
      </c>
    </row>
    <row r="5727" spans="2:8" x14ac:dyDescent="0.2">
      <c r="B5727" t="s">
        <v>19</v>
      </c>
      <c r="C5727" t="s">
        <v>12924</v>
      </c>
      <c r="D5727" t="s">
        <v>613</v>
      </c>
      <c r="E5727" t="s">
        <v>5853</v>
      </c>
      <c r="F5727">
        <v>26.75</v>
      </c>
      <c r="H5727" t="s">
        <v>1885</v>
      </c>
    </row>
    <row r="5728" spans="2:8" x14ac:dyDescent="0.2">
      <c r="B5728" t="s">
        <v>19</v>
      </c>
      <c r="C5728" t="s">
        <v>12924</v>
      </c>
      <c r="D5728" t="s">
        <v>613</v>
      </c>
      <c r="E5728" t="s">
        <v>5854</v>
      </c>
      <c r="F5728">
        <v>26.75</v>
      </c>
      <c r="H5728" t="s">
        <v>2009</v>
      </c>
    </row>
    <row r="5729" spans="2:8" x14ac:dyDescent="0.2">
      <c r="B5729" t="s">
        <v>19</v>
      </c>
      <c r="C5729" t="s">
        <v>12924</v>
      </c>
      <c r="D5729" t="s">
        <v>613</v>
      </c>
      <c r="E5729" t="s">
        <v>5855</v>
      </c>
      <c r="F5729">
        <v>1.92</v>
      </c>
      <c r="H5729" t="s">
        <v>2011</v>
      </c>
    </row>
    <row r="5730" spans="2:8" x14ac:dyDescent="0.2">
      <c r="B5730" t="s">
        <v>19</v>
      </c>
      <c r="C5730" t="s">
        <v>12924</v>
      </c>
      <c r="D5730" t="s">
        <v>613</v>
      </c>
      <c r="E5730" t="s">
        <v>5856</v>
      </c>
      <c r="F5730">
        <v>148.44</v>
      </c>
      <c r="H5730" t="s">
        <v>1845</v>
      </c>
    </row>
    <row r="5731" spans="2:8" x14ac:dyDescent="0.2">
      <c r="B5731" t="s">
        <v>19</v>
      </c>
      <c r="C5731" t="s">
        <v>12924</v>
      </c>
      <c r="D5731" t="s">
        <v>613</v>
      </c>
      <c r="E5731" t="s">
        <v>5857</v>
      </c>
      <c r="F5731">
        <v>41.96</v>
      </c>
      <c r="H5731" t="s">
        <v>2014</v>
      </c>
    </row>
    <row r="5732" spans="2:8" x14ac:dyDescent="0.2">
      <c r="B5732" t="s">
        <v>19</v>
      </c>
      <c r="C5732" t="s">
        <v>12924</v>
      </c>
      <c r="D5732" t="s">
        <v>613</v>
      </c>
      <c r="E5732" t="s">
        <v>5858</v>
      </c>
      <c r="F5732">
        <v>300</v>
      </c>
      <c r="H5732" t="s">
        <v>2074</v>
      </c>
    </row>
    <row r="5733" spans="2:8" x14ac:dyDescent="0.2">
      <c r="B5733" t="s">
        <v>19</v>
      </c>
      <c r="C5733" t="s">
        <v>12924</v>
      </c>
      <c r="D5733" t="s">
        <v>613</v>
      </c>
      <c r="E5733" t="s">
        <v>5859</v>
      </c>
      <c r="F5733">
        <v>300</v>
      </c>
      <c r="H5733" t="s">
        <v>2075</v>
      </c>
    </row>
    <row r="5734" spans="2:8" x14ac:dyDescent="0.2">
      <c r="B5734" t="s">
        <v>19</v>
      </c>
      <c r="C5734" t="s">
        <v>12924</v>
      </c>
      <c r="D5734" t="s">
        <v>613</v>
      </c>
      <c r="E5734" t="s">
        <v>5860</v>
      </c>
      <c r="F5734">
        <v>98.32</v>
      </c>
      <c r="H5734" t="s">
        <v>2076</v>
      </c>
    </row>
    <row r="5735" spans="2:8" x14ac:dyDescent="0.2">
      <c r="B5735" t="s">
        <v>19</v>
      </c>
      <c r="C5735" t="s">
        <v>12924</v>
      </c>
      <c r="D5735" t="s">
        <v>613</v>
      </c>
      <c r="E5735" t="s">
        <v>5861</v>
      </c>
      <c r="F5735">
        <v>70</v>
      </c>
      <c r="H5735" t="s">
        <v>1595</v>
      </c>
    </row>
    <row r="5736" spans="2:8" x14ac:dyDescent="0.2">
      <c r="B5736" t="s">
        <v>19</v>
      </c>
      <c r="C5736" t="s">
        <v>12924</v>
      </c>
      <c r="D5736" t="s">
        <v>554</v>
      </c>
      <c r="E5736" t="s">
        <v>5862</v>
      </c>
      <c r="F5736">
        <v>14835</v>
      </c>
      <c r="H5736" t="s">
        <v>4318</v>
      </c>
    </row>
    <row r="5737" spans="2:8" x14ac:dyDescent="0.2">
      <c r="B5737" t="s">
        <v>19</v>
      </c>
      <c r="C5737" t="s">
        <v>12924</v>
      </c>
      <c r="D5737" t="s">
        <v>613</v>
      </c>
      <c r="E5737" t="s">
        <v>5863</v>
      </c>
      <c r="F5737">
        <v>448</v>
      </c>
      <c r="H5737" t="s">
        <v>1265</v>
      </c>
    </row>
    <row r="5738" spans="2:8" x14ac:dyDescent="0.2">
      <c r="B5738" t="s">
        <v>19</v>
      </c>
      <c r="C5738" t="s">
        <v>12924</v>
      </c>
      <c r="D5738" t="s">
        <v>613</v>
      </c>
      <c r="E5738" t="s">
        <v>5864</v>
      </c>
      <c r="F5738">
        <v>229.68</v>
      </c>
      <c r="H5738" t="s">
        <v>1267</v>
      </c>
    </row>
    <row r="5739" spans="2:8" x14ac:dyDescent="0.2">
      <c r="B5739" t="s">
        <v>19</v>
      </c>
      <c r="C5739" t="s">
        <v>12924</v>
      </c>
      <c r="D5739" t="s">
        <v>613</v>
      </c>
      <c r="E5739" t="s">
        <v>5865</v>
      </c>
      <c r="F5739">
        <v>6.4</v>
      </c>
      <c r="H5739" t="s">
        <v>1619</v>
      </c>
    </row>
    <row r="5740" spans="2:8" x14ac:dyDescent="0.2">
      <c r="B5740" t="s">
        <v>19</v>
      </c>
      <c r="C5740" t="s">
        <v>12924</v>
      </c>
      <c r="D5740" t="s">
        <v>554</v>
      </c>
      <c r="E5740" t="s">
        <v>5866</v>
      </c>
      <c r="F5740">
        <v>152</v>
      </c>
      <c r="H5740" t="s">
        <v>4386</v>
      </c>
    </row>
    <row r="5741" spans="2:8" x14ac:dyDescent="0.2">
      <c r="B5741" t="s">
        <v>19</v>
      </c>
      <c r="C5741" t="s">
        <v>12924</v>
      </c>
      <c r="D5741" t="s">
        <v>613</v>
      </c>
      <c r="E5741" t="s">
        <v>5867</v>
      </c>
      <c r="F5741">
        <v>291.04000000000002</v>
      </c>
      <c r="H5741" t="s">
        <v>4238</v>
      </c>
    </row>
    <row r="5742" spans="2:8" x14ac:dyDescent="0.2">
      <c r="B5742" t="s">
        <v>19</v>
      </c>
      <c r="C5742" t="s">
        <v>12924</v>
      </c>
      <c r="D5742" t="s">
        <v>613</v>
      </c>
      <c r="E5742" t="s">
        <v>5870</v>
      </c>
      <c r="F5742">
        <v>114.76</v>
      </c>
      <c r="H5742" t="s">
        <v>4250</v>
      </c>
    </row>
    <row r="5743" spans="2:8" x14ac:dyDescent="0.2">
      <c r="B5743" t="s">
        <v>19</v>
      </c>
      <c r="C5743" t="s">
        <v>12924</v>
      </c>
      <c r="D5743" t="s">
        <v>613</v>
      </c>
      <c r="E5743" t="s">
        <v>5871</v>
      </c>
      <c r="F5743">
        <v>297.45999999999998</v>
      </c>
      <c r="H5743" t="s">
        <v>4176</v>
      </c>
    </row>
    <row r="5744" spans="2:8" x14ac:dyDescent="0.2">
      <c r="B5744" t="s">
        <v>19</v>
      </c>
      <c r="C5744" t="s">
        <v>12924</v>
      </c>
      <c r="D5744" t="s">
        <v>613</v>
      </c>
      <c r="E5744" t="s">
        <v>5872</v>
      </c>
      <c r="F5744">
        <v>-297.45999999999998</v>
      </c>
      <c r="H5744" t="s">
        <v>4176</v>
      </c>
    </row>
    <row r="5745" spans="2:8" x14ac:dyDescent="0.2">
      <c r="B5745" t="s">
        <v>19</v>
      </c>
      <c r="C5745" t="s">
        <v>12924</v>
      </c>
      <c r="D5745" t="s">
        <v>613</v>
      </c>
      <c r="E5745" t="s">
        <v>5873</v>
      </c>
      <c r="F5745">
        <v>297.45999999999998</v>
      </c>
      <c r="H5745" t="s">
        <v>4176</v>
      </c>
    </row>
    <row r="5746" spans="2:8" x14ac:dyDescent="0.2">
      <c r="B5746" t="s">
        <v>19</v>
      </c>
      <c r="C5746" t="s">
        <v>12924</v>
      </c>
      <c r="D5746" t="s">
        <v>613</v>
      </c>
      <c r="E5746" t="s">
        <v>5874</v>
      </c>
      <c r="F5746">
        <v>892.38</v>
      </c>
      <c r="H5746" t="s">
        <v>4176</v>
      </c>
    </row>
    <row r="5747" spans="2:8" x14ac:dyDescent="0.2">
      <c r="B5747" t="s">
        <v>19</v>
      </c>
      <c r="C5747" t="s">
        <v>12924</v>
      </c>
      <c r="D5747" t="s">
        <v>613</v>
      </c>
      <c r="E5747" t="s">
        <v>5875</v>
      </c>
      <c r="F5747">
        <v>42.8</v>
      </c>
      <c r="H5747" t="s">
        <v>2516</v>
      </c>
    </row>
    <row r="5748" spans="2:8" x14ac:dyDescent="0.2">
      <c r="B5748" t="s">
        <v>19</v>
      </c>
      <c r="C5748" t="s">
        <v>12924</v>
      </c>
      <c r="D5748" t="s">
        <v>613</v>
      </c>
      <c r="E5748" t="s">
        <v>5876</v>
      </c>
      <c r="F5748">
        <v>-42.8</v>
      </c>
      <c r="H5748" t="s">
        <v>2516</v>
      </c>
    </row>
    <row r="5749" spans="2:8" x14ac:dyDescent="0.2">
      <c r="B5749" t="s">
        <v>19</v>
      </c>
      <c r="C5749" t="s">
        <v>12924</v>
      </c>
      <c r="D5749" t="s">
        <v>613</v>
      </c>
      <c r="E5749" t="s">
        <v>5877</v>
      </c>
      <c r="F5749">
        <v>42.8</v>
      </c>
      <c r="H5749" t="s">
        <v>2516</v>
      </c>
    </row>
    <row r="5750" spans="2:8" x14ac:dyDescent="0.2">
      <c r="B5750" t="s">
        <v>19</v>
      </c>
      <c r="C5750" t="s">
        <v>12924</v>
      </c>
      <c r="D5750" t="s">
        <v>613</v>
      </c>
      <c r="E5750" t="s">
        <v>5878</v>
      </c>
      <c r="F5750">
        <v>42.8</v>
      </c>
      <c r="H5750" t="s">
        <v>2516</v>
      </c>
    </row>
    <row r="5751" spans="2:8" x14ac:dyDescent="0.2">
      <c r="B5751" t="s">
        <v>19</v>
      </c>
      <c r="C5751" t="s">
        <v>12924</v>
      </c>
      <c r="D5751" t="s">
        <v>613</v>
      </c>
      <c r="E5751" t="s">
        <v>5879</v>
      </c>
      <c r="F5751">
        <v>85.6</v>
      </c>
      <c r="H5751" t="s">
        <v>2018</v>
      </c>
    </row>
    <row r="5752" spans="2:8" x14ac:dyDescent="0.2">
      <c r="B5752" t="s">
        <v>19</v>
      </c>
      <c r="C5752" t="s">
        <v>12924</v>
      </c>
      <c r="D5752" t="s">
        <v>554</v>
      </c>
      <c r="E5752" t="s">
        <v>5880</v>
      </c>
      <c r="F5752">
        <v>4871</v>
      </c>
      <c r="H5752" t="s">
        <v>4319</v>
      </c>
    </row>
    <row r="5753" spans="2:8" x14ac:dyDescent="0.2">
      <c r="B5753" t="s">
        <v>19</v>
      </c>
      <c r="C5753" t="s">
        <v>12924</v>
      </c>
      <c r="D5753" t="s">
        <v>613</v>
      </c>
      <c r="E5753" t="s">
        <v>5881</v>
      </c>
      <c r="F5753">
        <v>6.88</v>
      </c>
      <c r="H5753" t="s">
        <v>1689</v>
      </c>
    </row>
    <row r="5754" spans="2:8" x14ac:dyDescent="0.2">
      <c r="B5754" t="s">
        <v>19</v>
      </c>
      <c r="C5754" t="s">
        <v>12924</v>
      </c>
      <c r="D5754" t="s">
        <v>613</v>
      </c>
      <c r="E5754" t="s">
        <v>5882</v>
      </c>
      <c r="F5754">
        <v>43.32</v>
      </c>
      <c r="H5754" t="s">
        <v>1243</v>
      </c>
    </row>
    <row r="5755" spans="2:8" x14ac:dyDescent="0.2">
      <c r="B5755" t="s">
        <v>19</v>
      </c>
      <c r="C5755" t="s">
        <v>12924</v>
      </c>
      <c r="D5755" t="s">
        <v>613</v>
      </c>
      <c r="E5755" t="s">
        <v>5883</v>
      </c>
      <c r="F5755">
        <v>43.32</v>
      </c>
      <c r="H5755" t="s">
        <v>1243</v>
      </c>
    </row>
    <row r="5756" spans="2:8" x14ac:dyDescent="0.2">
      <c r="B5756" t="s">
        <v>19</v>
      </c>
      <c r="C5756" t="s">
        <v>12924</v>
      </c>
      <c r="D5756" t="s">
        <v>613</v>
      </c>
      <c r="E5756" t="s">
        <v>5898</v>
      </c>
      <c r="F5756">
        <v>6.3</v>
      </c>
      <c r="H5756" t="s">
        <v>5286</v>
      </c>
    </row>
    <row r="5757" spans="2:8" x14ac:dyDescent="0.2">
      <c r="B5757" t="s">
        <v>19</v>
      </c>
      <c r="C5757" t="s">
        <v>12924</v>
      </c>
      <c r="D5757" t="s">
        <v>613</v>
      </c>
      <c r="E5757" t="s">
        <v>5899</v>
      </c>
      <c r="F5757">
        <v>46.32</v>
      </c>
      <c r="H5757" t="s">
        <v>4248</v>
      </c>
    </row>
    <row r="5758" spans="2:8" x14ac:dyDescent="0.2">
      <c r="B5758" t="s">
        <v>19</v>
      </c>
      <c r="C5758" t="s">
        <v>12924</v>
      </c>
      <c r="D5758" t="s">
        <v>613</v>
      </c>
      <c r="E5758" t="s">
        <v>5900</v>
      </c>
      <c r="F5758">
        <v>5.28</v>
      </c>
      <c r="H5758" t="s">
        <v>4283</v>
      </c>
    </row>
    <row r="5759" spans="2:8" x14ac:dyDescent="0.2">
      <c r="B5759" t="s">
        <v>19</v>
      </c>
      <c r="C5759" t="s">
        <v>12924</v>
      </c>
      <c r="D5759" t="s">
        <v>613</v>
      </c>
      <c r="E5759" t="s">
        <v>5901</v>
      </c>
      <c r="F5759">
        <v>797.15</v>
      </c>
      <c r="H5759" t="s">
        <v>4178</v>
      </c>
    </row>
    <row r="5760" spans="2:8" x14ac:dyDescent="0.2">
      <c r="B5760" t="s">
        <v>19</v>
      </c>
      <c r="C5760" t="s">
        <v>12924</v>
      </c>
      <c r="D5760" t="s">
        <v>613</v>
      </c>
      <c r="E5760" t="s">
        <v>5902</v>
      </c>
      <c r="F5760">
        <v>72.760000000000005</v>
      </c>
      <c r="H5760" t="s">
        <v>4212</v>
      </c>
    </row>
    <row r="5761" spans="2:8" x14ac:dyDescent="0.2">
      <c r="B5761" t="s">
        <v>19</v>
      </c>
      <c r="C5761" t="s">
        <v>12924</v>
      </c>
      <c r="D5761" t="s">
        <v>613</v>
      </c>
      <c r="E5761" t="s">
        <v>5903</v>
      </c>
      <c r="F5761">
        <v>813.2</v>
      </c>
      <c r="H5761" t="s">
        <v>4180</v>
      </c>
    </row>
    <row r="5762" spans="2:8" x14ac:dyDescent="0.2">
      <c r="B5762" t="s">
        <v>19</v>
      </c>
      <c r="C5762" t="s">
        <v>12924</v>
      </c>
      <c r="D5762" t="s">
        <v>613</v>
      </c>
      <c r="E5762" t="s">
        <v>5904</v>
      </c>
      <c r="F5762">
        <v>43.32</v>
      </c>
      <c r="H5762" t="s">
        <v>1243</v>
      </c>
    </row>
    <row r="5763" spans="2:8" x14ac:dyDescent="0.2">
      <c r="B5763" t="s">
        <v>19</v>
      </c>
      <c r="C5763" t="s">
        <v>12924</v>
      </c>
      <c r="D5763" t="s">
        <v>613</v>
      </c>
      <c r="E5763" t="s">
        <v>5905</v>
      </c>
      <c r="F5763">
        <v>86.64</v>
      </c>
      <c r="H5763" t="s">
        <v>1243</v>
      </c>
    </row>
    <row r="5764" spans="2:8" x14ac:dyDescent="0.2">
      <c r="B5764" t="s">
        <v>19</v>
      </c>
      <c r="C5764" t="s">
        <v>12924</v>
      </c>
      <c r="D5764" t="s">
        <v>613</v>
      </c>
      <c r="E5764" t="s">
        <v>5906</v>
      </c>
      <c r="F5764">
        <v>300.56</v>
      </c>
      <c r="H5764" t="s">
        <v>1327</v>
      </c>
    </row>
    <row r="5765" spans="2:8" x14ac:dyDescent="0.2">
      <c r="B5765" t="s">
        <v>19</v>
      </c>
      <c r="C5765" t="s">
        <v>12924</v>
      </c>
      <c r="D5765" t="s">
        <v>613</v>
      </c>
      <c r="E5765" t="s">
        <v>5907</v>
      </c>
      <c r="F5765">
        <v>21.4</v>
      </c>
      <c r="H5765" t="s">
        <v>1684</v>
      </c>
    </row>
    <row r="5766" spans="2:8" x14ac:dyDescent="0.2">
      <c r="B5766" t="s">
        <v>19</v>
      </c>
      <c r="C5766" t="s">
        <v>12924</v>
      </c>
      <c r="D5766" t="s">
        <v>613</v>
      </c>
      <c r="E5766" t="s">
        <v>5908</v>
      </c>
      <c r="F5766">
        <v>42.8</v>
      </c>
      <c r="H5766" t="s">
        <v>2106</v>
      </c>
    </row>
    <row r="5767" spans="2:8" x14ac:dyDescent="0.2">
      <c r="B5767" t="s">
        <v>19</v>
      </c>
      <c r="C5767" t="s">
        <v>12924</v>
      </c>
      <c r="D5767" t="s">
        <v>613</v>
      </c>
      <c r="E5767" t="s">
        <v>5909</v>
      </c>
      <c r="F5767">
        <v>80.25</v>
      </c>
      <c r="H5767" t="s">
        <v>1885</v>
      </c>
    </row>
    <row r="5768" spans="2:8" x14ac:dyDescent="0.2">
      <c r="B5768" t="s">
        <v>19</v>
      </c>
      <c r="C5768" t="s">
        <v>12924</v>
      </c>
      <c r="D5768" t="s">
        <v>613</v>
      </c>
      <c r="E5768" t="s">
        <v>5910</v>
      </c>
      <c r="F5768">
        <v>80.25</v>
      </c>
      <c r="H5768" t="s">
        <v>2009</v>
      </c>
    </row>
    <row r="5769" spans="2:8" x14ac:dyDescent="0.2">
      <c r="B5769" t="s">
        <v>19</v>
      </c>
      <c r="C5769" t="s">
        <v>12924</v>
      </c>
      <c r="D5769" t="s">
        <v>613</v>
      </c>
      <c r="E5769" t="s">
        <v>5911</v>
      </c>
      <c r="F5769">
        <v>148.44</v>
      </c>
      <c r="H5769" t="s">
        <v>1845</v>
      </c>
    </row>
    <row r="5770" spans="2:8" x14ac:dyDescent="0.2">
      <c r="B5770" t="s">
        <v>19</v>
      </c>
      <c r="C5770" t="s">
        <v>12924</v>
      </c>
      <c r="D5770" t="s">
        <v>554</v>
      </c>
      <c r="E5770" t="s">
        <v>5912</v>
      </c>
      <c r="F5770">
        <v>12389</v>
      </c>
      <c r="H5770" t="s">
        <v>4332</v>
      </c>
    </row>
    <row r="5771" spans="2:8" x14ac:dyDescent="0.2">
      <c r="B5771" t="s">
        <v>19</v>
      </c>
      <c r="C5771" t="s">
        <v>12924</v>
      </c>
      <c r="D5771" t="s">
        <v>613</v>
      </c>
      <c r="E5771" t="s">
        <v>5913</v>
      </c>
      <c r="F5771">
        <v>1</v>
      </c>
      <c r="H5771" t="s">
        <v>5914</v>
      </c>
    </row>
    <row r="5772" spans="2:8" x14ac:dyDescent="0.2">
      <c r="B5772" t="s">
        <v>19</v>
      </c>
      <c r="C5772" t="s">
        <v>12924</v>
      </c>
      <c r="D5772" t="s">
        <v>613</v>
      </c>
      <c r="E5772" t="s">
        <v>5915</v>
      </c>
      <c r="F5772">
        <v>18.16</v>
      </c>
      <c r="H5772" t="s">
        <v>5916</v>
      </c>
    </row>
    <row r="5773" spans="2:8" x14ac:dyDescent="0.2">
      <c r="B5773" t="s">
        <v>19</v>
      </c>
      <c r="C5773" t="s">
        <v>12924</v>
      </c>
      <c r="D5773" t="s">
        <v>613</v>
      </c>
      <c r="E5773" t="s">
        <v>5927</v>
      </c>
      <c r="F5773">
        <v>297.45999999999998</v>
      </c>
      <c r="H5773" t="s">
        <v>4176</v>
      </c>
    </row>
    <row r="5774" spans="2:8" x14ac:dyDescent="0.2">
      <c r="B5774" t="s">
        <v>19</v>
      </c>
      <c r="C5774" t="s">
        <v>12924</v>
      </c>
      <c r="D5774" t="s">
        <v>613</v>
      </c>
      <c r="E5774" t="s">
        <v>5928</v>
      </c>
      <c r="F5774">
        <v>-297.45999999999998</v>
      </c>
      <c r="H5774" t="s">
        <v>4176</v>
      </c>
    </row>
    <row r="5775" spans="2:8" x14ac:dyDescent="0.2">
      <c r="B5775" t="s">
        <v>19</v>
      </c>
      <c r="C5775" t="s">
        <v>12924</v>
      </c>
      <c r="D5775" t="s">
        <v>613</v>
      </c>
      <c r="E5775" t="s">
        <v>5929</v>
      </c>
      <c r="F5775">
        <v>297.45999999999998</v>
      </c>
      <c r="H5775" t="s">
        <v>4176</v>
      </c>
    </row>
    <row r="5776" spans="2:8" x14ac:dyDescent="0.2">
      <c r="B5776" t="s">
        <v>19</v>
      </c>
      <c r="C5776" t="s">
        <v>12924</v>
      </c>
      <c r="D5776" t="s">
        <v>613</v>
      </c>
      <c r="E5776" t="s">
        <v>5930</v>
      </c>
      <c r="F5776">
        <v>297.45999999999998</v>
      </c>
      <c r="H5776" t="s">
        <v>4176</v>
      </c>
    </row>
    <row r="5777" spans="2:8" x14ac:dyDescent="0.2">
      <c r="B5777" t="s">
        <v>19</v>
      </c>
      <c r="C5777" t="s">
        <v>12924</v>
      </c>
      <c r="D5777" t="s">
        <v>613</v>
      </c>
      <c r="E5777" t="s">
        <v>5931</v>
      </c>
      <c r="F5777">
        <v>105.64</v>
      </c>
      <c r="H5777" t="s">
        <v>2010</v>
      </c>
    </row>
    <row r="5778" spans="2:8" x14ac:dyDescent="0.2">
      <c r="B5778" t="s">
        <v>19</v>
      </c>
      <c r="C5778" t="s">
        <v>12924</v>
      </c>
      <c r="D5778" t="s">
        <v>613</v>
      </c>
      <c r="E5778" t="s">
        <v>5932</v>
      </c>
      <c r="F5778">
        <v>42.8</v>
      </c>
      <c r="H5778" t="s">
        <v>2018</v>
      </c>
    </row>
    <row r="5779" spans="2:8" x14ac:dyDescent="0.2">
      <c r="B5779" t="s">
        <v>19</v>
      </c>
      <c r="C5779" t="s">
        <v>12924</v>
      </c>
      <c r="D5779" t="s">
        <v>554</v>
      </c>
      <c r="E5779" t="s">
        <v>5933</v>
      </c>
      <c r="F5779">
        <v>5319</v>
      </c>
      <c r="H5779" t="s">
        <v>4322</v>
      </c>
    </row>
    <row r="5780" spans="2:8" x14ac:dyDescent="0.2">
      <c r="B5780" t="s">
        <v>19</v>
      </c>
      <c r="C5780" t="s">
        <v>12924</v>
      </c>
      <c r="D5780" t="s">
        <v>613</v>
      </c>
      <c r="E5780" t="s">
        <v>5934</v>
      </c>
      <c r="F5780">
        <v>6.88</v>
      </c>
      <c r="H5780" t="s">
        <v>1689</v>
      </c>
    </row>
    <row r="5781" spans="2:8" x14ac:dyDescent="0.2">
      <c r="B5781" t="s">
        <v>19</v>
      </c>
      <c r="C5781" t="s">
        <v>12924</v>
      </c>
      <c r="D5781" t="s">
        <v>613</v>
      </c>
      <c r="E5781" t="s">
        <v>5953</v>
      </c>
      <c r="F5781">
        <v>297.45999999999998</v>
      </c>
      <c r="H5781" t="s">
        <v>4176</v>
      </c>
    </row>
    <row r="5782" spans="2:8" x14ac:dyDescent="0.2">
      <c r="B5782" t="s">
        <v>19</v>
      </c>
      <c r="C5782" t="s">
        <v>12924</v>
      </c>
      <c r="D5782" t="s">
        <v>613</v>
      </c>
      <c r="E5782" t="s">
        <v>5954</v>
      </c>
      <c r="F5782">
        <v>-297.45999999999998</v>
      </c>
      <c r="H5782" t="s">
        <v>4176</v>
      </c>
    </row>
    <row r="5783" spans="2:8" x14ac:dyDescent="0.2">
      <c r="B5783" t="s">
        <v>19</v>
      </c>
      <c r="C5783" t="s">
        <v>12924</v>
      </c>
      <c r="D5783" t="s">
        <v>613</v>
      </c>
      <c r="E5783" t="s">
        <v>5955</v>
      </c>
      <c r="F5783">
        <v>297.45999999999998</v>
      </c>
      <c r="H5783" t="s">
        <v>4176</v>
      </c>
    </row>
    <row r="5784" spans="2:8" x14ac:dyDescent="0.2">
      <c r="B5784" t="s">
        <v>19</v>
      </c>
      <c r="C5784" t="s">
        <v>12924</v>
      </c>
      <c r="D5784" t="s">
        <v>613</v>
      </c>
      <c r="E5784" t="s">
        <v>5956</v>
      </c>
      <c r="F5784">
        <v>892.38</v>
      </c>
      <c r="H5784" t="s">
        <v>4176</v>
      </c>
    </row>
    <row r="5785" spans="2:8" x14ac:dyDescent="0.2">
      <c r="B5785" t="s">
        <v>19</v>
      </c>
      <c r="C5785" t="s">
        <v>12924</v>
      </c>
      <c r="D5785" t="s">
        <v>613</v>
      </c>
      <c r="E5785" t="s">
        <v>5957</v>
      </c>
      <c r="F5785">
        <v>43.32</v>
      </c>
      <c r="H5785" t="s">
        <v>1243</v>
      </c>
    </row>
    <row r="5786" spans="2:8" x14ac:dyDescent="0.2">
      <c r="B5786" t="s">
        <v>19</v>
      </c>
      <c r="C5786" t="s">
        <v>12924</v>
      </c>
      <c r="D5786" t="s">
        <v>613</v>
      </c>
      <c r="E5786" t="s">
        <v>5958</v>
      </c>
      <c r="F5786">
        <v>43.32</v>
      </c>
      <c r="H5786" t="s">
        <v>1243</v>
      </c>
    </row>
    <row r="5787" spans="2:8" x14ac:dyDescent="0.2">
      <c r="B5787" t="s">
        <v>19</v>
      </c>
      <c r="C5787" t="s">
        <v>12924</v>
      </c>
      <c r="D5787" t="s">
        <v>613</v>
      </c>
      <c r="E5787" t="s">
        <v>5959</v>
      </c>
      <c r="F5787">
        <v>42.8</v>
      </c>
      <c r="H5787" t="s">
        <v>2516</v>
      </c>
    </row>
    <row r="5788" spans="2:8" x14ac:dyDescent="0.2">
      <c r="B5788" t="s">
        <v>19</v>
      </c>
      <c r="C5788" t="s">
        <v>12924</v>
      </c>
      <c r="D5788" t="s">
        <v>613</v>
      </c>
      <c r="E5788" t="s">
        <v>5960</v>
      </c>
      <c r="F5788">
        <v>-42.8</v>
      </c>
      <c r="H5788" t="s">
        <v>2516</v>
      </c>
    </row>
    <row r="5789" spans="2:8" x14ac:dyDescent="0.2">
      <c r="B5789" t="s">
        <v>19</v>
      </c>
      <c r="C5789" t="s">
        <v>12924</v>
      </c>
      <c r="D5789" t="s">
        <v>613</v>
      </c>
      <c r="E5789" t="s">
        <v>5961</v>
      </c>
      <c r="F5789">
        <v>42.8</v>
      </c>
      <c r="H5789" t="s">
        <v>2516</v>
      </c>
    </row>
    <row r="5790" spans="2:8" x14ac:dyDescent="0.2">
      <c r="B5790" t="s">
        <v>19</v>
      </c>
      <c r="C5790" t="s">
        <v>12924</v>
      </c>
      <c r="D5790" t="s">
        <v>613</v>
      </c>
      <c r="E5790" t="s">
        <v>5962</v>
      </c>
      <c r="F5790">
        <v>42.8</v>
      </c>
      <c r="H5790" t="s">
        <v>2516</v>
      </c>
    </row>
    <row r="5791" spans="2:8" x14ac:dyDescent="0.2">
      <c r="B5791" t="s">
        <v>19</v>
      </c>
      <c r="C5791" t="s">
        <v>12924</v>
      </c>
      <c r="D5791" t="s">
        <v>613</v>
      </c>
      <c r="E5791" t="s">
        <v>5963</v>
      </c>
      <c r="F5791">
        <v>85.6</v>
      </c>
      <c r="H5791" t="s">
        <v>2018</v>
      </c>
    </row>
    <row r="5792" spans="2:8" x14ac:dyDescent="0.2">
      <c r="B5792" t="s">
        <v>19</v>
      </c>
      <c r="C5792" t="s">
        <v>12924</v>
      </c>
      <c r="D5792" t="s">
        <v>554</v>
      </c>
      <c r="E5792" t="s">
        <v>5964</v>
      </c>
      <c r="F5792">
        <v>6242</v>
      </c>
      <c r="H5792" t="s">
        <v>4320</v>
      </c>
    </row>
    <row r="5793" spans="2:8" x14ac:dyDescent="0.2">
      <c r="B5793" t="s">
        <v>19</v>
      </c>
      <c r="C5793" t="s">
        <v>12924</v>
      </c>
      <c r="D5793" t="s">
        <v>613</v>
      </c>
      <c r="E5793" t="s">
        <v>5966</v>
      </c>
      <c r="F5793">
        <v>6.3</v>
      </c>
      <c r="H5793" t="s">
        <v>5286</v>
      </c>
    </row>
    <row r="5794" spans="2:8" x14ac:dyDescent="0.2">
      <c r="B5794" t="s">
        <v>19</v>
      </c>
      <c r="C5794" t="s">
        <v>12924</v>
      </c>
      <c r="D5794" t="s">
        <v>613</v>
      </c>
      <c r="E5794" t="s">
        <v>5967</v>
      </c>
      <c r="F5794">
        <v>48.08</v>
      </c>
      <c r="H5794" t="s">
        <v>5968</v>
      </c>
    </row>
    <row r="5795" spans="2:8" x14ac:dyDescent="0.2">
      <c r="B5795" t="s">
        <v>19</v>
      </c>
      <c r="C5795" t="s">
        <v>12924</v>
      </c>
      <c r="D5795" t="s">
        <v>613</v>
      </c>
      <c r="E5795" t="s">
        <v>5969</v>
      </c>
      <c r="F5795">
        <v>6.4</v>
      </c>
      <c r="H5795" t="s">
        <v>1619</v>
      </c>
    </row>
    <row r="5796" spans="2:8" x14ac:dyDescent="0.2">
      <c r="B5796" t="s">
        <v>19</v>
      </c>
      <c r="C5796" t="s">
        <v>12924</v>
      </c>
      <c r="D5796" t="s">
        <v>613</v>
      </c>
      <c r="E5796" t="s">
        <v>5970</v>
      </c>
      <c r="F5796">
        <v>1187.7</v>
      </c>
      <c r="H5796" t="s">
        <v>4181</v>
      </c>
    </row>
    <row r="5797" spans="2:8" x14ac:dyDescent="0.2">
      <c r="B5797" t="s">
        <v>19</v>
      </c>
      <c r="C5797" t="s">
        <v>12924</v>
      </c>
      <c r="D5797" t="s">
        <v>613</v>
      </c>
      <c r="E5797" t="s">
        <v>5971</v>
      </c>
      <c r="F5797">
        <v>43.32</v>
      </c>
      <c r="H5797" t="s">
        <v>1243</v>
      </c>
    </row>
    <row r="5798" spans="2:8" x14ac:dyDescent="0.2">
      <c r="B5798" t="s">
        <v>19</v>
      </c>
      <c r="C5798" t="s">
        <v>12924</v>
      </c>
      <c r="D5798" t="s">
        <v>613</v>
      </c>
      <c r="E5798" t="s">
        <v>5972</v>
      </c>
      <c r="F5798">
        <v>336</v>
      </c>
      <c r="H5798" t="s">
        <v>1265</v>
      </c>
    </row>
    <row r="5799" spans="2:8" x14ac:dyDescent="0.2">
      <c r="B5799" t="s">
        <v>19</v>
      </c>
      <c r="C5799" t="s">
        <v>12924</v>
      </c>
      <c r="D5799" t="s">
        <v>613</v>
      </c>
      <c r="E5799" t="s">
        <v>5973</v>
      </c>
      <c r="F5799">
        <v>114.84</v>
      </c>
      <c r="H5799" t="s">
        <v>1267</v>
      </c>
    </row>
    <row r="5800" spans="2:8" x14ac:dyDescent="0.2">
      <c r="B5800" t="s">
        <v>19</v>
      </c>
      <c r="C5800" t="s">
        <v>12924</v>
      </c>
      <c r="D5800" t="s">
        <v>613</v>
      </c>
      <c r="E5800" t="s">
        <v>5974</v>
      </c>
      <c r="F5800">
        <v>53.5</v>
      </c>
      <c r="H5800" t="s">
        <v>1517</v>
      </c>
    </row>
    <row r="5801" spans="2:8" x14ac:dyDescent="0.2">
      <c r="B5801" t="s">
        <v>19</v>
      </c>
      <c r="C5801" t="s">
        <v>12924</v>
      </c>
      <c r="D5801" t="s">
        <v>613</v>
      </c>
      <c r="E5801" t="s">
        <v>5975</v>
      </c>
      <c r="F5801">
        <v>53.5</v>
      </c>
      <c r="H5801" t="s">
        <v>1518</v>
      </c>
    </row>
    <row r="5802" spans="2:8" x14ac:dyDescent="0.2">
      <c r="B5802" t="s">
        <v>19</v>
      </c>
      <c r="C5802" t="s">
        <v>12924</v>
      </c>
      <c r="D5802" t="s">
        <v>613</v>
      </c>
      <c r="E5802" t="s">
        <v>5976</v>
      </c>
      <c r="F5802">
        <v>0.96</v>
      </c>
      <c r="H5802" t="s">
        <v>2011</v>
      </c>
    </row>
    <row r="5803" spans="2:8" x14ac:dyDescent="0.2">
      <c r="B5803" t="s">
        <v>19</v>
      </c>
      <c r="C5803" t="s">
        <v>12924</v>
      </c>
      <c r="D5803" t="s">
        <v>613</v>
      </c>
      <c r="E5803" t="s">
        <v>5977</v>
      </c>
      <c r="F5803">
        <v>148.44</v>
      </c>
      <c r="H5803" t="s">
        <v>1845</v>
      </c>
    </row>
    <row r="5804" spans="2:8" x14ac:dyDescent="0.2">
      <c r="B5804" t="s">
        <v>19</v>
      </c>
      <c r="C5804" t="s">
        <v>12924</v>
      </c>
      <c r="D5804" t="s">
        <v>613</v>
      </c>
      <c r="E5804" t="s">
        <v>5978</v>
      </c>
      <c r="F5804">
        <v>148.44</v>
      </c>
      <c r="H5804" t="s">
        <v>1845</v>
      </c>
    </row>
    <row r="5805" spans="2:8" x14ac:dyDescent="0.2">
      <c r="B5805" t="s">
        <v>19</v>
      </c>
      <c r="C5805" t="s">
        <v>12924</v>
      </c>
      <c r="D5805" t="s">
        <v>613</v>
      </c>
      <c r="E5805" t="s">
        <v>5979</v>
      </c>
      <c r="F5805">
        <v>148.44</v>
      </c>
      <c r="H5805" t="s">
        <v>1845</v>
      </c>
    </row>
    <row r="5806" spans="2:8" x14ac:dyDescent="0.2">
      <c r="B5806" t="s">
        <v>19</v>
      </c>
      <c r="C5806" t="s">
        <v>12924</v>
      </c>
      <c r="D5806" t="s">
        <v>613</v>
      </c>
      <c r="E5806" t="s">
        <v>5980</v>
      </c>
      <c r="F5806">
        <v>41.96</v>
      </c>
      <c r="H5806" t="s">
        <v>2014</v>
      </c>
    </row>
    <row r="5807" spans="2:8" x14ac:dyDescent="0.2">
      <c r="B5807" t="s">
        <v>19</v>
      </c>
      <c r="C5807" t="s">
        <v>12924</v>
      </c>
      <c r="D5807" t="s">
        <v>613</v>
      </c>
      <c r="E5807" t="s">
        <v>5981</v>
      </c>
      <c r="F5807">
        <v>9.64</v>
      </c>
      <c r="H5807" t="s">
        <v>2348</v>
      </c>
    </row>
    <row r="5808" spans="2:8" x14ac:dyDescent="0.2">
      <c r="B5808" t="s">
        <v>19</v>
      </c>
      <c r="C5808" t="s">
        <v>12924</v>
      </c>
      <c r="D5808" t="s">
        <v>613</v>
      </c>
      <c r="E5808" t="s">
        <v>5982</v>
      </c>
      <c r="F5808">
        <v>329.08</v>
      </c>
      <c r="H5808" t="s">
        <v>2349</v>
      </c>
    </row>
    <row r="5809" spans="2:8" x14ac:dyDescent="0.2">
      <c r="B5809" t="s">
        <v>19</v>
      </c>
      <c r="C5809" t="s">
        <v>12924</v>
      </c>
      <c r="D5809" t="s">
        <v>613</v>
      </c>
      <c r="E5809" t="s">
        <v>5983</v>
      </c>
      <c r="F5809">
        <v>98.32</v>
      </c>
      <c r="H5809" t="s">
        <v>2219</v>
      </c>
    </row>
    <row r="5810" spans="2:8" x14ac:dyDescent="0.2">
      <c r="B5810" t="s">
        <v>19</v>
      </c>
      <c r="C5810" t="s">
        <v>12924</v>
      </c>
      <c r="D5810" t="s">
        <v>613</v>
      </c>
      <c r="E5810" t="s">
        <v>5984</v>
      </c>
      <c r="F5810">
        <v>94.76</v>
      </c>
      <c r="H5810" t="s">
        <v>2221</v>
      </c>
    </row>
    <row r="5811" spans="2:8" x14ac:dyDescent="0.2">
      <c r="B5811" t="s">
        <v>19</v>
      </c>
      <c r="C5811" t="s">
        <v>12924</v>
      </c>
      <c r="D5811" t="s">
        <v>554</v>
      </c>
      <c r="E5811" t="s">
        <v>5985</v>
      </c>
      <c r="F5811">
        <v>12572</v>
      </c>
      <c r="H5811" t="s">
        <v>4328</v>
      </c>
    </row>
    <row r="5812" spans="2:8" x14ac:dyDescent="0.2">
      <c r="B5812" t="s">
        <v>19</v>
      </c>
      <c r="C5812" t="s">
        <v>12924</v>
      </c>
      <c r="D5812" t="s">
        <v>613</v>
      </c>
      <c r="E5812" t="s">
        <v>5986</v>
      </c>
      <c r="F5812">
        <v>6.4</v>
      </c>
      <c r="H5812" t="s">
        <v>1619</v>
      </c>
    </row>
    <row r="5813" spans="2:8" x14ac:dyDescent="0.2">
      <c r="B5813" t="s">
        <v>19</v>
      </c>
      <c r="C5813" t="s">
        <v>12924</v>
      </c>
      <c r="D5813" t="s">
        <v>613</v>
      </c>
      <c r="E5813" t="s">
        <v>5987</v>
      </c>
      <c r="F5813">
        <v>145.52000000000001</v>
      </c>
      <c r="H5813" t="s">
        <v>4238</v>
      </c>
    </row>
    <row r="5814" spans="2:8" x14ac:dyDescent="0.2">
      <c r="B5814" t="s">
        <v>19</v>
      </c>
      <c r="C5814" t="s">
        <v>12924</v>
      </c>
      <c r="D5814" t="s">
        <v>613</v>
      </c>
      <c r="E5814" t="s">
        <v>5988</v>
      </c>
      <c r="F5814">
        <v>376.72</v>
      </c>
      <c r="H5814" t="s">
        <v>1558</v>
      </c>
    </row>
    <row r="5815" spans="2:8" x14ac:dyDescent="0.2">
      <c r="B5815" t="s">
        <v>19</v>
      </c>
      <c r="C5815" t="s">
        <v>12924</v>
      </c>
      <c r="D5815" t="s">
        <v>613</v>
      </c>
      <c r="E5815" t="s">
        <v>5990</v>
      </c>
      <c r="F5815">
        <v>12.59</v>
      </c>
      <c r="H5815" t="s">
        <v>5286</v>
      </c>
    </row>
    <row r="5816" spans="2:8" x14ac:dyDescent="0.2">
      <c r="B5816" t="s">
        <v>19</v>
      </c>
      <c r="C5816" t="s">
        <v>12924</v>
      </c>
      <c r="D5816" t="s">
        <v>613</v>
      </c>
      <c r="E5816" t="s">
        <v>5991</v>
      </c>
      <c r="F5816">
        <v>610.02</v>
      </c>
      <c r="H5816" t="s">
        <v>4619</v>
      </c>
    </row>
    <row r="5817" spans="2:8" x14ac:dyDescent="0.2">
      <c r="B5817" t="s">
        <v>19</v>
      </c>
      <c r="C5817" t="s">
        <v>12924</v>
      </c>
      <c r="D5817" t="s">
        <v>613</v>
      </c>
      <c r="E5817" t="s">
        <v>5992</v>
      </c>
      <c r="F5817">
        <v>1275.44</v>
      </c>
      <c r="H5817" t="s">
        <v>4178</v>
      </c>
    </row>
    <row r="5818" spans="2:8" x14ac:dyDescent="0.2">
      <c r="B5818" t="s">
        <v>19</v>
      </c>
      <c r="C5818" t="s">
        <v>12924</v>
      </c>
      <c r="D5818" t="s">
        <v>613</v>
      </c>
      <c r="E5818" t="s">
        <v>5993</v>
      </c>
      <c r="F5818">
        <v>43.32</v>
      </c>
      <c r="H5818" t="s">
        <v>1243</v>
      </c>
    </row>
    <row r="5819" spans="2:8" x14ac:dyDescent="0.2">
      <c r="B5819" t="s">
        <v>19</v>
      </c>
      <c r="C5819" t="s">
        <v>12924</v>
      </c>
      <c r="D5819" t="s">
        <v>613</v>
      </c>
      <c r="E5819" t="s">
        <v>5994</v>
      </c>
      <c r="F5819">
        <v>43.32</v>
      </c>
      <c r="H5819" t="s">
        <v>1243</v>
      </c>
    </row>
    <row r="5820" spans="2:8" x14ac:dyDescent="0.2">
      <c r="B5820" t="s">
        <v>19</v>
      </c>
      <c r="C5820" t="s">
        <v>12924</v>
      </c>
      <c r="D5820" t="s">
        <v>613</v>
      </c>
      <c r="E5820" t="s">
        <v>5995</v>
      </c>
      <c r="F5820">
        <v>85.6</v>
      </c>
      <c r="H5820" t="s">
        <v>1519</v>
      </c>
    </row>
    <row r="5821" spans="2:8" x14ac:dyDescent="0.2">
      <c r="B5821" t="s">
        <v>19</v>
      </c>
      <c r="C5821" t="s">
        <v>12924</v>
      </c>
      <c r="D5821" t="s">
        <v>613</v>
      </c>
      <c r="E5821" t="s">
        <v>5996</v>
      </c>
      <c r="F5821">
        <v>85.6</v>
      </c>
      <c r="H5821" t="s">
        <v>2106</v>
      </c>
    </row>
    <row r="5822" spans="2:8" x14ac:dyDescent="0.2">
      <c r="B5822" t="s">
        <v>19</v>
      </c>
      <c r="C5822" t="s">
        <v>12924</v>
      </c>
      <c r="D5822" t="s">
        <v>613</v>
      </c>
      <c r="E5822" t="s">
        <v>5997</v>
      </c>
      <c r="F5822">
        <v>53.5</v>
      </c>
      <c r="H5822" t="s">
        <v>1885</v>
      </c>
    </row>
    <row r="5823" spans="2:8" x14ac:dyDescent="0.2">
      <c r="B5823" t="s">
        <v>19</v>
      </c>
      <c r="C5823" t="s">
        <v>12924</v>
      </c>
      <c r="D5823" t="s">
        <v>613</v>
      </c>
      <c r="E5823" t="s">
        <v>5998</v>
      </c>
      <c r="F5823">
        <v>53.5</v>
      </c>
      <c r="H5823" t="s">
        <v>2009</v>
      </c>
    </row>
    <row r="5824" spans="2:8" x14ac:dyDescent="0.2">
      <c r="B5824" t="s">
        <v>19</v>
      </c>
      <c r="C5824" t="s">
        <v>12924</v>
      </c>
      <c r="D5824" t="s">
        <v>554</v>
      </c>
      <c r="E5824" t="s">
        <v>5999</v>
      </c>
      <c r="F5824">
        <v>24864</v>
      </c>
      <c r="H5824" t="s">
        <v>4333</v>
      </c>
    </row>
    <row r="5825" spans="2:8" x14ac:dyDescent="0.2">
      <c r="B5825" t="s">
        <v>19</v>
      </c>
      <c r="C5825" t="s">
        <v>12924</v>
      </c>
      <c r="D5825" t="s">
        <v>613</v>
      </c>
      <c r="E5825" t="s">
        <v>6000</v>
      </c>
      <c r="F5825">
        <v>6</v>
      </c>
      <c r="H5825" t="s">
        <v>6001</v>
      </c>
    </row>
    <row r="5826" spans="2:8" x14ac:dyDescent="0.2">
      <c r="B5826" t="s">
        <v>19</v>
      </c>
      <c r="C5826" t="s">
        <v>12924</v>
      </c>
      <c r="D5826" t="s">
        <v>613</v>
      </c>
      <c r="E5826" t="s">
        <v>6003</v>
      </c>
      <c r="F5826">
        <v>7.92</v>
      </c>
      <c r="H5826" t="s">
        <v>1620</v>
      </c>
    </row>
    <row r="5827" spans="2:8" x14ac:dyDescent="0.2">
      <c r="B5827" t="s">
        <v>19</v>
      </c>
      <c r="C5827" t="s">
        <v>12924</v>
      </c>
      <c r="D5827" t="s">
        <v>613</v>
      </c>
      <c r="E5827" t="s">
        <v>6004</v>
      </c>
      <c r="F5827">
        <v>305.01</v>
      </c>
      <c r="H5827" t="s">
        <v>4619</v>
      </c>
    </row>
    <row r="5828" spans="2:8" x14ac:dyDescent="0.2">
      <c r="B5828" t="s">
        <v>19</v>
      </c>
      <c r="C5828" t="s">
        <v>12924</v>
      </c>
      <c r="D5828" t="s">
        <v>613</v>
      </c>
      <c r="E5828" t="s">
        <v>6005</v>
      </c>
      <c r="F5828">
        <v>318.86</v>
      </c>
      <c r="H5828" t="s">
        <v>4178</v>
      </c>
    </row>
    <row r="5829" spans="2:8" x14ac:dyDescent="0.2">
      <c r="B5829" t="s">
        <v>19</v>
      </c>
      <c r="C5829" t="s">
        <v>12924</v>
      </c>
      <c r="D5829" t="s">
        <v>613</v>
      </c>
      <c r="E5829" t="s">
        <v>6006</v>
      </c>
      <c r="F5829">
        <v>72.760000000000005</v>
      </c>
      <c r="H5829" t="s">
        <v>4212</v>
      </c>
    </row>
    <row r="5830" spans="2:8" x14ac:dyDescent="0.2">
      <c r="B5830" t="s">
        <v>19</v>
      </c>
      <c r="C5830" t="s">
        <v>12924</v>
      </c>
      <c r="D5830" t="s">
        <v>613</v>
      </c>
      <c r="E5830" t="s">
        <v>6007</v>
      </c>
      <c r="F5830">
        <v>609.9</v>
      </c>
      <c r="H5830" t="s">
        <v>4180</v>
      </c>
    </row>
    <row r="5831" spans="2:8" x14ac:dyDescent="0.2">
      <c r="B5831" t="s">
        <v>19</v>
      </c>
      <c r="C5831" t="s">
        <v>12924</v>
      </c>
      <c r="D5831" t="s">
        <v>613</v>
      </c>
      <c r="E5831" t="s">
        <v>6008</v>
      </c>
      <c r="F5831">
        <v>43.32</v>
      </c>
      <c r="H5831" t="s">
        <v>1243</v>
      </c>
    </row>
    <row r="5832" spans="2:8" x14ac:dyDescent="0.2">
      <c r="B5832" t="s">
        <v>19</v>
      </c>
      <c r="C5832" t="s">
        <v>12924</v>
      </c>
      <c r="D5832" t="s">
        <v>613</v>
      </c>
      <c r="E5832" t="s">
        <v>6009</v>
      </c>
      <c r="F5832">
        <v>42.8</v>
      </c>
      <c r="H5832" t="s">
        <v>1519</v>
      </c>
    </row>
    <row r="5833" spans="2:8" x14ac:dyDescent="0.2">
      <c r="B5833" t="s">
        <v>19</v>
      </c>
      <c r="C5833" t="s">
        <v>12924</v>
      </c>
      <c r="D5833" t="s">
        <v>613</v>
      </c>
      <c r="E5833" t="s">
        <v>6010</v>
      </c>
      <c r="F5833">
        <v>42.8</v>
      </c>
      <c r="H5833" t="s">
        <v>1684</v>
      </c>
    </row>
    <row r="5834" spans="2:8" x14ac:dyDescent="0.2">
      <c r="B5834" t="s">
        <v>19</v>
      </c>
      <c r="C5834" t="s">
        <v>12924</v>
      </c>
      <c r="D5834" t="s">
        <v>613</v>
      </c>
      <c r="E5834" t="s">
        <v>6011</v>
      </c>
      <c r="F5834">
        <v>64.2</v>
      </c>
      <c r="H5834" t="s">
        <v>2106</v>
      </c>
    </row>
    <row r="5835" spans="2:8" x14ac:dyDescent="0.2">
      <c r="B5835" t="s">
        <v>19</v>
      </c>
      <c r="C5835" t="s">
        <v>12924</v>
      </c>
      <c r="D5835" t="s">
        <v>613</v>
      </c>
      <c r="E5835" t="s">
        <v>6012</v>
      </c>
      <c r="F5835">
        <v>52.82</v>
      </c>
      <c r="H5835" t="s">
        <v>2010</v>
      </c>
    </row>
    <row r="5836" spans="2:8" x14ac:dyDescent="0.2">
      <c r="B5836" t="s">
        <v>19</v>
      </c>
      <c r="C5836" t="s">
        <v>12924</v>
      </c>
      <c r="D5836" t="s">
        <v>613</v>
      </c>
      <c r="E5836" t="s">
        <v>6013</v>
      </c>
      <c r="F5836">
        <v>41.96</v>
      </c>
      <c r="H5836" t="s">
        <v>2014</v>
      </c>
    </row>
    <row r="5837" spans="2:8" x14ac:dyDescent="0.2">
      <c r="B5837" t="s">
        <v>19</v>
      </c>
      <c r="C5837" t="s">
        <v>12924</v>
      </c>
      <c r="D5837" t="s">
        <v>613</v>
      </c>
      <c r="E5837" t="s">
        <v>6014</v>
      </c>
      <c r="F5837">
        <v>1.39</v>
      </c>
      <c r="H5837" t="s">
        <v>1511</v>
      </c>
    </row>
    <row r="5838" spans="2:8" x14ac:dyDescent="0.2">
      <c r="B5838" t="s">
        <v>19</v>
      </c>
      <c r="C5838" t="s">
        <v>12924</v>
      </c>
      <c r="D5838" t="s">
        <v>554</v>
      </c>
      <c r="E5838" t="s">
        <v>6015</v>
      </c>
      <c r="F5838">
        <v>7694</v>
      </c>
      <c r="H5838" t="s">
        <v>4338</v>
      </c>
    </row>
    <row r="5839" spans="2:8" x14ac:dyDescent="0.2">
      <c r="B5839" t="s">
        <v>19</v>
      </c>
      <c r="C5839" t="s">
        <v>12924</v>
      </c>
      <c r="D5839" t="s">
        <v>613</v>
      </c>
      <c r="E5839" t="s">
        <v>6017</v>
      </c>
      <c r="F5839">
        <v>6.3</v>
      </c>
      <c r="H5839" t="s">
        <v>5286</v>
      </c>
    </row>
    <row r="5840" spans="2:8" x14ac:dyDescent="0.2">
      <c r="B5840" t="s">
        <v>19</v>
      </c>
      <c r="C5840" t="s">
        <v>12924</v>
      </c>
      <c r="D5840" t="s">
        <v>613</v>
      </c>
      <c r="E5840" t="s">
        <v>6018</v>
      </c>
      <c r="F5840">
        <v>42.8</v>
      </c>
      <c r="H5840" t="s">
        <v>4296</v>
      </c>
    </row>
    <row r="5841" spans="2:8" x14ac:dyDescent="0.2">
      <c r="B5841" t="s">
        <v>19</v>
      </c>
      <c r="C5841" t="s">
        <v>12924</v>
      </c>
      <c r="D5841" t="s">
        <v>613</v>
      </c>
      <c r="E5841" t="s">
        <v>6019</v>
      </c>
      <c r="F5841">
        <v>26.75</v>
      </c>
      <c r="H5841" t="s">
        <v>4297</v>
      </c>
    </row>
    <row r="5842" spans="2:8" x14ac:dyDescent="0.2">
      <c r="B5842" t="s">
        <v>19</v>
      </c>
      <c r="C5842" t="s">
        <v>12924</v>
      </c>
      <c r="D5842" t="s">
        <v>613</v>
      </c>
      <c r="E5842" t="s">
        <v>6020</v>
      </c>
      <c r="F5842">
        <v>26.75</v>
      </c>
      <c r="H5842" t="s">
        <v>4298</v>
      </c>
    </row>
    <row r="5843" spans="2:8" x14ac:dyDescent="0.2">
      <c r="B5843" t="s">
        <v>19</v>
      </c>
      <c r="C5843" t="s">
        <v>12924</v>
      </c>
      <c r="D5843" t="s">
        <v>613</v>
      </c>
      <c r="E5843" t="s">
        <v>6021</v>
      </c>
      <c r="F5843">
        <v>791.8</v>
      </c>
      <c r="H5843" t="s">
        <v>4181</v>
      </c>
    </row>
    <row r="5844" spans="2:8" x14ac:dyDescent="0.2">
      <c r="B5844" t="s">
        <v>19</v>
      </c>
      <c r="C5844" t="s">
        <v>12924</v>
      </c>
      <c r="D5844" t="s">
        <v>613</v>
      </c>
      <c r="E5844" t="s">
        <v>6022</v>
      </c>
      <c r="F5844">
        <v>224</v>
      </c>
      <c r="H5844" t="s">
        <v>1265</v>
      </c>
    </row>
    <row r="5845" spans="2:8" x14ac:dyDescent="0.2">
      <c r="B5845" t="s">
        <v>19</v>
      </c>
      <c r="C5845" t="s">
        <v>12924</v>
      </c>
      <c r="D5845" t="s">
        <v>613</v>
      </c>
      <c r="E5845" t="s">
        <v>6023</v>
      </c>
      <c r="F5845">
        <v>485.94</v>
      </c>
      <c r="H5845" t="s">
        <v>1317</v>
      </c>
    </row>
    <row r="5846" spans="2:8" x14ac:dyDescent="0.2">
      <c r="B5846" t="s">
        <v>19</v>
      </c>
      <c r="C5846" t="s">
        <v>12924</v>
      </c>
      <c r="D5846" t="s">
        <v>613</v>
      </c>
      <c r="E5846" t="s">
        <v>6024</v>
      </c>
      <c r="F5846">
        <v>52.82</v>
      </c>
      <c r="H5846" t="s">
        <v>2010</v>
      </c>
    </row>
    <row r="5847" spans="2:8" x14ac:dyDescent="0.2">
      <c r="B5847" t="s">
        <v>19</v>
      </c>
      <c r="C5847" t="s">
        <v>12924</v>
      </c>
      <c r="D5847" t="s">
        <v>613</v>
      </c>
      <c r="E5847" t="s">
        <v>6025</v>
      </c>
      <c r="F5847">
        <v>0.96</v>
      </c>
      <c r="H5847" t="s">
        <v>2011</v>
      </c>
    </row>
    <row r="5848" spans="2:8" x14ac:dyDescent="0.2">
      <c r="B5848" t="s">
        <v>19</v>
      </c>
      <c r="C5848" t="s">
        <v>12924</v>
      </c>
      <c r="D5848" t="s">
        <v>613</v>
      </c>
      <c r="E5848" t="s">
        <v>6026</v>
      </c>
      <c r="F5848">
        <v>148.44</v>
      </c>
      <c r="H5848" t="s">
        <v>1845</v>
      </c>
    </row>
    <row r="5849" spans="2:8" x14ac:dyDescent="0.2">
      <c r="B5849" t="s">
        <v>19</v>
      </c>
      <c r="C5849" t="s">
        <v>12924</v>
      </c>
      <c r="D5849" t="s">
        <v>613</v>
      </c>
      <c r="E5849" t="s">
        <v>6027</v>
      </c>
      <c r="F5849">
        <v>148.44</v>
      </c>
      <c r="H5849" t="s">
        <v>1845</v>
      </c>
    </row>
    <row r="5850" spans="2:8" x14ac:dyDescent="0.2">
      <c r="B5850" t="s">
        <v>19</v>
      </c>
      <c r="C5850" t="s">
        <v>12924</v>
      </c>
      <c r="D5850" t="s">
        <v>613</v>
      </c>
      <c r="E5850" t="s">
        <v>6028</v>
      </c>
      <c r="F5850">
        <v>55.4</v>
      </c>
      <c r="H5850" t="s">
        <v>2012</v>
      </c>
    </row>
    <row r="5851" spans="2:8" x14ac:dyDescent="0.2">
      <c r="B5851" t="s">
        <v>19</v>
      </c>
      <c r="C5851" t="s">
        <v>12924</v>
      </c>
      <c r="D5851" t="s">
        <v>613</v>
      </c>
      <c r="E5851" t="s">
        <v>6029</v>
      </c>
      <c r="F5851">
        <v>153.44</v>
      </c>
      <c r="H5851" t="s">
        <v>1512</v>
      </c>
    </row>
    <row r="5852" spans="2:8" x14ac:dyDescent="0.2">
      <c r="B5852" t="s">
        <v>19</v>
      </c>
      <c r="C5852" t="s">
        <v>12924</v>
      </c>
      <c r="D5852" t="s">
        <v>613</v>
      </c>
      <c r="E5852" t="s">
        <v>6030</v>
      </c>
      <c r="F5852">
        <v>98.32</v>
      </c>
      <c r="H5852" t="s">
        <v>1513</v>
      </c>
    </row>
    <row r="5853" spans="2:8" x14ac:dyDescent="0.2">
      <c r="B5853" t="s">
        <v>19</v>
      </c>
      <c r="C5853" t="s">
        <v>12924</v>
      </c>
      <c r="D5853" t="s">
        <v>613</v>
      </c>
      <c r="E5853" t="s">
        <v>6031</v>
      </c>
      <c r="F5853">
        <v>55.78</v>
      </c>
      <c r="H5853" t="s">
        <v>1556</v>
      </c>
    </row>
    <row r="5854" spans="2:8" x14ac:dyDescent="0.2">
      <c r="B5854" t="s">
        <v>19</v>
      </c>
      <c r="C5854" t="s">
        <v>12924</v>
      </c>
      <c r="D5854" t="s">
        <v>554</v>
      </c>
      <c r="E5854" t="s">
        <v>6032</v>
      </c>
      <c r="F5854">
        <v>10232</v>
      </c>
      <c r="H5854" t="s">
        <v>4334</v>
      </c>
    </row>
    <row r="5855" spans="2:8" x14ac:dyDescent="0.2">
      <c r="B5855" t="s">
        <v>19</v>
      </c>
      <c r="C5855" t="s">
        <v>12924</v>
      </c>
      <c r="D5855" t="s">
        <v>613</v>
      </c>
      <c r="E5855" t="s">
        <v>6033</v>
      </c>
      <c r="F5855">
        <v>8</v>
      </c>
      <c r="H5855" t="s">
        <v>4420</v>
      </c>
    </row>
    <row r="5856" spans="2:8" x14ac:dyDescent="0.2">
      <c r="B5856" t="s">
        <v>19</v>
      </c>
      <c r="C5856" t="s">
        <v>12924</v>
      </c>
      <c r="D5856" t="s">
        <v>613</v>
      </c>
      <c r="E5856" t="s">
        <v>6034</v>
      </c>
      <c r="F5856">
        <v>105.64</v>
      </c>
      <c r="H5856" t="s">
        <v>2010</v>
      </c>
    </row>
    <row r="5857" spans="2:8" x14ac:dyDescent="0.2">
      <c r="B5857" t="s">
        <v>19</v>
      </c>
      <c r="C5857" t="s">
        <v>12924</v>
      </c>
      <c r="D5857" t="s">
        <v>613</v>
      </c>
      <c r="E5857" t="s">
        <v>6035</v>
      </c>
      <c r="F5857">
        <v>43</v>
      </c>
      <c r="H5857" t="s">
        <v>1565</v>
      </c>
    </row>
    <row r="5858" spans="2:8" x14ac:dyDescent="0.2">
      <c r="B5858" t="s">
        <v>19</v>
      </c>
      <c r="C5858" t="s">
        <v>12924</v>
      </c>
      <c r="D5858" t="s">
        <v>613</v>
      </c>
      <c r="E5858" t="s">
        <v>6036</v>
      </c>
      <c r="F5858">
        <v>49</v>
      </c>
      <c r="H5858" t="s">
        <v>1566</v>
      </c>
    </row>
    <row r="5859" spans="2:8" x14ac:dyDescent="0.2">
      <c r="B5859" t="s">
        <v>19</v>
      </c>
      <c r="C5859" t="s">
        <v>12924</v>
      </c>
      <c r="D5859" t="s">
        <v>613</v>
      </c>
      <c r="E5859" t="s">
        <v>6038</v>
      </c>
      <c r="F5859">
        <v>9.44</v>
      </c>
      <c r="H5859" t="s">
        <v>5286</v>
      </c>
    </row>
    <row r="5860" spans="2:8" x14ac:dyDescent="0.2">
      <c r="B5860" t="s">
        <v>19</v>
      </c>
      <c r="C5860" t="s">
        <v>12924</v>
      </c>
      <c r="D5860" t="s">
        <v>613</v>
      </c>
      <c r="E5860" t="s">
        <v>6039</v>
      </c>
      <c r="F5860">
        <v>297.45999999999998</v>
      </c>
      <c r="H5860" t="s">
        <v>4176</v>
      </c>
    </row>
    <row r="5861" spans="2:8" x14ac:dyDescent="0.2">
      <c r="B5861" t="s">
        <v>19</v>
      </c>
      <c r="C5861" t="s">
        <v>12924</v>
      </c>
      <c r="D5861" t="s">
        <v>613</v>
      </c>
      <c r="E5861" t="s">
        <v>6040</v>
      </c>
      <c r="F5861">
        <v>-297.45999999999998</v>
      </c>
      <c r="H5861" t="s">
        <v>4176</v>
      </c>
    </row>
    <row r="5862" spans="2:8" x14ac:dyDescent="0.2">
      <c r="B5862" t="s">
        <v>19</v>
      </c>
      <c r="C5862" t="s">
        <v>12924</v>
      </c>
      <c r="D5862" t="s">
        <v>613</v>
      </c>
      <c r="E5862" t="s">
        <v>6041</v>
      </c>
      <c r="F5862">
        <v>297.45999999999998</v>
      </c>
      <c r="H5862" t="s">
        <v>4176</v>
      </c>
    </row>
    <row r="5863" spans="2:8" x14ac:dyDescent="0.2">
      <c r="B5863" t="s">
        <v>19</v>
      </c>
      <c r="C5863" t="s">
        <v>12924</v>
      </c>
      <c r="D5863" t="s">
        <v>613</v>
      </c>
      <c r="E5863" t="s">
        <v>6042</v>
      </c>
      <c r="F5863">
        <v>892.38</v>
      </c>
      <c r="H5863" t="s">
        <v>4176</v>
      </c>
    </row>
    <row r="5864" spans="2:8" x14ac:dyDescent="0.2">
      <c r="B5864" t="s">
        <v>19</v>
      </c>
      <c r="C5864" t="s">
        <v>12924</v>
      </c>
      <c r="D5864" t="s">
        <v>613</v>
      </c>
      <c r="E5864" t="s">
        <v>6043</v>
      </c>
      <c r="F5864">
        <v>64.2</v>
      </c>
      <c r="H5864" t="s">
        <v>4299</v>
      </c>
    </row>
    <row r="5865" spans="2:8" x14ac:dyDescent="0.2">
      <c r="B5865" t="s">
        <v>19</v>
      </c>
      <c r="C5865" t="s">
        <v>12924</v>
      </c>
      <c r="D5865" t="s">
        <v>613</v>
      </c>
      <c r="E5865" t="s">
        <v>6044</v>
      </c>
      <c r="F5865">
        <v>43.32</v>
      </c>
      <c r="H5865" t="s">
        <v>1243</v>
      </c>
    </row>
    <row r="5866" spans="2:8" x14ac:dyDescent="0.2">
      <c r="B5866" t="s">
        <v>19</v>
      </c>
      <c r="C5866" t="s">
        <v>12924</v>
      </c>
      <c r="D5866" t="s">
        <v>613</v>
      </c>
      <c r="E5866" t="s">
        <v>6045</v>
      </c>
      <c r="F5866">
        <v>43.32</v>
      </c>
      <c r="H5866" t="s">
        <v>1243</v>
      </c>
    </row>
    <row r="5867" spans="2:8" x14ac:dyDescent="0.2">
      <c r="B5867" t="s">
        <v>19</v>
      </c>
      <c r="C5867" t="s">
        <v>12924</v>
      </c>
      <c r="D5867" t="s">
        <v>613</v>
      </c>
      <c r="E5867" t="s">
        <v>6046</v>
      </c>
      <c r="F5867">
        <v>42.8</v>
      </c>
      <c r="H5867" t="s">
        <v>4301</v>
      </c>
    </row>
    <row r="5868" spans="2:8" x14ac:dyDescent="0.2">
      <c r="B5868" t="s">
        <v>19</v>
      </c>
      <c r="C5868" t="s">
        <v>12924</v>
      </c>
      <c r="D5868" t="s">
        <v>613</v>
      </c>
      <c r="E5868" t="s">
        <v>6047</v>
      </c>
      <c r="F5868">
        <v>42.8</v>
      </c>
      <c r="H5868" t="s">
        <v>4302</v>
      </c>
    </row>
    <row r="5869" spans="2:8" x14ac:dyDescent="0.2">
      <c r="B5869" t="s">
        <v>19</v>
      </c>
      <c r="C5869" t="s">
        <v>12924</v>
      </c>
      <c r="D5869" t="s">
        <v>554</v>
      </c>
      <c r="E5869" t="s">
        <v>6048</v>
      </c>
      <c r="F5869">
        <v>6481</v>
      </c>
      <c r="H5869" t="s">
        <v>4335</v>
      </c>
    </row>
    <row r="5870" spans="2:8" x14ac:dyDescent="0.2">
      <c r="B5870" t="s">
        <v>19</v>
      </c>
      <c r="C5870" t="s">
        <v>12924</v>
      </c>
      <c r="D5870" t="s">
        <v>613</v>
      </c>
      <c r="E5870" t="s">
        <v>6049</v>
      </c>
      <c r="F5870">
        <v>42.8</v>
      </c>
      <c r="G5870" t="s">
        <v>1519</v>
      </c>
    </row>
    <row r="5871" spans="2:8" x14ac:dyDescent="0.2">
      <c r="B5871" t="s">
        <v>19</v>
      </c>
      <c r="C5871" t="s">
        <v>12924</v>
      </c>
      <c r="D5871" t="s">
        <v>613</v>
      </c>
      <c r="E5871" t="s">
        <v>6061</v>
      </c>
      <c r="F5871">
        <v>6.3</v>
      </c>
      <c r="H5871" t="s">
        <v>5286</v>
      </c>
    </row>
    <row r="5872" spans="2:8" x14ac:dyDescent="0.2">
      <c r="B5872" t="s">
        <v>19</v>
      </c>
      <c r="C5872" t="s">
        <v>12924</v>
      </c>
      <c r="D5872" t="s">
        <v>613</v>
      </c>
      <c r="E5872" t="s">
        <v>6062</v>
      </c>
      <c r="F5872">
        <v>297.45999999999998</v>
      </c>
      <c r="H5872" t="s">
        <v>4176</v>
      </c>
    </row>
    <row r="5873" spans="2:8" x14ac:dyDescent="0.2">
      <c r="B5873" t="s">
        <v>19</v>
      </c>
      <c r="C5873" t="s">
        <v>12924</v>
      </c>
      <c r="D5873" t="s">
        <v>613</v>
      </c>
      <c r="E5873" t="s">
        <v>6063</v>
      </c>
      <c r="F5873">
        <v>-297.45999999999998</v>
      </c>
      <c r="H5873" t="s">
        <v>4176</v>
      </c>
    </row>
    <row r="5874" spans="2:8" x14ac:dyDescent="0.2">
      <c r="B5874" t="s">
        <v>19</v>
      </c>
      <c r="C5874" t="s">
        <v>12924</v>
      </c>
      <c r="D5874" t="s">
        <v>613</v>
      </c>
      <c r="E5874" t="s">
        <v>6064</v>
      </c>
      <c r="F5874">
        <v>297.45999999999998</v>
      </c>
      <c r="H5874" t="s">
        <v>4176</v>
      </c>
    </row>
    <row r="5875" spans="2:8" x14ac:dyDescent="0.2">
      <c r="B5875" t="s">
        <v>19</v>
      </c>
      <c r="C5875" t="s">
        <v>12924</v>
      </c>
      <c r="D5875" t="s">
        <v>613</v>
      </c>
      <c r="E5875" t="s">
        <v>6065</v>
      </c>
      <c r="F5875">
        <v>594.91999999999996</v>
      </c>
      <c r="H5875" t="s">
        <v>4176</v>
      </c>
    </row>
    <row r="5876" spans="2:8" x14ac:dyDescent="0.2">
      <c r="B5876" t="s">
        <v>19</v>
      </c>
      <c r="C5876" t="s">
        <v>12924</v>
      </c>
      <c r="D5876" t="s">
        <v>613</v>
      </c>
      <c r="E5876" t="s">
        <v>6066</v>
      </c>
      <c r="F5876">
        <v>43.32</v>
      </c>
      <c r="H5876" t="s">
        <v>1243</v>
      </c>
    </row>
    <row r="5877" spans="2:8" x14ac:dyDescent="0.2">
      <c r="B5877" t="s">
        <v>19</v>
      </c>
      <c r="C5877" t="s">
        <v>12924</v>
      </c>
      <c r="D5877" t="s">
        <v>613</v>
      </c>
      <c r="E5877" t="s">
        <v>6067</v>
      </c>
      <c r="F5877">
        <v>43.32</v>
      </c>
      <c r="H5877" t="s">
        <v>1243</v>
      </c>
    </row>
    <row r="5878" spans="2:8" x14ac:dyDescent="0.2">
      <c r="B5878" t="s">
        <v>19</v>
      </c>
      <c r="C5878" t="s">
        <v>12924</v>
      </c>
      <c r="D5878" t="s">
        <v>613</v>
      </c>
      <c r="E5878" t="s">
        <v>6068</v>
      </c>
      <c r="F5878">
        <v>85.6</v>
      </c>
      <c r="H5878" t="s">
        <v>2018</v>
      </c>
    </row>
    <row r="5879" spans="2:8" x14ac:dyDescent="0.2">
      <c r="B5879" t="s">
        <v>19</v>
      </c>
      <c r="C5879" t="s">
        <v>12924</v>
      </c>
      <c r="D5879" t="s">
        <v>613</v>
      </c>
      <c r="E5879" t="s">
        <v>6069</v>
      </c>
      <c r="F5879">
        <v>42.8</v>
      </c>
      <c r="H5879" t="s">
        <v>2018</v>
      </c>
    </row>
    <row r="5880" spans="2:8" x14ac:dyDescent="0.2">
      <c r="B5880" t="s">
        <v>19</v>
      </c>
      <c r="C5880" t="s">
        <v>12924</v>
      </c>
      <c r="D5880" t="s">
        <v>554</v>
      </c>
      <c r="E5880" t="s">
        <v>6070</v>
      </c>
      <c r="F5880">
        <v>5839</v>
      </c>
      <c r="H5880" t="s">
        <v>4339</v>
      </c>
    </row>
    <row r="5881" spans="2:8" x14ac:dyDescent="0.2">
      <c r="B5881" t="s">
        <v>19</v>
      </c>
      <c r="C5881" t="s">
        <v>12924</v>
      </c>
      <c r="D5881" t="s">
        <v>613</v>
      </c>
      <c r="E5881" t="s">
        <v>6071</v>
      </c>
      <c r="F5881">
        <v>6.88</v>
      </c>
      <c r="H5881" t="s">
        <v>1689</v>
      </c>
    </row>
    <row r="5882" spans="2:8" x14ac:dyDescent="0.2">
      <c r="B5882" t="s">
        <v>19</v>
      </c>
      <c r="C5882" t="s">
        <v>12924</v>
      </c>
      <c r="D5882" t="s">
        <v>613</v>
      </c>
      <c r="E5882" t="s">
        <v>6080</v>
      </c>
      <c r="F5882">
        <v>297.45999999999998</v>
      </c>
      <c r="H5882" t="s">
        <v>4176</v>
      </c>
    </row>
    <row r="5883" spans="2:8" x14ac:dyDescent="0.2">
      <c r="B5883" t="s">
        <v>19</v>
      </c>
      <c r="C5883" t="s">
        <v>12924</v>
      </c>
      <c r="D5883" t="s">
        <v>613</v>
      </c>
      <c r="E5883" t="s">
        <v>6081</v>
      </c>
      <c r="F5883">
        <v>-297.45999999999998</v>
      </c>
      <c r="H5883" t="s">
        <v>4176</v>
      </c>
    </row>
    <row r="5884" spans="2:8" x14ac:dyDescent="0.2">
      <c r="B5884" t="s">
        <v>19</v>
      </c>
      <c r="C5884" t="s">
        <v>12924</v>
      </c>
      <c r="D5884" t="s">
        <v>613</v>
      </c>
      <c r="E5884" t="s">
        <v>6082</v>
      </c>
      <c r="F5884">
        <v>297.45999999999998</v>
      </c>
      <c r="H5884" t="s">
        <v>4176</v>
      </c>
    </row>
    <row r="5885" spans="2:8" x14ac:dyDescent="0.2">
      <c r="B5885" t="s">
        <v>19</v>
      </c>
      <c r="C5885" t="s">
        <v>12924</v>
      </c>
      <c r="D5885" t="s">
        <v>613</v>
      </c>
      <c r="E5885" t="s">
        <v>6083</v>
      </c>
      <c r="F5885">
        <v>594.91999999999996</v>
      </c>
      <c r="H5885" t="s">
        <v>4176</v>
      </c>
    </row>
    <row r="5886" spans="2:8" x14ac:dyDescent="0.2">
      <c r="B5886" t="s">
        <v>19</v>
      </c>
      <c r="C5886" t="s">
        <v>12924</v>
      </c>
      <c r="D5886" t="s">
        <v>613</v>
      </c>
      <c r="E5886" t="s">
        <v>6084</v>
      </c>
      <c r="F5886">
        <v>43.32</v>
      </c>
      <c r="H5886" t="s">
        <v>1243</v>
      </c>
    </row>
    <row r="5887" spans="2:8" x14ac:dyDescent="0.2">
      <c r="B5887" t="s">
        <v>19</v>
      </c>
      <c r="C5887" t="s">
        <v>12924</v>
      </c>
      <c r="D5887" t="s">
        <v>613</v>
      </c>
      <c r="E5887" t="s">
        <v>6085</v>
      </c>
      <c r="F5887">
        <v>43.32</v>
      </c>
      <c r="H5887" t="s">
        <v>1243</v>
      </c>
    </row>
    <row r="5888" spans="2:8" x14ac:dyDescent="0.2">
      <c r="B5888" t="s">
        <v>19</v>
      </c>
      <c r="C5888" t="s">
        <v>12924</v>
      </c>
      <c r="D5888" t="s">
        <v>613</v>
      </c>
      <c r="E5888" t="s">
        <v>6086</v>
      </c>
      <c r="F5888">
        <v>85.6</v>
      </c>
      <c r="H5888" t="s">
        <v>2018</v>
      </c>
    </row>
    <row r="5889" spans="2:8" x14ac:dyDescent="0.2">
      <c r="B5889" t="s">
        <v>19</v>
      </c>
      <c r="C5889" t="s">
        <v>12924</v>
      </c>
      <c r="D5889" t="s">
        <v>613</v>
      </c>
      <c r="E5889" t="s">
        <v>6087</v>
      </c>
      <c r="F5889">
        <v>42.8</v>
      </c>
      <c r="H5889" t="s">
        <v>2018</v>
      </c>
    </row>
    <row r="5890" spans="2:8" x14ac:dyDescent="0.2">
      <c r="B5890" t="s">
        <v>19</v>
      </c>
      <c r="C5890" t="s">
        <v>12924</v>
      </c>
      <c r="D5890" t="s">
        <v>554</v>
      </c>
      <c r="E5890" t="s">
        <v>6088</v>
      </c>
      <c r="F5890">
        <v>5839</v>
      </c>
      <c r="H5890" t="s">
        <v>4339</v>
      </c>
    </row>
    <row r="5891" spans="2:8" x14ac:dyDescent="0.2">
      <c r="B5891" t="s">
        <v>19</v>
      </c>
      <c r="C5891" t="s">
        <v>12924</v>
      </c>
      <c r="D5891" t="s">
        <v>613</v>
      </c>
      <c r="E5891" t="s">
        <v>6089</v>
      </c>
      <c r="F5891">
        <v>3.84</v>
      </c>
      <c r="H5891" t="s">
        <v>1689</v>
      </c>
    </row>
    <row r="5892" spans="2:8" x14ac:dyDescent="0.2">
      <c r="B5892" t="s">
        <v>19</v>
      </c>
      <c r="C5892" t="s">
        <v>12924</v>
      </c>
      <c r="D5892" t="s">
        <v>554</v>
      </c>
      <c r="E5892" t="s">
        <v>6108</v>
      </c>
      <c r="F5892">
        <v>10452</v>
      </c>
      <c r="G5892" t="s">
        <v>4340</v>
      </c>
    </row>
    <row r="5893" spans="2:8" x14ac:dyDescent="0.2">
      <c r="B5893" t="s">
        <v>19</v>
      </c>
      <c r="C5893" t="s">
        <v>12924</v>
      </c>
      <c r="D5893" t="s">
        <v>1137</v>
      </c>
      <c r="E5893" t="s">
        <v>6121</v>
      </c>
      <c r="F5893">
        <v>1036</v>
      </c>
      <c r="G5893" t="s">
        <v>1219</v>
      </c>
    </row>
    <row r="5894" spans="2:8" x14ac:dyDescent="0.2">
      <c r="B5894" t="s">
        <v>19</v>
      </c>
      <c r="C5894" t="s">
        <v>12924</v>
      </c>
      <c r="D5894" t="s">
        <v>613</v>
      </c>
      <c r="E5894" t="s">
        <v>6123</v>
      </c>
      <c r="F5894">
        <v>43.32</v>
      </c>
      <c r="H5894" t="s">
        <v>1243</v>
      </c>
    </row>
    <row r="5895" spans="2:8" x14ac:dyDescent="0.2">
      <c r="B5895" t="s">
        <v>19</v>
      </c>
      <c r="C5895" t="s">
        <v>12924</v>
      </c>
      <c r="D5895" t="s">
        <v>613</v>
      </c>
      <c r="E5895" t="s">
        <v>6124</v>
      </c>
      <c r="F5895">
        <v>64.98</v>
      </c>
      <c r="H5895" t="s">
        <v>1243</v>
      </c>
    </row>
    <row r="5896" spans="2:8" x14ac:dyDescent="0.2">
      <c r="B5896" t="s">
        <v>19</v>
      </c>
      <c r="C5896" t="s">
        <v>12924</v>
      </c>
      <c r="D5896" t="s">
        <v>554</v>
      </c>
      <c r="E5896" t="s">
        <v>6125</v>
      </c>
      <c r="F5896">
        <v>2444</v>
      </c>
      <c r="H5896" t="s">
        <v>4346</v>
      </c>
    </row>
    <row r="5897" spans="2:8" x14ac:dyDescent="0.2">
      <c r="B5897" t="s">
        <v>19</v>
      </c>
      <c r="C5897" t="s">
        <v>12924</v>
      </c>
      <c r="D5897" t="s">
        <v>613</v>
      </c>
      <c r="E5897" t="s">
        <v>6126</v>
      </c>
      <c r="F5897">
        <v>43.32</v>
      </c>
      <c r="H5897" t="s">
        <v>1243</v>
      </c>
    </row>
    <row r="5898" spans="2:8" x14ac:dyDescent="0.2">
      <c r="B5898" t="s">
        <v>19</v>
      </c>
      <c r="C5898" t="s">
        <v>12924</v>
      </c>
      <c r="D5898" t="s">
        <v>613</v>
      </c>
      <c r="E5898" t="s">
        <v>6127</v>
      </c>
      <c r="F5898">
        <v>21.66</v>
      </c>
      <c r="H5898" t="s">
        <v>1243</v>
      </c>
    </row>
    <row r="5899" spans="2:8" x14ac:dyDescent="0.2">
      <c r="B5899" t="s">
        <v>19</v>
      </c>
      <c r="C5899" t="s">
        <v>12924</v>
      </c>
      <c r="D5899" t="s">
        <v>613</v>
      </c>
      <c r="E5899" t="s">
        <v>6128</v>
      </c>
      <c r="F5899">
        <v>159.43</v>
      </c>
      <c r="H5899" t="s">
        <v>4178</v>
      </c>
    </row>
    <row r="5900" spans="2:8" x14ac:dyDescent="0.2">
      <c r="B5900" t="s">
        <v>19</v>
      </c>
      <c r="C5900" t="s">
        <v>12924</v>
      </c>
      <c r="D5900" t="s">
        <v>613</v>
      </c>
      <c r="E5900" t="s">
        <v>6129</v>
      </c>
      <c r="F5900">
        <v>21.66</v>
      </c>
      <c r="H5900" t="s">
        <v>1243</v>
      </c>
    </row>
    <row r="5901" spans="2:8" x14ac:dyDescent="0.2">
      <c r="B5901" t="s">
        <v>19</v>
      </c>
      <c r="C5901" t="s">
        <v>12924</v>
      </c>
      <c r="D5901" t="s">
        <v>613</v>
      </c>
      <c r="E5901" t="s">
        <v>6130</v>
      </c>
      <c r="F5901">
        <v>21.4</v>
      </c>
      <c r="H5901" t="s">
        <v>1684</v>
      </c>
    </row>
    <row r="5902" spans="2:8" x14ac:dyDescent="0.2">
      <c r="B5902" t="s">
        <v>19</v>
      </c>
      <c r="C5902" t="s">
        <v>12924</v>
      </c>
      <c r="D5902" t="s">
        <v>554</v>
      </c>
      <c r="E5902" t="s">
        <v>6131</v>
      </c>
      <c r="F5902">
        <v>1076</v>
      </c>
      <c r="H5902" t="s">
        <v>4354</v>
      </c>
    </row>
    <row r="5903" spans="2:8" x14ac:dyDescent="0.2">
      <c r="B5903" t="s">
        <v>19</v>
      </c>
      <c r="C5903" t="s">
        <v>12924</v>
      </c>
      <c r="D5903" t="s">
        <v>554</v>
      </c>
      <c r="E5903" t="s">
        <v>6138</v>
      </c>
      <c r="F5903">
        <v>8580</v>
      </c>
      <c r="G5903" t="s">
        <v>4352</v>
      </c>
    </row>
    <row r="5904" spans="2:8" x14ac:dyDescent="0.2">
      <c r="B5904" t="s">
        <v>19</v>
      </c>
      <c r="C5904" t="s">
        <v>12924</v>
      </c>
      <c r="D5904" t="s">
        <v>554</v>
      </c>
      <c r="E5904" t="s">
        <v>6139</v>
      </c>
      <c r="F5904">
        <v>8580</v>
      </c>
      <c r="G5904" t="s">
        <v>4353</v>
      </c>
    </row>
    <row r="5905" spans="2:8" x14ac:dyDescent="0.2">
      <c r="B5905" t="s">
        <v>19</v>
      </c>
      <c r="C5905" t="s">
        <v>12924</v>
      </c>
      <c r="D5905" t="s">
        <v>613</v>
      </c>
      <c r="E5905" t="s">
        <v>6140</v>
      </c>
      <c r="F5905">
        <v>1056.4000000000001</v>
      </c>
      <c r="G5905" t="s">
        <v>4142</v>
      </c>
    </row>
    <row r="5906" spans="2:8" x14ac:dyDescent="0.2">
      <c r="B5906" t="s">
        <v>19</v>
      </c>
      <c r="C5906" t="s">
        <v>12924</v>
      </c>
      <c r="D5906" t="s">
        <v>613</v>
      </c>
      <c r="E5906" t="s">
        <v>6145</v>
      </c>
      <c r="F5906">
        <v>159.43</v>
      </c>
      <c r="H5906" t="s">
        <v>4178</v>
      </c>
    </row>
    <row r="5907" spans="2:8" x14ac:dyDescent="0.2">
      <c r="B5907" t="s">
        <v>19</v>
      </c>
      <c r="C5907" t="s">
        <v>12924</v>
      </c>
      <c r="D5907" t="s">
        <v>613</v>
      </c>
      <c r="E5907" t="s">
        <v>6146</v>
      </c>
      <c r="F5907">
        <v>21.66</v>
      </c>
      <c r="H5907" t="s">
        <v>1243</v>
      </c>
    </row>
    <row r="5908" spans="2:8" x14ac:dyDescent="0.2">
      <c r="B5908" t="s">
        <v>19</v>
      </c>
      <c r="C5908" t="s">
        <v>12924</v>
      </c>
      <c r="D5908" t="s">
        <v>613</v>
      </c>
      <c r="E5908" t="s">
        <v>6147</v>
      </c>
      <c r="F5908">
        <v>21.4</v>
      </c>
      <c r="H5908" t="s">
        <v>1557</v>
      </c>
    </row>
    <row r="5909" spans="2:8" x14ac:dyDescent="0.2">
      <c r="B5909" t="s">
        <v>19</v>
      </c>
      <c r="C5909" t="s">
        <v>12924</v>
      </c>
      <c r="D5909" t="s">
        <v>554</v>
      </c>
      <c r="E5909" t="s">
        <v>6148</v>
      </c>
      <c r="F5909">
        <v>612</v>
      </c>
      <c r="H5909" t="s">
        <v>4355</v>
      </c>
    </row>
    <row r="5910" spans="2:8" x14ac:dyDescent="0.2">
      <c r="B5910" t="s">
        <v>19</v>
      </c>
      <c r="C5910" t="s">
        <v>12924</v>
      </c>
      <c r="D5910" t="s">
        <v>613</v>
      </c>
      <c r="E5910" t="s">
        <v>6149</v>
      </c>
      <c r="F5910">
        <v>159.43</v>
      </c>
      <c r="H5910" t="s">
        <v>4178</v>
      </c>
    </row>
    <row r="5911" spans="2:8" x14ac:dyDescent="0.2">
      <c r="B5911" t="s">
        <v>19</v>
      </c>
      <c r="C5911" t="s">
        <v>12924</v>
      </c>
      <c r="D5911" t="s">
        <v>613</v>
      </c>
      <c r="E5911" t="s">
        <v>6150</v>
      </c>
      <c r="F5911">
        <v>21.66</v>
      </c>
      <c r="H5911" t="s">
        <v>1243</v>
      </c>
    </row>
    <row r="5912" spans="2:8" x14ac:dyDescent="0.2">
      <c r="B5912" t="s">
        <v>19</v>
      </c>
      <c r="C5912" t="s">
        <v>12924</v>
      </c>
      <c r="D5912" t="s">
        <v>613</v>
      </c>
      <c r="E5912" t="s">
        <v>6151</v>
      </c>
      <c r="F5912">
        <v>21.4</v>
      </c>
      <c r="H5912" t="s">
        <v>1684</v>
      </c>
    </row>
    <row r="5913" spans="2:8" x14ac:dyDescent="0.2">
      <c r="B5913" t="s">
        <v>19</v>
      </c>
      <c r="C5913" t="s">
        <v>12924</v>
      </c>
      <c r="D5913" t="s">
        <v>554</v>
      </c>
      <c r="E5913" t="s">
        <v>6152</v>
      </c>
      <c r="F5913">
        <v>1019</v>
      </c>
      <c r="H5913" t="s">
        <v>4357</v>
      </c>
    </row>
    <row r="5914" spans="2:8" x14ac:dyDescent="0.2">
      <c r="B5914" t="s">
        <v>19</v>
      </c>
      <c r="C5914" t="s">
        <v>12924</v>
      </c>
      <c r="D5914" t="s">
        <v>613</v>
      </c>
      <c r="E5914" t="s">
        <v>6153</v>
      </c>
      <c r="F5914">
        <v>5.85</v>
      </c>
      <c r="H5914" t="s">
        <v>6154</v>
      </c>
    </row>
    <row r="5915" spans="2:8" x14ac:dyDescent="0.2">
      <c r="B5915" t="s">
        <v>19</v>
      </c>
      <c r="C5915" t="s">
        <v>12924</v>
      </c>
      <c r="D5915" t="s">
        <v>613</v>
      </c>
      <c r="E5915" t="s">
        <v>6159</v>
      </c>
      <c r="F5915">
        <v>159.43</v>
      </c>
      <c r="H5915" t="s">
        <v>4178</v>
      </c>
    </row>
    <row r="5916" spans="2:8" x14ac:dyDescent="0.2">
      <c r="B5916" t="s">
        <v>19</v>
      </c>
      <c r="C5916" t="s">
        <v>12924</v>
      </c>
      <c r="D5916" t="s">
        <v>613</v>
      </c>
      <c r="E5916" t="s">
        <v>6160</v>
      </c>
      <c r="F5916">
        <v>21.66</v>
      </c>
      <c r="H5916" t="s">
        <v>1243</v>
      </c>
    </row>
    <row r="5917" spans="2:8" x14ac:dyDescent="0.2">
      <c r="B5917" t="s">
        <v>19</v>
      </c>
      <c r="C5917" t="s">
        <v>12924</v>
      </c>
      <c r="D5917" t="s">
        <v>613</v>
      </c>
      <c r="E5917" t="s">
        <v>6161</v>
      </c>
      <c r="F5917">
        <v>21.4</v>
      </c>
      <c r="H5917" t="s">
        <v>1557</v>
      </c>
    </row>
    <row r="5918" spans="2:8" x14ac:dyDescent="0.2">
      <c r="B5918" t="s">
        <v>19</v>
      </c>
      <c r="C5918" t="s">
        <v>12924</v>
      </c>
      <c r="D5918" t="s">
        <v>554</v>
      </c>
      <c r="E5918" t="s">
        <v>6162</v>
      </c>
      <c r="F5918">
        <v>622</v>
      </c>
      <c r="H5918" t="s">
        <v>4365</v>
      </c>
    </row>
    <row r="5919" spans="2:8" x14ac:dyDescent="0.2">
      <c r="B5919" t="s">
        <v>19</v>
      </c>
      <c r="C5919" t="s">
        <v>12924</v>
      </c>
      <c r="D5919" t="s">
        <v>613</v>
      </c>
      <c r="E5919" t="s">
        <v>6163</v>
      </c>
      <c r="F5919">
        <v>21.66</v>
      </c>
      <c r="H5919" t="s">
        <v>1243</v>
      </c>
    </row>
    <row r="5920" spans="2:8" x14ac:dyDescent="0.2">
      <c r="B5920" t="s">
        <v>19</v>
      </c>
      <c r="C5920" t="s">
        <v>12924</v>
      </c>
      <c r="D5920" t="s">
        <v>1137</v>
      </c>
      <c r="E5920" t="s">
        <v>6166</v>
      </c>
      <c r="F5920">
        <v>1482</v>
      </c>
      <c r="G5920" t="s">
        <v>1321</v>
      </c>
    </row>
    <row r="5921" spans="2:8" x14ac:dyDescent="0.2">
      <c r="B5921" t="s">
        <v>19</v>
      </c>
      <c r="C5921" t="s">
        <v>12924</v>
      </c>
      <c r="D5921" t="s">
        <v>1137</v>
      </c>
      <c r="E5921" t="s">
        <v>6173</v>
      </c>
      <c r="F5921">
        <v>72</v>
      </c>
      <c r="G5921" t="s">
        <v>1342</v>
      </c>
    </row>
    <row r="5922" spans="2:8" x14ac:dyDescent="0.2">
      <c r="B5922" t="s">
        <v>19</v>
      </c>
      <c r="C5922" t="s">
        <v>12924</v>
      </c>
      <c r="D5922" t="s">
        <v>1137</v>
      </c>
      <c r="E5922" t="s">
        <v>6174</v>
      </c>
      <c r="F5922">
        <v>630</v>
      </c>
      <c r="G5922" t="s">
        <v>2447</v>
      </c>
    </row>
    <row r="5923" spans="2:8" x14ac:dyDescent="0.2">
      <c r="B5923" t="s">
        <v>19</v>
      </c>
      <c r="C5923" t="s">
        <v>12924</v>
      </c>
      <c r="D5923" t="s">
        <v>1137</v>
      </c>
      <c r="E5923" t="s">
        <v>6177</v>
      </c>
      <c r="F5923">
        <v>60</v>
      </c>
      <c r="G5923" t="s">
        <v>2479</v>
      </c>
    </row>
    <row r="5924" spans="2:8" x14ac:dyDescent="0.2">
      <c r="B5924" t="s">
        <v>19</v>
      </c>
      <c r="C5924" t="s">
        <v>12924</v>
      </c>
      <c r="D5924" t="s">
        <v>1137</v>
      </c>
      <c r="E5924" t="s">
        <v>6180</v>
      </c>
      <c r="F5924">
        <v>28.5</v>
      </c>
      <c r="G5924" t="s">
        <v>2481</v>
      </c>
    </row>
    <row r="5925" spans="2:8" x14ac:dyDescent="0.2">
      <c r="B5925" t="s">
        <v>19</v>
      </c>
      <c r="C5925" t="s">
        <v>12924</v>
      </c>
      <c r="D5925" t="s">
        <v>1144</v>
      </c>
      <c r="E5925" t="s">
        <v>6181</v>
      </c>
      <c r="F5925">
        <v>126.25</v>
      </c>
      <c r="G5925" t="s">
        <v>1231</v>
      </c>
    </row>
    <row r="5926" spans="2:8" x14ac:dyDescent="0.2">
      <c r="B5926" t="s">
        <v>19</v>
      </c>
      <c r="C5926" t="s">
        <v>12924</v>
      </c>
      <c r="D5926" t="s">
        <v>613</v>
      </c>
      <c r="E5926" t="s">
        <v>6182</v>
      </c>
      <c r="F5926">
        <v>1.1000000000000001</v>
      </c>
      <c r="G5926" t="s">
        <v>6183</v>
      </c>
    </row>
    <row r="5927" spans="2:8" x14ac:dyDescent="0.2">
      <c r="B5927" t="s">
        <v>19</v>
      </c>
      <c r="C5927" t="s">
        <v>12924</v>
      </c>
      <c r="D5927" t="s">
        <v>613</v>
      </c>
      <c r="E5927" t="s">
        <v>6189</v>
      </c>
      <c r="F5927">
        <v>26</v>
      </c>
      <c r="G5927" t="s">
        <v>6190</v>
      </c>
    </row>
    <row r="5928" spans="2:8" x14ac:dyDescent="0.2">
      <c r="B5928" t="s">
        <v>19</v>
      </c>
      <c r="C5928" t="s">
        <v>12924</v>
      </c>
      <c r="D5928" t="s">
        <v>613</v>
      </c>
      <c r="E5928" t="s">
        <v>6191</v>
      </c>
      <c r="F5928">
        <v>14.55</v>
      </c>
      <c r="G5928" t="s">
        <v>6192</v>
      </c>
    </row>
    <row r="5929" spans="2:8" x14ac:dyDescent="0.2">
      <c r="B5929" t="s">
        <v>19</v>
      </c>
      <c r="C5929" t="s">
        <v>12924</v>
      </c>
      <c r="D5929" t="s">
        <v>1137</v>
      </c>
      <c r="E5929" t="s">
        <v>6194</v>
      </c>
      <c r="F5929">
        <v>64</v>
      </c>
      <c r="G5929" t="s">
        <v>2477</v>
      </c>
    </row>
    <row r="5930" spans="2:8" x14ac:dyDescent="0.2">
      <c r="B5930" t="s">
        <v>19</v>
      </c>
      <c r="C5930" t="s">
        <v>12924</v>
      </c>
      <c r="D5930" t="s">
        <v>1137</v>
      </c>
      <c r="E5930" t="s">
        <v>6195</v>
      </c>
      <c r="F5930">
        <v>35</v>
      </c>
      <c r="G5930" t="s">
        <v>2534</v>
      </c>
    </row>
    <row r="5931" spans="2:8" x14ac:dyDescent="0.2">
      <c r="B5931" t="s">
        <v>19</v>
      </c>
      <c r="C5931" t="s">
        <v>12924</v>
      </c>
      <c r="D5931" t="s">
        <v>1137</v>
      </c>
      <c r="E5931" t="s">
        <v>6200</v>
      </c>
      <c r="F5931">
        <v>38</v>
      </c>
      <c r="G5931" t="s">
        <v>2537</v>
      </c>
    </row>
    <row r="5932" spans="2:8" x14ac:dyDescent="0.2">
      <c r="B5932" t="s">
        <v>19</v>
      </c>
      <c r="C5932" t="s">
        <v>12924</v>
      </c>
      <c r="D5932" t="s">
        <v>613</v>
      </c>
      <c r="E5932" t="s">
        <v>6202</v>
      </c>
      <c r="F5932">
        <v>39</v>
      </c>
      <c r="H5932" t="s">
        <v>1560</v>
      </c>
    </row>
    <row r="5933" spans="2:8" x14ac:dyDescent="0.2">
      <c r="B5933" t="s">
        <v>19</v>
      </c>
      <c r="C5933" t="s">
        <v>12924</v>
      </c>
      <c r="D5933" t="s">
        <v>554</v>
      </c>
      <c r="E5933" t="s">
        <v>6203</v>
      </c>
      <c r="F5933">
        <v>2676</v>
      </c>
      <c r="H5933" t="s">
        <v>4382</v>
      </c>
    </row>
    <row r="5934" spans="2:8" x14ac:dyDescent="0.2">
      <c r="B5934" t="s">
        <v>19</v>
      </c>
      <c r="C5934" t="s">
        <v>12924</v>
      </c>
      <c r="D5934" t="s">
        <v>613</v>
      </c>
      <c r="E5934" t="s">
        <v>6204</v>
      </c>
      <c r="F5934">
        <v>463.61</v>
      </c>
      <c r="G5934" t="s">
        <v>1241</v>
      </c>
    </row>
    <row r="5935" spans="2:8" x14ac:dyDescent="0.2">
      <c r="B5935" t="s">
        <v>19</v>
      </c>
      <c r="C5935" t="s">
        <v>12924</v>
      </c>
      <c r="D5935" t="s">
        <v>613</v>
      </c>
      <c r="E5935" t="s">
        <v>6210</v>
      </c>
      <c r="F5935">
        <v>56</v>
      </c>
      <c r="G5935" t="s">
        <v>1270</v>
      </c>
    </row>
    <row r="5936" spans="2:8" x14ac:dyDescent="0.2">
      <c r="B5936" t="s">
        <v>19</v>
      </c>
      <c r="C5936" t="s">
        <v>12924</v>
      </c>
      <c r="D5936" t="s">
        <v>613</v>
      </c>
      <c r="E5936" t="s">
        <v>6223</v>
      </c>
      <c r="F5936">
        <v>26</v>
      </c>
      <c r="G5936" t="s">
        <v>6190</v>
      </c>
    </row>
    <row r="5937" spans="2:8" x14ac:dyDescent="0.2">
      <c r="B5937" t="s">
        <v>19</v>
      </c>
      <c r="C5937" t="s">
        <v>12924</v>
      </c>
      <c r="D5937" t="s">
        <v>613</v>
      </c>
      <c r="E5937" t="s">
        <v>6231</v>
      </c>
      <c r="F5937">
        <v>1.2</v>
      </c>
      <c r="G5937" t="s">
        <v>6232</v>
      </c>
    </row>
    <row r="5938" spans="2:8" x14ac:dyDescent="0.2">
      <c r="B5938" t="s">
        <v>19</v>
      </c>
      <c r="C5938" t="s">
        <v>12924</v>
      </c>
      <c r="D5938" t="s">
        <v>613</v>
      </c>
      <c r="E5938" t="s">
        <v>6233</v>
      </c>
      <c r="F5938">
        <v>11.54</v>
      </c>
      <c r="H5938" t="s">
        <v>4378</v>
      </c>
    </row>
    <row r="5939" spans="2:8" x14ac:dyDescent="0.2">
      <c r="B5939" t="s">
        <v>19</v>
      </c>
      <c r="C5939" t="s">
        <v>12924</v>
      </c>
      <c r="D5939" t="s">
        <v>613</v>
      </c>
      <c r="E5939" t="s">
        <v>6234</v>
      </c>
      <c r="F5939">
        <v>89.46</v>
      </c>
      <c r="H5939" t="s">
        <v>1561</v>
      </c>
    </row>
    <row r="5940" spans="2:8" x14ac:dyDescent="0.2">
      <c r="B5940" t="s">
        <v>19</v>
      </c>
      <c r="C5940" t="s">
        <v>12924</v>
      </c>
      <c r="D5940" t="s">
        <v>554</v>
      </c>
      <c r="E5940" t="s">
        <v>6235</v>
      </c>
      <c r="F5940">
        <v>2300</v>
      </c>
      <c r="H5940" t="s">
        <v>4392</v>
      </c>
    </row>
    <row r="5941" spans="2:8" x14ac:dyDescent="0.2">
      <c r="B5941" t="s">
        <v>19</v>
      </c>
      <c r="C5941" t="s">
        <v>12924</v>
      </c>
      <c r="D5941" t="s">
        <v>1137</v>
      </c>
      <c r="E5941" t="s">
        <v>6238</v>
      </c>
      <c r="F5941">
        <v>44</v>
      </c>
      <c r="G5941" t="s">
        <v>2540</v>
      </c>
    </row>
    <row r="5942" spans="2:8" x14ac:dyDescent="0.2">
      <c r="B5942" t="s">
        <v>19</v>
      </c>
      <c r="C5942" t="s">
        <v>12924</v>
      </c>
      <c r="D5942" t="s">
        <v>1137</v>
      </c>
      <c r="E5942" t="s">
        <v>6241</v>
      </c>
      <c r="F5942">
        <v>15</v>
      </c>
      <c r="G5942" t="s">
        <v>2629</v>
      </c>
    </row>
    <row r="5943" spans="2:8" x14ac:dyDescent="0.2">
      <c r="B5943" t="s">
        <v>19</v>
      </c>
      <c r="C5943" t="s">
        <v>12924</v>
      </c>
      <c r="D5943" t="s">
        <v>1137</v>
      </c>
      <c r="E5943" t="s">
        <v>6243</v>
      </c>
      <c r="F5943">
        <v>110</v>
      </c>
      <c r="G5943" t="s">
        <v>2631</v>
      </c>
    </row>
    <row r="5944" spans="2:8" x14ac:dyDescent="0.2">
      <c r="B5944" t="s">
        <v>19</v>
      </c>
      <c r="C5944" t="s">
        <v>12924</v>
      </c>
      <c r="D5944" t="s">
        <v>1144</v>
      </c>
      <c r="E5944" t="s">
        <v>6244</v>
      </c>
      <c r="F5944">
        <v>262.5</v>
      </c>
      <c r="G5944" t="s">
        <v>1290</v>
      </c>
    </row>
    <row r="5945" spans="2:8" x14ac:dyDescent="0.2">
      <c r="B5945" t="s">
        <v>19</v>
      </c>
      <c r="C5945" t="s">
        <v>12924</v>
      </c>
      <c r="D5945" t="s">
        <v>613</v>
      </c>
      <c r="E5945" t="s">
        <v>6245</v>
      </c>
      <c r="F5945">
        <v>40.799999999999997</v>
      </c>
      <c r="G5945" t="s">
        <v>1303</v>
      </c>
    </row>
    <row r="5946" spans="2:8" x14ac:dyDescent="0.2">
      <c r="B5946" t="s">
        <v>19</v>
      </c>
      <c r="C5946" t="s">
        <v>12924</v>
      </c>
      <c r="D5946" t="s">
        <v>613</v>
      </c>
      <c r="E5946" t="s">
        <v>6251</v>
      </c>
      <c r="F5946">
        <v>6.66</v>
      </c>
      <c r="H5946" t="s">
        <v>5286</v>
      </c>
    </row>
    <row r="5947" spans="2:8" x14ac:dyDescent="0.2">
      <c r="B5947" t="s">
        <v>19</v>
      </c>
      <c r="C5947" t="s">
        <v>12924</v>
      </c>
      <c r="D5947" t="s">
        <v>613</v>
      </c>
      <c r="E5947" t="s">
        <v>6253</v>
      </c>
      <c r="F5947">
        <v>0.84</v>
      </c>
      <c r="H5947" t="s">
        <v>3485</v>
      </c>
    </row>
    <row r="5948" spans="2:8" x14ac:dyDescent="0.2">
      <c r="B5948" t="s">
        <v>19</v>
      </c>
      <c r="C5948" t="s">
        <v>12924</v>
      </c>
      <c r="D5948" t="s">
        <v>613</v>
      </c>
      <c r="E5948" t="s">
        <v>6254</v>
      </c>
      <c r="F5948">
        <v>8.6</v>
      </c>
      <c r="H5948" t="s">
        <v>3484</v>
      </c>
    </row>
    <row r="5949" spans="2:8" x14ac:dyDescent="0.2">
      <c r="B5949" t="s">
        <v>19</v>
      </c>
      <c r="C5949" t="s">
        <v>12924</v>
      </c>
      <c r="D5949" t="s">
        <v>613</v>
      </c>
      <c r="E5949" t="s">
        <v>6255</v>
      </c>
      <c r="F5949">
        <v>43.32</v>
      </c>
      <c r="H5949" t="s">
        <v>1243</v>
      </c>
    </row>
    <row r="5950" spans="2:8" x14ac:dyDescent="0.2">
      <c r="B5950" t="s">
        <v>19</v>
      </c>
      <c r="C5950" t="s">
        <v>12924</v>
      </c>
      <c r="D5950" t="s">
        <v>84</v>
      </c>
      <c r="E5950" t="s">
        <v>6256</v>
      </c>
      <c r="F5950">
        <v>12.09</v>
      </c>
      <c r="H5950" t="s">
        <v>6257</v>
      </c>
    </row>
    <row r="5951" spans="2:8" x14ac:dyDescent="0.2">
      <c r="B5951" t="s">
        <v>19</v>
      </c>
      <c r="C5951" t="s">
        <v>12924</v>
      </c>
      <c r="D5951" t="s">
        <v>84</v>
      </c>
      <c r="E5951" t="s">
        <v>6258</v>
      </c>
      <c r="F5951">
        <v>15</v>
      </c>
      <c r="H5951" t="s">
        <v>3553</v>
      </c>
    </row>
    <row r="5952" spans="2:8" x14ac:dyDescent="0.2">
      <c r="B5952" t="s">
        <v>19</v>
      </c>
      <c r="C5952" t="s">
        <v>12924</v>
      </c>
      <c r="D5952" t="s">
        <v>554</v>
      </c>
      <c r="E5952" t="s">
        <v>6259</v>
      </c>
      <c r="F5952">
        <v>2667</v>
      </c>
      <c r="H5952" t="s">
        <v>4408</v>
      </c>
    </row>
    <row r="5953" spans="2:8" x14ac:dyDescent="0.2">
      <c r="B5953" t="s">
        <v>19</v>
      </c>
      <c r="C5953" t="s">
        <v>12924</v>
      </c>
      <c r="D5953" t="s">
        <v>613</v>
      </c>
      <c r="E5953" t="s">
        <v>6260</v>
      </c>
      <c r="F5953">
        <v>1.6</v>
      </c>
      <c r="H5953" t="s">
        <v>3482</v>
      </c>
    </row>
    <row r="5954" spans="2:8" x14ac:dyDescent="0.2">
      <c r="B5954" t="s">
        <v>19</v>
      </c>
      <c r="C5954" t="s">
        <v>12924</v>
      </c>
      <c r="D5954" t="s">
        <v>613</v>
      </c>
      <c r="E5954" t="s">
        <v>6261</v>
      </c>
      <c r="F5954">
        <v>21.2</v>
      </c>
      <c r="H5954" t="s">
        <v>1564</v>
      </c>
    </row>
    <row r="5955" spans="2:8" x14ac:dyDescent="0.2">
      <c r="B5955" t="s">
        <v>19</v>
      </c>
      <c r="C5955" t="s">
        <v>12924</v>
      </c>
      <c r="D5955" t="s">
        <v>613</v>
      </c>
      <c r="E5955" t="s">
        <v>6262</v>
      </c>
      <c r="F5955">
        <v>26.75</v>
      </c>
      <c r="H5955" t="s">
        <v>4415</v>
      </c>
    </row>
    <row r="5956" spans="2:8" x14ac:dyDescent="0.2">
      <c r="B5956" t="s">
        <v>19</v>
      </c>
      <c r="C5956" t="s">
        <v>12924</v>
      </c>
      <c r="D5956" t="s">
        <v>613</v>
      </c>
      <c r="E5956" t="s">
        <v>6263</v>
      </c>
      <c r="F5956">
        <v>159.43</v>
      </c>
      <c r="H5956" t="s">
        <v>4178</v>
      </c>
    </row>
    <row r="5957" spans="2:8" x14ac:dyDescent="0.2">
      <c r="B5957" t="s">
        <v>19</v>
      </c>
      <c r="C5957" t="s">
        <v>12924</v>
      </c>
      <c r="D5957" t="s">
        <v>1144</v>
      </c>
      <c r="E5957" t="s">
        <v>6266</v>
      </c>
      <c r="F5957">
        <v>225</v>
      </c>
      <c r="G5957" t="s">
        <v>1338</v>
      </c>
    </row>
    <row r="5958" spans="2:8" x14ac:dyDescent="0.2">
      <c r="B5958" t="s">
        <v>19</v>
      </c>
      <c r="C5958" t="s">
        <v>12924</v>
      </c>
      <c r="D5958" t="s">
        <v>554</v>
      </c>
      <c r="E5958" t="s">
        <v>6267</v>
      </c>
      <c r="F5958">
        <v>1464</v>
      </c>
      <c r="G5958" t="s">
        <v>4401</v>
      </c>
    </row>
    <row r="5959" spans="2:8" x14ac:dyDescent="0.2">
      <c r="B5959" t="s">
        <v>19</v>
      </c>
      <c r="C5959" t="s">
        <v>12924</v>
      </c>
      <c r="D5959" t="s">
        <v>554</v>
      </c>
      <c r="E5959" t="s">
        <v>6268</v>
      </c>
      <c r="F5959">
        <v>2386</v>
      </c>
      <c r="G5959" t="s">
        <v>6269</v>
      </c>
    </row>
    <row r="5960" spans="2:8" x14ac:dyDescent="0.2">
      <c r="B5960" t="s">
        <v>19</v>
      </c>
      <c r="C5960" t="s">
        <v>12924</v>
      </c>
      <c r="D5960" t="s">
        <v>613</v>
      </c>
      <c r="E5960" t="s">
        <v>6270</v>
      </c>
      <c r="F5960">
        <v>41.9</v>
      </c>
      <c r="G5960" t="s">
        <v>2179</v>
      </c>
    </row>
    <row r="5961" spans="2:8" x14ac:dyDescent="0.2">
      <c r="B5961" t="s">
        <v>19</v>
      </c>
      <c r="C5961" t="s">
        <v>12924</v>
      </c>
      <c r="D5961" t="s">
        <v>554</v>
      </c>
      <c r="E5961" t="s">
        <v>6271</v>
      </c>
      <c r="F5961">
        <v>5648</v>
      </c>
      <c r="G5961" t="s">
        <v>4412</v>
      </c>
    </row>
    <row r="5962" spans="2:8" x14ac:dyDescent="0.2">
      <c r="B5962" t="s">
        <v>19</v>
      </c>
      <c r="C5962" t="s">
        <v>12924</v>
      </c>
      <c r="D5962" t="s">
        <v>1137</v>
      </c>
      <c r="E5962" t="s">
        <v>6273</v>
      </c>
      <c r="F5962">
        <v>1974</v>
      </c>
      <c r="G5962" t="s">
        <v>2633</v>
      </c>
    </row>
    <row r="5963" spans="2:8" x14ac:dyDescent="0.2">
      <c r="B5963" t="s">
        <v>19</v>
      </c>
      <c r="C5963" t="s">
        <v>12924</v>
      </c>
      <c r="D5963" t="s">
        <v>1137</v>
      </c>
      <c r="E5963" t="s">
        <v>6282</v>
      </c>
      <c r="F5963">
        <v>696</v>
      </c>
      <c r="G5963" t="s">
        <v>2634</v>
      </c>
    </row>
    <row r="5964" spans="2:8" x14ac:dyDescent="0.2">
      <c r="B5964" t="s">
        <v>19</v>
      </c>
      <c r="C5964" t="s">
        <v>12924</v>
      </c>
      <c r="D5964" t="s">
        <v>1137</v>
      </c>
      <c r="E5964" t="s">
        <v>6283</v>
      </c>
      <c r="F5964">
        <v>721</v>
      </c>
      <c r="G5964" t="s">
        <v>2635</v>
      </c>
    </row>
    <row r="5965" spans="2:8" x14ac:dyDescent="0.2">
      <c r="B5965" t="s">
        <v>19</v>
      </c>
      <c r="C5965" t="s">
        <v>12924</v>
      </c>
      <c r="D5965" t="s">
        <v>1137</v>
      </c>
      <c r="E5965" t="s">
        <v>6284</v>
      </c>
      <c r="F5965">
        <v>387</v>
      </c>
      <c r="G5965" t="s">
        <v>2636</v>
      </c>
    </row>
    <row r="5966" spans="2:8" x14ac:dyDescent="0.2">
      <c r="B5966" t="s">
        <v>19</v>
      </c>
      <c r="C5966" t="s">
        <v>12924</v>
      </c>
      <c r="D5966" t="s">
        <v>1137</v>
      </c>
      <c r="E5966" t="s">
        <v>6285</v>
      </c>
      <c r="F5966">
        <v>581</v>
      </c>
      <c r="G5966" t="s">
        <v>2680</v>
      </c>
    </row>
    <row r="5967" spans="2:8" x14ac:dyDescent="0.2">
      <c r="B5967" t="s">
        <v>19</v>
      </c>
      <c r="C5967" t="s">
        <v>12924</v>
      </c>
      <c r="D5967" t="s">
        <v>1137</v>
      </c>
      <c r="E5967" t="s">
        <v>6286</v>
      </c>
      <c r="F5967">
        <v>116</v>
      </c>
      <c r="G5967" t="s">
        <v>2682</v>
      </c>
    </row>
    <row r="5968" spans="2:8" x14ac:dyDescent="0.2">
      <c r="B5968" t="s">
        <v>19</v>
      </c>
      <c r="C5968" t="s">
        <v>12924</v>
      </c>
      <c r="D5968" t="s">
        <v>478</v>
      </c>
      <c r="E5968" t="s">
        <v>6289</v>
      </c>
      <c r="F5968">
        <v>10252.64</v>
      </c>
      <c r="G5968" t="s">
        <v>6290</v>
      </c>
    </row>
    <row r="5969" spans="2:8" x14ac:dyDescent="0.2">
      <c r="B5969" t="s">
        <v>19</v>
      </c>
      <c r="C5969" t="s">
        <v>12925</v>
      </c>
      <c r="D5969" t="s">
        <v>617</v>
      </c>
      <c r="E5969" t="s">
        <v>6299</v>
      </c>
      <c r="F5969">
        <v>411</v>
      </c>
      <c r="G5969" t="s">
        <v>4406</v>
      </c>
    </row>
    <row r="5970" spans="2:8" x14ac:dyDescent="0.2">
      <c r="B5970" t="s">
        <v>19</v>
      </c>
      <c r="C5970" t="s">
        <v>12925</v>
      </c>
      <c r="D5970" t="s">
        <v>617</v>
      </c>
      <c r="E5970" t="s">
        <v>6303</v>
      </c>
      <c r="F5970">
        <v>11919</v>
      </c>
      <c r="G5970" t="s">
        <v>4406</v>
      </c>
    </row>
    <row r="5971" spans="2:8" x14ac:dyDescent="0.2">
      <c r="B5971" t="s">
        <v>19</v>
      </c>
      <c r="C5971" t="s">
        <v>12925</v>
      </c>
      <c r="D5971" t="s">
        <v>1169</v>
      </c>
      <c r="E5971" t="s">
        <v>6308</v>
      </c>
      <c r="F5971">
        <v>12400</v>
      </c>
      <c r="G5971" t="s">
        <v>1197</v>
      </c>
    </row>
    <row r="5972" spans="2:8" x14ac:dyDescent="0.2">
      <c r="B5972" t="s">
        <v>19</v>
      </c>
      <c r="C5972" t="s">
        <v>12925</v>
      </c>
      <c r="D5972" t="s">
        <v>1169</v>
      </c>
      <c r="E5972" t="s">
        <v>6309</v>
      </c>
      <c r="F5972">
        <v>12400</v>
      </c>
      <c r="G5972" t="s">
        <v>1197</v>
      </c>
    </row>
    <row r="5973" spans="2:8" x14ac:dyDescent="0.2">
      <c r="B5973" t="s">
        <v>19</v>
      </c>
      <c r="C5973" t="s">
        <v>12925</v>
      </c>
      <c r="D5973" t="s">
        <v>1169</v>
      </c>
      <c r="E5973" t="s">
        <v>6312</v>
      </c>
      <c r="F5973">
        <v>6200</v>
      </c>
      <c r="G5973" t="s">
        <v>1197</v>
      </c>
    </row>
    <row r="5974" spans="2:8" x14ac:dyDescent="0.2">
      <c r="B5974" t="s">
        <v>19</v>
      </c>
      <c r="C5974" t="s">
        <v>12925</v>
      </c>
      <c r="D5974" t="s">
        <v>621</v>
      </c>
      <c r="E5974" t="s">
        <v>6315</v>
      </c>
      <c r="F5974">
        <v>3900</v>
      </c>
      <c r="G5974" t="s">
        <v>1199</v>
      </c>
    </row>
    <row r="5975" spans="2:8" x14ac:dyDescent="0.2">
      <c r="B5975" t="s">
        <v>19</v>
      </c>
      <c r="C5975" t="s">
        <v>12925</v>
      </c>
      <c r="D5975" t="s">
        <v>617</v>
      </c>
      <c r="E5975" t="s">
        <v>6319</v>
      </c>
      <c r="F5975">
        <v>147.74</v>
      </c>
      <c r="H5975" t="s">
        <v>1388</v>
      </c>
    </row>
    <row r="5976" spans="2:8" x14ac:dyDescent="0.2">
      <c r="B5976" t="s">
        <v>19</v>
      </c>
      <c r="C5976" t="s">
        <v>12925</v>
      </c>
      <c r="D5976" t="s">
        <v>617</v>
      </c>
      <c r="E5976" t="s">
        <v>6320</v>
      </c>
      <c r="F5976">
        <v>137</v>
      </c>
      <c r="H5976" t="s">
        <v>1983</v>
      </c>
    </row>
    <row r="5977" spans="2:8" x14ac:dyDescent="0.2">
      <c r="B5977" t="s">
        <v>19</v>
      </c>
      <c r="C5977" t="s">
        <v>12925</v>
      </c>
      <c r="D5977" t="s">
        <v>617</v>
      </c>
      <c r="E5977" t="s">
        <v>6321</v>
      </c>
      <c r="F5977">
        <v>50.54</v>
      </c>
      <c r="H5977" t="s">
        <v>4205</v>
      </c>
    </row>
    <row r="5978" spans="2:8" x14ac:dyDescent="0.2">
      <c r="B5978" t="s">
        <v>19</v>
      </c>
      <c r="C5978" t="s">
        <v>12925</v>
      </c>
      <c r="D5978" t="s">
        <v>617</v>
      </c>
      <c r="E5978" t="s">
        <v>6322</v>
      </c>
      <c r="F5978">
        <v>-50.54</v>
      </c>
      <c r="H5978" t="s">
        <v>4205</v>
      </c>
    </row>
    <row r="5979" spans="2:8" x14ac:dyDescent="0.2">
      <c r="B5979" t="s">
        <v>19</v>
      </c>
      <c r="C5979" t="s">
        <v>12925</v>
      </c>
      <c r="D5979" t="s">
        <v>617</v>
      </c>
      <c r="E5979" t="s">
        <v>6323</v>
      </c>
      <c r="F5979">
        <v>50.54</v>
      </c>
      <c r="H5979" t="s">
        <v>4205</v>
      </c>
    </row>
    <row r="5980" spans="2:8" x14ac:dyDescent="0.2">
      <c r="B5980" t="s">
        <v>19</v>
      </c>
      <c r="C5980" t="s">
        <v>12925</v>
      </c>
      <c r="D5980" t="s">
        <v>617</v>
      </c>
      <c r="E5980" t="s">
        <v>6324</v>
      </c>
      <c r="F5980">
        <v>10.11</v>
      </c>
      <c r="H5980" t="s">
        <v>4205</v>
      </c>
    </row>
    <row r="5981" spans="2:8" x14ac:dyDescent="0.2">
      <c r="B5981" t="s">
        <v>19</v>
      </c>
      <c r="C5981" t="s">
        <v>12925</v>
      </c>
      <c r="D5981" t="s">
        <v>617</v>
      </c>
      <c r="E5981" t="s">
        <v>6325</v>
      </c>
      <c r="F5981">
        <v>4200.37</v>
      </c>
      <c r="H5981" t="s">
        <v>4206</v>
      </c>
    </row>
    <row r="5982" spans="2:8" x14ac:dyDescent="0.2">
      <c r="B5982" t="s">
        <v>19</v>
      </c>
      <c r="C5982" t="s">
        <v>12925</v>
      </c>
      <c r="D5982" t="s">
        <v>617</v>
      </c>
      <c r="E5982" t="s">
        <v>6326</v>
      </c>
      <c r="F5982">
        <v>109.3</v>
      </c>
      <c r="H5982" t="s">
        <v>4207</v>
      </c>
    </row>
    <row r="5983" spans="2:8" x14ac:dyDescent="0.2">
      <c r="B5983" t="s">
        <v>19</v>
      </c>
      <c r="C5983" t="s">
        <v>12925</v>
      </c>
      <c r="D5983" t="s">
        <v>617</v>
      </c>
      <c r="E5983" t="s">
        <v>6327</v>
      </c>
      <c r="F5983">
        <v>-109.3</v>
      </c>
      <c r="H5983" t="s">
        <v>4207</v>
      </c>
    </row>
    <row r="5984" spans="2:8" x14ac:dyDescent="0.2">
      <c r="B5984" t="s">
        <v>19</v>
      </c>
      <c r="C5984" t="s">
        <v>12925</v>
      </c>
      <c r="D5984" t="s">
        <v>617</v>
      </c>
      <c r="E5984" t="s">
        <v>6328</v>
      </c>
      <c r="F5984">
        <v>109.3</v>
      </c>
      <c r="H5984" t="s">
        <v>4207</v>
      </c>
    </row>
    <row r="5985" spans="2:8" x14ac:dyDescent="0.2">
      <c r="B5985" t="s">
        <v>19</v>
      </c>
      <c r="C5985" t="s">
        <v>12925</v>
      </c>
      <c r="D5985" t="s">
        <v>617</v>
      </c>
      <c r="E5985" t="s">
        <v>6329</v>
      </c>
      <c r="F5985">
        <v>-109.3</v>
      </c>
      <c r="H5985" t="s">
        <v>4207</v>
      </c>
    </row>
    <row r="5986" spans="2:8" x14ac:dyDescent="0.2">
      <c r="B5986" t="s">
        <v>19</v>
      </c>
      <c r="C5986" t="s">
        <v>12925</v>
      </c>
      <c r="D5986" t="s">
        <v>617</v>
      </c>
      <c r="E5986" t="s">
        <v>6330</v>
      </c>
      <c r="F5986">
        <v>109.3</v>
      </c>
      <c r="H5986" t="s">
        <v>4207</v>
      </c>
    </row>
    <row r="5987" spans="2:8" x14ac:dyDescent="0.2">
      <c r="B5987" t="s">
        <v>19</v>
      </c>
      <c r="C5987" t="s">
        <v>12925</v>
      </c>
      <c r="D5987" t="s">
        <v>617</v>
      </c>
      <c r="E5987" t="s">
        <v>6331</v>
      </c>
      <c r="F5987">
        <v>163.95</v>
      </c>
      <c r="H5987" t="s">
        <v>4207</v>
      </c>
    </row>
    <row r="5988" spans="2:8" x14ac:dyDescent="0.2">
      <c r="B5988" t="s">
        <v>19</v>
      </c>
      <c r="C5988" t="s">
        <v>12925</v>
      </c>
      <c r="D5988" t="s">
        <v>617</v>
      </c>
      <c r="E5988" t="s">
        <v>6332</v>
      </c>
      <c r="F5988">
        <v>303.37</v>
      </c>
      <c r="H5988" t="s">
        <v>4208</v>
      </c>
    </row>
    <row r="5989" spans="2:8" x14ac:dyDescent="0.2">
      <c r="B5989" t="s">
        <v>19</v>
      </c>
      <c r="C5989" t="s">
        <v>12925</v>
      </c>
      <c r="D5989" t="s">
        <v>617</v>
      </c>
      <c r="E5989" t="s">
        <v>6333</v>
      </c>
      <c r="F5989">
        <v>-303.37</v>
      </c>
      <c r="H5989" t="s">
        <v>4208</v>
      </c>
    </row>
    <row r="5990" spans="2:8" x14ac:dyDescent="0.2">
      <c r="B5990" t="s">
        <v>19</v>
      </c>
      <c r="C5990" t="s">
        <v>12925</v>
      </c>
      <c r="D5990" t="s">
        <v>617</v>
      </c>
      <c r="E5990" t="s">
        <v>6334</v>
      </c>
      <c r="F5990">
        <v>303.37</v>
      </c>
      <c r="H5990" t="s">
        <v>4208</v>
      </c>
    </row>
    <row r="5991" spans="2:8" x14ac:dyDescent="0.2">
      <c r="B5991" t="s">
        <v>19</v>
      </c>
      <c r="C5991" t="s">
        <v>12925</v>
      </c>
      <c r="D5991" t="s">
        <v>617</v>
      </c>
      <c r="E5991" t="s">
        <v>6335</v>
      </c>
      <c r="F5991">
        <v>273.02999999999997</v>
      </c>
      <c r="H5991" t="s">
        <v>4208</v>
      </c>
    </row>
    <row r="5992" spans="2:8" x14ac:dyDescent="0.2">
      <c r="B5992" t="s">
        <v>19</v>
      </c>
      <c r="C5992" t="s">
        <v>12925</v>
      </c>
      <c r="D5992" t="s">
        <v>617</v>
      </c>
      <c r="E5992" t="s">
        <v>6336</v>
      </c>
      <c r="F5992">
        <v>392</v>
      </c>
      <c r="H5992" t="s">
        <v>1590</v>
      </c>
    </row>
    <row r="5993" spans="2:8" x14ac:dyDescent="0.2">
      <c r="B5993" t="s">
        <v>19</v>
      </c>
      <c r="C5993" t="s">
        <v>12925</v>
      </c>
      <c r="D5993" t="s">
        <v>617</v>
      </c>
      <c r="E5993" t="s">
        <v>6337</v>
      </c>
      <c r="F5993">
        <v>406.56</v>
      </c>
      <c r="H5993" t="s">
        <v>1389</v>
      </c>
    </row>
    <row r="5994" spans="2:8" x14ac:dyDescent="0.2">
      <c r="B5994" t="s">
        <v>19</v>
      </c>
      <c r="C5994" t="s">
        <v>12925</v>
      </c>
      <c r="D5994" t="s">
        <v>617</v>
      </c>
      <c r="E5994" t="s">
        <v>6338</v>
      </c>
      <c r="F5994">
        <v>113.6</v>
      </c>
      <c r="H5994" t="s">
        <v>4210</v>
      </c>
    </row>
    <row r="5995" spans="2:8" x14ac:dyDescent="0.2">
      <c r="B5995" t="s">
        <v>19</v>
      </c>
      <c r="C5995" t="s">
        <v>12925</v>
      </c>
      <c r="D5995" t="s">
        <v>617</v>
      </c>
      <c r="E5995" t="s">
        <v>6339</v>
      </c>
      <c r="F5995">
        <v>117.9</v>
      </c>
      <c r="H5995" t="s">
        <v>4211</v>
      </c>
    </row>
    <row r="5996" spans="2:8" x14ac:dyDescent="0.2">
      <c r="B5996" t="s">
        <v>19</v>
      </c>
      <c r="C5996" t="s">
        <v>12925</v>
      </c>
      <c r="D5996" t="s">
        <v>617</v>
      </c>
      <c r="E5996" t="s">
        <v>6346</v>
      </c>
      <c r="F5996">
        <v>135.27000000000001</v>
      </c>
      <c r="H5996" t="s">
        <v>4187</v>
      </c>
    </row>
    <row r="5997" spans="2:8" x14ac:dyDescent="0.2">
      <c r="B5997" t="s">
        <v>19</v>
      </c>
      <c r="C5997" t="s">
        <v>12925</v>
      </c>
      <c r="D5997" t="s">
        <v>617</v>
      </c>
      <c r="E5997" t="s">
        <v>6352</v>
      </c>
      <c r="F5997">
        <v>109.3</v>
      </c>
      <c r="H5997" t="s">
        <v>4207</v>
      </c>
    </row>
    <row r="5998" spans="2:8" x14ac:dyDescent="0.2">
      <c r="B5998" t="s">
        <v>19</v>
      </c>
      <c r="C5998" t="s">
        <v>12925</v>
      </c>
      <c r="D5998" t="s">
        <v>617</v>
      </c>
      <c r="E5998" t="s">
        <v>6353</v>
      </c>
      <c r="F5998">
        <v>-109.3</v>
      </c>
      <c r="H5998" t="s">
        <v>4207</v>
      </c>
    </row>
    <row r="5999" spans="2:8" x14ac:dyDescent="0.2">
      <c r="B5999" t="s">
        <v>19</v>
      </c>
      <c r="C5999" t="s">
        <v>12925</v>
      </c>
      <c r="D5999" t="s">
        <v>617</v>
      </c>
      <c r="E5999" t="s">
        <v>6354</v>
      </c>
      <c r="F5999">
        <v>109.3</v>
      </c>
      <c r="H5999" t="s">
        <v>4207</v>
      </c>
    </row>
    <row r="6000" spans="2:8" x14ac:dyDescent="0.2">
      <c r="B6000" t="s">
        <v>19</v>
      </c>
      <c r="C6000" t="s">
        <v>12925</v>
      </c>
      <c r="D6000" t="s">
        <v>617</v>
      </c>
      <c r="E6000" t="s">
        <v>6355</v>
      </c>
      <c r="F6000">
        <v>-109.3</v>
      </c>
      <c r="H6000" t="s">
        <v>4207</v>
      </c>
    </row>
    <row r="6001" spans="2:8" x14ac:dyDescent="0.2">
      <c r="B6001" t="s">
        <v>19</v>
      </c>
      <c r="C6001" t="s">
        <v>12925</v>
      </c>
      <c r="D6001" t="s">
        <v>617</v>
      </c>
      <c r="E6001" t="s">
        <v>6356</v>
      </c>
      <c r="F6001">
        <v>109.3</v>
      </c>
      <c r="H6001" t="s">
        <v>4207</v>
      </c>
    </row>
    <row r="6002" spans="2:8" x14ac:dyDescent="0.2">
      <c r="B6002" t="s">
        <v>19</v>
      </c>
      <c r="C6002" t="s">
        <v>12925</v>
      </c>
      <c r="D6002" t="s">
        <v>617</v>
      </c>
      <c r="E6002" t="s">
        <v>6357</v>
      </c>
      <c r="F6002">
        <v>163.95</v>
      </c>
      <c r="H6002" t="s">
        <v>4207</v>
      </c>
    </row>
    <row r="6003" spans="2:8" x14ac:dyDescent="0.2">
      <c r="B6003" t="s">
        <v>19</v>
      </c>
      <c r="C6003" t="s">
        <v>12925</v>
      </c>
      <c r="D6003" t="s">
        <v>617</v>
      </c>
      <c r="E6003" t="s">
        <v>6358</v>
      </c>
      <c r="F6003">
        <v>-163.95</v>
      </c>
      <c r="H6003" t="s">
        <v>4207</v>
      </c>
    </row>
    <row r="6004" spans="2:8" x14ac:dyDescent="0.2">
      <c r="B6004" t="s">
        <v>19</v>
      </c>
      <c r="C6004" t="s">
        <v>12925</v>
      </c>
      <c r="D6004" t="s">
        <v>617</v>
      </c>
      <c r="E6004" t="s">
        <v>6359</v>
      </c>
      <c r="F6004">
        <v>163.95</v>
      </c>
      <c r="H6004" t="s">
        <v>4207</v>
      </c>
    </row>
    <row r="6005" spans="2:8" x14ac:dyDescent="0.2">
      <c r="B6005" t="s">
        <v>19</v>
      </c>
      <c r="C6005" t="s">
        <v>12925</v>
      </c>
      <c r="D6005" t="s">
        <v>617</v>
      </c>
      <c r="E6005" t="s">
        <v>6360</v>
      </c>
      <c r="F6005">
        <v>112.93</v>
      </c>
      <c r="H6005" t="s">
        <v>4207</v>
      </c>
    </row>
    <row r="6006" spans="2:8" x14ac:dyDescent="0.2">
      <c r="B6006" t="s">
        <v>19</v>
      </c>
      <c r="C6006" t="s">
        <v>12925</v>
      </c>
      <c r="D6006" t="s">
        <v>617</v>
      </c>
      <c r="E6006" t="s">
        <v>6361</v>
      </c>
      <c r="F6006">
        <v>169.4</v>
      </c>
      <c r="H6006" t="s">
        <v>4207</v>
      </c>
    </row>
    <row r="6007" spans="2:8" x14ac:dyDescent="0.2">
      <c r="B6007" t="s">
        <v>19</v>
      </c>
      <c r="C6007" t="s">
        <v>12925</v>
      </c>
      <c r="D6007" t="s">
        <v>617</v>
      </c>
      <c r="E6007" t="s">
        <v>6362</v>
      </c>
      <c r="F6007">
        <v>303.37</v>
      </c>
      <c r="H6007" t="s">
        <v>4208</v>
      </c>
    </row>
    <row r="6008" spans="2:8" x14ac:dyDescent="0.2">
      <c r="B6008" t="s">
        <v>19</v>
      </c>
      <c r="C6008" t="s">
        <v>12925</v>
      </c>
      <c r="D6008" t="s">
        <v>617</v>
      </c>
      <c r="E6008" t="s">
        <v>6363</v>
      </c>
      <c r="F6008">
        <v>-303.37</v>
      </c>
      <c r="H6008" t="s">
        <v>4208</v>
      </c>
    </row>
    <row r="6009" spans="2:8" x14ac:dyDescent="0.2">
      <c r="B6009" t="s">
        <v>19</v>
      </c>
      <c r="C6009" t="s">
        <v>12925</v>
      </c>
      <c r="D6009" t="s">
        <v>617</v>
      </c>
      <c r="E6009" t="s">
        <v>6364</v>
      </c>
      <c r="F6009">
        <v>303.37</v>
      </c>
      <c r="H6009" t="s">
        <v>4208</v>
      </c>
    </row>
    <row r="6010" spans="2:8" x14ac:dyDescent="0.2">
      <c r="B6010" t="s">
        <v>19</v>
      </c>
      <c r="C6010" t="s">
        <v>12925</v>
      </c>
      <c r="D6010" t="s">
        <v>617</v>
      </c>
      <c r="E6010" t="s">
        <v>6365</v>
      </c>
      <c r="F6010">
        <v>273.02999999999997</v>
      </c>
      <c r="H6010" t="s">
        <v>4208</v>
      </c>
    </row>
    <row r="6011" spans="2:8" x14ac:dyDescent="0.2">
      <c r="B6011" t="s">
        <v>19</v>
      </c>
      <c r="C6011" t="s">
        <v>12925</v>
      </c>
      <c r="D6011" t="s">
        <v>617</v>
      </c>
      <c r="E6011" t="s">
        <v>6366</v>
      </c>
      <c r="F6011">
        <v>-273.02999999999997</v>
      </c>
      <c r="H6011" t="s">
        <v>4208</v>
      </c>
    </row>
    <row r="6012" spans="2:8" x14ac:dyDescent="0.2">
      <c r="B6012" t="s">
        <v>19</v>
      </c>
      <c r="C6012" t="s">
        <v>12925</v>
      </c>
      <c r="D6012" t="s">
        <v>617</v>
      </c>
      <c r="E6012" t="s">
        <v>6367</v>
      </c>
      <c r="F6012">
        <v>273.02999999999997</v>
      </c>
      <c r="H6012" t="s">
        <v>4208</v>
      </c>
    </row>
    <row r="6013" spans="2:8" x14ac:dyDescent="0.2">
      <c r="B6013" t="s">
        <v>19</v>
      </c>
      <c r="C6013" t="s">
        <v>12925</v>
      </c>
      <c r="D6013" t="s">
        <v>617</v>
      </c>
      <c r="E6013" t="s">
        <v>6368</v>
      </c>
      <c r="F6013">
        <v>31.35</v>
      </c>
      <c r="H6013" t="s">
        <v>4208</v>
      </c>
    </row>
    <row r="6014" spans="2:8" x14ac:dyDescent="0.2">
      <c r="B6014" t="s">
        <v>19</v>
      </c>
      <c r="C6014" t="s">
        <v>12925</v>
      </c>
      <c r="D6014" t="s">
        <v>621</v>
      </c>
      <c r="E6014" t="s">
        <v>6378</v>
      </c>
      <c r="F6014">
        <v>767.78</v>
      </c>
      <c r="H6014" t="s">
        <v>1597</v>
      </c>
    </row>
    <row r="6015" spans="2:8" x14ac:dyDescent="0.2">
      <c r="B6015" t="s">
        <v>19</v>
      </c>
      <c r="C6015" t="s">
        <v>12925</v>
      </c>
      <c r="D6015" t="s">
        <v>621</v>
      </c>
      <c r="E6015" t="s">
        <v>6379</v>
      </c>
      <c r="F6015">
        <v>447.35</v>
      </c>
      <c r="H6015" t="s">
        <v>1598</v>
      </c>
    </row>
    <row r="6016" spans="2:8" x14ac:dyDescent="0.2">
      <c r="B6016" t="s">
        <v>19</v>
      </c>
      <c r="C6016" t="s">
        <v>12925</v>
      </c>
      <c r="D6016" t="s">
        <v>621</v>
      </c>
      <c r="E6016" t="s">
        <v>6380</v>
      </c>
      <c r="F6016">
        <v>2871.3</v>
      </c>
      <c r="H6016" t="s">
        <v>1599</v>
      </c>
    </row>
    <row r="6017" spans="2:8" x14ac:dyDescent="0.2">
      <c r="B6017" t="s">
        <v>19</v>
      </c>
      <c r="C6017" t="s">
        <v>12925</v>
      </c>
      <c r="D6017" t="s">
        <v>621</v>
      </c>
      <c r="E6017" t="s">
        <v>6381</v>
      </c>
      <c r="F6017">
        <v>1275.44</v>
      </c>
      <c r="H6017" t="s">
        <v>1600</v>
      </c>
    </row>
    <row r="6018" spans="2:8" x14ac:dyDescent="0.2">
      <c r="B6018" t="s">
        <v>19</v>
      </c>
      <c r="C6018" t="s">
        <v>12925</v>
      </c>
      <c r="D6018" t="s">
        <v>621</v>
      </c>
      <c r="E6018" t="s">
        <v>6382</v>
      </c>
      <c r="F6018">
        <v>1368.3</v>
      </c>
      <c r="H6018" t="s">
        <v>2343</v>
      </c>
    </row>
    <row r="6019" spans="2:8" x14ac:dyDescent="0.2">
      <c r="B6019" t="s">
        <v>19</v>
      </c>
      <c r="C6019" t="s">
        <v>12925</v>
      </c>
      <c r="D6019" t="s">
        <v>621</v>
      </c>
      <c r="E6019" t="s">
        <v>6383</v>
      </c>
      <c r="F6019">
        <v>755.14</v>
      </c>
      <c r="H6019" t="s">
        <v>2345</v>
      </c>
    </row>
    <row r="6020" spans="2:8" x14ac:dyDescent="0.2">
      <c r="B6020" t="s">
        <v>19</v>
      </c>
      <c r="C6020" t="s">
        <v>12925</v>
      </c>
      <c r="D6020" t="s">
        <v>621</v>
      </c>
      <c r="E6020" t="s">
        <v>6386</v>
      </c>
      <c r="F6020">
        <v>447.35</v>
      </c>
      <c r="H6020" t="s">
        <v>1598</v>
      </c>
    </row>
    <row r="6021" spans="2:8" x14ac:dyDescent="0.2">
      <c r="B6021" t="s">
        <v>19</v>
      </c>
      <c r="C6021" t="s">
        <v>12925</v>
      </c>
      <c r="D6021" t="s">
        <v>621</v>
      </c>
      <c r="E6021" t="s">
        <v>6387</v>
      </c>
      <c r="F6021">
        <v>1275.44</v>
      </c>
      <c r="H6021" t="s">
        <v>1600</v>
      </c>
    </row>
    <row r="6022" spans="2:8" x14ac:dyDescent="0.2">
      <c r="B6022" t="s">
        <v>19</v>
      </c>
      <c r="C6022" t="s">
        <v>12925</v>
      </c>
      <c r="D6022" t="s">
        <v>621</v>
      </c>
      <c r="E6022" t="s">
        <v>6388</v>
      </c>
      <c r="F6022">
        <v>684.15</v>
      </c>
      <c r="H6022" t="s">
        <v>2343</v>
      </c>
    </row>
    <row r="6023" spans="2:8" x14ac:dyDescent="0.2">
      <c r="B6023" t="s">
        <v>19</v>
      </c>
      <c r="C6023" t="s">
        <v>12925</v>
      </c>
      <c r="D6023" t="s">
        <v>621</v>
      </c>
      <c r="E6023" t="s">
        <v>6389</v>
      </c>
      <c r="F6023">
        <v>496.92</v>
      </c>
      <c r="H6023" t="s">
        <v>2346</v>
      </c>
    </row>
    <row r="6024" spans="2:8" x14ac:dyDescent="0.2">
      <c r="B6024" t="s">
        <v>19</v>
      </c>
      <c r="C6024" t="s">
        <v>12925</v>
      </c>
      <c r="D6024" t="s">
        <v>621</v>
      </c>
      <c r="E6024" t="s">
        <v>6390</v>
      </c>
      <c r="F6024">
        <v>1453.02</v>
      </c>
      <c r="H6024" t="s">
        <v>2347</v>
      </c>
    </row>
    <row r="6025" spans="2:8" x14ac:dyDescent="0.2">
      <c r="B6025" t="s">
        <v>19</v>
      </c>
      <c r="C6025" t="s">
        <v>12925</v>
      </c>
      <c r="D6025" t="s">
        <v>621</v>
      </c>
      <c r="E6025" t="s">
        <v>6400</v>
      </c>
      <c r="F6025">
        <v>383.89</v>
      </c>
      <c r="H6025" t="s">
        <v>1597</v>
      </c>
    </row>
    <row r="6026" spans="2:8" x14ac:dyDescent="0.2">
      <c r="B6026" t="s">
        <v>19</v>
      </c>
      <c r="C6026" t="s">
        <v>12925</v>
      </c>
      <c r="D6026" t="s">
        <v>621</v>
      </c>
      <c r="E6026" t="s">
        <v>6401</v>
      </c>
      <c r="F6026">
        <v>447.35</v>
      </c>
      <c r="H6026" t="s">
        <v>1598</v>
      </c>
    </row>
    <row r="6027" spans="2:8" x14ac:dyDescent="0.2">
      <c r="B6027" t="s">
        <v>19</v>
      </c>
      <c r="C6027" t="s">
        <v>12925</v>
      </c>
      <c r="D6027" t="s">
        <v>621</v>
      </c>
      <c r="E6027" t="s">
        <v>6402</v>
      </c>
      <c r="F6027">
        <v>447.35</v>
      </c>
      <c r="H6027" t="s">
        <v>1598</v>
      </c>
    </row>
    <row r="6028" spans="2:8" x14ac:dyDescent="0.2">
      <c r="B6028" t="s">
        <v>19</v>
      </c>
      <c r="C6028" t="s">
        <v>12925</v>
      </c>
      <c r="D6028" t="s">
        <v>621</v>
      </c>
      <c r="E6028" t="s">
        <v>6403</v>
      </c>
      <c r="F6028">
        <v>637.72</v>
      </c>
      <c r="H6028" t="s">
        <v>1600</v>
      </c>
    </row>
    <row r="6029" spans="2:8" x14ac:dyDescent="0.2">
      <c r="B6029" t="s">
        <v>19</v>
      </c>
      <c r="C6029" t="s">
        <v>12925</v>
      </c>
      <c r="D6029" t="s">
        <v>621</v>
      </c>
      <c r="E6029" t="s">
        <v>6404</v>
      </c>
      <c r="F6029">
        <v>684.15</v>
      </c>
      <c r="H6029" t="s">
        <v>2343</v>
      </c>
    </row>
    <row r="6030" spans="2:8" x14ac:dyDescent="0.2">
      <c r="B6030" t="s">
        <v>19</v>
      </c>
      <c r="C6030" t="s">
        <v>12925</v>
      </c>
      <c r="D6030" t="s">
        <v>621</v>
      </c>
      <c r="E6030" t="s">
        <v>6405</v>
      </c>
      <c r="F6030">
        <v>496.92</v>
      </c>
      <c r="H6030" t="s">
        <v>2346</v>
      </c>
    </row>
    <row r="6031" spans="2:8" x14ac:dyDescent="0.2">
      <c r="B6031" t="s">
        <v>19</v>
      </c>
      <c r="C6031" t="s">
        <v>12925</v>
      </c>
      <c r="D6031" t="s">
        <v>621</v>
      </c>
      <c r="E6031" t="s">
        <v>6406</v>
      </c>
      <c r="F6031">
        <v>484.34</v>
      </c>
      <c r="H6031" t="s">
        <v>2347</v>
      </c>
    </row>
    <row r="6032" spans="2:8" x14ac:dyDescent="0.2">
      <c r="B6032" t="s">
        <v>19</v>
      </c>
      <c r="C6032" t="s">
        <v>12925</v>
      </c>
      <c r="D6032" t="s">
        <v>617</v>
      </c>
      <c r="E6032" t="s">
        <v>6409</v>
      </c>
      <c r="F6032">
        <v>204.48</v>
      </c>
      <c r="H6032" t="s">
        <v>2885</v>
      </c>
    </row>
    <row r="6033" spans="2:8" x14ac:dyDescent="0.2">
      <c r="B6033" t="s">
        <v>19</v>
      </c>
      <c r="C6033" t="s">
        <v>12925</v>
      </c>
      <c r="D6033" t="s">
        <v>617</v>
      </c>
      <c r="E6033" t="s">
        <v>6410</v>
      </c>
      <c r="F6033">
        <v>287.8</v>
      </c>
      <c r="H6033" t="s">
        <v>2886</v>
      </c>
    </row>
    <row r="6034" spans="2:8" x14ac:dyDescent="0.2">
      <c r="B6034" t="s">
        <v>19</v>
      </c>
      <c r="C6034" t="s">
        <v>12925</v>
      </c>
      <c r="D6034" t="s">
        <v>617</v>
      </c>
      <c r="E6034" t="s">
        <v>6411</v>
      </c>
      <c r="F6034">
        <v>118.72</v>
      </c>
      <c r="H6034" t="s">
        <v>4427</v>
      </c>
    </row>
    <row r="6035" spans="2:8" x14ac:dyDescent="0.2">
      <c r="B6035" t="s">
        <v>19</v>
      </c>
      <c r="C6035" t="s">
        <v>12925</v>
      </c>
      <c r="D6035" t="s">
        <v>617</v>
      </c>
      <c r="E6035" t="s">
        <v>6412</v>
      </c>
      <c r="F6035">
        <v>204.48</v>
      </c>
      <c r="H6035" t="s">
        <v>2887</v>
      </c>
    </row>
    <row r="6036" spans="2:8" x14ac:dyDescent="0.2">
      <c r="B6036" t="s">
        <v>19</v>
      </c>
      <c r="C6036" t="s">
        <v>12925</v>
      </c>
      <c r="D6036" t="s">
        <v>617</v>
      </c>
      <c r="E6036" t="s">
        <v>6413</v>
      </c>
      <c r="F6036">
        <v>52.8</v>
      </c>
      <c r="H6036" t="s">
        <v>2644</v>
      </c>
    </row>
    <row r="6037" spans="2:8" x14ac:dyDescent="0.2">
      <c r="B6037" t="s">
        <v>19</v>
      </c>
      <c r="C6037" t="s">
        <v>12925</v>
      </c>
      <c r="D6037" t="s">
        <v>617</v>
      </c>
      <c r="E6037" t="s">
        <v>6414</v>
      </c>
      <c r="F6037">
        <v>185</v>
      </c>
      <c r="H6037" t="s">
        <v>4230</v>
      </c>
    </row>
    <row r="6038" spans="2:8" x14ac:dyDescent="0.2">
      <c r="B6038" t="s">
        <v>19</v>
      </c>
      <c r="C6038" t="s">
        <v>12925</v>
      </c>
      <c r="D6038" t="s">
        <v>613</v>
      </c>
      <c r="E6038" t="s">
        <v>6415</v>
      </c>
      <c r="F6038">
        <v>10</v>
      </c>
      <c r="H6038" t="s">
        <v>2512</v>
      </c>
    </row>
    <row r="6039" spans="2:8" x14ac:dyDescent="0.2">
      <c r="B6039" t="s">
        <v>19</v>
      </c>
      <c r="C6039" t="s">
        <v>12925</v>
      </c>
      <c r="D6039" t="s">
        <v>617</v>
      </c>
      <c r="E6039" t="s">
        <v>6417</v>
      </c>
      <c r="F6039">
        <v>274</v>
      </c>
      <c r="H6039" t="s">
        <v>2098</v>
      </c>
    </row>
    <row r="6040" spans="2:8" x14ac:dyDescent="0.2">
      <c r="B6040" t="s">
        <v>19</v>
      </c>
      <c r="C6040" t="s">
        <v>12925</v>
      </c>
      <c r="D6040" t="s">
        <v>617</v>
      </c>
      <c r="E6040" t="s">
        <v>6418</v>
      </c>
      <c r="F6040">
        <v>33.6</v>
      </c>
      <c r="H6040" t="s">
        <v>6385</v>
      </c>
    </row>
    <row r="6041" spans="2:8" x14ac:dyDescent="0.2">
      <c r="B6041" t="s">
        <v>19</v>
      </c>
      <c r="C6041" t="s">
        <v>12925</v>
      </c>
      <c r="D6041" t="s">
        <v>617</v>
      </c>
      <c r="E6041" t="s">
        <v>6419</v>
      </c>
      <c r="F6041">
        <v>7.02</v>
      </c>
      <c r="H6041" t="s">
        <v>6399</v>
      </c>
    </row>
    <row r="6042" spans="2:8" x14ac:dyDescent="0.2">
      <c r="B6042" t="s">
        <v>19</v>
      </c>
      <c r="C6042" t="s">
        <v>12925</v>
      </c>
      <c r="D6042" t="s">
        <v>617</v>
      </c>
      <c r="E6042" t="s">
        <v>6420</v>
      </c>
      <c r="F6042">
        <v>52.49</v>
      </c>
      <c r="H6042" t="s">
        <v>1603</v>
      </c>
    </row>
    <row r="6043" spans="2:8" x14ac:dyDescent="0.2">
      <c r="B6043" t="s">
        <v>19</v>
      </c>
      <c r="C6043" t="s">
        <v>12925</v>
      </c>
      <c r="D6043" t="s">
        <v>617</v>
      </c>
      <c r="E6043" t="s">
        <v>6421</v>
      </c>
      <c r="F6043">
        <v>64.8</v>
      </c>
      <c r="H6043" t="s">
        <v>1606</v>
      </c>
    </row>
    <row r="6044" spans="2:8" x14ac:dyDescent="0.2">
      <c r="B6044" t="s">
        <v>19</v>
      </c>
      <c r="C6044" t="s">
        <v>12925</v>
      </c>
      <c r="D6044" t="s">
        <v>617</v>
      </c>
      <c r="E6044" t="s">
        <v>6422</v>
      </c>
      <c r="F6044">
        <v>55.8</v>
      </c>
      <c r="H6044" t="s">
        <v>1605</v>
      </c>
    </row>
    <row r="6045" spans="2:8" x14ac:dyDescent="0.2">
      <c r="B6045" t="s">
        <v>19</v>
      </c>
      <c r="C6045" t="s">
        <v>12925</v>
      </c>
      <c r="D6045" t="s">
        <v>613</v>
      </c>
      <c r="E6045" t="s">
        <v>6423</v>
      </c>
      <c r="F6045">
        <v>1.1000000000000001</v>
      </c>
      <c r="H6045" t="s">
        <v>2513</v>
      </c>
    </row>
    <row r="6046" spans="2:8" x14ac:dyDescent="0.2">
      <c r="B6046" t="s">
        <v>19</v>
      </c>
      <c r="C6046" t="s">
        <v>12925</v>
      </c>
      <c r="D6046" t="s">
        <v>613</v>
      </c>
      <c r="E6046" t="s">
        <v>6424</v>
      </c>
      <c r="F6046">
        <v>52.38</v>
      </c>
      <c r="H6046" t="s">
        <v>6425</v>
      </c>
    </row>
    <row r="6047" spans="2:8" x14ac:dyDescent="0.2">
      <c r="B6047" t="s">
        <v>19</v>
      </c>
      <c r="C6047" t="s">
        <v>12925</v>
      </c>
      <c r="D6047" t="s">
        <v>613</v>
      </c>
      <c r="E6047" t="s">
        <v>6428</v>
      </c>
      <c r="F6047">
        <v>20</v>
      </c>
      <c r="H6047" t="s">
        <v>5131</v>
      </c>
    </row>
    <row r="6048" spans="2:8" x14ac:dyDescent="0.2">
      <c r="B6048" t="s">
        <v>19</v>
      </c>
      <c r="C6048" t="s">
        <v>12925</v>
      </c>
      <c r="D6048" t="s">
        <v>617</v>
      </c>
      <c r="E6048" t="s">
        <v>6429</v>
      </c>
      <c r="F6048">
        <v>91.85</v>
      </c>
      <c r="H6048" t="s">
        <v>1603</v>
      </c>
    </row>
    <row r="6049" spans="2:8" x14ac:dyDescent="0.2">
      <c r="B6049" t="s">
        <v>19</v>
      </c>
      <c r="C6049" t="s">
        <v>12925</v>
      </c>
      <c r="D6049" t="s">
        <v>617</v>
      </c>
      <c r="E6049" t="s">
        <v>6430</v>
      </c>
      <c r="F6049">
        <v>38.880000000000003</v>
      </c>
      <c r="H6049" t="s">
        <v>1606</v>
      </c>
    </row>
    <row r="6050" spans="2:8" x14ac:dyDescent="0.2">
      <c r="B6050" t="s">
        <v>19</v>
      </c>
      <c r="C6050" t="s">
        <v>12925</v>
      </c>
      <c r="D6050" t="s">
        <v>617</v>
      </c>
      <c r="E6050" t="s">
        <v>6431</v>
      </c>
      <c r="F6050">
        <v>27.9</v>
      </c>
      <c r="H6050" t="s">
        <v>1605</v>
      </c>
    </row>
    <row r="6051" spans="2:8" x14ac:dyDescent="0.2">
      <c r="B6051" t="s">
        <v>19</v>
      </c>
      <c r="C6051" t="s">
        <v>12925</v>
      </c>
      <c r="D6051" t="s">
        <v>617</v>
      </c>
      <c r="E6051" t="s">
        <v>6432</v>
      </c>
      <c r="F6051">
        <v>105</v>
      </c>
      <c r="H6051" t="s">
        <v>2052</v>
      </c>
    </row>
    <row r="6052" spans="2:8" x14ac:dyDescent="0.2">
      <c r="B6052" t="s">
        <v>19</v>
      </c>
      <c r="C6052" t="s">
        <v>12925</v>
      </c>
      <c r="D6052" t="s">
        <v>617</v>
      </c>
      <c r="E6052" t="s">
        <v>6433</v>
      </c>
      <c r="F6052">
        <v>32.700000000000003</v>
      </c>
      <c r="H6052" t="s">
        <v>6434</v>
      </c>
    </row>
    <row r="6053" spans="2:8" x14ac:dyDescent="0.2">
      <c r="B6053" t="s">
        <v>19</v>
      </c>
      <c r="C6053" t="s">
        <v>12925</v>
      </c>
      <c r="D6053" t="s">
        <v>617</v>
      </c>
      <c r="E6053" t="s">
        <v>6435</v>
      </c>
      <c r="F6053">
        <v>4.9000000000000004</v>
      </c>
      <c r="H6053" t="s">
        <v>5251</v>
      </c>
    </row>
    <row r="6054" spans="2:8" x14ac:dyDescent="0.2">
      <c r="B6054" t="s">
        <v>19</v>
      </c>
      <c r="C6054" t="s">
        <v>12925</v>
      </c>
      <c r="D6054" t="s">
        <v>621</v>
      </c>
      <c r="E6054" t="s">
        <v>6437</v>
      </c>
      <c r="F6054">
        <v>172.8</v>
      </c>
      <c r="H6054" t="s">
        <v>4235</v>
      </c>
    </row>
    <row r="6055" spans="2:8" x14ac:dyDescent="0.2">
      <c r="B6055" t="s">
        <v>19</v>
      </c>
      <c r="C6055" t="s">
        <v>12925</v>
      </c>
      <c r="D6055" t="s">
        <v>621</v>
      </c>
      <c r="E6055" t="s">
        <v>6438</v>
      </c>
      <c r="F6055">
        <v>966.42</v>
      </c>
      <c r="H6055" t="s">
        <v>4237</v>
      </c>
    </row>
    <row r="6056" spans="2:8" x14ac:dyDescent="0.2">
      <c r="B6056" t="s">
        <v>19</v>
      </c>
      <c r="C6056" t="s">
        <v>12925</v>
      </c>
      <c r="D6056" t="s">
        <v>621</v>
      </c>
      <c r="E6056" t="s">
        <v>6439</v>
      </c>
      <c r="F6056">
        <v>16.010000000000002</v>
      </c>
      <c r="H6056" t="s">
        <v>6440</v>
      </c>
    </row>
    <row r="6057" spans="2:8" x14ac:dyDescent="0.2">
      <c r="B6057" t="s">
        <v>19</v>
      </c>
      <c r="C6057" t="s">
        <v>12925</v>
      </c>
      <c r="D6057" t="s">
        <v>621</v>
      </c>
      <c r="E6057" t="s">
        <v>6441</v>
      </c>
      <c r="F6057">
        <v>32.270000000000003</v>
      </c>
      <c r="H6057" t="s">
        <v>6442</v>
      </c>
    </row>
    <row r="6058" spans="2:8" x14ac:dyDescent="0.2">
      <c r="B6058" t="s">
        <v>19</v>
      </c>
      <c r="C6058" t="s">
        <v>12925</v>
      </c>
      <c r="D6058" t="s">
        <v>617</v>
      </c>
      <c r="E6058" t="s">
        <v>6457</v>
      </c>
      <c r="F6058">
        <v>45.09</v>
      </c>
      <c r="H6058" t="s">
        <v>4187</v>
      </c>
    </row>
    <row r="6059" spans="2:8" x14ac:dyDescent="0.2">
      <c r="B6059" t="s">
        <v>19</v>
      </c>
      <c r="C6059" t="s">
        <v>12925</v>
      </c>
      <c r="D6059" t="s">
        <v>621</v>
      </c>
      <c r="E6059" t="s">
        <v>6458</v>
      </c>
      <c r="F6059">
        <v>447.35</v>
      </c>
      <c r="H6059" t="s">
        <v>1598</v>
      </c>
    </row>
    <row r="6060" spans="2:8" x14ac:dyDescent="0.2">
      <c r="B6060" t="s">
        <v>19</v>
      </c>
      <c r="C6060" t="s">
        <v>12925</v>
      </c>
      <c r="D6060" t="s">
        <v>621</v>
      </c>
      <c r="E6060" t="s">
        <v>6477</v>
      </c>
      <c r="F6060">
        <v>377.57</v>
      </c>
      <c r="H6060" t="s">
        <v>2345</v>
      </c>
    </row>
    <row r="6061" spans="2:8" x14ac:dyDescent="0.2">
      <c r="B6061" t="s">
        <v>19</v>
      </c>
      <c r="C6061" t="s">
        <v>12925</v>
      </c>
      <c r="D6061" t="s">
        <v>621</v>
      </c>
      <c r="E6061" t="s">
        <v>6478</v>
      </c>
      <c r="F6061">
        <v>484.34</v>
      </c>
      <c r="H6061" t="s">
        <v>2347</v>
      </c>
    </row>
    <row r="6062" spans="2:8" x14ac:dyDescent="0.2">
      <c r="B6062" t="s">
        <v>19</v>
      </c>
      <c r="C6062" t="s">
        <v>12925</v>
      </c>
      <c r="D6062" t="s">
        <v>617</v>
      </c>
      <c r="E6062" t="s">
        <v>6480</v>
      </c>
      <c r="F6062">
        <v>99</v>
      </c>
      <c r="H6062" t="s">
        <v>2528</v>
      </c>
    </row>
    <row r="6063" spans="2:8" x14ac:dyDescent="0.2">
      <c r="B6063" t="s">
        <v>19</v>
      </c>
      <c r="C6063" t="s">
        <v>12925</v>
      </c>
      <c r="D6063" t="s">
        <v>617</v>
      </c>
      <c r="E6063" t="s">
        <v>6481</v>
      </c>
      <c r="F6063">
        <v>206.5</v>
      </c>
      <c r="H6063" t="s">
        <v>4279</v>
      </c>
    </row>
    <row r="6064" spans="2:8" x14ac:dyDescent="0.2">
      <c r="B6064" t="s">
        <v>19</v>
      </c>
      <c r="C6064" t="s">
        <v>12925</v>
      </c>
      <c r="D6064" t="s">
        <v>617</v>
      </c>
      <c r="E6064" t="s">
        <v>6482</v>
      </c>
      <c r="F6064">
        <v>41.06</v>
      </c>
      <c r="H6064" t="s">
        <v>6483</v>
      </c>
    </row>
    <row r="6065" spans="2:8" x14ac:dyDescent="0.2">
      <c r="B6065" t="s">
        <v>19</v>
      </c>
      <c r="C6065" t="s">
        <v>12925</v>
      </c>
      <c r="D6065" t="s">
        <v>617</v>
      </c>
      <c r="E6065" t="s">
        <v>6487</v>
      </c>
      <c r="F6065">
        <v>43.39</v>
      </c>
      <c r="H6065" t="s">
        <v>6486</v>
      </c>
    </row>
    <row r="6066" spans="2:8" x14ac:dyDescent="0.2">
      <c r="B6066" t="s">
        <v>19</v>
      </c>
      <c r="C6066" t="s">
        <v>12925</v>
      </c>
      <c r="D6066" t="s">
        <v>617</v>
      </c>
      <c r="E6066" t="s">
        <v>6488</v>
      </c>
      <c r="F6066">
        <v>3.08</v>
      </c>
      <c r="H6066" t="s">
        <v>6489</v>
      </c>
    </row>
    <row r="6067" spans="2:8" x14ac:dyDescent="0.2">
      <c r="B6067" t="s">
        <v>19</v>
      </c>
      <c r="C6067" t="s">
        <v>12925</v>
      </c>
      <c r="D6067" t="s">
        <v>617</v>
      </c>
      <c r="E6067" t="s">
        <v>6490</v>
      </c>
      <c r="F6067">
        <v>4.97</v>
      </c>
      <c r="H6067" t="s">
        <v>5251</v>
      </c>
    </row>
    <row r="6068" spans="2:8" x14ac:dyDescent="0.2">
      <c r="B6068" t="s">
        <v>19</v>
      </c>
      <c r="C6068" t="s">
        <v>12925</v>
      </c>
      <c r="D6068" t="s">
        <v>617</v>
      </c>
      <c r="E6068" t="s">
        <v>6491</v>
      </c>
      <c r="F6068">
        <v>3</v>
      </c>
      <c r="H6068" t="s">
        <v>6492</v>
      </c>
    </row>
    <row r="6069" spans="2:8" x14ac:dyDescent="0.2">
      <c r="B6069" t="s">
        <v>19</v>
      </c>
      <c r="C6069" t="s">
        <v>12925</v>
      </c>
      <c r="D6069" t="s">
        <v>613</v>
      </c>
      <c r="E6069" t="s">
        <v>6510</v>
      </c>
      <c r="F6069">
        <v>0.09</v>
      </c>
      <c r="G6069" t="s">
        <v>6511</v>
      </c>
    </row>
    <row r="6070" spans="2:8" x14ac:dyDescent="0.2">
      <c r="B6070" t="s">
        <v>19</v>
      </c>
      <c r="C6070" t="s">
        <v>12925</v>
      </c>
      <c r="D6070" t="s">
        <v>621</v>
      </c>
      <c r="E6070" t="s">
        <v>6531</v>
      </c>
      <c r="F6070">
        <v>8.52</v>
      </c>
      <c r="G6070" t="s">
        <v>6485</v>
      </c>
    </row>
    <row r="6071" spans="2:8" x14ac:dyDescent="0.2">
      <c r="B6071" t="s">
        <v>19</v>
      </c>
      <c r="C6071" t="s">
        <v>12925</v>
      </c>
      <c r="D6071" t="s">
        <v>621</v>
      </c>
      <c r="E6071" t="s">
        <v>6540</v>
      </c>
      <c r="F6071">
        <v>35.04</v>
      </c>
      <c r="G6071" t="s">
        <v>6541</v>
      </c>
    </row>
    <row r="6072" spans="2:8" x14ac:dyDescent="0.2">
      <c r="B6072" t="s">
        <v>19</v>
      </c>
      <c r="C6072" t="s">
        <v>12925</v>
      </c>
      <c r="D6072" t="s">
        <v>621</v>
      </c>
      <c r="E6072" t="s">
        <v>6551</v>
      </c>
      <c r="F6072">
        <v>36.9</v>
      </c>
      <c r="G6072" t="s">
        <v>6552</v>
      </c>
    </row>
    <row r="6073" spans="2:8" x14ac:dyDescent="0.2">
      <c r="B6073" t="s">
        <v>19</v>
      </c>
      <c r="C6073" t="s">
        <v>12925</v>
      </c>
      <c r="D6073" t="s">
        <v>621</v>
      </c>
      <c r="E6073" t="s">
        <v>6554</v>
      </c>
      <c r="F6073">
        <v>484.34</v>
      </c>
      <c r="H6073" t="s">
        <v>2347</v>
      </c>
    </row>
    <row r="6074" spans="2:8" x14ac:dyDescent="0.2">
      <c r="B6074" t="s">
        <v>19</v>
      </c>
      <c r="C6074" t="s">
        <v>12925</v>
      </c>
      <c r="D6074" t="s">
        <v>621</v>
      </c>
      <c r="E6074" t="s">
        <v>6555</v>
      </c>
      <c r="F6074">
        <v>12.46</v>
      </c>
      <c r="H6074" t="s">
        <v>6556</v>
      </c>
    </row>
    <row r="6075" spans="2:8" x14ac:dyDescent="0.2">
      <c r="B6075" t="s">
        <v>19</v>
      </c>
      <c r="C6075" t="s">
        <v>12925</v>
      </c>
      <c r="D6075" t="s">
        <v>621</v>
      </c>
      <c r="E6075" t="s">
        <v>6557</v>
      </c>
      <c r="F6075">
        <v>6.03</v>
      </c>
      <c r="H6075" t="s">
        <v>6558</v>
      </c>
    </row>
    <row r="6076" spans="2:8" x14ac:dyDescent="0.2">
      <c r="B6076" t="s">
        <v>19</v>
      </c>
      <c r="C6076" t="s">
        <v>12925</v>
      </c>
      <c r="D6076" t="s">
        <v>621</v>
      </c>
      <c r="E6076" t="s">
        <v>6560</v>
      </c>
      <c r="F6076">
        <v>54.5</v>
      </c>
      <c r="G6076" t="s">
        <v>6561</v>
      </c>
    </row>
    <row r="6077" spans="2:8" x14ac:dyDescent="0.2">
      <c r="B6077" t="s">
        <v>19</v>
      </c>
      <c r="C6077" t="s">
        <v>12925</v>
      </c>
      <c r="D6077" t="s">
        <v>621</v>
      </c>
      <c r="E6077" t="s">
        <v>6562</v>
      </c>
      <c r="F6077">
        <v>20.94</v>
      </c>
      <c r="G6077" t="s">
        <v>6563</v>
      </c>
    </row>
    <row r="6078" spans="2:8" x14ac:dyDescent="0.2">
      <c r="B6078" t="s">
        <v>19</v>
      </c>
      <c r="C6078" t="s">
        <v>12925</v>
      </c>
      <c r="D6078" t="s">
        <v>1137</v>
      </c>
      <c r="E6078" t="s">
        <v>6564</v>
      </c>
      <c r="F6078">
        <v>6840</v>
      </c>
      <c r="G6078" t="s">
        <v>1253</v>
      </c>
    </row>
    <row r="6079" spans="2:8" x14ac:dyDescent="0.2">
      <c r="B6079" t="s">
        <v>19</v>
      </c>
      <c r="C6079" t="s">
        <v>12925</v>
      </c>
      <c r="D6079" t="s">
        <v>1137</v>
      </c>
      <c r="E6079" t="s">
        <v>6567</v>
      </c>
      <c r="F6079">
        <v>1340</v>
      </c>
      <c r="G6079" t="s">
        <v>1277</v>
      </c>
    </row>
    <row r="6080" spans="2:8" x14ac:dyDescent="0.2">
      <c r="B6080" t="s">
        <v>19</v>
      </c>
      <c r="C6080" t="s">
        <v>12925</v>
      </c>
      <c r="D6080" t="s">
        <v>613</v>
      </c>
      <c r="E6080" t="s">
        <v>6573</v>
      </c>
      <c r="F6080">
        <v>20</v>
      </c>
      <c r="G6080" t="s">
        <v>5131</v>
      </c>
    </row>
    <row r="6081" spans="2:8" x14ac:dyDescent="0.2">
      <c r="B6081" t="s">
        <v>19</v>
      </c>
      <c r="C6081" t="s">
        <v>12925</v>
      </c>
      <c r="D6081" t="s">
        <v>617</v>
      </c>
      <c r="E6081" t="s">
        <v>6576</v>
      </c>
      <c r="F6081">
        <v>27.31</v>
      </c>
      <c r="G6081" t="s">
        <v>6577</v>
      </c>
    </row>
    <row r="6082" spans="2:8" x14ac:dyDescent="0.2">
      <c r="B6082" t="s">
        <v>19</v>
      </c>
      <c r="C6082" t="s">
        <v>12925</v>
      </c>
      <c r="D6082" t="s">
        <v>617</v>
      </c>
      <c r="E6082" t="s">
        <v>6590</v>
      </c>
      <c r="F6082">
        <v>12.12</v>
      </c>
      <c r="G6082" t="s">
        <v>6489</v>
      </c>
    </row>
    <row r="6083" spans="2:8" x14ac:dyDescent="0.2">
      <c r="B6083" t="s">
        <v>19</v>
      </c>
      <c r="C6083" t="s">
        <v>12925</v>
      </c>
      <c r="D6083" t="s">
        <v>84</v>
      </c>
      <c r="E6083" t="s">
        <v>6591</v>
      </c>
      <c r="F6083">
        <v>60.45</v>
      </c>
      <c r="G6083" t="s">
        <v>5503</v>
      </c>
    </row>
    <row r="6084" spans="2:8" x14ac:dyDescent="0.2">
      <c r="B6084" t="s">
        <v>19</v>
      </c>
      <c r="C6084" t="s">
        <v>12925</v>
      </c>
      <c r="D6084" t="s">
        <v>613</v>
      </c>
      <c r="E6084" t="s">
        <v>6592</v>
      </c>
      <c r="F6084">
        <v>4.5</v>
      </c>
      <c r="G6084" t="s">
        <v>6593</v>
      </c>
    </row>
    <row r="6085" spans="2:8" x14ac:dyDescent="0.2">
      <c r="B6085" t="s">
        <v>19</v>
      </c>
      <c r="C6085" t="s">
        <v>12925</v>
      </c>
      <c r="D6085" t="s">
        <v>617</v>
      </c>
      <c r="E6085" t="s">
        <v>6594</v>
      </c>
      <c r="F6085">
        <v>0.72</v>
      </c>
      <c r="G6085" t="s">
        <v>1629</v>
      </c>
    </row>
    <row r="6086" spans="2:8" x14ac:dyDescent="0.2">
      <c r="B6086" t="s">
        <v>19</v>
      </c>
      <c r="C6086" t="s">
        <v>12925</v>
      </c>
      <c r="D6086" t="s">
        <v>617</v>
      </c>
      <c r="E6086" t="s">
        <v>6595</v>
      </c>
      <c r="F6086">
        <v>2.78</v>
      </c>
      <c r="G6086" t="s">
        <v>5075</v>
      </c>
    </row>
    <row r="6087" spans="2:8" x14ac:dyDescent="0.2">
      <c r="B6087" t="s">
        <v>19</v>
      </c>
      <c r="C6087" t="s">
        <v>12925</v>
      </c>
      <c r="D6087" t="s">
        <v>621</v>
      </c>
      <c r="E6087" t="s">
        <v>6596</v>
      </c>
      <c r="F6087">
        <v>1.3</v>
      </c>
      <c r="G6087" t="s">
        <v>6597</v>
      </c>
    </row>
    <row r="6088" spans="2:8" x14ac:dyDescent="0.2">
      <c r="B6088" t="s">
        <v>19</v>
      </c>
      <c r="C6088" t="s">
        <v>12925</v>
      </c>
      <c r="D6088" t="s">
        <v>621</v>
      </c>
      <c r="E6088" t="s">
        <v>6600</v>
      </c>
      <c r="F6088">
        <v>2.58</v>
      </c>
      <c r="G6088" t="s">
        <v>6601</v>
      </c>
    </row>
    <row r="6089" spans="2:8" x14ac:dyDescent="0.2">
      <c r="B6089" t="s">
        <v>19</v>
      </c>
      <c r="C6089" t="s">
        <v>12925</v>
      </c>
      <c r="D6089" t="s">
        <v>1137</v>
      </c>
      <c r="E6089" t="s">
        <v>6603</v>
      </c>
      <c r="F6089">
        <v>1520</v>
      </c>
      <c r="G6089" t="s">
        <v>1309</v>
      </c>
    </row>
    <row r="6090" spans="2:8" x14ac:dyDescent="0.2">
      <c r="B6090" t="s">
        <v>19</v>
      </c>
      <c r="C6090" t="s">
        <v>12925</v>
      </c>
      <c r="D6090" t="s">
        <v>52</v>
      </c>
      <c r="E6090" t="s">
        <v>6604</v>
      </c>
      <c r="F6090">
        <v>60</v>
      </c>
      <c r="G6090" t="s">
        <v>6427</v>
      </c>
    </row>
    <row r="6091" spans="2:8" x14ac:dyDescent="0.2">
      <c r="B6091" t="s">
        <v>19</v>
      </c>
      <c r="C6091" t="s">
        <v>12925</v>
      </c>
      <c r="D6091" t="s">
        <v>617</v>
      </c>
      <c r="E6091" t="s">
        <v>6605</v>
      </c>
      <c r="F6091">
        <v>22.5</v>
      </c>
      <c r="G6091" t="s">
        <v>1615</v>
      </c>
    </row>
    <row r="6092" spans="2:8" x14ac:dyDescent="0.2">
      <c r="B6092" t="s">
        <v>19</v>
      </c>
      <c r="C6092" t="s">
        <v>12925</v>
      </c>
      <c r="D6092" t="s">
        <v>621</v>
      </c>
      <c r="E6092" t="s">
        <v>6606</v>
      </c>
      <c r="F6092">
        <v>162.4</v>
      </c>
      <c r="G6092" t="s">
        <v>4162</v>
      </c>
    </row>
    <row r="6093" spans="2:8" x14ac:dyDescent="0.2">
      <c r="B6093" t="s">
        <v>19</v>
      </c>
      <c r="C6093" t="s">
        <v>12925</v>
      </c>
      <c r="D6093" t="s">
        <v>621</v>
      </c>
      <c r="E6093" t="s">
        <v>6607</v>
      </c>
      <c r="F6093">
        <v>243.6</v>
      </c>
      <c r="G6093" t="s">
        <v>4162</v>
      </c>
    </row>
    <row r="6094" spans="2:8" x14ac:dyDescent="0.2">
      <c r="B6094" t="s">
        <v>19</v>
      </c>
      <c r="C6094" t="s">
        <v>12925</v>
      </c>
      <c r="D6094" t="s">
        <v>613</v>
      </c>
      <c r="E6094" t="s">
        <v>6608</v>
      </c>
      <c r="F6094">
        <v>0.11</v>
      </c>
      <c r="G6094" t="s">
        <v>6609</v>
      </c>
    </row>
    <row r="6095" spans="2:8" x14ac:dyDescent="0.2">
      <c r="B6095" t="s">
        <v>19</v>
      </c>
      <c r="C6095" t="s">
        <v>12925</v>
      </c>
      <c r="D6095" t="s">
        <v>621</v>
      </c>
      <c r="E6095" t="s">
        <v>6611</v>
      </c>
      <c r="F6095">
        <v>22.8</v>
      </c>
      <c r="H6095" t="s">
        <v>4184</v>
      </c>
    </row>
    <row r="6096" spans="2:8" x14ac:dyDescent="0.2">
      <c r="B6096" t="s">
        <v>19</v>
      </c>
      <c r="C6096" t="s">
        <v>12925</v>
      </c>
      <c r="D6096" t="s">
        <v>621</v>
      </c>
      <c r="E6096" t="s">
        <v>6612</v>
      </c>
      <c r="F6096">
        <v>-22.8</v>
      </c>
      <c r="H6096" t="s">
        <v>4184</v>
      </c>
    </row>
    <row r="6097" spans="2:8" x14ac:dyDescent="0.2">
      <c r="B6097" t="s">
        <v>19</v>
      </c>
      <c r="C6097" t="s">
        <v>12925</v>
      </c>
      <c r="D6097" t="s">
        <v>621</v>
      </c>
      <c r="E6097" t="s">
        <v>6613</v>
      </c>
      <c r="F6097">
        <v>28.5</v>
      </c>
      <c r="H6097" t="s">
        <v>4184</v>
      </c>
    </row>
    <row r="6098" spans="2:8" x14ac:dyDescent="0.2">
      <c r="B6098" t="s">
        <v>19</v>
      </c>
      <c r="C6098" t="s">
        <v>12925</v>
      </c>
      <c r="D6098" t="s">
        <v>621</v>
      </c>
      <c r="E6098" t="s">
        <v>6614</v>
      </c>
      <c r="F6098">
        <v>28.5</v>
      </c>
      <c r="H6098" t="s">
        <v>4184</v>
      </c>
    </row>
    <row r="6099" spans="2:8" x14ac:dyDescent="0.2">
      <c r="B6099" t="s">
        <v>19</v>
      </c>
      <c r="C6099" t="s">
        <v>12925</v>
      </c>
      <c r="D6099" t="s">
        <v>621</v>
      </c>
      <c r="E6099" t="s">
        <v>6615</v>
      </c>
      <c r="F6099">
        <v>25.92</v>
      </c>
      <c r="H6099" t="s">
        <v>4361</v>
      </c>
    </row>
    <row r="6100" spans="2:8" x14ac:dyDescent="0.2">
      <c r="B6100" t="s">
        <v>19</v>
      </c>
      <c r="C6100" t="s">
        <v>12925</v>
      </c>
      <c r="D6100" t="s">
        <v>617</v>
      </c>
      <c r="E6100" t="s">
        <v>6616</v>
      </c>
      <c r="F6100">
        <v>5.44</v>
      </c>
      <c r="G6100" t="s">
        <v>6617</v>
      </c>
    </row>
    <row r="6101" spans="2:8" x14ac:dyDescent="0.2">
      <c r="B6101" t="s">
        <v>19</v>
      </c>
      <c r="C6101" t="s">
        <v>12925</v>
      </c>
      <c r="D6101" t="s">
        <v>617</v>
      </c>
      <c r="E6101" t="s">
        <v>6618</v>
      </c>
      <c r="F6101">
        <v>2.4</v>
      </c>
      <c r="G6101" t="s">
        <v>6619</v>
      </c>
    </row>
    <row r="6102" spans="2:8" x14ac:dyDescent="0.2">
      <c r="B6102" t="s">
        <v>19</v>
      </c>
      <c r="C6102" t="s">
        <v>12925</v>
      </c>
      <c r="D6102" t="s">
        <v>617</v>
      </c>
      <c r="E6102" t="s">
        <v>6620</v>
      </c>
      <c r="F6102">
        <v>0.95</v>
      </c>
      <c r="G6102" t="s">
        <v>6399</v>
      </c>
    </row>
    <row r="6103" spans="2:8" x14ac:dyDescent="0.2">
      <c r="B6103" t="s">
        <v>19</v>
      </c>
      <c r="C6103" t="s">
        <v>12925</v>
      </c>
      <c r="D6103" t="s">
        <v>617</v>
      </c>
      <c r="E6103" t="s">
        <v>6623</v>
      </c>
      <c r="F6103">
        <v>247.23</v>
      </c>
      <c r="G6103" t="s">
        <v>2954</v>
      </c>
    </row>
    <row r="6104" spans="2:8" x14ac:dyDescent="0.2">
      <c r="B6104" t="s">
        <v>19</v>
      </c>
      <c r="C6104" t="s">
        <v>12925</v>
      </c>
      <c r="D6104" t="s">
        <v>1144</v>
      </c>
      <c r="E6104" t="s">
        <v>6624</v>
      </c>
      <c r="F6104">
        <v>48</v>
      </c>
      <c r="G6104" t="s">
        <v>1226</v>
      </c>
    </row>
    <row r="6105" spans="2:8" x14ac:dyDescent="0.2">
      <c r="B6105" t="s">
        <v>19</v>
      </c>
      <c r="C6105" t="s">
        <v>12925</v>
      </c>
      <c r="D6105" t="s">
        <v>1144</v>
      </c>
      <c r="E6105" t="s">
        <v>6625</v>
      </c>
      <c r="F6105">
        <v>163.75</v>
      </c>
      <c r="G6105" t="s">
        <v>1234</v>
      </c>
    </row>
    <row r="6106" spans="2:8" x14ac:dyDescent="0.2">
      <c r="B6106" t="s">
        <v>19</v>
      </c>
      <c r="C6106" t="s">
        <v>12925</v>
      </c>
      <c r="D6106" t="s">
        <v>613</v>
      </c>
      <c r="E6106" t="s">
        <v>6626</v>
      </c>
      <c r="F6106">
        <v>1</v>
      </c>
      <c r="G6106" t="s">
        <v>6627</v>
      </c>
    </row>
    <row r="6107" spans="2:8" x14ac:dyDescent="0.2">
      <c r="B6107" t="s">
        <v>19</v>
      </c>
      <c r="C6107" t="s">
        <v>12925</v>
      </c>
      <c r="D6107" t="s">
        <v>613</v>
      </c>
      <c r="E6107" t="s">
        <v>6628</v>
      </c>
      <c r="F6107">
        <v>20.98</v>
      </c>
      <c r="G6107" t="s">
        <v>2014</v>
      </c>
    </row>
    <row r="6108" spans="2:8" x14ac:dyDescent="0.2">
      <c r="B6108" t="s">
        <v>19</v>
      </c>
      <c r="C6108" t="s">
        <v>12925</v>
      </c>
      <c r="D6108" t="s">
        <v>617</v>
      </c>
      <c r="E6108" t="s">
        <v>6629</v>
      </c>
      <c r="F6108">
        <v>33.6</v>
      </c>
      <c r="G6108" t="s">
        <v>6385</v>
      </c>
    </row>
    <row r="6109" spans="2:8" x14ac:dyDescent="0.2">
      <c r="B6109" t="s">
        <v>19</v>
      </c>
      <c r="C6109" t="s">
        <v>12925</v>
      </c>
      <c r="D6109" t="s">
        <v>617</v>
      </c>
      <c r="E6109" t="s">
        <v>6630</v>
      </c>
      <c r="F6109">
        <v>3.78</v>
      </c>
      <c r="G6109" t="s">
        <v>6399</v>
      </c>
    </row>
    <row r="6110" spans="2:8" x14ac:dyDescent="0.2">
      <c r="B6110" t="s">
        <v>19</v>
      </c>
      <c r="C6110" t="s">
        <v>12925</v>
      </c>
      <c r="D6110" t="s">
        <v>1144</v>
      </c>
      <c r="E6110" t="s">
        <v>6631</v>
      </c>
      <c r="F6110">
        <v>192</v>
      </c>
      <c r="G6110" t="s">
        <v>1235</v>
      </c>
    </row>
    <row r="6111" spans="2:8" x14ac:dyDescent="0.2">
      <c r="B6111" t="s">
        <v>19</v>
      </c>
      <c r="C6111" t="s">
        <v>12925</v>
      </c>
      <c r="D6111" t="s">
        <v>613</v>
      </c>
      <c r="E6111" t="s">
        <v>6632</v>
      </c>
      <c r="F6111">
        <v>17.46</v>
      </c>
      <c r="G6111" t="s">
        <v>6425</v>
      </c>
    </row>
    <row r="6112" spans="2:8" x14ac:dyDescent="0.2">
      <c r="B6112" t="s">
        <v>19</v>
      </c>
      <c r="C6112" t="s">
        <v>12925</v>
      </c>
      <c r="D6112" t="s">
        <v>613</v>
      </c>
      <c r="E6112" t="s">
        <v>6634</v>
      </c>
      <c r="F6112">
        <v>0.35</v>
      </c>
      <c r="G6112" t="s">
        <v>6635</v>
      </c>
    </row>
    <row r="6113" spans="2:8" x14ac:dyDescent="0.2">
      <c r="B6113" t="s">
        <v>19</v>
      </c>
      <c r="C6113" t="s">
        <v>12925</v>
      </c>
      <c r="D6113" t="s">
        <v>554</v>
      </c>
      <c r="E6113" t="s">
        <v>6636</v>
      </c>
      <c r="F6113">
        <v>50</v>
      </c>
      <c r="G6113" t="s">
        <v>6377</v>
      </c>
    </row>
    <row r="6114" spans="2:8" x14ac:dyDescent="0.2">
      <c r="B6114" t="s">
        <v>19</v>
      </c>
      <c r="C6114" t="s">
        <v>12925</v>
      </c>
      <c r="D6114" t="s">
        <v>617</v>
      </c>
      <c r="E6114" t="s">
        <v>6637</v>
      </c>
      <c r="F6114">
        <v>26.9</v>
      </c>
      <c r="G6114" t="s">
        <v>1710</v>
      </c>
    </row>
    <row r="6115" spans="2:8" x14ac:dyDescent="0.2">
      <c r="B6115" t="s">
        <v>19</v>
      </c>
      <c r="C6115" t="s">
        <v>12925</v>
      </c>
      <c r="D6115" t="s">
        <v>613</v>
      </c>
      <c r="E6115" t="s">
        <v>6638</v>
      </c>
      <c r="F6115">
        <v>0.55000000000000004</v>
      </c>
      <c r="G6115" t="s">
        <v>6639</v>
      </c>
    </row>
    <row r="6116" spans="2:8" x14ac:dyDescent="0.2">
      <c r="B6116" t="s">
        <v>19</v>
      </c>
      <c r="C6116" t="s">
        <v>12925</v>
      </c>
      <c r="D6116" t="s">
        <v>613</v>
      </c>
      <c r="E6116" t="s">
        <v>6640</v>
      </c>
      <c r="F6116">
        <v>0.74</v>
      </c>
      <c r="G6116" t="s">
        <v>3280</v>
      </c>
    </row>
    <row r="6117" spans="2:8" x14ac:dyDescent="0.2">
      <c r="B6117" t="s">
        <v>19</v>
      </c>
      <c r="C6117" t="s">
        <v>12925</v>
      </c>
      <c r="D6117" t="s">
        <v>621</v>
      </c>
      <c r="E6117" t="s">
        <v>6641</v>
      </c>
      <c r="F6117">
        <v>4.8</v>
      </c>
      <c r="G6117" t="s">
        <v>6642</v>
      </c>
    </row>
    <row r="6118" spans="2:8" x14ac:dyDescent="0.2">
      <c r="B6118" t="s">
        <v>19</v>
      </c>
      <c r="C6118" t="s">
        <v>12925</v>
      </c>
      <c r="D6118" t="s">
        <v>621</v>
      </c>
      <c r="E6118" t="s">
        <v>6643</v>
      </c>
      <c r="F6118">
        <v>8.2200000000000006</v>
      </c>
      <c r="G6118" t="s">
        <v>1671</v>
      </c>
    </row>
    <row r="6119" spans="2:8" x14ac:dyDescent="0.2">
      <c r="B6119" t="s">
        <v>19</v>
      </c>
      <c r="C6119" t="s">
        <v>12925</v>
      </c>
      <c r="D6119" t="s">
        <v>621</v>
      </c>
      <c r="E6119" t="s">
        <v>6644</v>
      </c>
      <c r="F6119">
        <v>14.3</v>
      </c>
      <c r="G6119" t="s">
        <v>6645</v>
      </c>
    </row>
    <row r="6120" spans="2:8" x14ac:dyDescent="0.2">
      <c r="B6120" t="s">
        <v>19</v>
      </c>
      <c r="C6120" t="s">
        <v>12925</v>
      </c>
      <c r="D6120" t="s">
        <v>1169</v>
      </c>
      <c r="E6120" t="s">
        <v>6646</v>
      </c>
      <c r="F6120">
        <v>81</v>
      </c>
      <c r="G6120" t="s">
        <v>1286</v>
      </c>
    </row>
    <row r="6121" spans="2:8" x14ac:dyDescent="0.2">
      <c r="B6121" t="s">
        <v>19</v>
      </c>
      <c r="C6121" t="s">
        <v>12925</v>
      </c>
      <c r="D6121" t="s">
        <v>621</v>
      </c>
      <c r="E6121" t="s">
        <v>6647</v>
      </c>
      <c r="F6121">
        <v>484.34</v>
      </c>
      <c r="H6121" t="s">
        <v>2347</v>
      </c>
    </row>
    <row r="6122" spans="2:8" x14ac:dyDescent="0.2">
      <c r="B6122" t="s">
        <v>19</v>
      </c>
      <c r="C6122" t="s">
        <v>12925</v>
      </c>
      <c r="D6122" t="s">
        <v>617</v>
      </c>
      <c r="E6122" t="s">
        <v>6650</v>
      </c>
      <c r="F6122">
        <v>14.14</v>
      </c>
      <c r="G6122" t="s">
        <v>1626</v>
      </c>
    </row>
    <row r="6123" spans="2:8" x14ac:dyDescent="0.2">
      <c r="B6123" t="s">
        <v>19</v>
      </c>
      <c r="C6123" t="s">
        <v>12925</v>
      </c>
      <c r="D6123" t="s">
        <v>617</v>
      </c>
      <c r="E6123" t="s">
        <v>6671</v>
      </c>
      <c r="F6123">
        <v>9.3000000000000007</v>
      </c>
      <c r="G6123" t="s">
        <v>1630</v>
      </c>
    </row>
    <row r="6124" spans="2:8" x14ac:dyDescent="0.2">
      <c r="B6124" t="s">
        <v>19</v>
      </c>
      <c r="C6124" t="s">
        <v>12925</v>
      </c>
      <c r="D6124" t="s">
        <v>617</v>
      </c>
      <c r="E6124" t="s">
        <v>6672</v>
      </c>
      <c r="F6124">
        <v>6</v>
      </c>
      <c r="G6124" t="s">
        <v>1628</v>
      </c>
    </row>
    <row r="6125" spans="2:8" x14ac:dyDescent="0.2">
      <c r="B6125" t="s">
        <v>19</v>
      </c>
      <c r="C6125" t="s">
        <v>12925</v>
      </c>
      <c r="D6125" t="s">
        <v>617</v>
      </c>
      <c r="E6125" t="s">
        <v>6673</v>
      </c>
      <c r="F6125">
        <v>55.8</v>
      </c>
      <c r="G6125" t="s">
        <v>1605</v>
      </c>
    </row>
    <row r="6126" spans="2:8" x14ac:dyDescent="0.2">
      <c r="B6126" t="s">
        <v>19</v>
      </c>
      <c r="C6126" t="s">
        <v>12925</v>
      </c>
      <c r="D6126" t="s">
        <v>423</v>
      </c>
      <c r="E6126" t="s">
        <v>6675</v>
      </c>
      <c r="F6126">
        <v>159.47999999999999</v>
      </c>
      <c r="G6126" t="s">
        <v>6300</v>
      </c>
    </row>
    <row r="6127" spans="2:8" x14ac:dyDescent="0.2">
      <c r="B6127" t="s">
        <v>19</v>
      </c>
      <c r="C6127" t="s">
        <v>12926</v>
      </c>
      <c r="D6127" t="s">
        <v>613</v>
      </c>
      <c r="E6127" t="s">
        <v>6836</v>
      </c>
      <c r="F6127">
        <v>0.53</v>
      </c>
      <c r="G6127" t="s">
        <v>6838</v>
      </c>
    </row>
    <row r="6128" spans="2:8" x14ac:dyDescent="0.2">
      <c r="B6128" t="s">
        <v>19</v>
      </c>
      <c r="C6128" t="s">
        <v>12926</v>
      </c>
      <c r="D6128" t="s">
        <v>613</v>
      </c>
      <c r="E6128" t="s">
        <v>6841</v>
      </c>
      <c r="F6128">
        <v>4</v>
      </c>
      <c r="G6128" t="s">
        <v>6842</v>
      </c>
    </row>
    <row r="6129" spans="2:7" x14ac:dyDescent="0.2">
      <c r="B6129" t="s">
        <v>19</v>
      </c>
      <c r="C6129" t="s">
        <v>12926</v>
      </c>
      <c r="D6129" t="s">
        <v>613</v>
      </c>
      <c r="E6129" t="s">
        <v>6844</v>
      </c>
      <c r="F6129">
        <v>0.61</v>
      </c>
      <c r="G6129" t="s">
        <v>6845</v>
      </c>
    </row>
    <row r="6130" spans="2:7" x14ac:dyDescent="0.2">
      <c r="B6130" t="s">
        <v>19</v>
      </c>
      <c r="C6130" t="s">
        <v>12926</v>
      </c>
      <c r="D6130" t="s">
        <v>613</v>
      </c>
      <c r="E6130" t="s">
        <v>6846</v>
      </c>
      <c r="F6130">
        <v>0.7</v>
      </c>
      <c r="G6130" t="s">
        <v>6847</v>
      </c>
    </row>
    <row r="6131" spans="2:7" x14ac:dyDescent="0.2">
      <c r="B6131" t="s">
        <v>19</v>
      </c>
      <c r="C6131" t="s">
        <v>12926</v>
      </c>
      <c r="D6131" t="s">
        <v>1144</v>
      </c>
      <c r="E6131" t="s">
        <v>6848</v>
      </c>
      <c r="F6131">
        <v>216</v>
      </c>
      <c r="G6131" t="s">
        <v>1201</v>
      </c>
    </row>
    <row r="6132" spans="2:7" x14ac:dyDescent="0.2">
      <c r="B6132" t="s">
        <v>19</v>
      </c>
      <c r="C6132" t="s">
        <v>12926</v>
      </c>
      <c r="D6132" t="s">
        <v>1144</v>
      </c>
      <c r="E6132" t="s">
        <v>6849</v>
      </c>
      <c r="F6132">
        <v>342.25</v>
      </c>
      <c r="G6132" t="s">
        <v>1210</v>
      </c>
    </row>
    <row r="6133" spans="2:7" x14ac:dyDescent="0.2">
      <c r="B6133" t="s">
        <v>19</v>
      </c>
      <c r="C6133" t="s">
        <v>12926</v>
      </c>
      <c r="D6133" t="s">
        <v>613</v>
      </c>
      <c r="E6133" t="s">
        <v>6850</v>
      </c>
      <c r="F6133">
        <v>6.02</v>
      </c>
      <c r="G6133" t="s">
        <v>6155</v>
      </c>
    </row>
    <row r="6134" spans="2:7" x14ac:dyDescent="0.2">
      <c r="B6134" t="s">
        <v>19</v>
      </c>
      <c r="C6134" t="s">
        <v>12926</v>
      </c>
      <c r="D6134" t="s">
        <v>613</v>
      </c>
      <c r="E6134" t="s">
        <v>6851</v>
      </c>
      <c r="F6134">
        <v>1.6</v>
      </c>
      <c r="G6134" t="s">
        <v>6627</v>
      </c>
    </row>
    <row r="6135" spans="2:7" x14ac:dyDescent="0.2">
      <c r="B6135" t="s">
        <v>19</v>
      </c>
      <c r="C6135" t="s">
        <v>12926</v>
      </c>
      <c r="D6135" t="s">
        <v>1144</v>
      </c>
      <c r="E6135" t="s">
        <v>6852</v>
      </c>
      <c r="F6135">
        <v>96</v>
      </c>
      <c r="G6135" t="s">
        <v>1212</v>
      </c>
    </row>
    <row r="6136" spans="2:7" x14ac:dyDescent="0.2">
      <c r="B6136" t="s">
        <v>19</v>
      </c>
      <c r="C6136" t="s">
        <v>12926</v>
      </c>
      <c r="D6136" t="s">
        <v>1144</v>
      </c>
      <c r="E6136" t="s">
        <v>6854</v>
      </c>
      <c r="F6136">
        <v>144</v>
      </c>
      <c r="G6136" t="s">
        <v>1216</v>
      </c>
    </row>
    <row r="6137" spans="2:7" x14ac:dyDescent="0.2">
      <c r="B6137" t="s">
        <v>19</v>
      </c>
      <c r="C6137" t="s">
        <v>12926</v>
      </c>
      <c r="D6137" t="s">
        <v>1144</v>
      </c>
      <c r="E6137" t="s">
        <v>6855</v>
      </c>
      <c r="F6137">
        <v>144</v>
      </c>
      <c r="G6137" t="s">
        <v>1214</v>
      </c>
    </row>
    <row r="6138" spans="2:7" x14ac:dyDescent="0.2">
      <c r="B6138" t="s">
        <v>19</v>
      </c>
      <c r="C6138" t="s">
        <v>12926</v>
      </c>
      <c r="D6138" t="s">
        <v>613</v>
      </c>
      <c r="E6138" t="s">
        <v>6856</v>
      </c>
      <c r="F6138">
        <v>1.93</v>
      </c>
      <c r="G6138" t="s">
        <v>6609</v>
      </c>
    </row>
    <row r="6139" spans="2:7" x14ac:dyDescent="0.2">
      <c r="B6139" t="s">
        <v>19</v>
      </c>
      <c r="C6139" t="s">
        <v>12926</v>
      </c>
      <c r="D6139" t="s">
        <v>613</v>
      </c>
      <c r="E6139" t="s">
        <v>6858</v>
      </c>
      <c r="F6139">
        <v>1.8</v>
      </c>
      <c r="G6139" t="s">
        <v>6860</v>
      </c>
    </row>
    <row r="6140" spans="2:7" x14ac:dyDescent="0.2">
      <c r="B6140" t="s">
        <v>19</v>
      </c>
      <c r="C6140" t="s">
        <v>12926</v>
      </c>
      <c r="D6140" t="s">
        <v>613</v>
      </c>
      <c r="E6140" t="s">
        <v>6861</v>
      </c>
      <c r="F6140">
        <v>4.45</v>
      </c>
      <c r="G6140" t="s">
        <v>6862</v>
      </c>
    </row>
    <row r="6141" spans="2:7" x14ac:dyDescent="0.2">
      <c r="B6141" t="s">
        <v>19</v>
      </c>
      <c r="C6141" t="s">
        <v>12926</v>
      </c>
      <c r="D6141" t="s">
        <v>613</v>
      </c>
      <c r="E6141" t="s">
        <v>6864</v>
      </c>
      <c r="F6141">
        <v>33.85</v>
      </c>
      <c r="G6141" t="s">
        <v>6865</v>
      </c>
    </row>
    <row r="6142" spans="2:7" x14ac:dyDescent="0.2">
      <c r="B6142" t="s">
        <v>19</v>
      </c>
      <c r="C6142" t="s">
        <v>12926</v>
      </c>
      <c r="D6142" t="s">
        <v>1144</v>
      </c>
      <c r="E6142" t="s">
        <v>6866</v>
      </c>
      <c r="F6142">
        <v>96</v>
      </c>
      <c r="G6142" t="s">
        <v>1218</v>
      </c>
    </row>
    <row r="6143" spans="2:7" x14ac:dyDescent="0.2">
      <c r="B6143" t="s">
        <v>19</v>
      </c>
      <c r="C6143" t="s">
        <v>12926</v>
      </c>
      <c r="D6143" t="s">
        <v>1144</v>
      </c>
      <c r="E6143" t="s">
        <v>6867</v>
      </c>
      <c r="F6143">
        <v>144</v>
      </c>
      <c r="G6143" t="s">
        <v>1221</v>
      </c>
    </row>
    <row r="6144" spans="2:7" x14ac:dyDescent="0.2">
      <c r="B6144" t="s">
        <v>19</v>
      </c>
      <c r="C6144" t="s">
        <v>12926</v>
      </c>
      <c r="D6144" t="s">
        <v>1144</v>
      </c>
      <c r="E6144" t="s">
        <v>6868</v>
      </c>
      <c r="F6144">
        <v>396.5</v>
      </c>
      <c r="G6144" t="s">
        <v>1223</v>
      </c>
    </row>
    <row r="6145" spans="2:7" x14ac:dyDescent="0.2">
      <c r="B6145" t="s">
        <v>19</v>
      </c>
      <c r="C6145" t="s">
        <v>12926</v>
      </c>
      <c r="D6145" t="s">
        <v>1144</v>
      </c>
      <c r="E6145" t="s">
        <v>6869</v>
      </c>
      <c r="F6145">
        <v>972.25</v>
      </c>
      <c r="G6145" t="s">
        <v>1225</v>
      </c>
    </row>
    <row r="6146" spans="2:7" x14ac:dyDescent="0.2">
      <c r="B6146" t="s">
        <v>19</v>
      </c>
      <c r="C6146" t="s">
        <v>12926</v>
      </c>
      <c r="D6146" t="s">
        <v>1144</v>
      </c>
      <c r="E6146" t="s">
        <v>6870</v>
      </c>
      <c r="F6146">
        <v>96</v>
      </c>
      <c r="G6146" t="s">
        <v>1237</v>
      </c>
    </row>
    <row r="6147" spans="2:7" x14ac:dyDescent="0.2">
      <c r="B6147" t="s">
        <v>19</v>
      </c>
      <c r="C6147" t="s">
        <v>12926</v>
      </c>
      <c r="D6147" t="s">
        <v>613</v>
      </c>
      <c r="E6147" t="s">
        <v>6871</v>
      </c>
      <c r="F6147">
        <v>0.04</v>
      </c>
      <c r="G6147" t="s">
        <v>6696</v>
      </c>
    </row>
    <row r="6148" spans="2:7" x14ac:dyDescent="0.2">
      <c r="B6148" t="s">
        <v>19</v>
      </c>
      <c r="C6148" t="s">
        <v>12926</v>
      </c>
      <c r="D6148" t="s">
        <v>613</v>
      </c>
      <c r="E6148" t="s">
        <v>6872</v>
      </c>
      <c r="F6148">
        <v>0.03</v>
      </c>
      <c r="G6148" t="s">
        <v>6874</v>
      </c>
    </row>
    <row r="6149" spans="2:7" x14ac:dyDescent="0.2">
      <c r="B6149" t="s">
        <v>19</v>
      </c>
      <c r="C6149" t="s">
        <v>12926</v>
      </c>
      <c r="D6149" t="s">
        <v>613</v>
      </c>
      <c r="E6149" t="s">
        <v>6875</v>
      </c>
      <c r="F6149">
        <v>0.39</v>
      </c>
      <c r="G6149" t="s">
        <v>6696</v>
      </c>
    </row>
    <row r="6150" spans="2:7" x14ac:dyDescent="0.2">
      <c r="B6150" t="s">
        <v>19</v>
      </c>
      <c r="C6150" t="s">
        <v>12926</v>
      </c>
      <c r="D6150" t="s">
        <v>1144</v>
      </c>
      <c r="E6150" t="s">
        <v>6876</v>
      </c>
      <c r="F6150">
        <v>611.25</v>
      </c>
      <c r="G6150" t="s">
        <v>1232</v>
      </c>
    </row>
    <row r="6151" spans="2:7" x14ac:dyDescent="0.2">
      <c r="B6151" t="s">
        <v>19</v>
      </c>
      <c r="C6151" t="s">
        <v>12926</v>
      </c>
      <c r="D6151" t="s">
        <v>1144</v>
      </c>
      <c r="E6151" t="s">
        <v>6877</v>
      </c>
      <c r="F6151">
        <v>772</v>
      </c>
      <c r="G6151" t="s">
        <v>1229</v>
      </c>
    </row>
    <row r="6152" spans="2:7" x14ac:dyDescent="0.2">
      <c r="B6152" t="s">
        <v>19</v>
      </c>
      <c r="C6152" t="s">
        <v>12926</v>
      </c>
      <c r="D6152" t="s">
        <v>613</v>
      </c>
      <c r="E6152" t="s">
        <v>6878</v>
      </c>
      <c r="F6152">
        <v>17.100000000000001</v>
      </c>
      <c r="G6152" t="s">
        <v>6880</v>
      </c>
    </row>
    <row r="6153" spans="2:7" x14ac:dyDescent="0.2">
      <c r="B6153" t="s">
        <v>19</v>
      </c>
      <c r="C6153" t="s">
        <v>12926</v>
      </c>
      <c r="D6153" t="s">
        <v>613</v>
      </c>
      <c r="E6153" t="s">
        <v>6881</v>
      </c>
      <c r="F6153">
        <v>19.059999999999999</v>
      </c>
      <c r="G6153" t="s">
        <v>6882</v>
      </c>
    </row>
    <row r="6154" spans="2:7" x14ac:dyDescent="0.2">
      <c r="B6154" t="s">
        <v>19</v>
      </c>
      <c r="C6154" t="s">
        <v>12926</v>
      </c>
      <c r="D6154" t="s">
        <v>613</v>
      </c>
      <c r="E6154" t="s">
        <v>6883</v>
      </c>
      <c r="F6154">
        <v>2.7</v>
      </c>
      <c r="G6154" t="s">
        <v>6884</v>
      </c>
    </row>
    <row r="6155" spans="2:7" x14ac:dyDescent="0.2">
      <c r="B6155" t="s">
        <v>19</v>
      </c>
      <c r="C6155" t="s">
        <v>12926</v>
      </c>
      <c r="D6155" t="s">
        <v>613</v>
      </c>
      <c r="E6155" t="s">
        <v>6885</v>
      </c>
      <c r="F6155">
        <v>8</v>
      </c>
      <c r="G6155" t="s">
        <v>6886</v>
      </c>
    </row>
    <row r="6156" spans="2:7" x14ac:dyDescent="0.2">
      <c r="B6156" t="s">
        <v>19</v>
      </c>
      <c r="C6156" t="s">
        <v>12926</v>
      </c>
      <c r="D6156" t="s">
        <v>613</v>
      </c>
      <c r="E6156" t="s">
        <v>6887</v>
      </c>
      <c r="F6156">
        <v>0.42</v>
      </c>
      <c r="G6156" t="s">
        <v>6888</v>
      </c>
    </row>
    <row r="6157" spans="2:7" x14ac:dyDescent="0.2">
      <c r="B6157" t="s">
        <v>19</v>
      </c>
      <c r="C6157" t="s">
        <v>12926</v>
      </c>
      <c r="D6157" t="s">
        <v>1144</v>
      </c>
      <c r="E6157" t="s">
        <v>6889</v>
      </c>
      <c r="F6157">
        <v>240</v>
      </c>
      <c r="G6157" t="s">
        <v>1239</v>
      </c>
    </row>
    <row r="6158" spans="2:7" x14ac:dyDescent="0.2">
      <c r="B6158" t="s">
        <v>19</v>
      </c>
      <c r="C6158" t="s">
        <v>12926</v>
      </c>
      <c r="D6158" t="s">
        <v>1144</v>
      </c>
      <c r="E6158" t="s">
        <v>6890</v>
      </c>
      <c r="F6158">
        <v>446.75</v>
      </c>
      <c r="G6158" t="s">
        <v>1249</v>
      </c>
    </row>
    <row r="6159" spans="2:7" x14ac:dyDescent="0.2">
      <c r="B6159" t="s">
        <v>19</v>
      </c>
      <c r="C6159" t="s">
        <v>12926</v>
      </c>
      <c r="D6159" t="s">
        <v>1144</v>
      </c>
      <c r="E6159" t="s">
        <v>6891</v>
      </c>
      <c r="F6159">
        <v>524.25</v>
      </c>
      <c r="G6159" t="s">
        <v>1246</v>
      </c>
    </row>
    <row r="6160" spans="2:7" x14ac:dyDescent="0.2">
      <c r="B6160" t="s">
        <v>19</v>
      </c>
      <c r="C6160" t="s">
        <v>12926</v>
      </c>
      <c r="D6160" t="s">
        <v>1144</v>
      </c>
      <c r="E6160" t="s">
        <v>6892</v>
      </c>
      <c r="F6160">
        <v>228</v>
      </c>
      <c r="G6160" t="s">
        <v>1248</v>
      </c>
    </row>
    <row r="6161" spans="2:7" x14ac:dyDescent="0.2">
      <c r="B6161" t="s">
        <v>19</v>
      </c>
      <c r="C6161" t="s">
        <v>12926</v>
      </c>
      <c r="D6161" t="s">
        <v>1144</v>
      </c>
      <c r="E6161" t="s">
        <v>6893</v>
      </c>
      <c r="F6161">
        <v>1081</v>
      </c>
      <c r="G6161" t="s">
        <v>1429</v>
      </c>
    </row>
    <row r="6162" spans="2:7" x14ac:dyDescent="0.2">
      <c r="B6162" t="s">
        <v>19</v>
      </c>
      <c r="C6162" t="s">
        <v>12926</v>
      </c>
      <c r="D6162" t="s">
        <v>1144</v>
      </c>
      <c r="E6162" t="s">
        <v>6894</v>
      </c>
      <c r="F6162">
        <v>386.25</v>
      </c>
      <c r="G6162" t="s">
        <v>1257</v>
      </c>
    </row>
    <row r="6163" spans="2:7" x14ac:dyDescent="0.2">
      <c r="B6163" t="s">
        <v>19</v>
      </c>
      <c r="C6163" t="s">
        <v>12926</v>
      </c>
      <c r="D6163" t="s">
        <v>1144</v>
      </c>
      <c r="E6163" t="s">
        <v>6895</v>
      </c>
      <c r="F6163">
        <v>1219.75</v>
      </c>
      <c r="G6163" t="s">
        <v>1259</v>
      </c>
    </row>
    <row r="6164" spans="2:7" x14ac:dyDescent="0.2">
      <c r="B6164" t="s">
        <v>19</v>
      </c>
      <c r="C6164" t="s">
        <v>12926</v>
      </c>
      <c r="D6164" t="s">
        <v>1144</v>
      </c>
      <c r="E6164" t="s">
        <v>6896</v>
      </c>
      <c r="F6164">
        <v>96</v>
      </c>
      <c r="G6164" t="s">
        <v>1255</v>
      </c>
    </row>
    <row r="6165" spans="2:7" x14ac:dyDescent="0.2">
      <c r="B6165" t="s">
        <v>19</v>
      </c>
      <c r="C6165" t="s">
        <v>12926</v>
      </c>
      <c r="D6165" t="s">
        <v>613</v>
      </c>
      <c r="E6165" t="s">
        <v>6897</v>
      </c>
      <c r="F6165">
        <v>256.27999999999997</v>
      </c>
      <c r="G6165" t="s">
        <v>3270</v>
      </c>
    </row>
    <row r="6166" spans="2:7" x14ac:dyDescent="0.2">
      <c r="B6166" t="s">
        <v>19</v>
      </c>
      <c r="C6166" t="s">
        <v>12926</v>
      </c>
      <c r="D6166" t="s">
        <v>613</v>
      </c>
      <c r="E6166" t="s">
        <v>6898</v>
      </c>
      <c r="F6166">
        <v>450.03</v>
      </c>
      <c r="G6166" t="s">
        <v>1279</v>
      </c>
    </row>
    <row r="6167" spans="2:7" x14ac:dyDescent="0.2">
      <c r="B6167" t="s">
        <v>19</v>
      </c>
      <c r="C6167" t="s">
        <v>12926</v>
      </c>
      <c r="D6167" t="s">
        <v>1144</v>
      </c>
      <c r="E6167" t="s">
        <v>6899</v>
      </c>
      <c r="F6167">
        <v>200</v>
      </c>
      <c r="G6167" t="s">
        <v>1281</v>
      </c>
    </row>
    <row r="6168" spans="2:7" x14ac:dyDescent="0.2">
      <c r="B6168" t="s">
        <v>19</v>
      </c>
      <c r="C6168" t="s">
        <v>12926</v>
      </c>
      <c r="D6168" t="s">
        <v>1144</v>
      </c>
      <c r="E6168" t="s">
        <v>6900</v>
      </c>
      <c r="F6168">
        <v>437.5</v>
      </c>
      <c r="G6168" t="s">
        <v>1288</v>
      </c>
    </row>
    <row r="6169" spans="2:7" x14ac:dyDescent="0.2">
      <c r="B6169" t="s">
        <v>19</v>
      </c>
      <c r="C6169" t="s">
        <v>12926</v>
      </c>
      <c r="D6169" t="s">
        <v>1144</v>
      </c>
      <c r="E6169" t="s">
        <v>6901</v>
      </c>
      <c r="F6169">
        <v>150</v>
      </c>
      <c r="G6169" t="s">
        <v>1305</v>
      </c>
    </row>
    <row r="6170" spans="2:7" x14ac:dyDescent="0.2">
      <c r="B6170" t="s">
        <v>19</v>
      </c>
      <c r="C6170" t="s">
        <v>12926</v>
      </c>
      <c r="D6170" t="s">
        <v>1144</v>
      </c>
      <c r="E6170" t="s">
        <v>6902</v>
      </c>
      <c r="F6170">
        <v>793</v>
      </c>
      <c r="G6170" t="s">
        <v>1313</v>
      </c>
    </row>
    <row r="6171" spans="2:7" x14ac:dyDescent="0.2">
      <c r="B6171" t="s">
        <v>19</v>
      </c>
      <c r="C6171" t="s">
        <v>12926</v>
      </c>
      <c r="D6171" t="s">
        <v>1144</v>
      </c>
      <c r="E6171" t="s">
        <v>6903</v>
      </c>
      <c r="F6171">
        <v>192</v>
      </c>
      <c r="G6171" t="s">
        <v>1311</v>
      </c>
    </row>
    <row r="6172" spans="2:7" x14ac:dyDescent="0.2">
      <c r="B6172" t="s">
        <v>19</v>
      </c>
      <c r="C6172" t="s">
        <v>12926</v>
      </c>
      <c r="D6172" t="s">
        <v>1144</v>
      </c>
      <c r="E6172" t="s">
        <v>6904</v>
      </c>
      <c r="F6172">
        <v>192</v>
      </c>
      <c r="G6172" t="s">
        <v>1315</v>
      </c>
    </row>
    <row r="6173" spans="2:7" x14ac:dyDescent="0.2">
      <c r="B6173" t="s">
        <v>19</v>
      </c>
      <c r="C6173" t="s">
        <v>12926</v>
      </c>
      <c r="D6173" t="s">
        <v>1144</v>
      </c>
      <c r="E6173" t="s">
        <v>6905</v>
      </c>
      <c r="F6173">
        <v>212.5</v>
      </c>
      <c r="G6173" t="s">
        <v>1319</v>
      </c>
    </row>
    <row r="6174" spans="2:7" x14ac:dyDescent="0.2">
      <c r="B6174" t="s">
        <v>19</v>
      </c>
      <c r="C6174" t="s">
        <v>12926</v>
      </c>
      <c r="D6174" t="s">
        <v>613</v>
      </c>
      <c r="E6174" t="s">
        <v>6906</v>
      </c>
      <c r="F6174">
        <v>125.39</v>
      </c>
      <c r="G6174" t="s">
        <v>1323</v>
      </c>
    </row>
    <row r="6175" spans="2:7" x14ac:dyDescent="0.2">
      <c r="B6175" t="s">
        <v>19</v>
      </c>
      <c r="C6175" t="s">
        <v>12926</v>
      </c>
      <c r="D6175" t="s">
        <v>1144</v>
      </c>
      <c r="E6175" t="s">
        <v>6907</v>
      </c>
      <c r="F6175">
        <v>1087.5</v>
      </c>
      <c r="G6175" t="s">
        <v>1332</v>
      </c>
    </row>
    <row r="6176" spans="2:7" x14ac:dyDescent="0.2">
      <c r="B6176" t="s">
        <v>19</v>
      </c>
      <c r="C6176" t="s">
        <v>12926</v>
      </c>
      <c r="D6176" t="s">
        <v>1144</v>
      </c>
      <c r="E6176" t="s">
        <v>6908</v>
      </c>
      <c r="F6176">
        <v>1112.5</v>
      </c>
      <c r="G6176" t="s">
        <v>1336</v>
      </c>
    </row>
    <row r="6177" spans="2:7" x14ac:dyDescent="0.2">
      <c r="B6177" t="s">
        <v>19</v>
      </c>
      <c r="C6177" t="s">
        <v>12926</v>
      </c>
      <c r="D6177" t="s">
        <v>1144</v>
      </c>
      <c r="E6177" t="s">
        <v>6909</v>
      </c>
      <c r="F6177">
        <v>562.5</v>
      </c>
      <c r="G6177" t="s">
        <v>1344</v>
      </c>
    </row>
    <row r="6178" spans="2:7" x14ac:dyDescent="0.2">
      <c r="B6178" t="s">
        <v>19</v>
      </c>
      <c r="C6178" t="s">
        <v>12926</v>
      </c>
      <c r="D6178" t="s">
        <v>1144</v>
      </c>
      <c r="E6178" t="s">
        <v>6910</v>
      </c>
      <c r="F6178">
        <v>594.75</v>
      </c>
      <c r="G6178" t="s">
        <v>1348</v>
      </c>
    </row>
    <row r="6179" spans="2:7" x14ac:dyDescent="0.2">
      <c r="B6179" t="s">
        <v>19</v>
      </c>
      <c r="C6179" t="s">
        <v>12926</v>
      </c>
      <c r="D6179" t="s">
        <v>1144</v>
      </c>
      <c r="E6179" t="s">
        <v>6911</v>
      </c>
      <c r="F6179">
        <v>354.75</v>
      </c>
      <c r="G6179" t="s">
        <v>1352</v>
      </c>
    </row>
    <row r="6180" spans="2:7" x14ac:dyDescent="0.2">
      <c r="B6180" t="s">
        <v>19</v>
      </c>
      <c r="C6180" t="s">
        <v>12926</v>
      </c>
      <c r="D6180" t="s">
        <v>1144</v>
      </c>
      <c r="E6180" t="s">
        <v>6912</v>
      </c>
      <c r="F6180">
        <v>198.25</v>
      </c>
      <c r="G6180" t="s">
        <v>1354</v>
      </c>
    </row>
    <row r="6181" spans="2:7" x14ac:dyDescent="0.2">
      <c r="B6181" t="s">
        <v>19</v>
      </c>
      <c r="C6181" t="s">
        <v>12926</v>
      </c>
      <c r="D6181" t="s">
        <v>613</v>
      </c>
      <c r="E6181" t="s">
        <v>6913</v>
      </c>
      <c r="F6181">
        <v>26.62</v>
      </c>
      <c r="G6181" t="s">
        <v>5286</v>
      </c>
    </row>
    <row r="6182" spans="2:7" x14ac:dyDescent="0.2">
      <c r="B6182" t="s">
        <v>19</v>
      </c>
      <c r="C6182" t="s">
        <v>12926</v>
      </c>
      <c r="D6182" t="s">
        <v>466</v>
      </c>
      <c r="E6182" t="s">
        <v>6914</v>
      </c>
      <c r="F6182">
        <v>10136.18</v>
      </c>
      <c r="G6182" t="s">
        <v>6837</v>
      </c>
    </row>
    <row r="6183" spans="2:7" x14ac:dyDescent="0.2">
      <c r="B6183" t="s">
        <v>19</v>
      </c>
      <c r="C6183" t="s">
        <v>12927</v>
      </c>
      <c r="D6183" t="s">
        <v>554</v>
      </c>
      <c r="E6183" t="s">
        <v>6983</v>
      </c>
      <c r="F6183">
        <v>1044</v>
      </c>
      <c r="G6183" t="s">
        <v>4226</v>
      </c>
    </row>
    <row r="6184" spans="2:7" x14ac:dyDescent="0.2">
      <c r="B6184" t="s">
        <v>19</v>
      </c>
      <c r="C6184" t="s">
        <v>12927</v>
      </c>
      <c r="D6184" t="s">
        <v>1137</v>
      </c>
      <c r="E6184" t="s">
        <v>6988</v>
      </c>
      <c r="F6184">
        <v>108</v>
      </c>
      <c r="G6184" t="s">
        <v>1275</v>
      </c>
    </row>
    <row r="6185" spans="2:7" x14ac:dyDescent="0.2">
      <c r="B6185" t="s">
        <v>19</v>
      </c>
      <c r="C6185" t="s">
        <v>12927</v>
      </c>
      <c r="D6185" t="s">
        <v>1137</v>
      </c>
      <c r="E6185" t="s">
        <v>6989</v>
      </c>
      <c r="F6185">
        <v>36</v>
      </c>
      <c r="G6185" t="s">
        <v>1292</v>
      </c>
    </row>
    <row r="6186" spans="2:7" x14ac:dyDescent="0.2">
      <c r="B6186" t="s">
        <v>19</v>
      </c>
      <c r="C6186" t="s">
        <v>12927</v>
      </c>
      <c r="D6186" t="s">
        <v>1137</v>
      </c>
      <c r="E6186" t="s">
        <v>6990</v>
      </c>
      <c r="F6186">
        <v>310</v>
      </c>
      <c r="G6186" t="s">
        <v>1301</v>
      </c>
    </row>
    <row r="6187" spans="2:7" x14ac:dyDescent="0.2">
      <c r="B6187" t="s">
        <v>19</v>
      </c>
      <c r="C6187" t="s">
        <v>12927</v>
      </c>
      <c r="D6187" t="s">
        <v>1137</v>
      </c>
      <c r="E6187" t="s">
        <v>6993</v>
      </c>
      <c r="F6187">
        <v>280</v>
      </c>
      <c r="G6187" t="s">
        <v>1294</v>
      </c>
    </row>
    <row r="6188" spans="2:7" x14ac:dyDescent="0.2">
      <c r="B6188" t="s">
        <v>19</v>
      </c>
      <c r="C6188" t="s">
        <v>12927</v>
      </c>
      <c r="D6188" t="s">
        <v>1144</v>
      </c>
      <c r="E6188" t="s">
        <v>6994</v>
      </c>
      <c r="F6188">
        <v>259.75</v>
      </c>
      <c r="G6188" t="s">
        <v>1209</v>
      </c>
    </row>
    <row r="6189" spans="2:7" x14ac:dyDescent="0.2">
      <c r="B6189" t="s">
        <v>19</v>
      </c>
      <c r="C6189" t="s">
        <v>12927</v>
      </c>
      <c r="D6189" t="s">
        <v>1137</v>
      </c>
      <c r="E6189" t="s">
        <v>6996</v>
      </c>
      <c r="F6189">
        <v>48</v>
      </c>
      <c r="G6189" t="s">
        <v>1307</v>
      </c>
    </row>
    <row r="6190" spans="2:7" x14ac:dyDescent="0.2">
      <c r="B6190" t="s">
        <v>19</v>
      </c>
      <c r="C6190" t="s">
        <v>12927</v>
      </c>
      <c r="D6190" t="s">
        <v>1137</v>
      </c>
      <c r="E6190" t="s">
        <v>6997</v>
      </c>
      <c r="F6190">
        <v>40</v>
      </c>
      <c r="G6190" t="s">
        <v>1366</v>
      </c>
    </row>
    <row r="6191" spans="2:7" x14ac:dyDescent="0.2">
      <c r="B6191" t="s">
        <v>19</v>
      </c>
      <c r="C6191" t="s">
        <v>12927</v>
      </c>
      <c r="D6191" t="s">
        <v>1137</v>
      </c>
      <c r="E6191" t="s">
        <v>6998</v>
      </c>
      <c r="F6191">
        <v>74</v>
      </c>
      <c r="G6191" t="s">
        <v>1413</v>
      </c>
    </row>
    <row r="6192" spans="2:7" x14ac:dyDescent="0.2">
      <c r="B6192" t="s">
        <v>19</v>
      </c>
      <c r="C6192" t="s">
        <v>12927</v>
      </c>
      <c r="D6192" t="s">
        <v>1137</v>
      </c>
      <c r="E6192" t="s">
        <v>7000</v>
      </c>
      <c r="F6192">
        <v>506</v>
      </c>
      <c r="G6192" t="s">
        <v>1421</v>
      </c>
    </row>
    <row r="6193" spans="2:7" x14ac:dyDescent="0.2">
      <c r="B6193" t="s">
        <v>19</v>
      </c>
      <c r="C6193" t="s">
        <v>12927</v>
      </c>
      <c r="D6193" t="s">
        <v>1137</v>
      </c>
      <c r="E6193" t="s">
        <v>7002</v>
      </c>
      <c r="F6193">
        <v>136</v>
      </c>
      <c r="G6193" t="s">
        <v>2484</v>
      </c>
    </row>
    <row r="6194" spans="2:7" x14ac:dyDescent="0.2">
      <c r="B6194" t="s">
        <v>19</v>
      </c>
      <c r="C6194" t="s">
        <v>12927</v>
      </c>
      <c r="D6194" t="s">
        <v>1144</v>
      </c>
      <c r="E6194" t="s">
        <v>7003</v>
      </c>
      <c r="F6194">
        <v>96</v>
      </c>
      <c r="G6194" t="s">
        <v>1228</v>
      </c>
    </row>
    <row r="6195" spans="2:7" x14ac:dyDescent="0.2">
      <c r="B6195" t="s">
        <v>19</v>
      </c>
      <c r="C6195" t="s">
        <v>12927</v>
      </c>
      <c r="D6195" t="s">
        <v>1137</v>
      </c>
      <c r="E6195" t="s">
        <v>7004</v>
      </c>
      <c r="F6195">
        <v>110</v>
      </c>
      <c r="G6195" t="s">
        <v>2539</v>
      </c>
    </row>
    <row r="6196" spans="2:7" x14ac:dyDescent="0.2">
      <c r="B6196" t="s">
        <v>19</v>
      </c>
      <c r="C6196" t="s">
        <v>12927</v>
      </c>
      <c r="D6196" t="s">
        <v>1144</v>
      </c>
      <c r="E6196" t="s">
        <v>7005</v>
      </c>
      <c r="F6196">
        <v>54.25</v>
      </c>
      <c r="G6196" t="s">
        <v>1260</v>
      </c>
    </row>
    <row r="6197" spans="2:7" x14ac:dyDescent="0.2">
      <c r="B6197" t="s">
        <v>19</v>
      </c>
      <c r="C6197" t="s">
        <v>12927</v>
      </c>
      <c r="D6197" t="s">
        <v>1137</v>
      </c>
      <c r="E6197" t="s">
        <v>7006</v>
      </c>
      <c r="F6197">
        <v>493.2</v>
      </c>
      <c r="G6197" t="s">
        <v>2623</v>
      </c>
    </row>
    <row r="6198" spans="2:7" x14ac:dyDescent="0.2">
      <c r="B6198" t="s">
        <v>19</v>
      </c>
      <c r="C6198" t="s">
        <v>12927</v>
      </c>
      <c r="D6198" t="s">
        <v>1137</v>
      </c>
      <c r="E6198" t="s">
        <v>7008</v>
      </c>
      <c r="F6198">
        <v>190</v>
      </c>
      <c r="G6198" t="s">
        <v>2625</v>
      </c>
    </row>
    <row r="6199" spans="2:7" x14ac:dyDescent="0.2">
      <c r="B6199" t="s">
        <v>19</v>
      </c>
      <c r="C6199" t="s">
        <v>12927</v>
      </c>
      <c r="D6199" t="s">
        <v>1137</v>
      </c>
      <c r="E6199" t="s">
        <v>7010</v>
      </c>
      <c r="F6199">
        <v>68</v>
      </c>
      <c r="G6199" t="s">
        <v>2632</v>
      </c>
    </row>
    <row r="6200" spans="2:7" x14ac:dyDescent="0.2">
      <c r="B6200" t="s">
        <v>19</v>
      </c>
      <c r="C6200" t="s">
        <v>12927</v>
      </c>
      <c r="D6200" t="s">
        <v>1144</v>
      </c>
      <c r="E6200" t="s">
        <v>7011</v>
      </c>
      <c r="F6200">
        <v>75</v>
      </c>
      <c r="G6200" t="s">
        <v>1334</v>
      </c>
    </row>
    <row r="6201" spans="2:7" x14ac:dyDescent="0.2">
      <c r="B6201" t="s">
        <v>19</v>
      </c>
      <c r="C6201" t="s">
        <v>12927</v>
      </c>
      <c r="D6201" t="s">
        <v>1144</v>
      </c>
      <c r="E6201" t="s">
        <v>7012</v>
      </c>
      <c r="F6201">
        <v>75</v>
      </c>
      <c r="G6201" t="s">
        <v>1340</v>
      </c>
    </row>
    <row r="6202" spans="2:7" x14ac:dyDescent="0.2">
      <c r="B6202" t="s">
        <v>19</v>
      </c>
      <c r="C6202" t="s">
        <v>12927</v>
      </c>
      <c r="D6202" t="s">
        <v>1144</v>
      </c>
      <c r="E6202" t="s">
        <v>7014</v>
      </c>
      <c r="F6202">
        <v>168</v>
      </c>
      <c r="G6202" t="s">
        <v>1350</v>
      </c>
    </row>
    <row r="6203" spans="2:7" x14ac:dyDescent="0.2">
      <c r="B6203" t="s">
        <v>19</v>
      </c>
      <c r="C6203" t="s">
        <v>12927</v>
      </c>
      <c r="D6203" t="s">
        <v>1144</v>
      </c>
      <c r="E6203" t="s">
        <v>7015</v>
      </c>
      <c r="F6203">
        <v>54.25</v>
      </c>
      <c r="G6203" t="s">
        <v>1368</v>
      </c>
    </row>
    <row r="6204" spans="2:7" x14ac:dyDescent="0.2">
      <c r="B6204" t="s">
        <v>19</v>
      </c>
      <c r="C6204" t="s">
        <v>12927</v>
      </c>
      <c r="D6204" t="s">
        <v>1144</v>
      </c>
      <c r="E6204" t="s">
        <v>7017</v>
      </c>
      <c r="F6204">
        <v>72</v>
      </c>
      <c r="G6204" t="s">
        <v>1393</v>
      </c>
    </row>
    <row r="6205" spans="2:7" x14ac:dyDescent="0.2">
      <c r="B6205" t="s">
        <v>19</v>
      </c>
      <c r="C6205" t="s">
        <v>12927</v>
      </c>
      <c r="D6205" t="s">
        <v>1144</v>
      </c>
      <c r="E6205" t="s">
        <v>7018</v>
      </c>
      <c r="F6205">
        <v>72</v>
      </c>
      <c r="G6205" t="s">
        <v>1362</v>
      </c>
    </row>
    <row r="6206" spans="2:7" x14ac:dyDescent="0.2">
      <c r="B6206" t="s">
        <v>19</v>
      </c>
      <c r="C6206" t="s">
        <v>12927</v>
      </c>
      <c r="D6206" t="s">
        <v>308</v>
      </c>
      <c r="E6206" t="s">
        <v>7021</v>
      </c>
      <c r="F6206">
        <v>1510.18</v>
      </c>
      <c r="G6206" t="s">
        <v>6985</v>
      </c>
    </row>
    <row r="6207" spans="2:7" x14ac:dyDescent="0.2">
      <c r="B6207" t="s">
        <v>19</v>
      </c>
      <c r="C6207" t="s">
        <v>12927</v>
      </c>
      <c r="D6207" t="s">
        <v>466</v>
      </c>
      <c r="E6207" t="s">
        <v>7023</v>
      </c>
      <c r="F6207">
        <v>604.48</v>
      </c>
      <c r="G6207" t="s">
        <v>6991</v>
      </c>
    </row>
    <row r="6208" spans="2:7" x14ac:dyDescent="0.2">
      <c r="B6208" t="s">
        <v>19</v>
      </c>
      <c r="C6208" t="s">
        <v>12927</v>
      </c>
      <c r="D6208" t="s">
        <v>478</v>
      </c>
      <c r="E6208" t="s">
        <v>7025</v>
      </c>
      <c r="F6208">
        <v>78.55</v>
      </c>
      <c r="G6208" t="s">
        <v>6999</v>
      </c>
    </row>
    <row r="6209" spans="2:7" x14ac:dyDescent="0.2">
      <c r="B6209" t="s">
        <v>19</v>
      </c>
      <c r="C6209" t="s">
        <v>12928</v>
      </c>
      <c r="D6209" t="s">
        <v>466</v>
      </c>
      <c r="E6209" t="s">
        <v>7079</v>
      </c>
      <c r="F6209">
        <v>302.24</v>
      </c>
      <c r="G6209" t="s">
        <v>7080</v>
      </c>
    </row>
    <row r="6210" spans="2:7" x14ac:dyDescent="0.2">
      <c r="B6210" t="s">
        <v>19</v>
      </c>
      <c r="C6210" t="s">
        <v>12928</v>
      </c>
      <c r="D6210" t="s">
        <v>478</v>
      </c>
      <c r="E6210" t="s">
        <v>7096</v>
      </c>
      <c r="F6210">
        <v>137.46</v>
      </c>
      <c r="G6210" t="s">
        <v>7099</v>
      </c>
    </row>
    <row r="6211" spans="2:7" x14ac:dyDescent="0.2">
      <c r="B6211" t="s">
        <v>4428</v>
      </c>
      <c r="C6211" t="s">
        <v>12929</v>
      </c>
      <c r="D6211" t="s">
        <v>222</v>
      </c>
      <c r="E6211" t="s">
        <v>5023</v>
      </c>
      <c r="F6211">
        <v>51890.16</v>
      </c>
      <c r="G6211" t="s">
        <v>5025</v>
      </c>
    </row>
    <row r="6212" spans="2:7" x14ac:dyDescent="0.2">
      <c r="B6212" t="s">
        <v>4428</v>
      </c>
      <c r="C6212" t="s">
        <v>12929</v>
      </c>
      <c r="D6212" t="s">
        <v>227</v>
      </c>
      <c r="E6212" t="s">
        <v>5027</v>
      </c>
      <c r="F6212">
        <v>75338.75</v>
      </c>
      <c r="G6212" t="s">
        <v>5028</v>
      </c>
    </row>
    <row r="6213" spans="2:7" x14ac:dyDescent="0.2">
      <c r="B6213" t="s">
        <v>4428</v>
      </c>
      <c r="C6213" t="s">
        <v>12929</v>
      </c>
      <c r="D6213" t="s">
        <v>323</v>
      </c>
      <c r="E6213" t="s">
        <v>5029</v>
      </c>
      <c r="F6213">
        <v>21856.78</v>
      </c>
      <c r="G6213" t="s">
        <v>5030</v>
      </c>
    </row>
    <row r="6214" spans="2:7" x14ac:dyDescent="0.2">
      <c r="B6214" t="s">
        <v>4428</v>
      </c>
      <c r="C6214" t="s">
        <v>12929</v>
      </c>
      <c r="D6214" t="s">
        <v>466</v>
      </c>
      <c r="E6214" t="s">
        <v>5031</v>
      </c>
      <c r="F6214">
        <v>6127.3</v>
      </c>
      <c r="G6214" t="s">
        <v>5033</v>
      </c>
    </row>
    <row r="6215" spans="2:7" x14ac:dyDescent="0.2">
      <c r="B6215" t="s">
        <v>4428</v>
      </c>
      <c r="C6215" t="s">
        <v>12929</v>
      </c>
      <c r="D6215" t="s">
        <v>423</v>
      </c>
      <c r="E6215" t="s">
        <v>5034</v>
      </c>
      <c r="F6215">
        <v>10580.45</v>
      </c>
      <c r="G6215" t="s">
        <v>5035</v>
      </c>
    </row>
    <row r="6216" spans="2:7" x14ac:dyDescent="0.2">
      <c r="B6216" t="s">
        <v>4428</v>
      </c>
      <c r="C6216" t="s">
        <v>12929</v>
      </c>
      <c r="D6216" t="s">
        <v>488</v>
      </c>
      <c r="E6216" t="s">
        <v>5036</v>
      </c>
      <c r="F6216">
        <v>166.2</v>
      </c>
      <c r="G6216" t="s">
        <v>5037</v>
      </c>
    </row>
    <row r="6217" spans="2:7" x14ac:dyDescent="0.2">
      <c r="B6217" t="s">
        <v>4428</v>
      </c>
      <c r="C6217" t="s">
        <v>12929</v>
      </c>
      <c r="D6217" t="s">
        <v>227</v>
      </c>
      <c r="E6217" t="s">
        <v>5039</v>
      </c>
      <c r="F6217">
        <v>7976.23</v>
      </c>
      <c r="G6217" t="s">
        <v>5040</v>
      </c>
    </row>
    <row r="6218" spans="2:7" x14ac:dyDescent="0.2">
      <c r="B6218" t="s">
        <v>4428</v>
      </c>
      <c r="C6218" t="s">
        <v>12930</v>
      </c>
      <c r="D6218" t="s">
        <v>717</v>
      </c>
      <c r="E6218" t="s">
        <v>5061</v>
      </c>
      <c r="F6218">
        <v>3150</v>
      </c>
      <c r="G6218" t="s">
        <v>1228</v>
      </c>
    </row>
    <row r="6219" spans="2:7" x14ac:dyDescent="0.2">
      <c r="B6219" t="s">
        <v>4428</v>
      </c>
      <c r="C6219" t="s">
        <v>12930</v>
      </c>
      <c r="D6219" t="s">
        <v>717</v>
      </c>
      <c r="E6219" t="s">
        <v>5065</v>
      </c>
      <c r="F6219">
        <v>5100</v>
      </c>
      <c r="G6219" t="s">
        <v>1228</v>
      </c>
    </row>
    <row r="6220" spans="2:7" x14ac:dyDescent="0.2">
      <c r="B6220" t="s">
        <v>4428</v>
      </c>
      <c r="C6220" t="s">
        <v>12930</v>
      </c>
      <c r="D6220" t="s">
        <v>717</v>
      </c>
      <c r="E6220" t="s">
        <v>5067</v>
      </c>
      <c r="F6220">
        <v>4200</v>
      </c>
      <c r="G6220" t="s">
        <v>1228</v>
      </c>
    </row>
    <row r="6221" spans="2:7" x14ac:dyDescent="0.2">
      <c r="B6221" t="s">
        <v>4428</v>
      </c>
      <c r="C6221" t="s">
        <v>12930</v>
      </c>
      <c r="D6221" t="s">
        <v>717</v>
      </c>
      <c r="E6221" t="s">
        <v>5068</v>
      </c>
      <c r="F6221">
        <v>2550</v>
      </c>
      <c r="G6221" t="s">
        <v>1228</v>
      </c>
    </row>
    <row r="6222" spans="2:7" x14ac:dyDescent="0.2">
      <c r="B6222" t="s">
        <v>4428</v>
      </c>
      <c r="C6222" t="s">
        <v>12930</v>
      </c>
      <c r="D6222" t="s">
        <v>613</v>
      </c>
      <c r="E6222" t="s">
        <v>5070</v>
      </c>
      <c r="F6222">
        <v>17.5</v>
      </c>
      <c r="G6222" t="s">
        <v>5072</v>
      </c>
    </row>
    <row r="6223" spans="2:7" x14ac:dyDescent="0.2">
      <c r="B6223" t="s">
        <v>4428</v>
      </c>
      <c r="C6223" t="s">
        <v>12930</v>
      </c>
      <c r="D6223" t="s">
        <v>613</v>
      </c>
      <c r="E6223" t="s">
        <v>5073</v>
      </c>
      <c r="F6223">
        <v>3.3</v>
      </c>
      <c r="G6223" t="s">
        <v>2513</v>
      </c>
    </row>
    <row r="6224" spans="2:7" x14ac:dyDescent="0.2">
      <c r="B6224" t="s">
        <v>4428</v>
      </c>
      <c r="C6224" t="s">
        <v>12930</v>
      </c>
      <c r="D6224" t="s">
        <v>617</v>
      </c>
      <c r="E6224" t="s">
        <v>5074</v>
      </c>
      <c r="F6224">
        <v>4.17</v>
      </c>
      <c r="G6224" t="s">
        <v>5075</v>
      </c>
    </row>
    <row r="6225" spans="2:7" x14ac:dyDescent="0.2">
      <c r="B6225" t="s">
        <v>4428</v>
      </c>
      <c r="C6225" t="s">
        <v>12930</v>
      </c>
      <c r="D6225" t="s">
        <v>617</v>
      </c>
      <c r="E6225" t="s">
        <v>5076</v>
      </c>
      <c r="F6225">
        <v>22.06</v>
      </c>
      <c r="G6225" t="s">
        <v>5077</v>
      </c>
    </row>
    <row r="6226" spans="2:7" x14ac:dyDescent="0.2">
      <c r="B6226" t="s">
        <v>4428</v>
      </c>
      <c r="C6226" t="s">
        <v>12930</v>
      </c>
      <c r="D6226" t="s">
        <v>330</v>
      </c>
      <c r="E6226" t="s">
        <v>5078</v>
      </c>
      <c r="F6226">
        <v>4687.3599999999997</v>
      </c>
      <c r="G6226" t="s">
        <v>5064</v>
      </c>
    </row>
    <row r="6227" spans="2:7" x14ac:dyDescent="0.2">
      <c r="B6227" t="s">
        <v>4428</v>
      </c>
      <c r="C6227" t="s">
        <v>12930</v>
      </c>
      <c r="D6227" t="s">
        <v>353</v>
      </c>
      <c r="E6227" t="s">
        <v>5079</v>
      </c>
      <c r="F6227">
        <v>10611.33</v>
      </c>
      <c r="G6227" t="s">
        <v>5071</v>
      </c>
    </row>
    <row r="6228" spans="2:7" x14ac:dyDescent="0.2">
      <c r="B6228" t="s">
        <v>4428</v>
      </c>
      <c r="C6228" t="s">
        <v>12931</v>
      </c>
      <c r="D6228" t="s">
        <v>345</v>
      </c>
      <c r="E6228" t="s">
        <v>5102</v>
      </c>
      <c r="F6228">
        <v>12758.48</v>
      </c>
      <c r="G6228" t="s">
        <v>5100</v>
      </c>
    </row>
    <row r="6229" spans="2:7" x14ac:dyDescent="0.2">
      <c r="B6229" t="s">
        <v>4428</v>
      </c>
      <c r="C6229" t="s">
        <v>12931</v>
      </c>
      <c r="D6229" t="s">
        <v>488</v>
      </c>
      <c r="E6229" t="s">
        <v>5105</v>
      </c>
      <c r="F6229">
        <v>41102.53</v>
      </c>
      <c r="G6229" t="s">
        <v>5106</v>
      </c>
    </row>
    <row r="6230" spans="2:7" x14ac:dyDescent="0.2">
      <c r="B6230" t="s">
        <v>4428</v>
      </c>
      <c r="C6230" t="s">
        <v>12932</v>
      </c>
      <c r="D6230" t="s">
        <v>314</v>
      </c>
      <c r="E6230" t="s">
        <v>5135</v>
      </c>
      <c r="F6230">
        <v>43875.63</v>
      </c>
      <c r="G6230" t="s">
        <v>5138</v>
      </c>
    </row>
    <row r="6231" spans="2:7" x14ac:dyDescent="0.2">
      <c r="B6231" t="s">
        <v>4428</v>
      </c>
      <c r="C6231" t="s">
        <v>12933</v>
      </c>
      <c r="D6231" t="s">
        <v>845</v>
      </c>
      <c r="E6231" t="s">
        <v>5214</v>
      </c>
      <c r="F6231">
        <v>18000</v>
      </c>
      <c r="G6231" t="s">
        <v>1288</v>
      </c>
    </row>
    <row r="6232" spans="2:7" x14ac:dyDescent="0.2">
      <c r="B6232" t="s">
        <v>4428</v>
      </c>
      <c r="C6232" t="s">
        <v>12933</v>
      </c>
      <c r="D6232" t="s">
        <v>366</v>
      </c>
      <c r="E6232" t="s">
        <v>5218</v>
      </c>
      <c r="F6232">
        <v>878.88</v>
      </c>
      <c r="G6232" t="s">
        <v>5213</v>
      </c>
    </row>
    <row r="6233" spans="2:7" x14ac:dyDescent="0.2">
      <c r="B6233" t="s">
        <v>4428</v>
      </c>
      <c r="C6233" t="s">
        <v>12933</v>
      </c>
      <c r="D6233" t="s">
        <v>493</v>
      </c>
      <c r="E6233" t="s">
        <v>5219</v>
      </c>
      <c r="F6233">
        <v>5075.3599999999997</v>
      </c>
      <c r="G6233" t="s">
        <v>5215</v>
      </c>
    </row>
    <row r="6234" spans="2:7" x14ac:dyDescent="0.2">
      <c r="B6234" t="s">
        <v>4428</v>
      </c>
      <c r="C6234" t="s">
        <v>12933</v>
      </c>
      <c r="D6234" t="s">
        <v>441</v>
      </c>
      <c r="E6234" t="s">
        <v>5220</v>
      </c>
      <c r="F6234">
        <v>10461.5</v>
      </c>
      <c r="G6234" t="s">
        <v>5221</v>
      </c>
    </row>
    <row r="6235" spans="2:7" x14ac:dyDescent="0.2">
      <c r="B6235" t="s">
        <v>4428</v>
      </c>
      <c r="C6235" t="s">
        <v>12934</v>
      </c>
      <c r="D6235" t="s">
        <v>895</v>
      </c>
      <c r="E6235" t="s">
        <v>5230</v>
      </c>
      <c r="F6235">
        <v>1980</v>
      </c>
      <c r="G6235" t="s">
        <v>1235</v>
      </c>
    </row>
    <row r="6236" spans="2:7" x14ac:dyDescent="0.2">
      <c r="B6236" t="s">
        <v>4428</v>
      </c>
      <c r="C6236" t="s">
        <v>12934</v>
      </c>
      <c r="D6236" t="s">
        <v>895</v>
      </c>
      <c r="E6236" t="s">
        <v>5233</v>
      </c>
      <c r="F6236">
        <v>1980</v>
      </c>
      <c r="G6236" t="s">
        <v>1235</v>
      </c>
    </row>
    <row r="6237" spans="2:7" x14ac:dyDescent="0.2">
      <c r="B6237" t="s">
        <v>4428</v>
      </c>
      <c r="C6237" t="s">
        <v>12934</v>
      </c>
      <c r="D6237" t="s">
        <v>1063</v>
      </c>
      <c r="E6237" t="s">
        <v>5234</v>
      </c>
      <c r="F6237">
        <v>3294</v>
      </c>
      <c r="G6237" t="s">
        <v>1239</v>
      </c>
    </row>
    <row r="6238" spans="2:7" x14ac:dyDescent="0.2">
      <c r="B6238" t="s">
        <v>4428</v>
      </c>
      <c r="C6238" t="s">
        <v>12934</v>
      </c>
      <c r="D6238" t="s">
        <v>1063</v>
      </c>
      <c r="E6238" t="s">
        <v>5236</v>
      </c>
      <c r="F6238">
        <v>3294</v>
      </c>
      <c r="G6238" t="s">
        <v>1239</v>
      </c>
    </row>
    <row r="6239" spans="2:7" x14ac:dyDescent="0.2">
      <c r="B6239" t="s">
        <v>4428</v>
      </c>
      <c r="C6239" t="s">
        <v>12934</v>
      </c>
      <c r="D6239" t="s">
        <v>389</v>
      </c>
      <c r="E6239" t="s">
        <v>5237</v>
      </c>
      <c r="F6239">
        <v>1985.44</v>
      </c>
      <c r="G6239" t="s">
        <v>5235</v>
      </c>
    </row>
    <row r="6240" spans="2:7" x14ac:dyDescent="0.2">
      <c r="B6240" t="s">
        <v>4428</v>
      </c>
      <c r="C6240" t="s">
        <v>12935</v>
      </c>
      <c r="D6240" t="s">
        <v>1169</v>
      </c>
      <c r="E6240" t="s">
        <v>5527</v>
      </c>
      <c r="F6240">
        <v>10394.799999999999</v>
      </c>
      <c r="G6240" t="s">
        <v>1311</v>
      </c>
    </row>
    <row r="6241" spans="2:7" x14ac:dyDescent="0.2">
      <c r="B6241" t="s">
        <v>4428</v>
      </c>
      <c r="C6241" t="s">
        <v>12935</v>
      </c>
      <c r="D6241" t="s">
        <v>498</v>
      </c>
      <c r="E6241" t="s">
        <v>5620</v>
      </c>
      <c r="F6241">
        <v>575.74</v>
      </c>
      <c r="G6241" t="s">
        <v>5528</v>
      </c>
    </row>
    <row r="6242" spans="2:7" x14ac:dyDescent="0.2">
      <c r="B6242" t="s">
        <v>4428</v>
      </c>
      <c r="C6242" t="s">
        <v>12935</v>
      </c>
      <c r="D6242" t="s">
        <v>423</v>
      </c>
      <c r="E6242" t="s">
        <v>5650</v>
      </c>
      <c r="F6242">
        <v>437.16</v>
      </c>
      <c r="G6242" t="s">
        <v>5651</v>
      </c>
    </row>
    <row r="6243" spans="2:7" x14ac:dyDescent="0.2">
      <c r="B6243" t="s">
        <v>4428</v>
      </c>
      <c r="C6243" t="s">
        <v>12936</v>
      </c>
      <c r="D6243" t="s">
        <v>1130</v>
      </c>
      <c r="E6243" t="s">
        <v>6299</v>
      </c>
      <c r="F6243">
        <v>3168</v>
      </c>
      <c r="G6243" t="s">
        <v>1434</v>
      </c>
    </row>
    <row r="6244" spans="2:7" x14ac:dyDescent="0.2">
      <c r="B6244" t="s">
        <v>4428</v>
      </c>
      <c r="C6244" t="s">
        <v>12936</v>
      </c>
      <c r="D6244" t="s">
        <v>1130</v>
      </c>
      <c r="E6244" t="s">
        <v>6303</v>
      </c>
      <c r="F6244">
        <v>3168</v>
      </c>
      <c r="G6244" t="s">
        <v>1434</v>
      </c>
    </row>
    <row r="6245" spans="2:7" x14ac:dyDescent="0.2">
      <c r="B6245" t="s">
        <v>4428</v>
      </c>
      <c r="C6245" t="s">
        <v>12936</v>
      </c>
      <c r="D6245" t="s">
        <v>1130</v>
      </c>
      <c r="E6245" t="s">
        <v>6308</v>
      </c>
      <c r="F6245">
        <v>5164.5</v>
      </c>
      <c r="G6245" t="s">
        <v>1434</v>
      </c>
    </row>
    <row r="6246" spans="2:7" x14ac:dyDescent="0.2">
      <c r="B6246" t="s">
        <v>4428</v>
      </c>
      <c r="C6246" t="s">
        <v>12936</v>
      </c>
      <c r="D6246" t="s">
        <v>1130</v>
      </c>
      <c r="E6246" t="s">
        <v>6309</v>
      </c>
      <c r="F6246">
        <v>3168</v>
      </c>
      <c r="G6246" t="s">
        <v>1434</v>
      </c>
    </row>
    <row r="6247" spans="2:7" x14ac:dyDescent="0.2">
      <c r="B6247" t="s">
        <v>4428</v>
      </c>
      <c r="C6247" t="s">
        <v>12936</v>
      </c>
      <c r="D6247" t="s">
        <v>1130</v>
      </c>
      <c r="E6247" t="s">
        <v>6312</v>
      </c>
      <c r="F6247">
        <v>2475</v>
      </c>
      <c r="G6247" t="s">
        <v>1434</v>
      </c>
    </row>
    <row r="6248" spans="2:7" x14ac:dyDescent="0.2">
      <c r="B6248" t="s">
        <v>4428</v>
      </c>
      <c r="C6248" t="s">
        <v>12936</v>
      </c>
      <c r="D6248" t="s">
        <v>1130</v>
      </c>
      <c r="E6248" t="s">
        <v>6315</v>
      </c>
      <c r="F6248">
        <v>3168</v>
      </c>
      <c r="G6248" t="s">
        <v>1434</v>
      </c>
    </row>
    <row r="6249" spans="2:7" x14ac:dyDescent="0.2">
      <c r="B6249" t="s">
        <v>4428</v>
      </c>
      <c r="C6249" t="s">
        <v>12936</v>
      </c>
      <c r="D6249" t="s">
        <v>1130</v>
      </c>
      <c r="E6249" t="s">
        <v>6318</v>
      </c>
      <c r="F6249">
        <v>478.5</v>
      </c>
      <c r="G6249" t="s">
        <v>1434</v>
      </c>
    </row>
    <row r="6250" spans="2:7" x14ac:dyDescent="0.2">
      <c r="B6250" t="s">
        <v>4428</v>
      </c>
      <c r="C6250" t="s">
        <v>12936</v>
      </c>
      <c r="D6250" t="s">
        <v>1130</v>
      </c>
      <c r="E6250" t="s">
        <v>6340</v>
      </c>
      <c r="F6250">
        <v>3168</v>
      </c>
      <c r="G6250" t="s">
        <v>1434</v>
      </c>
    </row>
    <row r="6251" spans="2:7" x14ac:dyDescent="0.2">
      <c r="B6251" t="s">
        <v>4428</v>
      </c>
      <c r="C6251" t="s">
        <v>12936</v>
      </c>
      <c r="D6251" t="s">
        <v>1130</v>
      </c>
      <c r="E6251" t="s">
        <v>6351</v>
      </c>
      <c r="F6251">
        <v>1303.5</v>
      </c>
      <c r="G6251" t="s">
        <v>1434</v>
      </c>
    </row>
    <row r="6252" spans="2:7" x14ac:dyDescent="0.2">
      <c r="B6252" t="s">
        <v>4428</v>
      </c>
      <c r="C6252" t="s">
        <v>12936</v>
      </c>
      <c r="D6252" t="s">
        <v>554</v>
      </c>
      <c r="E6252" t="s">
        <v>6376</v>
      </c>
      <c r="F6252">
        <v>25</v>
      </c>
      <c r="G6252" t="s">
        <v>6377</v>
      </c>
    </row>
    <row r="6253" spans="2:7" x14ac:dyDescent="0.2">
      <c r="B6253" t="s">
        <v>4428</v>
      </c>
      <c r="C6253" t="s">
        <v>12936</v>
      </c>
      <c r="D6253" t="s">
        <v>617</v>
      </c>
      <c r="E6253" t="s">
        <v>6384</v>
      </c>
      <c r="F6253">
        <v>33.6</v>
      </c>
      <c r="G6253" t="s">
        <v>6385</v>
      </c>
    </row>
    <row r="6254" spans="2:7" x14ac:dyDescent="0.2">
      <c r="B6254" t="s">
        <v>4428</v>
      </c>
      <c r="C6254" t="s">
        <v>12936</v>
      </c>
      <c r="D6254" t="s">
        <v>617</v>
      </c>
      <c r="E6254" t="s">
        <v>6398</v>
      </c>
      <c r="F6254">
        <v>3.78</v>
      </c>
      <c r="G6254" t="s">
        <v>6399</v>
      </c>
    </row>
    <row r="6255" spans="2:7" x14ac:dyDescent="0.2">
      <c r="B6255" t="s">
        <v>4428</v>
      </c>
      <c r="C6255" t="s">
        <v>12936</v>
      </c>
      <c r="D6255" t="s">
        <v>1130</v>
      </c>
      <c r="E6255" t="s">
        <v>6436</v>
      </c>
      <c r="F6255">
        <v>1402.5</v>
      </c>
      <c r="G6255" t="s">
        <v>1434</v>
      </c>
    </row>
    <row r="6256" spans="2:7" x14ac:dyDescent="0.2">
      <c r="B6256" t="s">
        <v>4428</v>
      </c>
      <c r="C6256" t="s">
        <v>12936</v>
      </c>
      <c r="D6256" t="s">
        <v>617</v>
      </c>
      <c r="E6256" t="s">
        <v>6456</v>
      </c>
      <c r="F6256">
        <v>22.5</v>
      </c>
      <c r="G6256" t="s">
        <v>1615</v>
      </c>
    </row>
    <row r="6257" spans="2:7" x14ac:dyDescent="0.2">
      <c r="B6257" t="s">
        <v>4428</v>
      </c>
      <c r="C6257" t="s">
        <v>12936</v>
      </c>
      <c r="D6257" t="s">
        <v>617</v>
      </c>
      <c r="E6257" t="s">
        <v>6476</v>
      </c>
      <c r="F6257">
        <v>26.9</v>
      </c>
      <c r="G6257" t="s">
        <v>1710</v>
      </c>
    </row>
    <row r="6258" spans="2:7" x14ac:dyDescent="0.2">
      <c r="B6258" t="s">
        <v>4428</v>
      </c>
      <c r="C6258" t="s">
        <v>12936</v>
      </c>
      <c r="D6258" t="s">
        <v>1130</v>
      </c>
      <c r="E6258" t="s">
        <v>6479</v>
      </c>
      <c r="F6258">
        <v>627</v>
      </c>
      <c r="G6258" t="s">
        <v>1434</v>
      </c>
    </row>
    <row r="6259" spans="2:7" x14ac:dyDescent="0.2">
      <c r="B6259" t="s">
        <v>4428</v>
      </c>
      <c r="C6259" t="s">
        <v>12936</v>
      </c>
      <c r="D6259" t="s">
        <v>1130</v>
      </c>
      <c r="E6259" t="s">
        <v>6510</v>
      </c>
      <c r="F6259">
        <v>1732.5</v>
      </c>
      <c r="G6259" t="s">
        <v>1434</v>
      </c>
    </row>
    <row r="6260" spans="2:7" x14ac:dyDescent="0.2">
      <c r="B6260" t="s">
        <v>4428</v>
      </c>
      <c r="C6260" t="s">
        <v>12936</v>
      </c>
      <c r="D6260" t="s">
        <v>308</v>
      </c>
      <c r="E6260" t="s">
        <v>6531</v>
      </c>
      <c r="F6260">
        <v>196913.58</v>
      </c>
      <c r="G6260" t="s">
        <v>6301</v>
      </c>
    </row>
    <row r="6261" spans="2:7" x14ac:dyDescent="0.2">
      <c r="B6261" t="s">
        <v>4428</v>
      </c>
      <c r="C6261" t="s">
        <v>12937</v>
      </c>
      <c r="D6261" t="s">
        <v>1130</v>
      </c>
      <c r="E6261" t="s">
        <v>6836</v>
      </c>
      <c r="F6261">
        <v>3694.55</v>
      </c>
      <c r="G6261" t="s">
        <v>1218</v>
      </c>
    </row>
    <row r="6262" spans="2:7" x14ac:dyDescent="0.2">
      <c r="B6262" t="s">
        <v>4428</v>
      </c>
      <c r="C6262" t="s">
        <v>12937</v>
      </c>
      <c r="D6262" t="s">
        <v>308</v>
      </c>
      <c r="E6262" t="s">
        <v>6841</v>
      </c>
      <c r="F6262">
        <v>7120.13</v>
      </c>
      <c r="G6262" t="s">
        <v>6840</v>
      </c>
    </row>
    <row r="6263" spans="2:7" x14ac:dyDescent="0.2">
      <c r="B6263" t="s">
        <v>4428</v>
      </c>
      <c r="C6263" t="s">
        <v>12938</v>
      </c>
      <c r="D6263" t="s">
        <v>613</v>
      </c>
      <c r="E6263" t="s">
        <v>6983</v>
      </c>
      <c r="F6263">
        <v>6.5</v>
      </c>
      <c r="G6263" t="s">
        <v>6987</v>
      </c>
    </row>
    <row r="6264" spans="2:7" x14ac:dyDescent="0.2">
      <c r="B6264" t="s">
        <v>4428</v>
      </c>
      <c r="C6264" t="s">
        <v>12938</v>
      </c>
      <c r="D6264" t="s">
        <v>613</v>
      </c>
      <c r="E6264" t="s">
        <v>6988</v>
      </c>
      <c r="F6264">
        <v>1.75</v>
      </c>
      <c r="G6264" t="s">
        <v>6838</v>
      </c>
    </row>
    <row r="6265" spans="2:7" x14ac:dyDescent="0.2">
      <c r="B6265" t="s">
        <v>4428</v>
      </c>
      <c r="C6265" t="s">
        <v>12938</v>
      </c>
      <c r="D6265" t="s">
        <v>613</v>
      </c>
      <c r="E6265" t="s">
        <v>6989</v>
      </c>
      <c r="F6265">
        <v>2</v>
      </c>
      <c r="G6265" t="s">
        <v>6627</v>
      </c>
    </row>
    <row r="6266" spans="2:7" x14ac:dyDescent="0.2">
      <c r="B6266" t="s">
        <v>4428</v>
      </c>
      <c r="C6266" t="s">
        <v>12938</v>
      </c>
      <c r="D6266" t="s">
        <v>613</v>
      </c>
      <c r="E6266" t="s">
        <v>6990</v>
      </c>
      <c r="F6266">
        <v>1.35</v>
      </c>
      <c r="G6266" t="s">
        <v>6992</v>
      </c>
    </row>
    <row r="6267" spans="2:7" x14ac:dyDescent="0.2">
      <c r="B6267" t="s">
        <v>4428</v>
      </c>
      <c r="C6267" t="s">
        <v>12938</v>
      </c>
      <c r="D6267" t="s">
        <v>613</v>
      </c>
      <c r="E6267" t="s">
        <v>6993</v>
      </c>
      <c r="F6267">
        <v>1.2</v>
      </c>
      <c r="G6267" t="s">
        <v>6842</v>
      </c>
    </row>
    <row r="6268" spans="2:7" x14ac:dyDescent="0.2">
      <c r="B6268" t="s">
        <v>4428</v>
      </c>
      <c r="C6268" t="s">
        <v>12938</v>
      </c>
      <c r="D6268" t="s">
        <v>613</v>
      </c>
      <c r="E6268" t="s">
        <v>6994</v>
      </c>
      <c r="F6268">
        <v>1.5</v>
      </c>
      <c r="G6268" t="s">
        <v>6995</v>
      </c>
    </row>
    <row r="6269" spans="2:7" x14ac:dyDescent="0.2">
      <c r="B6269" t="s">
        <v>4428</v>
      </c>
      <c r="C6269" t="s">
        <v>12938</v>
      </c>
      <c r="D6269" t="s">
        <v>613</v>
      </c>
      <c r="E6269" t="s">
        <v>6996</v>
      </c>
      <c r="F6269">
        <v>12</v>
      </c>
      <c r="G6269" t="s">
        <v>6232</v>
      </c>
    </row>
    <row r="6270" spans="2:7" x14ac:dyDescent="0.2">
      <c r="B6270" t="s">
        <v>4428</v>
      </c>
      <c r="C6270" t="s">
        <v>12938</v>
      </c>
      <c r="D6270" t="s">
        <v>613</v>
      </c>
      <c r="E6270" t="s">
        <v>6997</v>
      </c>
      <c r="F6270">
        <v>80</v>
      </c>
      <c r="G6270" t="s">
        <v>2512</v>
      </c>
    </row>
    <row r="6271" spans="2:7" x14ac:dyDescent="0.2">
      <c r="B6271" t="s">
        <v>4428</v>
      </c>
      <c r="C6271" t="s">
        <v>12938</v>
      </c>
      <c r="D6271" t="s">
        <v>613</v>
      </c>
      <c r="E6271" t="s">
        <v>6998</v>
      </c>
      <c r="F6271">
        <v>23.3</v>
      </c>
      <c r="G6271" t="s">
        <v>5286</v>
      </c>
    </row>
    <row r="6272" spans="2:7" x14ac:dyDescent="0.2">
      <c r="B6272" t="s">
        <v>4428</v>
      </c>
      <c r="C6272" t="s">
        <v>12938</v>
      </c>
      <c r="D6272" t="s">
        <v>613</v>
      </c>
      <c r="E6272" t="s">
        <v>7000</v>
      </c>
      <c r="F6272">
        <v>135</v>
      </c>
      <c r="G6272" t="s">
        <v>7001</v>
      </c>
    </row>
    <row r="6273" spans="2:7" x14ac:dyDescent="0.2">
      <c r="B6273" t="s">
        <v>4428</v>
      </c>
      <c r="C6273" t="s">
        <v>12938</v>
      </c>
      <c r="D6273" t="s">
        <v>613</v>
      </c>
      <c r="E6273" t="s">
        <v>7002</v>
      </c>
      <c r="F6273">
        <v>1620.55</v>
      </c>
      <c r="G6273" t="s">
        <v>1246</v>
      </c>
    </row>
    <row r="6274" spans="2:7" x14ac:dyDescent="0.2">
      <c r="B6274" t="s">
        <v>4428</v>
      </c>
      <c r="C6274" t="s">
        <v>12938</v>
      </c>
      <c r="D6274" t="s">
        <v>613</v>
      </c>
      <c r="E6274" t="s">
        <v>7003</v>
      </c>
      <c r="F6274">
        <v>637.9</v>
      </c>
      <c r="G6274" t="s">
        <v>1248</v>
      </c>
    </row>
    <row r="6275" spans="2:7" x14ac:dyDescent="0.2">
      <c r="B6275" t="s">
        <v>4428</v>
      </c>
      <c r="C6275" t="s">
        <v>12938</v>
      </c>
      <c r="D6275" t="s">
        <v>613</v>
      </c>
      <c r="E6275" t="s">
        <v>7004</v>
      </c>
      <c r="F6275">
        <v>23.2</v>
      </c>
      <c r="G6275" t="s">
        <v>1429</v>
      </c>
    </row>
    <row r="6276" spans="2:7" x14ac:dyDescent="0.2">
      <c r="B6276" t="s">
        <v>4428</v>
      </c>
      <c r="C6276" t="s">
        <v>12938</v>
      </c>
      <c r="D6276" t="s">
        <v>621</v>
      </c>
      <c r="E6276" t="s">
        <v>7005</v>
      </c>
      <c r="F6276">
        <v>141.6</v>
      </c>
      <c r="G6276" t="s">
        <v>3270</v>
      </c>
    </row>
    <row r="6277" spans="2:7" x14ac:dyDescent="0.2">
      <c r="B6277" t="s">
        <v>4428</v>
      </c>
      <c r="C6277" t="s">
        <v>12938</v>
      </c>
      <c r="D6277" t="s">
        <v>613</v>
      </c>
      <c r="E6277" t="s">
        <v>7006</v>
      </c>
      <c r="F6277">
        <v>0.9</v>
      </c>
      <c r="G6277" t="s">
        <v>7007</v>
      </c>
    </row>
    <row r="6278" spans="2:7" x14ac:dyDescent="0.2">
      <c r="B6278" t="s">
        <v>4428</v>
      </c>
      <c r="C6278" t="s">
        <v>12938</v>
      </c>
      <c r="D6278" t="s">
        <v>613</v>
      </c>
      <c r="E6278" t="s">
        <v>7008</v>
      </c>
      <c r="F6278">
        <v>0.39</v>
      </c>
      <c r="G6278" t="s">
        <v>7009</v>
      </c>
    </row>
    <row r="6279" spans="2:7" x14ac:dyDescent="0.2">
      <c r="B6279" t="s">
        <v>4428</v>
      </c>
      <c r="C6279" t="s">
        <v>12938</v>
      </c>
      <c r="D6279" t="s">
        <v>613</v>
      </c>
      <c r="E6279" t="s">
        <v>7010</v>
      </c>
      <c r="F6279">
        <v>283.52</v>
      </c>
      <c r="G6279" t="s">
        <v>1281</v>
      </c>
    </row>
    <row r="6280" spans="2:7" x14ac:dyDescent="0.2">
      <c r="B6280" t="s">
        <v>4428</v>
      </c>
      <c r="C6280" t="s">
        <v>12938</v>
      </c>
      <c r="D6280" t="s">
        <v>613</v>
      </c>
      <c r="E6280" t="s">
        <v>7011</v>
      </c>
      <c r="F6280">
        <v>0.86</v>
      </c>
      <c r="G6280" t="s">
        <v>6752</v>
      </c>
    </row>
    <row r="6281" spans="2:7" x14ac:dyDescent="0.2">
      <c r="B6281" t="s">
        <v>4428</v>
      </c>
      <c r="C6281" t="s">
        <v>12938</v>
      </c>
      <c r="D6281" t="s">
        <v>613</v>
      </c>
      <c r="E6281" t="s">
        <v>7012</v>
      </c>
      <c r="F6281">
        <v>3.96</v>
      </c>
      <c r="G6281" t="s">
        <v>7013</v>
      </c>
    </row>
    <row r="6282" spans="2:7" x14ac:dyDescent="0.2">
      <c r="B6282" t="s">
        <v>4428</v>
      </c>
      <c r="C6282" t="s">
        <v>12938</v>
      </c>
      <c r="D6282" t="s">
        <v>613</v>
      </c>
      <c r="E6282" t="s">
        <v>7014</v>
      </c>
      <c r="F6282">
        <v>7.2</v>
      </c>
      <c r="G6282" t="s">
        <v>6842</v>
      </c>
    </row>
    <row r="6283" spans="2:7" x14ac:dyDescent="0.2">
      <c r="B6283" t="s">
        <v>4428</v>
      </c>
      <c r="C6283" t="s">
        <v>12938</v>
      </c>
      <c r="D6283" t="s">
        <v>613</v>
      </c>
      <c r="E6283" t="s">
        <v>7015</v>
      </c>
      <c r="F6283">
        <v>3.6</v>
      </c>
      <c r="G6283" t="s">
        <v>7016</v>
      </c>
    </row>
    <row r="6284" spans="2:7" x14ac:dyDescent="0.2">
      <c r="B6284" t="s">
        <v>4428</v>
      </c>
      <c r="C6284" t="s">
        <v>12938</v>
      </c>
      <c r="D6284" t="s">
        <v>613</v>
      </c>
      <c r="E6284" t="s">
        <v>7017</v>
      </c>
      <c r="F6284">
        <v>1.44</v>
      </c>
      <c r="G6284" t="s">
        <v>6752</v>
      </c>
    </row>
    <row r="6285" spans="2:7" x14ac:dyDescent="0.2">
      <c r="B6285" t="s">
        <v>4428</v>
      </c>
      <c r="C6285" t="s">
        <v>12938</v>
      </c>
      <c r="D6285" t="s">
        <v>613</v>
      </c>
      <c r="E6285" t="s">
        <v>7018</v>
      </c>
      <c r="F6285">
        <v>9.9</v>
      </c>
      <c r="G6285" t="s">
        <v>2510</v>
      </c>
    </row>
    <row r="6286" spans="2:7" x14ac:dyDescent="0.2">
      <c r="B6286" t="s">
        <v>4428</v>
      </c>
      <c r="C6286" t="s">
        <v>12938</v>
      </c>
      <c r="D6286" t="s">
        <v>613</v>
      </c>
      <c r="E6286" t="s">
        <v>7019</v>
      </c>
      <c r="F6286">
        <v>12.23</v>
      </c>
      <c r="G6286" t="s">
        <v>7020</v>
      </c>
    </row>
    <row r="6287" spans="2:7" x14ac:dyDescent="0.2">
      <c r="B6287" t="s">
        <v>4428</v>
      </c>
      <c r="C6287" t="s">
        <v>12938</v>
      </c>
      <c r="D6287" t="s">
        <v>613</v>
      </c>
      <c r="E6287" t="s">
        <v>7021</v>
      </c>
      <c r="F6287">
        <v>6.44</v>
      </c>
      <c r="G6287" t="s">
        <v>7022</v>
      </c>
    </row>
    <row r="6288" spans="2:7" x14ac:dyDescent="0.2">
      <c r="B6288" t="s">
        <v>4428</v>
      </c>
      <c r="C6288" t="s">
        <v>12938</v>
      </c>
      <c r="D6288" t="s">
        <v>613</v>
      </c>
      <c r="E6288" t="s">
        <v>7023</v>
      </c>
      <c r="F6288">
        <v>13.6</v>
      </c>
      <c r="G6288" t="s">
        <v>7024</v>
      </c>
    </row>
    <row r="6289" spans="2:8" x14ac:dyDescent="0.2">
      <c r="B6289" t="s">
        <v>4428</v>
      </c>
      <c r="C6289" t="s">
        <v>12938</v>
      </c>
      <c r="D6289" t="s">
        <v>613</v>
      </c>
      <c r="E6289" t="s">
        <v>7025</v>
      </c>
      <c r="F6289">
        <v>2.2799999999999998</v>
      </c>
      <c r="G6289" t="s">
        <v>7026</v>
      </c>
    </row>
    <row r="6290" spans="2:8" x14ac:dyDescent="0.2">
      <c r="B6290" t="s">
        <v>4428</v>
      </c>
      <c r="C6290" t="s">
        <v>12938</v>
      </c>
      <c r="D6290" t="s">
        <v>84</v>
      </c>
      <c r="E6290" t="s">
        <v>7027</v>
      </c>
      <c r="F6290">
        <v>2.61</v>
      </c>
      <c r="G6290" t="s">
        <v>7028</v>
      </c>
    </row>
    <row r="6291" spans="2:8" x14ac:dyDescent="0.2">
      <c r="B6291" t="s">
        <v>4428</v>
      </c>
      <c r="C6291" t="s">
        <v>12938</v>
      </c>
      <c r="D6291" t="s">
        <v>466</v>
      </c>
      <c r="E6291" t="s">
        <v>7029</v>
      </c>
      <c r="F6291">
        <v>13501.58</v>
      </c>
      <c r="G6291" t="s">
        <v>6986</v>
      </c>
    </row>
    <row r="6292" spans="2:8" x14ac:dyDescent="0.2">
      <c r="B6292" t="s">
        <v>4428</v>
      </c>
      <c r="C6292" t="s">
        <v>12939</v>
      </c>
      <c r="D6292" t="s">
        <v>617</v>
      </c>
      <c r="E6292" t="s">
        <v>7083</v>
      </c>
      <c r="F6292">
        <v>1563.25</v>
      </c>
      <c r="H6292" t="s">
        <v>4435</v>
      </c>
    </row>
    <row r="6293" spans="2:8" x14ac:dyDescent="0.2">
      <c r="B6293" t="s">
        <v>4428</v>
      </c>
      <c r="C6293" t="s">
        <v>12939</v>
      </c>
      <c r="D6293" t="s">
        <v>617</v>
      </c>
      <c r="E6293" t="s">
        <v>7084</v>
      </c>
      <c r="F6293">
        <v>392.48</v>
      </c>
      <c r="H6293" t="s">
        <v>4439</v>
      </c>
    </row>
    <row r="6294" spans="2:8" x14ac:dyDescent="0.2">
      <c r="B6294" t="s">
        <v>4428</v>
      </c>
      <c r="C6294" t="s">
        <v>12939</v>
      </c>
      <c r="D6294" t="s">
        <v>617</v>
      </c>
      <c r="E6294" t="s">
        <v>7085</v>
      </c>
      <c r="F6294">
        <v>196.24</v>
      </c>
      <c r="H6294" t="s">
        <v>4439</v>
      </c>
    </row>
    <row r="6295" spans="2:8" x14ac:dyDescent="0.2">
      <c r="B6295" t="s">
        <v>4428</v>
      </c>
      <c r="C6295" t="s">
        <v>12939</v>
      </c>
      <c r="D6295" t="s">
        <v>617</v>
      </c>
      <c r="E6295" t="s">
        <v>7086</v>
      </c>
      <c r="F6295">
        <v>3574.08</v>
      </c>
      <c r="H6295" t="s">
        <v>4441</v>
      </c>
    </row>
    <row r="6296" spans="2:8" x14ac:dyDescent="0.2">
      <c r="B6296" t="s">
        <v>4428</v>
      </c>
      <c r="C6296" t="s">
        <v>12939</v>
      </c>
      <c r="D6296" t="s">
        <v>617</v>
      </c>
      <c r="E6296" t="s">
        <v>7087</v>
      </c>
      <c r="F6296">
        <v>198.99</v>
      </c>
      <c r="H6296" t="s">
        <v>4442</v>
      </c>
    </row>
    <row r="6297" spans="2:8" x14ac:dyDescent="0.2">
      <c r="B6297" t="s">
        <v>4428</v>
      </c>
      <c r="C6297" t="s">
        <v>12939</v>
      </c>
      <c r="D6297" t="s">
        <v>617</v>
      </c>
      <c r="E6297" t="s">
        <v>7088</v>
      </c>
      <c r="F6297">
        <v>3870.81</v>
      </c>
      <c r="H6297" t="s">
        <v>4443</v>
      </c>
    </row>
    <row r="6298" spans="2:8" x14ac:dyDescent="0.2">
      <c r="B6298" t="s">
        <v>4428</v>
      </c>
      <c r="C6298" t="s">
        <v>12939</v>
      </c>
      <c r="D6298" t="s">
        <v>617</v>
      </c>
      <c r="E6298" t="s">
        <v>7089</v>
      </c>
      <c r="F6298">
        <v>7849.92</v>
      </c>
      <c r="H6298" t="s">
        <v>4444</v>
      </c>
    </row>
    <row r="6299" spans="2:8" x14ac:dyDescent="0.2">
      <c r="B6299" t="s">
        <v>4428</v>
      </c>
      <c r="C6299" t="s">
        <v>12939</v>
      </c>
      <c r="D6299" t="s">
        <v>617</v>
      </c>
      <c r="E6299" t="s">
        <v>7090</v>
      </c>
      <c r="F6299">
        <v>865.8</v>
      </c>
      <c r="H6299" t="s">
        <v>4445</v>
      </c>
    </row>
    <row r="6300" spans="2:8" x14ac:dyDescent="0.2">
      <c r="B6300" t="s">
        <v>4428</v>
      </c>
      <c r="C6300" t="s">
        <v>12939</v>
      </c>
      <c r="D6300" t="s">
        <v>617</v>
      </c>
      <c r="E6300" t="s">
        <v>7091</v>
      </c>
      <c r="F6300">
        <v>4012.44</v>
      </c>
      <c r="H6300" t="s">
        <v>4447</v>
      </c>
    </row>
    <row r="6301" spans="2:8" x14ac:dyDescent="0.2">
      <c r="B6301" t="s">
        <v>4428</v>
      </c>
      <c r="C6301" t="s">
        <v>12939</v>
      </c>
      <c r="D6301" t="s">
        <v>617</v>
      </c>
      <c r="E6301" t="s">
        <v>7092</v>
      </c>
      <c r="F6301">
        <v>95.4</v>
      </c>
      <c r="H6301" t="s">
        <v>4446</v>
      </c>
    </row>
    <row r="6302" spans="2:8" x14ac:dyDescent="0.2">
      <c r="B6302" t="s">
        <v>4428</v>
      </c>
      <c r="C6302" t="s">
        <v>12939</v>
      </c>
      <c r="D6302" t="s">
        <v>617</v>
      </c>
      <c r="E6302" t="s">
        <v>7093</v>
      </c>
      <c r="F6302">
        <v>611.54999999999995</v>
      </c>
      <c r="H6302" t="s">
        <v>4437</v>
      </c>
    </row>
    <row r="6303" spans="2:8" x14ac:dyDescent="0.2">
      <c r="B6303" t="s">
        <v>4428</v>
      </c>
      <c r="C6303" t="s">
        <v>12939</v>
      </c>
      <c r="D6303" t="s">
        <v>617</v>
      </c>
      <c r="E6303" t="s">
        <v>7094</v>
      </c>
      <c r="F6303">
        <v>676</v>
      </c>
      <c r="H6303" t="s">
        <v>4439</v>
      </c>
    </row>
    <row r="6304" spans="2:8" x14ac:dyDescent="0.2">
      <c r="B6304" t="s">
        <v>4428</v>
      </c>
      <c r="C6304" t="s">
        <v>12939</v>
      </c>
      <c r="D6304" t="s">
        <v>613</v>
      </c>
      <c r="E6304" t="s">
        <v>7095</v>
      </c>
      <c r="F6304">
        <v>16.399999999999999</v>
      </c>
      <c r="H6304" t="s">
        <v>5354</v>
      </c>
    </row>
    <row r="6305" spans="2:8" x14ac:dyDescent="0.2">
      <c r="B6305" t="s">
        <v>4428</v>
      </c>
      <c r="C6305" t="s">
        <v>12939</v>
      </c>
      <c r="D6305" t="s">
        <v>613</v>
      </c>
      <c r="E6305" t="s">
        <v>7100</v>
      </c>
      <c r="F6305">
        <v>16.399999999999999</v>
      </c>
      <c r="H6305" t="s">
        <v>5354</v>
      </c>
    </row>
    <row r="6306" spans="2:8" x14ac:dyDescent="0.2">
      <c r="B6306" t="s">
        <v>4428</v>
      </c>
      <c r="C6306" t="s">
        <v>12939</v>
      </c>
      <c r="D6306" t="s">
        <v>617</v>
      </c>
      <c r="E6306" t="s">
        <v>7101</v>
      </c>
      <c r="F6306">
        <v>93.28</v>
      </c>
      <c r="H6306" t="s">
        <v>4491</v>
      </c>
    </row>
    <row r="6307" spans="2:8" x14ac:dyDescent="0.2">
      <c r="B6307" t="s">
        <v>4428</v>
      </c>
      <c r="C6307" t="s">
        <v>12939</v>
      </c>
      <c r="D6307" t="s">
        <v>617</v>
      </c>
      <c r="E6307" t="s">
        <v>7102</v>
      </c>
      <c r="F6307">
        <v>218.11</v>
      </c>
      <c r="H6307" t="s">
        <v>4489</v>
      </c>
    </row>
    <row r="6308" spans="2:8" x14ac:dyDescent="0.2">
      <c r="B6308" t="s">
        <v>4428</v>
      </c>
      <c r="C6308" t="s">
        <v>12939</v>
      </c>
      <c r="D6308" t="s">
        <v>617</v>
      </c>
      <c r="E6308" t="s">
        <v>7103</v>
      </c>
      <c r="F6308">
        <v>33.57</v>
      </c>
      <c r="H6308" t="s">
        <v>4495</v>
      </c>
    </row>
    <row r="6309" spans="2:8" x14ac:dyDescent="0.2">
      <c r="B6309" t="s">
        <v>4428</v>
      </c>
      <c r="C6309" t="s">
        <v>12939</v>
      </c>
      <c r="D6309" t="s">
        <v>617</v>
      </c>
      <c r="E6309" t="s">
        <v>7104</v>
      </c>
      <c r="F6309">
        <v>151.91999999999999</v>
      </c>
      <c r="H6309" t="s">
        <v>2364</v>
      </c>
    </row>
    <row r="6310" spans="2:8" x14ac:dyDescent="0.2">
      <c r="B6310" t="s">
        <v>4428</v>
      </c>
      <c r="C6310" t="s">
        <v>12939</v>
      </c>
      <c r="D6310" t="s">
        <v>617</v>
      </c>
      <c r="E6310" t="s">
        <v>7105</v>
      </c>
      <c r="F6310">
        <v>249</v>
      </c>
      <c r="H6310" t="s">
        <v>4493</v>
      </c>
    </row>
    <row r="6311" spans="2:8" x14ac:dyDescent="0.2">
      <c r="B6311" t="s">
        <v>4428</v>
      </c>
      <c r="C6311" t="s">
        <v>12939</v>
      </c>
      <c r="D6311" t="s">
        <v>617</v>
      </c>
      <c r="E6311" t="s">
        <v>7106</v>
      </c>
      <c r="F6311">
        <v>301.22000000000003</v>
      </c>
      <c r="H6311" t="s">
        <v>4490</v>
      </c>
    </row>
    <row r="6312" spans="2:8" x14ac:dyDescent="0.2">
      <c r="B6312" t="s">
        <v>4428</v>
      </c>
      <c r="C6312" t="s">
        <v>12939</v>
      </c>
      <c r="D6312" t="s">
        <v>617</v>
      </c>
      <c r="E6312" t="s">
        <v>7107</v>
      </c>
      <c r="F6312">
        <v>121.07</v>
      </c>
      <c r="H6312" t="s">
        <v>4487</v>
      </c>
    </row>
    <row r="6313" spans="2:8" x14ac:dyDescent="0.2">
      <c r="B6313" t="s">
        <v>4428</v>
      </c>
      <c r="C6313" t="s">
        <v>12939</v>
      </c>
      <c r="D6313" t="s">
        <v>617</v>
      </c>
      <c r="E6313" t="s">
        <v>7108</v>
      </c>
      <c r="F6313">
        <v>399.65</v>
      </c>
      <c r="H6313" t="s">
        <v>4492</v>
      </c>
    </row>
    <row r="6314" spans="2:8" x14ac:dyDescent="0.2">
      <c r="B6314" t="s">
        <v>4428</v>
      </c>
      <c r="C6314" t="s">
        <v>12939</v>
      </c>
      <c r="D6314" t="s">
        <v>617</v>
      </c>
      <c r="E6314" t="s">
        <v>7109</v>
      </c>
      <c r="F6314">
        <v>153.16</v>
      </c>
      <c r="H6314" t="s">
        <v>4497</v>
      </c>
    </row>
    <row r="6315" spans="2:8" x14ac:dyDescent="0.2">
      <c r="B6315" t="s">
        <v>4428</v>
      </c>
      <c r="C6315" t="s">
        <v>12939</v>
      </c>
      <c r="D6315" t="s">
        <v>617</v>
      </c>
      <c r="E6315" t="s">
        <v>7110</v>
      </c>
      <c r="F6315">
        <v>161.36000000000001</v>
      </c>
      <c r="H6315" t="s">
        <v>4513</v>
      </c>
    </row>
    <row r="6316" spans="2:8" x14ac:dyDescent="0.2">
      <c r="B6316" t="s">
        <v>4428</v>
      </c>
      <c r="C6316" t="s">
        <v>12939</v>
      </c>
      <c r="D6316" t="s">
        <v>617</v>
      </c>
      <c r="E6316" t="s">
        <v>7111</v>
      </c>
      <c r="F6316">
        <v>302.54000000000002</v>
      </c>
      <c r="H6316" t="s">
        <v>4515</v>
      </c>
    </row>
    <row r="6317" spans="2:8" x14ac:dyDescent="0.2">
      <c r="B6317" t="s">
        <v>4428</v>
      </c>
      <c r="C6317" t="s">
        <v>12939</v>
      </c>
      <c r="D6317" t="s">
        <v>617</v>
      </c>
      <c r="E6317" t="s">
        <v>7112</v>
      </c>
      <c r="F6317">
        <v>115.56</v>
      </c>
      <c r="H6317" t="s">
        <v>4479</v>
      </c>
    </row>
    <row r="6318" spans="2:8" x14ac:dyDescent="0.2">
      <c r="B6318" t="s">
        <v>4428</v>
      </c>
      <c r="C6318" t="s">
        <v>12939</v>
      </c>
      <c r="D6318" t="s">
        <v>617</v>
      </c>
      <c r="E6318" t="s">
        <v>7113</v>
      </c>
      <c r="F6318">
        <v>186.72</v>
      </c>
      <c r="H6318" t="s">
        <v>4498</v>
      </c>
    </row>
    <row r="6319" spans="2:8" x14ac:dyDescent="0.2">
      <c r="B6319" t="s">
        <v>4428</v>
      </c>
      <c r="C6319" t="s">
        <v>12939</v>
      </c>
      <c r="D6319" t="s">
        <v>617</v>
      </c>
      <c r="E6319" t="s">
        <v>7114</v>
      </c>
      <c r="F6319">
        <v>43.2</v>
      </c>
      <c r="H6319" t="s">
        <v>4480</v>
      </c>
    </row>
    <row r="6320" spans="2:8" x14ac:dyDescent="0.2">
      <c r="B6320" t="s">
        <v>4428</v>
      </c>
      <c r="C6320" t="s">
        <v>12939</v>
      </c>
      <c r="D6320" t="s">
        <v>617</v>
      </c>
      <c r="E6320" t="s">
        <v>7115</v>
      </c>
      <c r="F6320">
        <v>144</v>
      </c>
      <c r="H6320" t="s">
        <v>4481</v>
      </c>
    </row>
    <row r="6321" spans="2:8" x14ac:dyDescent="0.2">
      <c r="B6321" t="s">
        <v>4428</v>
      </c>
      <c r="C6321" t="s">
        <v>12939</v>
      </c>
      <c r="D6321" t="s">
        <v>617</v>
      </c>
      <c r="E6321" t="s">
        <v>7116</v>
      </c>
      <c r="F6321">
        <v>36.14</v>
      </c>
      <c r="H6321" t="s">
        <v>1806</v>
      </c>
    </row>
    <row r="6322" spans="2:8" x14ac:dyDescent="0.2">
      <c r="B6322" t="s">
        <v>4428</v>
      </c>
      <c r="C6322" t="s">
        <v>12939</v>
      </c>
      <c r="D6322" t="s">
        <v>617</v>
      </c>
      <c r="E6322" t="s">
        <v>7117</v>
      </c>
      <c r="F6322">
        <v>158.4</v>
      </c>
      <c r="H6322" t="s">
        <v>4504</v>
      </c>
    </row>
    <row r="6323" spans="2:8" x14ac:dyDescent="0.2">
      <c r="B6323" t="s">
        <v>4428</v>
      </c>
      <c r="C6323" t="s">
        <v>12939</v>
      </c>
      <c r="D6323" t="s">
        <v>617</v>
      </c>
      <c r="E6323" t="s">
        <v>7118</v>
      </c>
      <c r="F6323">
        <v>776.88</v>
      </c>
      <c r="H6323" t="s">
        <v>4482</v>
      </c>
    </row>
    <row r="6324" spans="2:8" x14ac:dyDescent="0.2">
      <c r="B6324" t="s">
        <v>4428</v>
      </c>
      <c r="C6324" t="s">
        <v>12939</v>
      </c>
      <c r="D6324" t="s">
        <v>617</v>
      </c>
      <c r="E6324" t="s">
        <v>7119</v>
      </c>
      <c r="F6324">
        <v>172.08</v>
      </c>
      <c r="H6324" t="s">
        <v>2026</v>
      </c>
    </row>
    <row r="6325" spans="2:8" x14ac:dyDescent="0.2">
      <c r="B6325" t="s">
        <v>4428</v>
      </c>
      <c r="C6325" t="s">
        <v>12939</v>
      </c>
      <c r="D6325" t="s">
        <v>617</v>
      </c>
      <c r="E6325" t="s">
        <v>7120</v>
      </c>
      <c r="F6325">
        <v>51.38</v>
      </c>
      <c r="H6325" t="s">
        <v>4429</v>
      </c>
    </row>
    <row r="6326" spans="2:8" x14ac:dyDescent="0.2">
      <c r="B6326" t="s">
        <v>4428</v>
      </c>
      <c r="C6326" t="s">
        <v>12939</v>
      </c>
      <c r="D6326" t="s">
        <v>617</v>
      </c>
      <c r="E6326" t="s">
        <v>7121</v>
      </c>
      <c r="F6326">
        <v>30.98</v>
      </c>
      <c r="H6326" t="s">
        <v>4499</v>
      </c>
    </row>
    <row r="6327" spans="2:8" x14ac:dyDescent="0.2">
      <c r="B6327" t="s">
        <v>4428</v>
      </c>
      <c r="C6327" t="s">
        <v>12939</v>
      </c>
      <c r="D6327" t="s">
        <v>617</v>
      </c>
      <c r="E6327" t="s">
        <v>7122</v>
      </c>
      <c r="F6327">
        <v>28.16</v>
      </c>
      <c r="H6327" t="s">
        <v>4499</v>
      </c>
    </row>
    <row r="6328" spans="2:8" x14ac:dyDescent="0.2">
      <c r="B6328" t="s">
        <v>4428</v>
      </c>
      <c r="C6328" t="s">
        <v>12939</v>
      </c>
      <c r="D6328" t="s">
        <v>617</v>
      </c>
      <c r="E6328" t="s">
        <v>7123</v>
      </c>
      <c r="F6328">
        <v>28.16</v>
      </c>
      <c r="H6328" t="s">
        <v>4499</v>
      </c>
    </row>
    <row r="6329" spans="2:8" x14ac:dyDescent="0.2">
      <c r="B6329" t="s">
        <v>4428</v>
      </c>
      <c r="C6329" t="s">
        <v>12939</v>
      </c>
      <c r="D6329" t="s">
        <v>617</v>
      </c>
      <c r="E6329" t="s">
        <v>7124</v>
      </c>
      <c r="F6329">
        <v>25.35</v>
      </c>
      <c r="H6329" t="s">
        <v>4499</v>
      </c>
    </row>
    <row r="6330" spans="2:8" x14ac:dyDescent="0.2">
      <c r="B6330" t="s">
        <v>4428</v>
      </c>
      <c r="C6330" t="s">
        <v>12939</v>
      </c>
      <c r="D6330" t="s">
        <v>617</v>
      </c>
      <c r="E6330" t="s">
        <v>7125</v>
      </c>
      <c r="F6330">
        <v>14.59</v>
      </c>
      <c r="H6330" t="s">
        <v>4500</v>
      </c>
    </row>
    <row r="6331" spans="2:8" x14ac:dyDescent="0.2">
      <c r="B6331" t="s">
        <v>4428</v>
      </c>
      <c r="C6331" t="s">
        <v>12939</v>
      </c>
      <c r="D6331" t="s">
        <v>617</v>
      </c>
      <c r="E6331" t="s">
        <v>7126</v>
      </c>
      <c r="F6331">
        <v>27.04</v>
      </c>
      <c r="H6331" t="s">
        <v>4514</v>
      </c>
    </row>
    <row r="6332" spans="2:8" x14ac:dyDescent="0.2">
      <c r="B6332" t="s">
        <v>4428</v>
      </c>
      <c r="C6332" t="s">
        <v>12939</v>
      </c>
      <c r="D6332" t="s">
        <v>617</v>
      </c>
      <c r="E6332" t="s">
        <v>7127</v>
      </c>
      <c r="F6332">
        <v>457.8</v>
      </c>
      <c r="H6332" t="s">
        <v>1544</v>
      </c>
    </row>
    <row r="6333" spans="2:8" x14ac:dyDescent="0.2">
      <c r="B6333" t="s">
        <v>4428</v>
      </c>
      <c r="C6333" t="s">
        <v>12939</v>
      </c>
      <c r="D6333" t="s">
        <v>617</v>
      </c>
      <c r="E6333" t="s">
        <v>7128</v>
      </c>
      <c r="F6333">
        <v>57.23</v>
      </c>
      <c r="H6333" t="s">
        <v>1544</v>
      </c>
    </row>
    <row r="6334" spans="2:8" x14ac:dyDescent="0.2">
      <c r="B6334" t="s">
        <v>4428</v>
      </c>
      <c r="C6334" t="s">
        <v>12939</v>
      </c>
      <c r="D6334" t="s">
        <v>617</v>
      </c>
      <c r="E6334" t="s">
        <v>7129</v>
      </c>
      <c r="F6334">
        <v>205.68</v>
      </c>
      <c r="H6334" t="s">
        <v>4506</v>
      </c>
    </row>
    <row r="6335" spans="2:8" x14ac:dyDescent="0.2">
      <c r="B6335" t="s">
        <v>4428</v>
      </c>
      <c r="C6335" t="s">
        <v>12939</v>
      </c>
      <c r="D6335" t="s">
        <v>617</v>
      </c>
      <c r="E6335" t="s">
        <v>7130</v>
      </c>
      <c r="F6335">
        <v>457.12</v>
      </c>
      <c r="H6335" t="s">
        <v>4510</v>
      </c>
    </row>
    <row r="6336" spans="2:8" x14ac:dyDescent="0.2">
      <c r="B6336" t="s">
        <v>4428</v>
      </c>
      <c r="C6336" t="s">
        <v>12939</v>
      </c>
      <c r="D6336" t="s">
        <v>617</v>
      </c>
      <c r="E6336" t="s">
        <v>7131</v>
      </c>
      <c r="F6336">
        <v>436.13</v>
      </c>
      <c r="H6336" t="s">
        <v>4472</v>
      </c>
    </row>
    <row r="6337" spans="2:8" x14ac:dyDescent="0.2">
      <c r="B6337" t="s">
        <v>4428</v>
      </c>
      <c r="C6337" t="s">
        <v>12939</v>
      </c>
      <c r="D6337" t="s">
        <v>617</v>
      </c>
      <c r="E6337" t="s">
        <v>7132</v>
      </c>
      <c r="F6337">
        <v>218.06</v>
      </c>
      <c r="H6337" t="s">
        <v>4473</v>
      </c>
    </row>
    <row r="6338" spans="2:8" x14ac:dyDescent="0.2">
      <c r="B6338" t="s">
        <v>4428</v>
      </c>
      <c r="C6338" t="s">
        <v>12939</v>
      </c>
      <c r="D6338" t="s">
        <v>617</v>
      </c>
      <c r="E6338" t="s">
        <v>7133</v>
      </c>
      <c r="F6338">
        <v>65.2</v>
      </c>
      <c r="H6338" t="s">
        <v>4474</v>
      </c>
    </row>
    <row r="6339" spans="2:8" x14ac:dyDescent="0.2">
      <c r="B6339" t="s">
        <v>4428</v>
      </c>
      <c r="C6339" t="s">
        <v>12939</v>
      </c>
      <c r="D6339" t="s">
        <v>617</v>
      </c>
      <c r="E6339" t="s">
        <v>7134</v>
      </c>
      <c r="F6339">
        <v>42.24</v>
      </c>
      <c r="H6339" t="s">
        <v>4475</v>
      </c>
    </row>
    <row r="6340" spans="2:8" x14ac:dyDescent="0.2">
      <c r="B6340" t="s">
        <v>4428</v>
      </c>
      <c r="C6340" t="s">
        <v>12939</v>
      </c>
      <c r="D6340" t="s">
        <v>617</v>
      </c>
      <c r="E6340" t="s">
        <v>7135</v>
      </c>
      <c r="F6340">
        <v>399.66</v>
      </c>
      <c r="H6340" t="s">
        <v>4476</v>
      </c>
    </row>
    <row r="6341" spans="2:8" x14ac:dyDescent="0.2">
      <c r="B6341" t="s">
        <v>4428</v>
      </c>
      <c r="C6341" t="s">
        <v>12939</v>
      </c>
      <c r="D6341" t="s">
        <v>617</v>
      </c>
      <c r="E6341" t="s">
        <v>7136</v>
      </c>
      <c r="F6341">
        <v>101.4</v>
      </c>
      <c r="H6341" t="s">
        <v>2933</v>
      </c>
    </row>
    <row r="6342" spans="2:8" x14ac:dyDescent="0.2">
      <c r="B6342" t="s">
        <v>4428</v>
      </c>
      <c r="C6342" t="s">
        <v>12939</v>
      </c>
      <c r="D6342" t="s">
        <v>617</v>
      </c>
      <c r="E6342" t="s">
        <v>7137</v>
      </c>
      <c r="F6342">
        <v>146.4</v>
      </c>
      <c r="H6342" t="s">
        <v>2935</v>
      </c>
    </row>
    <row r="6343" spans="2:8" x14ac:dyDescent="0.2">
      <c r="B6343" t="s">
        <v>4428</v>
      </c>
      <c r="C6343" t="s">
        <v>12939</v>
      </c>
      <c r="D6343" t="s">
        <v>617</v>
      </c>
      <c r="E6343" t="s">
        <v>7138</v>
      </c>
      <c r="F6343">
        <v>38.049999999999997</v>
      </c>
      <c r="H6343" t="s">
        <v>4517</v>
      </c>
    </row>
    <row r="6344" spans="2:8" x14ac:dyDescent="0.2">
      <c r="B6344" t="s">
        <v>4428</v>
      </c>
      <c r="C6344" t="s">
        <v>12939</v>
      </c>
      <c r="D6344" t="s">
        <v>617</v>
      </c>
      <c r="E6344" t="s">
        <v>7139</v>
      </c>
      <c r="F6344">
        <v>378.22</v>
      </c>
      <c r="H6344" t="s">
        <v>2397</v>
      </c>
    </row>
    <row r="6345" spans="2:8" x14ac:dyDescent="0.2">
      <c r="B6345" t="s">
        <v>4428</v>
      </c>
      <c r="C6345" t="s">
        <v>12939</v>
      </c>
      <c r="D6345" t="s">
        <v>617</v>
      </c>
      <c r="E6345" t="s">
        <v>7140</v>
      </c>
      <c r="F6345">
        <v>70.02</v>
      </c>
      <c r="H6345" t="s">
        <v>4501</v>
      </c>
    </row>
    <row r="6346" spans="2:8" x14ac:dyDescent="0.2">
      <c r="B6346" t="s">
        <v>4428</v>
      </c>
      <c r="C6346" t="s">
        <v>12939</v>
      </c>
      <c r="D6346" t="s">
        <v>617</v>
      </c>
      <c r="E6346" t="s">
        <v>7141</v>
      </c>
      <c r="F6346">
        <v>398.97</v>
      </c>
      <c r="H6346" t="s">
        <v>2080</v>
      </c>
    </row>
    <row r="6347" spans="2:8" x14ac:dyDescent="0.2">
      <c r="B6347" t="s">
        <v>4428</v>
      </c>
      <c r="C6347" t="s">
        <v>12939</v>
      </c>
      <c r="D6347" t="s">
        <v>617</v>
      </c>
      <c r="E6347" t="s">
        <v>7142</v>
      </c>
      <c r="F6347">
        <v>152.93</v>
      </c>
      <c r="H6347" t="s">
        <v>2078</v>
      </c>
    </row>
    <row r="6348" spans="2:8" x14ac:dyDescent="0.2">
      <c r="B6348" t="s">
        <v>4428</v>
      </c>
      <c r="C6348" t="s">
        <v>12939</v>
      </c>
      <c r="D6348" t="s">
        <v>617</v>
      </c>
      <c r="E6348" t="s">
        <v>7143</v>
      </c>
      <c r="F6348">
        <v>161.91999999999999</v>
      </c>
      <c r="H6348" t="s">
        <v>2084</v>
      </c>
    </row>
    <row r="6349" spans="2:8" x14ac:dyDescent="0.2">
      <c r="B6349" t="s">
        <v>4428</v>
      </c>
      <c r="C6349" t="s">
        <v>12939</v>
      </c>
      <c r="D6349" t="s">
        <v>617</v>
      </c>
      <c r="E6349" t="s">
        <v>7144</v>
      </c>
      <c r="F6349">
        <v>246.8</v>
      </c>
      <c r="H6349" t="s">
        <v>2086</v>
      </c>
    </row>
    <row r="6350" spans="2:8" x14ac:dyDescent="0.2">
      <c r="B6350" t="s">
        <v>4428</v>
      </c>
      <c r="C6350" t="s">
        <v>12939</v>
      </c>
      <c r="D6350" t="s">
        <v>617</v>
      </c>
      <c r="E6350" t="s">
        <v>7145</v>
      </c>
      <c r="F6350">
        <v>345</v>
      </c>
      <c r="H6350" t="s">
        <v>4508</v>
      </c>
    </row>
    <row r="6351" spans="2:8" x14ac:dyDescent="0.2">
      <c r="B6351" t="s">
        <v>4428</v>
      </c>
      <c r="C6351" t="s">
        <v>12939</v>
      </c>
      <c r="D6351" t="s">
        <v>617</v>
      </c>
      <c r="E6351" t="s">
        <v>7146</v>
      </c>
      <c r="F6351">
        <v>522</v>
      </c>
      <c r="H6351" t="s">
        <v>1471</v>
      </c>
    </row>
    <row r="6352" spans="2:8" x14ac:dyDescent="0.2">
      <c r="B6352" t="s">
        <v>4428</v>
      </c>
      <c r="C6352" t="s">
        <v>12939</v>
      </c>
      <c r="D6352" t="s">
        <v>617</v>
      </c>
      <c r="E6352" t="s">
        <v>7147</v>
      </c>
      <c r="F6352">
        <v>136.08000000000001</v>
      </c>
      <c r="H6352" t="s">
        <v>1472</v>
      </c>
    </row>
    <row r="6353" spans="2:8" x14ac:dyDescent="0.2">
      <c r="B6353" t="s">
        <v>4428</v>
      </c>
      <c r="C6353" t="s">
        <v>12939</v>
      </c>
      <c r="D6353" t="s">
        <v>617</v>
      </c>
      <c r="E6353" t="s">
        <v>7148</v>
      </c>
      <c r="F6353">
        <v>132.43</v>
      </c>
      <c r="H6353" t="s">
        <v>4502</v>
      </c>
    </row>
    <row r="6354" spans="2:8" x14ac:dyDescent="0.2">
      <c r="B6354" t="s">
        <v>4428</v>
      </c>
      <c r="C6354" t="s">
        <v>12939</v>
      </c>
      <c r="D6354" t="s">
        <v>617</v>
      </c>
      <c r="E6354" t="s">
        <v>7149</v>
      </c>
      <c r="F6354">
        <v>157.08000000000001</v>
      </c>
      <c r="H6354" t="s">
        <v>4471</v>
      </c>
    </row>
    <row r="6355" spans="2:8" x14ac:dyDescent="0.2">
      <c r="B6355" t="s">
        <v>4428</v>
      </c>
      <c r="C6355" t="s">
        <v>12939</v>
      </c>
      <c r="D6355" t="s">
        <v>617</v>
      </c>
      <c r="E6355" t="s">
        <v>7150</v>
      </c>
      <c r="F6355">
        <v>141.6</v>
      </c>
      <c r="H6355" t="s">
        <v>4512</v>
      </c>
    </row>
    <row r="6356" spans="2:8" x14ac:dyDescent="0.2">
      <c r="B6356" t="s">
        <v>4428</v>
      </c>
      <c r="C6356" t="s">
        <v>12939</v>
      </c>
      <c r="D6356" t="s">
        <v>617</v>
      </c>
      <c r="E6356" t="s">
        <v>7151</v>
      </c>
      <c r="F6356">
        <v>26.37</v>
      </c>
      <c r="H6356" t="s">
        <v>2040</v>
      </c>
    </row>
    <row r="6357" spans="2:8" x14ac:dyDescent="0.2">
      <c r="B6357" t="s">
        <v>4428</v>
      </c>
      <c r="C6357" t="s">
        <v>12939</v>
      </c>
      <c r="D6357" t="s">
        <v>617</v>
      </c>
      <c r="E6357" t="s">
        <v>7152</v>
      </c>
      <c r="F6357">
        <v>21.1</v>
      </c>
      <c r="H6357" t="s">
        <v>2040</v>
      </c>
    </row>
    <row r="6358" spans="2:8" x14ac:dyDescent="0.2">
      <c r="B6358" t="s">
        <v>4428</v>
      </c>
      <c r="C6358" t="s">
        <v>12939</v>
      </c>
      <c r="D6358" t="s">
        <v>617</v>
      </c>
      <c r="E6358" t="s">
        <v>7153</v>
      </c>
      <c r="F6358">
        <v>372.6</v>
      </c>
      <c r="H6358" t="s">
        <v>2041</v>
      </c>
    </row>
    <row r="6359" spans="2:8" x14ac:dyDescent="0.2">
      <c r="B6359" t="s">
        <v>4428</v>
      </c>
      <c r="C6359" t="s">
        <v>12939</v>
      </c>
      <c r="D6359" t="s">
        <v>617</v>
      </c>
      <c r="E6359" t="s">
        <v>7154</v>
      </c>
      <c r="F6359">
        <v>93.15</v>
      </c>
      <c r="H6359" t="s">
        <v>2041</v>
      </c>
    </row>
    <row r="6360" spans="2:8" x14ac:dyDescent="0.2">
      <c r="B6360" t="s">
        <v>4428</v>
      </c>
      <c r="C6360" t="s">
        <v>12939</v>
      </c>
      <c r="D6360" t="s">
        <v>617</v>
      </c>
      <c r="E6360" t="s">
        <v>7155</v>
      </c>
      <c r="F6360">
        <v>279.45</v>
      </c>
      <c r="H6360" t="s">
        <v>2041</v>
      </c>
    </row>
    <row r="6361" spans="2:8" x14ac:dyDescent="0.2">
      <c r="B6361" t="s">
        <v>4428</v>
      </c>
      <c r="C6361" t="s">
        <v>12939</v>
      </c>
      <c r="D6361" t="s">
        <v>617</v>
      </c>
      <c r="E6361" t="s">
        <v>7156</v>
      </c>
      <c r="F6361">
        <v>100.08</v>
      </c>
      <c r="H6361" t="s">
        <v>1479</v>
      </c>
    </row>
    <row r="6362" spans="2:8" x14ac:dyDescent="0.2">
      <c r="B6362" t="s">
        <v>4428</v>
      </c>
      <c r="C6362" t="s">
        <v>12939</v>
      </c>
      <c r="D6362" t="s">
        <v>617</v>
      </c>
      <c r="E6362" t="s">
        <v>7157</v>
      </c>
      <c r="F6362">
        <v>25.02</v>
      </c>
      <c r="H6362" t="s">
        <v>1479</v>
      </c>
    </row>
    <row r="6363" spans="2:8" x14ac:dyDescent="0.2">
      <c r="B6363" t="s">
        <v>4428</v>
      </c>
      <c r="C6363" t="s">
        <v>12939</v>
      </c>
      <c r="D6363" t="s">
        <v>617</v>
      </c>
      <c r="E6363" t="s">
        <v>7158</v>
      </c>
      <c r="F6363">
        <v>75.06</v>
      </c>
      <c r="H6363" t="s">
        <v>1479</v>
      </c>
    </row>
    <row r="6364" spans="2:8" x14ac:dyDescent="0.2">
      <c r="B6364" t="s">
        <v>4428</v>
      </c>
      <c r="C6364" t="s">
        <v>12939</v>
      </c>
      <c r="D6364" t="s">
        <v>617</v>
      </c>
      <c r="E6364" t="s">
        <v>7159</v>
      </c>
      <c r="F6364">
        <v>260.64</v>
      </c>
      <c r="H6364" t="s">
        <v>4483</v>
      </c>
    </row>
    <row r="6365" spans="2:8" x14ac:dyDescent="0.2">
      <c r="B6365" t="s">
        <v>4428</v>
      </c>
      <c r="C6365" t="s">
        <v>12939</v>
      </c>
      <c r="D6365" t="s">
        <v>617</v>
      </c>
      <c r="E6365" t="s">
        <v>7160</v>
      </c>
      <c r="F6365">
        <v>709.2</v>
      </c>
      <c r="H6365" t="s">
        <v>4484</v>
      </c>
    </row>
    <row r="6366" spans="2:8" x14ac:dyDescent="0.2">
      <c r="B6366" t="s">
        <v>4428</v>
      </c>
      <c r="C6366" t="s">
        <v>12939</v>
      </c>
      <c r="D6366" t="s">
        <v>617</v>
      </c>
      <c r="E6366" t="s">
        <v>7161</v>
      </c>
      <c r="F6366">
        <v>2494.8000000000002</v>
      </c>
      <c r="H6366" t="s">
        <v>4485</v>
      </c>
    </row>
    <row r="6367" spans="2:8" x14ac:dyDescent="0.2">
      <c r="B6367" t="s">
        <v>4428</v>
      </c>
      <c r="C6367" t="s">
        <v>12939</v>
      </c>
      <c r="D6367" t="s">
        <v>617</v>
      </c>
      <c r="E6367" t="s">
        <v>7162</v>
      </c>
      <c r="F6367">
        <v>2494.8000000000002</v>
      </c>
      <c r="H6367" t="s">
        <v>4485</v>
      </c>
    </row>
    <row r="6368" spans="2:8" x14ac:dyDescent="0.2">
      <c r="B6368" t="s">
        <v>4428</v>
      </c>
      <c r="C6368" t="s">
        <v>12939</v>
      </c>
      <c r="D6368" t="s">
        <v>617</v>
      </c>
      <c r="E6368" t="s">
        <v>7163</v>
      </c>
      <c r="F6368">
        <v>644.4</v>
      </c>
      <c r="H6368" t="s">
        <v>2046</v>
      </c>
    </row>
    <row r="6369" spans="2:8" x14ac:dyDescent="0.2">
      <c r="B6369" t="s">
        <v>4428</v>
      </c>
      <c r="C6369" t="s">
        <v>12939</v>
      </c>
      <c r="D6369" t="s">
        <v>617</v>
      </c>
      <c r="E6369" t="s">
        <v>7164</v>
      </c>
      <c r="F6369">
        <v>171.36</v>
      </c>
      <c r="H6369" t="s">
        <v>4486</v>
      </c>
    </row>
    <row r="6370" spans="2:8" x14ac:dyDescent="0.2">
      <c r="B6370" t="s">
        <v>4428</v>
      </c>
      <c r="C6370" t="s">
        <v>12939</v>
      </c>
      <c r="D6370" t="s">
        <v>617</v>
      </c>
      <c r="E6370" t="s">
        <v>7165</v>
      </c>
      <c r="F6370">
        <v>236.48</v>
      </c>
      <c r="H6370" t="s">
        <v>1263</v>
      </c>
    </row>
    <row r="6371" spans="2:8" x14ac:dyDescent="0.2">
      <c r="B6371" t="s">
        <v>4428</v>
      </c>
      <c r="C6371" t="s">
        <v>12939</v>
      </c>
      <c r="D6371" t="s">
        <v>617</v>
      </c>
      <c r="E6371" t="s">
        <v>7166</v>
      </c>
      <c r="F6371">
        <v>79.760000000000005</v>
      </c>
      <c r="H6371" t="s">
        <v>2020</v>
      </c>
    </row>
    <row r="6372" spans="2:8" x14ac:dyDescent="0.2">
      <c r="B6372" t="s">
        <v>4428</v>
      </c>
      <c r="C6372" t="s">
        <v>12939</v>
      </c>
      <c r="D6372" t="s">
        <v>613</v>
      </c>
      <c r="E6372" t="s">
        <v>7167</v>
      </c>
      <c r="F6372">
        <v>2.1</v>
      </c>
      <c r="H6372" t="s">
        <v>6635</v>
      </c>
    </row>
    <row r="6373" spans="2:8" x14ac:dyDescent="0.2">
      <c r="B6373" t="s">
        <v>4428</v>
      </c>
      <c r="C6373" t="s">
        <v>12939</v>
      </c>
      <c r="D6373" t="s">
        <v>613</v>
      </c>
      <c r="E6373" t="s">
        <v>7168</v>
      </c>
      <c r="F6373">
        <v>9.9</v>
      </c>
      <c r="H6373" t="s">
        <v>2510</v>
      </c>
    </row>
    <row r="6374" spans="2:8" x14ac:dyDescent="0.2">
      <c r="B6374" t="s">
        <v>4428</v>
      </c>
      <c r="C6374" t="s">
        <v>12939</v>
      </c>
      <c r="D6374" t="s">
        <v>613</v>
      </c>
      <c r="E6374" t="s">
        <v>7169</v>
      </c>
      <c r="F6374">
        <v>15.96</v>
      </c>
      <c r="H6374" t="s">
        <v>7020</v>
      </c>
    </row>
    <row r="6375" spans="2:8" x14ac:dyDescent="0.2">
      <c r="B6375" t="s">
        <v>4428</v>
      </c>
      <c r="C6375" t="s">
        <v>12939</v>
      </c>
      <c r="D6375" t="s">
        <v>617</v>
      </c>
      <c r="E6375" t="s">
        <v>7171</v>
      </c>
      <c r="F6375">
        <v>194.27</v>
      </c>
      <c r="H6375" t="s">
        <v>2261</v>
      </c>
    </row>
    <row r="6376" spans="2:8" x14ac:dyDescent="0.2">
      <c r="B6376" t="s">
        <v>4428</v>
      </c>
      <c r="C6376" t="s">
        <v>12939</v>
      </c>
      <c r="D6376" t="s">
        <v>617</v>
      </c>
      <c r="E6376" t="s">
        <v>7172</v>
      </c>
      <c r="F6376">
        <v>634.58000000000004</v>
      </c>
      <c r="H6376" t="s">
        <v>1842</v>
      </c>
    </row>
    <row r="6377" spans="2:8" x14ac:dyDescent="0.2">
      <c r="B6377" t="s">
        <v>4428</v>
      </c>
      <c r="C6377" t="s">
        <v>12939</v>
      </c>
      <c r="D6377" t="s">
        <v>617</v>
      </c>
      <c r="E6377" t="s">
        <v>7173</v>
      </c>
      <c r="F6377">
        <v>1586.44</v>
      </c>
      <c r="H6377" t="s">
        <v>1842</v>
      </c>
    </row>
    <row r="6378" spans="2:8" x14ac:dyDescent="0.2">
      <c r="B6378" t="s">
        <v>4428</v>
      </c>
      <c r="C6378" t="s">
        <v>12939</v>
      </c>
      <c r="D6378" t="s">
        <v>617</v>
      </c>
      <c r="E6378" t="s">
        <v>7174</v>
      </c>
      <c r="F6378">
        <v>396.48</v>
      </c>
      <c r="H6378" t="s">
        <v>1843</v>
      </c>
    </row>
    <row r="6379" spans="2:8" x14ac:dyDescent="0.2">
      <c r="B6379" t="s">
        <v>4428</v>
      </c>
      <c r="C6379" t="s">
        <v>12939</v>
      </c>
      <c r="D6379" t="s">
        <v>617</v>
      </c>
      <c r="E6379" t="s">
        <v>7175</v>
      </c>
      <c r="F6379">
        <v>6292</v>
      </c>
      <c r="H6379" t="s">
        <v>1358</v>
      </c>
    </row>
    <row r="6380" spans="2:8" x14ac:dyDescent="0.2">
      <c r="B6380" t="s">
        <v>4428</v>
      </c>
      <c r="C6380" t="s">
        <v>12939</v>
      </c>
      <c r="D6380" t="s">
        <v>617</v>
      </c>
      <c r="E6380" t="s">
        <v>7177</v>
      </c>
      <c r="F6380">
        <v>634.58000000000004</v>
      </c>
      <c r="H6380" t="s">
        <v>1842</v>
      </c>
    </row>
    <row r="6381" spans="2:8" x14ac:dyDescent="0.2">
      <c r="B6381" t="s">
        <v>4428</v>
      </c>
      <c r="C6381" t="s">
        <v>12939</v>
      </c>
      <c r="D6381" t="s">
        <v>617</v>
      </c>
      <c r="E6381" t="s">
        <v>7178</v>
      </c>
      <c r="F6381">
        <v>113.28</v>
      </c>
      <c r="H6381" t="s">
        <v>1843</v>
      </c>
    </row>
    <row r="6382" spans="2:8" x14ac:dyDescent="0.2">
      <c r="B6382" t="s">
        <v>4428</v>
      </c>
      <c r="C6382" t="s">
        <v>12939</v>
      </c>
      <c r="D6382" t="s">
        <v>84</v>
      </c>
      <c r="E6382" t="s">
        <v>7179</v>
      </c>
      <c r="F6382">
        <v>3.84</v>
      </c>
      <c r="H6382" t="s">
        <v>7180</v>
      </c>
    </row>
    <row r="6383" spans="2:8" x14ac:dyDescent="0.2">
      <c r="B6383" t="s">
        <v>4428</v>
      </c>
      <c r="C6383" t="s">
        <v>12939</v>
      </c>
      <c r="D6383" t="s">
        <v>617</v>
      </c>
      <c r="E6383" t="s">
        <v>7181</v>
      </c>
      <c r="F6383">
        <v>77.900000000000006</v>
      </c>
      <c r="H6383" t="s">
        <v>4575</v>
      </c>
    </row>
    <row r="6384" spans="2:8" x14ac:dyDescent="0.2">
      <c r="B6384" t="s">
        <v>4428</v>
      </c>
      <c r="C6384" t="s">
        <v>12939</v>
      </c>
      <c r="D6384" t="s">
        <v>84</v>
      </c>
      <c r="E6384" t="s">
        <v>7182</v>
      </c>
      <c r="F6384">
        <v>5704.75</v>
      </c>
      <c r="G6384" t="s">
        <v>1209</v>
      </c>
    </row>
    <row r="6385" spans="2:8" x14ac:dyDescent="0.2">
      <c r="B6385" t="s">
        <v>4428</v>
      </c>
      <c r="C6385" t="s">
        <v>12939</v>
      </c>
      <c r="D6385" t="s">
        <v>84</v>
      </c>
      <c r="E6385" t="s">
        <v>7183</v>
      </c>
      <c r="F6385">
        <v>1303.7</v>
      </c>
      <c r="G6385" t="s">
        <v>1270</v>
      </c>
    </row>
    <row r="6386" spans="2:8" x14ac:dyDescent="0.2">
      <c r="B6386" t="s">
        <v>4428</v>
      </c>
      <c r="C6386" t="s">
        <v>12939</v>
      </c>
      <c r="D6386" t="s">
        <v>617</v>
      </c>
      <c r="E6386" t="s">
        <v>7185</v>
      </c>
      <c r="F6386">
        <v>23.58</v>
      </c>
      <c r="H6386" t="s">
        <v>1467</v>
      </c>
    </row>
    <row r="6387" spans="2:8" x14ac:dyDescent="0.2">
      <c r="B6387" t="s">
        <v>4428</v>
      </c>
      <c r="C6387" t="s">
        <v>12939</v>
      </c>
      <c r="D6387" t="s">
        <v>617</v>
      </c>
      <c r="E6387" t="s">
        <v>7186</v>
      </c>
      <c r="F6387">
        <v>18.29</v>
      </c>
      <c r="H6387" t="s">
        <v>1380</v>
      </c>
    </row>
    <row r="6388" spans="2:8" x14ac:dyDescent="0.2">
      <c r="B6388" t="s">
        <v>4428</v>
      </c>
      <c r="C6388" t="s">
        <v>12939</v>
      </c>
      <c r="D6388" t="s">
        <v>617</v>
      </c>
      <c r="E6388" t="s">
        <v>7187</v>
      </c>
      <c r="F6388">
        <v>1.36</v>
      </c>
      <c r="H6388" t="s">
        <v>1806</v>
      </c>
    </row>
    <row r="6389" spans="2:8" x14ac:dyDescent="0.2">
      <c r="B6389" t="s">
        <v>4428</v>
      </c>
      <c r="C6389" t="s">
        <v>12939</v>
      </c>
      <c r="D6389" t="s">
        <v>617</v>
      </c>
      <c r="E6389" t="s">
        <v>7188</v>
      </c>
      <c r="F6389">
        <v>6.06</v>
      </c>
      <c r="H6389" t="s">
        <v>2173</v>
      </c>
    </row>
    <row r="6390" spans="2:8" x14ac:dyDescent="0.2">
      <c r="B6390" t="s">
        <v>4428</v>
      </c>
      <c r="C6390" t="s">
        <v>12939</v>
      </c>
      <c r="D6390" t="s">
        <v>617</v>
      </c>
      <c r="E6390" t="s">
        <v>7189</v>
      </c>
      <c r="F6390">
        <v>26.23</v>
      </c>
      <c r="H6390" t="s">
        <v>1491</v>
      </c>
    </row>
    <row r="6391" spans="2:8" x14ac:dyDescent="0.2">
      <c r="B6391" t="s">
        <v>4428</v>
      </c>
      <c r="C6391" t="s">
        <v>12939</v>
      </c>
      <c r="D6391" t="s">
        <v>617</v>
      </c>
      <c r="E6391" t="s">
        <v>7190</v>
      </c>
      <c r="F6391">
        <v>35.07</v>
      </c>
      <c r="H6391" t="s">
        <v>2258</v>
      </c>
    </row>
    <row r="6392" spans="2:8" x14ac:dyDescent="0.2">
      <c r="B6392" t="s">
        <v>4428</v>
      </c>
      <c r="C6392" t="s">
        <v>12939</v>
      </c>
      <c r="D6392" t="s">
        <v>617</v>
      </c>
      <c r="E6392" t="s">
        <v>7191</v>
      </c>
      <c r="F6392">
        <v>33.36</v>
      </c>
      <c r="H6392" t="s">
        <v>2259</v>
      </c>
    </row>
    <row r="6393" spans="2:8" x14ac:dyDescent="0.2">
      <c r="B6393" t="s">
        <v>4428</v>
      </c>
      <c r="C6393" t="s">
        <v>12939</v>
      </c>
      <c r="D6393" t="s">
        <v>617</v>
      </c>
      <c r="E6393" t="s">
        <v>7192</v>
      </c>
      <c r="F6393">
        <v>19.12</v>
      </c>
      <c r="H6393" t="s">
        <v>2078</v>
      </c>
    </row>
    <row r="6394" spans="2:8" x14ac:dyDescent="0.2">
      <c r="B6394" t="s">
        <v>4428</v>
      </c>
      <c r="C6394" t="s">
        <v>12939</v>
      </c>
      <c r="D6394" t="s">
        <v>617</v>
      </c>
      <c r="E6394" t="s">
        <v>7193</v>
      </c>
      <c r="F6394">
        <v>65.25</v>
      </c>
      <c r="H6394" t="s">
        <v>1471</v>
      </c>
    </row>
    <row r="6395" spans="2:8" x14ac:dyDescent="0.2">
      <c r="B6395" t="s">
        <v>4428</v>
      </c>
      <c r="C6395" t="s">
        <v>12939</v>
      </c>
      <c r="D6395" t="s">
        <v>617</v>
      </c>
      <c r="E6395" t="s">
        <v>7194</v>
      </c>
      <c r="F6395">
        <v>17.010000000000002</v>
      </c>
      <c r="H6395" t="s">
        <v>1472</v>
      </c>
    </row>
    <row r="6396" spans="2:8" x14ac:dyDescent="0.2">
      <c r="B6396" t="s">
        <v>4428</v>
      </c>
      <c r="C6396" t="s">
        <v>12939</v>
      </c>
      <c r="D6396" t="s">
        <v>617</v>
      </c>
      <c r="E6396" t="s">
        <v>7195</v>
      </c>
      <c r="F6396">
        <v>1.83</v>
      </c>
      <c r="H6396" t="s">
        <v>7196</v>
      </c>
    </row>
    <row r="6397" spans="2:8" x14ac:dyDescent="0.2">
      <c r="B6397" t="s">
        <v>4428</v>
      </c>
      <c r="C6397" t="s">
        <v>12939</v>
      </c>
      <c r="D6397" t="s">
        <v>617</v>
      </c>
      <c r="E6397" t="s">
        <v>7197</v>
      </c>
      <c r="F6397">
        <v>4.34</v>
      </c>
      <c r="H6397" t="s">
        <v>1460</v>
      </c>
    </row>
    <row r="6398" spans="2:8" x14ac:dyDescent="0.2">
      <c r="B6398" t="s">
        <v>4428</v>
      </c>
      <c r="C6398" t="s">
        <v>12939</v>
      </c>
      <c r="D6398" t="s">
        <v>617</v>
      </c>
      <c r="E6398" t="s">
        <v>7198</v>
      </c>
      <c r="F6398">
        <v>35.130000000000003</v>
      </c>
      <c r="H6398" t="s">
        <v>1489</v>
      </c>
    </row>
    <row r="6399" spans="2:8" x14ac:dyDescent="0.2">
      <c r="B6399" t="s">
        <v>4428</v>
      </c>
      <c r="C6399" t="s">
        <v>12939</v>
      </c>
      <c r="D6399" t="s">
        <v>617</v>
      </c>
      <c r="E6399" t="s">
        <v>7199</v>
      </c>
      <c r="F6399">
        <v>55.71</v>
      </c>
      <c r="H6399" t="s">
        <v>1963</v>
      </c>
    </row>
    <row r="6400" spans="2:8" x14ac:dyDescent="0.2">
      <c r="B6400" t="s">
        <v>4428</v>
      </c>
      <c r="C6400" t="s">
        <v>12939</v>
      </c>
      <c r="D6400" t="s">
        <v>617</v>
      </c>
      <c r="E6400" t="s">
        <v>7200</v>
      </c>
      <c r="F6400">
        <v>93.15</v>
      </c>
      <c r="H6400" t="s">
        <v>2041</v>
      </c>
    </row>
    <row r="6401" spans="2:8" x14ac:dyDescent="0.2">
      <c r="B6401" t="s">
        <v>4428</v>
      </c>
      <c r="C6401" t="s">
        <v>12939</v>
      </c>
      <c r="D6401" t="s">
        <v>617</v>
      </c>
      <c r="E6401" t="s">
        <v>7201</v>
      </c>
      <c r="F6401">
        <v>25.02</v>
      </c>
      <c r="H6401" t="s">
        <v>1479</v>
      </c>
    </row>
    <row r="6402" spans="2:8" x14ac:dyDescent="0.2">
      <c r="B6402" t="s">
        <v>4428</v>
      </c>
      <c r="C6402" t="s">
        <v>12939</v>
      </c>
      <c r="D6402" t="s">
        <v>617</v>
      </c>
      <c r="E6402" t="s">
        <v>7202</v>
      </c>
      <c r="F6402">
        <v>32.409999999999997</v>
      </c>
      <c r="H6402" t="s">
        <v>2265</v>
      </c>
    </row>
    <row r="6403" spans="2:8" x14ac:dyDescent="0.2">
      <c r="B6403" t="s">
        <v>4428</v>
      </c>
      <c r="C6403" t="s">
        <v>12939</v>
      </c>
      <c r="D6403" t="s">
        <v>617</v>
      </c>
      <c r="E6403" t="s">
        <v>7203</v>
      </c>
      <c r="F6403">
        <v>13.59</v>
      </c>
      <c r="H6403" t="s">
        <v>7204</v>
      </c>
    </row>
    <row r="6404" spans="2:8" x14ac:dyDescent="0.2">
      <c r="B6404" t="s">
        <v>4428</v>
      </c>
      <c r="C6404" t="s">
        <v>12939</v>
      </c>
      <c r="D6404" t="s">
        <v>617</v>
      </c>
      <c r="E6404" t="s">
        <v>7205</v>
      </c>
      <c r="F6404">
        <v>37.78</v>
      </c>
      <c r="H6404" t="s">
        <v>2266</v>
      </c>
    </row>
    <row r="6405" spans="2:8" x14ac:dyDescent="0.2">
      <c r="B6405" t="s">
        <v>4428</v>
      </c>
      <c r="C6405" t="s">
        <v>12939</v>
      </c>
      <c r="D6405" t="s">
        <v>617</v>
      </c>
      <c r="E6405" t="s">
        <v>7206</v>
      </c>
      <c r="F6405">
        <v>4.2</v>
      </c>
      <c r="H6405" t="s">
        <v>1462</v>
      </c>
    </row>
    <row r="6406" spans="2:8" x14ac:dyDescent="0.2">
      <c r="B6406" t="s">
        <v>4428</v>
      </c>
      <c r="C6406" t="s">
        <v>12939</v>
      </c>
      <c r="D6406" t="s">
        <v>617</v>
      </c>
      <c r="E6406" t="s">
        <v>7207</v>
      </c>
      <c r="F6406">
        <v>289.99</v>
      </c>
      <c r="H6406" t="s">
        <v>2272</v>
      </c>
    </row>
    <row r="6407" spans="2:8" x14ac:dyDescent="0.2">
      <c r="B6407" t="s">
        <v>4428</v>
      </c>
      <c r="C6407" t="s">
        <v>12939</v>
      </c>
      <c r="D6407" t="s">
        <v>617</v>
      </c>
      <c r="E6407" t="s">
        <v>7208</v>
      </c>
      <c r="F6407">
        <v>7.84</v>
      </c>
      <c r="H6407" t="s">
        <v>2782</v>
      </c>
    </row>
    <row r="6408" spans="2:8" x14ac:dyDescent="0.2">
      <c r="B6408" t="s">
        <v>4428</v>
      </c>
      <c r="C6408" t="s">
        <v>12939</v>
      </c>
      <c r="D6408" t="s">
        <v>617</v>
      </c>
      <c r="E6408" t="s">
        <v>7209</v>
      </c>
      <c r="F6408">
        <v>72.900000000000006</v>
      </c>
      <c r="H6408" t="s">
        <v>4731</v>
      </c>
    </row>
    <row r="6409" spans="2:8" x14ac:dyDescent="0.2">
      <c r="B6409" t="s">
        <v>4428</v>
      </c>
      <c r="C6409" t="s">
        <v>12939</v>
      </c>
      <c r="D6409" t="s">
        <v>617</v>
      </c>
      <c r="E6409" t="s">
        <v>7210</v>
      </c>
      <c r="F6409">
        <v>364.5</v>
      </c>
      <c r="H6409" t="s">
        <v>4732</v>
      </c>
    </row>
    <row r="6410" spans="2:8" x14ac:dyDescent="0.2">
      <c r="B6410" t="s">
        <v>4428</v>
      </c>
      <c r="C6410" t="s">
        <v>12939</v>
      </c>
      <c r="D6410" t="s">
        <v>617</v>
      </c>
      <c r="E6410" t="s">
        <v>7211</v>
      </c>
      <c r="F6410">
        <v>19.89</v>
      </c>
      <c r="H6410" t="s">
        <v>4733</v>
      </c>
    </row>
    <row r="6411" spans="2:8" x14ac:dyDescent="0.2">
      <c r="B6411" t="s">
        <v>4428</v>
      </c>
      <c r="C6411" t="s">
        <v>12939</v>
      </c>
      <c r="D6411" t="s">
        <v>617</v>
      </c>
      <c r="E6411" t="s">
        <v>7212</v>
      </c>
      <c r="F6411">
        <v>173.7</v>
      </c>
      <c r="H6411" t="s">
        <v>4734</v>
      </c>
    </row>
    <row r="6412" spans="2:8" x14ac:dyDescent="0.2">
      <c r="B6412" t="s">
        <v>4428</v>
      </c>
      <c r="C6412" t="s">
        <v>12939</v>
      </c>
      <c r="D6412" t="s">
        <v>617</v>
      </c>
      <c r="E6412" t="s">
        <v>7213</v>
      </c>
      <c r="F6412">
        <v>4833.68</v>
      </c>
      <c r="H6412" t="s">
        <v>2275</v>
      </c>
    </row>
    <row r="6413" spans="2:8" x14ac:dyDescent="0.2">
      <c r="B6413" t="s">
        <v>4428</v>
      </c>
      <c r="C6413" t="s">
        <v>12939</v>
      </c>
      <c r="D6413" t="s">
        <v>617</v>
      </c>
      <c r="E6413" t="s">
        <v>7214</v>
      </c>
      <c r="F6413">
        <v>10690.35</v>
      </c>
      <c r="H6413" t="s">
        <v>2276</v>
      </c>
    </row>
    <row r="6414" spans="2:8" x14ac:dyDescent="0.2">
      <c r="B6414" t="s">
        <v>4428</v>
      </c>
      <c r="C6414" t="s">
        <v>12939</v>
      </c>
      <c r="D6414" t="s">
        <v>617</v>
      </c>
      <c r="E6414" t="s">
        <v>7215</v>
      </c>
      <c r="F6414">
        <v>4.51</v>
      </c>
      <c r="H6414" t="s">
        <v>1448</v>
      </c>
    </row>
    <row r="6415" spans="2:8" x14ac:dyDescent="0.2">
      <c r="B6415" t="s">
        <v>4428</v>
      </c>
      <c r="C6415" t="s">
        <v>12939</v>
      </c>
      <c r="D6415" t="s">
        <v>617</v>
      </c>
      <c r="E6415" t="s">
        <v>7216</v>
      </c>
      <c r="F6415">
        <v>3292.2</v>
      </c>
      <c r="H6415" t="s">
        <v>1845</v>
      </c>
    </row>
    <row r="6416" spans="2:8" x14ac:dyDescent="0.2">
      <c r="B6416" t="s">
        <v>4428</v>
      </c>
      <c r="C6416" t="s">
        <v>12939</v>
      </c>
      <c r="D6416" t="s">
        <v>617</v>
      </c>
      <c r="E6416" t="s">
        <v>7217</v>
      </c>
      <c r="F6416">
        <v>15.08</v>
      </c>
      <c r="H6416" t="s">
        <v>2013</v>
      </c>
    </row>
    <row r="6417" spans="2:8" x14ac:dyDescent="0.2">
      <c r="B6417" t="s">
        <v>4428</v>
      </c>
      <c r="C6417" t="s">
        <v>12939</v>
      </c>
      <c r="D6417" t="s">
        <v>617</v>
      </c>
      <c r="E6417" t="s">
        <v>7218</v>
      </c>
      <c r="F6417">
        <v>12.58</v>
      </c>
      <c r="H6417" t="s">
        <v>2014</v>
      </c>
    </row>
    <row r="6418" spans="2:8" x14ac:dyDescent="0.2">
      <c r="B6418" t="s">
        <v>4428</v>
      </c>
      <c r="C6418" t="s">
        <v>12939</v>
      </c>
      <c r="D6418" t="s">
        <v>617</v>
      </c>
      <c r="E6418" t="s">
        <v>7219</v>
      </c>
      <c r="F6418">
        <v>43.28</v>
      </c>
      <c r="G6418" t="s">
        <v>1616</v>
      </c>
    </row>
    <row r="6419" spans="2:8" x14ac:dyDescent="0.2">
      <c r="B6419" t="s">
        <v>4428</v>
      </c>
      <c r="C6419" t="s">
        <v>12939</v>
      </c>
      <c r="D6419" t="s">
        <v>1162</v>
      </c>
      <c r="E6419" t="s">
        <v>7220</v>
      </c>
      <c r="F6419">
        <v>4138.71</v>
      </c>
      <c r="G6419" t="s">
        <v>1212</v>
      </c>
    </row>
    <row r="6420" spans="2:8" x14ac:dyDescent="0.2">
      <c r="B6420" t="s">
        <v>4428</v>
      </c>
      <c r="C6420" t="s">
        <v>12939</v>
      </c>
      <c r="D6420" t="s">
        <v>1162</v>
      </c>
      <c r="E6420" t="s">
        <v>7221</v>
      </c>
      <c r="F6420">
        <v>4138.71</v>
      </c>
      <c r="G6420" t="s">
        <v>1212</v>
      </c>
    </row>
    <row r="6421" spans="2:8" x14ac:dyDescent="0.2">
      <c r="B6421" t="s">
        <v>4428</v>
      </c>
      <c r="C6421" t="s">
        <v>12939</v>
      </c>
      <c r="D6421" t="s">
        <v>1162</v>
      </c>
      <c r="E6421" t="s">
        <v>7222</v>
      </c>
      <c r="F6421">
        <v>8277.42</v>
      </c>
      <c r="G6421" t="s">
        <v>1212</v>
      </c>
    </row>
    <row r="6422" spans="2:8" x14ac:dyDescent="0.2">
      <c r="B6422" t="s">
        <v>4428</v>
      </c>
      <c r="C6422" t="s">
        <v>12939</v>
      </c>
      <c r="D6422" t="s">
        <v>1162</v>
      </c>
      <c r="E6422" t="s">
        <v>7223</v>
      </c>
      <c r="F6422">
        <v>2069.36</v>
      </c>
      <c r="G6422" t="s">
        <v>1212</v>
      </c>
    </row>
    <row r="6423" spans="2:8" x14ac:dyDescent="0.2">
      <c r="B6423" t="s">
        <v>4428</v>
      </c>
      <c r="C6423" t="s">
        <v>12939</v>
      </c>
      <c r="D6423" t="s">
        <v>1162</v>
      </c>
      <c r="E6423" t="s">
        <v>7224</v>
      </c>
      <c r="F6423">
        <v>2069.36</v>
      </c>
      <c r="G6423" t="s">
        <v>1212</v>
      </c>
    </row>
    <row r="6424" spans="2:8" x14ac:dyDescent="0.2">
      <c r="B6424" t="s">
        <v>4428</v>
      </c>
      <c r="C6424" t="s">
        <v>12939</v>
      </c>
      <c r="D6424" t="s">
        <v>617</v>
      </c>
      <c r="E6424" t="s">
        <v>7225</v>
      </c>
      <c r="F6424">
        <v>2131.0500000000002</v>
      </c>
      <c r="G6424" t="s">
        <v>1214</v>
      </c>
    </row>
    <row r="6425" spans="2:8" x14ac:dyDescent="0.2">
      <c r="B6425" t="s">
        <v>4428</v>
      </c>
      <c r="C6425" t="s">
        <v>12939</v>
      </c>
      <c r="D6425" t="s">
        <v>617</v>
      </c>
      <c r="E6425" t="s">
        <v>7226</v>
      </c>
      <c r="F6425">
        <v>2131.0500000000002</v>
      </c>
      <c r="G6425" t="s">
        <v>1214</v>
      </c>
    </row>
    <row r="6426" spans="2:8" x14ac:dyDescent="0.2">
      <c r="B6426" t="s">
        <v>4428</v>
      </c>
      <c r="C6426" t="s">
        <v>12939</v>
      </c>
      <c r="D6426" t="s">
        <v>617</v>
      </c>
      <c r="E6426" t="s">
        <v>7227</v>
      </c>
      <c r="F6426">
        <v>4262.1000000000004</v>
      </c>
      <c r="G6426" t="s">
        <v>1214</v>
      </c>
    </row>
    <row r="6427" spans="2:8" x14ac:dyDescent="0.2">
      <c r="B6427" t="s">
        <v>4428</v>
      </c>
      <c r="C6427" t="s">
        <v>12939</v>
      </c>
      <c r="D6427" t="s">
        <v>617</v>
      </c>
      <c r="E6427" t="s">
        <v>7228</v>
      </c>
      <c r="F6427">
        <v>1065.53</v>
      </c>
      <c r="G6427" t="s">
        <v>1214</v>
      </c>
    </row>
    <row r="6428" spans="2:8" x14ac:dyDescent="0.2">
      <c r="B6428" t="s">
        <v>4428</v>
      </c>
      <c r="C6428" t="s">
        <v>12939</v>
      </c>
      <c r="D6428" t="s">
        <v>617</v>
      </c>
      <c r="E6428" t="s">
        <v>7229</v>
      </c>
      <c r="F6428">
        <v>1065.53</v>
      </c>
      <c r="G6428" t="s">
        <v>1214</v>
      </c>
    </row>
    <row r="6429" spans="2:8" x14ac:dyDescent="0.2">
      <c r="B6429" t="s">
        <v>4428</v>
      </c>
      <c r="C6429" t="s">
        <v>12939</v>
      </c>
      <c r="D6429" t="s">
        <v>617</v>
      </c>
      <c r="E6429" t="s">
        <v>7230</v>
      </c>
      <c r="F6429">
        <v>93.28</v>
      </c>
      <c r="H6429" t="s">
        <v>4491</v>
      </c>
    </row>
    <row r="6430" spans="2:8" x14ac:dyDescent="0.2">
      <c r="B6430" t="s">
        <v>4428</v>
      </c>
      <c r="C6430" t="s">
        <v>12939</v>
      </c>
      <c r="D6430" t="s">
        <v>617</v>
      </c>
      <c r="E6430" t="s">
        <v>7231</v>
      </c>
      <c r="F6430">
        <v>100.45</v>
      </c>
      <c r="H6430" t="s">
        <v>4491</v>
      </c>
    </row>
    <row r="6431" spans="2:8" x14ac:dyDescent="0.2">
      <c r="B6431" t="s">
        <v>4428</v>
      </c>
      <c r="C6431" t="s">
        <v>12939</v>
      </c>
      <c r="D6431" t="s">
        <v>617</v>
      </c>
      <c r="E6431" t="s">
        <v>7232</v>
      </c>
      <c r="F6431">
        <v>21.53</v>
      </c>
      <c r="H6431" t="s">
        <v>4491</v>
      </c>
    </row>
    <row r="6432" spans="2:8" x14ac:dyDescent="0.2">
      <c r="B6432" t="s">
        <v>4428</v>
      </c>
      <c r="C6432" t="s">
        <v>12939</v>
      </c>
      <c r="D6432" t="s">
        <v>617</v>
      </c>
      <c r="E6432" t="s">
        <v>7233</v>
      </c>
      <c r="F6432">
        <v>189.46</v>
      </c>
      <c r="H6432" t="s">
        <v>4493</v>
      </c>
    </row>
    <row r="6433" spans="2:8" x14ac:dyDescent="0.2">
      <c r="B6433" t="s">
        <v>4428</v>
      </c>
      <c r="C6433" t="s">
        <v>12939</v>
      </c>
      <c r="D6433" t="s">
        <v>617</v>
      </c>
      <c r="E6433" t="s">
        <v>7234</v>
      </c>
      <c r="F6433">
        <v>121.07</v>
      </c>
      <c r="H6433" t="s">
        <v>4487</v>
      </c>
    </row>
    <row r="6434" spans="2:8" x14ac:dyDescent="0.2">
      <c r="B6434" t="s">
        <v>4428</v>
      </c>
      <c r="C6434" t="s">
        <v>12939</v>
      </c>
      <c r="D6434" t="s">
        <v>617</v>
      </c>
      <c r="E6434" t="s">
        <v>7235</v>
      </c>
      <c r="F6434">
        <v>158.32</v>
      </c>
      <c r="H6434" t="s">
        <v>4487</v>
      </c>
    </row>
    <row r="6435" spans="2:8" x14ac:dyDescent="0.2">
      <c r="B6435" t="s">
        <v>4428</v>
      </c>
      <c r="C6435" t="s">
        <v>12939</v>
      </c>
      <c r="D6435" t="s">
        <v>617</v>
      </c>
      <c r="E6435" t="s">
        <v>7236</v>
      </c>
      <c r="F6435">
        <v>304.08</v>
      </c>
      <c r="H6435" t="s">
        <v>4492</v>
      </c>
    </row>
    <row r="6436" spans="2:8" x14ac:dyDescent="0.2">
      <c r="B6436" t="s">
        <v>4428</v>
      </c>
      <c r="C6436" t="s">
        <v>12939</v>
      </c>
      <c r="D6436" t="s">
        <v>617</v>
      </c>
      <c r="E6436" t="s">
        <v>7237</v>
      </c>
      <c r="F6436">
        <v>43.2</v>
      </c>
      <c r="H6436" t="s">
        <v>4480</v>
      </c>
    </row>
    <row r="6437" spans="2:8" x14ac:dyDescent="0.2">
      <c r="B6437" t="s">
        <v>4428</v>
      </c>
      <c r="C6437" t="s">
        <v>12939</v>
      </c>
      <c r="D6437" t="s">
        <v>617</v>
      </c>
      <c r="E6437" t="s">
        <v>7238</v>
      </c>
      <c r="F6437">
        <v>43.2</v>
      </c>
      <c r="H6437" t="s">
        <v>4480</v>
      </c>
    </row>
    <row r="6438" spans="2:8" x14ac:dyDescent="0.2">
      <c r="B6438" t="s">
        <v>4428</v>
      </c>
      <c r="C6438" t="s">
        <v>12939</v>
      </c>
      <c r="D6438" t="s">
        <v>617</v>
      </c>
      <c r="E6438" t="s">
        <v>7239</v>
      </c>
      <c r="F6438">
        <v>100.8</v>
      </c>
      <c r="H6438" t="s">
        <v>4481</v>
      </c>
    </row>
    <row r="6439" spans="2:8" x14ac:dyDescent="0.2">
      <c r="B6439" t="s">
        <v>4428</v>
      </c>
      <c r="C6439" t="s">
        <v>12939</v>
      </c>
      <c r="D6439" t="s">
        <v>617</v>
      </c>
      <c r="E6439" t="s">
        <v>7240</v>
      </c>
      <c r="F6439">
        <v>345</v>
      </c>
      <c r="G6439" t="s">
        <v>4508</v>
      </c>
    </row>
    <row r="6440" spans="2:8" x14ac:dyDescent="0.2">
      <c r="B6440" t="s">
        <v>4428</v>
      </c>
      <c r="C6440" t="s">
        <v>12939</v>
      </c>
      <c r="D6440" t="s">
        <v>617</v>
      </c>
      <c r="E6440" t="s">
        <v>7241</v>
      </c>
      <c r="F6440">
        <v>345</v>
      </c>
      <c r="G6440" t="s">
        <v>4508</v>
      </c>
    </row>
    <row r="6441" spans="2:8" x14ac:dyDescent="0.2">
      <c r="B6441" t="s">
        <v>4428</v>
      </c>
      <c r="C6441" t="s">
        <v>12939</v>
      </c>
      <c r="D6441" t="s">
        <v>617</v>
      </c>
      <c r="E6441" t="s">
        <v>7242</v>
      </c>
      <c r="F6441">
        <v>1573</v>
      </c>
      <c r="H6441" t="s">
        <v>1377</v>
      </c>
    </row>
    <row r="6442" spans="2:8" x14ac:dyDescent="0.2">
      <c r="B6442" t="s">
        <v>4428</v>
      </c>
      <c r="C6442" t="s">
        <v>12939</v>
      </c>
      <c r="D6442" t="s">
        <v>617</v>
      </c>
      <c r="E6442" t="s">
        <v>7243</v>
      </c>
      <c r="F6442">
        <v>110.42</v>
      </c>
      <c r="H6442" t="s">
        <v>4656</v>
      </c>
    </row>
    <row r="6443" spans="2:8" x14ac:dyDescent="0.2">
      <c r="B6443" t="s">
        <v>4428</v>
      </c>
      <c r="C6443" t="s">
        <v>12939</v>
      </c>
      <c r="D6443" t="s">
        <v>617</v>
      </c>
      <c r="E6443" t="s">
        <v>7244</v>
      </c>
      <c r="F6443">
        <v>27.59</v>
      </c>
      <c r="H6443" t="s">
        <v>4658</v>
      </c>
    </row>
    <row r="6444" spans="2:8" x14ac:dyDescent="0.2">
      <c r="B6444" t="s">
        <v>4428</v>
      </c>
      <c r="C6444" t="s">
        <v>12939</v>
      </c>
      <c r="D6444" t="s">
        <v>613</v>
      </c>
      <c r="E6444" t="s">
        <v>7245</v>
      </c>
      <c r="F6444">
        <v>67.099999999999994</v>
      </c>
      <c r="G6444" t="s">
        <v>1878</v>
      </c>
    </row>
    <row r="6445" spans="2:8" x14ac:dyDescent="0.2">
      <c r="B6445" t="s">
        <v>4428</v>
      </c>
      <c r="C6445" t="s">
        <v>12939</v>
      </c>
      <c r="D6445" t="s">
        <v>617</v>
      </c>
      <c r="E6445" t="s">
        <v>7246</v>
      </c>
      <c r="F6445">
        <v>377.64</v>
      </c>
      <c r="G6445" t="s">
        <v>4443</v>
      </c>
    </row>
    <row r="6446" spans="2:8" x14ac:dyDescent="0.2">
      <c r="B6446" t="s">
        <v>4428</v>
      </c>
      <c r="C6446" t="s">
        <v>12939</v>
      </c>
      <c r="D6446" t="s">
        <v>617</v>
      </c>
      <c r="E6446" t="s">
        <v>7247</v>
      </c>
      <c r="F6446">
        <v>38.340000000000003</v>
      </c>
      <c r="H6446" t="s">
        <v>1477</v>
      </c>
    </row>
    <row r="6447" spans="2:8" x14ac:dyDescent="0.2">
      <c r="B6447" t="s">
        <v>4428</v>
      </c>
      <c r="C6447" t="s">
        <v>12939</v>
      </c>
      <c r="D6447" t="s">
        <v>617</v>
      </c>
      <c r="E6447" t="s">
        <v>7248</v>
      </c>
      <c r="F6447">
        <v>63.9</v>
      </c>
      <c r="H6447" t="s">
        <v>1478</v>
      </c>
    </row>
    <row r="6448" spans="2:8" x14ac:dyDescent="0.2">
      <c r="B6448" t="s">
        <v>4428</v>
      </c>
      <c r="C6448" t="s">
        <v>12939</v>
      </c>
      <c r="D6448" t="s">
        <v>617</v>
      </c>
      <c r="E6448" t="s">
        <v>7249</v>
      </c>
      <c r="F6448">
        <v>19.89</v>
      </c>
      <c r="H6448" t="s">
        <v>1737</v>
      </c>
    </row>
    <row r="6449" spans="2:8" x14ac:dyDescent="0.2">
      <c r="B6449" t="s">
        <v>4428</v>
      </c>
      <c r="C6449" t="s">
        <v>12939</v>
      </c>
      <c r="D6449" t="s">
        <v>613</v>
      </c>
      <c r="E6449" t="s">
        <v>7250</v>
      </c>
      <c r="F6449">
        <v>0.33</v>
      </c>
      <c r="G6449" t="s">
        <v>7251</v>
      </c>
    </row>
    <row r="6450" spans="2:8" x14ac:dyDescent="0.2">
      <c r="B6450" t="s">
        <v>4428</v>
      </c>
      <c r="C6450" t="s">
        <v>12939</v>
      </c>
      <c r="D6450" t="s">
        <v>613</v>
      </c>
      <c r="E6450" t="s">
        <v>7252</v>
      </c>
      <c r="F6450">
        <v>0.33</v>
      </c>
      <c r="G6450" t="s">
        <v>2513</v>
      </c>
    </row>
    <row r="6451" spans="2:8" x14ac:dyDescent="0.2">
      <c r="B6451" t="s">
        <v>4428</v>
      </c>
      <c r="C6451" t="s">
        <v>12939</v>
      </c>
      <c r="D6451" t="s">
        <v>617</v>
      </c>
      <c r="E6451" t="s">
        <v>7253</v>
      </c>
      <c r="F6451">
        <v>23.34</v>
      </c>
      <c r="H6451" t="s">
        <v>4498</v>
      </c>
    </row>
    <row r="6452" spans="2:8" x14ac:dyDescent="0.2">
      <c r="B6452" t="s">
        <v>4428</v>
      </c>
      <c r="C6452" t="s">
        <v>12939</v>
      </c>
      <c r="D6452" t="s">
        <v>617</v>
      </c>
      <c r="E6452" t="s">
        <v>7254</v>
      </c>
      <c r="F6452">
        <v>13.55</v>
      </c>
      <c r="H6452" t="s">
        <v>1806</v>
      </c>
    </row>
    <row r="6453" spans="2:8" x14ac:dyDescent="0.2">
      <c r="B6453" t="s">
        <v>4428</v>
      </c>
      <c r="C6453" t="s">
        <v>12939</v>
      </c>
      <c r="D6453" t="s">
        <v>617</v>
      </c>
      <c r="E6453" t="s">
        <v>7255</v>
      </c>
      <c r="F6453">
        <v>18.93</v>
      </c>
      <c r="H6453" t="s">
        <v>4501</v>
      </c>
    </row>
    <row r="6454" spans="2:8" x14ac:dyDescent="0.2">
      <c r="B6454" t="s">
        <v>4428</v>
      </c>
      <c r="C6454" t="s">
        <v>12939</v>
      </c>
      <c r="D6454" t="s">
        <v>617</v>
      </c>
      <c r="E6454" t="s">
        <v>7256</v>
      </c>
      <c r="F6454">
        <v>49.14</v>
      </c>
      <c r="H6454" t="s">
        <v>4816</v>
      </c>
    </row>
    <row r="6455" spans="2:8" x14ac:dyDescent="0.2">
      <c r="B6455" t="s">
        <v>4428</v>
      </c>
      <c r="C6455" t="s">
        <v>12939</v>
      </c>
      <c r="D6455" t="s">
        <v>617</v>
      </c>
      <c r="E6455" t="s">
        <v>7257</v>
      </c>
      <c r="F6455">
        <v>253.5</v>
      </c>
      <c r="G6455" t="s">
        <v>2174</v>
      </c>
    </row>
    <row r="6456" spans="2:8" x14ac:dyDescent="0.2">
      <c r="B6456" t="s">
        <v>4428</v>
      </c>
      <c r="C6456" t="s">
        <v>12939</v>
      </c>
      <c r="D6456" t="s">
        <v>617</v>
      </c>
      <c r="E6456" t="s">
        <v>7258</v>
      </c>
      <c r="F6456">
        <v>507</v>
      </c>
      <c r="G6456" t="s">
        <v>2174</v>
      </c>
    </row>
    <row r="6457" spans="2:8" x14ac:dyDescent="0.2">
      <c r="B6457" t="s">
        <v>4428</v>
      </c>
      <c r="C6457" t="s">
        <v>12939</v>
      </c>
      <c r="D6457" t="s">
        <v>617</v>
      </c>
      <c r="E6457" t="s">
        <v>7259</v>
      </c>
      <c r="F6457">
        <v>1370</v>
      </c>
      <c r="G6457" t="s">
        <v>1930</v>
      </c>
    </row>
    <row r="6458" spans="2:8" x14ac:dyDescent="0.2">
      <c r="B6458" t="s">
        <v>4428</v>
      </c>
      <c r="C6458" t="s">
        <v>12939</v>
      </c>
      <c r="D6458" t="s">
        <v>617</v>
      </c>
      <c r="E6458" t="s">
        <v>7260</v>
      </c>
      <c r="F6458">
        <v>12.58</v>
      </c>
      <c r="H6458" t="s">
        <v>2014</v>
      </c>
    </row>
    <row r="6459" spans="2:8" x14ac:dyDescent="0.2">
      <c r="B6459" t="s">
        <v>4428</v>
      </c>
      <c r="C6459" t="s">
        <v>12939</v>
      </c>
      <c r="D6459" t="s">
        <v>617</v>
      </c>
      <c r="E6459" t="s">
        <v>7261</v>
      </c>
      <c r="F6459">
        <v>14.22</v>
      </c>
      <c r="H6459" t="s">
        <v>1969</v>
      </c>
    </row>
    <row r="6460" spans="2:8" x14ac:dyDescent="0.2">
      <c r="B6460" t="s">
        <v>4428</v>
      </c>
      <c r="C6460" t="s">
        <v>12939</v>
      </c>
      <c r="D6460" t="s">
        <v>617</v>
      </c>
      <c r="E6460" t="s">
        <v>7262</v>
      </c>
      <c r="F6460">
        <v>184.32</v>
      </c>
      <c r="H6460" t="s">
        <v>4079</v>
      </c>
    </row>
    <row r="6461" spans="2:8" x14ac:dyDescent="0.2">
      <c r="B6461" t="s">
        <v>4428</v>
      </c>
      <c r="C6461" t="s">
        <v>12939</v>
      </c>
      <c r="D6461" t="s">
        <v>617</v>
      </c>
      <c r="E6461" t="s">
        <v>7263</v>
      </c>
      <c r="F6461">
        <v>122.82</v>
      </c>
      <c r="H6461" t="s">
        <v>4966</v>
      </c>
    </row>
    <row r="6462" spans="2:8" x14ac:dyDescent="0.2">
      <c r="B6462" t="s">
        <v>4428</v>
      </c>
      <c r="C6462" t="s">
        <v>12939</v>
      </c>
      <c r="D6462" t="s">
        <v>617</v>
      </c>
      <c r="E6462" t="s">
        <v>7264</v>
      </c>
      <c r="F6462">
        <v>47.07</v>
      </c>
      <c r="H6462" t="s">
        <v>4968</v>
      </c>
    </row>
    <row r="6463" spans="2:8" x14ac:dyDescent="0.2">
      <c r="B6463" t="s">
        <v>4428</v>
      </c>
      <c r="C6463" t="s">
        <v>12939</v>
      </c>
      <c r="D6463" t="s">
        <v>617</v>
      </c>
      <c r="E6463" t="s">
        <v>7265</v>
      </c>
      <c r="F6463">
        <v>212.66</v>
      </c>
      <c r="H6463" t="s">
        <v>4969</v>
      </c>
    </row>
    <row r="6464" spans="2:8" x14ac:dyDescent="0.2">
      <c r="B6464" t="s">
        <v>4428</v>
      </c>
      <c r="C6464" t="s">
        <v>12939</v>
      </c>
      <c r="D6464" t="s">
        <v>617</v>
      </c>
      <c r="E6464" t="s">
        <v>7266</v>
      </c>
      <c r="F6464">
        <v>16.350000000000001</v>
      </c>
      <c r="H6464" t="s">
        <v>4472</v>
      </c>
    </row>
    <row r="6465" spans="2:8" x14ac:dyDescent="0.2">
      <c r="B6465" t="s">
        <v>4428</v>
      </c>
      <c r="C6465" t="s">
        <v>12939</v>
      </c>
      <c r="D6465" t="s">
        <v>617</v>
      </c>
      <c r="E6465" t="s">
        <v>7267</v>
      </c>
      <c r="F6465">
        <v>38.159999999999997</v>
      </c>
      <c r="H6465" t="s">
        <v>4473</v>
      </c>
    </row>
    <row r="6466" spans="2:8" x14ac:dyDescent="0.2">
      <c r="B6466" t="s">
        <v>4428</v>
      </c>
      <c r="C6466" t="s">
        <v>12939</v>
      </c>
      <c r="D6466" t="s">
        <v>617</v>
      </c>
      <c r="E6466" t="s">
        <v>7268</v>
      </c>
      <c r="F6466">
        <v>78.540000000000006</v>
      </c>
      <c r="H6466" t="s">
        <v>4471</v>
      </c>
    </row>
    <row r="6467" spans="2:8" x14ac:dyDescent="0.2">
      <c r="B6467" t="s">
        <v>4428</v>
      </c>
      <c r="C6467" t="s">
        <v>12939</v>
      </c>
      <c r="D6467" t="s">
        <v>617</v>
      </c>
      <c r="E6467" t="s">
        <v>7269</v>
      </c>
      <c r="F6467">
        <v>8.39</v>
      </c>
      <c r="H6467" t="s">
        <v>4495</v>
      </c>
    </row>
    <row r="6468" spans="2:8" x14ac:dyDescent="0.2">
      <c r="B6468" t="s">
        <v>4428</v>
      </c>
      <c r="C6468" t="s">
        <v>12939</v>
      </c>
      <c r="D6468" t="s">
        <v>617</v>
      </c>
      <c r="E6468" t="s">
        <v>7270</v>
      </c>
      <c r="F6468">
        <v>25.53</v>
      </c>
      <c r="H6468" t="s">
        <v>4497</v>
      </c>
    </row>
    <row r="6469" spans="2:8" x14ac:dyDescent="0.2">
      <c r="B6469" t="s">
        <v>4428</v>
      </c>
      <c r="C6469" t="s">
        <v>12939</v>
      </c>
      <c r="D6469" t="s">
        <v>617</v>
      </c>
      <c r="E6469" t="s">
        <v>7271</v>
      </c>
      <c r="F6469">
        <v>147.80000000000001</v>
      </c>
      <c r="H6469" t="s">
        <v>1263</v>
      </c>
    </row>
    <row r="6470" spans="2:8" x14ac:dyDescent="0.2">
      <c r="B6470" t="s">
        <v>4428</v>
      </c>
      <c r="C6470" t="s">
        <v>12939</v>
      </c>
      <c r="D6470" t="s">
        <v>417</v>
      </c>
      <c r="E6470" t="s">
        <v>7272</v>
      </c>
      <c r="F6470">
        <v>3668.49</v>
      </c>
      <c r="G6470" t="s">
        <v>7273</v>
      </c>
    </row>
    <row r="6471" spans="2:8" x14ac:dyDescent="0.2">
      <c r="B6471" t="s">
        <v>4428</v>
      </c>
      <c r="C6471" t="s">
        <v>12940</v>
      </c>
      <c r="D6471" t="s">
        <v>613</v>
      </c>
      <c r="E6471" t="s">
        <v>7277</v>
      </c>
      <c r="F6471">
        <v>81.599999999999994</v>
      </c>
      <c r="H6471" t="s">
        <v>1437</v>
      </c>
    </row>
    <row r="6472" spans="2:8" x14ac:dyDescent="0.2">
      <c r="B6472" t="s">
        <v>4428</v>
      </c>
      <c r="C6472" t="s">
        <v>12940</v>
      </c>
      <c r="D6472" t="s">
        <v>554</v>
      </c>
      <c r="E6472" t="s">
        <v>7278</v>
      </c>
      <c r="F6472">
        <v>3572</v>
      </c>
      <c r="H6472" t="s">
        <v>4591</v>
      </c>
    </row>
    <row r="6473" spans="2:8" x14ac:dyDescent="0.2">
      <c r="B6473" t="s">
        <v>4428</v>
      </c>
      <c r="C6473" t="s">
        <v>12940</v>
      </c>
      <c r="D6473" t="s">
        <v>613</v>
      </c>
      <c r="E6473" t="s">
        <v>7283</v>
      </c>
      <c r="F6473">
        <v>136</v>
      </c>
      <c r="H6473" t="s">
        <v>1437</v>
      </c>
    </row>
    <row r="6474" spans="2:8" x14ac:dyDescent="0.2">
      <c r="B6474" t="s">
        <v>4428</v>
      </c>
      <c r="C6474" t="s">
        <v>12940</v>
      </c>
      <c r="D6474" t="s">
        <v>613</v>
      </c>
      <c r="E6474" t="s">
        <v>7284</v>
      </c>
      <c r="F6474">
        <v>108.8</v>
      </c>
      <c r="H6474" t="s">
        <v>1437</v>
      </c>
    </row>
    <row r="6475" spans="2:8" x14ac:dyDescent="0.2">
      <c r="B6475" t="s">
        <v>4428</v>
      </c>
      <c r="C6475" t="s">
        <v>12940</v>
      </c>
      <c r="D6475" t="s">
        <v>554</v>
      </c>
      <c r="E6475" t="s">
        <v>7285</v>
      </c>
      <c r="F6475">
        <v>13074</v>
      </c>
      <c r="H6475" t="s">
        <v>4593</v>
      </c>
    </row>
    <row r="6476" spans="2:8" x14ac:dyDescent="0.2">
      <c r="B6476" t="s">
        <v>4428</v>
      </c>
      <c r="C6476" t="s">
        <v>12940</v>
      </c>
      <c r="D6476" t="s">
        <v>613</v>
      </c>
      <c r="E6476" t="s">
        <v>7288</v>
      </c>
      <c r="F6476">
        <v>617.55999999999995</v>
      </c>
      <c r="H6476" t="s">
        <v>4594</v>
      </c>
    </row>
    <row r="6477" spans="2:8" x14ac:dyDescent="0.2">
      <c r="B6477" t="s">
        <v>4428</v>
      </c>
      <c r="C6477" t="s">
        <v>12940</v>
      </c>
      <c r="D6477" t="s">
        <v>613</v>
      </c>
      <c r="E6477" t="s">
        <v>7289</v>
      </c>
      <c r="F6477">
        <v>416</v>
      </c>
      <c r="H6477" t="s">
        <v>4448</v>
      </c>
    </row>
    <row r="6478" spans="2:8" x14ac:dyDescent="0.2">
      <c r="B6478" t="s">
        <v>4428</v>
      </c>
      <c r="C6478" t="s">
        <v>12940</v>
      </c>
      <c r="D6478" t="s">
        <v>84</v>
      </c>
      <c r="E6478" t="s">
        <v>7290</v>
      </c>
      <c r="F6478">
        <v>598.4</v>
      </c>
      <c r="H6478" t="s">
        <v>3553</v>
      </c>
    </row>
    <row r="6479" spans="2:8" x14ac:dyDescent="0.2">
      <c r="B6479" t="s">
        <v>4428</v>
      </c>
      <c r="C6479" t="s">
        <v>12940</v>
      </c>
      <c r="D6479" t="s">
        <v>613</v>
      </c>
      <c r="E6479" t="s">
        <v>7291</v>
      </c>
      <c r="F6479">
        <v>5472</v>
      </c>
      <c r="H6479" t="s">
        <v>2009</v>
      </c>
    </row>
    <row r="6480" spans="2:8" x14ac:dyDescent="0.2">
      <c r="B6480" t="s">
        <v>4428</v>
      </c>
      <c r="C6480" t="s">
        <v>12940</v>
      </c>
      <c r="D6480" t="s">
        <v>554</v>
      </c>
      <c r="E6480" t="s">
        <v>7292</v>
      </c>
      <c r="F6480">
        <v>24232</v>
      </c>
      <c r="H6480" t="s">
        <v>4655</v>
      </c>
    </row>
    <row r="6481" spans="2:8" x14ac:dyDescent="0.2">
      <c r="B6481" t="s">
        <v>4428</v>
      </c>
      <c r="C6481" t="s">
        <v>12940</v>
      </c>
      <c r="D6481" t="s">
        <v>554</v>
      </c>
      <c r="E6481" t="s">
        <v>7293</v>
      </c>
      <c r="F6481">
        <v>24232</v>
      </c>
      <c r="H6481" t="s">
        <v>4655</v>
      </c>
    </row>
    <row r="6482" spans="2:8" x14ac:dyDescent="0.2">
      <c r="B6482" t="s">
        <v>4428</v>
      </c>
      <c r="C6482" t="s">
        <v>12940</v>
      </c>
      <c r="D6482" t="s">
        <v>613</v>
      </c>
      <c r="E6482" t="s">
        <v>7294</v>
      </c>
      <c r="F6482">
        <v>64</v>
      </c>
      <c r="H6482" t="s">
        <v>3482</v>
      </c>
    </row>
    <row r="6483" spans="2:8" x14ac:dyDescent="0.2">
      <c r="B6483" t="s">
        <v>4428</v>
      </c>
      <c r="C6483" t="s">
        <v>12940</v>
      </c>
      <c r="D6483" t="s">
        <v>613</v>
      </c>
      <c r="E6483" t="s">
        <v>7295</v>
      </c>
      <c r="F6483">
        <v>344</v>
      </c>
      <c r="H6483" t="s">
        <v>3484</v>
      </c>
    </row>
    <row r="6484" spans="2:8" x14ac:dyDescent="0.2">
      <c r="B6484" t="s">
        <v>4428</v>
      </c>
      <c r="C6484" t="s">
        <v>12940</v>
      </c>
      <c r="D6484" t="s">
        <v>613</v>
      </c>
      <c r="E6484" t="s">
        <v>7296</v>
      </c>
      <c r="F6484">
        <v>33.6</v>
      </c>
      <c r="H6484" t="s">
        <v>3485</v>
      </c>
    </row>
    <row r="6485" spans="2:8" x14ac:dyDescent="0.2">
      <c r="B6485" t="s">
        <v>4428</v>
      </c>
      <c r="C6485" t="s">
        <v>12940</v>
      </c>
      <c r="D6485" t="s">
        <v>554</v>
      </c>
      <c r="E6485" t="s">
        <v>7297</v>
      </c>
      <c r="F6485">
        <v>12840</v>
      </c>
      <c r="G6485" t="s">
        <v>4632</v>
      </c>
    </row>
    <row r="6486" spans="2:8" x14ac:dyDescent="0.2">
      <c r="B6486" t="s">
        <v>4428</v>
      </c>
      <c r="C6486" t="s">
        <v>12940</v>
      </c>
      <c r="D6486" t="s">
        <v>554</v>
      </c>
      <c r="E6486" t="s">
        <v>7300</v>
      </c>
      <c r="F6486">
        <v>4815</v>
      </c>
      <c r="G6486" t="s">
        <v>4632</v>
      </c>
    </row>
    <row r="6487" spans="2:8" x14ac:dyDescent="0.2">
      <c r="B6487" t="s">
        <v>4428</v>
      </c>
      <c r="C6487" t="s">
        <v>12940</v>
      </c>
      <c r="D6487" t="s">
        <v>554</v>
      </c>
      <c r="E6487" t="s">
        <v>7303</v>
      </c>
      <c r="F6487">
        <v>700</v>
      </c>
      <c r="G6487" t="s">
        <v>4634</v>
      </c>
    </row>
    <row r="6488" spans="2:8" x14ac:dyDescent="0.2">
      <c r="B6488" t="s">
        <v>4428</v>
      </c>
      <c r="C6488" t="s">
        <v>12940</v>
      </c>
      <c r="D6488" t="s">
        <v>613</v>
      </c>
      <c r="E6488" t="s">
        <v>7305</v>
      </c>
      <c r="F6488">
        <v>94.5</v>
      </c>
      <c r="G6488" t="s">
        <v>1210</v>
      </c>
    </row>
    <row r="6489" spans="2:8" x14ac:dyDescent="0.2">
      <c r="B6489" t="s">
        <v>4428</v>
      </c>
      <c r="C6489" t="s">
        <v>12940</v>
      </c>
      <c r="D6489" t="s">
        <v>84</v>
      </c>
      <c r="E6489" t="s">
        <v>7311</v>
      </c>
      <c r="F6489">
        <v>205.7</v>
      </c>
      <c r="H6489" t="s">
        <v>3553</v>
      </c>
    </row>
    <row r="6490" spans="2:8" x14ac:dyDescent="0.2">
      <c r="B6490" t="s">
        <v>4428</v>
      </c>
      <c r="C6490" t="s">
        <v>12940</v>
      </c>
      <c r="D6490" t="s">
        <v>554</v>
      </c>
      <c r="E6490" t="s">
        <v>7312</v>
      </c>
      <c r="F6490">
        <v>27864</v>
      </c>
      <c r="H6490" t="s">
        <v>4761</v>
      </c>
    </row>
    <row r="6491" spans="2:8" x14ac:dyDescent="0.2">
      <c r="B6491" t="s">
        <v>4428</v>
      </c>
      <c r="C6491" t="s">
        <v>12940</v>
      </c>
      <c r="D6491" t="s">
        <v>613</v>
      </c>
      <c r="E6491" t="s">
        <v>7313</v>
      </c>
      <c r="F6491">
        <v>22.4</v>
      </c>
      <c r="H6491" t="s">
        <v>3482</v>
      </c>
    </row>
    <row r="6492" spans="2:8" x14ac:dyDescent="0.2">
      <c r="B6492" t="s">
        <v>4428</v>
      </c>
      <c r="C6492" t="s">
        <v>12940</v>
      </c>
      <c r="D6492" t="s">
        <v>613</v>
      </c>
      <c r="E6492" t="s">
        <v>7314</v>
      </c>
      <c r="F6492">
        <v>11.76</v>
      </c>
      <c r="H6492" t="s">
        <v>3485</v>
      </c>
    </row>
    <row r="6493" spans="2:8" x14ac:dyDescent="0.2">
      <c r="B6493" t="s">
        <v>4428</v>
      </c>
      <c r="C6493" t="s">
        <v>12940</v>
      </c>
      <c r="D6493" t="s">
        <v>613</v>
      </c>
      <c r="E6493" t="s">
        <v>7315</v>
      </c>
      <c r="F6493">
        <v>120.4</v>
      </c>
      <c r="H6493" t="s">
        <v>3484</v>
      </c>
    </row>
    <row r="6494" spans="2:8" x14ac:dyDescent="0.2">
      <c r="B6494" t="s">
        <v>4428</v>
      </c>
      <c r="C6494" t="s">
        <v>12940</v>
      </c>
      <c r="D6494" t="s">
        <v>84</v>
      </c>
      <c r="E6494" t="s">
        <v>7318</v>
      </c>
      <c r="F6494">
        <v>44.88</v>
      </c>
      <c r="H6494" t="s">
        <v>3553</v>
      </c>
    </row>
    <row r="6495" spans="2:8" x14ac:dyDescent="0.2">
      <c r="B6495" t="s">
        <v>4428</v>
      </c>
      <c r="C6495" t="s">
        <v>12940</v>
      </c>
      <c r="D6495" t="s">
        <v>554</v>
      </c>
      <c r="E6495" t="s">
        <v>7319</v>
      </c>
      <c r="F6495">
        <v>5758</v>
      </c>
      <c r="H6495" t="s">
        <v>4762</v>
      </c>
    </row>
    <row r="6496" spans="2:8" x14ac:dyDescent="0.2">
      <c r="B6496" t="s">
        <v>4428</v>
      </c>
      <c r="C6496" t="s">
        <v>12940</v>
      </c>
      <c r="D6496" t="s">
        <v>613</v>
      </c>
      <c r="E6496" t="s">
        <v>7320</v>
      </c>
      <c r="F6496">
        <v>4.8</v>
      </c>
      <c r="H6496" t="s">
        <v>3482</v>
      </c>
    </row>
    <row r="6497" spans="2:8" x14ac:dyDescent="0.2">
      <c r="B6497" t="s">
        <v>4428</v>
      </c>
      <c r="C6497" t="s">
        <v>12940</v>
      </c>
      <c r="D6497" t="s">
        <v>613</v>
      </c>
      <c r="E6497" t="s">
        <v>7321</v>
      </c>
      <c r="F6497">
        <v>25.8</v>
      </c>
      <c r="H6497" t="s">
        <v>3484</v>
      </c>
    </row>
    <row r="6498" spans="2:8" x14ac:dyDescent="0.2">
      <c r="B6498" t="s">
        <v>4428</v>
      </c>
      <c r="C6498" t="s">
        <v>12940</v>
      </c>
      <c r="D6498" t="s">
        <v>613</v>
      </c>
      <c r="E6498" t="s">
        <v>7322</v>
      </c>
      <c r="F6498">
        <v>2.52</v>
      </c>
      <c r="H6498" t="s">
        <v>3485</v>
      </c>
    </row>
    <row r="6499" spans="2:8" x14ac:dyDescent="0.2">
      <c r="B6499" t="s">
        <v>4428</v>
      </c>
      <c r="C6499" t="s">
        <v>12940</v>
      </c>
      <c r="D6499" t="s">
        <v>534</v>
      </c>
      <c r="E6499" t="s">
        <v>7323</v>
      </c>
      <c r="F6499">
        <v>52200</v>
      </c>
      <c r="G6499" t="s">
        <v>1566</v>
      </c>
    </row>
    <row r="6500" spans="2:8" x14ac:dyDescent="0.2">
      <c r="B6500" t="s">
        <v>4428</v>
      </c>
      <c r="C6500" t="s">
        <v>12940</v>
      </c>
      <c r="D6500" t="s">
        <v>534</v>
      </c>
      <c r="E6500" t="s">
        <v>7325</v>
      </c>
      <c r="F6500">
        <v>26100</v>
      </c>
      <c r="G6500" t="s">
        <v>1566</v>
      </c>
    </row>
    <row r="6501" spans="2:8" x14ac:dyDescent="0.2">
      <c r="B6501" t="s">
        <v>4428</v>
      </c>
      <c r="C6501" t="s">
        <v>12940</v>
      </c>
      <c r="D6501" t="s">
        <v>613</v>
      </c>
      <c r="E6501" t="s">
        <v>7328</v>
      </c>
      <c r="F6501">
        <v>56.45</v>
      </c>
      <c r="H6501" t="s">
        <v>1567</v>
      </c>
    </row>
    <row r="6502" spans="2:8" x14ac:dyDescent="0.2">
      <c r="B6502" t="s">
        <v>4428</v>
      </c>
      <c r="C6502" t="s">
        <v>12940</v>
      </c>
      <c r="D6502" t="s">
        <v>554</v>
      </c>
      <c r="E6502" t="s">
        <v>7329</v>
      </c>
      <c r="F6502">
        <v>4320</v>
      </c>
      <c r="H6502" t="s">
        <v>4701</v>
      </c>
    </row>
    <row r="6503" spans="2:8" x14ac:dyDescent="0.2">
      <c r="B6503" t="s">
        <v>4428</v>
      </c>
      <c r="C6503" t="s">
        <v>12940</v>
      </c>
      <c r="D6503" t="s">
        <v>613</v>
      </c>
      <c r="E6503" t="s">
        <v>7331</v>
      </c>
      <c r="F6503">
        <v>24.7</v>
      </c>
      <c r="H6503" t="s">
        <v>1567</v>
      </c>
    </row>
    <row r="6504" spans="2:8" x14ac:dyDescent="0.2">
      <c r="B6504" t="s">
        <v>4428</v>
      </c>
      <c r="C6504" t="s">
        <v>12940</v>
      </c>
      <c r="D6504" t="s">
        <v>554</v>
      </c>
      <c r="E6504" t="s">
        <v>7332</v>
      </c>
      <c r="F6504">
        <v>2478</v>
      </c>
      <c r="H6504" t="s">
        <v>4703</v>
      </c>
    </row>
    <row r="6505" spans="2:8" x14ac:dyDescent="0.2">
      <c r="B6505" t="s">
        <v>4428</v>
      </c>
      <c r="C6505" t="s">
        <v>12940</v>
      </c>
      <c r="D6505" t="s">
        <v>613</v>
      </c>
      <c r="E6505" t="s">
        <v>7333</v>
      </c>
      <c r="F6505">
        <v>10879.37</v>
      </c>
      <c r="G6505" t="s">
        <v>1576</v>
      </c>
    </row>
    <row r="6506" spans="2:8" x14ac:dyDescent="0.2">
      <c r="B6506" t="s">
        <v>4428</v>
      </c>
      <c r="C6506" t="s">
        <v>12940</v>
      </c>
      <c r="D6506" t="s">
        <v>613</v>
      </c>
      <c r="E6506" t="s">
        <v>7334</v>
      </c>
      <c r="F6506">
        <v>4184.37</v>
      </c>
      <c r="G6506" t="s">
        <v>1577</v>
      </c>
    </row>
    <row r="6507" spans="2:8" x14ac:dyDescent="0.2">
      <c r="B6507" t="s">
        <v>4428</v>
      </c>
      <c r="C6507" t="s">
        <v>12940</v>
      </c>
      <c r="D6507" t="s">
        <v>613</v>
      </c>
      <c r="E6507" t="s">
        <v>7335</v>
      </c>
      <c r="F6507">
        <v>570.02</v>
      </c>
      <c r="G6507" t="s">
        <v>4741</v>
      </c>
    </row>
    <row r="6508" spans="2:8" x14ac:dyDescent="0.2">
      <c r="B6508" t="s">
        <v>4428</v>
      </c>
      <c r="C6508" t="s">
        <v>12940</v>
      </c>
      <c r="D6508" t="s">
        <v>554</v>
      </c>
      <c r="E6508" t="s">
        <v>7336</v>
      </c>
      <c r="F6508">
        <v>10680</v>
      </c>
      <c r="G6508" t="s">
        <v>4791</v>
      </c>
    </row>
    <row r="6509" spans="2:8" x14ac:dyDescent="0.2">
      <c r="B6509" t="s">
        <v>4428</v>
      </c>
      <c r="C6509" t="s">
        <v>12940</v>
      </c>
      <c r="D6509" t="s">
        <v>554</v>
      </c>
      <c r="E6509" t="s">
        <v>7337</v>
      </c>
      <c r="F6509">
        <v>2250</v>
      </c>
      <c r="G6509" t="s">
        <v>4724</v>
      </c>
    </row>
    <row r="6510" spans="2:8" x14ac:dyDescent="0.2">
      <c r="B6510" t="s">
        <v>4428</v>
      </c>
      <c r="C6510" t="s">
        <v>12940</v>
      </c>
      <c r="D6510" t="s">
        <v>554</v>
      </c>
      <c r="E6510" t="s">
        <v>7338</v>
      </c>
      <c r="F6510">
        <v>1110</v>
      </c>
      <c r="G6510" t="s">
        <v>4726</v>
      </c>
    </row>
    <row r="6511" spans="2:8" x14ac:dyDescent="0.2">
      <c r="B6511" t="s">
        <v>4428</v>
      </c>
      <c r="C6511" t="s">
        <v>12940</v>
      </c>
      <c r="D6511" t="s">
        <v>554</v>
      </c>
      <c r="E6511" t="s">
        <v>7339</v>
      </c>
      <c r="F6511">
        <v>1428.05</v>
      </c>
      <c r="G6511" t="s">
        <v>4773</v>
      </c>
    </row>
    <row r="6512" spans="2:8" x14ac:dyDescent="0.2">
      <c r="B6512" t="s">
        <v>4428</v>
      </c>
      <c r="C6512" t="s">
        <v>12940</v>
      </c>
      <c r="D6512" t="s">
        <v>554</v>
      </c>
      <c r="E6512" t="s">
        <v>7340</v>
      </c>
      <c r="F6512">
        <v>10500</v>
      </c>
      <c r="G6512" t="s">
        <v>4704</v>
      </c>
    </row>
    <row r="6513" spans="2:8" x14ac:dyDescent="0.2">
      <c r="B6513" t="s">
        <v>4428</v>
      </c>
      <c r="C6513" t="s">
        <v>12940</v>
      </c>
      <c r="D6513" t="s">
        <v>554</v>
      </c>
      <c r="E6513" t="s">
        <v>7341</v>
      </c>
      <c r="F6513">
        <v>16152</v>
      </c>
      <c r="G6513" t="s">
        <v>4794</v>
      </c>
    </row>
    <row r="6514" spans="2:8" x14ac:dyDescent="0.2">
      <c r="B6514" t="s">
        <v>4428</v>
      </c>
      <c r="C6514" t="s">
        <v>12940</v>
      </c>
      <c r="D6514" t="s">
        <v>554</v>
      </c>
      <c r="E6514" t="s">
        <v>7343</v>
      </c>
      <c r="F6514">
        <v>7986</v>
      </c>
      <c r="H6514" t="s">
        <v>4754</v>
      </c>
    </row>
    <row r="6515" spans="2:8" x14ac:dyDescent="0.2">
      <c r="B6515" t="s">
        <v>4428</v>
      </c>
      <c r="C6515" t="s">
        <v>12940</v>
      </c>
      <c r="D6515" t="s">
        <v>613</v>
      </c>
      <c r="E6515" t="s">
        <v>7345</v>
      </c>
      <c r="F6515">
        <v>195.84</v>
      </c>
      <c r="H6515" t="s">
        <v>7024</v>
      </c>
    </row>
    <row r="6516" spans="2:8" x14ac:dyDescent="0.2">
      <c r="B6516" t="s">
        <v>4428</v>
      </c>
      <c r="C6516" t="s">
        <v>12940</v>
      </c>
      <c r="D6516" t="s">
        <v>613</v>
      </c>
      <c r="E6516" t="s">
        <v>7346</v>
      </c>
      <c r="F6516">
        <v>16.8</v>
      </c>
      <c r="H6516" t="s">
        <v>7347</v>
      </c>
    </row>
    <row r="6517" spans="2:8" x14ac:dyDescent="0.2">
      <c r="B6517" t="s">
        <v>4428</v>
      </c>
      <c r="C6517" t="s">
        <v>12940</v>
      </c>
      <c r="D6517" t="s">
        <v>613</v>
      </c>
      <c r="E6517" t="s">
        <v>7348</v>
      </c>
      <c r="F6517">
        <v>1085.04</v>
      </c>
      <c r="H6517" t="s">
        <v>1585</v>
      </c>
    </row>
    <row r="6518" spans="2:8" x14ac:dyDescent="0.2">
      <c r="B6518" t="s">
        <v>4428</v>
      </c>
      <c r="C6518" t="s">
        <v>12940</v>
      </c>
      <c r="D6518" t="s">
        <v>613</v>
      </c>
      <c r="E6518" t="s">
        <v>7349</v>
      </c>
      <c r="F6518">
        <v>2515.6799999999998</v>
      </c>
      <c r="H6518" t="s">
        <v>1587</v>
      </c>
    </row>
    <row r="6519" spans="2:8" x14ac:dyDescent="0.2">
      <c r="B6519" t="s">
        <v>4428</v>
      </c>
      <c r="C6519" t="s">
        <v>12940</v>
      </c>
      <c r="D6519" t="s">
        <v>613</v>
      </c>
      <c r="E6519" t="s">
        <v>7350</v>
      </c>
      <c r="F6519">
        <v>338.4</v>
      </c>
      <c r="H6519" t="s">
        <v>1723</v>
      </c>
    </row>
    <row r="6520" spans="2:8" x14ac:dyDescent="0.2">
      <c r="B6520" t="s">
        <v>4428</v>
      </c>
      <c r="C6520" t="s">
        <v>12940</v>
      </c>
      <c r="D6520" t="s">
        <v>613</v>
      </c>
      <c r="E6520" t="s">
        <v>7351</v>
      </c>
      <c r="F6520">
        <v>92</v>
      </c>
      <c r="H6520" t="s">
        <v>1724</v>
      </c>
    </row>
    <row r="6521" spans="2:8" x14ac:dyDescent="0.2">
      <c r="B6521" t="s">
        <v>4428</v>
      </c>
      <c r="C6521" t="s">
        <v>12940</v>
      </c>
      <c r="D6521" t="s">
        <v>613</v>
      </c>
      <c r="E6521" t="s">
        <v>7352</v>
      </c>
      <c r="F6521">
        <v>104.4</v>
      </c>
      <c r="H6521" t="s">
        <v>1588</v>
      </c>
    </row>
    <row r="6522" spans="2:8" x14ac:dyDescent="0.2">
      <c r="B6522" t="s">
        <v>4428</v>
      </c>
      <c r="C6522" t="s">
        <v>12940</v>
      </c>
      <c r="D6522" t="s">
        <v>554</v>
      </c>
      <c r="E6522" t="s">
        <v>7353</v>
      </c>
      <c r="F6522">
        <v>77328</v>
      </c>
      <c r="H6522" t="s">
        <v>4352</v>
      </c>
    </row>
    <row r="6523" spans="2:8" x14ac:dyDescent="0.2">
      <c r="B6523" t="s">
        <v>4428</v>
      </c>
      <c r="C6523" t="s">
        <v>12940</v>
      </c>
      <c r="D6523" t="s">
        <v>613</v>
      </c>
      <c r="E6523" t="s">
        <v>7354</v>
      </c>
      <c r="F6523">
        <v>2.52</v>
      </c>
      <c r="H6523" t="s">
        <v>7355</v>
      </c>
    </row>
    <row r="6524" spans="2:8" x14ac:dyDescent="0.2">
      <c r="B6524" t="s">
        <v>4428</v>
      </c>
      <c r="C6524" t="s">
        <v>12940</v>
      </c>
      <c r="D6524" t="s">
        <v>617</v>
      </c>
      <c r="E6524" t="s">
        <v>7357</v>
      </c>
      <c r="F6524">
        <v>4728</v>
      </c>
      <c r="H6524" t="s">
        <v>2160</v>
      </c>
    </row>
    <row r="6525" spans="2:8" x14ac:dyDescent="0.2">
      <c r="B6525" t="s">
        <v>4428</v>
      </c>
      <c r="C6525" t="s">
        <v>12940</v>
      </c>
      <c r="D6525" t="s">
        <v>617</v>
      </c>
      <c r="E6525" t="s">
        <v>7358</v>
      </c>
      <c r="F6525">
        <v>312</v>
      </c>
      <c r="H6525" t="s">
        <v>2161</v>
      </c>
    </row>
    <row r="6526" spans="2:8" x14ac:dyDescent="0.2">
      <c r="B6526" t="s">
        <v>4428</v>
      </c>
      <c r="C6526" t="s">
        <v>12940</v>
      </c>
      <c r="D6526" t="s">
        <v>617</v>
      </c>
      <c r="E6526" t="s">
        <v>7359</v>
      </c>
      <c r="F6526">
        <v>204</v>
      </c>
      <c r="H6526" t="s">
        <v>2162</v>
      </c>
    </row>
    <row r="6527" spans="2:8" x14ac:dyDescent="0.2">
      <c r="B6527" t="s">
        <v>4428</v>
      </c>
      <c r="C6527" t="s">
        <v>12940</v>
      </c>
      <c r="D6527" t="s">
        <v>554</v>
      </c>
      <c r="E6527" t="s">
        <v>7360</v>
      </c>
      <c r="F6527">
        <v>1168</v>
      </c>
      <c r="H6527" t="s">
        <v>4807</v>
      </c>
    </row>
    <row r="6528" spans="2:8" x14ac:dyDescent="0.2">
      <c r="B6528" t="s">
        <v>4428</v>
      </c>
      <c r="C6528" t="s">
        <v>12940</v>
      </c>
      <c r="D6528" t="s">
        <v>554</v>
      </c>
      <c r="E6528" t="s">
        <v>7361</v>
      </c>
      <c r="F6528">
        <v>10981</v>
      </c>
      <c r="H6528" t="s">
        <v>4868</v>
      </c>
    </row>
    <row r="6529" spans="2:8" x14ac:dyDescent="0.2">
      <c r="B6529" t="s">
        <v>4428</v>
      </c>
      <c r="C6529" t="s">
        <v>12940</v>
      </c>
      <c r="D6529" t="s">
        <v>554</v>
      </c>
      <c r="E6529" t="s">
        <v>7363</v>
      </c>
      <c r="F6529">
        <v>6220</v>
      </c>
      <c r="H6529" t="s">
        <v>4786</v>
      </c>
    </row>
    <row r="6530" spans="2:8" x14ac:dyDescent="0.2">
      <c r="B6530" t="s">
        <v>4428</v>
      </c>
      <c r="C6530" t="s">
        <v>12940</v>
      </c>
      <c r="D6530" t="s">
        <v>613</v>
      </c>
      <c r="E6530" t="s">
        <v>7364</v>
      </c>
      <c r="F6530">
        <v>17.82</v>
      </c>
      <c r="H6530" t="s">
        <v>1773</v>
      </c>
    </row>
    <row r="6531" spans="2:8" x14ac:dyDescent="0.2">
      <c r="B6531" t="s">
        <v>4428</v>
      </c>
      <c r="C6531" t="s">
        <v>12940</v>
      </c>
      <c r="D6531" t="s">
        <v>613</v>
      </c>
      <c r="E6531" t="s">
        <v>7365</v>
      </c>
      <c r="F6531">
        <v>8.99</v>
      </c>
      <c r="H6531" t="s">
        <v>1775</v>
      </c>
    </row>
    <row r="6532" spans="2:8" x14ac:dyDescent="0.2">
      <c r="B6532" t="s">
        <v>4428</v>
      </c>
      <c r="C6532" t="s">
        <v>12940</v>
      </c>
      <c r="D6532" t="s">
        <v>554</v>
      </c>
      <c r="E6532" t="s">
        <v>7366</v>
      </c>
      <c r="F6532">
        <v>57.8</v>
      </c>
      <c r="G6532" t="s">
        <v>4799</v>
      </c>
    </row>
    <row r="6533" spans="2:8" x14ac:dyDescent="0.2">
      <c r="B6533" t="s">
        <v>4428</v>
      </c>
      <c r="C6533" t="s">
        <v>12940</v>
      </c>
      <c r="D6533" t="s">
        <v>554</v>
      </c>
      <c r="E6533" t="s">
        <v>7367</v>
      </c>
      <c r="F6533">
        <v>38.53</v>
      </c>
      <c r="G6533" t="s">
        <v>4800</v>
      </c>
    </row>
    <row r="6534" spans="2:8" x14ac:dyDescent="0.2">
      <c r="B6534" t="s">
        <v>4428</v>
      </c>
      <c r="C6534" t="s">
        <v>12940</v>
      </c>
      <c r="D6534" t="s">
        <v>617</v>
      </c>
      <c r="E6534" t="s">
        <v>7371</v>
      </c>
      <c r="F6534">
        <v>26</v>
      </c>
      <c r="H6534" t="s">
        <v>4758</v>
      </c>
    </row>
    <row r="6535" spans="2:8" x14ac:dyDescent="0.2">
      <c r="B6535" t="s">
        <v>4428</v>
      </c>
      <c r="C6535" t="s">
        <v>12940</v>
      </c>
      <c r="D6535" t="s">
        <v>617</v>
      </c>
      <c r="E6535" t="s">
        <v>7372</v>
      </c>
      <c r="F6535">
        <v>2970</v>
      </c>
      <c r="H6535" t="s">
        <v>4759</v>
      </c>
    </row>
    <row r="6536" spans="2:8" x14ac:dyDescent="0.2">
      <c r="B6536" t="s">
        <v>4428</v>
      </c>
      <c r="C6536" t="s">
        <v>12940</v>
      </c>
      <c r="D6536" t="s">
        <v>554</v>
      </c>
      <c r="E6536" t="s">
        <v>7373</v>
      </c>
      <c r="F6536">
        <v>19.27</v>
      </c>
      <c r="H6536" t="s">
        <v>4797</v>
      </c>
    </row>
    <row r="6537" spans="2:8" x14ac:dyDescent="0.2">
      <c r="B6537" t="s">
        <v>4428</v>
      </c>
      <c r="C6537" t="s">
        <v>12940</v>
      </c>
      <c r="D6537" t="s">
        <v>554</v>
      </c>
      <c r="E6537" t="s">
        <v>7374</v>
      </c>
      <c r="F6537">
        <v>279</v>
      </c>
      <c r="H6537" t="s">
        <v>4870</v>
      </c>
    </row>
    <row r="6538" spans="2:8" x14ac:dyDescent="0.2">
      <c r="B6538" t="s">
        <v>4428</v>
      </c>
      <c r="C6538" t="s">
        <v>12940</v>
      </c>
      <c r="D6538" t="s">
        <v>617</v>
      </c>
      <c r="E6538" t="s">
        <v>7378</v>
      </c>
      <c r="F6538">
        <v>156</v>
      </c>
      <c r="H6538" t="s">
        <v>4758</v>
      </c>
    </row>
    <row r="6539" spans="2:8" x14ac:dyDescent="0.2">
      <c r="B6539" t="s">
        <v>4428</v>
      </c>
      <c r="C6539" t="s">
        <v>12940</v>
      </c>
      <c r="D6539" t="s">
        <v>617</v>
      </c>
      <c r="E6539" t="s">
        <v>7379</v>
      </c>
      <c r="F6539">
        <v>17820</v>
      </c>
      <c r="H6539" t="s">
        <v>4759</v>
      </c>
    </row>
    <row r="6540" spans="2:8" x14ac:dyDescent="0.2">
      <c r="B6540" t="s">
        <v>4428</v>
      </c>
      <c r="C6540" t="s">
        <v>12940</v>
      </c>
      <c r="D6540" t="s">
        <v>554</v>
      </c>
      <c r="E6540" t="s">
        <v>7380</v>
      </c>
      <c r="F6540">
        <v>115.6</v>
      </c>
      <c r="H6540" t="s">
        <v>4801</v>
      </c>
    </row>
    <row r="6541" spans="2:8" x14ac:dyDescent="0.2">
      <c r="B6541" t="s">
        <v>4428</v>
      </c>
      <c r="C6541" t="s">
        <v>12940</v>
      </c>
      <c r="D6541" t="s">
        <v>554</v>
      </c>
      <c r="E6541" t="s">
        <v>7381</v>
      </c>
      <c r="F6541">
        <v>144</v>
      </c>
      <c r="H6541" t="s">
        <v>4873</v>
      </c>
    </row>
    <row r="6542" spans="2:8" x14ac:dyDescent="0.2">
      <c r="B6542" t="s">
        <v>4428</v>
      </c>
      <c r="C6542" t="s">
        <v>12940</v>
      </c>
      <c r="D6542" t="s">
        <v>617</v>
      </c>
      <c r="E6542" t="s">
        <v>7383</v>
      </c>
      <c r="F6542">
        <v>52</v>
      </c>
      <c r="H6542" t="s">
        <v>4758</v>
      </c>
    </row>
    <row r="6543" spans="2:8" x14ac:dyDescent="0.2">
      <c r="B6543" t="s">
        <v>4428</v>
      </c>
      <c r="C6543" t="s">
        <v>12940</v>
      </c>
      <c r="D6543" t="s">
        <v>617</v>
      </c>
      <c r="E6543" t="s">
        <v>7384</v>
      </c>
      <c r="F6543">
        <v>5940</v>
      </c>
      <c r="H6543" t="s">
        <v>4759</v>
      </c>
    </row>
    <row r="6544" spans="2:8" x14ac:dyDescent="0.2">
      <c r="B6544" t="s">
        <v>4428</v>
      </c>
      <c r="C6544" t="s">
        <v>12940</v>
      </c>
      <c r="D6544" t="s">
        <v>554</v>
      </c>
      <c r="E6544" t="s">
        <v>7385</v>
      </c>
      <c r="F6544">
        <v>38.53</v>
      </c>
      <c r="H6544" t="s">
        <v>4802</v>
      </c>
    </row>
    <row r="6545" spans="2:8" x14ac:dyDescent="0.2">
      <c r="B6545" t="s">
        <v>4428</v>
      </c>
      <c r="C6545" t="s">
        <v>12940</v>
      </c>
      <c r="D6545" t="s">
        <v>554</v>
      </c>
      <c r="E6545" t="s">
        <v>7386</v>
      </c>
      <c r="F6545">
        <v>1016</v>
      </c>
      <c r="H6545" t="s">
        <v>4874</v>
      </c>
    </row>
    <row r="6546" spans="2:8" x14ac:dyDescent="0.2">
      <c r="B6546" t="s">
        <v>4428</v>
      </c>
      <c r="C6546" t="s">
        <v>12940</v>
      </c>
      <c r="D6546" t="s">
        <v>613</v>
      </c>
      <c r="E6546" t="s">
        <v>7388</v>
      </c>
      <c r="F6546">
        <v>318.86</v>
      </c>
      <c r="H6546" t="s">
        <v>4178</v>
      </c>
    </row>
    <row r="6547" spans="2:8" x14ac:dyDescent="0.2">
      <c r="B6547" t="s">
        <v>4428</v>
      </c>
      <c r="C6547" t="s">
        <v>12940</v>
      </c>
      <c r="D6547" t="s">
        <v>613</v>
      </c>
      <c r="E6547" t="s">
        <v>7389</v>
      </c>
      <c r="F6547">
        <v>53.5</v>
      </c>
      <c r="H6547" t="s">
        <v>4621</v>
      </c>
    </row>
    <row r="6548" spans="2:8" x14ac:dyDescent="0.2">
      <c r="B6548" t="s">
        <v>4428</v>
      </c>
      <c r="C6548" t="s">
        <v>12940</v>
      </c>
      <c r="D6548" t="s">
        <v>554</v>
      </c>
      <c r="E6548" t="s">
        <v>7390</v>
      </c>
      <c r="F6548">
        <v>19.27</v>
      </c>
      <c r="H6548" t="s">
        <v>4803</v>
      </c>
    </row>
    <row r="6549" spans="2:8" x14ac:dyDescent="0.2">
      <c r="B6549" t="s">
        <v>4428</v>
      </c>
      <c r="C6549" t="s">
        <v>12940</v>
      </c>
      <c r="D6549" t="s">
        <v>613</v>
      </c>
      <c r="E6549" t="s">
        <v>7391</v>
      </c>
      <c r="F6549">
        <v>11.88</v>
      </c>
      <c r="H6549" t="s">
        <v>1773</v>
      </c>
    </row>
    <row r="6550" spans="2:8" x14ac:dyDescent="0.2">
      <c r="B6550" t="s">
        <v>4428</v>
      </c>
      <c r="C6550" t="s">
        <v>12940</v>
      </c>
      <c r="D6550" t="s">
        <v>613</v>
      </c>
      <c r="E6550" t="s">
        <v>7392</v>
      </c>
      <c r="F6550">
        <v>5.99</v>
      </c>
      <c r="H6550" t="s">
        <v>1775</v>
      </c>
    </row>
    <row r="6551" spans="2:8" x14ac:dyDescent="0.2">
      <c r="B6551" t="s">
        <v>4428</v>
      </c>
      <c r="C6551" t="s">
        <v>12940</v>
      </c>
      <c r="D6551" t="s">
        <v>1137</v>
      </c>
      <c r="E6551" t="s">
        <v>7393</v>
      </c>
      <c r="F6551">
        <v>6329</v>
      </c>
      <c r="G6551" t="s">
        <v>1294</v>
      </c>
    </row>
    <row r="6552" spans="2:8" x14ac:dyDescent="0.2">
      <c r="B6552" t="s">
        <v>4428</v>
      </c>
      <c r="C6552" t="s">
        <v>12940</v>
      </c>
      <c r="D6552" t="s">
        <v>1137</v>
      </c>
      <c r="E6552" t="s">
        <v>7394</v>
      </c>
      <c r="F6552">
        <v>672</v>
      </c>
      <c r="G6552" t="s">
        <v>1309</v>
      </c>
    </row>
    <row r="6553" spans="2:8" x14ac:dyDescent="0.2">
      <c r="B6553" t="s">
        <v>4428</v>
      </c>
      <c r="C6553" t="s">
        <v>12940</v>
      </c>
      <c r="D6553" t="s">
        <v>1137</v>
      </c>
      <c r="E6553" t="s">
        <v>7395</v>
      </c>
      <c r="F6553">
        <v>3456</v>
      </c>
      <c r="G6553" t="s">
        <v>1321</v>
      </c>
    </row>
    <row r="6554" spans="2:8" x14ac:dyDescent="0.2">
      <c r="B6554" t="s">
        <v>4428</v>
      </c>
      <c r="C6554" t="s">
        <v>12940</v>
      </c>
      <c r="D6554" t="s">
        <v>1137</v>
      </c>
      <c r="E6554" t="s">
        <v>7396</v>
      </c>
      <c r="F6554">
        <v>430</v>
      </c>
      <c r="G6554" t="s">
        <v>1342</v>
      </c>
    </row>
    <row r="6555" spans="2:8" x14ac:dyDescent="0.2">
      <c r="B6555" t="s">
        <v>4428</v>
      </c>
      <c r="C6555" t="s">
        <v>12940</v>
      </c>
      <c r="D6555" t="s">
        <v>613</v>
      </c>
      <c r="E6555" t="s">
        <v>7398</v>
      </c>
      <c r="F6555">
        <v>76</v>
      </c>
      <c r="H6555" t="s">
        <v>1742</v>
      </c>
    </row>
    <row r="6556" spans="2:8" x14ac:dyDescent="0.2">
      <c r="B6556" t="s">
        <v>4428</v>
      </c>
      <c r="C6556" t="s">
        <v>12940</v>
      </c>
      <c r="D6556" t="s">
        <v>613</v>
      </c>
      <c r="E6556" t="s">
        <v>7399</v>
      </c>
      <c r="F6556">
        <v>90</v>
      </c>
      <c r="H6556" t="s">
        <v>1764</v>
      </c>
    </row>
    <row r="6557" spans="2:8" x14ac:dyDescent="0.2">
      <c r="B6557" t="s">
        <v>4428</v>
      </c>
      <c r="C6557" t="s">
        <v>12940</v>
      </c>
      <c r="D6557" t="s">
        <v>613</v>
      </c>
      <c r="E6557" t="s">
        <v>7400</v>
      </c>
      <c r="F6557">
        <v>147</v>
      </c>
      <c r="H6557" t="s">
        <v>1766</v>
      </c>
    </row>
    <row r="6558" spans="2:8" x14ac:dyDescent="0.2">
      <c r="B6558" t="s">
        <v>4428</v>
      </c>
      <c r="C6558" t="s">
        <v>12940</v>
      </c>
      <c r="D6558" t="s">
        <v>1137</v>
      </c>
      <c r="E6558" t="s">
        <v>7401</v>
      </c>
      <c r="F6558">
        <v>170</v>
      </c>
      <c r="G6558" t="s">
        <v>1366</v>
      </c>
    </row>
    <row r="6559" spans="2:8" x14ac:dyDescent="0.2">
      <c r="B6559" t="s">
        <v>4428</v>
      </c>
      <c r="C6559" t="s">
        <v>12940</v>
      </c>
      <c r="D6559" t="s">
        <v>554</v>
      </c>
      <c r="E6559" t="s">
        <v>7402</v>
      </c>
      <c r="F6559">
        <v>1017</v>
      </c>
      <c r="G6559" t="s">
        <v>4871</v>
      </c>
    </row>
    <row r="6560" spans="2:8" x14ac:dyDescent="0.2">
      <c r="B6560" t="s">
        <v>4428</v>
      </c>
      <c r="C6560" t="s">
        <v>12940</v>
      </c>
      <c r="D6560" t="s">
        <v>554</v>
      </c>
      <c r="E6560" t="s">
        <v>7403</v>
      </c>
      <c r="F6560">
        <v>736</v>
      </c>
      <c r="G6560" t="s">
        <v>4872</v>
      </c>
    </row>
    <row r="6561" spans="2:8" x14ac:dyDescent="0.2">
      <c r="B6561" t="s">
        <v>4428</v>
      </c>
      <c r="C6561" t="s">
        <v>12940</v>
      </c>
      <c r="D6561" t="s">
        <v>613</v>
      </c>
      <c r="E6561" t="s">
        <v>7405</v>
      </c>
      <c r="F6561">
        <v>58.22</v>
      </c>
      <c r="H6561" t="s">
        <v>4616</v>
      </c>
    </row>
    <row r="6562" spans="2:8" x14ac:dyDescent="0.2">
      <c r="B6562" t="s">
        <v>4428</v>
      </c>
      <c r="C6562" t="s">
        <v>12940</v>
      </c>
      <c r="D6562" t="s">
        <v>613</v>
      </c>
      <c r="E6562" t="s">
        <v>7406</v>
      </c>
      <c r="F6562">
        <v>616.32000000000005</v>
      </c>
      <c r="H6562" t="s">
        <v>4619</v>
      </c>
    </row>
    <row r="6563" spans="2:8" x14ac:dyDescent="0.2">
      <c r="B6563" t="s">
        <v>4428</v>
      </c>
      <c r="C6563" t="s">
        <v>12940</v>
      </c>
      <c r="D6563" t="s">
        <v>613</v>
      </c>
      <c r="E6563" t="s">
        <v>7407</v>
      </c>
      <c r="F6563">
        <v>53.5</v>
      </c>
      <c r="H6563" t="s">
        <v>4697</v>
      </c>
    </row>
    <row r="6564" spans="2:8" x14ac:dyDescent="0.2">
      <c r="B6564" t="s">
        <v>4428</v>
      </c>
      <c r="C6564" t="s">
        <v>12940</v>
      </c>
      <c r="D6564" t="s">
        <v>613</v>
      </c>
      <c r="E6564" t="s">
        <v>7408</v>
      </c>
      <c r="F6564">
        <v>53.5</v>
      </c>
      <c r="H6564" t="s">
        <v>4622</v>
      </c>
    </row>
    <row r="6565" spans="2:8" x14ac:dyDescent="0.2">
      <c r="B6565" t="s">
        <v>4428</v>
      </c>
      <c r="C6565" t="s">
        <v>12940</v>
      </c>
      <c r="D6565" t="s">
        <v>613</v>
      </c>
      <c r="E6565" t="s">
        <v>7409</v>
      </c>
      <c r="F6565">
        <v>63.12</v>
      </c>
      <c r="H6565" t="s">
        <v>2015</v>
      </c>
    </row>
    <row r="6566" spans="2:8" x14ac:dyDescent="0.2">
      <c r="B6566" t="s">
        <v>4428</v>
      </c>
      <c r="C6566" t="s">
        <v>12940</v>
      </c>
      <c r="D6566" t="s">
        <v>613</v>
      </c>
      <c r="E6566" t="s">
        <v>7410</v>
      </c>
      <c r="F6566">
        <v>79.900000000000006</v>
      </c>
      <c r="H6566" t="s">
        <v>2017</v>
      </c>
    </row>
    <row r="6567" spans="2:8" x14ac:dyDescent="0.2">
      <c r="B6567" t="s">
        <v>4428</v>
      </c>
      <c r="C6567" t="s">
        <v>12940</v>
      </c>
      <c r="D6567" t="s">
        <v>613</v>
      </c>
      <c r="E6567" t="s">
        <v>7411</v>
      </c>
      <c r="F6567">
        <v>142.80000000000001</v>
      </c>
      <c r="H6567" t="s">
        <v>2018</v>
      </c>
    </row>
    <row r="6568" spans="2:8" x14ac:dyDescent="0.2">
      <c r="B6568" t="s">
        <v>4428</v>
      </c>
      <c r="C6568" t="s">
        <v>12940</v>
      </c>
      <c r="D6568" t="s">
        <v>621</v>
      </c>
      <c r="E6568" t="s">
        <v>7412</v>
      </c>
      <c r="F6568">
        <v>201.29</v>
      </c>
      <c r="H6568" t="s">
        <v>1545</v>
      </c>
    </row>
    <row r="6569" spans="2:8" x14ac:dyDescent="0.2">
      <c r="B6569" t="s">
        <v>4428</v>
      </c>
      <c r="C6569" t="s">
        <v>12940</v>
      </c>
      <c r="D6569" t="s">
        <v>613</v>
      </c>
      <c r="E6569" t="s">
        <v>7413</v>
      </c>
      <c r="F6569">
        <v>42.4</v>
      </c>
      <c r="H6569" t="s">
        <v>1927</v>
      </c>
    </row>
    <row r="6570" spans="2:8" x14ac:dyDescent="0.2">
      <c r="B6570" t="s">
        <v>4428</v>
      </c>
      <c r="C6570" t="s">
        <v>12940</v>
      </c>
      <c r="D6570" t="s">
        <v>613</v>
      </c>
      <c r="E6570" t="s">
        <v>7414</v>
      </c>
      <c r="F6570">
        <v>85.46</v>
      </c>
      <c r="H6570" t="s">
        <v>1929</v>
      </c>
    </row>
    <row r="6571" spans="2:8" x14ac:dyDescent="0.2">
      <c r="B6571" t="s">
        <v>4428</v>
      </c>
      <c r="C6571" t="s">
        <v>12940</v>
      </c>
      <c r="D6571" t="s">
        <v>554</v>
      </c>
      <c r="E6571" t="s">
        <v>7415</v>
      </c>
      <c r="F6571">
        <v>7805</v>
      </c>
      <c r="H6571" t="s">
        <v>4888</v>
      </c>
    </row>
    <row r="6572" spans="2:8" x14ac:dyDescent="0.2">
      <c r="B6572" t="s">
        <v>4428</v>
      </c>
      <c r="C6572" t="s">
        <v>12940</v>
      </c>
      <c r="D6572" t="s">
        <v>1137</v>
      </c>
      <c r="E6572" t="s">
        <v>7416</v>
      </c>
      <c r="F6572">
        <v>307.5</v>
      </c>
      <c r="G6572" t="s">
        <v>1413</v>
      </c>
    </row>
    <row r="6573" spans="2:8" x14ac:dyDescent="0.2">
      <c r="B6573" t="s">
        <v>4428</v>
      </c>
      <c r="C6573" t="s">
        <v>12940</v>
      </c>
      <c r="D6573" t="s">
        <v>1137</v>
      </c>
      <c r="E6573" t="s">
        <v>7417</v>
      </c>
      <c r="F6573">
        <v>364</v>
      </c>
      <c r="G6573" t="s">
        <v>2447</v>
      </c>
    </row>
    <row r="6574" spans="2:8" x14ac:dyDescent="0.2">
      <c r="B6574" t="s">
        <v>4428</v>
      </c>
      <c r="C6574" t="s">
        <v>12940</v>
      </c>
      <c r="D6574" t="s">
        <v>1137</v>
      </c>
      <c r="E6574" t="s">
        <v>7418</v>
      </c>
      <c r="F6574">
        <v>342</v>
      </c>
      <c r="G6574" t="s">
        <v>2479</v>
      </c>
    </row>
    <row r="6575" spans="2:8" x14ac:dyDescent="0.2">
      <c r="B6575" t="s">
        <v>4428</v>
      </c>
      <c r="C6575" t="s">
        <v>12940</v>
      </c>
      <c r="D6575" t="s">
        <v>1137</v>
      </c>
      <c r="E6575" t="s">
        <v>7419</v>
      </c>
      <c r="F6575">
        <v>740</v>
      </c>
      <c r="G6575" t="s">
        <v>2623</v>
      </c>
    </row>
    <row r="6576" spans="2:8" x14ac:dyDescent="0.2">
      <c r="B6576" t="s">
        <v>4428</v>
      </c>
      <c r="C6576" t="s">
        <v>12940</v>
      </c>
      <c r="D6576" t="s">
        <v>1137</v>
      </c>
      <c r="E6576" t="s">
        <v>7420</v>
      </c>
      <c r="F6576">
        <v>340</v>
      </c>
      <c r="G6576" t="s">
        <v>2625</v>
      </c>
    </row>
    <row r="6577" spans="2:8" x14ac:dyDescent="0.2">
      <c r="B6577" t="s">
        <v>4428</v>
      </c>
      <c r="C6577" t="s">
        <v>12940</v>
      </c>
      <c r="D6577" t="s">
        <v>613</v>
      </c>
      <c r="E6577" t="s">
        <v>7422</v>
      </c>
      <c r="F6577">
        <v>116.44</v>
      </c>
      <c r="H6577" t="s">
        <v>4616</v>
      </c>
    </row>
    <row r="6578" spans="2:8" x14ac:dyDescent="0.2">
      <c r="B6578" t="s">
        <v>4428</v>
      </c>
      <c r="C6578" t="s">
        <v>12940</v>
      </c>
      <c r="D6578" t="s">
        <v>613</v>
      </c>
      <c r="E6578" t="s">
        <v>7424</v>
      </c>
      <c r="F6578">
        <v>105.64</v>
      </c>
      <c r="H6578" t="s">
        <v>4142</v>
      </c>
    </row>
    <row r="6579" spans="2:8" x14ac:dyDescent="0.2">
      <c r="B6579" t="s">
        <v>4428</v>
      </c>
      <c r="C6579" t="s">
        <v>12940</v>
      </c>
      <c r="D6579" t="s">
        <v>613</v>
      </c>
      <c r="E6579" t="s">
        <v>7426</v>
      </c>
      <c r="F6579">
        <v>105.64</v>
      </c>
      <c r="H6579" t="s">
        <v>4142</v>
      </c>
    </row>
    <row r="6580" spans="2:8" x14ac:dyDescent="0.2">
      <c r="B6580" t="s">
        <v>4428</v>
      </c>
      <c r="C6580" t="s">
        <v>12940</v>
      </c>
      <c r="D6580" t="s">
        <v>613</v>
      </c>
      <c r="E6580" t="s">
        <v>7427</v>
      </c>
      <c r="F6580">
        <v>291.10000000000002</v>
      </c>
      <c r="H6580" t="s">
        <v>4616</v>
      </c>
    </row>
    <row r="6581" spans="2:8" x14ac:dyDescent="0.2">
      <c r="B6581" t="s">
        <v>4428</v>
      </c>
      <c r="C6581" t="s">
        <v>12941</v>
      </c>
      <c r="D6581" t="s">
        <v>1169</v>
      </c>
      <c r="E6581" t="s">
        <v>7491</v>
      </c>
      <c r="F6581">
        <v>2030.39</v>
      </c>
      <c r="G6581" t="s">
        <v>1216</v>
      </c>
    </row>
    <row r="6582" spans="2:8" x14ac:dyDescent="0.2">
      <c r="B6582" t="s">
        <v>4428</v>
      </c>
      <c r="C6582" t="s">
        <v>12941</v>
      </c>
      <c r="D6582" t="s">
        <v>1169</v>
      </c>
      <c r="E6582" t="s">
        <v>7495</v>
      </c>
      <c r="F6582">
        <v>2030.39</v>
      </c>
      <c r="G6582" t="s">
        <v>1216</v>
      </c>
    </row>
    <row r="6583" spans="2:8" x14ac:dyDescent="0.2">
      <c r="B6583" t="s">
        <v>4428</v>
      </c>
      <c r="C6583" t="s">
        <v>12941</v>
      </c>
      <c r="D6583" t="s">
        <v>1169</v>
      </c>
      <c r="E6583" t="s">
        <v>7496</v>
      </c>
      <c r="F6583">
        <v>4060.78</v>
      </c>
      <c r="G6583" t="s">
        <v>1216</v>
      </c>
    </row>
    <row r="6584" spans="2:8" x14ac:dyDescent="0.2">
      <c r="B6584" t="s">
        <v>4428</v>
      </c>
      <c r="C6584" t="s">
        <v>12941</v>
      </c>
      <c r="D6584" t="s">
        <v>1169</v>
      </c>
      <c r="E6584" t="s">
        <v>7497</v>
      </c>
      <c r="F6584">
        <v>1015.2</v>
      </c>
      <c r="G6584" t="s">
        <v>1216</v>
      </c>
    </row>
    <row r="6585" spans="2:8" x14ac:dyDescent="0.2">
      <c r="B6585" t="s">
        <v>4428</v>
      </c>
      <c r="C6585" t="s">
        <v>12941</v>
      </c>
      <c r="D6585" t="s">
        <v>1169</v>
      </c>
      <c r="E6585" t="s">
        <v>7498</v>
      </c>
      <c r="F6585">
        <v>1015.2</v>
      </c>
      <c r="G6585" t="s">
        <v>1216</v>
      </c>
    </row>
    <row r="6586" spans="2:8" x14ac:dyDescent="0.2">
      <c r="B6586" t="s">
        <v>4428</v>
      </c>
      <c r="C6586" t="s">
        <v>12941</v>
      </c>
      <c r="D6586" t="s">
        <v>617</v>
      </c>
      <c r="E6586" t="s">
        <v>7499</v>
      </c>
      <c r="F6586">
        <v>78</v>
      </c>
      <c r="H6586" t="s">
        <v>4758</v>
      </c>
    </row>
    <row r="6587" spans="2:8" x14ac:dyDescent="0.2">
      <c r="B6587" t="s">
        <v>4428</v>
      </c>
      <c r="C6587" t="s">
        <v>12941</v>
      </c>
      <c r="D6587" t="s">
        <v>617</v>
      </c>
      <c r="E6587" t="s">
        <v>7500</v>
      </c>
      <c r="F6587">
        <v>8910</v>
      </c>
      <c r="H6587" t="s">
        <v>4759</v>
      </c>
    </row>
    <row r="6588" spans="2:8" x14ac:dyDescent="0.2">
      <c r="B6588" t="s">
        <v>4428</v>
      </c>
      <c r="C6588" t="s">
        <v>12941</v>
      </c>
      <c r="D6588" t="s">
        <v>617</v>
      </c>
      <c r="E6588" t="s">
        <v>7501</v>
      </c>
      <c r="F6588">
        <v>165.41</v>
      </c>
      <c r="H6588" t="s">
        <v>4627</v>
      </c>
    </row>
    <row r="6589" spans="2:8" x14ac:dyDescent="0.2">
      <c r="B6589" t="s">
        <v>4428</v>
      </c>
      <c r="C6589" t="s">
        <v>12941</v>
      </c>
      <c r="D6589" t="s">
        <v>617</v>
      </c>
      <c r="E6589" t="s">
        <v>7502</v>
      </c>
      <c r="F6589">
        <v>1212.3</v>
      </c>
      <c r="H6589" t="s">
        <v>4629</v>
      </c>
    </row>
    <row r="6590" spans="2:8" x14ac:dyDescent="0.2">
      <c r="B6590" t="s">
        <v>4428</v>
      </c>
      <c r="C6590" t="s">
        <v>12941</v>
      </c>
      <c r="D6590" t="s">
        <v>617</v>
      </c>
      <c r="E6590" t="s">
        <v>7503</v>
      </c>
      <c r="F6590">
        <v>1500</v>
      </c>
      <c r="H6590" t="s">
        <v>1575</v>
      </c>
    </row>
    <row r="6591" spans="2:8" x14ac:dyDescent="0.2">
      <c r="B6591" t="s">
        <v>4428</v>
      </c>
      <c r="C6591" t="s">
        <v>12941</v>
      </c>
      <c r="D6591" t="s">
        <v>617</v>
      </c>
      <c r="E6591" t="s">
        <v>7504</v>
      </c>
      <c r="F6591">
        <v>4.4000000000000004</v>
      </c>
      <c r="H6591" t="s">
        <v>4878</v>
      </c>
    </row>
    <row r="6592" spans="2:8" x14ac:dyDescent="0.2">
      <c r="B6592" t="s">
        <v>4428</v>
      </c>
      <c r="C6592" t="s">
        <v>12941</v>
      </c>
      <c r="D6592" t="s">
        <v>617</v>
      </c>
      <c r="E6592" t="s">
        <v>7505</v>
      </c>
      <c r="F6592">
        <v>2604.44</v>
      </c>
      <c r="G6592" t="s">
        <v>1699</v>
      </c>
    </row>
    <row r="6593" spans="2:8" x14ac:dyDescent="0.2">
      <c r="B6593" t="s">
        <v>4428</v>
      </c>
      <c r="C6593" t="s">
        <v>12941</v>
      </c>
      <c r="D6593" t="s">
        <v>617</v>
      </c>
      <c r="E6593" t="s">
        <v>7506</v>
      </c>
      <c r="F6593">
        <v>2407.7800000000002</v>
      </c>
      <c r="G6593" t="s">
        <v>4720</v>
      </c>
    </row>
    <row r="6594" spans="2:8" x14ac:dyDescent="0.2">
      <c r="B6594" t="s">
        <v>4428</v>
      </c>
      <c r="C6594" t="s">
        <v>12941</v>
      </c>
      <c r="D6594" t="s">
        <v>617</v>
      </c>
      <c r="E6594" t="s">
        <v>7507</v>
      </c>
      <c r="F6594">
        <v>1076</v>
      </c>
      <c r="H6594" t="s">
        <v>1710</v>
      </c>
    </row>
    <row r="6595" spans="2:8" x14ac:dyDescent="0.2">
      <c r="B6595" t="s">
        <v>4428</v>
      </c>
      <c r="C6595" t="s">
        <v>12941</v>
      </c>
      <c r="D6595" t="s">
        <v>617</v>
      </c>
      <c r="E6595" t="s">
        <v>7508</v>
      </c>
      <c r="F6595">
        <v>64.040000000000006</v>
      </c>
      <c r="H6595" t="s">
        <v>4631</v>
      </c>
    </row>
    <row r="6596" spans="2:8" x14ac:dyDescent="0.2">
      <c r="B6596" t="s">
        <v>4428</v>
      </c>
      <c r="C6596" t="s">
        <v>12941</v>
      </c>
      <c r="D6596" t="s">
        <v>617</v>
      </c>
      <c r="E6596" t="s">
        <v>7509</v>
      </c>
      <c r="F6596">
        <v>52</v>
      </c>
      <c r="H6596" t="s">
        <v>4677</v>
      </c>
    </row>
    <row r="6597" spans="2:8" x14ac:dyDescent="0.2">
      <c r="B6597" t="s">
        <v>4428</v>
      </c>
      <c r="C6597" t="s">
        <v>12941</v>
      </c>
      <c r="D6597" t="s">
        <v>617</v>
      </c>
      <c r="E6597" t="s">
        <v>7510</v>
      </c>
      <c r="F6597">
        <v>69.42</v>
      </c>
      <c r="H6597" t="s">
        <v>1713</v>
      </c>
    </row>
    <row r="6598" spans="2:8" x14ac:dyDescent="0.2">
      <c r="B6598" t="s">
        <v>4428</v>
      </c>
      <c r="C6598" t="s">
        <v>12941</v>
      </c>
      <c r="D6598" t="s">
        <v>617</v>
      </c>
      <c r="E6598" t="s">
        <v>7511</v>
      </c>
      <c r="F6598">
        <v>190.44</v>
      </c>
      <c r="H6598" t="s">
        <v>2578</v>
      </c>
    </row>
    <row r="6599" spans="2:8" x14ac:dyDescent="0.2">
      <c r="B6599" t="s">
        <v>4428</v>
      </c>
      <c r="C6599" t="s">
        <v>12941</v>
      </c>
      <c r="D6599" t="s">
        <v>617</v>
      </c>
      <c r="E6599" t="s">
        <v>7512</v>
      </c>
      <c r="F6599">
        <v>346.14</v>
      </c>
      <c r="H6599" t="s">
        <v>4679</v>
      </c>
    </row>
    <row r="6600" spans="2:8" x14ac:dyDescent="0.2">
      <c r="B6600" t="s">
        <v>4428</v>
      </c>
      <c r="C6600" t="s">
        <v>12941</v>
      </c>
      <c r="D6600" t="s">
        <v>617</v>
      </c>
      <c r="E6600" t="s">
        <v>7513</v>
      </c>
      <c r="F6600">
        <v>173.07</v>
      </c>
      <c r="H6600" t="s">
        <v>4679</v>
      </c>
    </row>
    <row r="6601" spans="2:8" x14ac:dyDescent="0.2">
      <c r="B6601" t="s">
        <v>4428</v>
      </c>
      <c r="C6601" t="s">
        <v>12941</v>
      </c>
      <c r="D6601" t="s">
        <v>617</v>
      </c>
      <c r="E6601" t="s">
        <v>7514</v>
      </c>
      <c r="F6601">
        <v>168.11</v>
      </c>
      <c r="H6601" t="s">
        <v>2579</v>
      </c>
    </row>
    <row r="6602" spans="2:8" x14ac:dyDescent="0.2">
      <c r="B6602" t="s">
        <v>4428</v>
      </c>
      <c r="C6602" t="s">
        <v>12941</v>
      </c>
      <c r="D6602" t="s">
        <v>617</v>
      </c>
      <c r="E6602" t="s">
        <v>7515</v>
      </c>
      <c r="F6602">
        <v>2099.52</v>
      </c>
      <c r="H6602" t="s">
        <v>1603</v>
      </c>
    </row>
    <row r="6603" spans="2:8" x14ac:dyDescent="0.2">
      <c r="B6603" t="s">
        <v>4428</v>
      </c>
      <c r="C6603" t="s">
        <v>12941</v>
      </c>
      <c r="D6603" t="s">
        <v>617</v>
      </c>
      <c r="E6603" t="s">
        <v>7516</v>
      </c>
      <c r="F6603">
        <v>669.6</v>
      </c>
      <c r="H6603" t="s">
        <v>1605</v>
      </c>
    </row>
    <row r="6604" spans="2:8" x14ac:dyDescent="0.2">
      <c r="B6604" t="s">
        <v>4428</v>
      </c>
      <c r="C6604" t="s">
        <v>12941</v>
      </c>
      <c r="D6604" t="s">
        <v>617</v>
      </c>
      <c r="E6604" t="s">
        <v>7517</v>
      </c>
      <c r="F6604">
        <v>388.8</v>
      </c>
      <c r="H6604" t="s">
        <v>1606</v>
      </c>
    </row>
    <row r="6605" spans="2:8" x14ac:dyDescent="0.2">
      <c r="B6605" t="s">
        <v>4428</v>
      </c>
      <c r="C6605" t="s">
        <v>12941</v>
      </c>
      <c r="D6605" t="s">
        <v>617</v>
      </c>
      <c r="E6605" t="s">
        <v>7518</v>
      </c>
      <c r="F6605">
        <v>111.6</v>
      </c>
      <c r="H6605" t="s">
        <v>4674</v>
      </c>
    </row>
    <row r="6606" spans="2:8" x14ac:dyDescent="0.2">
      <c r="B6606" t="s">
        <v>4428</v>
      </c>
      <c r="C6606" t="s">
        <v>12941</v>
      </c>
      <c r="D6606" t="s">
        <v>617</v>
      </c>
      <c r="E6606" t="s">
        <v>7519</v>
      </c>
      <c r="F6606">
        <v>40.6</v>
      </c>
      <c r="H6606" t="s">
        <v>7520</v>
      </c>
    </row>
    <row r="6607" spans="2:8" x14ac:dyDescent="0.2">
      <c r="B6607" t="s">
        <v>4428</v>
      </c>
      <c r="C6607" t="s">
        <v>12941</v>
      </c>
      <c r="D6607" t="s">
        <v>617</v>
      </c>
      <c r="E6607" t="s">
        <v>7521</v>
      </c>
      <c r="F6607">
        <v>1485.6</v>
      </c>
      <c r="H6607" t="s">
        <v>1822</v>
      </c>
    </row>
    <row r="6608" spans="2:8" x14ac:dyDescent="0.2">
      <c r="B6608" t="s">
        <v>4428</v>
      </c>
      <c r="C6608" t="s">
        <v>12941</v>
      </c>
      <c r="D6608" t="s">
        <v>617</v>
      </c>
      <c r="E6608" t="s">
        <v>7522</v>
      </c>
      <c r="F6608">
        <v>2159.6999999999998</v>
      </c>
      <c r="H6608" t="s">
        <v>1824</v>
      </c>
    </row>
    <row r="6609" spans="2:8" x14ac:dyDescent="0.2">
      <c r="B6609" t="s">
        <v>4428</v>
      </c>
      <c r="C6609" t="s">
        <v>12941</v>
      </c>
      <c r="D6609" t="s">
        <v>617</v>
      </c>
      <c r="E6609" t="s">
        <v>7523</v>
      </c>
      <c r="F6609">
        <v>3004.56</v>
      </c>
      <c r="H6609" t="s">
        <v>1825</v>
      </c>
    </row>
    <row r="6610" spans="2:8" x14ac:dyDescent="0.2">
      <c r="B6610" t="s">
        <v>4428</v>
      </c>
      <c r="C6610" t="s">
        <v>12941</v>
      </c>
      <c r="D6610" t="s">
        <v>617</v>
      </c>
      <c r="E6610" t="s">
        <v>7524</v>
      </c>
      <c r="F6610">
        <v>2499.7199999999998</v>
      </c>
      <c r="H6610" t="s">
        <v>1826</v>
      </c>
    </row>
    <row r="6611" spans="2:8" x14ac:dyDescent="0.2">
      <c r="B6611" t="s">
        <v>4428</v>
      </c>
      <c r="C6611" t="s">
        <v>12941</v>
      </c>
      <c r="D6611" t="s">
        <v>617</v>
      </c>
      <c r="E6611" t="s">
        <v>7525</v>
      </c>
      <c r="F6611">
        <v>67.8</v>
      </c>
      <c r="H6611" t="s">
        <v>4683</v>
      </c>
    </row>
    <row r="6612" spans="2:8" x14ac:dyDescent="0.2">
      <c r="B6612" t="s">
        <v>4428</v>
      </c>
      <c r="C6612" t="s">
        <v>12941</v>
      </c>
      <c r="D6612" t="s">
        <v>617</v>
      </c>
      <c r="E6612" t="s">
        <v>7526</v>
      </c>
      <c r="F6612">
        <v>343.44</v>
      </c>
      <c r="H6612" t="s">
        <v>4684</v>
      </c>
    </row>
    <row r="6613" spans="2:8" x14ac:dyDescent="0.2">
      <c r="B6613" t="s">
        <v>4428</v>
      </c>
      <c r="C6613" t="s">
        <v>12941</v>
      </c>
      <c r="D6613" t="s">
        <v>617</v>
      </c>
      <c r="E6613" t="s">
        <v>7527</v>
      </c>
      <c r="F6613">
        <v>3429.9</v>
      </c>
      <c r="H6613" t="s">
        <v>1827</v>
      </c>
    </row>
    <row r="6614" spans="2:8" x14ac:dyDescent="0.2">
      <c r="B6614" t="s">
        <v>4428</v>
      </c>
      <c r="C6614" t="s">
        <v>12941</v>
      </c>
      <c r="D6614" t="s">
        <v>617</v>
      </c>
      <c r="E6614" t="s">
        <v>7528</v>
      </c>
      <c r="F6614">
        <v>2385</v>
      </c>
      <c r="H6614" t="s">
        <v>1828</v>
      </c>
    </row>
    <row r="6615" spans="2:8" x14ac:dyDescent="0.2">
      <c r="B6615" t="s">
        <v>4428</v>
      </c>
      <c r="C6615" t="s">
        <v>12941</v>
      </c>
      <c r="D6615" t="s">
        <v>617</v>
      </c>
      <c r="E6615" t="s">
        <v>7529</v>
      </c>
      <c r="F6615">
        <v>90</v>
      </c>
      <c r="H6615" t="s">
        <v>1830</v>
      </c>
    </row>
    <row r="6616" spans="2:8" x14ac:dyDescent="0.2">
      <c r="B6616" t="s">
        <v>4428</v>
      </c>
      <c r="C6616" t="s">
        <v>12941</v>
      </c>
      <c r="D6616" t="s">
        <v>617</v>
      </c>
      <c r="E6616" t="s">
        <v>7530</v>
      </c>
      <c r="F6616">
        <v>1290</v>
      </c>
      <c r="H6616" t="s">
        <v>1831</v>
      </c>
    </row>
    <row r="6617" spans="2:8" x14ac:dyDescent="0.2">
      <c r="B6617" t="s">
        <v>4428</v>
      </c>
      <c r="C6617" t="s">
        <v>12941</v>
      </c>
      <c r="D6617" t="s">
        <v>617</v>
      </c>
      <c r="E6617" t="s">
        <v>7531</v>
      </c>
      <c r="F6617">
        <v>2253.54</v>
      </c>
      <c r="H6617" t="s">
        <v>1832</v>
      </c>
    </row>
    <row r="6618" spans="2:8" x14ac:dyDescent="0.2">
      <c r="B6618" t="s">
        <v>4428</v>
      </c>
      <c r="C6618" t="s">
        <v>12941</v>
      </c>
      <c r="D6618" t="s">
        <v>617</v>
      </c>
      <c r="E6618" t="s">
        <v>7532</v>
      </c>
      <c r="F6618">
        <v>2474.88</v>
      </c>
      <c r="H6618" t="s">
        <v>1833</v>
      </c>
    </row>
    <row r="6619" spans="2:8" x14ac:dyDescent="0.2">
      <c r="B6619" t="s">
        <v>4428</v>
      </c>
      <c r="C6619" t="s">
        <v>12941</v>
      </c>
      <c r="D6619" t="s">
        <v>617</v>
      </c>
      <c r="E6619" t="s">
        <v>7533</v>
      </c>
      <c r="F6619">
        <v>303.89999999999998</v>
      </c>
      <c r="H6619" t="s">
        <v>1835</v>
      </c>
    </row>
    <row r="6620" spans="2:8" x14ac:dyDescent="0.2">
      <c r="B6620" t="s">
        <v>4428</v>
      </c>
      <c r="C6620" t="s">
        <v>12941</v>
      </c>
      <c r="D6620" t="s">
        <v>617</v>
      </c>
      <c r="E6620" t="s">
        <v>7534</v>
      </c>
      <c r="F6620">
        <v>225.8</v>
      </c>
      <c r="H6620" t="s">
        <v>1836</v>
      </c>
    </row>
    <row r="6621" spans="2:8" x14ac:dyDescent="0.2">
      <c r="B6621" t="s">
        <v>4428</v>
      </c>
      <c r="C6621" t="s">
        <v>12941</v>
      </c>
      <c r="D6621" t="s">
        <v>617</v>
      </c>
      <c r="E6621" t="s">
        <v>7535</v>
      </c>
      <c r="F6621">
        <v>3084.12</v>
      </c>
      <c r="H6621" t="s">
        <v>1837</v>
      </c>
    </row>
    <row r="6622" spans="2:8" x14ac:dyDescent="0.2">
      <c r="B6622" t="s">
        <v>4428</v>
      </c>
      <c r="C6622" t="s">
        <v>12941</v>
      </c>
      <c r="D6622" t="s">
        <v>613</v>
      </c>
      <c r="E6622" t="s">
        <v>7536</v>
      </c>
      <c r="F6622">
        <v>63.6</v>
      </c>
      <c r="H6622" t="s">
        <v>1610</v>
      </c>
    </row>
    <row r="6623" spans="2:8" x14ac:dyDescent="0.2">
      <c r="B6623" t="s">
        <v>4428</v>
      </c>
      <c r="C6623" t="s">
        <v>12941</v>
      </c>
      <c r="D6623" t="s">
        <v>617</v>
      </c>
      <c r="E6623" t="s">
        <v>7537</v>
      </c>
      <c r="F6623">
        <v>165.6</v>
      </c>
      <c r="H6623" t="s">
        <v>1829</v>
      </c>
    </row>
    <row r="6624" spans="2:8" x14ac:dyDescent="0.2">
      <c r="B6624" t="s">
        <v>4428</v>
      </c>
      <c r="C6624" t="s">
        <v>12941</v>
      </c>
      <c r="D6624" t="s">
        <v>617</v>
      </c>
      <c r="E6624" t="s">
        <v>7538</v>
      </c>
      <c r="F6624">
        <v>110.4</v>
      </c>
      <c r="H6624" t="s">
        <v>1829</v>
      </c>
    </row>
    <row r="6625" spans="2:8" x14ac:dyDescent="0.2">
      <c r="B6625" t="s">
        <v>4428</v>
      </c>
      <c r="C6625" t="s">
        <v>12941</v>
      </c>
      <c r="D6625" t="s">
        <v>84</v>
      </c>
      <c r="E6625" t="s">
        <v>7539</v>
      </c>
      <c r="F6625">
        <v>45.34</v>
      </c>
      <c r="H6625" t="s">
        <v>5503</v>
      </c>
    </row>
    <row r="6626" spans="2:8" x14ac:dyDescent="0.2">
      <c r="B6626" t="s">
        <v>4428</v>
      </c>
      <c r="C6626" t="s">
        <v>12941</v>
      </c>
      <c r="D6626" t="s">
        <v>1144</v>
      </c>
      <c r="E6626" t="s">
        <v>7540</v>
      </c>
      <c r="F6626">
        <v>8910</v>
      </c>
      <c r="G6626" t="s">
        <v>1231</v>
      </c>
    </row>
    <row r="6627" spans="2:8" x14ac:dyDescent="0.2">
      <c r="B6627" t="s">
        <v>4428</v>
      </c>
      <c r="C6627" t="s">
        <v>12941</v>
      </c>
      <c r="D6627" t="s">
        <v>1144</v>
      </c>
      <c r="E6627" t="s">
        <v>7541</v>
      </c>
      <c r="F6627">
        <v>8910</v>
      </c>
      <c r="G6627" t="s">
        <v>1231</v>
      </c>
    </row>
    <row r="6628" spans="2:8" x14ac:dyDescent="0.2">
      <c r="B6628" t="s">
        <v>4428</v>
      </c>
      <c r="C6628" t="s">
        <v>12941</v>
      </c>
      <c r="D6628" t="s">
        <v>613</v>
      </c>
      <c r="E6628" t="s">
        <v>7542</v>
      </c>
      <c r="F6628">
        <v>316</v>
      </c>
      <c r="G6628" t="s">
        <v>1241</v>
      </c>
    </row>
    <row r="6629" spans="2:8" x14ac:dyDescent="0.2">
      <c r="B6629" t="s">
        <v>4428</v>
      </c>
      <c r="C6629" t="s">
        <v>12941</v>
      </c>
      <c r="D6629" t="s">
        <v>613</v>
      </c>
      <c r="E6629" t="s">
        <v>7543</v>
      </c>
      <c r="F6629">
        <v>316</v>
      </c>
      <c r="G6629" t="s">
        <v>1241</v>
      </c>
    </row>
    <row r="6630" spans="2:8" x14ac:dyDescent="0.2">
      <c r="B6630" t="s">
        <v>4428</v>
      </c>
      <c r="C6630" t="s">
        <v>12941</v>
      </c>
      <c r="D6630" t="s">
        <v>617</v>
      </c>
      <c r="E6630" t="s">
        <v>7544</v>
      </c>
      <c r="F6630">
        <v>740</v>
      </c>
      <c r="H6630" t="s">
        <v>1633</v>
      </c>
    </row>
    <row r="6631" spans="2:8" x14ac:dyDescent="0.2">
      <c r="B6631" t="s">
        <v>4428</v>
      </c>
      <c r="C6631" t="s">
        <v>12941</v>
      </c>
      <c r="D6631" t="s">
        <v>617</v>
      </c>
      <c r="E6631" t="s">
        <v>7545</v>
      </c>
      <c r="F6631">
        <v>620</v>
      </c>
      <c r="H6631" t="s">
        <v>1636</v>
      </c>
    </row>
    <row r="6632" spans="2:8" x14ac:dyDescent="0.2">
      <c r="B6632" t="s">
        <v>4428</v>
      </c>
      <c r="C6632" t="s">
        <v>12941</v>
      </c>
      <c r="D6632" t="s">
        <v>617</v>
      </c>
      <c r="E6632" t="s">
        <v>7546</v>
      </c>
      <c r="F6632">
        <v>124</v>
      </c>
      <c r="H6632" t="s">
        <v>1636</v>
      </c>
    </row>
    <row r="6633" spans="2:8" x14ac:dyDescent="0.2">
      <c r="B6633" t="s">
        <v>4428</v>
      </c>
      <c r="C6633" t="s">
        <v>12941</v>
      </c>
      <c r="D6633" t="s">
        <v>617</v>
      </c>
      <c r="E6633" t="s">
        <v>7547</v>
      </c>
      <c r="F6633">
        <v>663</v>
      </c>
      <c r="H6633" t="s">
        <v>4700</v>
      </c>
    </row>
    <row r="6634" spans="2:8" x14ac:dyDescent="0.2">
      <c r="B6634" t="s">
        <v>4428</v>
      </c>
      <c r="C6634" t="s">
        <v>12941</v>
      </c>
      <c r="D6634" t="s">
        <v>617</v>
      </c>
      <c r="E6634" t="s">
        <v>7548</v>
      </c>
      <c r="F6634">
        <v>71.86</v>
      </c>
      <c r="H6634" t="s">
        <v>2101</v>
      </c>
    </row>
    <row r="6635" spans="2:8" x14ac:dyDescent="0.2">
      <c r="B6635" t="s">
        <v>4428</v>
      </c>
      <c r="C6635" t="s">
        <v>12941</v>
      </c>
      <c r="D6635" t="s">
        <v>617</v>
      </c>
      <c r="E6635" t="s">
        <v>7549</v>
      </c>
      <c r="F6635">
        <v>1217.74</v>
      </c>
      <c r="G6635" t="s">
        <v>1499</v>
      </c>
    </row>
    <row r="6636" spans="2:8" x14ac:dyDescent="0.2">
      <c r="B6636" t="s">
        <v>4428</v>
      </c>
      <c r="C6636" t="s">
        <v>12941</v>
      </c>
      <c r="D6636" t="s">
        <v>617</v>
      </c>
      <c r="E6636" t="s">
        <v>7550</v>
      </c>
      <c r="F6636">
        <v>32.71</v>
      </c>
      <c r="G6636" t="s">
        <v>4473</v>
      </c>
    </row>
    <row r="6637" spans="2:8" x14ac:dyDescent="0.2">
      <c r="B6637" t="s">
        <v>4428</v>
      </c>
      <c r="C6637" t="s">
        <v>12941</v>
      </c>
      <c r="D6637" t="s">
        <v>617</v>
      </c>
      <c r="E6637" t="s">
        <v>7551</v>
      </c>
      <c r="F6637">
        <v>58.91</v>
      </c>
      <c r="G6637" t="s">
        <v>4471</v>
      </c>
    </row>
    <row r="6638" spans="2:8" x14ac:dyDescent="0.2">
      <c r="B6638" t="s">
        <v>4428</v>
      </c>
      <c r="C6638" t="s">
        <v>12941</v>
      </c>
      <c r="D6638" t="s">
        <v>621</v>
      </c>
      <c r="E6638" t="s">
        <v>7552</v>
      </c>
      <c r="F6638">
        <v>496.52</v>
      </c>
      <c r="H6638" t="s">
        <v>1520</v>
      </c>
    </row>
    <row r="6639" spans="2:8" x14ac:dyDescent="0.2">
      <c r="B6639" t="s">
        <v>4428</v>
      </c>
      <c r="C6639" t="s">
        <v>12941</v>
      </c>
      <c r="D6639" t="s">
        <v>589</v>
      </c>
      <c r="E6639" t="s">
        <v>7553</v>
      </c>
      <c r="F6639">
        <v>118000</v>
      </c>
      <c r="G6639" t="s">
        <v>1272</v>
      </c>
    </row>
    <row r="6640" spans="2:8" x14ac:dyDescent="0.2">
      <c r="B6640" t="s">
        <v>4428</v>
      </c>
      <c r="C6640" t="s">
        <v>12941</v>
      </c>
      <c r="D6640" t="s">
        <v>617</v>
      </c>
      <c r="E6640" t="s">
        <v>7554</v>
      </c>
      <c r="F6640">
        <v>190.35</v>
      </c>
      <c r="H6640" t="s">
        <v>4555</v>
      </c>
    </row>
    <row r="6641" spans="2:8" x14ac:dyDescent="0.2">
      <c r="B6641" t="s">
        <v>4428</v>
      </c>
      <c r="C6641" t="s">
        <v>12941</v>
      </c>
      <c r="D6641" t="s">
        <v>617</v>
      </c>
      <c r="E6641" t="s">
        <v>7555</v>
      </c>
      <c r="F6641">
        <v>82.09</v>
      </c>
      <c r="H6641" t="s">
        <v>4555</v>
      </c>
    </row>
    <row r="6642" spans="2:8" x14ac:dyDescent="0.2">
      <c r="B6642" t="s">
        <v>4428</v>
      </c>
      <c r="C6642" t="s">
        <v>12941</v>
      </c>
      <c r="D6642" t="s">
        <v>617</v>
      </c>
      <c r="E6642" t="s">
        <v>7556</v>
      </c>
      <c r="F6642">
        <v>57.4</v>
      </c>
      <c r="H6642" t="s">
        <v>4491</v>
      </c>
    </row>
    <row r="6643" spans="2:8" x14ac:dyDescent="0.2">
      <c r="B6643" t="s">
        <v>4428</v>
      </c>
      <c r="C6643" t="s">
        <v>12941</v>
      </c>
      <c r="D6643" t="s">
        <v>617</v>
      </c>
      <c r="E6643" t="s">
        <v>7557</v>
      </c>
      <c r="F6643">
        <v>57.75</v>
      </c>
      <c r="H6643" t="s">
        <v>4455</v>
      </c>
    </row>
    <row r="6644" spans="2:8" x14ac:dyDescent="0.2">
      <c r="B6644" t="s">
        <v>4428</v>
      </c>
      <c r="C6644" t="s">
        <v>12941</v>
      </c>
      <c r="D6644" t="s">
        <v>617</v>
      </c>
      <c r="E6644" t="s">
        <v>7558</v>
      </c>
      <c r="F6644">
        <v>-57.75</v>
      </c>
      <c r="H6644" t="s">
        <v>4455</v>
      </c>
    </row>
    <row r="6645" spans="2:8" x14ac:dyDescent="0.2">
      <c r="B6645" t="s">
        <v>4428</v>
      </c>
      <c r="C6645" t="s">
        <v>12941</v>
      </c>
      <c r="D6645" t="s">
        <v>617</v>
      </c>
      <c r="E6645" t="s">
        <v>7559</v>
      </c>
      <c r="F6645">
        <v>57.75</v>
      </c>
      <c r="H6645" t="s">
        <v>4455</v>
      </c>
    </row>
    <row r="6646" spans="2:8" x14ac:dyDescent="0.2">
      <c r="B6646" t="s">
        <v>4428</v>
      </c>
      <c r="C6646" t="s">
        <v>12941</v>
      </c>
      <c r="D6646" t="s">
        <v>617</v>
      </c>
      <c r="E6646" t="s">
        <v>7560</v>
      </c>
      <c r="F6646">
        <v>202.13</v>
      </c>
      <c r="H6646" t="s">
        <v>4455</v>
      </c>
    </row>
    <row r="6647" spans="2:8" x14ac:dyDescent="0.2">
      <c r="B6647" t="s">
        <v>4428</v>
      </c>
      <c r="C6647" t="s">
        <v>12941</v>
      </c>
      <c r="D6647" t="s">
        <v>617</v>
      </c>
      <c r="E6647" t="s">
        <v>7561</v>
      </c>
      <c r="F6647">
        <v>54.13</v>
      </c>
      <c r="H6647" t="s">
        <v>4493</v>
      </c>
    </row>
    <row r="6648" spans="2:8" x14ac:dyDescent="0.2">
      <c r="B6648" t="s">
        <v>4428</v>
      </c>
      <c r="C6648" t="s">
        <v>12941</v>
      </c>
      <c r="D6648" t="s">
        <v>617</v>
      </c>
      <c r="E6648" t="s">
        <v>7562</v>
      </c>
      <c r="F6648">
        <v>161.19999999999999</v>
      </c>
      <c r="H6648" t="s">
        <v>4551</v>
      </c>
    </row>
    <row r="6649" spans="2:8" x14ac:dyDescent="0.2">
      <c r="B6649" t="s">
        <v>4428</v>
      </c>
      <c r="C6649" t="s">
        <v>12941</v>
      </c>
      <c r="D6649" t="s">
        <v>617</v>
      </c>
      <c r="E6649" t="s">
        <v>7563</v>
      </c>
      <c r="F6649">
        <v>155.93</v>
      </c>
      <c r="H6649" t="s">
        <v>4552</v>
      </c>
    </row>
    <row r="6650" spans="2:8" x14ac:dyDescent="0.2">
      <c r="B6650" t="s">
        <v>4428</v>
      </c>
      <c r="C6650" t="s">
        <v>12941</v>
      </c>
      <c r="D6650" t="s">
        <v>617</v>
      </c>
      <c r="E6650" t="s">
        <v>7564</v>
      </c>
      <c r="F6650">
        <v>67.650000000000006</v>
      </c>
      <c r="H6650" t="s">
        <v>4552</v>
      </c>
    </row>
    <row r="6651" spans="2:8" x14ac:dyDescent="0.2">
      <c r="B6651" t="s">
        <v>4428</v>
      </c>
      <c r="C6651" t="s">
        <v>12941</v>
      </c>
      <c r="D6651" t="s">
        <v>617</v>
      </c>
      <c r="E6651" t="s">
        <v>7565</v>
      </c>
      <c r="F6651">
        <v>55.13</v>
      </c>
      <c r="H6651" t="s">
        <v>4453</v>
      </c>
    </row>
    <row r="6652" spans="2:8" x14ac:dyDescent="0.2">
      <c r="B6652" t="s">
        <v>4428</v>
      </c>
      <c r="C6652" t="s">
        <v>12941</v>
      </c>
      <c r="D6652" t="s">
        <v>617</v>
      </c>
      <c r="E6652" t="s">
        <v>7566</v>
      </c>
      <c r="F6652">
        <v>-55.13</v>
      </c>
      <c r="H6652" t="s">
        <v>4453</v>
      </c>
    </row>
    <row r="6653" spans="2:8" x14ac:dyDescent="0.2">
      <c r="B6653" t="s">
        <v>4428</v>
      </c>
      <c r="C6653" t="s">
        <v>12941</v>
      </c>
      <c r="D6653" t="s">
        <v>617</v>
      </c>
      <c r="E6653" t="s">
        <v>7567</v>
      </c>
      <c r="F6653">
        <v>55.13</v>
      </c>
      <c r="H6653" t="s">
        <v>4453</v>
      </c>
    </row>
    <row r="6654" spans="2:8" x14ac:dyDescent="0.2">
      <c r="B6654" t="s">
        <v>4428</v>
      </c>
      <c r="C6654" t="s">
        <v>12941</v>
      </c>
      <c r="D6654" t="s">
        <v>617</v>
      </c>
      <c r="E6654" t="s">
        <v>7568</v>
      </c>
      <c r="F6654">
        <v>192.95</v>
      </c>
      <c r="H6654" t="s">
        <v>4453</v>
      </c>
    </row>
    <row r="6655" spans="2:8" x14ac:dyDescent="0.2">
      <c r="B6655" t="s">
        <v>4428</v>
      </c>
      <c r="C6655" t="s">
        <v>12941</v>
      </c>
      <c r="D6655" t="s">
        <v>617</v>
      </c>
      <c r="E6655" t="s">
        <v>7569</v>
      </c>
      <c r="F6655">
        <v>101.9</v>
      </c>
      <c r="H6655" t="s">
        <v>4553</v>
      </c>
    </row>
    <row r="6656" spans="2:8" x14ac:dyDescent="0.2">
      <c r="B6656" t="s">
        <v>4428</v>
      </c>
      <c r="C6656" t="s">
        <v>12941</v>
      </c>
      <c r="D6656" t="s">
        <v>617</v>
      </c>
      <c r="E6656" t="s">
        <v>7570</v>
      </c>
      <c r="F6656">
        <v>67.599999999999994</v>
      </c>
      <c r="H6656" t="s">
        <v>2933</v>
      </c>
    </row>
    <row r="6657" spans="2:8" x14ac:dyDescent="0.2">
      <c r="B6657" t="s">
        <v>4428</v>
      </c>
      <c r="C6657" t="s">
        <v>12941</v>
      </c>
      <c r="D6657" t="s">
        <v>617</v>
      </c>
      <c r="E6657" t="s">
        <v>7571</v>
      </c>
      <c r="F6657">
        <v>97.6</v>
      </c>
      <c r="H6657" t="s">
        <v>2935</v>
      </c>
    </row>
    <row r="6658" spans="2:8" x14ac:dyDescent="0.2">
      <c r="B6658" t="s">
        <v>4428</v>
      </c>
      <c r="C6658" t="s">
        <v>12941</v>
      </c>
      <c r="D6658" t="s">
        <v>617</v>
      </c>
      <c r="E6658" t="s">
        <v>7572</v>
      </c>
      <c r="F6658">
        <v>115.19</v>
      </c>
      <c r="H6658" t="s">
        <v>4207</v>
      </c>
    </row>
    <row r="6659" spans="2:8" x14ac:dyDescent="0.2">
      <c r="B6659" t="s">
        <v>4428</v>
      </c>
      <c r="C6659" t="s">
        <v>12941</v>
      </c>
      <c r="D6659" t="s">
        <v>617</v>
      </c>
      <c r="E6659" t="s">
        <v>7573</v>
      </c>
      <c r="F6659">
        <v>374.37</v>
      </c>
      <c r="H6659" t="s">
        <v>4207</v>
      </c>
    </row>
    <row r="6660" spans="2:8" x14ac:dyDescent="0.2">
      <c r="B6660" t="s">
        <v>4428</v>
      </c>
      <c r="C6660" t="s">
        <v>12941</v>
      </c>
      <c r="D6660" t="s">
        <v>617</v>
      </c>
      <c r="E6660" t="s">
        <v>7574</v>
      </c>
      <c r="F6660">
        <v>313.45</v>
      </c>
      <c r="H6660" t="s">
        <v>4208</v>
      </c>
    </row>
    <row r="6661" spans="2:8" x14ac:dyDescent="0.2">
      <c r="B6661" t="s">
        <v>4428</v>
      </c>
      <c r="C6661" t="s">
        <v>12941</v>
      </c>
      <c r="D6661" t="s">
        <v>617</v>
      </c>
      <c r="E6661" t="s">
        <v>7575</v>
      </c>
      <c r="F6661">
        <v>223.8</v>
      </c>
      <c r="H6661" t="s">
        <v>4208</v>
      </c>
    </row>
    <row r="6662" spans="2:8" x14ac:dyDescent="0.2">
      <c r="B6662" t="s">
        <v>4428</v>
      </c>
      <c r="C6662" t="s">
        <v>12941</v>
      </c>
      <c r="D6662" t="s">
        <v>554</v>
      </c>
      <c r="E6662" t="s">
        <v>7576</v>
      </c>
      <c r="F6662">
        <v>208.33</v>
      </c>
      <c r="H6662" t="s">
        <v>1601</v>
      </c>
    </row>
    <row r="6663" spans="2:8" x14ac:dyDescent="0.2">
      <c r="B6663" t="s">
        <v>4428</v>
      </c>
      <c r="C6663" t="s">
        <v>12941</v>
      </c>
      <c r="D6663" t="s">
        <v>613</v>
      </c>
      <c r="E6663" t="s">
        <v>7577</v>
      </c>
      <c r="F6663">
        <v>5.13</v>
      </c>
      <c r="H6663" t="s">
        <v>7578</v>
      </c>
    </row>
    <row r="6664" spans="2:8" x14ac:dyDescent="0.2">
      <c r="B6664" t="s">
        <v>4428</v>
      </c>
      <c r="C6664" t="s">
        <v>12941</v>
      </c>
      <c r="D6664" t="s">
        <v>613</v>
      </c>
      <c r="E6664" t="s">
        <v>7579</v>
      </c>
      <c r="F6664">
        <v>17.46</v>
      </c>
      <c r="H6664" t="s">
        <v>6425</v>
      </c>
    </row>
    <row r="6665" spans="2:8" x14ac:dyDescent="0.2">
      <c r="B6665" t="s">
        <v>4428</v>
      </c>
      <c r="C6665" t="s">
        <v>12941</v>
      </c>
      <c r="D6665" t="s">
        <v>613</v>
      </c>
      <c r="E6665" t="s">
        <v>7580</v>
      </c>
      <c r="F6665">
        <v>0.13</v>
      </c>
      <c r="H6665" t="s">
        <v>7581</v>
      </c>
    </row>
    <row r="6666" spans="2:8" x14ac:dyDescent="0.2">
      <c r="B6666" t="s">
        <v>4428</v>
      </c>
      <c r="C6666" t="s">
        <v>12941</v>
      </c>
      <c r="D6666" t="s">
        <v>52</v>
      </c>
      <c r="E6666" t="s">
        <v>7582</v>
      </c>
      <c r="F6666">
        <v>4.6399999999999997</v>
      </c>
      <c r="H6666" t="s">
        <v>7583</v>
      </c>
    </row>
    <row r="6667" spans="2:8" x14ac:dyDescent="0.2">
      <c r="B6667" t="s">
        <v>4428</v>
      </c>
      <c r="C6667" t="s">
        <v>12941</v>
      </c>
      <c r="D6667" t="s">
        <v>613</v>
      </c>
      <c r="E6667" t="s">
        <v>7584</v>
      </c>
      <c r="F6667">
        <v>9.4</v>
      </c>
      <c r="H6667" t="s">
        <v>7585</v>
      </c>
    </row>
    <row r="6668" spans="2:8" x14ac:dyDescent="0.2">
      <c r="B6668" t="s">
        <v>4428</v>
      </c>
      <c r="C6668" t="s">
        <v>12941</v>
      </c>
      <c r="D6668" t="s">
        <v>613</v>
      </c>
      <c r="E6668" t="s">
        <v>7586</v>
      </c>
      <c r="F6668">
        <v>1.1000000000000001</v>
      </c>
      <c r="H6668" t="s">
        <v>6183</v>
      </c>
    </row>
    <row r="6669" spans="2:8" x14ac:dyDescent="0.2">
      <c r="B6669" t="s">
        <v>4428</v>
      </c>
      <c r="C6669" t="s">
        <v>12941</v>
      </c>
      <c r="D6669" t="s">
        <v>613</v>
      </c>
      <c r="E6669" t="s">
        <v>7587</v>
      </c>
      <c r="F6669">
        <v>39.58</v>
      </c>
      <c r="H6669" t="s">
        <v>7588</v>
      </c>
    </row>
    <row r="6670" spans="2:8" x14ac:dyDescent="0.2">
      <c r="B6670" t="s">
        <v>4428</v>
      </c>
      <c r="C6670" t="s">
        <v>12941</v>
      </c>
      <c r="D6670" t="s">
        <v>621</v>
      </c>
      <c r="E6670" t="s">
        <v>7589</v>
      </c>
      <c r="F6670">
        <v>12.42</v>
      </c>
      <c r="H6670" t="s">
        <v>7590</v>
      </c>
    </row>
    <row r="6671" spans="2:8" x14ac:dyDescent="0.2">
      <c r="B6671" t="s">
        <v>4428</v>
      </c>
      <c r="C6671" t="s">
        <v>12941</v>
      </c>
      <c r="D6671" t="s">
        <v>617</v>
      </c>
      <c r="E6671" t="s">
        <v>7591</v>
      </c>
      <c r="F6671">
        <v>3.3</v>
      </c>
      <c r="H6671" t="s">
        <v>5897</v>
      </c>
    </row>
    <row r="6672" spans="2:8" x14ac:dyDescent="0.2">
      <c r="B6672" t="s">
        <v>4428</v>
      </c>
      <c r="C6672" t="s">
        <v>12941</v>
      </c>
      <c r="D6672" t="s">
        <v>617</v>
      </c>
      <c r="E6672" t="s">
        <v>7592</v>
      </c>
      <c r="F6672">
        <v>1.5</v>
      </c>
      <c r="H6672" t="s">
        <v>7593</v>
      </c>
    </row>
    <row r="6673" spans="2:8" x14ac:dyDescent="0.2">
      <c r="B6673" t="s">
        <v>4428</v>
      </c>
      <c r="C6673" t="s">
        <v>12941</v>
      </c>
      <c r="D6673" t="s">
        <v>617</v>
      </c>
      <c r="E6673" t="s">
        <v>7594</v>
      </c>
      <c r="F6673">
        <v>2.5499999999999998</v>
      </c>
      <c r="H6673" t="s">
        <v>7595</v>
      </c>
    </row>
    <row r="6674" spans="2:8" x14ac:dyDescent="0.2">
      <c r="B6674" t="s">
        <v>4428</v>
      </c>
      <c r="C6674" t="s">
        <v>12941</v>
      </c>
      <c r="D6674" t="s">
        <v>617</v>
      </c>
      <c r="E6674" t="s">
        <v>7596</v>
      </c>
      <c r="F6674">
        <v>2.2000000000000002</v>
      </c>
      <c r="H6674" t="s">
        <v>4878</v>
      </c>
    </row>
    <row r="6675" spans="2:8" x14ac:dyDescent="0.2">
      <c r="B6675" t="s">
        <v>4428</v>
      </c>
      <c r="C6675" t="s">
        <v>12941</v>
      </c>
      <c r="D6675" t="s">
        <v>617</v>
      </c>
      <c r="E6675" t="s">
        <v>7597</v>
      </c>
      <c r="F6675">
        <v>1.5</v>
      </c>
      <c r="H6675" t="s">
        <v>7593</v>
      </c>
    </row>
    <row r="6676" spans="2:8" x14ac:dyDescent="0.2">
      <c r="B6676" t="s">
        <v>4428</v>
      </c>
      <c r="C6676" t="s">
        <v>12941</v>
      </c>
      <c r="D6676" t="s">
        <v>84</v>
      </c>
      <c r="E6676" t="s">
        <v>7598</v>
      </c>
      <c r="F6676">
        <v>18.87</v>
      </c>
      <c r="H6676" t="s">
        <v>7599</v>
      </c>
    </row>
    <row r="6677" spans="2:8" x14ac:dyDescent="0.2">
      <c r="B6677" t="s">
        <v>4428</v>
      </c>
      <c r="C6677" t="s">
        <v>12941</v>
      </c>
      <c r="D6677" t="s">
        <v>617</v>
      </c>
      <c r="E6677" t="s">
        <v>7600</v>
      </c>
      <c r="F6677">
        <v>3</v>
      </c>
      <c r="H6677" t="s">
        <v>6492</v>
      </c>
    </row>
    <row r="6678" spans="2:8" x14ac:dyDescent="0.2">
      <c r="B6678" t="s">
        <v>4428</v>
      </c>
      <c r="C6678" t="s">
        <v>12941</v>
      </c>
      <c r="D6678" t="s">
        <v>617</v>
      </c>
      <c r="E6678" t="s">
        <v>7601</v>
      </c>
      <c r="F6678">
        <v>4.4000000000000004</v>
      </c>
      <c r="H6678" t="s">
        <v>4878</v>
      </c>
    </row>
    <row r="6679" spans="2:8" x14ac:dyDescent="0.2">
      <c r="B6679" t="s">
        <v>4428</v>
      </c>
      <c r="C6679" t="s">
        <v>12941</v>
      </c>
      <c r="D6679" t="s">
        <v>617</v>
      </c>
      <c r="E6679" t="s">
        <v>7602</v>
      </c>
      <c r="F6679">
        <v>1.5</v>
      </c>
      <c r="H6679" t="s">
        <v>7593</v>
      </c>
    </row>
    <row r="6680" spans="2:8" x14ac:dyDescent="0.2">
      <c r="B6680" t="s">
        <v>4428</v>
      </c>
      <c r="C6680" t="s">
        <v>12941</v>
      </c>
      <c r="D6680" t="s">
        <v>84</v>
      </c>
      <c r="E6680" t="s">
        <v>7603</v>
      </c>
      <c r="F6680">
        <v>75.459999999999994</v>
      </c>
      <c r="H6680" t="s">
        <v>7604</v>
      </c>
    </row>
    <row r="6681" spans="2:8" x14ac:dyDescent="0.2">
      <c r="B6681" t="s">
        <v>4428</v>
      </c>
      <c r="C6681" t="s">
        <v>12941</v>
      </c>
      <c r="D6681" t="s">
        <v>613</v>
      </c>
      <c r="E6681" t="s">
        <v>7605</v>
      </c>
      <c r="F6681">
        <v>0.6</v>
      </c>
      <c r="H6681" t="s">
        <v>7606</v>
      </c>
    </row>
    <row r="6682" spans="2:8" x14ac:dyDescent="0.2">
      <c r="B6682" t="s">
        <v>4428</v>
      </c>
      <c r="C6682" t="s">
        <v>12941</v>
      </c>
      <c r="D6682" t="s">
        <v>617</v>
      </c>
      <c r="E6682" t="s">
        <v>7607</v>
      </c>
      <c r="F6682">
        <v>3.3</v>
      </c>
      <c r="H6682" t="s">
        <v>5897</v>
      </c>
    </row>
    <row r="6683" spans="2:8" x14ac:dyDescent="0.2">
      <c r="B6683" t="s">
        <v>4428</v>
      </c>
      <c r="C6683" t="s">
        <v>12941</v>
      </c>
      <c r="D6683" t="s">
        <v>617</v>
      </c>
      <c r="E6683" t="s">
        <v>7608</v>
      </c>
      <c r="F6683">
        <v>1.67</v>
      </c>
      <c r="H6683" t="s">
        <v>7595</v>
      </c>
    </row>
    <row r="6684" spans="2:8" x14ac:dyDescent="0.2">
      <c r="B6684" t="s">
        <v>4428</v>
      </c>
      <c r="C6684" t="s">
        <v>12941</v>
      </c>
      <c r="D6684" t="s">
        <v>621</v>
      </c>
      <c r="E6684" t="s">
        <v>7609</v>
      </c>
      <c r="F6684">
        <v>38.64</v>
      </c>
      <c r="H6684" t="s">
        <v>7610</v>
      </c>
    </row>
    <row r="6685" spans="2:8" x14ac:dyDescent="0.2">
      <c r="B6685" t="s">
        <v>4428</v>
      </c>
      <c r="C6685" t="s">
        <v>12941</v>
      </c>
      <c r="D6685" t="s">
        <v>617</v>
      </c>
      <c r="E6685" t="s">
        <v>7611</v>
      </c>
      <c r="F6685">
        <v>2.25</v>
      </c>
      <c r="H6685" t="s">
        <v>7593</v>
      </c>
    </row>
    <row r="6686" spans="2:8" x14ac:dyDescent="0.2">
      <c r="B6686" t="s">
        <v>4428</v>
      </c>
      <c r="C6686" t="s">
        <v>12941</v>
      </c>
      <c r="D6686" t="s">
        <v>621</v>
      </c>
      <c r="E6686" t="s">
        <v>7612</v>
      </c>
      <c r="F6686">
        <v>35.58</v>
      </c>
      <c r="H6686" t="s">
        <v>7613</v>
      </c>
    </row>
    <row r="6687" spans="2:8" x14ac:dyDescent="0.2">
      <c r="B6687" t="s">
        <v>4428</v>
      </c>
      <c r="C6687" t="s">
        <v>12941</v>
      </c>
      <c r="D6687" t="s">
        <v>84</v>
      </c>
      <c r="E6687" t="s">
        <v>7614</v>
      </c>
      <c r="F6687">
        <v>3.2</v>
      </c>
      <c r="H6687" t="s">
        <v>7180</v>
      </c>
    </row>
    <row r="6688" spans="2:8" x14ac:dyDescent="0.2">
      <c r="B6688" t="s">
        <v>4428</v>
      </c>
      <c r="C6688" t="s">
        <v>12941</v>
      </c>
      <c r="D6688" t="s">
        <v>617</v>
      </c>
      <c r="E6688" t="s">
        <v>7615</v>
      </c>
      <c r="F6688">
        <v>2.48</v>
      </c>
      <c r="H6688" t="s">
        <v>6570</v>
      </c>
    </row>
    <row r="6689" spans="2:8" x14ac:dyDescent="0.2">
      <c r="B6689" t="s">
        <v>4428</v>
      </c>
      <c r="C6689" t="s">
        <v>12941</v>
      </c>
      <c r="D6689" t="s">
        <v>617</v>
      </c>
      <c r="E6689" t="s">
        <v>7616</v>
      </c>
      <c r="F6689">
        <v>32.200000000000003</v>
      </c>
      <c r="H6689" t="s">
        <v>7617</v>
      </c>
    </row>
    <row r="6690" spans="2:8" x14ac:dyDescent="0.2">
      <c r="B6690" t="s">
        <v>4428</v>
      </c>
      <c r="C6690" t="s">
        <v>12941</v>
      </c>
      <c r="D6690" t="s">
        <v>617</v>
      </c>
      <c r="E6690" t="s">
        <v>7618</v>
      </c>
      <c r="F6690">
        <v>4.2699999999999996</v>
      </c>
      <c r="H6690" t="s">
        <v>7619</v>
      </c>
    </row>
    <row r="6691" spans="2:8" x14ac:dyDescent="0.2">
      <c r="B6691" t="s">
        <v>4428</v>
      </c>
      <c r="C6691" t="s">
        <v>12941</v>
      </c>
      <c r="D6691" t="s">
        <v>617</v>
      </c>
      <c r="E6691" t="s">
        <v>7620</v>
      </c>
      <c r="F6691">
        <v>3.08</v>
      </c>
      <c r="H6691" t="s">
        <v>6489</v>
      </c>
    </row>
    <row r="6692" spans="2:8" x14ac:dyDescent="0.2">
      <c r="B6692" t="s">
        <v>4428</v>
      </c>
      <c r="C6692" t="s">
        <v>12941</v>
      </c>
      <c r="D6692" t="s">
        <v>617</v>
      </c>
      <c r="E6692" t="s">
        <v>7621</v>
      </c>
      <c r="F6692">
        <v>4.9000000000000004</v>
      </c>
      <c r="H6692" t="s">
        <v>5251</v>
      </c>
    </row>
    <row r="6693" spans="2:8" x14ac:dyDescent="0.2">
      <c r="B6693" t="s">
        <v>4428</v>
      </c>
      <c r="C6693" t="s">
        <v>12941</v>
      </c>
      <c r="D6693" t="s">
        <v>613</v>
      </c>
      <c r="E6693" t="s">
        <v>7622</v>
      </c>
      <c r="F6693">
        <v>0.31</v>
      </c>
      <c r="H6693" t="s">
        <v>7623</v>
      </c>
    </row>
    <row r="6694" spans="2:8" x14ac:dyDescent="0.2">
      <c r="B6694" t="s">
        <v>4428</v>
      </c>
      <c r="C6694" t="s">
        <v>12941</v>
      </c>
      <c r="D6694" t="s">
        <v>613</v>
      </c>
      <c r="E6694" t="s">
        <v>7624</v>
      </c>
      <c r="F6694">
        <v>0.26</v>
      </c>
      <c r="H6694" t="s">
        <v>7625</v>
      </c>
    </row>
    <row r="6695" spans="2:8" x14ac:dyDescent="0.2">
      <c r="B6695" t="s">
        <v>4428</v>
      </c>
      <c r="C6695" t="s">
        <v>12941</v>
      </c>
      <c r="D6695" t="s">
        <v>613</v>
      </c>
      <c r="E6695" t="s">
        <v>7626</v>
      </c>
      <c r="F6695">
        <v>0.77</v>
      </c>
      <c r="H6695" t="s">
        <v>5271</v>
      </c>
    </row>
    <row r="6696" spans="2:8" x14ac:dyDescent="0.2">
      <c r="B6696" t="s">
        <v>4428</v>
      </c>
      <c r="C6696" t="s">
        <v>12941</v>
      </c>
      <c r="D6696" t="s">
        <v>621</v>
      </c>
      <c r="E6696" t="s">
        <v>7627</v>
      </c>
      <c r="F6696">
        <v>52.65</v>
      </c>
      <c r="H6696" t="s">
        <v>7628</v>
      </c>
    </row>
    <row r="6697" spans="2:8" x14ac:dyDescent="0.2">
      <c r="B6697" t="s">
        <v>4428</v>
      </c>
      <c r="C6697" t="s">
        <v>12941</v>
      </c>
      <c r="D6697" t="s">
        <v>621</v>
      </c>
      <c r="E6697" t="s">
        <v>7629</v>
      </c>
      <c r="F6697">
        <v>32.5</v>
      </c>
      <c r="H6697" t="s">
        <v>7630</v>
      </c>
    </row>
    <row r="6698" spans="2:8" x14ac:dyDescent="0.2">
      <c r="B6698" t="s">
        <v>4428</v>
      </c>
      <c r="C6698" t="s">
        <v>12941</v>
      </c>
      <c r="D6698" t="s">
        <v>52</v>
      </c>
      <c r="E6698" t="s">
        <v>7631</v>
      </c>
      <c r="F6698">
        <v>27.24</v>
      </c>
      <c r="H6698" t="s">
        <v>7632</v>
      </c>
    </row>
    <row r="6699" spans="2:8" x14ac:dyDescent="0.2">
      <c r="B6699" t="s">
        <v>4428</v>
      </c>
      <c r="C6699" t="s">
        <v>12941</v>
      </c>
      <c r="D6699" t="s">
        <v>84</v>
      </c>
      <c r="E6699" t="s">
        <v>7633</v>
      </c>
      <c r="F6699">
        <v>3.2</v>
      </c>
      <c r="H6699" t="s">
        <v>7180</v>
      </c>
    </row>
    <row r="6700" spans="2:8" x14ac:dyDescent="0.2">
      <c r="B6700" t="s">
        <v>4428</v>
      </c>
      <c r="C6700" t="s">
        <v>12941</v>
      </c>
      <c r="D6700" t="s">
        <v>617</v>
      </c>
      <c r="E6700" t="s">
        <v>7634</v>
      </c>
      <c r="F6700">
        <v>9</v>
      </c>
      <c r="H6700" t="s">
        <v>7635</v>
      </c>
    </row>
    <row r="6701" spans="2:8" x14ac:dyDescent="0.2">
      <c r="B6701" t="s">
        <v>4428</v>
      </c>
      <c r="C6701" t="s">
        <v>12941</v>
      </c>
      <c r="D6701" t="s">
        <v>617</v>
      </c>
      <c r="E6701" t="s">
        <v>7636</v>
      </c>
      <c r="F6701">
        <v>6.24</v>
      </c>
      <c r="H6701" t="s">
        <v>7637</v>
      </c>
    </row>
    <row r="6702" spans="2:8" x14ac:dyDescent="0.2">
      <c r="B6702" t="s">
        <v>4428</v>
      </c>
      <c r="C6702" t="s">
        <v>12941</v>
      </c>
      <c r="D6702" t="s">
        <v>617</v>
      </c>
      <c r="E6702" t="s">
        <v>7638</v>
      </c>
      <c r="F6702">
        <v>5.13</v>
      </c>
      <c r="H6702" t="s">
        <v>7639</v>
      </c>
    </row>
    <row r="6703" spans="2:8" x14ac:dyDescent="0.2">
      <c r="B6703" t="s">
        <v>4428</v>
      </c>
      <c r="C6703" t="s">
        <v>12941</v>
      </c>
      <c r="D6703" t="s">
        <v>617</v>
      </c>
      <c r="E6703" t="s">
        <v>7640</v>
      </c>
      <c r="F6703">
        <v>7.44</v>
      </c>
      <c r="H6703" t="s">
        <v>7641</v>
      </c>
    </row>
    <row r="6704" spans="2:8" x14ac:dyDescent="0.2">
      <c r="B6704" t="s">
        <v>4428</v>
      </c>
      <c r="C6704" t="s">
        <v>12941</v>
      </c>
      <c r="D6704" t="s">
        <v>617</v>
      </c>
      <c r="E6704" t="s">
        <v>7642</v>
      </c>
      <c r="F6704">
        <v>8.16</v>
      </c>
      <c r="H6704" t="s">
        <v>7643</v>
      </c>
    </row>
    <row r="6705" spans="2:8" x14ac:dyDescent="0.2">
      <c r="B6705" t="s">
        <v>4428</v>
      </c>
      <c r="C6705" t="s">
        <v>12941</v>
      </c>
      <c r="D6705" t="s">
        <v>617</v>
      </c>
      <c r="E6705" t="s">
        <v>7644</v>
      </c>
      <c r="F6705">
        <v>321.62</v>
      </c>
      <c r="G6705" t="s">
        <v>4768</v>
      </c>
    </row>
    <row r="6706" spans="2:8" x14ac:dyDescent="0.2">
      <c r="B6706" t="s">
        <v>4428</v>
      </c>
      <c r="C6706" t="s">
        <v>12941</v>
      </c>
      <c r="D6706" t="s">
        <v>617</v>
      </c>
      <c r="E6706" t="s">
        <v>7645</v>
      </c>
      <c r="F6706">
        <v>45.95</v>
      </c>
      <c r="G6706" t="s">
        <v>4768</v>
      </c>
    </row>
    <row r="6707" spans="2:8" x14ac:dyDescent="0.2">
      <c r="B6707" t="s">
        <v>4428</v>
      </c>
      <c r="C6707" t="s">
        <v>12941</v>
      </c>
      <c r="D6707" t="s">
        <v>617</v>
      </c>
      <c r="E6707" t="s">
        <v>7646</v>
      </c>
      <c r="F6707">
        <v>54</v>
      </c>
      <c r="G6707" t="s">
        <v>1722</v>
      </c>
    </row>
    <row r="6708" spans="2:8" x14ac:dyDescent="0.2">
      <c r="B6708" t="s">
        <v>4428</v>
      </c>
      <c r="C6708" t="s">
        <v>12941</v>
      </c>
      <c r="D6708" t="s">
        <v>617</v>
      </c>
      <c r="E6708" t="s">
        <v>7647</v>
      </c>
      <c r="F6708">
        <v>1248.78</v>
      </c>
      <c r="H6708" t="s">
        <v>1387</v>
      </c>
    </row>
    <row r="6709" spans="2:8" x14ac:dyDescent="0.2">
      <c r="B6709" t="s">
        <v>4428</v>
      </c>
      <c r="C6709" t="s">
        <v>12941</v>
      </c>
      <c r="D6709" t="s">
        <v>617</v>
      </c>
      <c r="E6709" t="s">
        <v>7648</v>
      </c>
      <c r="F6709">
        <v>1234.7</v>
      </c>
      <c r="H6709" t="s">
        <v>4776</v>
      </c>
    </row>
    <row r="6710" spans="2:8" x14ac:dyDescent="0.2">
      <c r="B6710" t="s">
        <v>4428</v>
      </c>
      <c r="C6710" t="s">
        <v>12941</v>
      </c>
      <c r="D6710" t="s">
        <v>613</v>
      </c>
      <c r="E6710" t="s">
        <v>7649</v>
      </c>
      <c r="F6710">
        <v>11.88</v>
      </c>
      <c r="G6710" t="s">
        <v>4715</v>
      </c>
    </row>
    <row r="6711" spans="2:8" x14ac:dyDescent="0.2">
      <c r="B6711" t="s">
        <v>4428</v>
      </c>
      <c r="C6711" t="s">
        <v>12941</v>
      </c>
      <c r="D6711" t="s">
        <v>613</v>
      </c>
      <c r="E6711" t="s">
        <v>7650</v>
      </c>
      <c r="F6711">
        <v>10.72</v>
      </c>
      <c r="G6711" t="s">
        <v>7651</v>
      </c>
    </row>
    <row r="6712" spans="2:8" x14ac:dyDescent="0.2">
      <c r="B6712" t="s">
        <v>4428</v>
      </c>
      <c r="C6712" t="s">
        <v>12941</v>
      </c>
      <c r="D6712" t="s">
        <v>613</v>
      </c>
      <c r="E6712" t="s">
        <v>7652</v>
      </c>
      <c r="F6712">
        <v>0.75</v>
      </c>
      <c r="G6712" t="s">
        <v>7653</v>
      </c>
    </row>
    <row r="6713" spans="2:8" x14ac:dyDescent="0.2">
      <c r="B6713" t="s">
        <v>4428</v>
      </c>
      <c r="C6713" t="s">
        <v>12941</v>
      </c>
      <c r="D6713" t="s">
        <v>613</v>
      </c>
      <c r="E6713" t="s">
        <v>7654</v>
      </c>
      <c r="F6713">
        <v>1.02</v>
      </c>
      <c r="G6713" t="s">
        <v>5271</v>
      </c>
    </row>
    <row r="6714" spans="2:8" x14ac:dyDescent="0.2">
      <c r="B6714" t="s">
        <v>4428</v>
      </c>
      <c r="C6714" t="s">
        <v>12941</v>
      </c>
      <c r="D6714" t="s">
        <v>613</v>
      </c>
      <c r="E6714" t="s">
        <v>7655</v>
      </c>
      <c r="F6714">
        <v>4.75</v>
      </c>
      <c r="G6714" t="s">
        <v>5263</v>
      </c>
    </row>
    <row r="6715" spans="2:8" x14ac:dyDescent="0.2">
      <c r="B6715" t="s">
        <v>4428</v>
      </c>
      <c r="C6715" t="s">
        <v>12941</v>
      </c>
      <c r="D6715" t="s">
        <v>613</v>
      </c>
      <c r="E6715" t="s">
        <v>7656</v>
      </c>
      <c r="F6715">
        <v>7.2</v>
      </c>
      <c r="G6715" t="s">
        <v>6752</v>
      </c>
    </row>
    <row r="6716" spans="2:8" x14ac:dyDescent="0.2">
      <c r="B6716" t="s">
        <v>4428</v>
      </c>
      <c r="C6716" t="s">
        <v>12941</v>
      </c>
      <c r="D6716" t="s">
        <v>613</v>
      </c>
      <c r="E6716" t="s">
        <v>7657</v>
      </c>
      <c r="F6716">
        <v>7</v>
      </c>
      <c r="G6716" t="s">
        <v>6635</v>
      </c>
    </row>
    <row r="6717" spans="2:8" x14ac:dyDescent="0.2">
      <c r="B6717" t="s">
        <v>4428</v>
      </c>
      <c r="C6717" t="s">
        <v>12941</v>
      </c>
      <c r="D6717" t="s">
        <v>613</v>
      </c>
      <c r="E6717" t="s">
        <v>7658</v>
      </c>
      <c r="F6717">
        <v>7.5</v>
      </c>
      <c r="G6717" t="s">
        <v>7659</v>
      </c>
    </row>
    <row r="6718" spans="2:8" x14ac:dyDescent="0.2">
      <c r="B6718" t="s">
        <v>4428</v>
      </c>
      <c r="C6718" t="s">
        <v>12941</v>
      </c>
      <c r="D6718" t="s">
        <v>613</v>
      </c>
      <c r="E6718" t="s">
        <v>7660</v>
      </c>
      <c r="F6718">
        <v>6.06</v>
      </c>
      <c r="G6718" t="s">
        <v>7661</v>
      </c>
    </row>
    <row r="6719" spans="2:8" x14ac:dyDescent="0.2">
      <c r="B6719" t="s">
        <v>4428</v>
      </c>
      <c r="C6719" t="s">
        <v>12941</v>
      </c>
      <c r="D6719" t="s">
        <v>613</v>
      </c>
      <c r="E6719" t="s">
        <v>7662</v>
      </c>
      <c r="F6719">
        <v>9.2100000000000009</v>
      </c>
      <c r="G6719" t="s">
        <v>6749</v>
      </c>
    </row>
    <row r="6720" spans="2:8" x14ac:dyDescent="0.2">
      <c r="B6720" t="s">
        <v>4428</v>
      </c>
      <c r="C6720" t="s">
        <v>12941</v>
      </c>
      <c r="D6720" t="s">
        <v>613</v>
      </c>
      <c r="E6720" t="s">
        <v>7663</v>
      </c>
      <c r="F6720">
        <v>4.32</v>
      </c>
      <c r="G6720" t="s">
        <v>6884</v>
      </c>
    </row>
    <row r="6721" spans="2:7" x14ac:dyDescent="0.2">
      <c r="B6721" t="s">
        <v>4428</v>
      </c>
      <c r="C6721" t="s">
        <v>12941</v>
      </c>
      <c r="D6721" t="s">
        <v>613</v>
      </c>
      <c r="E6721" t="s">
        <v>7664</v>
      </c>
      <c r="F6721">
        <v>6.25</v>
      </c>
      <c r="G6721" t="s">
        <v>7665</v>
      </c>
    </row>
    <row r="6722" spans="2:7" x14ac:dyDescent="0.2">
      <c r="B6722" t="s">
        <v>4428</v>
      </c>
      <c r="C6722" t="s">
        <v>12941</v>
      </c>
      <c r="D6722" t="s">
        <v>613</v>
      </c>
      <c r="E6722" t="s">
        <v>7666</v>
      </c>
      <c r="F6722">
        <v>40.71</v>
      </c>
      <c r="G6722" t="s">
        <v>5259</v>
      </c>
    </row>
    <row r="6723" spans="2:7" x14ac:dyDescent="0.2">
      <c r="B6723" t="s">
        <v>4428</v>
      </c>
      <c r="C6723" t="s">
        <v>12941</v>
      </c>
      <c r="D6723" t="s">
        <v>613</v>
      </c>
      <c r="E6723" t="s">
        <v>7667</v>
      </c>
      <c r="F6723">
        <v>4.5</v>
      </c>
      <c r="G6723" t="s">
        <v>7668</v>
      </c>
    </row>
    <row r="6724" spans="2:7" x14ac:dyDescent="0.2">
      <c r="B6724" t="s">
        <v>4428</v>
      </c>
      <c r="C6724" t="s">
        <v>12941</v>
      </c>
      <c r="D6724" t="s">
        <v>613</v>
      </c>
      <c r="E6724" t="s">
        <v>7669</v>
      </c>
      <c r="F6724">
        <v>20.7</v>
      </c>
      <c r="G6724" t="s">
        <v>7670</v>
      </c>
    </row>
    <row r="6725" spans="2:7" x14ac:dyDescent="0.2">
      <c r="B6725" t="s">
        <v>4428</v>
      </c>
      <c r="C6725" t="s">
        <v>12941</v>
      </c>
      <c r="D6725" t="s">
        <v>613</v>
      </c>
      <c r="E6725" t="s">
        <v>7671</v>
      </c>
      <c r="F6725">
        <v>20</v>
      </c>
      <c r="G6725" t="s">
        <v>6886</v>
      </c>
    </row>
    <row r="6726" spans="2:7" x14ac:dyDescent="0.2">
      <c r="B6726" t="s">
        <v>4428</v>
      </c>
      <c r="C6726" t="s">
        <v>12941</v>
      </c>
      <c r="D6726" t="s">
        <v>613</v>
      </c>
      <c r="E6726" t="s">
        <v>7672</v>
      </c>
      <c r="F6726">
        <v>9.6</v>
      </c>
      <c r="G6726" t="s">
        <v>2512</v>
      </c>
    </row>
    <row r="6727" spans="2:7" x14ac:dyDescent="0.2">
      <c r="B6727" t="s">
        <v>4428</v>
      </c>
      <c r="C6727" t="s">
        <v>12941</v>
      </c>
      <c r="D6727" t="s">
        <v>613</v>
      </c>
      <c r="E6727" t="s">
        <v>7673</v>
      </c>
      <c r="F6727">
        <v>1.54</v>
      </c>
      <c r="G6727" t="s">
        <v>7674</v>
      </c>
    </row>
    <row r="6728" spans="2:7" x14ac:dyDescent="0.2">
      <c r="B6728" t="s">
        <v>4428</v>
      </c>
      <c r="C6728" t="s">
        <v>12941</v>
      </c>
      <c r="D6728" t="s">
        <v>613</v>
      </c>
      <c r="E6728" t="s">
        <v>7675</v>
      </c>
      <c r="F6728">
        <v>0.23</v>
      </c>
      <c r="G6728" t="s">
        <v>6752</v>
      </c>
    </row>
    <row r="6729" spans="2:7" x14ac:dyDescent="0.2">
      <c r="B6729" t="s">
        <v>4428</v>
      </c>
      <c r="C6729" t="s">
        <v>12941</v>
      </c>
      <c r="D6729" t="s">
        <v>613</v>
      </c>
      <c r="E6729" t="s">
        <v>7676</v>
      </c>
      <c r="F6729">
        <v>1.06</v>
      </c>
      <c r="G6729" t="s">
        <v>7013</v>
      </c>
    </row>
    <row r="6730" spans="2:7" x14ac:dyDescent="0.2">
      <c r="B6730" t="s">
        <v>4428</v>
      </c>
      <c r="C6730" t="s">
        <v>12941</v>
      </c>
      <c r="D6730" t="s">
        <v>613</v>
      </c>
      <c r="E6730" t="s">
        <v>7677</v>
      </c>
      <c r="F6730">
        <v>5.82</v>
      </c>
      <c r="G6730" t="s">
        <v>7678</v>
      </c>
    </row>
    <row r="6731" spans="2:7" x14ac:dyDescent="0.2">
      <c r="B6731" t="s">
        <v>4428</v>
      </c>
      <c r="C6731" t="s">
        <v>12941</v>
      </c>
      <c r="D6731" t="s">
        <v>613</v>
      </c>
      <c r="E6731" t="s">
        <v>7679</v>
      </c>
      <c r="F6731">
        <v>1.06</v>
      </c>
      <c r="G6731" t="s">
        <v>6635</v>
      </c>
    </row>
    <row r="6732" spans="2:7" x14ac:dyDescent="0.2">
      <c r="B6732" t="s">
        <v>4428</v>
      </c>
      <c r="C6732" t="s">
        <v>12941</v>
      </c>
      <c r="D6732" t="s">
        <v>613</v>
      </c>
      <c r="E6732" t="s">
        <v>7680</v>
      </c>
      <c r="F6732">
        <v>5.0199999999999996</v>
      </c>
      <c r="G6732" t="s">
        <v>2510</v>
      </c>
    </row>
    <row r="6733" spans="2:7" x14ac:dyDescent="0.2">
      <c r="B6733" t="s">
        <v>4428</v>
      </c>
      <c r="C6733" t="s">
        <v>12941</v>
      </c>
      <c r="D6733" t="s">
        <v>613</v>
      </c>
      <c r="E6733" t="s">
        <v>7681</v>
      </c>
      <c r="F6733">
        <v>3.36</v>
      </c>
      <c r="G6733" t="s">
        <v>6747</v>
      </c>
    </row>
    <row r="6734" spans="2:7" x14ac:dyDescent="0.2">
      <c r="B6734" t="s">
        <v>4428</v>
      </c>
      <c r="C6734" t="s">
        <v>12941</v>
      </c>
      <c r="D6734" t="s">
        <v>613</v>
      </c>
      <c r="E6734" t="s">
        <v>7683</v>
      </c>
      <c r="F6734">
        <v>0.11</v>
      </c>
      <c r="G6734" t="s">
        <v>6884</v>
      </c>
    </row>
    <row r="6735" spans="2:7" x14ac:dyDescent="0.2">
      <c r="B6735" t="s">
        <v>4428</v>
      </c>
      <c r="C6735" t="s">
        <v>12941</v>
      </c>
      <c r="D6735" t="s">
        <v>613</v>
      </c>
      <c r="E6735" t="s">
        <v>7684</v>
      </c>
      <c r="F6735">
        <v>0.32</v>
      </c>
      <c r="G6735" t="s">
        <v>6886</v>
      </c>
    </row>
    <row r="6736" spans="2:7" x14ac:dyDescent="0.2">
      <c r="B6736" t="s">
        <v>4428</v>
      </c>
      <c r="C6736" t="s">
        <v>12941</v>
      </c>
      <c r="D6736" t="s">
        <v>613</v>
      </c>
      <c r="E6736" t="s">
        <v>7685</v>
      </c>
      <c r="F6736">
        <v>4.33</v>
      </c>
      <c r="G6736" t="s">
        <v>7686</v>
      </c>
    </row>
    <row r="6737" spans="2:8" x14ac:dyDescent="0.2">
      <c r="B6737" t="s">
        <v>4428</v>
      </c>
      <c r="C6737" t="s">
        <v>12941</v>
      </c>
      <c r="D6737" t="s">
        <v>613</v>
      </c>
      <c r="E6737" t="s">
        <v>7687</v>
      </c>
      <c r="F6737">
        <v>0.6</v>
      </c>
      <c r="G6737" t="s">
        <v>7665</v>
      </c>
    </row>
    <row r="6738" spans="2:8" x14ac:dyDescent="0.2">
      <c r="B6738" t="s">
        <v>4428</v>
      </c>
      <c r="C6738" t="s">
        <v>12941</v>
      </c>
      <c r="D6738" t="s">
        <v>613</v>
      </c>
      <c r="E6738" t="s">
        <v>7688</v>
      </c>
      <c r="F6738">
        <v>1.58</v>
      </c>
      <c r="G6738" t="s">
        <v>6832</v>
      </c>
    </row>
    <row r="6739" spans="2:8" x14ac:dyDescent="0.2">
      <c r="B6739" t="s">
        <v>4428</v>
      </c>
      <c r="C6739" t="s">
        <v>12941</v>
      </c>
      <c r="D6739" t="s">
        <v>613</v>
      </c>
      <c r="E6739" t="s">
        <v>7689</v>
      </c>
      <c r="F6739">
        <v>9.8800000000000008</v>
      </c>
      <c r="G6739" t="s">
        <v>7690</v>
      </c>
    </row>
    <row r="6740" spans="2:8" x14ac:dyDescent="0.2">
      <c r="B6740" t="s">
        <v>4428</v>
      </c>
      <c r="C6740" t="s">
        <v>12941</v>
      </c>
      <c r="D6740" t="s">
        <v>613</v>
      </c>
      <c r="E6740" t="s">
        <v>7691</v>
      </c>
      <c r="F6740">
        <v>2.88</v>
      </c>
      <c r="G6740" t="s">
        <v>6936</v>
      </c>
    </row>
    <row r="6741" spans="2:8" x14ac:dyDescent="0.2">
      <c r="B6741" t="s">
        <v>4428</v>
      </c>
      <c r="C6741" t="s">
        <v>12941</v>
      </c>
      <c r="D6741" t="s">
        <v>613</v>
      </c>
      <c r="E6741" t="s">
        <v>7692</v>
      </c>
      <c r="F6741">
        <v>13.47</v>
      </c>
      <c r="G6741" t="s">
        <v>7693</v>
      </c>
    </row>
    <row r="6742" spans="2:8" x14ac:dyDescent="0.2">
      <c r="B6742" t="s">
        <v>4428</v>
      </c>
      <c r="C6742" t="s">
        <v>12941</v>
      </c>
      <c r="D6742" t="s">
        <v>613</v>
      </c>
      <c r="E6742" t="s">
        <v>7694</v>
      </c>
      <c r="F6742">
        <v>19.600000000000001</v>
      </c>
      <c r="G6742" t="s">
        <v>7695</v>
      </c>
    </row>
    <row r="6743" spans="2:8" x14ac:dyDescent="0.2">
      <c r="B6743" t="s">
        <v>4428</v>
      </c>
      <c r="C6743" t="s">
        <v>12941</v>
      </c>
      <c r="D6743" t="s">
        <v>613</v>
      </c>
      <c r="E6743" t="s">
        <v>7696</v>
      </c>
      <c r="F6743">
        <v>4.33</v>
      </c>
      <c r="G6743" t="s">
        <v>7686</v>
      </c>
    </row>
    <row r="6744" spans="2:8" x14ac:dyDescent="0.2">
      <c r="B6744" t="s">
        <v>4428</v>
      </c>
      <c r="C6744" t="s">
        <v>12941</v>
      </c>
      <c r="D6744" t="s">
        <v>613</v>
      </c>
      <c r="E6744" t="s">
        <v>7697</v>
      </c>
      <c r="F6744">
        <v>27.39</v>
      </c>
      <c r="G6744" t="s">
        <v>2510</v>
      </c>
    </row>
    <row r="6745" spans="2:8" x14ac:dyDescent="0.2">
      <c r="B6745" t="s">
        <v>4428</v>
      </c>
      <c r="C6745" t="s">
        <v>12941</v>
      </c>
      <c r="D6745" t="s">
        <v>613</v>
      </c>
      <c r="E6745" t="s">
        <v>7698</v>
      </c>
      <c r="F6745">
        <v>3.01</v>
      </c>
      <c r="G6745" t="s">
        <v>7699</v>
      </c>
    </row>
    <row r="6746" spans="2:8" x14ac:dyDescent="0.2">
      <c r="B6746" t="s">
        <v>4428</v>
      </c>
      <c r="C6746" t="s">
        <v>12941</v>
      </c>
      <c r="D6746" t="s">
        <v>613</v>
      </c>
      <c r="E6746" t="s">
        <v>7700</v>
      </c>
      <c r="F6746">
        <v>16.649999999999999</v>
      </c>
      <c r="G6746" t="s">
        <v>7701</v>
      </c>
    </row>
    <row r="6747" spans="2:8" x14ac:dyDescent="0.2">
      <c r="B6747" t="s">
        <v>4428</v>
      </c>
      <c r="C6747" t="s">
        <v>12941</v>
      </c>
      <c r="D6747" t="s">
        <v>613</v>
      </c>
      <c r="E6747" t="s">
        <v>7702</v>
      </c>
      <c r="F6747">
        <v>10.5</v>
      </c>
      <c r="G6747" t="s">
        <v>5072</v>
      </c>
    </row>
    <row r="6748" spans="2:8" x14ac:dyDescent="0.2">
      <c r="B6748" t="s">
        <v>4428</v>
      </c>
      <c r="C6748" t="s">
        <v>12941</v>
      </c>
      <c r="D6748" t="s">
        <v>613</v>
      </c>
      <c r="E6748" t="s">
        <v>7703</v>
      </c>
      <c r="F6748">
        <v>6.16</v>
      </c>
      <c r="G6748" t="s">
        <v>7678</v>
      </c>
    </row>
    <row r="6749" spans="2:8" x14ac:dyDescent="0.2">
      <c r="B6749" t="s">
        <v>4428</v>
      </c>
      <c r="C6749" t="s">
        <v>12941</v>
      </c>
      <c r="D6749" t="s">
        <v>613</v>
      </c>
      <c r="E6749" t="s">
        <v>7704</v>
      </c>
      <c r="F6749">
        <v>1.54</v>
      </c>
      <c r="G6749" t="s">
        <v>6747</v>
      </c>
    </row>
    <row r="6750" spans="2:8" x14ac:dyDescent="0.2">
      <c r="B6750" t="s">
        <v>4428</v>
      </c>
      <c r="C6750" t="s">
        <v>12941</v>
      </c>
      <c r="D6750" t="s">
        <v>613</v>
      </c>
      <c r="E6750" t="s">
        <v>7706</v>
      </c>
      <c r="F6750">
        <v>6.3</v>
      </c>
      <c r="G6750" t="s">
        <v>7707</v>
      </c>
    </row>
    <row r="6751" spans="2:8" x14ac:dyDescent="0.2">
      <c r="B6751" t="s">
        <v>4428</v>
      </c>
      <c r="C6751" t="s">
        <v>12941</v>
      </c>
      <c r="D6751" t="s">
        <v>613</v>
      </c>
      <c r="E6751" t="s">
        <v>7708</v>
      </c>
      <c r="F6751">
        <v>68.22</v>
      </c>
      <c r="G6751" t="s">
        <v>7670</v>
      </c>
    </row>
    <row r="6752" spans="2:8" x14ac:dyDescent="0.2">
      <c r="B6752" t="s">
        <v>4428</v>
      </c>
      <c r="C6752" t="s">
        <v>12941</v>
      </c>
      <c r="D6752" t="s">
        <v>617</v>
      </c>
      <c r="E6752" t="s">
        <v>7709</v>
      </c>
      <c r="F6752">
        <v>35.5</v>
      </c>
      <c r="H6752" t="s">
        <v>2350</v>
      </c>
    </row>
    <row r="6753" spans="2:8" x14ac:dyDescent="0.2">
      <c r="B6753" t="s">
        <v>4428</v>
      </c>
      <c r="C6753" t="s">
        <v>12941</v>
      </c>
      <c r="D6753" t="s">
        <v>617</v>
      </c>
      <c r="E6753" t="s">
        <v>7710</v>
      </c>
      <c r="F6753">
        <v>247.8</v>
      </c>
      <c r="H6753" t="s">
        <v>4279</v>
      </c>
    </row>
    <row r="6754" spans="2:8" x14ac:dyDescent="0.2">
      <c r="B6754" t="s">
        <v>4428</v>
      </c>
      <c r="C6754" t="s">
        <v>12941</v>
      </c>
      <c r="D6754" t="s">
        <v>617</v>
      </c>
      <c r="E6754" t="s">
        <v>7711</v>
      </c>
      <c r="F6754">
        <v>92.5</v>
      </c>
      <c r="H6754" t="s">
        <v>4771</v>
      </c>
    </row>
    <row r="6755" spans="2:8" x14ac:dyDescent="0.2">
      <c r="B6755" t="s">
        <v>4428</v>
      </c>
      <c r="C6755" t="s">
        <v>12941</v>
      </c>
      <c r="D6755" t="s">
        <v>613</v>
      </c>
      <c r="E6755" t="s">
        <v>7712</v>
      </c>
      <c r="F6755">
        <v>4.12</v>
      </c>
      <c r="G6755" t="s">
        <v>7690</v>
      </c>
    </row>
    <row r="6756" spans="2:8" x14ac:dyDescent="0.2">
      <c r="B6756" t="s">
        <v>4428</v>
      </c>
      <c r="C6756" t="s">
        <v>12941</v>
      </c>
      <c r="D6756" t="s">
        <v>613</v>
      </c>
      <c r="E6756" t="s">
        <v>7713</v>
      </c>
      <c r="F6756">
        <v>1.92</v>
      </c>
      <c r="G6756" t="s">
        <v>6936</v>
      </c>
    </row>
    <row r="6757" spans="2:8" x14ac:dyDescent="0.2">
      <c r="B6757" t="s">
        <v>4428</v>
      </c>
      <c r="C6757" t="s">
        <v>12941</v>
      </c>
      <c r="D6757" t="s">
        <v>613</v>
      </c>
      <c r="E6757" t="s">
        <v>7715</v>
      </c>
      <c r="F6757">
        <v>18.809999999999999</v>
      </c>
      <c r="G6757" t="s">
        <v>7716</v>
      </c>
    </row>
    <row r="6758" spans="2:8" x14ac:dyDescent="0.2">
      <c r="B6758" t="s">
        <v>4428</v>
      </c>
      <c r="C6758" t="s">
        <v>12941</v>
      </c>
      <c r="D6758" t="s">
        <v>617</v>
      </c>
      <c r="E6758" t="s">
        <v>7718</v>
      </c>
      <c r="F6758">
        <v>198.62</v>
      </c>
      <c r="G6758" t="s">
        <v>4783</v>
      </c>
    </row>
    <row r="6759" spans="2:8" x14ac:dyDescent="0.2">
      <c r="B6759" t="s">
        <v>4428</v>
      </c>
      <c r="C6759" t="s">
        <v>12941</v>
      </c>
      <c r="D6759" t="s">
        <v>613</v>
      </c>
      <c r="E6759" t="s">
        <v>7719</v>
      </c>
      <c r="F6759">
        <v>3.42</v>
      </c>
      <c r="G6759" t="s">
        <v>7720</v>
      </c>
    </row>
    <row r="6760" spans="2:8" x14ac:dyDescent="0.2">
      <c r="B6760" t="s">
        <v>4428</v>
      </c>
      <c r="C6760" t="s">
        <v>12941</v>
      </c>
      <c r="D6760" t="s">
        <v>613</v>
      </c>
      <c r="E6760" t="s">
        <v>7721</v>
      </c>
      <c r="F6760">
        <v>0.49</v>
      </c>
      <c r="G6760" t="s">
        <v>6884</v>
      </c>
    </row>
    <row r="6761" spans="2:8" x14ac:dyDescent="0.2">
      <c r="B6761" t="s">
        <v>4428</v>
      </c>
      <c r="C6761" t="s">
        <v>12941</v>
      </c>
      <c r="D6761" t="s">
        <v>613</v>
      </c>
      <c r="E6761" t="s">
        <v>7722</v>
      </c>
      <c r="F6761">
        <v>2.1</v>
      </c>
      <c r="G6761" t="s">
        <v>7723</v>
      </c>
    </row>
    <row r="6762" spans="2:8" x14ac:dyDescent="0.2">
      <c r="B6762" t="s">
        <v>4428</v>
      </c>
      <c r="C6762" t="s">
        <v>12941</v>
      </c>
      <c r="D6762" t="s">
        <v>617</v>
      </c>
      <c r="E6762" t="s">
        <v>7724</v>
      </c>
      <c r="F6762">
        <v>2100</v>
      </c>
      <c r="G6762" t="s">
        <v>4804</v>
      </c>
    </row>
    <row r="6763" spans="2:8" x14ac:dyDescent="0.2">
      <c r="B6763" t="s">
        <v>4428</v>
      </c>
      <c r="C6763" t="s">
        <v>12941</v>
      </c>
      <c r="D6763" t="s">
        <v>617</v>
      </c>
      <c r="E6763" t="s">
        <v>7725</v>
      </c>
      <c r="F6763">
        <v>73.44</v>
      </c>
      <c r="G6763" t="s">
        <v>4875</v>
      </c>
    </row>
    <row r="6764" spans="2:8" x14ac:dyDescent="0.2">
      <c r="B6764" t="s">
        <v>4428</v>
      </c>
      <c r="C6764" t="s">
        <v>12941</v>
      </c>
      <c r="D6764" t="s">
        <v>617</v>
      </c>
      <c r="E6764" t="s">
        <v>7726</v>
      </c>
      <c r="F6764">
        <v>20.52</v>
      </c>
      <c r="G6764" t="s">
        <v>4877</v>
      </c>
    </row>
    <row r="6765" spans="2:8" x14ac:dyDescent="0.2">
      <c r="B6765" t="s">
        <v>4428</v>
      </c>
      <c r="C6765" t="s">
        <v>12941</v>
      </c>
      <c r="D6765" t="s">
        <v>617</v>
      </c>
      <c r="E6765" t="s">
        <v>7727</v>
      </c>
      <c r="F6765">
        <v>13.2</v>
      </c>
      <c r="G6765" t="s">
        <v>4878</v>
      </c>
    </row>
    <row r="6766" spans="2:8" x14ac:dyDescent="0.2">
      <c r="B6766" t="s">
        <v>4428</v>
      </c>
      <c r="C6766" t="s">
        <v>12941</v>
      </c>
      <c r="D6766" t="s">
        <v>613</v>
      </c>
      <c r="E6766" t="s">
        <v>7728</v>
      </c>
      <c r="F6766">
        <v>195</v>
      </c>
      <c r="G6766" t="s">
        <v>1257</v>
      </c>
    </row>
    <row r="6767" spans="2:8" x14ac:dyDescent="0.2">
      <c r="B6767" t="s">
        <v>4428</v>
      </c>
      <c r="C6767" t="s">
        <v>12941</v>
      </c>
      <c r="D6767" t="s">
        <v>613</v>
      </c>
      <c r="E6767" t="s">
        <v>7729</v>
      </c>
      <c r="F6767">
        <v>16.100000000000001</v>
      </c>
      <c r="G6767" t="s">
        <v>7730</v>
      </c>
    </row>
    <row r="6768" spans="2:8" x14ac:dyDescent="0.2">
      <c r="B6768" t="s">
        <v>4428</v>
      </c>
      <c r="C6768" t="s">
        <v>12941</v>
      </c>
      <c r="D6768" t="s">
        <v>617</v>
      </c>
      <c r="E6768" t="s">
        <v>7731</v>
      </c>
      <c r="F6768">
        <v>52.1</v>
      </c>
      <c r="G6768" t="s">
        <v>1739</v>
      </c>
    </row>
    <row r="6769" spans="2:8" x14ac:dyDescent="0.2">
      <c r="B6769" t="s">
        <v>4428</v>
      </c>
      <c r="C6769" t="s">
        <v>12941</v>
      </c>
      <c r="D6769" t="s">
        <v>84</v>
      </c>
      <c r="E6769" t="s">
        <v>7732</v>
      </c>
      <c r="F6769">
        <v>59.98</v>
      </c>
      <c r="G6769" t="s">
        <v>3553</v>
      </c>
    </row>
    <row r="6770" spans="2:8" x14ac:dyDescent="0.2">
      <c r="B6770" t="s">
        <v>4428</v>
      </c>
      <c r="C6770" t="s">
        <v>12941</v>
      </c>
      <c r="D6770" t="s">
        <v>613</v>
      </c>
      <c r="E6770" t="s">
        <v>7733</v>
      </c>
      <c r="F6770">
        <v>26</v>
      </c>
      <c r="G6770" t="s">
        <v>7734</v>
      </c>
    </row>
    <row r="6771" spans="2:8" x14ac:dyDescent="0.2">
      <c r="B6771" t="s">
        <v>4428</v>
      </c>
      <c r="C6771" t="s">
        <v>12941</v>
      </c>
      <c r="D6771" t="s">
        <v>621</v>
      </c>
      <c r="E6771" t="s">
        <v>7735</v>
      </c>
      <c r="F6771">
        <v>45.12</v>
      </c>
      <c r="G6771" t="s">
        <v>7736</v>
      </c>
    </row>
    <row r="6772" spans="2:8" x14ac:dyDescent="0.2">
      <c r="B6772" t="s">
        <v>4428</v>
      </c>
      <c r="C6772" t="s">
        <v>12941</v>
      </c>
      <c r="D6772" t="s">
        <v>621</v>
      </c>
      <c r="E6772" t="s">
        <v>7737</v>
      </c>
      <c r="F6772">
        <v>210.24</v>
      </c>
      <c r="H6772" t="s">
        <v>4533</v>
      </c>
    </row>
    <row r="6773" spans="2:8" x14ac:dyDescent="0.2">
      <c r="B6773" t="s">
        <v>4428</v>
      </c>
      <c r="C6773" t="s">
        <v>12941</v>
      </c>
      <c r="D6773" t="s">
        <v>621</v>
      </c>
      <c r="E6773" t="s">
        <v>7738</v>
      </c>
      <c r="F6773">
        <v>153.4</v>
      </c>
      <c r="H6773" t="s">
        <v>4534</v>
      </c>
    </row>
    <row r="6774" spans="2:8" x14ac:dyDescent="0.2">
      <c r="B6774" t="s">
        <v>4428</v>
      </c>
      <c r="C6774" t="s">
        <v>12941</v>
      </c>
      <c r="D6774" t="s">
        <v>617</v>
      </c>
      <c r="E6774" t="s">
        <v>7739</v>
      </c>
      <c r="F6774">
        <v>35.5</v>
      </c>
      <c r="H6774" t="s">
        <v>2350</v>
      </c>
    </row>
    <row r="6775" spans="2:8" x14ac:dyDescent="0.2">
      <c r="B6775" t="s">
        <v>4428</v>
      </c>
      <c r="C6775" t="s">
        <v>12941</v>
      </c>
      <c r="D6775" t="s">
        <v>617</v>
      </c>
      <c r="E6775" t="s">
        <v>7740</v>
      </c>
      <c r="F6775">
        <v>247.8</v>
      </c>
      <c r="H6775" t="s">
        <v>4279</v>
      </c>
    </row>
    <row r="6776" spans="2:8" x14ac:dyDescent="0.2">
      <c r="B6776" t="s">
        <v>4428</v>
      </c>
      <c r="C6776" t="s">
        <v>12941</v>
      </c>
      <c r="D6776" t="s">
        <v>617</v>
      </c>
      <c r="E6776" t="s">
        <v>7741</v>
      </c>
      <c r="F6776">
        <v>204.77</v>
      </c>
      <c r="H6776" t="s">
        <v>2307</v>
      </c>
    </row>
    <row r="6777" spans="2:8" x14ac:dyDescent="0.2">
      <c r="B6777" t="s">
        <v>4428</v>
      </c>
      <c r="C6777" t="s">
        <v>12941</v>
      </c>
      <c r="D6777" t="s">
        <v>617</v>
      </c>
      <c r="E6777" t="s">
        <v>7742</v>
      </c>
      <c r="F6777">
        <v>216.76</v>
      </c>
      <c r="H6777" t="s">
        <v>2307</v>
      </c>
    </row>
    <row r="6778" spans="2:8" x14ac:dyDescent="0.2">
      <c r="B6778" t="s">
        <v>4428</v>
      </c>
      <c r="C6778" t="s">
        <v>12941</v>
      </c>
      <c r="D6778" t="s">
        <v>617</v>
      </c>
      <c r="E6778" t="s">
        <v>7743</v>
      </c>
      <c r="F6778">
        <v>165.6</v>
      </c>
      <c r="H6778" t="s">
        <v>1829</v>
      </c>
    </row>
    <row r="6779" spans="2:8" x14ac:dyDescent="0.2">
      <c r="B6779" t="s">
        <v>4428</v>
      </c>
      <c r="C6779" t="s">
        <v>12941</v>
      </c>
      <c r="D6779" t="s">
        <v>617</v>
      </c>
      <c r="E6779" t="s">
        <v>7744</v>
      </c>
      <c r="F6779">
        <v>386.4</v>
      </c>
      <c r="H6779" t="s">
        <v>1829</v>
      </c>
    </row>
    <row r="6780" spans="2:8" x14ac:dyDescent="0.2">
      <c r="B6780" t="s">
        <v>4428</v>
      </c>
      <c r="C6780" t="s">
        <v>12941</v>
      </c>
      <c r="D6780" t="s">
        <v>617</v>
      </c>
      <c r="E6780" t="s">
        <v>7745</v>
      </c>
      <c r="F6780">
        <v>37.200000000000003</v>
      </c>
      <c r="H6780" t="s">
        <v>4822</v>
      </c>
    </row>
    <row r="6781" spans="2:8" x14ac:dyDescent="0.2">
      <c r="B6781" t="s">
        <v>4428</v>
      </c>
      <c r="C6781" t="s">
        <v>12941</v>
      </c>
      <c r="D6781" t="s">
        <v>617</v>
      </c>
      <c r="E6781" t="s">
        <v>7746</v>
      </c>
      <c r="F6781">
        <v>520.79999999999995</v>
      </c>
      <c r="H6781" t="s">
        <v>4822</v>
      </c>
    </row>
    <row r="6782" spans="2:8" x14ac:dyDescent="0.2">
      <c r="B6782" t="s">
        <v>4428</v>
      </c>
      <c r="C6782" t="s">
        <v>12941</v>
      </c>
      <c r="D6782" t="s">
        <v>617</v>
      </c>
      <c r="E6782" t="s">
        <v>7747</v>
      </c>
      <c r="F6782">
        <v>35.04</v>
      </c>
      <c r="H6782" t="s">
        <v>3207</v>
      </c>
    </row>
    <row r="6783" spans="2:8" x14ac:dyDescent="0.2">
      <c r="B6783" t="s">
        <v>4428</v>
      </c>
      <c r="C6783" t="s">
        <v>12941</v>
      </c>
      <c r="D6783" t="s">
        <v>617</v>
      </c>
      <c r="E6783" t="s">
        <v>7748</v>
      </c>
      <c r="F6783">
        <v>204.77</v>
      </c>
      <c r="H6783" t="s">
        <v>2307</v>
      </c>
    </row>
    <row r="6784" spans="2:8" x14ac:dyDescent="0.2">
      <c r="B6784" t="s">
        <v>4428</v>
      </c>
      <c r="C6784" t="s">
        <v>12941</v>
      </c>
      <c r="D6784" t="s">
        <v>617</v>
      </c>
      <c r="E6784" t="s">
        <v>7749</v>
      </c>
      <c r="F6784">
        <v>867.04</v>
      </c>
      <c r="H6784" t="s">
        <v>2307</v>
      </c>
    </row>
    <row r="6785" spans="2:8" x14ac:dyDescent="0.2">
      <c r="B6785" t="s">
        <v>4428</v>
      </c>
      <c r="C6785" t="s">
        <v>12941</v>
      </c>
      <c r="D6785" t="s">
        <v>617</v>
      </c>
      <c r="E6785" t="s">
        <v>7750</v>
      </c>
      <c r="F6785">
        <v>571.52</v>
      </c>
      <c r="H6785" t="s">
        <v>2093</v>
      </c>
    </row>
    <row r="6786" spans="2:8" x14ac:dyDescent="0.2">
      <c r="B6786" t="s">
        <v>4428</v>
      </c>
      <c r="C6786" t="s">
        <v>12941</v>
      </c>
      <c r="D6786" t="s">
        <v>617</v>
      </c>
      <c r="E6786" t="s">
        <v>7751</v>
      </c>
      <c r="F6786">
        <v>358.32</v>
      </c>
      <c r="H6786" t="s">
        <v>1740</v>
      </c>
    </row>
    <row r="6787" spans="2:8" x14ac:dyDescent="0.2">
      <c r="B6787" t="s">
        <v>4428</v>
      </c>
      <c r="C6787" t="s">
        <v>12941</v>
      </c>
      <c r="D6787" t="s">
        <v>617</v>
      </c>
      <c r="E6787" t="s">
        <v>7752</v>
      </c>
      <c r="F6787">
        <v>358.32</v>
      </c>
      <c r="H6787" t="s">
        <v>1741</v>
      </c>
    </row>
    <row r="6788" spans="2:8" x14ac:dyDescent="0.2">
      <c r="B6788" t="s">
        <v>4428</v>
      </c>
      <c r="C6788" t="s">
        <v>12941</v>
      </c>
      <c r="D6788" t="s">
        <v>613</v>
      </c>
      <c r="E6788" t="s">
        <v>7753</v>
      </c>
      <c r="F6788">
        <v>60</v>
      </c>
      <c r="G6788" t="s">
        <v>1259</v>
      </c>
    </row>
    <row r="6789" spans="2:8" x14ac:dyDescent="0.2">
      <c r="B6789" t="s">
        <v>4428</v>
      </c>
      <c r="C6789" t="s">
        <v>12941</v>
      </c>
      <c r="D6789" t="s">
        <v>613</v>
      </c>
      <c r="E6789" t="s">
        <v>7754</v>
      </c>
      <c r="F6789">
        <v>16.559999999999999</v>
      </c>
      <c r="G6789" t="s">
        <v>7755</v>
      </c>
    </row>
    <row r="6790" spans="2:8" x14ac:dyDescent="0.2">
      <c r="B6790" t="s">
        <v>4428</v>
      </c>
      <c r="C6790" t="s">
        <v>12941</v>
      </c>
      <c r="D6790" t="s">
        <v>613</v>
      </c>
      <c r="E6790" t="s">
        <v>7756</v>
      </c>
      <c r="F6790">
        <v>16</v>
      </c>
      <c r="G6790" t="s">
        <v>7757</v>
      </c>
    </row>
    <row r="6791" spans="2:8" x14ac:dyDescent="0.2">
      <c r="B6791" t="s">
        <v>4428</v>
      </c>
      <c r="C6791" t="s">
        <v>12941</v>
      </c>
      <c r="D6791" t="s">
        <v>613</v>
      </c>
      <c r="E6791" t="s">
        <v>7758</v>
      </c>
      <c r="F6791">
        <v>0.36</v>
      </c>
      <c r="G6791" t="s">
        <v>7693</v>
      </c>
    </row>
    <row r="6792" spans="2:8" x14ac:dyDescent="0.2">
      <c r="B6792" t="s">
        <v>4428</v>
      </c>
      <c r="C6792" t="s">
        <v>12941</v>
      </c>
      <c r="D6792" t="s">
        <v>613</v>
      </c>
      <c r="E6792" t="s">
        <v>7759</v>
      </c>
      <c r="F6792">
        <v>0.52</v>
      </c>
      <c r="G6792" t="s">
        <v>7760</v>
      </c>
    </row>
    <row r="6793" spans="2:8" x14ac:dyDescent="0.2">
      <c r="B6793" t="s">
        <v>4428</v>
      </c>
      <c r="C6793" t="s">
        <v>12941</v>
      </c>
      <c r="D6793" t="s">
        <v>617</v>
      </c>
      <c r="E6793" t="s">
        <v>7761</v>
      </c>
      <c r="F6793">
        <v>1291.05</v>
      </c>
      <c r="H6793" t="s">
        <v>4890</v>
      </c>
    </row>
    <row r="6794" spans="2:8" x14ac:dyDescent="0.2">
      <c r="B6794" t="s">
        <v>4428</v>
      </c>
      <c r="C6794" t="s">
        <v>12941</v>
      </c>
      <c r="D6794" t="s">
        <v>617</v>
      </c>
      <c r="E6794" t="s">
        <v>7762</v>
      </c>
      <c r="F6794">
        <v>1291.05</v>
      </c>
      <c r="H6794" t="s">
        <v>4890</v>
      </c>
    </row>
    <row r="6795" spans="2:8" x14ac:dyDescent="0.2">
      <c r="B6795" t="s">
        <v>4428</v>
      </c>
      <c r="C6795" t="s">
        <v>12941</v>
      </c>
      <c r="D6795" t="s">
        <v>617</v>
      </c>
      <c r="E6795" t="s">
        <v>7763</v>
      </c>
      <c r="F6795">
        <v>198.62</v>
      </c>
      <c r="H6795" t="s">
        <v>4783</v>
      </c>
    </row>
    <row r="6796" spans="2:8" x14ac:dyDescent="0.2">
      <c r="B6796" t="s">
        <v>4428</v>
      </c>
      <c r="C6796" t="s">
        <v>12941</v>
      </c>
      <c r="D6796" t="s">
        <v>617</v>
      </c>
      <c r="E6796" t="s">
        <v>7764</v>
      </c>
      <c r="F6796">
        <v>39.28</v>
      </c>
      <c r="H6796" t="s">
        <v>6385</v>
      </c>
    </row>
    <row r="6797" spans="2:8" x14ac:dyDescent="0.2">
      <c r="B6797" t="s">
        <v>4428</v>
      </c>
      <c r="C6797" t="s">
        <v>12941</v>
      </c>
      <c r="D6797" t="s">
        <v>617</v>
      </c>
      <c r="E6797" t="s">
        <v>7765</v>
      </c>
      <c r="F6797">
        <v>101.4</v>
      </c>
      <c r="H6797" t="s">
        <v>2617</v>
      </c>
    </row>
    <row r="6798" spans="2:8" x14ac:dyDescent="0.2">
      <c r="B6798" t="s">
        <v>4428</v>
      </c>
      <c r="C6798" t="s">
        <v>12941</v>
      </c>
      <c r="D6798" t="s">
        <v>617</v>
      </c>
      <c r="E6798" t="s">
        <v>7766</v>
      </c>
      <c r="F6798">
        <v>44.4</v>
      </c>
      <c r="H6798" t="s">
        <v>1703</v>
      </c>
    </row>
    <row r="6799" spans="2:8" x14ac:dyDescent="0.2">
      <c r="B6799" t="s">
        <v>4428</v>
      </c>
      <c r="C6799" t="s">
        <v>12941</v>
      </c>
      <c r="D6799" t="s">
        <v>617</v>
      </c>
      <c r="E6799" t="s">
        <v>7767</v>
      </c>
      <c r="F6799">
        <v>173.52</v>
      </c>
      <c r="H6799" t="s">
        <v>3961</v>
      </c>
    </row>
    <row r="6800" spans="2:8" x14ac:dyDescent="0.2">
      <c r="B6800" t="s">
        <v>4428</v>
      </c>
      <c r="C6800" t="s">
        <v>12941</v>
      </c>
      <c r="D6800" t="s">
        <v>617</v>
      </c>
      <c r="E6800" t="s">
        <v>7768</v>
      </c>
      <c r="F6800">
        <v>52</v>
      </c>
      <c r="H6800" t="s">
        <v>4677</v>
      </c>
    </row>
    <row r="6801" spans="2:8" x14ac:dyDescent="0.2">
      <c r="B6801" t="s">
        <v>4428</v>
      </c>
      <c r="C6801" t="s">
        <v>12941</v>
      </c>
      <c r="D6801" t="s">
        <v>617</v>
      </c>
      <c r="E6801" t="s">
        <v>7769</v>
      </c>
      <c r="F6801">
        <v>40</v>
      </c>
      <c r="H6801" t="s">
        <v>4677</v>
      </c>
    </row>
    <row r="6802" spans="2:8" x14ac:dyDescent="0.2">
      <c r="B6802" t="s">
        <v>4428</v>
      </c>
      <c r="C6802" t="s">
        <v>12941</v>
      </c>
      <c r="D6802" t="s">
        <v>613</v>
      </c>
      <c r="E6802" t="s">
        <v>7770</v>
      </c>
      <c r="F6802">
        <v>142.4</v>
      </c>
      <c r="H6802" t="s">
        <v>4830</v>
      </c>
    </row>
    <row r="6803" spans="2:8" x14ac:dyDescent="0.2">
      <c r="B6803" t="s">
        <v>4428</v>
      </c>
      <c r="C6803" t="s">
        <v>12941</v>
      </c>
      <c r="D6803" t="s">
        <v>621</v>
      </c>
      <c r="E6803" t="s">
        <v>7771</v>
      </c>
      <c r="F6803">
        <v>40.98</v>
      </c>
      <c r="G6803" t="s">
        <v>1676</v>
      </c>
    </row>
    <row r="6804" spans="2:8" x14ac:dyDescent="0.2">
      <c r="B6804" t="s">
        <v>4428</v>
      </c>
      <c r="C6804" t="s">
        <v>12941</v>
      </c>
      <c r="D6804" t="s">
        <v>621</v>
      </c>
      <c r="E6804" t="s">
        <v>7772</v>
      </c>
      <c r="F6804">
        <v>39</v>
      </c>
      <c r="G6804" t="s">
        <v>7455</v>
      </c>
    </row>
    <row r="6805" spans="2:8" x14ac:dyDescent="0.2">
      <c r="B6805" t="s">
        <v>4428</v>
      </c>
      <c r="C6805" t="s">
        <v>12941</v>
      </c>
      <c r="D6805" t="s">
        <v>621</v>
      </c>
      <c r="E6805" t="s">
        <v>7773</v>
      </c>
      <c r="F6805">
        <v>100.98</v>
      </c>
      <c r="G6805" t="s">
        <v>7774</v>
      </c>
    </row>
    <row r="6806" spans="2:8" x14ac:dyDescent="0.2">
      <c r="B6806" t="s">
        <v>4428</v>
      </c>
      <c r="C6806" t="s">
        <v>12941</v>
      </c>
      <c r="D6806" t="s">
        <v>621</v>
      </c>
      <c r="E6806" t="s">
        <v>7775</v>
      </c>
      <c r="F6806">
        <v>11.34</v>
      </c>
      <c r="G6806" t="s">
        <v>7776</v>
      </c>
    </row>
    <row r="6807" spans="2:8" x14ac:dyDescent="0.2">
      <c r="B6807" t="s">
        <v>4428</v>
      </c>
      <c r="C6807" t="s">
        <v>12941</v>
      </c>
      <c r="D6807" t="s">
        <v>613</v>
      </c>
      <c r="E6807" t="s">
        <v>7777</v>
      </c>
      <c r="F6807">
        <v>1.1000000000000001</v>
      </c>
      <c r="G6807" t="s">
        <v>7251</v>
      </c>
    </row>
    <row r="6808" spans="2:8" x14ac:dyDescent="0.2">
      <c r="B6808" t="s">
        <v>4428</v>
      </c>
      <c r="C6808" t="s">
        <v>12941</v>
      </c>
      <c r="D6808" t="s">
        <v>613</v>
      </c>
      <c r="E6808" t="s">
        <v>7778</v>
      </c>
      <c r="F6808">
        <v>10.88</v>
      </c>
      <c r="G6808" t="s">
        <v>5244</v>
      </c>
    </row>
    <row r="6809" spans="2:8" x14ac:dyDescent="0.2">
      <c r="B6809" t="s">
        <v>4428</v>
      </c>
      <c r="C6809" t="s">
        <v>12941</v>
      </c>
      <c r="D6809" t="s">
        <v>621</v>
      </c>
      <c r="E6809" t="s">
        <v>7779</v>
      </c>
      <c r="F6809">
        <v>210.24</v>
      </c>
      <c r="G6809" t="s">
        <v>4533</v>
      </c>
    </row>
    <row r="6810" spans="2:8" x14ac:dyDescent="0.2">
      <c r="B6810" t="s">
        <v>4428</v>
      </c>
      <c r="C6810" t="s">
        <v>12941</v>
      </c>
      <c r="D6810" t="s">
        <v>613</v>
      </c>
      <c r="E6810" t="s">
        <v>7780</v>
      </c>
      <c r="F6810">
        <v>1.1000000000000001</v>
      </c>
      <c r="G6810" t="s">
        <v>2513</v>
      </c>
    </row>
    <row r="6811" spans="2:8" x14ac:dyDescent="0.2">
      <c r="B6811" t="s">
        <v>4428</v>
      </c>
      <c r="C6811" t="s">
        <v>12941</v>
      </c>
      <c r="D6811" t="s">
        <v>621</v>
      </c>
      <c r="E6811" t="s">
        <v>7781</v>
      </c>
      <c r="F6811">
        <v>11.72</v>
      </c>
      <c r="G6811" t="s">
        <v>7782</v>
      </c>
    </row>
    <row r="6812" spans="2:8" x14ac:dyDescent="0.2">
      <c r="B6812" t="s">
        <v>4428</v>
      </c>
      <c r="C6812" t="s">
        <v>12941</v>
      </c>
      <c r="D6812" t="s">
        <v>621</v>
      </c>
      <c r="E6812" t="s">
        <v>7783</v>
      </c>
      <c r="F6812">
        <v>15.52</v>
      </c>
      <c r="G6812" t="s">
        <v>7784</v>
      </c>
    </row>
    <row r="6813" spans="2:8" x14ac:dyDescent="0.2">
      <c r="B6813" t="s">
        <v>4428</v>
      </c>
      <c r="C6813" t="s">
        <v>12941</v>
      </c>
      <c r="D6813" t="s">
        <v>613</v>
      </c>
      <c r="E6813" t="s">
        <v>7785</v>
      </c>
      <c r="F6813">
        <v>24.96</v>
      </c>
      <c r="G6813" t="s">
        <v>1695</v>
      </c>
    </row>
    <row r="6814" spans="2:8" x14ac:dyDescent="0.2">
      <c r="B6814" t="s">
        <v>4428</v>
      </c>
      <c r="C6814" t="s">
        <v>12941</v>
      </c>
      <c r="D6814" t="s">
        <v>621</v>
      </c>
      <c r="E6814" t="s">
        <v>7786</v>
      </c>
      <c r="F6814">
        <v>215.56</v>
      </c>
      <c r="G6814" t="s">
        <v>4237</v>
      </c>
    </row>
    <row r="6815" spans="2:8" x14ac:dyDescent="0.2">
      <c r="B6815" t="s">
        <v>4428</v>
      </c>
      <c r="C6815" t="s">
        <v>12941</v>
      </c>
      <c r="D6815" t="s">
        <v>621</v>
      </c>
      <c r="E6815" t="s">
        <v>7787</v>
      </c>
      <c r="F6815">
        <v>536.9</v>
      </c>
      <c r="G6815" t="s">
        <v>4237</v>
      </c>
    </row>
    <row r="6816" spans="2:8" x14ac:dyDescent="0.2">
      <c r="B6816" t="s">
        <v>4428</v>
      </c>
      <c r="C6816" t="s">
        <v>12941</v>
      </c>
      <c r="D6816" t="s">
        <v>621</v>
      </c>
      <c r="E6816" t="s">
        <v>7788</v>
      </c>
      <c r="F6816">
        <v>143</v>
      </c>
      <c r="G6816" t="s">
        <v>6645</v>
      </c>
    </row>
    <row r="6817" spans="2:8" x14ac:dyDescent="0.2">
      <c r="B6817" t="s">
        <v>4428</v>
      </c>
      <c r="C6817" t="s">
        <v>12941</v>
      </c>
      <c r="D6817" t="s">
        <v>617</v>
      </c>
      <c r="E6817" t="s">
        <v>7789</v>
      </c>
      <c r="F6817">
        <v>6.75</v>
      </c>
      <c r="G6817" t="s">
        <v>1606</v>
      </c>
    </row>
    <row r="6818" spans="2:8" x14ac:dyDescent="0.2">
      <c r="B6818" t="s">
        <v>4428</v>
      </c>
      <c r="C6818" t="s">
        <v>12941</v>
      </c>
      <c r="D6818" t="s">
        <v>621</v>
      </c>
      <c r="E6818" t="s">
        <v>7790</v>
      </c>
      <c r="F6818">
        <v>66.88</v>
      </c>
      <c r="H6818" t="s">
        <v>1763</v>
      </c>
    </row>
    <row r="6819" spans="2:8" x14ac:dyDescent="0.2">
      <c r="B6819" t="s">
        <v>4428</v>
      </c>
      <c r="C6819" t="s">
        <v>12941</v>
      </c>
      <c r="D6819" t="s">
        <v>621</v>
      </c>
      <c r="E6819" t="s">
        <v>7791</v>
      </c>
      <c r="F6819">
        <v>15.45</v>
      </c>
      <c r="H6819" t="s">
        <v>4161</v>
      </c>
    </row>
    <row r="6820" spans="2:8" x14ac:dyDescent="0.2">
      <c r="B6820" t="s">
        <v>4428</v>
      </c>
      <c r="C6820" t="s">
        <v>12941</v>
      </c>
      <c r="D6820" t="s">
        <v>621</v>
      </c>
      <c r="E6820" t="s">
        <v>7792</v>
      </c>
      <c r="F6820">
        <v>108.15</v>
      </c>
      <c r="H6820" t="s">
        <v>4161</v>
      </c>
    </row>
    <row r="6821" spans="2:8" x14ac:dyDescent="0.2">
      <c r="B6821" t="s">
        <v>4428</v>
      </c>
      <c r="C6821" t="s">
        <v>12941</v>
      </c>
      <c r="D6821" t="s">
        <v>621</v>
      </c>
      <c r="E6821" t="s">
        <v>7793</v>
      </c>
      <c r="F6821">
        <v>30.9</v>
      </c>
      <c r="H6821" t="s">
        <v>4161</v>
      </c>
    </row>
    <row r="6822" spans="2:8" x14ac:dyDescent="0.2">
      <c r="B6822" t="s">
        <v>4428</v>
      </c>
      <c r="C6822" t="s">
        <v>12941</v>
      </c>
      <c r="D6822" t="s">
        <v>617</v>
      </c>
      <c r="E6822" t="s">
        <v>7794</v>
      </c>
      <c r="F6822">
        <v>35.5</v>
      </c>
      <c r="H6822" t="s">
        <v>2350</v>
      </c>
    </row>
    <row r="6823" spans="2:8" x14ac:dyDescent="0.2">
      <c r="B6823" t="s">
        <v>4428</v>
      </c>
      <c r="C6823" t="s">
        <v>12941</v>
      </c>
      <c r="D6823" t="s">
        <v>617</v>
      </c>
      <c r="E6823" t="s">
        <v>7795</v>
      </c>
      <c r="F6823">
        <v>92.5</v>
      </c>
      <c r="H6823" t="s">
        <v>4771</v>
      </c>
    </row>
    <row r="6824" spans="2:8" x14ac:dyDescent="0.2">
      <c r="B6824" t="s">
        <v>4428</v>
      </c>
      <c r="C6824" t="s">
        <v>12941</v>
      </c>
      <c r="D6824" t="s">
        <v>613</v>
      </c>
      <c r="E6824" t="s">
        <v>7796</v>
      </c>
      <c r="F6824">
        <v>44.04</v>
      </c>
      <c r="G6824" t="s">
        <v>1279</v>
      </c>
    </row>
    <row r="6825" spans="2:8" x14ac:dyDescent="0.2">
      <c r="B6825" t="s">
        <v>4428</v>
      </c>
      <c r="C6825" t="s">
        <v>12941</v>
      </c>
      <c r="D6825" t="s">
        <v>617</v>
      </c>
      <c r="E6825" t="s">
        <v>7797</v>
      </c>
      <c r="F6825">
        <v>4569.2</v>
      </c>
      <c r="G6825" t="s">
        <v>4880</v>
      </c>
    </row>
    <row r="6826" spans="2:8" x14ac:dyDescent="0.2">
      <c r="B6826" t="s">
        <v>4428</v>
      </c>
      <c r="C6826" t="s">
        <v>12941</v>
      </c>
      <c r="D6826" t="s">
        <v>613</v>
      </c>
      <c r="E6826" t="s">
        <v>7798</v>
      </c>
      <c r="F6826">
        <v>17.5</v>
      </c>
      <c r="G6826" t="s">
        <v>5072</v>
      </c>
    </row>
    <row r="6827" spans="2:8" x14ac:dyDescent="0.2">
      <c r="B6827" t="s">
        <v>4428</v>
      </c>
      <c r="C6827" t="s">
        <v>12941</v>
      </c>
      <c r="D6827" t="s">
        <v>613</v>
      </c>
      <c r="E6827" t="s">
        <v>7799</v>
      </c>
      <c r="F6827">
        <v>7.89</v>
      </c>
      <c r="G6827" t="s">
        <v>6749</v>
      </c>
    </row>
    <row r="6828" spans="2:8" x14ac:dyDescent="0.2">
      <c r="B6828" t="s">
        <v>4428</v>
      </c>
      <c r="C6828" t="s">
        <v>12941</v>
      </c>
      <c r="D6828" t="s">
        <v>613</v>
      </c>
      <c r="E6828" t="s">
        <v>7800</v>
      </c>
      <c r="F6828">
        <v>12.5</v>
      </c>
      <c r="G6828" t="s">
        <v>5914</v>
      </c>
    </row>
    <row r="6829" spans="2:8" x14ac:dyDescent="0.2">
      <c r="B6829" t="s">
        <v>4428</v>
      </c>
      <c r="C6829" t="s">
        <v>12941</v>
      </c>
      <c r="D6829" t="s">
        <v>613</v>
      </c>
      <c r="E6829" t="s">
        <v>7801</v>
      </c>
      <c r="F6829">
        <v>12.9</v>
      </c>
      <c r="G6829" t="s">
        <v>7802</v>
      </c>
    </row>
    <row r="6830" spans="2:8" x14ac:dyDescent="0.2">
      <c r="B6830" t="s">
        <v>4428</v>
      </c>
      <c r="C6830" t="s">
        <v>12941</v>
      </c>
      <c r="D6830" t="s">
        <v>613</v>
      </c>
      <c r="E6830" t="s">
        <v>7803</v>
      </c>
      <c r="F6830">
        <v>5.6</v>
      </c>
      <c r="G6830" t="s">
        <v>7678</v>
      </c>
    </row>
    <row r="6831" spans="2:8" x14ac:dyDescent="0.2">
      <c r="B6831" t="s">
        <v>4428</v>
      </c>
      <c r="C6831" t="s">
        <v>12941</v>
      </c>
      <c r="D6831" t="s">
        <v>613</v>
      </c>
      <c r="E6831" t="s">
        <v>7804</v>
      </c>
      <c r="F6831">
        <v>9.59</v>
      </c>
      <c r="G6831" t="s">
        <v>7805</v>
      </c>
    </row>
    <row r="6832" spans="2:8" x14ac:dyDescent="0.2">
      <c r="B6832" t="s">
        <v>4428</v>
      </c>
      <c r="C6832" t="s">
        <v>12941</v>
      </c>
      <c r="D6832" t="s">
        <v>613</v>
      </c>
      <c r="E6832" t="s">
        <v>7806</v>
      </c>
      <c r="F6832">
        <v>12.5</v>
      </c>
      <c r="G6832" t="s">
        <v>7807</v>
      </c>
    </row>
    <row r="6833" spans="2:7" x14ac:dyDescent="0.2">
      <c r="B6833" t="s">
        <v>4428</v>
      </c>
      <c r="C6833" t="s">
        <v>12941</v>
      </c>
      <c r="D6833" t="s">
        <v>613</v>
      </c>
      <c r="E6833" t="s">
        <v>7808</v>
      </c>
      <c r="F6833">
        <v>5.21</v>
      </c>
      <c r="G6833" t="s">
        <v>7809</v>
      </c>
    </row>
    <row r="6834" spans="2:7" x14ac:dyDescent="0.2">
      <c r="B6834" t="s">
        <v>4428</v>
      </c>
      <c r="C6834" t="s">
        <v>12941</v>
      </c>
      <c r="D6834" t="s">
        <v>613</v>
      </c>
      <c r="E6834" t="s">
        <v>7810</v>
      </c>
      <c r="F6834">
        <v>11.1</v>
      </c>
      <c r="G6834" t="s">
        <v>7811</v>
      </c>
    </row>
    <row r="6835" spans="2:7" x14ac:dyDescent="0.2">
      <c r="B6835" t="s">
        <v>4428</v>
      </c>
      <c r="C6835" t="s">
        <v>12941</v>
      </c>
      <c r="D6835" t="s">
        <v>613</v>
      </c>
      <c r="E6835" t="s">
        <v>7812</v>
      </c>
      <c r="F6835">
        <v>8.08</v>
      </c>
      <c r="G6835" t="s">
        <v>7661</v>
      </c>
    </row>
    <row r="6836" spans="2:7" x14ac:dyDescent="0.2">
      <c r="B6836" t="s">
        <v>4428</v>
      </c>
      <c r="C6836" t="s">
        <v>12941</v>
      </c>
      <c r="D6836" t="s">
        <v>613</v>
      </c>
      <c r="E6836" t="s">
        <v>7813</v>
      </c>
      <c r="F6836">
        <v>10</v>
      </c>
      <c r="G6836" t="s">
        <v>7814</v>
      </c>
    </row>
    <row r="6837" spans="2:7" x14ac:dyDescent="0.2">
      <c r="B6837" t="s">
        <v>4428</v>
      </c>
      <c r="C6837" t="s">
        <v>12941</v>
      </c>
      <c r="D6837" t="s">
        <v>613</v>
      </c>
      <c r="E6837" t="s">
        <v>7815</v>
      </c>
      <c r="F6837">
        <v>1.9</v>
      </c>
      <c r="G6837" t="s">
        <v>7816</v>
      </c>
    </row>
    <row r="6838" spans="2:7" x14ac:dyDescent="0.2">
      <c r="B6838" t="s">
        <v>4428</v>
      </c>
      <c r="C6838" t="s">
        <v>12941</v>
      </c>
      <c r="D6838" t="s">
        <v>613</v>
      </c>
      <c r="E6838" t="s">
        <v>7817</v>
      </c>
      <c r="F6838">
        <v>7</v>
      </c>
      <c r="G6838" t="s">
        <v>6635</v>
      </c>
    </row>
    <row r="6839" spans="2:7" x14ac:dyDescent="0.2">
      <c r="B6839" t="s">
        <v>4428</v>
      </c>
      <c r="C6839" t="s">
        <v>12941</v>
      </c>
      <c r="D6839" t="s">
        <v>613</v>
      </c>
      <c r="E6839" t="s">
        <v>7818</v>
      </c>
      <c r="F6839">
        <v>8.1</v>
      </c>
      <c r="G6839" t="s">
        <v>6884</v>
      </c>
    </row>
    <row r="6840" spans="2:7" x14ac:dyDescent="0.2">
      <c r="B6840" t="s">
        <v>4428</v>
      </c>
      <c r="C6840" t="s">
        <v>12941</v>
      </c>
      <c r="D6840" t="s">
        <v>613</v>
      </c>
      <c r="E6840" t="s">
        <v>7819</v>
      </c>
      <c r="F6840">
        <v>5</v>
      </c>
      <c r="G6840" t="s">
        <v>7665</v>
      </c>
    </row>
    <row r="6841" spans="2:7" x14ac:dyDescent="0.2">
      <c r="B6841" t="s">
        <v>4428</v>
      </c>
      <c r="C6841" t="s">
        <v>12941</v>
      </c>
      <c r="D6841" t="s">
        <v>613</v>
      </c>
      <c r="E6841" t="s">
        <v>7820</v>
      </c>
      <c r="F6841">
        <v>16.5</v>
      </c>
      <c r="G6841" t="s">
        <v>2510</v>
      </c>
    </row>
    <row r="6842" spans="2:7" x14ac:dyDescent="0.2">
      <c r="B6842" t="s">
        <v>4428</v>
      </c>
      <c r="C6842" t="s">
        <v>12941</v>
      </c>
      <c r="D6842" t="s">
        <v>613</v>
      </c>
      <c r="E6842" t="s">
        <v>7821</v>
      </c>
      <c r="F6842">
        <v>5.0599999999999996</v>
      </c>
      <c r="G6842" t="s">
        <v>6183</v>
      </c>
    </row>
    <row r="6843" spans="2:7" x14ac:dyDescent="0.2">
      <c r="B6843" t="s">
        <v>4428</v>
      </c>
      <c r="C6843" t="s">
        <v>12941</v>
      </c>
      <c r="D6843" t="s">
        <v>613</v>
      </c>
      <c r="E6843" t="s">
        <v>7822</v>
      </c>
      <c r="F6843">
        <v>5</v>
      </c>
      <c r="G6843" t="s">
        <v>7823</v>
      </c>
    </row>
    <row r="6844" spans="2:7" x14ac:dyDescent="0.2">
      <c r="B6844" t="s">
        <v>4428</v>
      </c>
      <c r="C6844" t="s">
        <v>12941</v>
      </c>
      <c r="D6844" t="s">
        <v>613</v>
      </c>
      <c r="E6844" t="s">
        <v>7824</v>
      </c>
      <c r="F6844">
        <v>3.91</v>
      </c>
      <c r="G6844" t="s">
        <v>7825</v>
      </c>
    </row>
    <row r="6845" spans="2:7" x14ac:dyDescent="0.2">
      <c r="B6845" t="s">
        <v>4428</v>
      </c>
      <c r="C6845" t="s">
        <v>12941</v>
      </c>
      <c r="D6845" t="s">
        <v>613</v>
      </c>
      <c r="E6845" t="s">
        <v>7826</v>
      </c>
      <c r="F6845">
        <v>14.04</v>
      </c>
      <c r="G6845" t="s">
        <v>7827</v>
      </c>
    </row>
    <row r="6846" spans="2:7" x14ac:dyDescent="0.2">
      <c r="B6846" t="s">
        <v>4428</v>
      </c>
      <c r="C6846" t="s">
        <v>12941</v>
      </c>
      <c r="D6846" t="s">
        <v>613</v>
      </c>
      <c r="E6846" t="s">
        <v>7828</v>
      </c>
      <c r="F6846">
        <v>7.4</v>
      </c>
      <c r="G6846" t="s">
        <v>7701</v>
      </c>
    </row>
    <row r="6847" spans="2:7" x14ac:dyDescent="0.2">
      <c r="B6847" t="s">
        <v>4428</v>
      </c>
      <c r="C6847" t="s">
        <v>12941</v>
      </c>
      <c r="D6847" t="s">
        <v>613</v>
      </c>
      <c r="E6847" t="s">
        <v>7829</v>
      </c>
      <c r="F6847">
        <v>6.4</v>
      </c>
      <c r="G6847" t="s">
        <v>7674</v>
      </c>
    </row>
    <row r="6848" spans="2:7" x14ac:dyDescent="0.2">
      <c r="B6848" t="s">
        <v>4428</v>
      </c>
      <c r="C6848" t="s">
        <v>12941</v>
      </c>
      <c r="D6848" t="s">
        <v>613</v>
      </c>
      <c r="E6848" t="s">
        <v>7830</v>
      </c>
      <c r="F6848">
        <v>3.95</v>
      </c>
      <c r="G6848" t="s">
        <v>6749</v>
      </c>
    </row>
    <row r="6849" spans="2:8" x14ac:dyDescent="0.2">
      <c r="B6849" t="s">
        <v>4428</v>
      </c>
      <c r="C6849" t="s">
        <v>12941</v>
      </c>
      <c r="D6849" t="s">
        <v>617</v>
      </c>
      <c r="E6849" t="s">
        <v>7831</v>
      </c>
      <c r="F6849">
        <v>20.47</v>
      </c>
      <c r="H6849" t="s">
        <v>4637</v>
      </c>
    </row>
    <row r="6850" spans="2:8" x14ac:dyDescent="0.2">
      <c r="B6850" t="s">
        <v>4428</v>
      </c>
      <c r="C6850" t="s">
        <v>12941</v>
      </c>
      <c r="D6850" t="s">
        <v>617</v>
      </c>
      <c r="E6850" t="s">
        <v>7832</v>
      </c>
      <c r="F6850">
        <v>-20.47</v>
      </c>
      <c r="H6850" t="s">
        <v>4637</v>
      </c>
    </row>
    <row r="6851" spans="2:8" x14ac:dyDescent="0.2">
      <c r="B6851" t="s">
        <v>4428</v>
      </c>
      <c r="C6851" t="s">
        <v>12941</v>
      </c>
      <c r="D6851" t="s">
        <v>617</v>
      </c>
      <c r="E6851" t="s">
        <v>7833</v>
      </c>
      <c r="F6851">
        <v>20.47</v>
      </c>
      <c r="H6851" t="s">
        <v>4637</v>
      </c>
    </row>
    <row r="6852" spans="2:8" x14ac:dyDescent="0.2">
      <c r="B6852" t="s">
        <v>4428</v>
      </c>
      <c r="C6852" t="s">
        <v>12941</v>
      </c>
      <c r="D6852" t="s">
        <v>617</v>
      </c>
      <c r="E6852" t="s">
        <v>7834</v>
      </c>
      <c r="F6852">
        <v>125.31</v>
      </c>
      <c r="H6852" t="s">
        <v>4637</v>
      </c>
    </row>
    <row r="6853" spans="2:8" x14ac:dyDescent="0.2">
      <c r="B6853" t="s">
        <v>4428</v>
      </c>
      <c r="C6853" t="s">
        <v>12941</v>
      </c>
      <c r="D6853" t="s">
        <v>617</v>
      </c>
      <c r="E6853" t="s">
        <v>7835</v>
      </c>
      <c r="F6853">
        <v>62.97</v>
      </c>
      <c r="H6853" t="s">
        <v>4926</v>
      </c>
    </row>
    <row r="6854" spans="2:8" x14ac:dyDescent="0.2">
      <c r="B6854" t="s">
        <v>4428</v>
      </c>
      <c r="C6854" t="s">
        <v>12941</v>
      </c>
      <c r="D6854" t="s">
        <v>617</v>
      </c>
      <c r="E6854" t="s">
        <v>7836</v>
      </c>
      <c r="F6854">
        <v>198.62</v>
      </c>
      <c r="H6854" t="s">
        <v>4783</v>
      </c>
    </row>
    <row r="6855" spans="2:8" x14ac:dyDescent="0.2">
      <c r="B6855" t="s">
        <v>4428</v>
      </c>
      <c r="C6855" t="s">
        <v>12941</v>
      </c>
      <c r="D6855" t="s">
        <v>613</v>
      </c>
      <c r="E6855" t="s">
        <v>7837</v>
      </c>
      <c r="F6855">
        <v>11.1</v>
      </c>
      <c r="G6855" t="s">
        <v>7701</v>
      </c>
    </row>
    <row r="6856" spans="2:8" x14ac:dyDescent="0.2">
      <c r="B6856" t="s">
        <v>4428</v>
      </c>
      <c r="C6856" t="s">
        <v>12941</v>
      </c>
      <c r="D6856" t="s">
        <v>613</v>
      </c>
      <c r="E6856" t="s">
        <v>7838</v>
      </c>
      <c r="F6856">
        <v>15</v>
      </c>
      <c r="G6856" t="s">
        <v>7659</v>
      </c>
    </row>
    <row r="6857" spans="2:8" x14ac:dyDescent="0.2">
      <c r="B6857" t="s">
        <v>4428</v>
      </c>
      <c r="C6857" t="s">
        <v>12941</v>
      </c>
      <c r="D6857" t="s">
        <v>613</v>
      </c>
      <c r="E6857" t="s">
        <v>7839</v>
      </c>
      <c r="F6857">
        <v>24</v>
      </c>
      <c r="G6857" t="s">
        <v>6752</v>
      </c>
    </row>
    <row r="6858" spans="2:8" x14ac:dyDescent="0.2">
      <c r="B6858" t="s">
        <v>4428</v>
      </c>
      <c r="C6858" t="s">
        <v>12941</v>
      </c>
      <c r="D6858" t="s">
        <v>613</v>
      </c>
      <c r="E6858" t="s">
        <v>7840</v>
      </c>
      <c r="F6858">
        <v>10.5</v>
      </c>
      <c r="G6858" t="s">
        <v>6747</v>
      </c>
    </row>
    <row r="6859" spans="2:8" x14ac:dyDescent="0.2">
      <c r="B6859" t="s">
        <v>4428</v>
      </c>
      <c r="C6859" t="s">
        <v>12941</v>
      </c>
      <c r="D6859" t="s">
        <v>613</v>
      </c>
      <c r="E6859" t="s">
        <v>7841</v>
      </c>
      <c r="F6859">
        <v>20</v>
      </c>
      <c r="G6859" t="s">
        <v>6886</v>
      </c>
    </row>
    <row r="6860" spans="2:8" x14ac:dyDescent="0.2">
      <c r="B6860" t="s">
        <v>4428</v>
      </c>
      <c r="C6860" t="s">
        <v>12941</v>
      </c>
      <c r="D6860" t="s">
        <v>617</v>
      </c>
      <c r="E6860" t="s">
        <v>7842</v>
      </c>
      <c r="F6860">
        <v>530</v>
      </c>
      <c r="H6860" t="s">
        <v>2885</v>
      </c>
    </row>
    <row r="6861" spans="2:8" x14ac:dyDescent="0.2">
      <c r="B6861" t="s">
        <v>4428</v>
      </c>
      <c r="C6861" t="s">
        <v>12941</v>
      </c>
      <c r="D6861" t="s">
        <v>617</v>
      </c>
      <c r="E6861" t="s">
        <v>7843</v>
      </c>
      <c r="F6861">
        <v>225</v>
      </c>
      <c r="H6861" t="s">
        <v>2886</v>
      </c>
    </row>
    <row r="6862" spans="2:8" x14ac:dyDescent="0.2">
      <c r="B6862" t="s">
        <v>4428</v>
      </c>
      <c r="C6862" t="s">
        <v>12941</v>
      </c>
      <c r="D6862" t="s">
        <v>617</v>
      </c>
      <c r="E6862" t="s">
        <v>7844</v>
      </c>
      <c r="F6862">
        <v>530</v>
      </c>
      <c r="H6862" t="s">
        <v>2887</v>
      </c>
    </row>
    <row r="6863" spans="2:8" x14ac:dyDescent="0.2">
      <c r="B6863" t="s">
        <v>4428</v>
      </c>
      <c r="C6863" t="s">
        <v>12941</v>
      </c>
      <c r="D6863" t="s">
        <v>613</v>
      </c>
      <c r="E6863" t="s">
        <v>7845</v>
      </c>
      <c r="F6863">
        <v>12.6</v>
      </c>
      <c r="G6863" t="s">
        <v>3485</v>
      </c>
    </row>
    <row r="6864" spans="2:8" x14ac:dyDescent="0.2">
      <c r="B6864" t="s">
        <v>4428</v>
      </c>
      <c r="C6864" t="s">
        <v>12941</v>
      </c>
      <c r="D6864" t="s">
        <v>1169</v>
      </c>
      <c r="E6864" t="s">
        <v>7846</v>
      </c>
      <c r="F6864">
        <v>26192.32</v>
      </c>
      <c r="G6864" t="s">
        <v>1313</v>
      </c>
    </row>
    <row r="6865" spans="2:8" x14ac:dyDescent="0.2">
      <c r="B6865" t="s">
        <v>4428</v>
      </c>
      <c r="C6865" t="s">
        <v>12941</v>
      </c>
      <c r="D6865" t="s">
        <v>1169</v>
      </c>
      <c r="E6865" t="s">
        <v>7847</v>
      </c>
      <c r="F6865">
        <v>70816.27</v>
      </c>
      <c r="G6865" t="s">
        <v>1313</v>
      </c>
    </row>
    <row r="6866" spans="2:8" x14ac:dyDescent="0.2">
      <c r="B6866" t="s">
        <v>4428</v>
      </c>
      <c r="C6866" t="s">
        <v>12941</v>
      </c>
      <c r="D6866" t="s">
        <v>617</v>
      </c>
      <c r="E6866" t="s">
        <v>7848</v>
      </c>
      <c r="F6866">
        <v>1029.1300000000001</v>
      </c>
      <c r="G6866" t="s">
        <v>1315</v>
      </c>
    </row>
    <row r="6867" spans="2:8" x14ac:dyDescent="0.2">
      <c r="B6867" t="s">
        <v>4428</v>
      </c>
      <c r="C6867" t="s">
        <v>12941</v>
      </c>
      <c r="D6867" t="s">
        <v>617</v>
      </c>
      <c r="E6867" t="s">
        <v>7849</v>
      </c>
      <c r="F6867">
        <v>2782.46</v>
      </c>
      <c r="G6867" t="s">
        <v>1315</v>
      </c>
    </row>
    <row r="6868" spans="2:8" x14ac:dyDescent="0.2">
      <c r="B6868" t="s">
        <v>4428</v>
      </c>
      <c r="C6868" t="s">
        <v>12941</v>
      </c>
      <c r="D6868" t="s">
        <v>613</v>
      </c>
      <c r="E6868" t="s">
        <v>7850</v>
      </c>
      <c r="F6868">
        <v>535.04</v>
      </c>
      <c r="G6868" t="s">
        <v>1896</v>
      </c>
    </row>
    <row r="6869" spans="2:8" x14ac:dyDescent="0.2">
      <c r="B6869" t="s">
        <v>4428</v>
      </c>
      <c r="C6869" t="s">
        <v>12941</v>
      </c>
      <c r="D6869" t="s">
        <v>617</v>
      </c>
      <c r="E6869" t="s">
        <v>7851</v>
      </c>
      <c r="F6869">
        <v>169.51</v>
      </c>
      <c r="H6869" t="s">
        <v>4988</v>
      </c>
    </row>
    <row r="6870" spans="2:8" x14ac:dyDescent="0.2">
      <c r="B6870" t="s">
        <v>4428</v>
      </c>
      <c r="C6870" t="s">
        <v>12941</v>
      </c>
      <c r="D6870" t="s">
        <v>613</v>
      </c>
      <c r="E6870" t="s">
        <v>7852</v>
      </c>
      <c r="F6870">
        <v>5</v>
      </c>
      <c r="G6870" t="s">
        <v>7665</v>
      </c>
    </row>
    <row r="6871" spans="2:8" x14ac:dyDescent="0.2">
      <c r="B6871" t="s">
        <v>4428</v>
      </c>
      <c r="C6871" t="s">
        <v>12941</v>
      </c>
      <c r="D6871" t="s">
        <v>613</v>
      </c>
      <c r="E6871" t="s">
        <v>7853</v>
      </c>
      <c r="F6871">
        <v>5</v>
      </c>
      <c r="G6871" t="s">
        <v>7659</v>
      </c>
    </row>
    <row r="6872" spans="2:8" x14ac:dyDescent="0.2">
      <c r="B6872" t="s">
        <v>4428</v>
      </c>
      <c r="C6872" t="s">
        <v>12941</v>
      </c>
      <c r="D6872" t="s">
        <v>613</v>
      </c>
      <c r="E6872" t="s">
        <v>7854</v>
      </c>
      <c r="F6872">
        <v>4.92</v>
      </c>
      <c r="G6872" t="s">
        <v>7855</v>
      </c>
    </row>
    <row r="6873" spans="2:8" x14ac:dyDescent="0.2">
      <c r="B6873" t="s">
        <v>4428</v>
      </c>
      <c r="C6873" t="s">
        <v>12941</v>
      </c>
      <c r="D6873" t="s">
        <v>613</v>
      </c>
      <c r="E6873" t="s">
        <v>7856</v>
      </c>
      <c r="F6873">
        <v>4.5999999999999996</v>
      </c>
      <c r="G6873" t="s">
        <v>5259</v>
      </c>
    </row>
    <row r="6874" spans="2:8" x14ac:dyDescent="0.2">
      <c r="B6874" t="s">
        <v>4428</v>
      </c>
      <c r="C6874" t="s">
        <v>12941</v>
      </c>
      <c r="D6874" t="s">
        <v>613</v>
      </c>
      <c r="E6874" t="s">
        <v>7857</v>
      </c>
      <c r="F6874">
        <v>4.96</v>
      </c>
      <c r="G6874" t="s">
        <v>7805</v>
      </c>
    </row>
    <row r="6875" spans="2:8" x14ac:dyDescent="0.2">
      <c r="B6875" t="s">
        <v>4428</v>
      </c>
      <c r="C6875" t="s">
        <v>12941</v>
      </c>
      <c r="D6875" t="s">
        <v>617</v>
      </c>
      <c r="E6875" t="s">
        <v>7858</v>
      </c>
      <c r="F6875">
        <v>118.24</v>
      </c>
      <c r="H6875" t="s">
        <v>1261</v>
      </c>
    </row>
    <row r="6876" spans="2:8" x14ac:dyDescent="0.2">
      <c r="B6876" t="s">
        <v>4428</v>
      </c>
      <c r="C6876" t="s">
        <v>12941</v>
      </c>
      <c r="D6876" t="s">
        <v>617</v>
      </c>
      <c r="E6876" t="s">
        <v>7859</v>
      </c>
      <c r="F6876">
        <v>-118.24</v>
      </c>
      <c r="H6876" t="s">
        <v>1261</v>
      </c>
    </row>
    <row r="6877" spans="2:8" x14ac:dyDescent="0.2">
      <c r="B6877" t="s">
        <v>4428</v>
      </c>
      <c r="C6877" t="s">
        <v>12941</v>
      </c>
      <c r="D6877" t="s">
        <v>617</v>
      </c>
      <c r="E6877" t="s">
        <v>7860</v>
      </c>
      <c r="F6877">
        <v>118.24</v>
      </c>
      <c r="H6877" t="s">
        <v>1261</v>
      </c>
    </row>
    <row r="6878" spans="2:8" x14ac:dyDescent="0.2">
      <c r="B6878" t="s">
        <v>4428</v>
      </c>
      <c r="C6878" t="s">
        <v>12941</v>
      </c>
      <c r="D6878" t="s">
        <v>617</v>
      </c>
      <c r="E6878" t="s">
        <v>7861</v>
      </c>
      <c r="F6878">
        <v>31.14</v>
      </c>
      <c r="H6878" t="s">
        <v>1261</v>
      </c>
    </row>
    <row r="6879" spans="2:8" x14ac:dyDescent="0.2">
      <c r="B6879" t="s">
        <v>4428</v>
      </c>
      <c r="C6879" t="s">
        <v>12941</v>
      </c>
      <c r="D6879" t="s">
        <v>466</v>
      </c>
      <c r="E6879" t="s">
        <v>7862</v>
      </c>
      <c r="F6879">
        <v>14504.21</v>
      </c>
      <c r="G6879" t="s">
        <v>7493</v>
      </c>
    </row>
    <row r="6880" spans="2:8" x14ac:dyDescent="0.2">
      <c r="B6880" t="s">
        <v>4428</v>
      </c>
      <c r="C6880" t="s">
        <v>12941</v>
      </c>
      <c r="D6880" t="s">
        <v>423</v>
      </c>
      <c r="E6880" t="s">
        <v>7863</v>
      </c>
      <c r="F6880">
        <v>9894.39</v>
      </c>
      <c r="G6880" t="s">
        <v>7864</v>
      </c>
    </row>
    <row r="6881" spans="2:8" x14ac:dyDescent="0.2">
      <c r="B6881" t="s">
        <v>4428</v>
      </c>
      <c r="C6881" t="s">
        <v>12942</v>
      </c>
      <c r="D6881" t="s">
        <v>1137</v>
      </c>
      <c r="E6881" t="s">
        <v>7865</v>
      </c>
      <c r="F6881">
        <v>1191</v>
      </c>
      <c r="G6881" t="s">
        <v>2537</v>
      </c>
    </row>
    <row r="6882" spans="2:8" x14ac:dyDescent="0.2">
      <c r="B6882" t="s">
        <v>4428</v>
      </c>
      <c r="C6882" t="s">
        <v>12942</v>
      </c>
      <c r="D6882" t="s">
        <v>1137</v>
      </c>
      <c r="E6882" t="s">
        <v>7867</v>
      </c>
      <c r="F6882">
        <v>1191</v>
      </c>
      <c r="G6882" t="s">
        <v>2540</v>
      </c>
    </row>
    <row r="6883" spans="2:8" x14ac:dyDescent="0.2">
      <c r="B6883" t="s">
        <v>4428</v>
      </c>
      <c r="C6883" t="s">
        <v>12942</v>
      </c>
      <c r="D6883" t="s">
        <v>466</v>
      </c>
      <c r="E6883" t="s">
        <v>7868</v>
      </c>
      <c r="F6883">
        <v>823.2</v>
      </c>
      <c r="G6883" t="s">
        <v>7870</v>
      </c>
    </row>
    <row r="6884" spans="2:8" x14ac:dyDescent="0.2">
      <c r="B6884" t="s">
        <v>4428</v>
      </c>
      <c r="C6884" t="s">
        <v>12943</v>
      </c>
      <c r="D6884" t="s">
        <v>466</v>
      </c>
      <c r="E6884" t="s">
        <v>7878</v>
      </c>
      <c r="F6884">
        <v>686</v>
      </c>
      <c r="G6884" t="s">
        <v>7879</v>
      </c>
    </row>
    <row r="6885" spans="2:8" x14ac:dyDescent="0.2">
      <c r="B6885" t="s">
        <v>4428</v>
      </c>
      <c r="C6885" t="s">
        <v>12943</v>
      </c>
      <c r="D6885" t="s">
        <v>478</v>
      </c>
      <c r="E6885" t="s">
        <v>7897</v>
      </c>
      <c r="F6885">
        <v>78.55</v>
      </c>
      <c r="G6885" t="s">
        <v>7898</v>
      </c>
    </row>
    <row r="6886" spans="2:8" x14ac:dyDescent="0.2">
      <c r="B6886" t="s">
        <v>4428</v>
      </c>
      <c r="C6886" t="s">
        <v>12944</v>
      </c>
      <c r="D6886" t="s">
        <v>613</v>
      </c>
      <c r="E6886" t="s">
        <v>10197</v>
      </c>
      <c r="F6886">
        <v>13.31</v>
      </c>
      <c r="H6886" t="s">
        <v>5286</v>
      </c>
    </row>
    <row r="6887" spans="2:8" x14ac:dyDescent="0.2">
      <c r="B6887" t="s">
        <v>4428</v>
      </c>
      <c r="C6887" t="s">
        <v>12944</v>
      </c>
      <c r="D6887" t="s">
        <v>613</v>
      </c>
      <c r="E6887" t="s">
        <v>10198</v>
      </c>
      <c r="F6887">
        <v>297.45999999999998</v>
      </c>
      <c r="H6887" t="s">
        <v>4176</v>
      </c>
    </row>
    <row r="6888" spans="2:8" x14ac:dyDescent="0.2">
      <c r="B6888" t="s">
        <v>4428</v>
      </c>
      <c r="C6888" t="s">
        <v>12944</v>
      </c>
      <c r="D6888" t="s">
        <v>613</v>
      </c>
      <c r="E6888" t="s">
        <v>10199</v>
      </c>
      <c r="F6888">
        <v>616.32000000000005</v>
      </c>
      <c r="H6888" t="s">
        <v>4619</v>
      </c>
    </row>
    <row r="6889" spans="2:8" x14ac:dyDescent="0.2">
      <c r="B6889" t="s">
        <v>4428</v>
      </c>
      <c r="C6889" t="s">
        <v>12944</v>
      </c>
      <c r="D6889" t="s">
        <v>613</v>
      </c>
      <c r="E6889" t="s">
        <v>10200</v>
      </c>
      <c r="F6889">
        <v>291.04000000000002</v>
      </c>
      <c r="H6889" t="s">
        <v>4212</v>
      </c>
    </row>
    <row r="6890" spans="2:8" x14ac:dyDescent="0.2">
      <c r="B6890" t="s">
        <v>4428</v>
      </c>
      <c r="C6890" t="s">
        <v>12944</v>
      </c>
      <c r="D6890" t="s">
        <v>613</v>
      </c>
      <c r="E6890" t="s">
        <v>10201</v>
      </c>
      <c r="F6890">
        <v>406.6</v>
      </c>
      <c r="H6890" t="s">
        <v>4180</v>
      </c>
    </row>
    <row r="6891" spans="2:8" x14ac:dyDescent="0.2">
      <c r="B6891" t="s">
        <v>4428</v>
      </c>
      <c r="C6891" t="s">
        <v>12944</v>
      </c>
      <c r="D6891" t="s">
        <v>613</v>
      </c>
      <c r="E6891" t="s">
        <v>10202</v>
      </c>
      <c r="F6891">
        <v>2033</v>
      </c>
      <c r="H6891" t="s">
        <v>4180</v>
      </c>
    </row>
    <row r="6892" spans="2:8" x14ac:dyDescent="0.2">
      <c r="B6892" t="s">
        <v>4428</v>
      </c>
      <c r="C6892" t="s">
        <v>12944</v>
      </c>
      <c r="D6892" t="s">
        <v>613</v>
      </c>
      <c r="E6892" t="s">
        <v>10203</v>
      </c>
      <c r="F6892">
        <v>465.76</v>
      </c>
      <c r="H6892" t="s">
        <v>4616</v>
      </c>
    </row>
    <row r="6893" spans="2:8" x14ac:dyDescent="0.2">
      <c r="B6893" t="s">
        <v>4428</v>
      </c>
      <c r="C6893" t="s">
        <v>12944</v>
      </c>
      <c r="D6893" t="s">
        <v>613</v>
      </c>
      <c r="E6893" t="s">
        <v>10204</v>
      </c>
      <c r="F6893">
        <v>53.5</v>
      </c>
      <c r="H6893" t="s">
        <v>4695</v>
      </c>
    </row>
    <row r="6894" spans="2:8" x14ac:dyDescent="0.2">
      <c r="B6894" t="s">
        <v>4428</v>
      </c>
      <c r="C6894" t="s">
        <v>12944</v>
      </c>
      <c r="D6894" t="s">
        <v>613</v>
      </c>
      <c r="E6894" t="s">
        <v>10205</v>
      </c>
      <c r="F6894">
        <v>53.5</v>
      </c>
      <c r="H6894" t="s">
        <v>4696</v>
      </c>
    </row>
    <row r="6895" spans="2:8" x14ac:dyDescent="0.2">
      <c r="B6895" t="s">
        <v>4428</v>
      </c>
      <c r="C6895" t="s">
        <v>12944</v>
      </c>
      <c r="D6895" t="s">
        <v>613</v>
      </c>
      <c r="E6895" t="s">
        <v>10206</v>
      </c>
      <c r="F6895">
        <v>107</v>
      </c>
      <c r="H6895" t="s">
        <v>4621</v>
      </c>
    </row>
    <row r="6896" spans="2:8" x14ac:dyDescent="0.2">
      <c r="B6896" t="s">
        <v>4428</v>
      </c>
      <c r="C6896" t="s">
        <v>12944</v>
      </c>
      <c r="D6896" t="s">
        <v>613</v>
      </c>
      <c r="E6896" t="s">
        <v>10207</v>
      </c>
      <c r="F6896">
        <v>107</v>
      </c>
      <c r="H6896" t="s">
        <v>4415</v>
      </c>
    </row>
    <row r="6897" spans="2:8" x14ac:dyDescent="0.2">
      <c r="B6897" t="s">
        <v>4428</v>
      </c>
      <c r="C6897" t="s">
        <v>12944</v>
      </c>
      <c r="D6897" t="s">
        <v>613</v>
      </c>
      <c r="E6897" t="s">
        <v>10208</v>
      </c>
      <c r="F6897">
        <v>53.5</v>
      </c>
      <c r="H6897" t="s">
        <v>4648</v>
      </c>
    </row>
    <row r="6898" spans="2:8" x14ac:dyDescent="0.2">
      <c r="B6898" t="s">
        <v>4428</v>
      </c>
      <c r="C6898" t="s">
        <v>12944</v>
      </c>
      <c r="D6898" t="s">
        <v>613</v>
      </c>
      <c r="E6898" t="s">
        <v>10209</v>
      </c>
      <c r="F6898">
        <v>53.5</v>
      </c>
      <c r="H6898" t="s">
        <v>4697</v>
      </c>
    </row>
    <row r="6899" spans="2:8" x14ac:dyDescent="0.2">
      <c r="B6899" t="s">
        <v>4428</v>
      </c>
      <c r="C6899" t="s">
        <v>12944</v>
      </c>
      <c r="D6899" t="s">
        <v>613</v>
      </c>
      <c r="E6899" t="s">
        <v>10210</v>
      </c>
      <c r="F6899">
        <v>53.5</v>
      </c>
      <c r="H6899" t="s">
        <v>4622</v>
      </c>
    </row>
    <row r="6900" spans="2:8" x14ac:dyDescent="0.2">
      <c r="B6900" t="s">
        <v>4428</v>
      </c>
      <c r="C6900" t="s">
        <v>12944</v>
      </c>
      <c r="D6900" t="s">
        <v>613</v>
      </c>
      <c r="E6900" t="s">
        <v>10211</v>
      </c>
      <c r="F6900">
        <v>189.36</v>
      </c>
      <c r="H6900" t="s">
        <v>2015</v>
      </c>
    </row>
    <row r="6901" spans="2:8" x14ac:dyDescent="0.2">
      <c r="B6901" t="s">
        <v>4428</v>
      </c>
      <c r="C6901" t="s">
        <v>12944</v>
      </c>
      <c r="D6901" t="s">
        <v>613</v>
      </c>
      <c r="E6901" t="s">
        <v>10212</v>
      </c>
      <c r="F6901">
        <v>55.4</v>
      </c>
      <c r="H6901" t="s">
        <v>2016</v>
      </c>
    </row>
    <row r="6902" spans="2:8" x14ac:dyDescent="0.2">
      <c r="B6902" t="s">
        <v>4428</v>
      </c>
      <c r="C6902" t="s">
        <v>12944</v>
      </c>
      <c r="D6902" t="s">
        <v>613</v>
      </c>
      <c r="E6902" t="s">
        <v>10213</v>
      </c>
      <c r="F6902">
        <v>159.80000000000001</v>
      </c>
      <c r="H6902" t="s">
        <v>2017</v>
      </c>
    </row>
    <row r="6903" spans="2:8" x14ac:dyDescent="0.2">
      <c r="B6903" t="s">
        <v>4428</v>
      </c>
      <c r="C6903" t="s">
        <v>12944</v>
      </c>
      <c r="D6903" t="s">
        <v>613</v>
      </c>
      <c r="E6903" t="s">
        <v>10214</v>
      </c>
      <c r="F6903">
        <v>285.60000000000002</v>
      </c>
      <c r="H6903" t="s">
        <v>2018</v>
      </c>
    </row>
    <row r="6904" spans="2:8" x14ac:dyDescent="0.2">
      <c r="B6904" t="s">
        <v>4428</v>
      </c>
      <c r="C6904" t="s">
        <v>12944</v>
      </c>
      <c r="D6904" t="s">
        <v>613</v>
      </c>
      <c r="E6904" t="s">
        <v>10215</v>
      </c>
      <c r="F6904">
        <v>1022.04</v>
      </c>
      <c r="H6904" t="s">
        <v>2019</v>
      </c>
    </row>
    <row r="6905" spans="2:8" x14ac:dyDescent="0.2">
      <c r="B6905" t="s">
        <v>4428</v>
      </c>
      <c r="C6905" t="s">
        <v>12944</v>
      </c>
      <c r="D6905" t="s">
        <v>554</v>
      </c>
      <c r="E6905" t="s">
        <v>10216</v>
      </c>
      <c r="F6905">
        <v>33094</v>
      </c>
      <c r="H6905" t="s">
        <v>4332</v>
      </c>
    </row>
    <row r="6906" spans="2:8" x14ac:dyDescent="0.2">
      <c r="B6906" t="s">
        <v>4428</v>
      </c>
      <c r="C6906" t="s">
        <v>12944</v>
      </c>
      <c r="D6906" t="s">
        <v>613</v>
      </c>
      <c r="E6906" t="s">
        <v>10217</v>
      </c>
      <c r="F6906">
        <v>158.68</v>
      </c>
      <c r="H6906" t="s">
        <v>1891</v>
      </c>
    </row>
    <row r="6907" spans="2:8" x14ac:dyDescent="0.2">
      <c r="B6907" t="s">
        <v>4428</v>
      </c>
      <c r="C6907" t="s">
        <v>12944</v>
      </c>
      <c r="D6907" t="s">
        <v>554</v>
      </c>
      <c r="E6907" t="s">
        <v>10218</v>
      </c>
      <c r="F6907">
        <v>3670.8</v>
      </c>
      <c r="G6907" t="s">
        <v>4645</v>
      </c>
    </row>
    <row r="6908" spans="2:8" x14ac:dyDescent="0.2">
      <c r="B6908" t="s">
        <v>4428</v>
      </c>
      <c r="C6908" t="s">
        <v>12944</v>
      </c>
      <c r="D6908" t="s">
        <v>613</v>
      </c>
      <c r="E6908" t="s">
        <v>10222</v>
      </c>
      <c r="F6908">
        <v>13.31</v>
      </c>
      <c r="H6908" t="s">
        <v>5286</v>
      </c>
    </row>
    <row r="6909" spans="2:8" x14ac:dyDescent="0.2">
      <c r="B6909" t="s">
        <v>4428</v>
      </c>
      <c r="C6909" t="s">
        <v>12944</v>
      </c>
      <c r="D6909" t="s">
        <v>613</v>
      </c>
      <c r="E6909" t="s">
        <v>10223</v>
      </c>
      <c r="F6909">
        <v>26.4</v>
      </c>
      <c r="H6909" t="s">
        <v>10224</v>
      </c>
    </row>
    <row r="6910" spans="2:8" x14ac:dyDescent="0.2">
      <c r="B6910" t="s">
        <v>4428</v>
      </c>
      <c r="C6910" t="s">
        <v>12944</v>
      </c>
      <c r="D6910" t="s">
        <v>613</v>
      </c>
      <c r="E6910" t="s">
        <v>10225</v>
      </c>
      <c r="F6910">
        <v>931.52</v>
      </c>
      <c r="H6910" t="s">
        <v>4616</v>
      </c>
    </row>
    <row r="6911" spans="2:8" x14ac:dyDescent="0.2">
      <c r="B6911" t="s">
        <v>4428</v>
      </c>
      <c r="C6911" t="s">
        <v>12944</v>
      </c>
      <c r="D6911" t="s">
        <v>613</v>
      </c>
      <c r="E6911" t="s">
        <v>10226</v>
      </c>
      <c r="F6911">
        <v>892.38</v>
      </c>
      <c r="H6911" t="s">
        <v>4176</v>
      </c>
    </row>
    <row r="6912" spans="2:8" x14ac:dyDescent="0.2">
      <c r="B6912" t="s">
        <v>4428</v>
      </c>
      <c r="C6912" t="s">
        <v>12944</v>
      </c>
      <c r="D6912" t="s">
        <v>613</v>
      </c>
      <c r="E6912" t="s">
        <v>10227</v>
      </c>
      <c r="F6912">
        <v>406.6</v>
      </c>
      <c r="H6912" t="s">
        <v>4180</v>
      </c>
    </row>
    <row r="6913" spans="2:8" x14ac:dyDescent="0.2">
      <c r="B6913" t="s">
        <v>4428</v>
      </c>
      <c r="C6913" t="s">
        <v>12944</v>
      </c>
      <c r="D6913" t="s">
        <v>613</v>
      </c>
      <c r="E6913" t="s">
        <v>10228</v>
      </c>
      <c r="F6913">
        <v>2033</v>
      </c>
      <c r="H6913" t="s">
        <v>4180</v>
      </c>
    </row>
    <row r="6914" spans="2:8" x14ac:dyDescent="0.2">
      <c r="B6914" t="s">
        <v>4428</v>
      </c>
      <c r="C6914" t="s">
        <v>12944</v>
      </c>
      <c r="D6914" t="s">
        <v>613</v>
      </c>
      <c r="E6914" t="s">
        <v>10229</v>
      </c>
      <c r="F6914">
        <v>3220.7</v>
      </c>
      <c r="H6914" t="s">
        <v>4617</v>
      </c>
    </row>
    <row r="6915" spans="2:8" x14ac:dyDescent="0.2">
      <c r="B6915" t="s">
        <v>4428</v>
      </c>
      <c r="C6915" t="s">
        <v>12944</v>
      </c>
      <c r="D6915" t="s">
        <v>613</v>
      </c>
      <c r="E6915" t="s">
        <v>10230</v>
      </c>
      <c r="F6915">
        <v>107</v>
      </c>
      <c r="H6915" t="s">
        <v>4695</v>
      </c>
    </row>
    <row r="6916" spans="2:8" x14ac:dyDescent="0.2">
      <c r="B6916" t="s">
        <v>4428</v>
      </c>
      <c r="C6916" t="s">
        <v>12944</v>
      </c>
      <c r="D6916" t="s">
        <v>613</v>
      </c>
      <c r="E6916" t="s">
        <v>10231</v>
      </c>
      <c r="F6916">
        <v>107</v>
      </c>
      <c r="H6916" t="s">
        <v>4696</v>
      </c>
    </row>
    <row r="6917" spans="2:8" x14ac:dyDescent="0.2">
      <c r="B6917" t="s">
        <v>4428</v>
      </c>
      <c r="C6917" t="s">
        <v>12944</v>
      </c>
      <c r="D6917" t="s">
        <v>613</v>
      </c>
      <c r="E6917" t="s">
        <v>10232</v>
      </c>
      <c r="F6917">
        <v>374.5</v>
      </c>
      <c r="H6917" t="s">
        <v>4621</v>
      </c>
    </row>
    <row r="6918" spans="2:8" x14ac:dyDescent="0.2">
      <c r="B6918" t="s">
        <v>4428</v>
      </c>
      <c r="C6918" t="s">
        <v>12944</v>
      </c>
      <c r="D6918" t="s">
        <v>613</v>
      </c>
      <c r="E6918" t="s">
        <v>10233</v>
      </c>
      <c r="F6918">
        <v>107</v>
      </c>
      <c r="H6918" t="s">
        <v>4415</v>
      </c>
    </row>
    <row r="6919" spans="2:8" x14ac:dyDescent="0.2">
      <c r="B6919" t="s">
        <v>4428</v>
      </c>
      <c r="C6919" t="s">
        <v>12944</v>
      </c>
      <c r="D6919" t="s">
        <v>613</v>
      </c>
      <c r="E6919" t="s">
        <v>10234</v>
      </c>
      <c r="F6919">
        <v>107</v>
      </c>
      <c r="H6919" t="s">
        <v>4648</v>
      </c>
    </row>
    <row r="6920" spans="2:8" x14ac:dyDescent="0.2">
      <c r="B6920" t="s">
        <v>4428</v>
      </c>
      <c r="C6920" t="s">
        <v>12944</v>
      </c>
      <c r="D6920" t="s">
        <v>613</v>
      </c>
      <c r="E6920" t="s">
        <v>10235</v>
      </c>
      <c r="F6920">
        <v>53.5</v>
      </c>
      <c r="H6920" t="s">
        <v>4648</v>
      </c>
    </row>
    <row r="6921" spans="2:8" x14ac:dyDescent="0.2">
      <c r="B6921" t="s">
        <v>4428</v>
      </c>
      <c r="C6921" t="s">
        <v>12944</v>
      </c>
      <c r="D6921" t="s">
        <v>613</v>
      </c>
      <c r="E6921" t="s">
        <v>10236</v>
      </c>
      <c r="F6921">
        <v>631.20000000000005</v>
      </c>
      <c r="H6921" t="s">
        <v>2015</v>
      </c>
    </row>
    <row r="6922" spans="2:8" x14ac:dyDescent="0.2">
      <c r="B6922" t="s">
        <v>4428</v>
      </c>
      <c r="C6922" t="s">
        <v>12944</v>
      </c>
      <c r="D6922" t="s">
        <v>613</v>
      </c>
      <c r="E6922" t="s">
        <v>10237</v>
      </c>
      <c r="F6922">
        <v>110.8</v>
      </c>
      <c r="H6922" t="s">
        <v>2016</v>
      </c>
    </row>
    <row r="6923" spans="2:8" x14ac:dyDescent="0.2">
      <c r="B6923" t="s">
        <v>4428</v>
      </c>
      <c r="C6923" t="s">
        <v>12944</v>
      </c>
      <c r="D6923" t="s">
        <v>613</v>
      </c>
      <c r="E6923" t="s">
        <v>10238</v>
      </c>
      <c r="F6923">
        <v>159.80000000000001</v>
      </c>
      <c r="H6923" t="s">
        <v>2017</v>
      </c>
    </row>
    <row r="6924" spans="2:8" x14ac:dyDescent="0.2">
      <c r="B6924" t="s">
        <v>4428</v>
      </c>
      <c r="C6924" t="s">
        <v>12944</v>
      </c>
      <c r="D6924" t="s">
        <v>613</v>
      </c>
      <c r="E6924" t="s">
        <v>10239</v>
      </c>
      <c r="F6924">
        <v>285.60000000000002</v>
      </c>
      <c r="H6924" t="s">
        <v>2018</v>
      </c>
    </row>
    <row r="6925" spans="2:8" x14ac:dyDescent="0.2">
      <c r="B6925" t="s">
        <v>4428</v>
      </c>
      <c r="C6925" t="s">
        <v>12944</v>
      </c>
      <c r="D6925" t="s">
        <v>613</v>
      </c>
      <c r="E6925" t="s">
        <v>10240</v>
      </c>
      <c r="F6925">
        <v>223.12</v>
      </c>
      <c r="H6925" t="s">
        <v>2347</v>
      </c>
    </row>
    <row r="6926" spans="2:8" x14ac:dyDescent="0.2">
      <c r="B6926" t="s">
        <v>4428</v>
      </c>
      <c r="C6926" t="s">
        <v>12944</v>
      </c>
      <c r="D6926" t="s">
        <v>613</v>
      </c>
      <c r="E6926" t="s">
        <v>10241</v>
      </c>
      <c r="F6926">
        <v>1994</v>
      </c>
      <c r="H6926" t="s">
        <v>2348</v>
      </c>
    </row>
    <row r="6927" spans="2:8" x14ac:dyDescent="0.2">
      <c r="B6927" t="s">
        <v>4428</v>
      </c>
      <c r="C6927" t="s">
        <v>12944</v>
      </c>
      <c r="D6927" t="s">
        <v>613</v>
      </c>
      <c r="E6927" t="s">
        <v>10242</v>
      </c>
      <c r="F6927">
        <v>1994</v>
      </c>
      <c r="H6927" t="s">
        <v>2349</v>
      </c>
    </row>
    <row r="6928" spans="2:8" x14ac:dyDescent="0.2">
      <c r="B6928" t="s">
        <v>4428</v>
      </c>
      <c r="C6928" t="s">
        <v>12944</v>
      </c>
      <c r="D6928" t="s">
        <v>554</v>
      </c>
      <c r="E6928" t="s">
        <v>10243</v>
      </c>
      <c r="F6928">
        <v>44344</v>
      </c>
      <c r="H6928" t="s">
        <v>4338</v>
      </c>
    </row>
    <row r="6929" spans="2:8" x14ac:dyDescent="0.2">
      <c r="B6929" t="s">
        <v>4428</v>
      </c>
      <c r="C6929" t="s">
        <v>12944</v>
      </c>
      <c r="D6929" t="s">
        <v>613</v>
      </c>
      <c r="E6929" t="s">
        <v>10244</v>
      </c>
      <c r="F6929">
        <v>46.32</v>
      </c>
      <c r="H6929" t="s">
        <v>4248</v>
      </c>
    </row>
    <row r="6930" spans="2:8" x14ac:dyDescent="0.2">
      <c r="B6930" t="s">
        <v>4428</v>
      </c>
      <c r="C6930" t="s">
        <v>12944</v>
      </c>
      <c r="D6930" t="s">
        <v>613</v>
      </c>
      <c r="E6930" t="s">
        <v>10245</v>
      </c>
      <c r="F6930">
        <v>46.32</v>
      </c>
      <c r="H6930" t="s">
        <v>4248</v>
      </c>
    </row>
    <row r="6931" spans="2:8" x14ac:dyDescent="0.2">
      <c r="B6931" t="s">
        <v>4428</v>
      </c>
      <c r="C6931" t="s">
        <v>12944</v>
      </c>
      <c r="D6931" t="s">
        <v>613</v>
      </c>
      <c r="E6931" t="s">
        <v>10246</v>
      </c>
      <c r="F6931">
        <v>46.32</v>
      </c>
      <c r="H6931" t="s">
        <v>4248</v>
      </c>
    </row>
    <row r="6932" spans="2:8" x14ac:dyDescent="0.2">
      <c r="B6932" t="s">
        <v>4428</v>
      </c>
      <c r="C6932" t="s">
        <v>12944</v>
      </c>
      <c r="D6932" t="s">
        <v>613</v>
      </c>
      <c r="E6932" t="s">
        <v>10247</v>
      </c>
      <c r="F6932">
        <v>46.32</v>
      </c>
      <c r="H6932" t="s">
        <v>4248</v>
      </c>
    </row>
    <row r="6933" spans="2:8" x14ac:dyDescent="0.2">
      <c r="B6933" t="s">
        <v>4428</v>
      </c>
      <c r="C6933" t="s">
        <v>12944</v>
      </c>
      <c r="D6933" t="s">
        <v>613</v>
      </c>
      <c r="E6933" t="s">
        <v>10248</v>
      </c>
      <c r="F6933">
        <v>21.12</v>
      </c>
      <c r="H6933" t="s">
        <v>4283</v>
      </c>
    </row>
    <row r="6934" spans="2:8" x14ac:dyDescent="0.2">
      <c r="B6934" t="s">
        <v>4428</v>
      </c>
      <c r="C6934" t="s">
        <v>12944</v>
      </c>
      <c r="D6934" t="s">
        <v>613</v>
      </c>
      <c r="E6934" t="s">
        <v>10249</v>
      </c>
      <c r="F6934">
        <v>291.32</v>
      </c>
      <c r="H6934" t="s">
        <v>2505</v>
      </c>
    </row>
    <row r="6935" spans="2:8" x14ac:dyDescent="0.2">
      <c r="B6935" t="s">
        <v>4428</v>
      </c>
      <c r="C6935" t="s">
        <v>12944</v>
      </c>
      <c r="D6935" t="s">
        <v>613</v>
      </c>
      <c r="E6935" t="s">
        <v>10250</v>
      </c>
      <c r="F6935">
        <v>317.36</v>
      </c>
      <c r="H6935" t="s">
        <v>2506</v>
      </c>
    </row>
    <row r="6936" spans="2:8" x14ac:dyDescent="0.2">
      <c r="B6936" t="s">
        <v>4428</v>
      </c>
      <c r="C6936" t="s">
        <v>12944</v>
      </c>
      <c r="D6936" t="s">
        <v>613</v>
      </c>
      <c r="E6936" t="s">
        <v>10251</v>
      </c>
      <c r="F6936">
        <v>170.92</v>
      </c>
      <c r="H6936" t="s">
        <v>2507</v>
      </c>
    </row>
    <row r="6937" spans="2:8" x14ac:dyDescent="0.2">
      <c r="B6937" t="s">
        <v>4428</v>
      </c>
      <c r="C6937" t="s">
        <v>12944</v>
      </c>
      <c r="D6937" t="s">
        <v>613</v>
      </c>
      <c r="E6937" t="s">
        <v>10252</v>
      </c>
      <c r="F6937">
        <v>1275.44</v>
      </c>
      <c r="H6937" t="s">
        <v>4178</v>
      </c>
    </row>
    <row r="6938" spans="2:8" x14ac:dyDescent="0.2">
      <c r="B6938" t="s">
        <v>4428</v>
      </c>
      <c r="C6938" t="s">
        <v>12944</v>
      </c>
      <c r="D6938" t="s">
        <v>613</v>
      </c>
      <c r="E6938" t="s">
        <v>10254</v>
      </c>
      <c r="F6938">
        <v>13.31</v>
      </c>
      <c r="H6938" t="s">
        <v>5286</v>
      </c>
    </row>
    <row r="6939" spans="2:8" x14ac:dyDescent="0.2">
      <c r="B6939" t="s">
        <v>4428</v>
      </c>
      <c r="C6939" t="s">
        <v>12944</v>
      </c>
      <c r="D6939" t="s">
        <v>613</v>
      </c>
      <c r="E6939" t="s">
        <v>10255</v>
      </c>
      <c r="F6939">
        <v>69.92</v>
      </c>
      <c r="H6939" t="s">
        <v>4612</v>
      </c>
    </row>
    <row r="6940" spans="2:8" x14ac:dyDescent="0.2">
      <c r="B6940" t="s">
        <v>4428</v>
      </c>
      <c r="C6940" t="s">
        <v>12944</v>
      </c>
      <c r="D6940" t="s">
        <v>613</v>
      </c>
      <c r="E6940" t="s">
        <v>10256</v>
      </c>
      <c r="F6940">
        <v>46.32</v>
      </c>
      <c r="H6940" t="s">
        <v>4248</v>
      </c>
    </row>
    <row r="6941" spans="2:8" x14ac:dyDescent="0.2">
      <c r="B6941" t="s">
        <v>4428</v>
      </c>
      <c r="C6941" t="s">
        <v>12944</v>
      </c>
      <c r="D6941" t="s">
        <v>613</v>
      </c>
      <c r="E6941" t="s">
        <v>10257</v>
      </c>
      <c r="F6941">
        <v>523.98</v>
      </c>
      <c r="H6941" t="s">
        <v>4616</v>
      </c>
    </row>
    <row r="6942" spans="2:8" x14ac:dyDescent="0.2">
      <c r="B6942" t="s">
        <v>4428</v>
      </c>
      <c r="C6942" t="s">
        <v>12944</v>
      </c>
      <c r="D6942" t="s">
        <v>613</v>
      </c>
      <c r="E6942" t="s">
        <v>10258</v>
      </c>
      <c r="F6942">
        <v>10.56</v>
      </c>
      <c r="H6942" t="s">
        <v>4283</v>
      </c>
    </row>
    <row r="6943" spans="2:8" x14ac:dyDescent="0.2">
      <c r="B6943" t="s">
        <v>4428</v>
      </c>
      <c r="C6943" t="s">
        <v>12944</v>
      </c>
      <c r="D6943" t="s">
        <v>613</v>
      </c>
      <c r="E6943" t="s">
        <v>10259</v>
      </c>
      <c r="F6943">
        <v>1784.76</v>
      </c>
      <c r="H6943" t="s">
        <v>4176</v>
      </c>
    </row>
    <row r="6944" spans="2:8" x14ac:dyDescent="0.2">
      <c r="B6944" t="s">
        <v>4428</v>
      </c>
      <c r="C6944" t="s">
        <v>12944</v>
      </c>
      <c r="D6944" t="s">
        <v>613</v>
      </c>
      <c r="E6944" t="s">
        <v>10260</v>
      </c>
      <c r="F6944">
        <v>616.32000000000005</v>
      </c>
      <c r="H6944" t="s">
        <v>4619</v>
      </c>
    </row>
    <row r="6945" spans="2:8" x14ac:dyDescent="0.2">
      <c r="B6945" t="s">
        <v>4428</v>
      </c>
      <c r="C6945" t="s">
        <v>12944</v>
      </c>
      <c r="D6945" t="s">
        <v>613</v>
      </c>
      <c r="E6945" t="s">
        <v>10261</v>
      </c>
      <c r="F6945">
        <v>406.6</v>
      </c>
      <c r="H6945" t="s">
        <v>4180</v>
      </c>
    </row>
    <row r="6946" spans="2:8" x14ac:dyDescent="0.2">
      <c r="B6946" t="s">
        <v>4428</v>
      </c>
      <c r="C6946" t="s">
        <v>12944</v>
      </c>
      <c r="D6946" t="s">
        <v>613</v>
      </c>
      <c r="E6946" t="s">
        <v>10262</v>
      </c>
      <c r="F6946">
        <v>1219.8</v>
      </c>
      <c r="H6946" t="s">
        <v>4180</v>
      </c>
    </row>
    <row r="6947" spans="2:8" x14ac:dyDescent="0.2">
      <c r="B6947" t="s">
        <v>4428</v>
      </c>
      <c r="C6947" t="s">
        <v>12944</v>
      </c>
      <c r="D6947" t="s">
        <v>613</v>
      </c>
      <c r="E6947" t="s">
        <v>10263</v>
      </c>
      <c r="F6947">
        <v>214</v>
      </c>
      <c r="H6947" t="s">
        <v>4415</v>
      </c>
    </row>
    <row r="6948" spans="2:8" x14ac:dyDescent="0.2">
      <c r="B6948" t="s">
        <v>4428</v>
      </c>
      <c r="C6948" t="s">
        <v>12944</v>
      </c>
      <c r="D6948" t="s">
        <v>613</v>
      </c>
      <c r="E6948" t="s">
        <v>10264</v>
      </c>
      <c r="F6948">
        <v>107</v>
      </c>
      <c r="H6948" t="s">
        <v>4648</v>
      </c>
    </row>
    <row r="6949" spans="2:8" x14ac:dyDescent="0.2">
      <c r="B6949" t="s">
        <v>4428</v>
      </c>
      <c r="C6949" t="s">
        <v>12944</v>
      </c>
      <c r="D6949" t="s">
        <v>613</v>
      </c>
      <c r="E6949" t="s">
        <v>10265</v>
      </c>
      <c r="F6949">
        <v>214</v>
      </c>
      <c r="H6949" t="s">
        <v>4648</v>
      </c>
    </row>
    <row r="6950" spans="2:8" x14ac:dyDescent="0.2">
      <c r="B6950" t="s">
        <v>4428</v>
      </c>
      <c r="C6950" t="s">
        <v>12944</v>
      </c>
      <c r="D6950" t="s">
        <v>613</v>
      </c>
      <c r="E6950" t="s">
        <v>10266</v>
      </c>
      <c r="F6950">
        <v>441.84</v>
      </c>
      <c r="H6950" t="s">
        <v>2015</v>
      </c>
    </row>
    <row r="6951" spans="2:8" x14ac:dyDescent="0.2">
      <c r="B6951" t="s">
        <v>4428</v>
      </c>
      <c r="C6951" t="s">
        <v>12944</v>
      </c>
      <c r="D6951" t="s">
        <v>613</v>
      </c>
      <c r="E6951" t="s">
        <v>10267</v>
      </c>
      <c r="F6951">
        <v>166.2</v>
      </c>
      <c r="H6951" t="s">
        <v>2016</v>
      </c>
    </row>
    <row r="6952" spans="2:8" x14ac:dyDescent="0.2">
      <c r="B6952" t="s">
        <v>4428</v>
      </c>
      <c r="C6952" t="s">
        <v>12944</v>
      </c>
      <c r="D6952" t="s">
        <v>613</v>
      </c>
      <c r="E6952" t="s">
        <v>10268</v>
      </c>
      <c r="F6952">
        <v>107</v>
      </c>
      <c r="H6952" t="s">
        <v>2076</v>
      </c>
    </row>
    <row r="6953" spans="2:8" x14ac:dyDescent="0.2">
      <c r="B6953" t="s">
        <v>4428</v>
      </c>
      <c r="C6953" t="s">
        <v>12944</v>
      </c>
      <c r="D6953" t="s">
        <v>613</v>
      </c>
      <c r="E6953" t="s">
        <v>10269</v>
      </c>
      <c r="F6953">
        <v>210.6</v>
      </c>
      <c r="H6953" t="s">
        <v>1562</v>
      </c>
    </row>
    <row r="6954" spans="2:8" x14ac:dyDescent="0.2">
      <c r="B6954" t="s">
        <v>4428</v>
      </c>
      <c r="C6954" t="s">
        <v>12944</v>
      </c>
      <c r="D6954" t="s">
        <v>613</v>
      </c>
      <c r="E6954" t="s">
        <v>10270</v>
      </c>
      <c r="F6954">
        <v>1344</v>
      </c>
      <c r="H6954" t="s">
        <v>1563</v>
      </c>
    </row>
    <row r="6955" spans="2:8" x14ac:dyDescent="0.2">
      <c r="B6955" t="s">
        <v>4428</v>
      </c>
      <c r="C6955" t="s">
        <v>12944</v>
      </c>
      <c r="D6955" t="s">
        <v>613</v>
      </c>
      <c r="E6955" t="s">
        <v>10271</v>
      </c>
      <c r="F6955">
        <v>2.7</v>
      </c>
      <c r="H6955" t="s">
        <v>1564</v>
      </c>
    </row>
    <row r="6956" spans="2:8" x14ac:dyDescent="0.2">
      <c r="B6956" t="s">
        <v>4428</v>
      </c>
      <c r="C6956" t="s">
        <v>12944</v>
      </c>
      <c r="D6956" t="s">
        <v>613</v>
      </c>
      <c r="E6956" t="s">
        <v>10272</v>
      </c>
      <c r="F6956">
        <v>537.44000000000005</v>
      </c>
      <c r="H6956" t="s">
        <v>1565</v>
      </c>
    </row>
    <row r="6957" spans="2:8" x14ac:dyDescent="0.2">
      <c r="B6957" t="s">
        <v>4428</v>
      </c>
      <c r="C6957" t="s">
        <v>12944</v>
      </c>
      <c r="D6957" t="s">
        <v>554</v>
      </c>
      <c r="E6957" t="s">
        <v>10273</v>
      </c>
      <c r="F6957">
        <v>43802</v>
      </c>
      <c r="H6957" t="s">
        <v>4713</v>
      </c>
    </row>
    <row r="6958" spans="2:8" x14ac:dyDescent="0.2">
      <c r="B6958" t="s">
        <v>4428</v>
      </c>
      <c r="C6958" t="s">
        <v>12944</v>
      </c>
      <c r="D6958" t="s">
        <v>613</v>
      </c>
      <c r="E6958" t="s">
        <v>10274</v>
      </c>
      <c r="F6958">
        <v>158.68</v>
      </c>
      <c r="H6958" t="s">
        <v>1891</v>
      </c>
    </row>
    <row r="6959" spans="2:8" x14ac:dyDescent="0.2">
      <c r="B6959" t="s">
        <v>4428</v>
      </c>
      <c r="C6959" t="s">
        <v>12944</v>
      </c>
      <c r="D6959" t="s">
        <v>613</v>
      </c>
      <c r="E6959" t="s">
        <v>10275</v>
      </c>
      <c r="F6959">
        <v>247.8</v>
      </c>
      <c r="H6959" t="s">
        <v>2501</v>
      </c>
    </row>
    <row r="6960" spans="2:8" x14ac:dyDescent="0.2">
      <c r="B6960" t="s">
        <v>4428</v>
      </c>
      <c r="C6960" t="s">
        <v>12944</v>
      </c>
      <c r="D6960" t="s">
        <v>613</v>
      </c>
      <c r="E6960" t="s">
        <v>10276</v>
      </c>
      <c r="F6960">
        <v>216.48</v>
      </c>
      <c r="H6960" t="s">
        <v>2508</v>
      </c>
    </row>
    <row r="6961" spans="2:8" x14ac:dyDescent="0.2">
      <c r="B6961" t="s">
        <v>4428</v>
      </c>
      <c r="C6961" t="s">
        <v>12944</v>
      </c>
      <c r="D6961" t="s">
        <v>613</v>
      </c>
      <c r="E6961" t="s">
        <v>10277</v>
      </c>
      <c r="F6961">
        <v>216.48</v>
      </c>
      <c r="H6961" t="s">
        <v>2508</v>
      </c>
    </row>
    <row r="6962" spans="2:8" x14ac:dyDescent="0.2">
      <c r="B6962" t="s">
        <v>4428</v>
      </c>
      <c r="C6962" t="s">
        <v>12944</v>
      </c>
      <c r="D6962" t="s">
        <v>613</v>
      </c>
      <c r="E6962" t="s">
        <v>10278</v>
      </c>
      <c r="F6962">
        <v>7.59</v>
      </c>
      <c r="H6962" t="s">
        <v>4858</v>
      </c>
    </row>
    <row r="6963" spans="2:8" x14ac:dyDescent="0.2">
      <c r="B6963" t="s">
        <v>4428</v>
      </c>
      <c r="C6963" t="s">
        <v>12944</v>
      </c>
      <c r="D6963" t="s">
        <v>613</v>
      </c>
      <c r="E6963" t="s">
        <v>10279</v>
      </c>
      <c r="F6963">
        <v>37.950000000000003</v>
      </c>
      <c r="H6963" t="s">
        <v>1637</v>
      </c>
    </row>
    <row r="6964" spans="2:8" x14ac:dyDescent="0.2">
      <c r="B6964" t="s">
        <v>4428</v>
      </c>
      <c r="C6964" t="s">
        <v>12944</v>
      </c>
      <c r="D6964" t="s">
        <v>613</v>
      </c>
      <c r="E6964" t="s">
        <v>10280</v>
      </c>
      <c r="F6964">
        <v>11.28</v>
      </c>
      <c r="H6964" t="s">
        <v>4600</v>
      </c>
    </row>
    <row r="6965" spans="2:8" x14ac:dyDescent="0.2">
      <c r="B6965" t="s">
        <v>4428</v>
      </c>
      <c r="C6965" t="s">
        <v>12944</v>
      </c>
      <c r="D6965" t="s">
        <v>613</v>
      </c>
      <c r="E6965" t="s">
        <v>10281</v>
      </c>
      <c r="F6965">
        <v>145.52000000000001</v>
      </c>
      <c r="H6965" t="s">
        <v>2346</v>
      </c>
    </row>
    <row r="6966" spans="2:8" x14ac:dyDescent="0.2">
      <c r="B6966" t="s">
        <v>4428</v>
      </c>
      <c r="C6966" t="s">
        <v>12944</v>
      </c>
      <c r="D6966" t="s">
        <v>613</v>
      </c>
      <c r="E6966" t="s">
        <v>10283</v>
      </c>
      <c r="F6966">
        <v>58.22</v>
      </c>
      <c r="H6966" t="s">
        <v>4616</v>
      </c>
    </row>
    <row r="6967" spans="2:8" x14ac:dyDescent="0.2">
      <c r="B6967" t="s">
        <v>4428</v>
      </c>
      <c r="C6967" t="s">
        <v>12944</v>
      </c>
      <c r="D6967" t="s">
        <v>613</v>
      </c>
      <c r="E6967" t="s">
        <v>10284</v>
      </c>
      <c r="F6967">
        <v>637.72</v>
      </c>
      <c r="H6967" t="s">
        <v>4178</v>
      </c>
    </row>
    <row r="6968" spans="2:8" x14ac:dyDescent="0.2">
      <c r="B6968" t="s">
        <v>4428</v>
      </c>
      <c r="C6968" t="s">
        <v>12944</v>
      </c>
      <c r="D6968" t="s">
        <v>613</v>
      </c>
      <c r="E6968" t="s">
        <v>10285</v>
      </c>
      <c r="F6968">
        <v>616.32000000000005</v>
      </c>
      <c r="H6968" t="s">
        <v>4625</v>
      </c>
    </row>
    <row r="6969" spans="2:8" x14ac:dyDescent="0.2">
      <c r="B6969" t="s">
        <v>4428</v>
      </c>
      <c r="C6969" t="s">
        <v>12944</v>
      </c>
      <c r="D6969" t="s">
        <v>613</v>
      </c>
      <c r="E6969" t="s">
        <v>10286</v>
      </c>
      <c r="F6969">
        <v>107</v>
      </c>
      <c r="H6969" t="s">
        <v>4415</v>
      </c>
    </row>
    <row r="6970" spans="2:8" x14ac:dyDescent="0.2">
      <c r="B6970" t="s">
        <v>4428</v>
      </c>
      <c r="C6970" t="s">
        <v>12944</v>
      </c>
      <c r="D6970" t="s">
        <v>613</v>
      </c>
      <c r="E6970" t="s">
        <v>10287</v>
      </c>
      <c r="F6970">
        <v>107</v>
      </c>
      <c r="H6970" t="s">
        <v>2076</v>
      </c>
    </row>
    <row r="6971" spans="2:8" x14ac:dyDescent="0.2">
      <c r="B6971" t="s">
        <v>4428</v>
      </c>
      <c r="C6971" t="s">
        <v>12944</v>
      </c>
      <c r="D6971" t="s">
        <v>554</v>
      </c>
      <c r="E6971" t="s">
        <v>10288</v>
      </c>
      <c r="F6971">
        <v>6890</v>
      </c>
      <c r="H6971" t="s">
        <v>4318</v>
      </c>
    </row>
    <row r="6972" spans="2:8" x14ac:dyDescent="0.2">
      <c r="B6972" t="s">
        <v>4428</v>
      </c>
      <c r="C6972" t="s">
        <v>12944</v>
      </c>
      <c r="D6972" t="s">
        <v>613</v>
      </c>
      <c r="E6972" t="s">
        <v>10290</v>
      </c>
      <c r="F6972">
        <v>116.44</v>
      </c>
      <c r="H6972" t="s">
        <v>4616</v>
      </c>
    </row>
    <row r="6973" spans="2:8" x14ac:dyDescent="0.2">
      <c r="B6973" t="s">
        <v>4428</v>
      </c>
      <c r="C6973" t="s">
        <v>12944</v>
      </c>
      <c r="D6973" t="s">
        <v>613</v>
      </c>
      <c r="E6973" t="s">
        <v>10291</v>
      </c>
      <c r="F6973">
        <v>594.91999999999996</v>
      </c>
      <c r="H6973" t="s">
        <v>4176</v>
      </c>
    </row>
    <row r="6974" spans="2:8" x14ac:dyDescent="0.2">
      <c r="B6974" t="s">
        <v>4428</v>
      </c>
      <c r="C6974" t="s">
        <v>12944</v>
      </c>
      <c r="D6974" t="s">
        <v>613</v>
      </c>
      <c r="E6974" t="s">
        <v>10292</v>
      </c>
      <c r="F6974">
        <v>924.48</v>
      </c>
      <c r="H6974" t="s">
        <v>4619</v>
      </c>
    </row>
    <row r="6975" spans="2:8" x14ac:dyDescent="0.2">
      <c r="B6975" t="s">
        <v>4428</v>
      </c>
      <c r="C6975" t="s">
        <v>12944</v>
      </c>
      <c r="D6975" t="s">
        <v>613</v>
      </c>
      <c r="E6975" t="s">
        <v>10293</v>
      </c>
      <c r="F6975">
        <v>1275.44</v>
      </c>
      <c r="H6975" t="s">
        <v>4178</v>
      </c>
    </row>
    <row r="6976" spans="2:8" x14ac:dyDescent="0.2">
      <c r="B6976" t="s">
        <v>4428</v>
      </c>
      <c r="C6976" t="s">
        <v>12944</v>
      </c>
      <c r="D6976" t="s">
        <v>613</v>
      </c>
      <c r="E6976" t="s">
        <v>10294</v>
      </c>
      <c r="F6976">
        <v>214</v>
      </c>
      <c r="H6976" t="s">
        <v>4415</v>
      </c>
    </row>
    <row r="6977" spans="2:8" x14ac:dyDescent="0.2">
      <c r="B6977" t="s">
        <v>4428</v>
      </c>
      <c r="C6977" t="s">
        <v>12944</v>
      </c>
      <c r="D6977" t="s">
        <v>613</v>
      </c>
      <c r="E6977" t="s">
        <v>10295</v>
      </c>
      <c r="F6977">
        <v>107</v>
      </c>
      <c r="H6977" t="s">
        <v>4648</v>
      </c>
    </row>
    <row r="6978" spans="2:8" x14ac:dyDescent="0.2">
      <c r="B6978" t="s">
        <v>4428</v>
      </c>
      <c r="C6978" t="s">
        <v>12944</v>
      </c>
      <c r="D6978" t="s">
        <v>613</v>
      </c>
      <c r="E6978" t="s">
        <v>10296</v>
      </c>
      <c r="F6978">
        <v>160.5</v>
      </c>
      <c r="H6978" t="s">
        <v>2076</v>
      </c>
    </row>
    <row r="6979" spans="2:8" x14ac:dyDescent="0.2">
      <c r="B6979" t="s">
        <v>4428</v>
      </c>
      <c r="C6979" t="s">
        <v>12944</v>
      </c>
      <c r="D6979" t="s">
        <v>554</v>
      </c>
      <c r="E6979" t="s">
        <v>10297</v>
      </c>
      <c r="F6979">
        <v>7636</v>
      </c>
      <c r="H6979" t="s">
        <v>4268</v>
      </c>
    </row>
    <row r="6980" spans="2:8" x14ac:dyDescent="0.2">
      <c r="B6980" t="s">
        <v>4428</v>
      </c>
      <c r="C6980" t="s">
        <v>12944</v>
      </c>
      <c r="D6980" t="s">
        <v>554</v>
      </c>
      <c r="E6980" t="s">
        <v>10298</v>
      </c>
      <c r="F6980">
        <v>7636</v>
      </c>
      <c r="H6980" t="s">
        <v>4268</v>
      </c>
    </row>
    <row r="6981" spans="2:8" x14ac:dyDescent="0.2">
      <c r="B6981" t="s">
        <v>4428</v>
      </c>
      <c r="C6981" t="s">
        <v>12944</v>
      </c>
      <c r="D6981" t="s">
        <v>613</v>
      </c>
      <c r="E6981" t="s">
        <v>10303</v>
      </c>
      <c r="F6981">
        <v>58.22</v>
      </c>
      <c r="H6981" t="s">
        <v>4616</v>
      </c>
    </row>
    <row r="6982" spans="2:8" x14ac:dyDescent="0.2">
      <c r="B6982" t="s">
        <v>4428</v>
      </c>
      <c r="C6982" t="s">
        <v>12944</v>
      </c>
      <c r="D6982" t="s">
        <v>613</v>
      </c>
      <c r="E6982" t="s">
        <v>10304</v>
      </c>
      <c r="F6982">
        <v>154.08000000000001</v>
      </c>
      <c r="H6982" t="s">
        <v>4619</v>
      </c>
    </row>
    <row r="6983" spans="2:8" x14ac:dyDescent="0.2">
      <c r="B6983" t="s">
        <v>4428</v>
      </c>
      <c r="C6983" t="s">
        <v>12944</v>
      </c>
      <c r="D6983" t="s">
        <v>613</v>
      </c>
      <c r="E6983" t="s">
        <v>10305</v>
      </c>
      <c r="F6983">
        <v>637.72</v>
      </c>
      <c r="H6983" t="s">
        <v>4178</v>
      </c>
    </row>
    <row r="6984" spans="2:8" x14ac:dyDescent="0.2">
      <c r="B6984" t="s">
        <v>4428</v>
      </c>
      <c r="C6984" t="s">
        <v>12944</v>
      </c>
      <c r="D6984" t="s">
        <v>613</v>
      </c>
      <c r="E6984" t="s">
        <v>10306</v>
      </c>
      <c r="F6984">
        <v>107</v>
      </c>
      <c r="H6984" t="s">
        <v>4415</v>
      </c>
    </row>
    <row r="6985" spans="2:8" x14ac:dyDescent="0.2">
      <c r="B6985" t="s">
        <v>4428</v>
      </c>
      <c r="C6985" t="s">
        <v>12944</v>
      </c>
      <c r="D6985" t="s">
        <v>613</v>
      </c>
      <c r="E6985" t="s">
        <v>10307</v>
      </c>
      <c r="F6985">
        <v>26.75</v>
      </c>
      <c r="H6985" t="s">
        <v>2076</v>
      </c>
    </row>
    <row r="6986" spans="2:8" x14ac:dyDescent="0.2">
      <c r="B6986" t="s">
        <v>4428</v>
      </c>
      <c r="C6986" t="s">
        <v>12944</v>
      </c>
      <c r="D6986" t="s">
        <v>554</v>
      </c>
      <c r="E6986" t="s">
        <v>10308</v>
      </c>
      <c r="F6986">
        <v>6356</v>
      </c>
      <c r="H6986" t="s">
        <v>4708</v>
      </c>
    </row>
    <row r="6987" spans="2:8" x14ac:dyDescent="0.2">
      <c r="B6987" t="s">
        <v>4428</v>
      </c>
      <c r="C6987" t="s">
        <v>12944</v>
      </c>
      <c r="D6987" t="s">
        <v>613</v>
      </c>
      <c r="E6987" t="s">
        <v>10309</v>
      </c>
      <c r="F6987">
        <v>53.5</v>
      </c>
      <c r="H6987" t="s">
        <v>2076</v>
      </c>
    </row>
    <row r="6988" spans="2:8" x14ac:dyDescent="0.2">
      <c r="B6988" t="s">
        <v>4428</v>
      </c>
      <c r="C6988" t="s">
        <v>12944</v>
      </c>
      <c r="D6988" t="s">
        <v>613</v>
      </c>
      <c r="E6988" t="s">
        <v>10310</v>
      </c>
      <c r="F6988">
        <v>308.16000000000003</v>
      </c>
      <c r="H6988" t="s">
        <v>4619</v>
      </c>
    </row>
    <row r="6989" spans="2:8" x14ac:dyDescent="0.2">
      <c r="B6989" t="s">
        <v>4428</v>
      </c>
      <c r="C6989" t="s">
        <v>12944</v>
      </c>
      <c r="D6989" t="s">
        <v>554</v>
      </c>
      <c r="E6989" t="s">
        <v>10311</v>
      </c>
      <c r="F6989">
        <v>921</v>
      </c>
      <c r="H6989" t="s">
        <v>4781</v>
      </c>
    </row>
    <row r="6990" spans="2:8" x14ac:dyDescent="0.2">
      <c r="B6990" t="s">
        <v>4428</v>
      </c>
      <c r="C6990" t="s">
        <v>12944</v>
      </c>
      <c r="D6990" t="s">
        <v>613</v>
      </c>
      <c r="E6990" t="s">
        <v>10313</v>
      </c>
      <c r="F6990">
        <v>13.31</v>
      </c>
      <c r="H6990" t="s">
        <v>5286</v>
      </c>
    </row>
    <row r="6991" spans="2:8" x14ac:dyDescent="0.2">
      <c r="B6991" t="s">
        <v>4428</v>
      </c>
      <c r="C6991" t="s">
        <v>12944</v>
      </c>
      <c r="D6991" t="s">
        <v>613</v>
      </c>
      <c r="E6991" t="s">
        <v>10314</v>
      </c>
      <c r="F6991">
        <v>30.08</v>
      </c>
      <c r="H6991" t="s">
        <v>4600</v>
      </c>
    </row>
    <row r="6992" spans="2:8" x14ac:dyDescent="0.2">
      <c r="B6992" t="s">
        <v>4428</v>
      </c>
      <c r="C6992" t="s">
        <v>12944</v>
      </c>
      <c r="D6992" t="s">
        <v>613</v>
      </c>
      <c r="E6992" t="s">
        <v>10315</v>
      </c>
      <c r="F6992">
        <v>633.84</v>
      </c>
      <c r="H6992" t="s">
        <v>4142</v>
      </c>
    </row>
    <row r="6993" spans="2:8" x14ac:dyDescent="0.2">
      <c r="B6993" t="s">
        <v>4428</v>
      </c>
      <c r="C6993" t="s">
        <v>12944</v>
      </c>
      <c r="D6993" t="s">
        <v>613</v>
      </c>
      <c r="E6993" t="s">
        <v>10316</v>
      </c>
      <c r="F6993">
        <v>116.44</v>
      </c>
      <c r="H6993" t="s">
        <v>4616</v>
      </c>
    </row>
    <row r="6994" spans="2:8" x14ac:dyDescent="0.2">
      <c r="B6994" t="s">
        <v>4428</v>
      </c>
      <c r="C6994" t="s">
        <v>12944</v>
      </c>
      <c r="D6994" t="s">
        <v>613</v>
      </c>
      <c r="E6994" t="s">
        <v>10317</v>
      </c>
      <c r="F6994">
        <v>297.45999999999998</v>
      </c>
      <c r="H6994" t="s">
        <v>4176</v>
      </c>
    </row>
    <row r="6995" spans="2:8" x14ac:dyDescent="0.2">
      <c r="B6995" t="s">
        <v>4428</v>
      </c>
      <c r="C6995" t="s">
        <v>12944</v>
      </c>
      <c r="D6995" t="s">
        <v>613</v>
      </c>
      <c r="E6995" t="s">
        <v>10318</v>
      </c>
      <c r="F6995">
        <v>637.72</v>
      </c>
      <c r="H6995" t="s">
        <v>4178</v>
      </c>
    </row>
    <row r="6996" spans="2:8" x14ac:dyDescent="0.2">
      <c r="B6996" t="s">
        <v>4428</v>
      </c>
      <c r="C6996" t="s">
        <v>12944</v>
      </c>
      <c r="D6996" t="s">
        <v>613</v>
      </c>
      <c r="E6996" t="s">
        <v>10319</v>
      </c>
      <c r="F6996">
        <v>6.4</v>
      </c>
      <c r="H6996" t="s">
        <v>1619</v>
      </c>
    </row>
    <row r="6997" spans="2:8" x14ac:dyDescent="0.2">
      <c r="B6997" t="s">
        <v>4428</v>
      </c>
      <c r="C6997" t="s">
        <v>12944</v>
      </c>
      <c r="D6997" t="s">
        <v>613</v>
      </c>
      <c r="E6997" t="s">
        <v>10320</v>
      </c>
      <c r="F6997">
        <v>406.6</v>
      </c>
      <c r="H6997" t="s">
        <v>4180</v>
      </c>
    </row>
    <row r="6998" spans="2:8" x14ac:dyDescent="0.2">
      <c r="B6998" t="s">
        <v>4428</v>
      </c>
      <c r="C6998" t="s">
        <v>12944</v>
      </c>
      <c r="D6998" t="s">
        <v>613</v>
      </c>
      <c r="E6998" t="s">
        <v>10321</v>
      </c>
      <c r="F6998">
        <v>1219.8</v>
      </c>
      <c r="H6998" t="s">
        <v>4180</v>
      </c>
    </row>
    <row r="6999" spans="2:8" x14ac:dyDescent="0.2">
      <c r="B6999" t="s">
        <v>4428</v>
      </c>
      <c r="C6999" t="s">
        <v>12944</v>
      </c>
      <c r="D6999" t="s">
        <v>613</v>
      </c>
      <c r="E6999" t="s">
        <v>10322</v>
      </c>
      <c r="F6999">
        <v>2234.16</v>
      </c>
      <c r="H6999" t="s">
        <v>4182</v>
      </c>
    </row>
    <row r="7000" spans="2:8" x14ac:dyDescent="0.2">
      <c r="B7000" t="s">
        <v>4428</v>
      </c>
      <c r="C7000" t="s">
        <v>12944</v>
      </c>
      <c r="D7000" t="s">
        <v>613</v>
      </c>
      <c r="E7000" t="s">
        <v>10323</v>
      </c>
      <c r="F7000">
        <v>877.4</v>
      </c>
      <c r="H7000" t="s">
        <v>4620</v>
      </c>
    </row>
    <row r="7001" spans="2:8" x14ac:dyDescent="0.2">
      <c r="B7001" t="s">
        <v>4428</v>
      </c>
      <c r="C7001" t="s">
        <v>12944</v>
      </c>
      <c r="D7001" t="s">
        <v>613</v>
      </c>
      <c r="E7001" t="s">
        <v>10324</v>
      </c>
      <c r="F7001">
        <v>920.2</v>
      </c>
      <c r="H7001" t="s">
        <v>4617</v>
      </c>
    </row>
    <row r="7002" spans="2:8" x14ac:dyDescent="0.2">
      <c r="B7002" t="s">
        <v>4428</v>
      </c>
      <c r="C7002" t="s">
        <v>12944</v>
      </c>
      <c r="D7002" t="s">
        <v>613</v>
      </c>
      <c r="E7002" t="s">
        <v>10325</v>
      </c>
      <c r="F7002">
        <v>107</v>
      </c>
      <c r="H7002" t="s">
        <v>4621</v>
      </c>
    </row>
    <row r="7003" spans="2:8" x14ac:dyDescent="0.2">
      <c r="B7003" t="s">
        <v>4428</v>
      </c>
      <c r="C7003" t="s">
        <v>12944</v>
      </c>
      <c r="D7003" t="s">
        <v>613</v>
      </c>
      <c r="E7003" t="s">
        <v>10326</v>
      </c>
      <c r="F7003">
        <v>107</v>
      </c>
      <c r="H7003" t="s">
        <v>4415</v>
      </c>
    </row>
    <row r="7004" spans="2:8" x14ac:dyDescent="0.2">
      <c r="B7004" t="s">
        <v>4428</v>
      </c>
      <c r="C7004" t="s">
        <v>12944</v>
      </c>
      <c r="D7004" t="s">
        <v>613</v>
      </c>
      <c r="E7004" t="s">
        <v>10327</v>
      </c>
      <c r="F7004">
        <v>107</v>
      </c>
      <c r="H7004" t="s">
        <v>4648</v>
      </c>
    </row>
    <row r="7005" spans="2:8" x14ac:dyDescent="0.2">
      <c r="B7005" t="s">
        <v>4428</v>
      </c>
      <c r="C7005" t="s">
        <v>12944</v>
      </c>
      <c r="D7005" t="s">
        <v>613</v>
      </c>
      <c r="E7005" t="s">
        <v>10328</v>
      </c>
      <c r="F7005">
        <v>53.5</v>
      </c>
      <c r="H7005" t="s">
        <v>4648</v>
      </c>
    </row>
    <row r="7006" spans="2:8" x14ac:dyDescent="0.2">
      <c r="B7006" t="s">
        <v>4428</v>
      </c>
      <c r="C7006" t="s">
        <v>12944</v>
      </c>
      <c r="D7006" t="s">
        <v>613</v>
      </c>
      <c r="E7006" t="s">
        <v>10329</v>
      </c>
      <c r="F7006">
        <v>189.36</v>
      </c>
      <c r="H7006" t="s">
        <v>2015</v>
      </c>
    </row>
    <row r="7007" spans="2:8" x14ac:dyDescent="0.2">
      <c r="B7007" t="s">
        <v>4428</v>
      </c>
      <c r="C7007" t="s">
        <v>12944</v>
      </c>
      <c r="D7007" t="s">
        <v>613</v>
      </c>
      <c r="E7007" t="s">
        <v>10330</v>
      </c>
      <c r="F7007">
        <v>166.2</v>
      </c>
      <c r="H7007" t="s">
        <v>2016</v>
      </c>
    </row>
    <row r="7008" spans="2:8" x14ac:dyDescent="0.2">
      <c r="B7008" t="s">
        <v>4428</v>
      </c>
      <c r="C7008" t="s">
        <v>12944</v>
      </c>
      <c r="D7008" t="s">
        <v>613</v>
      </c>
      <c r="E7008" t="s">
        <v>10331</v>
      </c>
      <c r="F7008">
        <v>-166.2</v>
      </c>
      <c r="H7008" t="s">
        <v>2016</v>
      </c>
    </row>
    <row r="7009" spans="2:8" x14ac:dyDescent="0.2">
      <c r="B7009" t="s">
        <v>4428</v>
      </c>
      <c r="C7009" t="s">
        <v>12944</v>
      </c>
      <c r="D7009" t="s">
        <v>613</v>
      </c>
      <c r="E7009" t="s">
        <v>10332</v>
      </c>
      <c r="F7009">
        <v>166.2</v>
      </c>
      <c r="H7009" t="s">
        <v>2016</v>
      </c>
    </row>
    <row r="7010" spans="2:8" x14ac:dyDescent="0.2">
      <c r="B7010" t="s">
        <v>4428</v>
      </c>
      <c r="C7010" t="s">
        <v>12944</v>
      </c>
      <c r="D7010" t="s">
        <v>613</v>
      </c>
      <c r="E7010" t="s">
        <v>10333</v>
      </c>
      <c r="F7010">
        <v>166.2</v>
      </c>
      <c r="H7010" t="s">
        <v>2016</v>
      </c>
    </row>
    <row r="7011" spans="2:8" x14ac:dyDescent="0.2">
      <c r="B7011" t="s">
        <v>4428</v>
      </c>
      <c r="C7011" t="s">
        <v>12944</v>
      </c>
      <c r="D7011" t="s">
        <v>613</v>
      </c>
      <c r="E7011" t="s">
        <v>10334</v>
      </c>
      <c r="F7011">
        <v>107</v>
      </c>
      <c r="H7011" t="s">
        <v>2074</v>
      </c>
    </row>
    <row r="7012" spans="2:8" x14ac:dyDescent="0.2">
      <c r="B7012" t="s">
        <v>4428</v>
      </c>
      <c r="C7012" t="s">
        <v>12944</v>
      </c>
      <c r="D7012" t="s">
        <v>613</v>
      </c>
      <c r="E7012" t="s">
        <v>10335</v>
      </c>
      <c r="F7012">
        <v>107</v>
      </c>
      <c r="H7012" t="s">
        <v>2075</v>
      </c>
    </row>
    <row r="7013" spans="2:8" x14ac:dyDescent="0.2">
      <c r="B7013" t="s">
        <v>4428</v>
      </c>
      <c r="C7013" t="s">
        <v>12944</v>
      </c>
      <c r="D7013" t="s">
        <v>613</v>
      </c>
      <c r="E7013" t="s">
        <v>10336</v>
      </c>
      <c r="F7013">
        <v>214</v>
      </c>
      <c r="H7013" t="s">
        <v>1599</v>
      </c>
    </row>
    <row r="7014" spans="2:8" x14ac:dyDescent="0.2">
      <c r="B7014" t="s">
        <v>4428</v>
      </c>
      <c r="C7014" t="s">
        <v>12944</v>
      </c>
      <c r="D7014" t="s">
        <v>613</v>
      </c>
      <c r="E7014" t="s">
        <v>10337</v>
      </c>
      <c r="F7014">
        <v>21.4</v>
      </c>
      <c r="H7014" t="s">
        <v>2345</v>
      </c>
    </row>
    <row r="7015" spans="2:8" x14ac:dyDescent="0.2">
      <c r="B7015" t="s">
        <v>4428</v>
      </c>
      <c r="C7015" t="s">
        <v>12944</v>
      </c>
      <c r="D7015" t="s">
        <v>613</v>
      </c>
      <c r="E7015" t="s">
        <v>10338</v>
      </c>
      <c r="F7015">
        <v>64.2</v>
      </c>
      <c r="H7015" t="s">
        <v>2345</v>
      </c>
    </row>
    <row r="7016" spans="2:8" x14ac:dyDescent="0.2">
      <c r="B7016" t="s">
        <v>4428</v>
      </c>
      <c r="C7016" t="s">
        <v>12944</v>
      </c>
      <c r="D7016" t="s">
        <v>613</v>
      </c>
      <c r="E7016" t="s">
        <v>10339</v>
      </c>
      <c r="F7016">
        <v>111.56</v>
      </c>
      <c r="H7016" t="s">
        <v>2347</v>
      </c>
    </row>
    <row r="7017" spans="2:8" x14ac:dyDescent="0.2">
      <c r="B7017" t="s">
        <v>4428</v>
      </c>
      <c r="C7017" t="s">
        <v>12944</v>
      </c>
      <c r="D7017" t="s">
        <v>613</v>
      </c>
      <c r="E7017" t="s">
        <v>10340</v>
      </c>
      <c r="F7017">
        <v>1994</v>
      </c>
      <c r="H7017" t="s">
        <v>2348</v>
      </c>
    </row>
    <row r="7018" spans="2:8" x14ac:dyDescent="0.2">
      <c r="B7018" t="s">
        <v>4428</v>
      </c>
      <c r="C7018" t="s">
        <v>12944</v>
      </c>
      <c r="D7018" t="s">
        <v>613</v>
      </c>
      <c r="E7018" t="s">
        <v>10341</v>
      </c>
      <c r="F7018">
        <v>1994</v>
      </c>
      <c r="H7018" t="s">
        <v>2349</v>
      </c>
    </row>
    <row r="7019" spans="2:8" x14ac:dyDescent="0.2">
      <c r="B7019" t="s">
        <v>4428</v>
      </c>
      <c r="C7019" t="s">
        <v>12944</v>
      </c>
      <c r="D7019" t="s">
        <v>613</v>
      </c>
      <c r="E7019" t="s">
        <v>10342</v>
      </c>
      <c r="F7019">
        <v>896</v>
      </c>
      <c r="H7019" t="s">
        <v>1563</v>
      </c>
    </row>
    <row r="7020" spans="2:8" x14ac:dyDescent="0.2">
      <c r="B7020" t="s">
        <v>4428</v>
      </c>
      <c r="C7020" t="s">
        <v>12944</v>
      </c>
      <c r="D7020" t="s">
        <v>613</v>
      </c>
      <c r="E7020" t="s">
        <v>10343</v>
      </c>
      <c r="F7020">
        <v>264.56</v>
      </c>
      <c r="H7020" t="s">
        <v>1568</v>
      </c>
    </row>
    <row r="7021" spans="2:8" x14ac:dyDescent="0.2">
      <c r="B7021" t="s">
        <v>4428</v>
      </c>
      <c r="C7021" t="s">
        <v>12944</v>
      </c>
      <c r="D7021" t="s">
        <v>613</v>
      </c>
      <c r="E7021" t="s">
        <v>10344</v>
      </c>
      <c r="F7021">
        <v>571.20000000000005</v>
      </c>
      <c r="H7021" t="s">
        <v>1569</v>
      </c>
    </row>
    <row r="7022" spans="2:8" x14ac:dyDescent="0.2">
      <c r="B7022" t="s">
        <v>4428</v>
      </c>
      <c r="C7022" t="s">
        <v>12944</v>
      </c>
      <c r="D7022" t="s">
        <v>613</v>
      </c>
      <c r="E7022" t="s">
        <v>10345</v>
      </c>
      <c r="F7022">
        <v>1.92</v>
      </c>
      <c r="H7022" t="s">
        <v>1570</v>
      </c>
    </row>
    <row r="7023" spans="2:8" x14ac:dyDescent="0.2">
      <c r="B7023" t="s">
        <v>4428</v>
      </c>
      <c r="C7023" t="s">
        <v>12944</v>
      </c>
      <c r="D7023" t="s">
        <v>613</v>
      </c>
      <c r="E7023" t="s">
        <v>10346</v>
      </c>
      <c r="F7023">
        <v>464</v>
      </c>
      <c r="H7023" t="s">
        <v>1571</v>
      </c>
    </row>
    <row r="7024" spans="2:8" x14ac:dyDescent="0.2">
      <c r="B7024" t="s">
        <v>4428</v>
      </c>
      <c r="C7024" t="s">
        <v>12944</v>
      </c>
      <c r="D7024" t="s">
        <v>554</v>
      </c>
      <c r="E7024" t="s">
        <v>10347</v>
      </c>
      <c r="F7024">
        <v>24536</v>
      </c>
      <c r="H7024" t="s">
        <v>4707</v>
      </c>
    </row>
    <row r="7025" spans="2:8" x14ac:dyDescent="0.2">
      <c r="B7025" t="s">
        <v>4428</v>
      </c>
      <c r="C7025" t="s">
        <v>12944</v>
      </c>
      <c r="D7025" t="s">
        <v>554</v>
      </c>
      <c r="E7025" t="s">
        <v>10348</v>
      </c>
      <c r="F7025">
        <v>24536</v>
      </c>
      <c r="H7025" t="s">
        <v>4707</v>
      </c>
    </row>
    <row r="7026" spans="2:8" x14ac:dyDescent="0.2">
      <c r="B7026" t="s">
        <v>4428</v>
      </c>
      <c r="C7026" t="s">
        <v>12944</v>
      </c>
      <c r="D7026" t="s">
        <v>613</v>
      </c>
      <c r="E7026" t="s">
        <v>10349</v>
      </c>
      <c r="F7026">
        <v>317.36</v>
      </c>
      <c r="H7026" t="s">
        <v>1891</v>
      </c>
    </row>
    <row r="7027" spans="2:8" x14ac:dyDescent="0.2">
      <c r="B7027" t="s">
        <v>4428</v>
      </c>
      <c r="C7027" t="s">
        <v>12944</v>
      </c>
      <c r="D7027" t="s">
        <v>613</v>
      </c>
      <c r="E7027" t="s">
        <v>10350</v>
      </c>
      <c r="F7027">
        <v>252.84</v>
      </c>
      <c r="H7027" t="s">
        <v>2503</v>
      </c>
    </row>
    <row r="7028" spans="2:8" x14ac:dyDescent="0.2">
      <c r="B7028" t="s">
        <v>4428</v>
      </c>
      <c r="C7028" t="s">
        <v>12944</v>
      </c>
      <c r="D7028" t="s">
        <v>613</v>
      </c>
      <c r="E7028" t="s">
        <v>10351</v>
      </c>
      <c r="F7028">
        <v>1.92</v>
      </c>
      <c r="H7028" t="s">
        <v>1570</v>
      </c>
    </row>
    <row r="7029" spans="2:8" x14ac:dyDescent="0.2">
      <c r="B7029" t="s">
        <v>4428</v>
      </c>
      <c r="C7029" t="s">
        <v>12944</v>
      </c>
      <c r="D7029" t="s">
        <v>613</v>
      </c>
      <c r="E7029" t="s">
        <v>10352</v>
      </c>
      <c r="F7029">
        <v>372.36</v>
      </c>
      <c r="H7029" t="s">
        <v>4182</v>
      </c>
    </row>
    <row r="7030" spans="2:8" x14ac:dyDescent="0.2">
      <c r="B7030" t="s">
        <v>4428</v>
      </c>
      <c r="C7030" t="s">
        <v>12944</v>
      </c>
      <c r="D7030" t="s">
        <v>613</v>
      </c>
      <c r="E7030" t="s">
        <v>10353</v>
      </c>
      <c r="F7030">
        <v>372.36</v>
      </c>
      <c r="H7030" t="s">
        <v>4182</v>
      </c>
    </row>
    <row r="7031" spans="2:8" x14ac:dyDescent="0.2">
      <c r="B7031" t="s">
        <v>4428</v>
      </c>
      <c r="C7031" t="s">
        <v>12944</v>
      </c>
      <c r="D7031" t="s">
        <v>613</v>
      </c>
      <c r="E7031" t="s">
        <v>10354</v>
      </c>
      <c r="F7031">
        <v>107</v>
      </c>
      <c r="H7031" t="s">
        <v>1598</v>
      </c>
    </row>
    <row r="7032" spans="2:8" x14ac:dyDescent="0.2">
      <c r="B7032" t="s">
        <v>4428</v>
      </c>
      <c r="C7032" t="s">
        <v>12944</v>
      </c>
      <c r="D7032" t="s">
        <v>613</v>
      </c>
      <c r="E7032" t="s">
        <v>10355</v>
      </c>
      <c r="F7032">
        <v>23.48</v>
      </c>
      <c r="H7032" t="s">
        <v>4922</v>
      </c>
    </row>
    <row r="7033" spans="2:8" x14ac:dyDescent="0.2">
      <c r="B7033" t="s">
        <v>4428</v>
      </c>
      <c r="C7033" t="s">
        <v>12944</v>
      </c>
      <c r="D7033" t="s">
        <v>613</v>
      </c>
      <c r="E7033" t="s">
        <v>10356</v>
      </c>
      <c r="F7033">
        <v>111.56</v>
      </c>
      <c r="H7033" t="s">
        <v>2347</v>
      </c>
    </row>
    <row r="7034" spans="2:8" x14ac:dyDescent="0.2">
      <c r="B7034" t="s">
        <v>4428</v>
      </c>
      <c r="C7034" t="s">
        <v>12944</v>
      </c>
      <c r="D7034" t="s">
        <v>613</v>
      </c>
      <c r="E7034" t="s">
        <v>10360</v>
      </c>
      <c r="F7034">
        <v>13.31</v>
      </c>
      <c r="H7034" t="s">
        <v>5286</v>
      </c>
    </row>
    <row r="7035" spans="2:8" x14ac:dyDescent="0.2">
      <c r="B7035" t="s">
        <v>4428</v>
      </c>
      <c r="C7035" t="s">
        <v>12944</v>
      </c>
      <c r="D7035" t="s">
        <v>613</v>
      </c>
      <c r="E7035" t="s">
        <v>10361</v>
      </c>
      <c r="F7035">
        <v>69.92</v>
      </c>
      <c r="H7035" t="s">
        <v>4612</v>
      </c>
    </row>
    <row r="7036" spans="2:8" x14ac:dyDescent="0.2">
      <c r="B7036" t="s">
        <v>4428</v>
      </c>
      <c r="C7036" t="s">
        <v>12944</v>
      </c>
      <c r="D7036" t="s">
        <v>613</v>
      </c>
      <c r="E7036" t="s">
        <v>10362</v>
      </c>
      <c r="F7036">
        <v>46.32</v>
      </c>
      <c r="H7036" t="s">
        <v>4248</v>
      </c>
    </row>
    <row r="7037" spans="2:8" x14ac:dyDescent="0.2">
      <c r="B7037" t="s">
        <v>4428</v>
      </c>
      <c r="C7037" t="s">
        <v>12944</v>
      </c>
      <c r="D7037" t="s">
        <v>613</v>
      </c>
      <c r="E7037" t="s">
        <v>10363</v>
      </c>
      <c r="F7037">
        <v>29.44</v>
      </c>
      <c r="H7037" t="s">
        <v>4661</v>
      </c>
    </row>
    <row r="7038" spans="2:8" x14ac:dyDescent="0.2">
      <c r="B7038" t="s">
        <v>4428</v>
      </c>
      <c r="C7038" t="s">
        <v>12944</v>
      </c>
      <c r="D7038" t="s">
        <v>613</v>
      </c>
      <c r="E7038" t="s">
        <v>10364</v>
      </c>
      <c r="F7038">
        <v>316.92</v>
      </c>
      <c r="H7038" t="s">
        <v>4142</v>
      </c>
    </row>
    <row r="7039" spans="2:8" x14ac:dyDescent="0.2">
      <c r="B7039" t="s">
        <v>4428</v>
      </c>
      <c r="C7039" t="s">
        <v>12944</v>
      </c>
      <c r="D7039" t="s">
        <v>613</v>
      </c>
      <c r="E7039" t="s">
        <v>10365</v>
      </c>
      <c r="F7039">
        <v>611.30999999999995</v>
      </c>
      <c r="H7039" t="s">
        <v>4616</v>
      </c>
    </row>
    <row r="7040" spans="2:8" x14ac:dyDescent="0.2">
      <c r="B7040" t="s">
        <v>4428</v>
      </c>
      <c r="C7040" t="s">
        <v>12944</v>
      </c>
      <c r="D7040" t="s">
        <v>613</v>
      </c>
      <c r="E7040" t="s">
        <v>10366</v>
      </c>
      <c r="F7040">
        <v>10.56</v>
      </c>
      <c r="H7040" t="s">
        <v>4283</v>
      </c>
    </row>
    <row r="7041" spans="2:8" x14ac:dyDescent="0.2">
      <c r="B7041" t="s">
        <v>4428</v>
      </c>
      <c r="C7041" t="s">
        <v>12944</v>
      </c>
      <c r="D7041" t="s">
        <v>613</v>
      </c>
      <c r="E7041" t="s">
        <v>10367</v>
      </c>
      <c r="F7041">
        <v>892.38</v>
      </c>
      <c r="H7041" t="s">
        <v>4176</v>
      </c>
    </row>
    <row r="7042" spans="2:8" x14ac:dyDescent="0.2">
      <c r="B7042" t="s">
        <v>4428</v>
      </c>
      <c r="C7042" t="s">
        <v>12944</v>
      </c>
      <c r="D7042" t="s">
        <v>613</v>
      </c>
      <c r="E7042" t="s">
        <v>10368</v>
      </c>
      <c r="F7042">
        <v>616.32000000000005</v>
      </c>
      <c r="H7042" t="s">
        <v>4619</v>
      </c>
    </row>
    <row r="7043" spans="2:8" x14ac:dyDescent="0.2">
      <c r="B7043" t="s">
        <v>4428</v>
      </c>
      <c r="C7043" t="s">
        <v>12944</v>
      </c>
      <c r="D7043" t="s">
        <v>613</v>
      </c>
      <c r="E7043" t="s">
        <v>10369</v>
      </c>
      <c r="F7043">
        <v>1275.44</v>
      </c>
      <c r="H7043" t="s">
        <v>4178</v>
      </c>
    </row>
    <row r="7044" spans="2:8" x14ac:dyDescent="0.2">
      <c r="B7044" t="s">
        <v>4428</v>
      </c>
      <c r="C7044" t="s">
        <v>12944</v>
      </c>
      <c r="D7044" t="s">
        <v>613</v>
      </c>
      <c r="E7044" t="s">
        <v>10370</v>
      </c>
      <c r="F7044">
        <v>406.6</v>
      </c>
      <c r="H7044" t="s">
        <v>4180</v>
      </c>
    </row>
    <row r="7045" spans="2:8" x14ac:dyDescent="0.2">
      <c r="B7045" t="s">
        <v>4428</v>
      </c>
      <c r="C7045" t="s">
        <v>12944</v>
      </c>
      <c r="D7045" t="s">
        <v>613</v>
      </c>
      <c r="E7045" t="s">
        <v>10371</v>
      </c>
      <c r="F7045">
        <v>406.6</v>
      </c>
      <c r="H7045" t="s">
        <v>4180</v>
      </c>
    </row>
    <row r="7046" spans="2:8" x14ac:dyDescent="0.2">
      <c r="B7046" t="s">
        <v>4428</v>
      </c>
      <c r="C7046" t="s">
        <v>12944</v>
      </c>
      <c r="D7046" t="s">
        <v>613</v>
      </c>
      <c r="E7046" t="s">
        <v>10372</v>
      </c>
      <c r="F7046">
        <v>791.8</v>
      </c>
      <c r="H7046" t="s">
        <v>4181</v>
      </c>
    </row>
    <row r="7047" spans="2:8" x14ac:dyDescent="0.2">
      <c r="B7047" t="s">
        <v>4428</v>
      </c>
      <c r="C7047" t="s">
        <v>12944</v>
      </c>
      <c r="D7047" t="s">
        <v>613</v>
      </c>
      <c r="E7047" t="s">
        <v>10373</v>
      </c>
      <c r="F7047">
        <v>1489.44</v>
      </c>
      <c r="H7047" t="s">
        <v>4182</v>
      </c>
    </row>
    <row r="7048" spans="2:8" x14ac:dyDescent="0.2">
      <c r="B7048" t="s">
        <v>4428</v>
      </c>
      <c r="C7048" t="s">
        <v>12944</v>
      </c>
      <c r="D7048" t="s">
        <v>613</v>
      </c>
      <c r="E7048" t="s">
        <v>10374</v>
      </c>
      <c r="F7048">
        <v>877.4</v>
      </c>
      <c r="H7048" t="s">
        <v>4620</v>
      </c>
    </row>
    <row r="7049" spans="2:8" x14ac:dyDescent="0.2">
      <c r="B7049" t="s">
        <v>4428</v>
      </c>
      <c r="C7049" t="s">
        <v>12944</v>
      </c>
      <c r="D7049" t="s">
        <v>613</v>
      </c>
      <c r="E7049" t="s">
        <v>10375</v>
      </c>
      <c r="F7049">
        <v>321</v>
      </c>
      <c r="H7049" t="s">
        <v>4415</v>
      </c>
    </row>
    <row r="7050" spans="2:8" x14ac:dyDescent="0.2">
      <c r="B7050" t="s">
        <v>4428</v>
      </c>
      <c r="C7050" t="s">
        <v>12944</v>
      </c>
      <c r="D7050" t="s">
        <v>613</v>
      </c>
      <c r="E7050" t="s">
        <v>10376</v>
      </c>
      <c r="F7050">
        <v>107</v>
      </c>
      <c r="H7050" t="s">
        <v>4648</v>
      </c>
    </row>
    <row r="7051" spans="2:8" x14ac:dyDescent="0.2">
      <c r="B7051" t="s">
        <v>4428</v>
      </c>
      <c r="C7051" t="s">
        <v>12944</v>
      </c>
      <c r="D7051" t="s">
        <v>613</v>
      </c>
      <c r="E7051" t="s">
        <v>10377</v>
      </c>
      <c r="F7051">
        <v>53.5</v>
      </c>
      <c r="H7051" t="s">
        <v>4648</v>
      </c>
    </row>
    <row r="7052" spans="2:8" x14ac:dyDescent="0.2">
      <c r="B7052" t="s">
        <v>4428</v>
      </c>
      <c r="C7052" t="s">
        <v>12944</v>
      </c>
      <c r="D7052" t="s">
        <v>613</v>
      </c>
      <c r="E7052" t="s">
        <v>10378</v>
      </c>
      <c r="F7052">
        <v>315.60000000000002</v>
      </c>
      <c r="H7052" t="s">
        <v>2015</v>
      </c>
    </row>
    <row r="7053" spans="2:8" x14ac:dyDescent="0.2">
      <c r="B7053" t="s">
        <v>4428</v>
      </c>
      <c r="C7053" t="s">
        <v>12944</v>
      </c>
      <c r="D7053" t="s">
        <v>613</v>
      </c>
      <c r="E7053" t="s">
        <v>10379</v>
      </c>
      <c r="F7053">
        <v>166.2</v>
      </c>
      <c r="H7053" t="s">
        <v>2016</v>
      </c>
    </row>
    <row r="7054" spans="2:8" x14ac:dyDescent="0.2">
      <c r="B7054" t="s">
        <v>4428</v>
      </c>
      <c r="C7054" t="s">
        <v>12944</v>
      </c>
      <c r="D7054" t="s">
        <v>613</v>
      </c>
      <c r="E7054" t="s">
        <v>10380</v>
      </c>
      <c r="F7054">
        <v>-166.2</v>
      </c>
      <c r="H7054" t="s">
        <v>2016</v>
      </c>
    </row>
    <row r="7055" spans="2:8" x14ac:dyDescent="0.2">
      <c r="B7055" t="s">
        <v>4428</v>
      </c>
      <c r="C7055" t="s">
        <v>12944</v>
      </c>
      <c r="D7055" t="s">
        <v>613</v>
      </c>
      <c r="E7055" t="s">
        <v>10381</v>
      </c>
      <c r="F7055">
        <v>166.2</v>
      </c>
      <c r="H7055" t="s">
        <v>2016</v>
      </c>
    </row>
    <row r="7056" spans="2:8" x14ac:dyDescent="0.2">
      <c r="B7056" t="s">
        <v>4428</v>
      </c>
      <c r="C7056" t="s">
        <v>12944</v>
      </c>
      <c r="D7056" t="s">
        <v>613</v>
      </c>
      <c r="E7056" t="s">
        <v>10382</v>
      </c>
      <c r="F7056">
        <v>166.2</v>
      </c>
      <c r="H7056" t="s">
        <v>2016</v>
      </c>
    </row>
    <row r="7057" spans="2:8" x14ac:dyDescent="0.2">
      <c r="B7057" t="s">
        <v>4428</v>
      </c>
      <c r="C7057" t="s">
        <v>12944</v>
      </c>
      <c r="D7057" t="s">
        <v>613</v>
      </c>
      <c r="E7057" t="s">
        <v>10383</v>
      </c>
      <c r="F7057">
        <v>55.4</v>
      </c>
      <c r="H7057" t="s">
        <v>2016</v>
      </c>
    </row>
    <row r="7058" spans="2:8" x14ac:dyDescent="0.2">
      <c r="B7058" t="s">
        <v>4428</v>
      </c>
      <c r="C7058" t="s">
        <v>12944</v>
      </c>
      <c r="D7058" t="s">
        <v>613</v>
      </c>
      <c r="E7058" t="s">
        <v>10384</v>
      </c>
      <c r="F7058">
        <v>214</v>
      </c>
      <c r="H7058" t="s">
        <v>2076</v>
      </c>
    </row>
    <row r="7059" spans="2:8" x14ac:dyDescent="0.2">
      <c r="B7059" t="s">
        <v>4428</v>
      </c>
      <c r="C7059" t="s">
        <v>12944</v>
      </c>
      <c r="D7059" t="s">
        <v>613</v>
      </c>
      <c r="E7059" t="s">
        <v>10385</v>
      </c>
      <c r="F7059">
        <v>53.5</v>
      </c>
      <c r="H7059" t="s">
        <v>1595</v>
      </c>
    </row>
    <row r="7060" spans="2:8" x14ac:dyDescent="0.2">
      <c r="B7060" t="s">
        <v>4428</v>
      </c>
      <c r="C7060" t="s">
        <v>12944</v>
      </c>
      <c r="D7060" t="s">
        <v>613</v>
      </c>
      <c r="E7060" t="s">
        <v>10386</v>
      </c>
      <c r="F7060">
        <v>53.5</v>
      </c>
      <c r="H7060" t="s">
        <v>1597</v>
      </c>
    </row>
    <row r="7061" spans="2:8" x14ac:dyDescent="0.2">
      <c r="B7061" t="s">
        <v>4428</v>
      </c>
      <c r="C7061" t="s">
        <v>12944</v>
      </c>
      <c r="D7061" t="s">
        <v>613</v>
      </c>
      <c r="E7061" t="s">
        <v>10387</v>
      </c>
      <c r="F7061">
        <v>107</v>
      </c>
      <c r="H7061" t="s">
        <v>1598</v>
      </c>
    </row>
    <row r="7062" spans="2:8" x14ac:dyDescent="0.2">
      <c r="B7062" t="s">
        <v>4428</v>
      </c>
      <c r="C7062" t="s">
        <v>12944</v>
      </c>
      <c r="D7062" t="s">
        <v>613</v>
      </c>
      <c r="E7062" t="s">
        <v>10388</v>
      </c>
      <c r="F7062">
        <v>53.5</v>
      </c>
      <c r="H7062" t="s">
        <v>1600</v>
      </c>
    </row>
    <row r="7063" spans="2:8" x14ac:dyDescent="0.2">
      <c r="B7063" t="s">
        <v>4428</v>
      </c>
      <c r="C7063" t="s">
        <v>12944</v>
      </c>
      <c r="D7063" t="s">
        <v>613</v>
      </c>
      <c r="E7063" t="s">
        <v>10389</v>
      </c>
      <c r="F7063">
        <v>53.5</v>
      </c>
      <c r="H7063" t="s">
        <v>2343</v>
      </c>
    </row>
    <row r="7064" spans="2:8" x14ac:dyDescent="0.2">
      <c r="B7064" t="s">
        <v>4428</v>
      </c>
      <c r="C7064" t="s">
        <v>12944</v>
      </c>
      <c r="D7064" t="s">
        <v>613</v>
      </c>
      <c r="E7064" t="s">
        <v>10390</v>
      </c>
      <c r="F7064">
        <v>1994</v>
      </c>
      <c r="H7064" t="s">
        <v>2348</v>
      </c>
    </row>
    <row r="7065" spans="2:8" x14ac:dyDescent="0.2">
      <c r="B7065" t="s">
        <v>4428</v>
      </c>
      <c r="C7065" t="s">
        <v>12944</v>
      </c>
      <c r="D7065" t="s">
        <v>613</v>
      </c>
      <c r="E7065" t="s">
        <v>10391</v>
      </c>
      <c r="F7065">
        <v>1994</v>
      </c>
      <c r="H7065" t="s">
        <v>2349</v>
      </c>
    </row>
    <row r="7066" spans="2:8" x14ac:dyDescent="0.2">
      <c r="B7066" t="s">
        <v>4428</v>
      </c>
      <c r="C7066" t="s">
        <v>12944</v>
      </c>
      <c r="D7066" t="s">
        <v>613</v>
      </c>
      <c r="E7066" t="s">
        <v>10392</v>
      </c>
      <c r="F7066">
        <v>896</v>
      </c>
      <c r="H7066" t="s">
        <v>1563</v>
      </c>
    </row>
    <row r="7067" spans="2:8" x14ac:dyDescent="0.2">
      <c r="B7067" t="s">
        <v>4428</v>
      </c>
      <c r="C7067" t="s">
        <v>12944</v>
      </c>
      <c r="D7067" t="s">
        <v>613</v>
      </c>
      <c r="E7067" t="s">
        <v>10393</v>
      </c>
      <c r="F7067">
        <v>1.92</v>
      </c>
      <c r="H7067" t="s">
        <v>1570</v>
      </c>
    </row>
    <row r="7068" spans="2:8" x14ac:dyDescent="0.2">
      <c r="B7068" t="s">
        <v>4428</v>
      </c>
      <c r="C7068" t="s">
        <v>12944</v>
      </c>
      <c r="D7068" t="s">
        <v>613</v>
      </c>
      <c r="E7068" t="s">
        <v>10394</v>
      </c>
      <c r="F7068">
        <v>35.6</v>
      </c>
      <c r="H7068" t="s">
        <v>1572</v>
      </c>
    </row>
    <row r="7069" spans="2:8" x14ac:dyDescent="0.2">
      <c r="B7069" t="s">
        <v>4428</v>
      </c>
      <c r="C7069" t="s">
        <v>12944</v>
      </c>
      <c r="D7069" t="s">
        <v>613</v>
      </c>
      <c r="E7069" t="s">
        <v>10395</v>
      </c>
      <c r="F7069">
        <v>371.52</v>
      </c>
      <c r="H7069" t="s">
        <v>1573</v>
      </c>
    </row>
    <row r="7070" spans="2:8" x14ac:dyDescent="0.2">
      <c r="B7070" t="s">
        <v>4428</v>
      </c>
      <c r="C7070" t="s">
        <v>12944</v>
      </c>
      <c r="D7070" t="s">
        <v>613</v>
      </c>
      <c r="E7070" t="s">
        <v>10396</v>
      </c>
      <c r="F7070">
        <v>219.16</v>
      </c>
      <c r="H7070" t="s">
        <v>1574</v>
      </c>
    </row>
    <row r="7071" spans="2:8" x14ac:dyDescent="0.2">
      <c r="B7071" t="s">
        <v>4428</v>
      </c>
      <c r="C7071" t="s">
        <v>12944</v>
      </c>
      <c r="D7071" t="s">
        <v>554</v>
      </c>
      <c r="E7071" t="s">
        <v>10397</v>
      </c>
      <c r="F7071">
        <v>59542</v>
      </c>
      <c r="H7071" t="s">
        <v>4709</v>
      </c>
    </row>
    <row r="7072" spans="2:8" x14ac:dyDescent="0.2">
      <c r="B7072" t="s">
        <v>4428</v>
      </c>
      <c r="C7072" t="s">
        <v>12944</v>
      </c>
      <c r="D7072" t="s">
        <v>613</v>
      </c>
      <c r="E7072" t="s">
        <v>10398</v>
      </c>
      <c r="F7072">
        <v>247.8</v>
      </c>
      <c r="H7072" t="s">
        <v>2501</v>
      </c>
    </row>
    <row r="7073" spans="2:8" x14ac:dyDescent="0.2">
      <c r="B7073" t="s">
        <v>4428</v>
      </c>
      <c r="C7073" t="s">
        <v>12944</v>
      </c>
      <c r="D7073" t="s">
        <v>613</v>
      </c>
      <c r="E7073" t="s">
        <v>10399</v>
      </c>
      <c r="F7073">
        <v>128.52000000000001</v>
      </c>
      <c r="H7073" t="s">
        <v>2504</v>
      </c>
    </row>
    <row r="7074" spans="2:8" x14ac:dyDescent="0.2">
      <c r="B7074" t="s">
        <v>4428</v>
      </c>
      <c r="C7074" t="s">
        <v>12944</v>
      </c>
      <c r="D7074" t="s">
        <v>613</v>
      </c>
      <c r="E7074" t="s">
        <v>10400</v>
      </c>
      <c r="F7074">
        <v>269.76</v>
      </c>
      <c r="H7074" t="s">
        <v>1536</v>
      </c>
    </row>
    <row r="7075" spans="2:8" x14ac:dyDescent="0.2">
      <c r="B7075" t="s">
        <v>4428</v>
      </c>
      <c r="C7075" t="s">
        <v>12944</v>
      </c>
      <c r="D7075" t="s">
        <v>613</v>
      </c>
      <c r="E7075" t="s">
        <v>10401</v>
      </c>
      <c r="F7075">
        <v>438.7</v>
      </c>
      <c r="H7075" t="s">
        <v>4620</v>
      </c>
    </row>
    <row r="7076" spans="2:8" x14ac:dyDescent="0.2">
      <c r="B7076" t="s">
        <v>4428</v>
      </c>
      <c r="C7076" t="s">
        <v>12944</v>
      </c>
      <c r="D7076" t="s">
        <v>613</v>
      </c>
      <c r="E7076" t="s">
        <v>10403</v>
      </c>
      <c r="F7076">
        <v>232.88</v>
      </c>
      <c r="H7076" t="s">
        <v>4616</v>
      </c>
    </row>
    <row r="7077" spans="2:8" x14ac:dyDescent="0.2">
      <c r="B7077" t="s">
        <v>4428</v>
      </c>
      <c r="C7077" t="s">
        <v>12944</v>
      </c>
      <c r="D7077" t="s">
        <v>613</v>
      </c>
      <c r="E7077" t="s">
        <v>10404</v>
      </c>
      <c r="F7077">
        <v>5.28</v>
      </c>
      <c r="H7077" t="s">
        <v>4283</v>
      </c>
    </row>
    <row r="7078" spans="2:8" x14ac:dyDescent="0.2">
      <c r="B7078" t="s">
        <v>4428</v>
      </c>
      <c r="C7078" t="s">
        <v>12944</v>
      </c>
      <c r="D7078" t="s">
        <v>613</v>
      </c>
      <c r="E7078" t="s">
        <v>10405</v>
      </c>
      <c r="F7078">
        <v>12.4</v>
      </c>
      <c r="H7078" t="s">
        <v>4604</v>
      </c>
    </row>
    <row r="7079" spans="2:8" x14ac:dyDescent="0.2">
      <c r="B7079" t="s">
        <v>4428</v>
      </c>
      <c r="C7079" t="s">
        <v>12944</v>
      </c>
      <c r="D7079" t="s">
        <v>613</v>
      </c>
      <c r="E7079" t="s">
        <v>10406</v>
      </c>
      <c r="F7079">
        <v>892.38</v>
      </c>
      <c r="H7079" t="s">
        <v>4176</v>
      </c>
    </row>
    <row r="7080" spans="2:8" x14ac:dyDescent="0.2">
      <c r="B7080" t="s">
        <v>4428</v>
      </c>
      <c r="C7080" t="s">
        <v>12944</v>
      </c>
      <c r="D7080" t="s">
        <v>613</v>
      </c>
      <c r="E7080" t="s">
        <v>10407</v>
      </c>
      <c r="F7080">
        <v>53.5</v>
      </c>
      <c r="H7080" t="s">
        <v>4648</v>
      </c>
    </row>
    <row r="7081" spans="2:8" x14ac:dyDescent="0.2">
      <c r="B7081" t="s">
        <v>4428</v>
      </c>
      <c r="C7081" t="s">
        <v>12944</v>
      </c>
      <c r="D7081" t="s">
        <v>613</v>
      </c>
      <c r="E7081" t="s">
        <v>10408</v>
      </c>
      <c r="F7081">
        <v>166.2</v>
      </c>
      <c r="H7081" t="s">
        <v>2016</v>
      </c>
    </row>
    <row r="7082" spans="2:8" x14ac:dyDescent="0.2">
      <c r="B7082" t="s">
        <v>4428</v>
      </c>
      <c r="C7082" t="s">
        <v>12944</v>
      </c>
      <c r="D7082" t="s">
        <v>613</v>
      </c>
      <c r="E7082" t="s">
        <v>10409</v>
      </c>
      <c r="F7082">
        <v>159.80000000000001</v>
      </c>
      <c r="H7082" t="s">
        <v>2017</v>
      </c>
    </row>
    <row r="7083" spans="2:8" x14ac:dyDescent="0.2">
      <c r="B7083" t="s">
        <v>4428</v>
      </c>
      <c r="C7083" t="s">
        <v>12944</v>
      </c>
      <c r="D7083" t="s">
        <v>613</v>
      </c>
      <c r="E7083" t="s">
        <v>10410</v>
      </c>
      <c r="F7083">
        <v>53.5</v>
      </c>
      <c r="H7083" t="s">
        <v>1595</v>
      </c>
    </row>
    <row r="7084" spans="2:8" x14ac:dyDescent="0.2">
      <c r="B7084" t="s">
        <v>4428</v>
      </c>
      <c r="C7084" t="s">
        <v>12944</v>
      </c>
      <c r="D7084" t="s">
        <v>613</v>
      </c>
      <c r="E7084" t="s">
        <v>10411</v>
      </c>
      <c r="F7084">
        <v>53.5</v>
      </c>
      <c r="H7084" t="s">
        <v>1597</v>
      </c>
    </row>
    <row r="7085" spans="2:8" x14ac:dyDescent="0.2">
      <c r="B7085" t="s">
        <v>4428</v>
      </c>
      <c r="C7085" t="s">
        <v>12944</v>
      </c>
      <c r="D7085" t="s">
        <v>613</v>
      </c>
      <c r="E7085" t="s">
        <v>10412</v>
      </c>
      <c r="F7085">
        <v>224</v>
      </c>
      <c r="H7085" t="s">
        <v>1563</v>
      </c>
    </row>
    <row r="7086" spans="2:8" x14ac:dyDescent="0.2">
      <c r="B7086" t="s">
        <v>4428</v>
      </c>
      <c r="C7086" t="s">
        <v>12944</v>
      </c>
      <c r="D7086" t="s">
        <v>613</v>
      </c>
      <c r="E7086" t="s">
        <v>10413</v>
      </c>
      <c r="F7086">
        <v>880.92</v>
      </c>
      <c r="H7086" t="s">
        <v>1578</v>
      </c>
    </row>
    <row r="7087" spans="2:8" x14ac:dyDescent="0.2">
      <c r="B7087" t="s">
        <v>4428</v>
      </c>
      <c r="C7087" t="s">
        <v>12944</v>
      </c>
      <c r="D7087" t="s">
        <v>613</v>
      </c>
      <c r="E7087" t="s">
        <v>10414</v>
      </c>
      <c r="F7087">
        <v>42.84</v>
      </c>
      <c r="H7087" t="s">
        <v>1579</v>
      </c>
    </row>
    <row r="7088" spans="2:8" x14ac:dyDescent="0.2">
      <c r="B7088" t="s">
        <v>4428</v>
      </c>
      <c r="C7088" t="s">
        <v>12944</v>
      </c>
      <c r="D7088" t="s">
        <v>554</v>
      </c>
      <c r="E7088" t="s">
        <v>10415</v>
      </c>
      <c r="F7088">
        <v>10486</v>
      </c>
      <c r="H7088" t="s">
        <v>4335</v>
      </c>
    </row>
    <row r="7089" spans="2:8" x14ac:dyDescent="0.2">
      <c r="B7089" t="s">
        <v>4428</v>
      </c>
      <c r="C7089" t="s">
        <v>12944</v>
      </c>
      <c r="D7089" t="s">
        <v>613</v>
      </c>
      <c r="E7089" t="s">
        <v>10416</v>
      </c>
      <c r="F7089">
        <v>108.24</v>
      </c>
      <c r="H7089" t="s">
        <v>2508</v>
      </c>
    </row>
    <row r="7090" spans="2:8" x14ac:dyDescent="0.2">
      <c r="B7090" t="s">
        <v>4428</v>
      </c>
      <c r="C7090" t="s">
        <v>12944</v>
      </c>
      <c r="D7090" t="s">
        <v>613</v>
      </c>
      <c r="E7090" t="s">
        <v>10417</v>
      </c>
      <c r="F7090">
        <v>63.12</v>
      </c>
      <c r="H7090" t="s">
        <v>2015</v>
      </c>
    </row>
    <row r="7091" spans="2:8" x14ac:dyDescent="0.2">
      <c r="B7091" t="s">
        <v>4428</v>
      </c>
      <c r="C7091" t="s">
        <v>12944</v>
      </c>
      <c r="D7091" t="s">
        <v>613</v>
      </c>
      <c r="E7091" t="s">
        <v>10421</v>
      </c>
      <c r="F7091">
        <v>190.08</v>
      </c>
      <c r="H7091" t="s">
        <v>4665</v>
      </c>
    </row>
    <row r="7092" spans="2:8" x14ac:dyDescent="0.2">
      <c r="B7092" t="s">
        <v>4428</v>
      </c>
      <c r="C7092" t="s">
        <v>12944</v>
      </c>
      <c r="D7092" t="s">
        <v>613</v>
      </c>
      <c r="E7092" t="s">
        <v>10422</v>
      </c>
      <c r="F7092">
        <v>349.32</v>
      </c>
      <c r="H7092" t="s">
        <v>4616</v>
      </c>
    </row>
    <row r="7093" spans="2:8" x14ac:dyDescent="0.2">
      <c r="B7093" t="s">
        <v>4428</v>
      </c>
      <c r="C7093" t="s">
        <v>12944</v>
      </c>
      <c r="D7093" t="s">
        <v>613</v>
      </c>
      <c r="E7093" t="s">
        <v>10423</v>
      </c>
      <c r="F7093">
        <v>2677.14</v>
      </c>
      <c r="H7093" t="s">
        <v>4176</v>
      </c>
    </row>
    <row r="7094" spans="2:8" x14ac:dyDescent="0.2">
      <c r="B7094" t="s">
        <v>4428</v>
      </c>
      <c r="C7094" t="s">
        <v>12944</v>
      </c>
      <c r="D7094" t="s">
        <v>613</v>
      </c>
      <c r="E7094" t="s">
        <v>10424</v>
      </c>
      <c r="F7094">
        <v>28.92</v>
      </c>
      <c r="H7094" t="s">
        <v>4603</v>
      </c>
    </row>
    <row r="7095" spans="2:8" x14ac:dyDescent="0.2">
      <c r="B7095" t="s">
        <v>4428</v>
      </c>
      <c r="C7095" t="s">
        <v>12944</v>
      </c>
      <c r="D7095" t="s">
        <v>613</v>
      </c>
      <c r="E7095" t="s">
        <v>10425</v>
      </c>
      <c r="F7095">
        <v>107</v>
      </c>
      <c r="H7095" t="s">
        <v>4648</v>
      </c>
    </row>
    <row r="7096" spans="2:8" x14ac:dyDescent="0.2">
      <c r="B7096" t="s">
        <v>4428</v>
      </c>
      <c r="C7096" t="s">
        <v>12944</v>
      </c>
      <c r="D7096" t="s">
        <v>613</v>
      </c>
      <c r="E7096" t="s">
        <v>10426</v>
      </c>
      <c r="F7096">
        <v>374.5</v>
      </c>
      <c r="H7096" t="s">
        <v>4648</v>
      </c>
    </row>
    <row r="7097" spans="2:8" x14ac:dyDescent="0.2">
      <c r="B7097" t="s">
        <v>4428</v>
      </c>
      <c r="C7097" t="s">
        <v>12944</v>
      </c>
      <c r="D7097" t="s">
        <v>554</v>
      </c>
      <c r="E7097" t="s">
        <v>10427</v>
      </c>
      <c r="F7097">
        <v>12502</v>
      </c>
      <c r="H7097" t="s">
        <v>4319</v>
      </c>
    </row>
    <row r="7098" spans="2:8" x14ac:dyDescent="0.2">
      <c r="B7098" t="s">
        <v>4428</v>
      </c>
      <c r="C7098" t="s">
        <v>12944</v>
      </c>
      <c r="D7098" t="s">
        <v>554</v>
      </c>
      <c r="E7098" t="s">
        <v>10428</v>
      </c>
      <c r="F7098">
        <v>6251</v>
      </c>
      <c r="H7098" t="s">
        <v>4319</v>
      </c>
    </row>
    <row r="7099" spans="2:8" x14ac:dyDescent="0.2">
      <c r="B7099" t="s">
        <v>4428</v>
      </c>
      <c r="C7099" t="s">
        <v>12944</v>
      </c>
      <c r="D7099" t="s">
        <v>613</v>
      </c>
      <c r="E7099" t="s">
        <v>10429</v>
      </c>
      <c r="F7099">
        <v>497.16</v>
      </c>
      <c r="H7099" t="s">
        <v>1701</v>
      </c>
    </row>
    <row r="7100" spans="2:8" x14ac:dyDescent="0.2">
      <c r="B7100" t="s">
        <v>4428</v>
      </c>
      <c r="C7100" t="s">
        <v>12944</v>
      </c>
      <c r="D7100" t="s">
        <v>613</v>
      </c>
      <c r="E7100" t="s">
        <v>10430</v>
      </c>
      <c r="F7100">
        <v>378.72</v>
      </c>
      <c r="H7100" t="s">
        <v>2015</v>
      </c>
    </row>
    <row r="7101" spans="2:8" x14ac:dyDescent="0.2">
      <c r="B7101" t="s">
        <v>4428</v>
      </c>
      <c r="C7101" t="s">
        <v>12944</v>
      </c>
      <c r="D7101" t="s">
        <v>1137</v>
      </c>
      <c r="E7101" t="s">
        <v>10431</v>
      </c>
      <c r="F7101">
        <v>412.5</v>
      </c>
      <c r="G7101" t="s">
        <v>1219</v>
      </c>
    </row>
    <row r="7102" spans="2:8" x14ac:dyDescent="0.2">
      <c r="B7102" t="s">
        <v>4428</v>
      </c>
      <c r="C7102" t="s">
        <v>12944</v>
      </c>
      <c r="D7102" t="s">
        <v>613</v>
      </c>
      <c r="E7102" t="s">
        <v>10441</v>
      </c>
      <c r="F7102">
        <v>63.36</v>
      </c>
      <c r="H7102" t="s">
        <v>4665</v>
      </c>
    </row>
    <row r="7103" spans="2:8" x14ac:dyDescent="0.2">
      <c r="B7103" t="s">
        <v>4428</v>
      </c>
      <c r="C7103" t="s">
        <v>12944</v>
      </c>
      <c r="D7103" t="s">
        <v>613</v>
      </c>
      <c r="E7103" t="s">
        <v>10442</v>
      </c>
      <c r="F7103">
        <v>116.44</v>
      </c>
      <c r="H7103" t="s">
        <v>4616</v>
      </c>
    </row>
    <row r="7104" spans="2:8" x14ac:dyDescent="0.2">
      <c r="B7104" t="s">
        <v>4428</v>
      </c>
      <c r="C7104" t="s">
        <v>12944</v>
      </c>
      <c r="D7104" t="s">
        <v>613</v>
      </c>
      <c r="E7104" t="s">
        <v>10443</v>
      </c>
      <c r="F7104">
        <v>892.38</v>
      </c>
      <c r="H7104" t="s">
        <v>4176</v>
      </c>
    </row>
    <row r="7105" spans="2:8" x14ac:dyDescent="0.2">
      <c r="B7105" t="s">
        <v>4428</v>
      </c>
      <c r="C7105" t="s">
        <v>12944</v>
      </c>
      <c r="D7105" t="s">
        <v>613</v>
      </c>
      <c r="E7105" t="s">
        <v>10444</v>
      </c>
      <c r="F7105">
        <v>9.64</v>
      </c>
      <c r="H7105" t="s">
        <v>4603</v>
      </c>
    </row>
    <row r="7106" spans="2:8" x14ac:dyDescent="0.2">
      <c r="B7106" t="s">
        <v>4428</v>
      </c>
      <c r="C7106" t="s">
        <v>12944</v>
      </c>
      <c r="D7106" t="s">
        <v>613</v>
      </c>
      <c r="E7106" t="s">
        <v>10445</v>
      </c>
      <c r="F7106">
        <v>53.5</v>
      </c>
      <c r="H7106" t="s">
        <v>4648</v>
      </c>
    </row>
    <row r="7107" spans="2:8" x14ac:dyDescent="0.2">
      <c r="B7107" t="s">
        <v>4428</v>
      </c>
      <c r="C7107" t="s">
        <v>12944</v>
      </c>
      <c r="D7107" t="s">
        <v>613</v>
      </c>
      <c r="E7107" t="s">
        <v>10446</v>
      </c>
      <c r="F7107">
        <v>53.5</v>
      </c>
      <c r="H7107" t="s">
        <v>1595</v>
      </c>
    </row>
    <row r="7108" spans="2:8" x14ac:dyDescent="0.2">
      <c r="B7108" t="s">
        <v>4428</v>
      </c>
      <c r="C7108" t="s">
        <v>12944</v>
      </c>
      <c r="D7108" t="s">
        <v>613</v>
      </c>
      <c r="E7108" t="s">
        <v>10447</v>
      </c>
      <c r="F7108">
        <v>53.5</v>
      </c>
      <c r="H7108" t="s">
        <v>1597</v>
      </c>
    </row>
    <row r="7109" spans="2:8" x14ac:dyDescent="0.2">
      <c r="B7109" t="s">
        <v>4428</v>
      </c>
      <c r="C7109" t="s">
        <v>12944</v>
      </c>
      <c r="D7109" t="s">
        <v>554</v>
      </c>
      <c r="E7109" t="s">
        <v>10448</v>
      </c>
      <c r="F7109">
        <v>4395</v>
      </c>
      <c r="H7109" t="s">
        <v>4266</v>
      </c>
    </row>
    <row r="7110" spans="2:8" x14ac:dyDescent="0.2">
      <c r="B7110" t="s">
        <v>4428</v>
      </c>
      <c r="C7110" t="s">
        <v>12944</v>
      </c>
      <c r="D7110" t="s">
        <v>613</v>
      </c>
      <c r="E7110" t="s">
        <v>10449</v>
      </c>
      <c r="F7110">
        <v>165.72</v>
      </c>
      <c r="H7110" t="s">
        <v>1701</v>
      </c>
    </row>
    <row r="7111" spans="2:8" x14ac:dyDescent="0.2">
      <c r="B7111" t="s">
        <v>4428</v>
      </c>
      <c r="C7111" t="s">
        <v>12944</v>
      </c>
      <c r="D7111" t="s">
        <v>613</v>
      </c>
      <c r="E7111" t="s">
        <v>10450</v>
      </c>
      <c r="F7111">
        <v>126.24</v>
      </c>
      <c r="H7111" t="s">
        <v>2015</v>
      </c>
    </row>
    <row r="7112" spans="2:8" x14ac:dyDescent="0.2">
      <c r="B7112" t="s">
        <v>4428</v>
      </c>
      <c r="C7112" t="s">
        <v>12944</v>
      </c>
      <c r="D7112" t="s">
        <v>613</v>
      </c>
      <c r="E7112" t="s">
        <v>10452</v>
      </c>
      <c r="F7112">
        <v>58.22</v>
      </c>
      <c r="H7112" t="s">
        <v>4616</v>
      </c>
    </row>
    <row r="7113" spans="2:8" x14ac:dyDescent="0.2">
      <c r="B7113" t="s">
        <v>4428</v>
      </c>
      <c r="C7113" t="s">
        <v>12944</v>
      </c>
      <c r="D7113" t="s">
        <v>613</v>
      </c>
      <c r="E7113" t="s">
        <v>10453</v>
      </c>
      <c r="F7113">
        <v>924.48</v>
      </c>
      <c r="H7113" t="s">
        <v>4619</v>
      </c>
    </row>
    <row r="7114" spans="2:8" x14ac:dyDescent="0.2">
      <c r="B7114" t="s">
        <v>4428</v>
      </c>
      <c r="C7114" t="s">
        <v>12944</v>
      </c>
      <c r="D7114" t="s">
        <v>613</v>
      </c>
      <c r="E7114" t="s">
        <v>10454</v>
      </c>
      <c r="F7114">
        <v>1275.44</v>
      </c>
      <c r="H7114" t="s">
        <v>4178</v>
      </c>
    </row>
    <row r="7115" spans="2:8" x14ac:dyDescent="0.2">
      <c r="B7115" t="s">
        <v>4428</v>
      </c>
      <c r="C7115" t="s">
        <v>12944</v>
      </c>
      <c r="D7115" t="s">
        <v>613</v>
      </c>
      <c r="E7115" t="s">
        <v>10455</v>
      </c>
      <c r="F7115">
        <v>214</v>
      </c>
      <c r="H7115" t="s">
        <v>4415</v>
      </c>
    </row>
    <row r="7116" spans="2:8" x14ac:dyDescent="0.2">
      <c r="B7116" t="s">
        <v>4428</v>
      </c>
      <c r="C7116" t="s">
        <v>12944</v>
      </c>
      <c r="D7116" t="s">
        <v>613</v>
      </c>
      <c r="E7116" t="s">
        <v>10456</v>
      </c>
      <c r="F7116">
        <v>160.5</v>
      </c>
      <c r="H7116" t="s">
        <v>2076</v>
      </c>
    </row>
    <row r="7117" spans="2:8" x14ac:dyDescent="0.2">
      <c r="B7117" t="s">
        <v>4428</v>
      </c>
      <c r="C7117" t="s">
        <v>12944</v>
      </c>
      <c r="D7117" t="s">
        <v>554</v>
      </c>
      <c r="E7117" t="s">
        <v>10457</v>
      </c>
      <c r="F7117">
        <v>7222</v>
      </c>
      <c r="H7117" t="s">
        <v>4795</v>
      </c>
    </row>
    <row r="7118" spans="2:8" x14ac:dyDescent="0.2">
      <c r="B7118" t="s">
        <v>4428</v>
      </c>
      <c r="C7118" t="s">
        <v>12944</v>
      </c>
      <c r="D7118" t="s">
        <v>554</v>
      </c>
      <c r="E7118" t="s">
        <v>10458</v>
      </c>
      <c r="F7118">
        <v>1750</v>
      </c>
      <c r="H7118" t="s">
        <v>4884</v>
      </c>
    </row>
    <row r="7119" spans="2:8" x14ac:dyDescent="0.2">
      <c r="B7119" t="s">
        <v>4428</v>
      </c>
      <c r="C7119" t="s">
        <v>12944</v>
      </c>
      <c r="D7119" t="s">
        <v>613</v>
      </c>
      <c r="E7119" t="s">
        <v>10459</v>
      </c>
      <c r="F7119">
        <v>1.54</v>
      </c>
      <c r="G7119" t="s">
        <v>10460</v>
      </c>
    </row>
    <row r="7120" spans="2:8" x14ac:dyDescent="0.2">
      <c r="B7120" t="s">
        <v>4428</v>
      </c>
      <c r="C7120" t="s">
        <v>12944</v>
      </c>
      <c r="D7120" t="s">
        <v>613</v>
      </c>
      <c r="E7120" t="s">
        <v>10470</v>
      </c>
      <c r="F7120">
        <v>1.0900000000000001</v>
      </c>
      <c r="G7120" t="s">
        <v>8182</v>
      </c>
    </row>
    <row r="7121" spans="2:8" x14ac:dyDescent="0.2">
      <c r="B7121" t="s">
        <v>4428</v>
      </c>
      <c r="C7121" t="s">
        <v>12944</v>
      </c>
      <c r="D7121" t="s">
        <v>613</v>
      </c>
      <c r="E7121" t="s">
        <v>10485</v>
      </c>
      <c r="F7121">
        <v>46.32</v>
      </c>
      <c r="H7121" t="s">
        <v>4248</v>
      </c>
    </row>
    <row r="7122" spans="2:8" x14ac:dyDescent="0.2">
      <c r="B7122" t="s">
        <v>4428</v>
      </c>
      <c r="C7122" t="s">
        <v>12944</v>
      </c>
      <c r="D7122" t="s">
        <v>613</v>
      </c>
      <c r="E7122" t="s">
        <v>10486</v>
      </c>
      <c r="F7122">
        <v>116.44</v>
      </c>
      <c r="H7122" t="s">
        <v>4616</v>
      </c>
    </row>
    <row r="7123" spans="2:8" x14ac:dyDescent="0.2">
      <c r="B7123" t="s">
        <v>4428</v>
      </c>
      <c r="C7123" t="s">
        <v>12944</v>
      </c>
      <c r="D7123" t="s">
        <v>613</v>
      </c>
      <c r="E7123" t="s">
        <v>10487</v>
      </c>
      <c r="F7123">
        <v>10.56</v>
      </c>
      <c r="H7123" t="s">
        <v>4283</v>
      </c>
    </row>
    <row r="7124" spans="2:8" x14ac:dyDescent="0.2">
      <c r="B7124" t="s">
        <v>4428</v>
      </c>
      <c r="C7124" t="s">
        <v>12944</v>
      </c>
      <c r="D7124" t="s">
        <v>613</v>
      </c>
      <c r="E7124" t="s">
        <v>10488</v>
      </c>
      <c r="F7124">
        <v>594.91999999999996</v>
      </c>
      <c r="H7124" t="s">
        <v>4176</v>
      </c>
    </row>
    <row r="7125" spans="2:8" x14ac:dyDescent="0.2">
      <c r="B7125" t="s">
        <v>4428</v>
      </c>
      <c r="C7125" t="s">
        <v>12944</v>
      </c>
      <c r="D7125" t="s">
        <v>613</v>
      </c>
      <c r="E7125" t="s">
        <v>10489</v>
      </c>
      <c r="F7125">
        <v>107</v>
      </c>
      <c r="H7125" t="s">
        <v>4648</v>
      </c>
    </row>
    <row r="7126" spans="2:8" x14ac:dyDescent="0.2">
      <c r="B7126" t="s">
        <v>4428</v>
      </c>
      <c r="C7126" t="s">
        <v>12944</v>
      </c>
      <c r="D7126" t="s">
        <v>613</v>
      </c>
      <c r="E7126" t="s">
        <v>10490</v>
      </c>
      <c r="F7126">
        <v>126.24</v>
      </c>
      <c r="H7126" t="s">
        <v>2015</v>
      </c>
    </row>
    <row r="7127" spans="2:8" x14ac:dyDescent="0.2">
      <c r="B7127" t="s">
        <v>4428</v>
      </c>
      <c r="C7127" t="s">
        <v>12944</v>
      </c>
      <c r="D7127" t="s">
        <v>613</v>
      </c>
      <c r="E7127" t="s">
        <v>10491</v>
      </c>
      <c r="F7127">
        <v>247.8</v>
      </c>
      <c r="H7127" t="s">
        <v>2501</v>
      </c>
    </row>
    <row r="7128" spans="2:8" x14ac:dyDescent="0.2">
      <c r="B7128" t="s">
        <v>4428</v>
      </c>
      <c r="C7128" t="s">
        <v>12944</v>
      </c>
      <c r="D7128" t="s">
        <v>554</v>
      </c>
      <c r="E7128" t="s">
        <v>10492</v>
      </c>
      <c r="F7128">
        <v>8966</v>
      </c>
      <c r="H7128" t="s">
        <v>4326</v>
      </c>
    </row>
    <row r="7129" spans="2:8" x14ac:dyDescent="0.2">
      <c r="B7129" t="s">
        <v>4428</v>
      </c>
      <c r="C7129" t="s">
        <v>12944</v>
      </c>
      <c r="D7129" t="s">
        <v>613</v>
      </c>
      <c r="E7129" t="s">
        <v>10495</v>
      </c>
      <c r="F7129">
        <v>3.41</v>
      </c>
      <c r="G7129" t="s">
        <v>10496</v>
      </c>
    </row>
    <row r="7130" spans="2:8" x14ac:dyDescent="0.2">
      <c r="B7130" t="s">
        <v>4428</v>
      </c>
      <c r="C7130" t="s">
        <v>12944</v>
      </c>
      <c r="D7130" t="s">
        <v>613</v>
      </c>
      <c r="E7130" t="s">
        <v>10506</v>
      </c>
      <c r="F7130">
        <v>0.02</v>
      </c>
      <c r="G7130" t="s">
        <v>6694</v>
      </c>
    </row>
    <row r="7131" spans="2:8" x14ac:dyDescent="0.2">
      <c r="B7131" t="s">
        <v>4428</v>
      </c>
      <c r="C7131" t="s">
        <v>12944</v>
      </c>
      <c r="D7131" t="s">
        <v>613</v>
      </c>
      <c r="E7131" t="s">
        <v>10507</v>
      </c>
      <c r="F7131">
        <v>0.6</v>
      </c>
      <c r="G7131" t="s">
        <v>8294</v>
      </c>
    </row>
    <row r="7132" spans="2:8" x14ac:dyDescent="0.2">
      <c r="B7132" t="s">
        <v>4428</v>
      </c>
      <c r="C7132" t="s">
        <v>12944</v>
      </c>
      <c r="D7132" t="s">
        <v>613</v>
      </c>
      <c r="E7132" t="s">
        <v>10521</v>
      </c>
      <c r="F7132">
        <v>0.63</v>
      </c>
      <c r="G7132" t="s">
        <v>10522</v>
      </c>
    </row>
    <row r="7133" spans="2:8" x14ac:dyDescent="0.2">
      <c r="B7133" t="s">
        <v>4428</v>
      </c>
      <c r="C7133" t="s">
        <v>12944</v>
      </c>
      <c r="D7133" t="s">
        <v>613</v>
      </c>
      <c r="E7133" t="s">
        <v>10533</v>
      </c>
      <c r="F7133">
        <v>4</v>
      </c>
      <c r="G7133" t="s">
        <v>10534</v>
      </c>
    </row>
    <row r="7134" spans="2:8" x14ac:dyDescent="0.2">
      <c r="B7134" t="s">
        <v>4428</v>
      </c>
      <c r="C7134" t="s">
        <v>12944</v>
      </c>
      <c r="D7134" t="s">
        <v>613</v>
      </c>
      <c r="E7134" t="s">
        <v>10535</v>
      </c>
      <c r="F7134">
        <v>2.4</v>
      </c>
      <c r="G7134" t="s">
        <v>6936</v>
      </c>
    </row>
    <row r="7135" spans="2:8" x14ac:dyDescent="0.2">
      <c r="B7135" t="s">
        <v>4428</v>
      </c>
      <c r="C7135" t="s">
        <v>12944</v>
      </c>
      <c r="D7135" t="s">
        <v>613</v>
      </c>
      <c r="E7135" t="s">
        <v>10551</v>
      </c>
      <c r="F7135">
        <v>1.96</v>
      </c>
      <c r="G7135" t="s">
        <v>7873</v>
      </c>
    </row>
    <row r="7136" spans="2:8" x14ac:dyDescent="0.2">
      <c r="B7136" t="s">
        <v>4428</v>
      </c>
      <c r="C7136" t="s">
        <v>12944</v>
      </c>
      <c r="D7136" t="s">
        <v>613</v>
      </c>
      <c r="E7136" t="s">
        <v>10563</v>
      </c>
      <c r="F7136">
        <v>5.88</v>
      </c>
      <c r="H7136" t="s">
        <v>5286</v>
      </c>
    </row>
    <row r="7137" spans="2:8" x14ac:dyDescent="0.2">
      <c r="B7137" t="s">
        <v>4428</v>
      </c>
      <c r="C7137" t="s">
        <v>12944</v>
      </c>
      <c r="D7137" t="s">
        <v>613</v>
      </c>
      <c r="E7137" t="s">
        <v>10564</v>
      </c>
      <c r="F7137">
        <v>30.36</v>
      </c>
      <c r="H7137" t="s">
        <v>4858</v>
      </c>
    </row>
    <row r="7138" spans="2:8" x14ac:dyDescent="0.2">
      <c r="B7138" t="s">
        <v>4428</v>
      </c>
      <c r="C7138" t="s">
        <v>12944</v>
      </c>
      <c r="D7138" t="s">
        <v>613</v>
      </c>
      <c r="E7138" t="s">
        <v>10565</v>
      </c>
      <c r="F7138">
        <v>15.04</v>
      </c>
      <c r="H7138" t="s">
        <v>4600</v>
      </c>
    </row>
    <row r="7139" spans="2:8" x14ac:dyDescent="0.2">
      <c r="B7139" t="s">
        <v>4428</v>
      </c>
      <c r="C7139" t="s">
        <v>12944</v>
      </c>
      <c r="D7139" t="s">
        <v>613</v>
      </c>
      <c r="E7139" t="s">
        <v>10566</v>
      </c>
      <c r="F7139">
        <v>105.64</v>
      </c>
      <c r="H7139" t="s">
        <v>4142</v>
      </c>
    </row>
    <row r="7140" spans="2:8" x14ac:dyDescent="0.2">
      <c r="B7140" t="s">
        <v>4428</v>
      </c>
      <c r="C7140" t="s">
        <v>12944</v>
      </c>
      <c r="D7140" t="s">
        <v>613</v>
      </c>
      <c r="E7140" t="s">
        <v>10567</v>
      </c>
      <c r="F7140">
        <v>58.22</v>
      </c>
      <c r="H7140" t="s">
        <v>4616</v>
      </c>
    </row>
    <row r="7141" spans="2:8" x14ac:dyDescent="0.2">
      <c r="B7141" t="s">
        <v>4428</v>
      </c>
      <c r="C7141" t="s">
        <v>12944</v>
      </c>
      <c r="D7141" t="s">
        <v>613</v>
      </c>
      <c r="E7141" t="s">
        <v>10568</v>
      </c>
      <c r="F7141">
        <v>10.56</v>
      </c>
      <c r="H7141" t="s">
        <v>4283</v>
      </c>
    </row>
    <row r="7142" spans="2:8" x14ac:dyDescent="0.2">
      <c r="B7142" t="s">
        <v>4428</v>
      </c>
      <c r="C7142" t="s">
        <v>12944</v>
      </c>
      <c r="D7142" t="s">
        <v>613</v>
      </c>
      <c r="E7142" t="s">
        <v>10569</v>
      </c>
      <c r="F7142">
        <v>12.4</v>
      </c>
      <c r="H7142" t="s">
        <v>4604</v>
      </c>
    </row>
    <row r="7143" spans="2:8" x14ac:dyDescent="0.2">
      <c r="B7143" t="s">
        <v>4428</v>
      </c>
      <c r="C7143" t="s">
        <v>12944</v>
      </c>
      <c r="D7143" t="s">
        <v>613</v>
      </c>
      <c r="E7143" t="s">
        <v>10570</v>
      </c>
      <c r="F7143">
        <v>12.4</v>
      </c>
      <c r="H7143" t="s">
        <v>4604</v>
      </c>
    </row>
    <row r="7144" spans="2:8" x14ac:dyDescent="0.2">
      <c r="B7144" t="s">
        <v>4428</v>
      </c>
      <c r="C7144" t="s">
        <v>12944</v>
      </c>
      <c r="D7144" t="s">
        <v>613</v>
      </c>
      <c r="E7144" t="s">
        <v>10571</v>
      </c>
      <c r="F7144">
        <v>616.32000000000005</v>
      </c>
      <c r="H7144" t="s">
        <v>4619</v>
      </c>
    </row>
    <row r="7145" spans="2:8" x14ac:dyDescent="0.2">
      <c r="B7145" t="s">
        <v>4428</v>
      </c>
      <c r="C7145" t="s">
        <v>12944</v>
      </c>
      <c r="D7145" t="s">
        <v>613</v>
      </c>
      <c r="E7145" t="s">
        <v>10572</v>
      </c>
      <c r="F7145">
        <v>145.52000000000001</v>
      </c>
      <c r="H7145" t="s">
        <v>4238</v>
      </c>
    </row>
    <row r="7146" spans="2:8" x14ac:dyDescent="0.2">
      <c r="B7146" t="s">
        <v>4428</v>
      </c>
      <c r="C7146" t="s">
        <v>12944</v>
      </c>
      <c r="D7146" t="s">
        <v>613</v>
      </c>
      <c r="E7146" t="s">
        <v>10573</v>
      </c>
      <c r="F7146">
        <v>395.9</v>
      </c>
      <c r="H7146" t="s">
        <v>4181</v>
      </c>
    </row>
    <row r="7147" spans="2:8" x14ac:dyDescent="0.2">
      <c r="B7147" t="s">
        <v>4428</v>
      </c>
      <c r="C7147" t="s">
        <v>12944</v>
      </c>
      <c r="D7147" t="s">
        <v>613</v>
      </c>
      <c r="E7147" t="s">
        <v>10574</v>
      </c>
      <c r="F7147">
        <v>348</v>
      </c>
      <c r="H7147" t="s">
        <v>4849</v>
      </c>
    </row>
    <row r="7148" spans="2:8" x14ac:dyDescent="0.2">
      <c r="B7148" t="s">
        <v>4428</v>
      </c>
      <c r="C7148" t="s">
        <v>12944</v>
      </c>
      <c r="D7148" t="s">
        <v>613</v>
      </c>
      <c r="E7148" t="s">
        <v>10575</v>
      </c>
      <c r="F7148">
        <v>133.75</v>
      </c>
      <c r="H7148" t="s">
        <v>4415</v>
      </c>
    </row>
    <row r="7149" spans="2:8" x14ac:dyDescent="0.2">
      <c r="B7149" t="s">
        <v>4428</v>
      </c>
      <c r="C7149" t="s">
        <v>12944</v>
      </c>
      <c r="D7149" t="s">
        <v>613</v>
      </c>
      <c r="E7149" t="s">
        <v>10576</v>
      </c>
      <c r="F7149">
        <v>53.5</v>
      </c>
      <c r="H7149" t="s">
        <v>4648</v>
      </c>
    </row>
    <row r="7150" spans="2:8" x14ac:dyDescent="0.2">
      <c r="B7150" t="s">
        <v>4428</v>
      </c>
      <c r="C7150" t="s">
        <v>12944</v>
      </c>
      <c r="D7150" t="s">
        <v>613</v>
      </c>
      <c r="E7150" t="s">
        <v>10577</v>
      </c>
      <c r="F7150">
        <v>53.5</v>
      </c>
      <c r="H7150" t="s">
        <v>4697</v>
      </c>
    </row>
    <row r="7151" spans="2:8" x14ac:dyDescent="0.2">
      <c r="B7151" t="s">
        <v>4428</v>
      </c>
      <c r="C7151" t="s">
        <v>12944</v>
      </c>
      <c r="D7151" t="s">
        <v>613</v>
      </c>
      <c r="E7151" t="s">
        <v>10578</v>
      </c>
      <c r="F7151">
        <v>53.5</v>
      </c>
      <c r="H7151" t="s">
        <v>4622</v>
      </c>
    </row>
    <row r="7152" spans="2:8" x14ac:dyDescent="0.2">
      <c r="B7152" t="s">
        <v>4428</v>
      </c>
      <c r="C7152" t="s">
        <v>12944</v>
      </c>
      <c r="D7152" t="s">
        <v>613</v>
      </c>
      <c r="E7152" t="s">
        <v>10579</v>
      </c>
      <c r="F7152">
        <v>138.5</v>
      </c>
      <c r="H7152" t="s">
        <v>2016</v>
      </c>
    </row>
    <row r="7153" spans="2:8" x14ac:dyDescent="0.2">
      <c r="B7153" t="s">
        <v>4428</v>
      </c>
      <c r="C7153" t="s">
        <v>12944</v>
      </c>
      <c r="D7153" t="s">
        <v>613</v>
      </c>
      <c r="E7153" t="s">
        <v>10580</v>
      </c>
      <c r="F7153">
        <v>159.80000000000001</v>
      </c>
      <c r="H7153" t="s">
        <v>2017</v>
      </c>
    </row>
    <row r="7154" spans="2:8" x14ac:dyDescent="0.2">
      <c r="B7154" t="s">
        <v>4428</v>
      </c>
      <c r="C7154" t="s">
        <v>12944</v>
      </c>
      <c r="D7154" t="s">
        <v>613</v>
      </c>
      <c r="E7154" t="s">
        <v>10581</v>
      </c>
      <c r="F7154">
        <v>285.60000000000002</v>
      </c>
      <c r="H7154" t="s">
        <v>2018</v>
      </c>
    </row>
    <row r="7155" spans="2:8" x14ac:dyDescent="0.2">
      <c r="B7155" t="s">
        <v>4428</v>
      </c>
      <c r="C7155" t="s">
        <v>12944</v>
      </c>
      <c r="D7155" t="s">
        <v>613</v>
      </c>
      <c r="E7155" t="s">
        <v>10582</v>
      </c>
      <c r="F7155">
        <v>55.78</v>
      </c>
      <c r="H7155" t="s">
        <v>2347</v>
      </c>
    </row>
    <row r="7156" spans="2:8" x14ac:dyDescent="0.2">
      <c r="B7156" t="s">
        <v>4428</v>
      </c>
      <c r="C7156" t="s">
        <v>12944</v>
      </c>
      <c r="D7156" t="s">
        <v>613</v>
      </c>
      <c r="E7156" t="s">
        <v>10583</v>
      </c>
      <c r="F7156">
        <v>117.04</v>
      </c>
      <c r="H7156" t="s">
        <v>2509</v>
      </c>
    </row>
    <row r="7157" spans="2:8" x14ac:dyDescent="0.2">
      <c r="B7157" t="s">
        <v>4428</v>
      </c>
      <c r="C7157" t="s">
        <v>12944</v>
      </c>
      <c r="D7157" t="s">
        <v>613</v>
      </c>
      <c r="E7157" t="s">
        <v>10584</v>
      </c>
      <c r="F7157">
        <v>448</v>
      </c>
      <c r="H7157" t="s">
        <v>1563</v>
      </c>
    </row>
    <row r="7158" spans="2:8" x14ac:dyDescent="0.2">
      <c r="B7158" t="s">
        <v>4428</v>
      </c>
      <c r="C7158" t="s">
        <v>12944</v>
      </c>
      <c r="D7158" t="s">
        <v>613</v>
      </c>
      <c r="E7158" t="s">
        <v>10585</v>
      </c>
      <c r="F7158">
        <v>0.96</v>
      </c>
      <c r="H7158" t="s">
        <v>1570</v>
      </c>
    </row>
    <row r="7159" spans="2:8" x14ac:dyDescent="0.2">
      <c r="B7159" t="s">
        <v>4428</v>
      </c>
      <c r="C7159" t="s">
        <v>12944</v>
      </c>
      <c r="D7159" t="s">
        <v>621</v>
      </c>
      <c r="E7159" t="s">
        <v>10586</v>
      </c>
      <c r="F7159">
        <v>212.12</v>
      </c>
      <c r="H7159" t="s">
        <v>1439</v>
      </c>
    </row>
    <row r="7160" spans="2:8" x14ac:dyDescent="0.2">
      <c r="B7160" t="s">
        <v>4428</v>
      </c>
      <c r="C7160" t="s">
        <v>12944</v>
      </c>
      <c r="D7160" t="s">
        <v>621</v>
      </c>
      <c r="E7160" t="s">
        <v>10587</v>
      </c>
      <c r="F7160">
        <v>402.58</v>
      </c>
      <c r="H7160" t="s">
        <v>1545</v>
      </c>
    </row>
    <row r="7161" spans="2:8" x14ac:dyDescent="0.2">
      <c r="B7161" t="s">
        <v>4428</v>
      </c>
      <c r="C7161" t="s">
        <v>12944</v>
      </c>
      <c r="D7161" t="s">
        <v>613</v>
      </c>
      <c r="E7161" t="s">
        <v>10588</v>
      </c>
      <c r="F7161">
        <v>478.29</v>
      </c>
      <c r="H7161" t="s">
        <v>1547</v>
      </c>
    </row>
    <row r="7162" spans="2:8" x14ac:dyDescent="0.2">
      <c r="B7162" t="s">
        <v>4428</v>
      </c>
      <c r="C7162" t="s">
        <v>12944</v>
      </c>
      <c r="D7162" t="s">
        <v>613</v>
      </c>
      <c r="E7162" t="s">
        <v>10589</v>
      </c>
      <c r="F7162">
        <v>29.75</v>
      </c>
      <c r="H7162" t="s">
        <v>1548</v>
      </c>
    </row>
    <row r="7163" spans="2:8" x14ac:dyDescent="0.2">
      <c r="B7163" t="s">
        <v>4428</v>
      </c>
      <c r="C7163" t="s">
        <v>12944</v>
      </c>
      <c r="D7163" t="s">
        <v>613</v>
      </c>
      <c r="E7163" t="s">
        <v>10590</v>
      </c>
      <c r="F7163">
        <v>26.75</v>
      </c>
      <c r="H7163" t="s">
        <v>1549</v>
      </c>
    </row>
    <row r="7164" spans="2:8" x14ac:dyDescent="0.2">
      <c r="B7164" t="s">
        <v>4428</v>
      </c>
      <c r="C7164" t="s">
        <v>12944</v>
      </c>
      <c r="D7164" t="s">
        <v>613</v>
      </c>
      <c r="E7164" t="s">
        <v>10591</v>
      </c>
      <c r="F7164">
        <v>252.6</v>
      </c>
      <c r="H7164" t="s">
        <v>1705</v>
      </c>
    </row>
    <row r="7165" spans="2:8" x14ac:dyDescent="0.2">
      <c r="B7165" t="s">
        <v>4428</v>
      </c>
      <c r="C7165" t="s">
        <v>12944</v>
      </c>
      <c r="D7165" t="s">
        <v>613</v>
      </c>
      <c r="E7165" t="s">
        <v>10592</v>
      </c>
      <c r="F7165">
        <v>37.950000000000003</v>
      </c>
      <c r="H7165" t="s">
        <v>1637</v>
      </c>
    </row>
    <row r="7166" spans="2:8" x14ac:dyDescent="0.2">
      <c r="B7166" t="s">
        <v>4428</v>
      </c>
      <c r="C7166" t="s">
        <v>12944</v>
      </c>
      <c r="D7166" t="s">
        <v>613</v>
      </c>
      <c r="E7166" t="s">
        <v>10593</v>
      </c>
      <c r="F7166">
        <v>113.85</v>
      </c>
      <c r="H7166" t="s">
        <v>1637</v>
      </c>
    </row>
    <row r="7167" spans="2:8" x14ac:dyDescent="0.2">
      <c r="B7167" t="s">
        <v>4428</v>
      </c>
      <c r="C7167" t="s">
        <v>12944</v>
      </c>
      <c r="D7167" t="s">
        <v>613</v>
      </c>
      <c r="E7167" t="s">
        <v>10594</v>
      </c>
      <c r="F7167">
        <v>181.9</v>
      </c>
      <c r="H7167" t="s">
        <v>1735</v>
      </c>
    </row>
    <row r="7168" spans="2:8" x14ac:dyDescent="0.2">
      <c r="B7168" t="s">
        <v>4428</v>
      </c>
      <c r="C7168" t="s">
        <v>12944</v>
      </c>
      <c r="D7168" t="s">
        <v>554</v>
      </c>
      <c r="E7168" t="s">
        <v>10595</v>
      </c>
      <c r="F7168">
        <v>27339</v>
      </c>
      <c r="H7168" t="s">
        <v>4882</v>
      </c>
    </row>
    <row r="7169" spans="2:8" x14ac:dyDescent="0.2">
      <c r="B7169" t="s">
        <v>4428</v>
      </c>
      <c r="C7169" t="s">
        <v>12944</v>
      </c>
      <c r="D7169" t="s">
        <v>613</v>
      </c>
      <c r="E7169" t="s">
        <v>10596</v>
      </c>
      <c r="F7169">
        <v>9.08</v>
      </c>
      <c r="H7169" t="s">
        <v>4600</v>
      </c>
    </row>
    <row r="7170" spans="2:8" x14ac:dyDescent="0.2">
      <c r="B7170" t="s">
        <v>4428</v>
      </c>
      <c r="C7170" t="s">
        <v>12944</v>
      </c>
      <c r="D7170" t="s">
        <v>613</v>
      </c>
      <c r="E7170" t="s">
        <v>10597</v>
      </c>
      <c r="F7170">
        <v>29.11</v>
      </c>
      <c r="H7170" t="s">
        <v>4616</v>
      </c>
    </row>
    <row r="7171" spans="2:8" x14ac:dyDescent="0.2">
      <c r="B7171" t="s">
        <v>4428</v>
      </c>
      <c r="C7171" t="s">
        <v>12944</v>
      </c>
      <c r="D7171" t="s">
        <v>554</v>
      </c>
      <c r="E7171" t="s">
        <v>10598</v>
      </c>
      <c r="F7171">
        <v>6421</v>
      </c>
      <c r="H7171" t="s">
        <v>4945</v>
      </c>
    </row>
    <row r="7172" spans="2:8" x14ac:dyDescent="0.2">
      <c r="B7172" t="s">
        <v>4428</v>
      </c>
      <c r="C7172" t="s">
        <v>12944</v>
      </c>
      <c r="D7172" t="s">
        <v>613</v>
      </c>
      <c r="E7172" t="s">
        <v>10599</v>
      </c>
      <c r="F7172">
        <v>53.5</v>
      </c>
      <c r="H7172" t="s">
        <v>4415</v>
      </c>
    </row>
    <row r="7173" spans="2:8" x14ac:dyDescent="0.2">
      <c r="B7173" t="s">
        <v>4428</v>
      </c>
      <c r="C7173" t="s">
        <v>12944</v>
      </c>
      <c r="D7173" t="s">
        <v>613</v>
      </c>
      <c r="E7173" t="s">
        <v>10600</v>
      </c>
      <c r="F7173">
        <v>318.86</v>
      </c>
      <c r="H7173" t="s">
        <v>4178</v>
      </c>
    </row>
    <row r="7174" spans="2:8" x14ac:dyDescent="0.2">
      <c r="B7174" t="s">
        <v>4428</v>
      </c>
      <c r="C7174" t="s">
        <v>12944</v>
      </c>
      <c r="D7174" t="s">
        <v>613</v>
      </c>
      <c r="E7174" t="s">
        <v>10601</v>
      </c>
      <c r="F7174">
        <v>174</v>
      </c>
      <c r="H7174" t="s">
        <v>4849</v>
      </c>
    </row>
    <row r="7175" spans="2:8" x14ac:dyDescent="0.2">
      <c r="B7175" t="s">
        <v>4428</v>
      </c>
      <c r="C7175" t="s">
        <v>12944</v>
      </c>
      <c r="D7175" t="s">
        <v>613</v>
      </c>
      <c r="E7175" t="s">
        <v>10602</v>
      </c>
      <c r="F7175">
        <v>52.82</v>
      </c>
      <c r="H7175" t="s">
        <v>4142</v>
      </c>
    </row>
    <row r="7176" spans="2:8" x14ac:dyDescent="0.2">
      <c r="B7176" t="s">
        <v>4428</v>
      </c>
      <c r="C7176" t="s">
        <v>12944</v>
      </c>
      <c r="D7176" t="s">
        <v>613</v>
      </c>
      <c r="E7176" t="s">
        <v>10603</v>
      </c>
      <c r="F7176">
        <v>0.96</v>
      </c>
      <c r="H7176" t="s">
        <v>1570</v>
      </c>
    </row>
    <row r="7177" spans="2:8" x14ac:dyDescent="0.2">
      <c r="B7177" t="s">
        <v>4428</v>
      </c>
      <c r="C7177" t="s">
        <v>12944</v>
      </c>
      <c r="D7177" t="s">
        <v>613</v>
      </c>
      <c r="E7177" t="s">
        <v>10604</v>
      </c>
      <c r="F7177">
        <v>53.5</v>
      </c>
      <c r="H7177" t="s">
        <v>4648</v>
      </c>
    </row>
    <row r="7178" spans="2:8" x14ac:dyDescent="0.2">
      <c r="B7178" t="s">
        <v>4428</v>
      </c>
      <c r="C7178" t="s">
        <v>12944</v>
      </c>
      <c r="D7178" t="s">
        <v>613</v>
      </c>
      <c r="E7178" t="s">
        <v>10605</v>
      </c>
      <c r="F7178">
        <v>174</v>
      </c>
      <c r="H7178" t="s">
        <v>4849</v>
      </c>
    </row>
    <row r="7179" spans="2:8" x14ac:dyDescent="0.2">
      <c r="B7179" t="s">
        <v>4428</v>
      </c>
      <c r="C7179" t="s">
        <v>12944</v>
      </c>
      <c r="D7179" t="s">
        <v>617</v>
      </c>
      <c r="E7179" t="s">
        <v>10606</v>
      </c>
      <c r="F7179">
        <v>9.3000000000000007</v>
      </c>
      <c r="G7179" t="s">
        <v>4822</v>
      </c>
    </row>
    <row r="7180" spans="2:8" x14ac:dyDescent="0.2">
      <c r="B7180" t="s">
        <v>4428</v>
      </c>
      <c r="C7180" t="s">
        <v>12944</v>
      </c>
      <c r="D7180" t="s">
        <v>621</v>
      </c>
      <c r="E7180" t="s">
        <v>10609</v>
      </c>
      <c r="F7180">
        <v>138.96</v>
      </c>
      <c r="G7180" t="s">
        <v>4170</v>
      </c>
    </row>
    <row r="7181" spans="2:8" x14ac:dyDescent="0.2">
      <c r="B7181" t="s">
        <v>4428</v>
      </c>
      <c r="C7181" t="s">
        <v>12944</v>
      </c>
      <c r="D7181" t="s">
        <v>621</v>
      </c>
      <c r="E7181" t="s">
        <v>10610</v>
      </c>
      <c r="F7181">
        <v>54.25</v>
      </c>
      <c r="G7181" t="s">
        <v>4173</v>
      </c>
    </row>
    <row r="7182" spans="2:8" x14ac:dyDescent="0.2">
      <c r="B7182" t="s">
        <v>4428</v>
      </c>
      <c r="C7182" t="s">
        <v>12944</v>
      </c>
      <c r="D7182" t="s">
        <v>617</v>
      </c>
      <c r="E7182" t="s">
        <v>10612</v>
      </c>
      <c r="F7182">
        <v>6.38</v>
      </c>
      <c r="G7182" t="s">
        <v>8352</v>
      </c>
    </row>
    <row r="7183" spans="2:8" x14ac:dyDescent="0.2">
      <c r="B7183" t="s">
        <v>4428</v>
      </c>
      <c r="C7183" t="s">
        <v>12944</v>
      </c>
      <c r="D7183" t="s">
        <v>617</v>
      </c>
      <c r="E7183" t="s">
        <v>10613</v>
      </c>
      <c r="F7183">
        <v>2.13</v>
      </c>
      <c r="G7183" t="s">
        <v>7619</v>
      </c>
    </row>
    <row r="7184" spans="2:8" x14ac:dyDescent="0.2">
      <c r="B7184" t="s">
        <v>4428</v>
      </c>
      <c r="C7184" t="s">
        <v>12944</v>
      </c>
      <c r="D7184" t="s">
        <v>617</v>
      </c>
      <c r="E7184" t="s">
        <v>10614</v>
      </c>
      <c r="F7184">
        <v>30.75</v>
      </c>
      <c r="G7184" t="s">
        <v>6489</v>
      </c>
    </row>
    <row r="7185" spans="2:8" x14ac:dyDescent="0.2">
      <c r="B7185" t="s">
        <v>4428</v>
      </c>
      <c r="C7185" t="s">
        <v>12944</v>
      </c>
      <c r="D7185" t="s">
        <v>613</v>
      </c>
      <c r="E7185" t="s">
        <v>10616</v>
      </c>
      <c r="F7185">
        <v>5.88</v>
      </c>
      <c r="H7185" t="s">
        <v>5286</v>
      </c>
    </row>
    <row r="7186" spans="2:8" x14ac:dyDescent="0.2">
      <c r="B7186" t="s">
        <v>4428</v>
      </c>
      <c r="C7186" t="s">
        <v>12944</v>
      </c>
      <c r="D7186" t="s">
        <v>613</v>
      </c>
      <c r="E7186" t="s">
        <v>10617</v>
      </c>
      <c r="F7186">
        <v>34.96</v>
      </c>
      <c r="H7186" t="s">
        <v>4612</v>
      </c>
    </row>
    <row r="7187" spans="2:8" x14ac:dyDescent="0.2">
      <c r="B7187" t="s">
        <v>4428</v>
      </c>
      <c r="C7187" t="s">
        <v>12944</v>
      </c>
      <c r="D7187" t="s">
        <v>613</v>
      </c>
      <c r="E7187" t="s">
        <v>10618</v>
      </c>
      <c r="F7187">
        <v>87.33</v>
      </c>
      <c r="H7187" t="s">
        <v>4616</v>
      </c>
    </row>
    <row r="7188" spans="2:8" x14ac:dyDescent="0.2">
      <c r="B7188" t="s">
        <v>4428</v>
      </c>
      <c r="C7188" t="s">
        <v>12944</v>
      </c>
      <c r="D7188" t="s">
        <v>613</v>
      </c>
      <c r="E7188" t="s">
        <v>10619</v>
      </c>
      <c r="F7188">
        <v>637.72</v>
      </c>
      <c r="H7188" t="s">
        <v>4178</v>
      </c>
    </row>
    <row r="7189" spans="2:8" x14ac:dyDescent="0.2">
      <c r="B7189" t="s">
        <v>4428</v>
      </c>
      <c r="C7189" t="s">
        <v>12944</v>
      </c>
      <c r="D7189" t="s">
        <v>613</v>
      </c>
      <c r="E7189" t="s">
        <v>10620</v>
      </c>
      <c r="F7189">
        <v>203.3</v>
      </c>
      <c r="H7189" t="s">
        <v>4180</v>
      </c>
    </row>
    <row r="7190" spans="2:8" x14ac:dyDescent="0.2">
      <c r="B7190" t="s">
        <v>4428</v>
      </c>
      <c r="C7190" t="s">
        <v>12944</v>
      </c>
      <c r="D7190" t="s">
        <v>613</v>
      </c>
      <c r="E7190" t="s">
        <v>10621</v>
      </c>
      <c r="F7190">
        <v>133.75</v>
      </c>
      <c r="H7190" t="s">
        <v>4415</v>
      </c>
    </row>
    <row r="7191" spans="2:8" x14ac:dyDescent="0.2">
      <c r="B7191" t="s">
        <v>4428</v>
      </c>
      <c r="C7191" t="s">
        <v>12944</v>
      </c>
      <c r="D7191" t="s">
        <v>613</v>
      </c>
      <c r="E7191" t="s">
        <v>10622</v>
      </c>
      <c r="F7191">
        <v>997</v>
      </c>
      <c r="H7191" t="s">
        <v>2348</v>
      </c>
    </row>
    <row r="7192" spans="2:8" x14ac:dyDescent="0.2">
      <c r="B7192" t="s">
        <v>4428</v>
      </c>
      <c r="C7192" t="s">
        <v>12944</v>
      </c>
      <c r="D7192" t="s">
        <v>613</v>
      </c>
      <c r="E7192" t="s">
        <v>10623</v>
      </c>
      <c r="F7192">
        <v>997</v>
      </c>
      <c r="H7192" t="s">
        <v>2349</v>
      </c>
    </row>
    <row r="7193" spans="2:8" x14ac:dyDescent="0.2">
      <c r="B7193" t="s">
        <v>4428</v>
      </c>
      <c r="C7193" t="s">
        <v>12944</v>
      </c>
      <c r="D7193" t="s">
        <v>613</v>
      </c>
      <c r="E7193" t="s">
        <v>10624</v>
      </c>
      <c r="F7193">
        <v>1.35</v>
      </c>
      <c r="H7193" t="s">
        <v>1693</v>
      </c>
    </row>
    <row r="7194" spans="2:8" x14ac:dyDescent="0.2">
      <c r="B7194" t="s">
        <v>4428</v>
      </c>
      <c r="C7194" t="s">
        <v>12944</v>
      </c>
      <c r="D7194" t="s">
        <v>554</v>
      </c>
      <c r="E7194" t="s">
        <v>10625</v>
      </c>
      <c r="F7194">
        <v>11170</v>
      </c>
      <c r="H7194" t="s">
        <v>4892</v>
      </c>
    </row>
    <row r="7195" spans="2:8" x14ac:dyDescent="0.2">
      <c r="B7195" t="s">
        <v>4428</v>
      </c>
      <c r="C7195" t="s">
        <v>12944</v>
      </c>
      <c r="D7195" t="s">
        <v>621</v>
      </c>
      <c r="E7195" t="s">
        <v>10626</v>
      </c>
      <c r="F7195">
        <v>1.23</v>
      </c>
      <c r="G7195" t="s">
        <v>10611</v>
      </c>
    </row>
    <row r="7196" spans="2:8" x14ac:dyDescent="0.2">
      <c r="B7196" t="s">
        <v>4428</v>
      </c>
      <c r="C7196" t="s">
        <v>12944</v>
      </c>
      <c r="D7196" t="s">
        <v>1137</v>
      </c>
      <c r="E7196" t="s">
        <v>10627</v>
      </c>
      <c r="F7196">
        <v>2561</v>
      </c>
      <c r="G7196" t="s">
        <v>2539</v>
      </c>
    </row>
    <row r="7197" spans="2:8" x14ac:dyDescent="0.2">
      <c r="B7197" t="s">
        <v>4428</v>
      </c>
      <c r="C7197" t="s">
        <v>12944</v>
      </c>
      <c r="D7197" t="s">
        <v>554</v>
      </c>
      <c r="E7197" t="s">
        <v>10629</v>
      </c>
      <c r="F7197">
        <v>9709</v>
      </c>
      <c r="G7197" t="s">
        <v>1286</v>
      </c>
    </row>
    <row r="7198" spans="2:8" x14ac:dyDescent="0.2">
      <c r="B7198" t="s">
        <v>4428</v>
      </c>
      <c r="C7198" t="s">
        <v>12944</v>
      </c>
      <c r="D7198" t="s">
        <v>1137</v>
      </c>
      <c r="E7198" t="s">
        <v>10635</v>
      </c>
      <c r="F7198">
        <v>247</v>
      </c>
      <c r="G7198" t="s">
        <v>2629</v>
      </c>
    </row>
    <row r="7199" spans="2:8" x14ac:dyDescent="0.2">
      <c r="B7199" t="s">
        <v>4428</v>
      </c>
      <c r="C7199" t="s">
        <v>12944</v>
      </c>
      <c r="D7199" t="s">
        <v>613</v>
      </c>
      <c r="E7199" t="s">
        <v>10644</v>
      </c>
      <c r="F7199">
        <v>5.4</v>
      </c>
      <c r="H7199" t="s">
        <v>5286</v>
      </c>
    </row>
    <row r="7200" spans="2:8" x14ac:dyDescent="0.2">
      <c r="B7200" t="s">
        <v>4428</v>
      </c>
      <c r="C7200" t="s">
        <v>12944</v>
      </c>
      <c r="D7200" t="s">
        <v>613</v>
      </c>
      <c r="E7200" t="s">
        <v>10645</v>
      </c>
      <c r="F7200">
        <v>23.16</v>
      </c>
      <c r="H7200" t="s">
        <v>4248</v>
      </c>
    </row>
    <row r="7201" spans="2:8" x14ac:dyDescent="0.2">
      <c r="B7201" t="s">
        <v>4428</v>
      </c>
      <c r="C7201" t="s">
        <v>12944</v>
      </c>
      <c r="D7201" t="s">
        <v>613</v>
      </c>
      <c r="E7201" t="s">
        <v>10646</v>
      </c>
      <c r="F7201">
        <v>52.82</v>
      </c>
      <c r="H7201" t="s">
        <v>4142</v>
      </c>
    </row>
    <row r="7202" spans="2:8" x14ac:dyDescent="0.2">
      <c r="B7202" t="s">
        <v>4428</v>
      </c>
      <c r="C7202" t="s">
        <v>12944</v>
      </c>
      <c r="D7202" t="s">
        <v>613</v>
      </c>
      <c r="E7202" t="s">
        <v>10647</v>
      </c>
      <c r="F7202">
        <v>145.55000000000001</v>
      </c>
      <c r="H7202" t="s">
        <v>4616</v>
      </c>
    </row>
    <row r="7203" spans="2:8" x14ac:dyDescent="0.2">
      <c r="B7203" t="s">
        <v>4428</v>
      </c>
      <c r="C7203" t="s">
        <v>12944</v>
      </c>
      <c r="D7203" t="s">
        <v>613</v>
      </c>
      <c r="E7203" t="s">
        <v>10648</v>
      </c>
      <c r="F7203">
        <v>5.28</v>
      </c>
      <c r="H7203" t="s">
        <v>4283</v>
      </c>
    </row>
    <row r="7204" spans="2:8" x14ac:dyDescent="0.2">
      <c r="B7204" t="s">
        <v>4428</v>
      </c>
      <c r="C7204" t="s">
        <v>12944</v>
      </c>
      <c r="D7204" t="s">
        <v>613</v>
      </c>
      <c r="E7204" t="s">
        <v>10649</v>
      </c>
      <c r="F7204">
        <v>460.1</v>
      </c>
      <c r="H7204" t="s">
        <v>4906</v>
      </c>
    </row>
    <row r="7205" spans="2:8" x14ac:dyDescent="0.2">
      <c r="B7205" t="s">
        <v>4428</v>
      </c>
      <c r="C7205" t="s">
        <v>12944</v>
      </c>
      <c r="D7205" t="s">
        <v>613</v>
      </c>
      <c r="E7205" t="s">
        <v>10650</v>
      </c>
      <c r="F7205">
        <v>252.48</v>
      </c>
      <c r="H7205" t="s">
        <v>2015</v>
      </c>
    </row>
    <row r="7206" spans="2:8" x14ac:dyDescent="0.2">
      <c r="B7206" t="s">
        <v>4428</v>
      </c>
      <c r="C7206" t="s">
        <v>12944</v>
      </c>
      <c r="D7206" t="s">
        <v>613</v>
      </c>
      <c r="E7206" t="s">
        <v>10651</v>
      </c>
      <c r="F7206">
        <v>138.5</v>
      </c>
      <c r="H7206" t="s">
        <v>2016</v>
      </c>
    </row>
    <row r="7207" spans="2:8" x14ac:dyDescent="0.2">
      <c r="B7207" t="s">
        <v>4428</v>
      </c>
      <c r="C7207" t="s">
        <v>12944</v>
      </c>
      <c r="D7207" t="s">
        <v>613</v>
      </c>
      <c r="E7207" t="s">
        <v>10652</v>
      </c>
      <c r="F7207">
        <v>123.9</v>
      </c>
      <c r="H7207" t="s">
        <v>2501</v>
      </c>
    </row>
    <row r="7208" spans="2:8" x14ac:dyDescent="0.2">
      <c r="B7208" t="s">
        <v>4428</v>
      </c>
      <c r="C7208" t="s">
        <v>12944</v>
      </c>
      <c r="D7208" t="s">
        <v>613</v>
      </c>
      <c r="E7208" t="s">
        <v>10653</v>
      </c>
      <c r="F7208">
        <v>230.05</v>
      </c>
      <c r="H7208" t="s">
        <v>4617</v>
      </c>
    </row>
    <row r="7209" spans="2:8" x14ac:dyDescent="0.2">
      <c r="B7209" t="s">
        <v>4428</v>
      </c>
      <c r="C7209" t="s">
        <v>12944</v>
      </c>
      <c r="D7209" t="s">
        <v>554</v>
      </c>
      <c r="E7209" t="s">
        <v>10654</v>
      </c>
      <c r="F7209">
        <v>18299</v>
      </c>
      <c r="H7209" t="s">
        <v>4956</v>
      </c>
    </row>
    <row r="7210" spans="2:8" x14ac:dyDescent="0.2">
      <c r="B7210" t="s">
        <v>4428</v>
      </c>
      <c r="C7210" t="s">
        <v>12944</v>
      </c>
      <c r="D7210" t="s">
        <v>613</v>
      </c>
      <c r="E7210" t="s">
        <v>10655</v>
      </c>
      <c r="F7210">
        <v>413.1</v>
      </c>
      <c r="H7210" t="s">
        <v>1939</v>
      </c>
    </row>
    <row r="7211" spans="2:8" x14ac:dyDescent="0.2">
      <c r="B7211" t="s">
        <v>4428</v>
      </c>
      <c r="C7211" t="s">
        <v>12944</v>
      </c>
      <c r="D7211" t="s">
        <v>613</v>
      </c>
      <c r="E7211" t="s">
        <v>10656</v>
      </c>
      <c r="F7211">
        <v>3.96</v>
      </c>
      <c r="H7211" t="s">
        <v>4715</v>
      </c>
    </row>
    <row r="7212" spans="2:8" x14ac:dyDescent="0.2">
      <c r="B7212" t="s">
        <v>4428</v>
      </c>
      <c r="C7212" t="s">
        <v>12944</v>
      </c>
      <c r="D7212" t="s">
        <v>613</v>
      </c>
      <c r="E7212" t="s">
        <v>10658</v>
      </c>
      <c r="F7212">
        <v>31.68</v>
      </c>
      <c r="H7212" t="s">
        <v>4665</v>
      </c>
    </row>
    <row r="7213" spans="2:8" x14ac:dyDescent="0.2">
      <c r="B7213" t="s">
        <v>4428</v>
      </c>
      <c r="C7213" t="s">
        <v>12944</v>
      </c>
      <c r="D7213" t="s">
        <v>613</v>
      </c>
      <c r="E7213" t="s">
        <v>10659</v>
      </c>
      <c r="F7213">
        <v>7.52</v>
      </c>
      <c r="H7213" t="s">
        <v>4600</v>
      </c>
    </row>
    <row r="7214" spans="2:8" x14ac:dyDescent="0.2">
      <c r="B7214" t="s">
        <v>4428</v>
      </c>
      <c r="C7214" t="s">
        <v>12944</v>
      </c>
      <c r="D7214" t="s">
        <v>613</v>
      </c>
      <c r="E7214" t="s">
        <v>10660</v>
      </c>
      <c r="F7214">
        <v>7.92</v>
      </c>
      <c r="H7214" t="s">
        <v>4715</v>
      </c>
    </row>
    <row r="7215" spans="2:8" x14ac:dyDescent="0.2">
      <c r="B7215" t="s">
        <v>4428</v>
      </c>
      <c r="C7215" t="s">
        <v>12944</v>
      </c>
      <c r="D7215" t="s">
        <v>613</v>
      </c>
      <c r="E7215" t="s">
        <v>10661</v>
      </c>
      <c r="F7215">
        <v>422.56</v>
      </c>
      <c r="H7215" t="s">
        <v>4142</v>
      </c>
    </row>
    <row r="7216" spans="2:8" x14ac:dyDescent="0.2">
      <c r="B7216" t="s">
        <v>4428</v>
      </c>
      <c r="C7216" t="s">
        <v>12944</v>
      </c>
      <c r="D7216" t="s">
        <v>613</v>
      </c>
      <c r="E7216" t="s">
        <v>10662</v>
      </c>
      <c r="F7216">
        <v>318.86</v>
      </c>
      <c r="H7216" t="s">
        <v>4178</v>
      </c>
    </row>
    <row r="7217" spans="2:8" x14ac:dyDescent="0.2">
      <c r="B7217" t="s">
        <v>4428</v>
      </c>
      <c r="C7217" t="s">
        <v>12944</v>
      </c>
      <c r="D7217" t="s">
        <v>613</v>
      </c>
      <c r="E7217" t="s">
        <v>10663</v>
      </c>
      <c r="F7217">
        <v>4.82</v>
      </c>
      <c r="H7217" t="s">
        <v>4603</v>
      </c>
    </row>
    <row r="7218" spans="2:8" x14ac:dyDescent="0.2">
      <c r="B7218" t="s">
        <v>4428</v>
      </c>
      <c r="C7218" t="s">
        <v>12944</v>
      </c>
      <c r="D7218" t="s">
        <v>613</v>
      </c>
      <c r="E7218" t="s">
        <v>10664</v>
      </c>
      <c r="F7218">
        <v>2234.16</v>
      </c>
      <c r="H7218" t="s">
        <v>4182</v>
      </c>
    </row>
    <row r="7219" spans="2:8" x14ac:dyDescent="0.2">
      <c r="B7219" t="s">
        <v>4428</v>
      </c>
      <c r="C7219" t="s">
        <v>12944</v>
      </c>
      <c r="D7219" t="s">
        <v>613</v>
      </c>
      <c r="E7219" t="s">
        <v>10665</v>
      </c>
      <c r="F7219">
        <v>53.5</v>
      </c>
      <c r="H7219" t="s">
        <v>4648</v>
      </c>
    </row>
    <row r="7220" spans="2:8" x14ac:dyDescent="0.2">
      <c r="B7220" t="s">
        <v>4428</v>
      </c>
      <c r="C7220" t="s">
        <v>12944</v>
      </c>
      <c r="D7220" t="s">
        <v>613</v>
      </c>
      <c r="E7220" t="s">
        <v>10666</v>
      </c>
      <c r="F7220">
        <v>189.36</v>
      </c>
      <c r="H7220" t="s">
        <v>2015</v>
      </c>
    </row>
    <row r="7221" spans="2:8" x14ac:dyDescent="0.2">
      <c r="B7221" t="s">
        <v>4428</v>
      </c>
      <c r="C7221" t="s">
        <v>12944</v>
      </c>
      <c r="D7221" t="s">
        <v>613</v>
      </c>
      <c r="E7221" t="s">
        <v>10667</v>
      </c>
      <c r="F7221">
        <v>26.75</v>
      </c>
      <c r="H7221" t="s">
        <v>2074</v>
      </c>
    </row>
    <row r="7222" spans="2:8" x14ac:dyDescent="0.2">
      <c r="B7222" t="s">
        <v>4428</v>
      </c>
      <c r="C7222" t="s">
        <v>12944</v>
      </c>
      <c r="D7222" t="s">
        <v>613</v>
      </c>
      <c r="E7222" t="s">
        <v>10668</v>
      </c>
      <c r="F7222">
        <v>26.75</v>
      </c>
      <c r="H7222" t="s">
        <v>2075</v>
      </c>
    </row>
    <row r="7223" spans="2:8" x14ac:dyDescent="0.2">
      <c r="B7223" t="s">
        <v>4428</v>
      </c>
      <c r="C7223" t="s">
        <v>12944</v>
      </c>
      <c r="D7223" t="s">
        <v>613</v>
      </c>
      <c r="E7223" t="s">
        <v>10669</v>
      </c>
      <c r="F7223">
        <v>53.5</v>
      </c>
      <c r="H7223" t="s">
        <v>1595</v>
      </c>
    </row>
    <row r="7224" spans="2:8" x14ac:dyDescent="0.2">
      <c r="B7224" t="s">
        <v>4428</v>
      </c>
      <c r="C7224" t="s">
        <v>12944</v>
      </c>
      <c r="D7224" t="s">
        <v>613</v>
      </c>
      <c r="E7224" t="s">
        <v>10670</v>
      </c>
      <c r="F7224">
        <v>53.5</v>
      </c>
      <c r="H7224" t="s">
        <v>1597</v>
      </c>
    </row>
    <row r="7225" spans="2:8" x14ac:dyDescent="0.2">
      <c r="B7225" t="s">
        <v>4428</v>
      </c>
      <c r="C7225" t="s">
        <v>12944</v>
      </c>
      <c r="D7225" t="s">
        <v>613</v>
      </c>
      <c r="E7225" t="s">
        <v>10671</v>
      </c>
      <c r="F7225">
        <v>107</v>
      </c>
      <c r="H7225" t="s">
        <v>1599</v>
      </c>
    </row>
    <row r="7226" spans="2:8" x14ac:dyDescent="0.2">
      <c r="B7226" t="s">
        <v>4428</v>
      </c>
      <c r="C7226" t="s">
        <v>12944</v>
      </c>
      <c r="D7226" t="s">
        <v>613</v>
      </c>
      <c r="E7226" t="s">
        <v>10672</v>
      </c>
      <c r="F7226">
        <v>21.4</v>
      </c>
      <c r="H7226" t="s">
        <v>2345</v>
      </c>
    </row>
    <row r="7227" spans="2:8" x14ac:dyDescent="0.2">
      <c r="B7227" t="s">
        <v>4428</v>
      </c>
      <c r="C7227" t="s">
        <v>12944</v>
      </c>
      <c r="D7227" t="s">
        <v>613</v>
      </c>
      <c r="E7227" t="s">
        <v>10673</v>
      </c>
      <c r="F7227">
        <v>21.4</v>
      </c>
      <c r="H7227" t="s">
        <v>2345</v>
      </c>
    </row>
    <row r="7228" spans="2:8" x14ac:dyDescent="0.2">
      <c r="B7228" t="s">
        <v>4428</v>
      </c>
      <c r="C7228" t="s">
        <v>12944</v>
      </c>
      <c r="D7228" t="s">
        <v>613</v>
      </c>
      <c r="E7228" t="s">
        <v>10674</v>
      </c>
      <c r="F7228">
        <v>997</v>
      </c>
      <c r="H7228" t="s">
        <v>2348</v>
      </c>
    </row>
    <row r="7229" spans="2:8" x14ac:dyDescent="0.2">
      <c r="B7229" t="s">
        <v>4428</v>
      </c>
      <c r="C7229" t="s">
        <v>12944</v>
      </c>
      <c r="D7229" t="s">
        <v>613</v>
      </c>
      <c r="E7229" t="s">
        <v>10675</v>
      </c>
      <c r="F7229">
        <v>997</v>
      </c>
      <c r="H7229" t="s">
        <v>2349</v>
      </c>
    </row>
    <row r="7230" spans="2:8" x14ac:dyDescent="0.2">
      <c r="B7230" t="s">
        <v>4428</v>
      </c>
      <c r="C7230" t="s">
        <v>12944</v>
      </c>
      <c r="D7230" t="s">
        <v>613</v>
      </c>
      <c r="E7230" t="s">
        <v>10676</v>
      </c>
      <c r="F7230">
        <v>65.040000000000006</v>
      </c>
      <c r="H7230" t="s">
        <v>1560</v>
      </c>
    </row>
    <row r="7231" spans="2:8" x14ac:dyDescent="0.2">
      <c r="B7231" t="s">
        <v>4428</v>
      </c>
      <c r="C7231" t="s">
        <v>12944</v>
      </c>
      <c r="D7231" t="s">
        <v>613</v>
      </c>
      <c r="E7231" t="s">
        <v>10677</v>
      </c>
      <c r="F7231">
        <v>380.02</v>
      </c>
      <c r="H7231" t="s">
        <v>1902</v>
      </c>
    </row>
    <row r="7232" spans="2:8" x14ac:dyDescent="0.2">
      <c r="B7232" t="s">
        <v>4428</v>
      </c>
      <c r="C7232" t="s">
        <v>12944</v>
      </c>
      <c r="D7232" t="s">
        <v>613</v>
      </c>
      <c r="E7232" t="s">
        <v>10678</v>
      </c>
      <c r="F7232">
        <v>440.1</v>
      </c>
      <c r="H7232" t="s">
        <v>1903</v>
      </c>
    </row>
    <row r="7233" spans="2:8" x14ac:dyDescent="0.2">
      <c r="B7233" t="s">
        <v>4428</v>
      </c>
      <c r="C7233" t="s">
        <v>12944</v>
      </c>
      <c r="D7233" t="s">
        <v>554</v>
      </c>
      <c r="E7233" t="s">
        <v>10679</v>
      </c>
      <c r="F7233">
        <v>22638</v>
      </c>
      <c r="H7233" t="s">
        <v>10680</v>
      </c>
    </row>
    <row r="7234" spans="2:8" x14ac:dyDescent="0.2">
      <c r="B7234" t="s">
        <v>4428</v>
      </c>
      <c r="C7234" t="s">
        <v>12944</v>
      </c>
      <c r="D7234" t="s">
        <v>613</v>
      </c>
      <c r="E7234" t="s">
        <v>10682</v>
      </c>
      <c r="F7234">
        <v>69.92</v>
      </c>
      <c r="H7234" t="s">
        <v>4612</v>
      </c>
    </row>
    <row r="7235" spans="2:8" x14ac:dyDescent="0.2">
      <c r="B7235" t="s">
        <v>4428</v>
      </c>
      <c r="C7235" t="s">
        <v>12944</v>
      </c>
      <c r="D7235" t="s">
        <v>613</v>
      </c>
      <c r="E7235" t="s">
        <v>10683</v>
      </c>
      <c r="F7235">
        <v>30.08</v>
      </c>
      <c r="H7235" t="s">
        <v>4600</v>
      </c>
    </row>
    <row r="7236" spans="2:8" x14ac:dyDescent="0.2">
      <c r="B7236" t="s">
        <v>4428</v>
      </c>
      <c r="C7236" t="s">
        <v>12944</v>
      </c>
      <c r="D7236" t="s">
        <v>613</v>
      </c>
      <c r="E7236" t="s">
        <v>10684</v>
      </c>
      <c r="F7236">
        <v>18.16</v>
      </c>
      <c r="H7236" t="s">
        <v>4600</v>
      </c>
    </row>
    <row r="7237" spans="2:8" x14ac:dyDescent="0.2">
      <c r="B7237" t="s">
        <v>4428</v>
      </c>
      <c r="C7237" t="s">
        <v>12944</v>
      </c>
      <c r="D7237" t="s">
        <v>613</v>
      </c>
      <c r="E7237" t="s">
        <v>10685</v>
      </c>
      <c r="F7237">
        <v>13.62</v>
      </c>
      <c r="H7237" t="s">
        <v>4600</v>
      </c>
    </row>
    <row r="7238" spans="2:8" x14ac:dyDescent="0.2">
      <c r="B7238" t="s">
        <v>4428</v>
      </c>
      <c r="C7238" t="s">
        <v>12944</v>
      </c>
      <c r="D7238" t="s">
        <v>613</v>
      </c>
      <c r="E7238" t="s">
        <v>10686</v>
      </c>
      <c r="F7238">
        <v>68.099999999999994</v>
      </c>
      <c r="H7238" t="s">
        <v>4600</v>
      </c>
    </row>
    <row r="7239" spans="2:8" x14ac:dyDescent="0.2">
      <c r="B7239" t="s">
        <v>4428</v>
      </c>
      <c r="C7239" t="s">
        <v>12944</v>
      </c>
      <c r="D7239" t="s">
        <v>613</v>
      </c>
      <c r="E7239" t="s">
        <v>10687</v>
      </c>
      <c r="F7239">
        <v>316.92</v>
      </c>
      <c r="H7239" t="s">
        <v>4142</v>
      </c>
    </row>
    <row r="7240" spans="2:8" x14ac:dyDescent="0.2">
      <c r="B7240" t="s">
        <v>4428</v>
      </c>
      <c r="C7240" t="s">
        <v>12944</v>
      </c>
      <c r="D7240" t="s">
        <v>613</v>
      </c>
      <c r="E7240" t="s">
        <v>10688</v>
      </c>
      <c r="F7240">
        <v>116.44</v>
      </c>
      <c r="H7240" t="s">
        <v>4616</v>
      </c>
    </row>
    <row r="7241" spans="2:8" x14ac:dyDescent="0.2">
      <c r="B7241" t="s">
        <v>4428</v>
      </c>
      <c r="C7241" t="s">
        <v>12944</v>
      </c>
      <c r="D7241" t="s">
        <v>613</v>
      </c>
      <c r="E7241" t="s">
        <v>10689</v>
      </c>
      <c r="F7241">
        <v>594.91999999999996</v>
      </c>
      <c r="H7241" t="s">
        <v>4176</v>
      </c>
    </row>
    <row r="7242" spans="2:8" x14ac:dyDescent="0.2">
      <c r="B7242" t="s">
        <v>4428</v>
      </c>
      <c r="C7242" t="s">
        <v>12944</v>
      </c>
      <c r="D7242" t="s">
        <v>613</v>
      </c>
      <c r="E7242" t="s">
        <v>10690</v>
      </c>
      <c r="F7242">
        <v>1913.16</v>
      </c>
      <c r="H7242" t="s">
        <v>4935</v>
      </c>
    </row>
    <row r="7243" spans="2:8" x14ac:dyDescent="0.2">
      <c r="B7243" t="s">
        <v>4428</v>
      </c>
      <c r="C7243" t="s">
        <v>12944</v>
      </c>
      <c r="D7243" t="s">
        <v>613</v>
      </c>
      <c r="E7243" t="s">
        <v>10691</v>
      </c>
      <c r="F7243">
        <v>64.2</v>
      </c>
      <c r="H7243" t="s">
        <v>4937</v>
      </c>
    </row>
    <row r="7244" spans="2:8" x14ac:dyDescent="0.2">
      <c r="B7244" t="s">
        <v>4428</v>
      </c>
      <c r="C7244" t="s">
        <v>12944</v>
      </c>
      <c r="D7244" t="s">
        <v>613</v>
      </c>
      <c r="E7244" t="s">
        <v>10692</v>
      </c>
      <c r="F7244">
        <v>348</v>
      </c>
      <c r="H7244" t="s">
        <v>4849</v>
      </c>
    </row>
    <row r="7245" spans="2:8" x14ac:dyDescent="0.2">
      <c r="B7245" t="s">
        <v>4428</v>
      </c>
      <c r="C7245" t="s">
        <v>12944</v>
      </c>
      <c r="D7245" t="s">
        <v>613</v>
      </c>
      <c r="E7245" t="s">
        <v>10693</v>
      </c>
      <c r="F7245">
        <v>348</v>
      </c>
      <c r="H7245" t="s">
        <v>4849</v>
      </c>
    </row>
    <row r="7246" spans="2:8" x14ac:dyDescent="0.2">
      <c r="B7246" t="s">
        <v>4428</v>
      </c>
      <c r="C7246" t="s">
        <v>12944</v>
      </c>
      <c r="D7246" t="s">
        <v>613</v>
      </c>
      <c r="E7246" t="s">
        <v>10694</v>
      </c>
      <c r="F7246">
        <v>174</v>
      </c>
      <c r="H7246" t="s">
        <v>4849</v>
      </c>
    </row>
    <row r="7247" spans="2:8" x14ac:dyDescent="0.2">
      <c r="B7247" t="s">
        <v>4428</v>
      </c>
      <c r="C7247" t="s">
        <v>12944</v>
      </c>
      <c r="D7247" t="s">
        <v>613</v>
      </c>
      <c r="E7247" t="s">
        <v>10695</v>
      </c>
      <c r="F7247">
        <v>2610</v>
      </c>
      <c r="H7247" t="s">
        <v>4849</v>
      </c>
    </row>
    <row r="7248" spans="2:8" x14ac:dyDescent="0.2">
      <c r="B7248" t="s">
        <v>4428</v>
      </c>
      <c r="C7248" t="s">
        <v>12944</v>
      </c>
      <c r="D7248" t="s">
        <v>613</v>
      </c>
      <c r="E7248" t="s">
        <v>10696</v>
      </c>
      <c r="F7248">
        <v>1489.44</v>
      </c>
      <c r="H7248" t="s">
        <v>4182</v>
      </c>
    </row>
    <row r="7249" spans="2:8" x14ac:dyDescent="0.2">
      <c r="B7249" t="s">
        <v>4428</v>
      </c>
      <c r="C7249" t="s">
        <v>12944</v>
      </c>
      <c r="D7249" t="s">
        <v>613</v>
      </c>
      <c r="E7249" t="s">
        <v>10697</v>
      </c>
      <c r="F7249">
        <v>321</v>
      </c>
      <c r="H7249" t="s">
        <v>4415</v>
      </c>
    </row>
    <row r="7250" spans="2:8" x14ac:dyDescent="0.2">
      <c r="B7250" t="s">
        <v>4428</v>
      </c>
      <c r="C7250" t="s">
        <v>12944</v>
      </c>
      <c r="D7250" t="s">
        <v>613</v>
      </c>
      <c r="E7250" t="s">
        <v>10698</v>
      </c>
      <c r="F7250">
        <v>107</v>
      </c>
      <c r="H7250" t="s">
        <v>4648</v>
      </c>
    </row>
    <row r="7251" spans="2:8" x14ac:dyDescent="0.2">
      <c r="B7251" t="s">
        <v>4428</v>
      </c>
      <c r="C7251" t="s">
        <v>12944</v>
      </c>
      <c r="D7251" t="s">
        <v>613</v>
      </c>
      <c r="E7251" t="s">
        <v>10699</v>
      </c>
      <c r="F7251">
        <v>214</v>
      </c>
      <c r="H7251" t="s">
        <v>4648</v>
      </c>
    </row>
    <row r="7252" spans="2:8" x14ac:dyDescent="0.2">
      <c r="B7252" t="s">
        <v>4428</v>
      </c>
      <c r="C7252" t="s">
        <v>12944</v>
      </c>
      <c r="D7252" t="s">
        <v>613</v>
      </c>
      <c r="E7252" t="s">
        <v>10700</v>
      </c>
      <c r="F7252">
        <v>568.08000000000004</v>
      </c>
      <c r="H7252" t="s">
        <v>2015</v>
      </c>
    </row>
    <row r="7253" spans="2:8" x14ac:dyDescent="0.2">
      <c r="B7253" t="s">
        <v>4428</v>
      </c>
      <c r="C7253" t="s">
        <v>12944</v>
      </c>
      <c r="D7253" t="s">
        <v>613</v>
      </c>
      <c r="E7253" t="s">
        <v>10701</v>
      </c>
      <c r="F7253">
        <v>166.2</v>
      </c>
      <c r="H7253" t="s">
        <v>2016</v>
      </c>
    </row>
    <row r="7254" spans="2:8" x14ac:dyDescent="0.2">
      <c r="B7254" t="s">
        <v>4428</v>
      </c>
      <c r="C7254" t="s">
        <v>12944</v>
      </c>
      <c r="D7254" t="s">
        <v>613</v>
      </c>
      <c r="E7254" t="s">
        <v>10702</v>
      </c>
      <c r="F7254">
        <v>-166.2</v>
      </c>
      <c r="H7254" t="s">
        <v>2016</v>
      </c>
    </row>
    <row r="7255" spans="2:8" x14ac:dyDescent="0.2">
      <c r="B7255" t="s">
        <v>4428</v>
      </c>
      <c r="C7255" t="s">
        <v>12944</v>
      </c>
      <c r="D7255" t="s">
        <v>613</v>
      </c>
      <c r="E7255" t="s">
        <v>10703</v>
      </c>
      <c r="F7255">
        <v>166.2</v>
      </c>
      <c r="H7255" t="s">
        <v>2016</v>
      </c>
    </row>
    <row r="7256" spans="2:8" x14ac:dyDescent="0.2">
      <c r="B7256" t="s">
        <v>4428</v>
      </c>
      <c r="C7256" t="s">
        <v>12944</v>
      </c>
      <c r="D7256" t="s">
        <v>613</v>
      </c>
      <c r="E7256" t="s">
        <v>10704</v>
      </c>
      <c r="F7256">
        <v>166.2</v>
      </c>
      <c r="H7256" t="s">
        <v>2016</v>
      </c>
    </row>
    <row r="7257" spans="2:8" x14ac:dyDescent="0.2">
      <c r="B7257" t="s">
        <v>4428</v>
      </c>
      <c r="C7257" t="s">
        <v>12944</v>
      </c>
      <c r="D7257" t="s">
        <v>613</v>
      </c>
      <c r="E7257" t="s">
        <v>10705</v>
      </c>
      <c r="F7257">
        <v>720.2</v>
      </c>
      <c r="H7257" t="s">
        <v>2016</v>
      </c>
    </row>
    <row r="7258" spans="2:8" x14ac:dyDescent="0.2">
      <c r="B7258" t="s">
        <v>4428</v>
      </c>
      <c r="C7258" t="s">
        <v>12944</v>
      </c>
      <c r="D7258" t="s">
        <v>613</v>
      </c>
      <c r="E7258" t="s">
        <v>10706</v>
      </c>
      <c r="F7258">
        <v>53.5</v>
      </c>
      <c r="H7258" t="s">
        <v>1600</v>
      </c>
    </row>
    <row r="7259" spans="2:8" x14ac:dyDescent="0.2">
      <c r="B7259" t="s">
        <v>4428</v>
      </c>
      <c r="C7259" t="s">
        <v>12944</v>
      </c>
      <c r="D7259" t="s">
        <v>613</v>
      </c>
      <c r="E7259" t="s">
        <v>10707</v>
      </c>
      <c r="F7259">
        <v>53.5</v>
      </c>
      <c r="H7259" t="s">
        <v>2343</v>
      </c>
    </row>
    <row r="7260" spans="2:8" x14ac:dyDescent="0.2">
      <c r="B7260" t="s">
        <v>4428</v>
      </c>
      <c r="C7260" t="s">
        <v>12944</v>
      </c>
      <c r="D7260" t="s">
        <v>613</v>
      </c>
      <c r="E7260" t="s">
        <v>10708</v>
      </c>
      <c r="F7260">
        <v>21.4</v>
      </c>
      <c r="H7260" t="s">
        <v>2345</v>
      </c>
    </row>
    <row r="7261" spans="2:8" x14ac:dyDescent="0.2">
      <c r="B7261" t="s">
        <v>4428</v>
      </c>
      <c r="C7261" t="s">
        <v>12944</v>
      </c>
      <c r="D7261" t="s">
        <v>613</v>
      </c>
      <c r="E7261" t="s">
        <v>10709</v>
      </c>
      <c r="F7261">
        <v>128.4</v>
      </c>
      <c r="H7261" t="s">
        <v>2345</v>
      </c>
    </row>
    <row r="7262" spans="2:8" x14ac:dyDescent="0.2">
      <c r="B7262" t="s">
        <v>4428</v>
      </c>
      <c r="C7262" t="s">
        <v>12944</v>
      </c>
      <c r="D7262" t="s">
        <v>613</v>
      </c>
      <c r="E7262" t="s">
        <v>10710</v>
      </c>
      <c r="F7262">
        <v>21.4</v>
      </c>
      <c r="H7262" t="s">
        <v>2345</v>
      </c>
    </row>
    <row r="7263" spans="2:8" x14ac:dyDescent="0.2">
      <c r="B7263" t="s">
        <v>4428</v>
      </c>
      <c r="C7263" t="s">
        <v>12944</v>
      </c>
      <c r="D7263" t="s">
        <v>613</v>
      </c>
      <c r="E7263" t="s">
        <v>10711</v>
      </c>
      <c r="F7263">
        <v>446.24</v>
      </c>
      <c r="H7263" t="s">
        <v>2347</v>
      </c>
    </row>
    <row r="7264" spans="2:8" x14ac:dyDescent="0.2">
      <c r="B7264" t="s">
        <v>4428</v>
      </c>
      <c r="C7264" t="s">
        <v>12944</v>
      </c>
      <c r="D7264" t="s">
        <v>613</v>
      </c>
      <c r="E7264" t="s">
        <v>10712</v>
      </c>
      <c r="F7264">
        <v>1344</v>
      </c>
      <c r="H7264" t="s">
        <v>1563</v>
      </c>
    </row>
    <row r="7265" spans="2:8" x14ac:dyDescent="0.2">
      <c r="B7265" t="s">
        <v>4428</v>
      </c>
      <c r="C7265" t="s">
        <v>12944</v>
      </c>
      <c r="D7265" t="s">
        <v>613</v>
      </c>
      <c r="E7265" t="s">
        <v>10713</v>
      </c>
      <c r="F7265">
        <v>219.16</v>
      </c>
      <c r="H7265" t="s">
        <v>1574</v>
      </c>
    </row>
    <row r="7266" spans="2:8" x14ac:dyDescent="0.2">
      <c r="B7266" t="s">
        <v>4428</v>
      </c>
      <c r="C7266" t="s">
        <v>12944</v>
      </c>
      <c r="D7266" t="s">
        <v>613</v>
      </c>
      <c r="E7266" t="s">
        <v>10714</v>
      </c>
      <c r="F7266">
        <v>880.92</v>
      </c>
      <c r="H7266" t="s">
        <v>1578</v>
      </c>
    </row>
    <row r="7267" spans="2:8" x14ac:dyDescent="0.2">
      <c r="B7267" t="s">
        <v>4428</v>
      </c>
      <c r="C7267" t="s">
        <v>12944</v>
      </c>
      <c r="D7267" t="s">
        <v>613</v>
      </c>
      <c r="E7267" t="s">
        <v>10715</v>
      </c>
      <c r="F7267">
        <v>42.84</v>
      </c>
      <c r="H7267" t="s">
        <v>1579</v>
      </c>
    </row>
    <row r="7268" spans="2:8" x14ac:dyDescent="0.2">
      <c r="B7268" t="s">
        <v>4428</v>
      </c>
      <c r="C7268" t="s">
        <v>12944</v>
      </c>
      <c r="D7268" t="s">
        <v>613</v>
      </c>
      <c r="E7268" t="s">
        <v>10716</v>
      </c>
      <c r="F7268">
        <v>216.48</v>
      </c>
      <c r="H7268" t="s">
        <v>2508</v>
      </c>
    </row>
    <row r="7269" spans="2:8" x14ac:dyDescent="0.2">
      <c r="B7269" t="s">
        <v>4428</v>
      </c>
      <c r="C7269" t="s">
        <v>12944</v>
      </c>
      <c r="D7269" t="s">
        <v>613</v>
      </c>
      <c r="E7269" t="s">
        <v>10717</v>
      </c>
      <c r="F7269">
        <v>216.48</v>
      </c>
      <c r="H7269" t="s">
        <v>2508</v>
      </c>
    </row>
    <row r="7270" spans="2:8" x14ac:dyDescent="0.2">
      <c r="B7270" t="s">
        <v>4428</v>
      </c>
      <c r="C7270" t="s">
        <v>12944</v>
      </c>
      <c r="D7270" t="s">
        <v>613</v>
      </c>
      <c r="E7270" t="s">
        <v>10718</v>
      </c>
      <c r="F7270">
        <v>269.76</v>
      </c>
      <c r="H7270" t="s">
        <v>1536</v>
      </c>
    </row>
    <row r="7271" spans="2:8" x14ac:dyDescent="0.2">
      <c r="B7271" t="s">
        <v>4428</v>
      </c>
      <c r="C7271" t="s">
        <v>12944</v>
      </c>
      <c r="D7271" t="s">
        <v>613</v>
      </c>
      <c r="E7271" t="s">
        <v>10719</v>
      </c>
      <c r="F7271">
        <v>358.16</v>
      </c>
      <c r="H7271" t="s">
        <v>1956</v>
      </c>
    </row>
    <row r="7272" spans="2:8" x14ac:dyDescent="0.2">
      <c r="B7272" t="s">
        <v>4428</v>
      </c>
      <c r="C7272" t="s">
        <v>12944</v>
      </c>
      <c r="D7272" t="s">
        <v>613</v>
      </c>
      <c r="E7272" t="s">
        <v>10720</v>
      </c>
      <c r="F7272">
        <v>92.8</v>
      </c>
      <c r="H7272" t="s">
        <v>1904</v>
      </c>
    </row>
    <row r="7273" spans="2:8" x14ac:dyDescent="0.2">
      <c r="B7273" t="s">
        <v>4428</v>
      </c>
      <c r="C7273" t="s">
        <v>12944</v>
      </c>
      <c r="D7273" t="s">
        <v>613</v>
      </c>
      <c r="E7273" t="s">
        <v>10721</v>
      </c>
      <c r="F7273">
        <v>82</v>
      </c>
      <c r="H7273" t="s">
        <v>1905</v>
      </c>
    </row>
    <row r="7274" spans="2:8" x14ac:dyDescent="0.2">
      <c r="B7274" t="s">
        <v>4428</v>
      </c>
      <c r="C7274" t="s">
        <v>12944</v>
      </c>
      <c r="D7274" t="s">
        <v>613</v>
      </c>
      <c r="E7274" t="s">
        <v>10722</v>
      </c>
      <c r="F7274">
        <v>337.2</v>
      </c>
      <c r="H7274" t="s">
        <v>2340</v>
      </c>
    </row>
    <row r="7275" spans="2:8" x14ac:dyDescent="0.2">
      <c r="B7275" t="s">
        <v>4428</v>
      </c>
      <c r="C7275" t="s">
        <v>12944</v>
      </c>
      <c r="D7275" t="s">
        <v>613</v>
      </c>
      <c r="E7275" t="s">
        <v>10723</v>
      </c>
      <c r="F7275">
        <v>318</v>
      </c>
      <c r="H7275" t="s">
        <v>2341</v>
      </c>
    </row>
    <row r="7276" spans="2:8" x14ac:dyDescent="0.2">
      <c r="B7276" t="s">
        <v>4428</v>
      </c>
      <c r="C7276" t="s">
        <v>12944</v>
      </c>
      <c r="D7276" t="s">
        <v>613</v>
      </c>
      <c r="E7276" t="s">
        <v>10724</v>
      </c>
      <c r="F7276">
        <v>242.56</v>
      </c>
      <c r="H7276" t="s">
        <v>1906</v>
      </c>
    </row>
    <row r="7277" spans="2:8" x14ac:dyDescent="0.2">
      <c r="B7277" t="s">
        <v>4428</v>
      </c>
      <c r="C7277" t="s">
        <v>12944</v>
      </c>
      <c r="D7277" t="s">
        <v>613</v>
      </c>
      <c r="E7277" t="s">
        <v>10725</v>
      </c>
      <c r="F7277">
        <v>281</v>
      </c>
      <c r="H7277" t="s">
        <v>1892</v>
      </c>
    </row>
    <row r="7278" spans="2:8" x14ac:dyDescent="0.2">
      <c r="B7278" t="s">
        <v>4428</v>
      </c>
      <c r="C7278" t="s">
        <v>12944</v>
      </c>
      <c r="D7278" t="s">
        <v>554</v>
      </c>
      <c r="E7278" t="s">
        <v>10726</v>
      </c>
      <c r="F7278">
        <v>73580</v>
      </c>
      <c r="H7278" t="s">
        <v>10727</v>
      </c>
    </row>
    <row r="7279" spans="2:8" x14ac:dyDescent="0.2">
      <c r="B7279" t="s">
        <v>4428</v>
      </c>
      <c r="C7279" t="s">
        <v>12944</v>
      </c>
      <c r="D7279" t="s">
        <v>613</v>
      </c>
      <c r="E7279" t="s">
        <v>10728</v>
      </c>
      <c r="F7279">
        <v>116.44</v>
      </c>
      <c r="H7279" t="s">
        <v>4616</v>
      </c>
    </row>
    <row r="7280" spans="2:8" x14ac:dyDescent="0.2">
      <c r="B7280" t="s">
        <v>4428</v>
      </c>
      <c r="C7280" t="s">
        <v>12944</v>
      </c>
      <c r="D7280" t="s">
        <v>466</v>
      </c>
      <c r="E7280" t="s">
        <v>10732</v>
      </c>
      <c r="F7280">
        <v>2447.2600000000002</v>
      </c>
      <c r="G7280" t="s">
        <v>10733</v>
      </c>
    </row>
    <row r="7281" spans="2:9" x14ac:dyDescent="0.2">
      <c r="B7281" t="s">
        <v>4428</v>
      </c>
      <c r="C7281" t="s">
        <v>12944</v>
      </c>
      <c r="D7281" t="s">
        <v>478</v>
      </c>
      <c r="E7281" t="s">
        <v>10734</v>
      </c>
      <c r="F7281">
        <v>8994.81</v>
      </c>
      <c r="G7281" t="s">
        <v>10220</v>
      </c>
    </row>
    <row r="7282" spans="2:9" x14ac:dyDescent="0.2">
      <c r="B7282" t="s">
        <v>4428</v>
      </c>
      <c r="C7282" t="s">
        <v>12944</v>
      </c>
      <c r="D7282" t="s">
        <v>613</v>
      </c>
      <c r="E7282" t="s">
        <v>10760</v>
      </c>
      <c r="F7282">
        <v>5.88</v>
      </c>
      <c r="I7282" t="s">
        <v>5286</v>
      </c>
    </row>
    <row r="7283" spans="2:9" x14ac:dyDescent="0.2">
      <c r="B7283" t="s">
        <v>4428</v>
      </c>
      <c r="C7283" t="s">
        <v>12944</v>
      </c>
      <c r="D7283" t="s">
        <v>613</v>
      </c>
      <c r="E7283" t="s">
        <v>10761</v>
      </c>
      <c r="F7283">
        <v>23.16</v>
      </c>
      <c r="I7283" t="s">
        <v>4248</v>
      </c>
    </row>
    <row r="7284" spans="2:9" x14ac:dyDescent="0.2">
      <c r="B7284" t="s">
        <v>4428</v>
      </c>
      <c r="C7284" t="s">
        <v>12944</v>
      </c>
      <c r="D7284" t="s">
        <v>613</v>
      </c>
      <c r="E7284" t="s">
        <v>10762</v>
      </c>
      <c r="F7284">
        <v>5.28</v>
      </c>
      <c r="I7284" t="s">
        <v>4283</v>
      </c>
    </row>
    <row r="7285" spans="2:9" x14ac:dyDescent="0.2">
      <c r="B7285" t="s">
        <v>4428</v>
      </c>
      <c r="C7285" t="s">
        <v>12944</v>
      </c>
      <c r="D7285" t="s">
        <v>613</v>
      </c>
      <c r="E7285" t="s">
        <v>10763</v>
      </c>
      <c r="F7285">
        <v>637.72</v>
      </c>
      <c r="I7285" t="s">
        <v>4178</v>
      </c>
    </row>
    <row r="7286" spans="2:9" x14ac:dyDescent="0.2">
      <c r="B7286" t="s">
        <v>4428</v>
      </c>
      <c r="C7286" t="s">
        <v>12944</v>
      </c>
      <c r="D7286" t="s">
        <v>613</v>
      </c>
      <c r="E7286" t="s">
        <v>10764</v>
      </c>
      <c r="F7286">
        <v>406.6</v>
      </c>
      <c r="I7286" t="s">
        <v>4180</v>
      </c>
    </row>
    <row r="7287" spans="2:9" x14ac:dyDescent="0.2">
      <c r="B7287" t="s">
        <v>4428</v>
      </c>
      <c r="C7287" t="s">
        <v>12944</v>
      </c>
      <c r="D7287" t="s">
        <v>613</v>
      </c>
      <c r="E7287" t="s">
        <v>10765</v>
      </c>
      <c r="F7287">
        <v>348</v>
      </c>
      <c r="I7287" t="s">
        <v>4849</v>
      </c>
    </row>
    <row r="7288" spans="2:9" x14ac:dyDescent="0.2">
      <c r="B7288" t="s">
        <v>4428</v>
      </c>
      <c r="C7288" t="s">
        <v>12944</v>
      </c>
      <c r="D7288" t="s">
        <v>613</v>
      </c>
      <c r="E7288" t="s">
        <v>10766</v>
      </c>
      <c r="F7288">
        <v>26.75</v>
      </c>
      <c r="I7288" t="s">
        <v>4695</v>
      </c>
    </row>
    <row r="7289" spans="2:9" x14ac:dyDescent="0.2">
      <c r="B7289" t="s">
        <v>4428</v>
      </c>
      <c r="C7289" t="s">
        <v>12944</v>
      </c>
      <c r="D7289" t="s">
        <v>613</v>
      </c>
      <c r="E7289" t="s">
        <v>10767</v>
      </c>
      <c r="F7289">
        <v>26.75</v>
      </c>
      <c r="I7289" t="s">
        <v>4696</v>
      </c>
    </row>
    <row r="7290" spans="2:9" x14ac:dyDescent="0.2">
      <c r="B7290" t="s">
        <v>4428</v>
      </c>
      <c r="C7290" t="s">
        <v>12944</v>
      </c>
      <c r="D7290" t="s">
        <v>613</v>
      </c>
      <c r="E7290" t="s">
        <v>10768</v>
      </c>
      <c r="F7290">
        <v>107</v>
      </c>
      <c r="I7290" t="s">
        <v>4621</v>
      </c>
    </row>
    <row r="7291" spans="2:9" x14ac:dyDescent="0.2">
      <c r="B7291" t="s">
        <v>4428</v>
      </c>
      <c r="C7291" t="s">
        <v>12944</v>
      </c>
      <c r="D7291" t="s">
        <v>613</v>
      </c>
      <c r="E7291" t="s">
        <v>10769</v>
      </c>
      <c r="F7291">
        <v>26.75</v>
      </c>
      <c r="I7291" t="s">
        <v>1595</v>
      </c>
    </row>
    <row r="7292" spans="2:9" x14ac:dyDescent="0.2">
      <c r="B7292" t="s">
        <v>4428</v>
      </c>
      <c r="C7292" t="s">
        <v>12944</v>
      </c>
      <c r="D7292" t="s">
        <v>613</v>
      </c>
      <c r="E7292" t="s">
        <v>10770</v>
      </c>
      <c r="F7292">
        <v>26.75</v>
      </c>
      <c r="I7292" t="s">
        <v>1597</v>
      </c>
    </row>
    <row r="7293" spans="2:9" x14ac:dyDescent="0.2">
      <c r="B7293" t="s">
        <v>4428</v>
      </c>
      <c r="C7293" t="s">
        <v>12944</v>
      </c>
      <c r="D7293" t="s">
        <v>613</v>
      </c>
      <c r="E7293" t="s">
        <v>10771</v>
      </c>
      <c r="F7293">
        <v>0.96</v>
      </c>
      <c r="I7293" t="s">
        <v>1570</v>
      </c>
    </row>
    <row r="7294" spans="2:9" x14ac:dyDescent="0.2">
      <c r="B7294" t="s">
        <v>4428</v>
      </c>
      <c r="C7294" t="s">
        <v>12944</v>
      </c>
      <c r="D7294" t="s">
        <v>613</v>
      </c>
      <c r="E7294" t="s">
        <v>10772</v>
      </c>
      <c r="F7294">
        <v>123.9</v>
      </c>
      <c r="I7294" t="s">
        <v>2501</v>
      </c>
    </row>
    <row r="7295" spans="2:9" x14ac:dyDescent="0.2">
      <c r="B7295" t="s">
        <v>4428</v>
      </c>
      <c r="C7295" t="s">
        <v>12945</v>
      </c>
      <c r="D7295" t="s">
        <v>617</v>
      </c>
      <c r="E7295" t="s">
        <v>10775</v>
      </c>
      <c r="F7295">
        <v>118.24</v>
      </c>
      <c r="H7295" t="s">
        <v>1261</v>
      </c>
    </row>
    <row r="7296" spans="2:9" x14ac:dyDescent="0.2">
      <c r="B7296" t="s">
        <v>4428</v>
      </c>
      <c r="C7296" t="s">
        <v>12945</v>
      </c>
      <c r="D7296" t="s">
        <v>617</v>
      </c>
      <c r="E7296" t="s">
        <v>10776</v>
      </c>
      <c r="F7296">
        <v>118.24</v>
      </c>
      <c r="H7296" t="s">
        <v>1263</v>
      </c>
    </row>
    <row r="7297" spans="2:8" x14ac:dyDescent="0.2">
      <c r="B7297" t="s">
        <v>4428</v>
      </c>
      <c r="C7297" t="s">
        <v>12945</v>
      </c>
      <c r="D7297" t="s">
        <v>617</v>
      </c>
      <c r="E7297" t="s">
        <v>10777</v>
      </c>
      <c r="F7297">
        <v>8208</v>
      </c>
      <c r="H7297" t="s">
        <v>1264</v>
      </c>
    </row>
    <row r="7298" spans="2:8" x14ac:dyDescent="0.2">
      <c r="B7298" t="s">
        <v>4428</v>
      </c>
      <c r="C7298" t="s">
        <v>12945</v>
      </c>
      <c r="D7298" t="s">
        <v>617</v>
      </c>
      <c r="E7298" t="s">
        <v>10778</v>
      </c>
      <c r="F7298">
        <v>582</v>
      </c>
      <c r="H7298" t="s">
        <v>1265</v>
      </c>
    </row>
    <row r="7299" spans="2:8" x14ac:dyDescent="0.2">
      <c r="B7299" t="s">
        <v>4428</v>
      </c>
      <c r="C7299" t="s">
        <v>12945</v>
      </c>
      <c r="D7299" t="s">
        <v>617</v>
      </c>
      <c r="E7299" t="s">
        <v>10779</v>
      </c>
      <c r="F7299">
        <v>410</v>
      </c>
      <c r="H7299" t="s">
        <v>1266</v>
      </c>
    </row>
    <row r="7300" spans="2:8" x14ac:dyDescent="0.2">
      <c r="B7300" t="s">
        <v>4428</v>
      </c>
      <c r="C7300" t="s">
        <v>12945</v>
      </c>
      <c r="D7300" t="s">
        <v>613</v>
      </c>
      <c r="E7300" t="s">
        <v>10782</v>
      </c>
      <c r="F7300">
        <v>20.5</v>
      </c>
      <c r="H7300" t="s">
        <v>5354</v>
      </c>
    </row>
    <row r="7301" spans="2:8" x14ac:dyDescent="0.2">
      <c r="B7301" t="s">
        <v>4428</v>
      </c>
      <c r="C7301" t="s">
        <v>12945</v>
      </c>
      <c r="D7301" t="s">
        <v>617</v>
      </c>
      <c r="E7301" t="s">
        <v>10783</v>
      </c>
      <c r="F7301">
        <v>6.29</v>
      </c>
      <c r="H7301" t="s">
        <v>4495</v>
      </c>
    </row>
    <row r="7302" spans="2:8" x14ac:dyDescent="0.2">
      <c r="B7302" t="s">
        <v>4428</v>
      </c>
      <c r="C7302" t="s">
        <v>12945</v>
      </c>
      <c r="D7302" t="s">
        <v>617</v>
      </c>
      <c r="E7302" t="s">
        <v>10784</v>
      </c>
      <c r="F7302">
        <v>57.75</v>
      </c>
      <c r="H7302" t="s">
        <v>4455</v>
      </c>
    </row>
    <row r="7303" spans="2:8" x14ac:dyDescent="0.2">
      <c r="B7303" t="s">
        <v>4428</v>
      </c>
      <c r="C7303" t="s">
        <v>12945</v>
      </c>
      <c r="D7303" t="s">
        <v>617</v>
      </c>
      <c r="E7303" t="s">
        <v>10785</v>
      </c>
      <c r="F7303">
        <v>54.13</v>
      </c>
      <c r="H7303" t="s">
        <v>4493</v>
      </c>
    </row>
    <row r="7304" spans="2:8" x14ac:dyDescent="0.2">
      <c r="B7304" t="s">
        <v>4428</v>
      </c>
      <c r="C7304" t="s">
        <v>12945</v>
      </c>
      <c r="D7304" t="s">
        <v>617</v>
      </c>
      <c r="E7304" t="s">
        <v>10786</v>
      </c>
      <c r="F7304">
        <v>86.88</v>
      </c>
      <c r="H7304" t="s">
        <v>4492</v>
      </c>
    </row>
    <row r="7305" spans="2:8" x14ac:dyDescent="0.2">
      <c r="B7305" t="s">
        <v>4428</v>
      </c>
      <c r="C7305" t="s">
        <v>12945</v>
      </c>
      <c r="D7305" t="s">
        <v>617</v>
      </c>
      <c r="E7305" t="s">
        <v>10787</v>
      </c>
      <c r="F7305">
        <v>12.76</v>
      </c>
      <c r="H7305" t="s">
        <v>4497</v>
      </c>
    </row>
    <row r="7306" spans="2:8" x14ac:dyDescent="0.2">
      <c r="B7306" t="s">
        <v>4428</v>
      </c>
      <c r="C7306" t="s">
        <v>12945</v>
      </c>
      <c r="D7306" t="s">
        <v>617</v>
      </c>
      <c r="E7306" t="s">
        <v>10788</v>
      </c>
      <c r="F7306">
        <v>256.89</v>
      </c>
      <c r="H7306" t="s">
        <v>4456</v>
      </c>
    </row>
    <row r="7307" spans="2:8" x14ac:dyDescent="0.2">
      <c r="B7307" t="s">
        <v>4428</v>
      </c>
      <c r="C7307" t="s">
        <v>12945</v>
      </c>
      <c r="D7307" t="s">
        <v>617</v>
      </c>
      <c r="E7307" t="s">
        <v>10789</v>
      </c>
      <c r="F7307">
        <v>61.2</v>
      </c>
      <c r="H7307" t="s">
        <v>4468</v>
      </c>
    </row>
    <row r="7308" spans="2:8" x14ac:dyDescent="0.2">
      <c r="B7308" t="s">
        <v>4428</v>
      </c>
      <c r="C7308" t="s">
        <v>12945</v>
      </c>
      <c r="D7308" t="s">
        <v>617</v>
      </c>
      <c r="E7308" t="s">
        <v>10790</v>
      </c>
      <c r="F7308">
        <v>167.41</v>
      </c>
      <c r="H7308" t="s">
        <v>4466</v>
      </c>
    </row>
    <row r="7309" spans="2:8" x14ac:dyDescent="0.2">
      <c r="B7309" t="s">
        <v>4428</v>
      </c>
      <c r="C7309" t="s">
        <v>12945</v>
      </c>
      <c r="D7309" t="s">
        <v>617</v>
      </c>
      <c r="E7309" t="s">
        <v>10791</v>
      </c>
      <c r="F7309">
        <v>46.94</v>
      </c>
      <c r="H7309" t="s">
        <v>4469</v>
      </c>
    </row>
    <row r="7310" spans="2:8" x14ac:dyDescent="0.2">
      <c r="B7310" t="s">
        <v>4428</v>
      </c>
      <c r="C7310" t="s">
        <v>12945</v>
      </c>
      <c r="D7310" t="s">
        <v>617</v>
      </c>
      <c r="E7310" t="s">
        <v>10792</v>
      </c>
      <c r="F7310">
        <v>39.1</v>
      </c>
      <c r="H7310" t="s">
        <v>4458</v>
      </c>
    </row>
    <row r="7311" spans="2:8" x14ac:dyDescent="0.2">
      <c r="B7311" t="s">
        <v>4428</v>
      </c>
      <c r="C7311" t="s">
        <v>12945</v>
      </c>
      <c r="D7311" t="s">
        <v>617</v>
      </c>
      <c r="E7311" t="s">
        <v>10793</v>
      </c>
      <c r="F7311">
        <v>706.91</v>
      </c>
      <c r="H7311" t="s">
        <v>4459</v>
      </c>
    </row>
    <row r="7312" spans="2:8" x14ac:dyDescent="0.2">
      <c r="B7312" t="s">
        <v>4428</v>
      </c>
      <c r="C7312" t="s">
        <v>12945</v>
      </c>
      <c r="D7312" t="s">
        <v>617</v>
      </c>
      <c r="E7312" t="s">
        <v>10794</v>
      </c>
      <c r="F7312">
        <v>363.82</v>
      </c>
      <c r="H7312" t="s">
        <v>4467</v>
      </c>
    </row>
    <row r="7313" spans="2:8" x14ac:dyDescent="0.2">
      <c r="B7313" t="s">
        <v>4428</v>
      </c>
      <c r="C7313" t="s">
        <v>12945</v>
      </c>
      <c r="D7313" t="s">
        <v>617</v>
      </c>
      <c r="E7313" t="s">
        <v>10795</v>
      </c>
      <c r="F7313">
        <v>81.69</v>
      </c>
      <c r="H7313" t="s">
        <v>4498</v>
      </c>
    </row>
    <row r="7314" spans="2:8" x14ac:dyDescent="0.2">
      <c r="B7314" t="s">
        <v>4428</v>
      </c>
      <c r="C7314" t="s">
        <v>12945</v>
      </c>
      <c r="D7314" t="s">
        <v>617</v>
      </c>
      <c r="E7314" t="s">
        <v>10796</v>
      </c>
      <c r="F7314">
        <v>134.55000000000001</v>
      </c>
      <c r="H7314" t="s">
        <v>4460</v>
      </c>
    </row>
    <row r="7315" spans="2:8" x14ac:dyDescent="0.2">
      <c r="B7315" t="s">
        <v>4428</v>
      </c>
      <c r="C7315" t="s">
        <v>12945</v>
      </c>
      <c r="D7315" t="s">
        <v>617</v>
      </c>
      <c r="E7315" t="s">
        <v>10797</v>
      </c>
      <c r="F7315">
        <v>13.55</v>
      </c>
      <c r="H7315" t="s">
        <v>1806</v>
      </c>
    </row>
    <row r="7316" spans="2:8" x14ac:dyDescent="0.2">
      <c r="B7316" t="s">
        <v>4428</v>
      </c>
      <c r="C7316" t="s">
        <v>12945</v>
      </c>
      <c r="D7316" t="s">
        <v>617</v>
      </c>
      <c r="E7316" t="s">
        <v>10798</v>
      </c>
      <c r="F7316">
        <v>242.65</v>
      </c>
      <c r="H7316" t="s">
        <v>4461</v>
      </c>
    </row>
    <row r="7317" spans="2:8" x14ac:dyDescent="0.2">
      <c r="B7317" t="s">
        <v>4428</v>
      </c>
      <c r="C7317" t="s">
        <v>12945</v>
      </c>
      <c r="D7317" t="s">
        <v>617</v>
      </c>
      <c r="E7317" t="s">
        <v>10799</v>
      </c>
      <c r="F7317">
        <v>121.33</v>
      </c>
      <c r="H7317" t="s">
        <v>4462</v>
      </c>
    </row>
    <row r="7318" spans="2:8" x14ac:dyDescent="0.2">
      <c r="B7318" t="s">
        <v>4428</v>
      </c>
      <c r="C7318" t="s">
        <v>12945</v>
      </c>
      <c r="D7318" t="s">
        <v>617</v>
      </c>
      <c r="E7318" t="s">
        <v>10800</v>
      </c>
      <c r="F7318">
        <v>67.27</v>
      </c>
      <c r="H7318" t="s">
        <v>4463</v>
      </c>
    </row>
    <row r="7319" spans="2:8" x14ac:dyDescent="0.2">
      <c r="B7319" t="s">
        <v>4428</v>
      </c>
      <c r="C7319" t="s">
        <v>12945</v>
      </c>
      <c r="D7319" t="s">
        <v>617</v>
      </c>
      <c r="E7319" t="s">
        <v>10801</v>
      </c>
      <c r="F7319">
        <v>51.38</v>
      </c>
      <c r="H7319" t="s">
        <v>4429</v>
      </c>
    </row>
    <row r="7320" spans="2:8" x14ac:dyDescent="0.2">
      <c r="B7320" t="s">
        <v>4428</v>
      </c>
      <c r="C7320" t="s">
        <v>12945</v>
      </c>
      <c r="D7320" t="s">
        <v>617</v>
      </c>
      <c r="E7320" t="s">
        <v>10802</v>
      </c>
      <c r="F7320">
        <v>12.85</v>
      </c>
      <c r="H7320" t="s">
        <v>4429</v>
      </c>
    </row>
    <row r="7321" spans="2:8" x14ac:dyDescent="0.2">
      <c r="B7321" t="s">
        <v>4428</v>
      </c>
      <c r="C7321" t="s">
        <v>12945</v>
      </c>
      <c r="D7321" t="s">
        <v>617</v>
      </c>
      <c r="E7321" t="s">
        <v>10803</v>
      </c>
      <c r="F7321">
        <v>716.78</v>
      </c>
      <c r="H7321" t="s">
        <v>4464</v>
      </c>
    </row>
    <row r="7322" spans="2:8" x14ac:dyDescent="0.2">
      <c r="B7322" t="s">
        <v>4428</v>
      </c>
      <c r="C7322" t="s">
        <v>12945</v>
      </c>
      <c r="D7322" t="s">
        <v>617</v>
      </c>
      <c r="E7322" t="s">
        <v>10804</v>
      </c>
      <c r="F7322">
        <v>55.13</v>
      </c>
      <c r="H7322" t="s">
        <v>4453</v>
      </c>
    </row>
    <row r="7323" spans="2:8" x14ac:dyDescent="0.2">
      <c r="B7323" t="s">
        <v>4428</v>
      </c>
      <c r="C7323" t="s">
        <v>12945</v>
      </c>
      <c r="D7323" t="s">
        <v>617</v>
      </c>
      <c r="E7323" t="s">
        <v>10805</v>
      </c>
      <c r="F7323">
        <v>321.83</v>
      </c>
      <c r="H7323" t="s">
        <v>4465</v>
      </c>
    </row>
    <row r="7324" spans="2:8" x14ac:dyDescent="0.2">
      <c r="B7324" t="s">
        <v>4428</v>
      </c>
      <c r="C7324" t="s">
        <v>12945</v>
      </c>
      <c r="D7324" t="s">
        <v>617</v>
      </c>
      <c r="E7324" t="s">
        <v>10806</v>
      </c>
      <c r="F7324">
        <v>342.9</v>
      </c>
      <c r="H7324" t="s">
        <v>4452</v>
      </c>
    </row>
    <row r="7325" spans="2:8" x14ac:dyDescent="0.2">
      <c r="B7325" t="s">
        <v>4428</v>
      </c>
      <c r="C7325" t="s">
        <v>12945</v>
      </c>
      <c r="D7325" t="s">
        <v>617</v>
      </c>
      <c r="E7325" t="s">
        <v>10807</v>
      </c>
      <c r="F7325">
        <v>1151.0999999999999</v>
      </c>
      <c r="H7325" t="s">
        <v>1267</v>
      </c>
    </row>
    <row r="7326" spans="2:8" x14ac:dyDescent="0.2">
      <c r="B7326" t="s">
        <v>4428</v>
      </c>
      <c r="C7326" t="s">
        <v>12945</v>
      </c>
      <c r="D7326" t="s">
        <v>617</v>
      </c>
      <c r="E7326" t="s">
        <v>10809</v>
      </c>
      <c r="F7326">
        <v>204.77</v>
      </c>
      <c r="H7326" t="s">
        <v>2307</v>
      </c>
    </row>
    <row r="7327" spans="2:8" x14ac:dyDescent="0.2">
      <c r="B7327" t="s">
        <v>4428</v>
      </c>
      <c r="C7327" t="s">
        <v>12945</v>
      </c>
      <c r="D7327" t="s">
        <v>617</v>
      </c>
      <c r="E7327" t="s">
        <v>10810</v>
      </c>
      <c r="F7327">
        <v>614.29999999999995</v>
      </c>
      <c r="H7327" t="s">
        <v>4561</v>
      </c>
    </row>
    <row r="7328" spans="2:8" x14ac:dyDescent="0.2">
      <c r="B7328" t="s">
        <v>4428</v>
      </c>
      <c r="C7328" t="s">
        <v>12945</v>
      </c>
      <c r="D7328" t="s">
        <v>617</v>
      </c>
      <c r="E7328" t="s">
        <v>10811</v>
      </c>
      <c r="F7328">
        <v>1523.13</v>
      </c>
      <c r="H7328" t="s">
        <v>2089</v>
      </c>
    </row>
    <row r="7329" spans="2:8" x14ac:dyDescent="0.2">
      <c r="B7329" t="s">
        <v>4428</v>
      </c>
      <c r="C7329" t="s">
        <v>12945</v>
      </c>
      <c r="D7329" t="s">
        <v>617</v>
      </c>
      <c r="E7329" t="s">
        <v>10812</v>
      </c>
      <c r="F7329">
        <v>190.35</v>
      </c>
      <c r="H7329" t="s">
        <v>4555</v>
      </c>
    </row>
    <row r="7330" spans="2:8" x14ac:dyDescent="0.2">
      <c r="B7330" t="s">
        <v>4428</v>
      </c>
      <c r="C7330" t="s">
        <v>12945</v>
      </c>
      <c r="D7330" t="s">
        <v>617</v>
      </c>
      <c r="E7330" t="s">
        <v>10813</v>
      </c>
      <c r="F7330">
        <v>93.28</v>
      </c>
      <c r="H7330" t="s">
        <v>4491</v>
      </c>
    </row>
    <row r="7331" spans="2:8" x14ac:dyDescent="0.2">
      <c r="B7331" t="s">
        <v>4428</v>
      </c>
      <c r="C7331" t="s">
        <v>12945</v>
      </c>
      <c r="D7331" t="s">
        <v>617</v>
      </c>
      <c r="E7331" t="s">
        <v>10814</v>
      </c>
      <c r="F7331">
        <v>7.18</v>
      </c>
      <c r="H7331" t="s">
        <v>4491</v>
      </c>
    </row>
    <row r="7332" spans="2:8" x14ac:dyDescent="0.2">
      <c r="B7332" t="s">
        <v>4428</v>
      </c>
      <c r="C7332" t="s">
        <v>12945</v>
      </c>
      <c r="D7332" t="s">
        <v>617</v>
      </c>
      <c r="E7332" t="s">
        <v>10815</v>
      </c>
      <c r="F7332">
        <v>57.75</v>
      </c>
      <c r="H7332" t="s">
        <v>4455</v>
      </c>
    </row>
    <row r="7333" spans="2:8" x14ac:dyDescent="0.2">
      <c r="B7333" t="s">
        <v>4428</v>
      </c>
      <c r="C7333" t="s">
        <v>12945</v>
      </c>
      <c r="D7333" t="s">
        <v>617</v>
      </c>
      <c r="E7333" t="s">
        <v>10816</v>
      </c>
      <c r="F7333">
        <v>-57.75</v>
      </c>
      <c r="H7333" t="s">
        <v>4455</v>
      </c>
    </row>
    <row r="7334" spans="2:8" x14ac:dyDescent="0.2">
      <c r="B7334" t="s">
        <v>4428</v>
      </c>
      <c r="C7334" t="s">
        <v>12945</v>
      </c>
      <c r="D7334" t="s">
        <v>617</v>
      </c>
      <c r="E7334" t="s">
        <v>10817</v>
      </c>
      <c r="F7334">
        <v>57.75</v>
      </c>
      <c r="H7334" t="s">
        <v>4455</v>
      </c>
    </row>
    <row r="7335" spans="2:8" x14ac:dyDescent="0.2">
      <c r="B7335" t="s">
        <v>4428</v>
      </c>
      <c r="C7335" t="s">
        <v>12945</v>
      </c>
      <c r="D7335" t="s">
        <v>617</v>
      </c>
      <c r="E7335" t="s">
        <v>10818</v>
      </c>
      <c r="F7335">
        <v>438.9</v>
      </c>
      <c r="H7335" t="s">
        <v>4455</v>
      </c>
    </row>
    <row r="7336" spans="2:8" x14ac:dyDescent="0.2">
      <c r="B7336" t="s">
        <v>4428</v>
      </c>
      <c r="C7336" t="s">
        <v>12945</v>
      </c>
      <c r="D7336" t="s">
        <v>617</v>
      </c>
      <c r="E7336" t="s">
        <v>10819</v>
      </c>
      <c r="F7336">
        <v>216.52</v>
      </c>
      <c r="H7336" t="s">
        <v>4493</v>
      </c>
    </row>
    <row r="7337" spans="2:8" x14ac:dyDescent="0.2">
      <c r="B7337" t="s">
        <v>4428</v>
      </c>
      <c r="C7337" t="s">
        <v>12945</v>
      </c>
      <c r="D7337" t="s">
        <v>617</v>
      </c>
      <c r="E7337" t="s">
        <v>10820</v>
      </c>
      <c r="F7337">
        <v>570.42999999999995</v>
      </c>
      <c r="H7337" t="s">
        <v>1485</v>
      </c>
    </row>
    <row r="7338" spans="2:8" x14ac:dyDescent="0.2">
      <c r="B7338" t="s">
        <v>4428</v>
      </c>
      <c r="C7338" t="s">
        <v>12945</v>
      </c>
      <c r="D7338" t="s">
        <v>617</v>
      </c>
      <c r="E7338" t="s">
        <v>10821</v>
      </c>
      <c r="F7338">
        <v>301.22000000000003</v>
      </c>
      <c r="H7338" t="s">
        <v>4490</v>
      </c>
    </row>
    <row r="7339" spans="2:8" x14ac:dyDescent="0.2">
      <c r="B7339" t="s">
        <v>4428</v>
      </c>
      <c r="C7339" t="s">
        <v>12945</v>
      </c>
      <c r="D7339" t="s">
        <v>617</v>
      </c>
      <c r="E7339" t="s">
        <v>10822</v>
      </c>
      <c r="F7339">
        <v>285.61</v>
      </c>
      <c r="H7339" t="s">
        <v>2314</v>
      </c>
    </row>
    <row r="7340" spans="2:8" x14ac:dyDescent="0.2">
      <c r="B7340" t="s">
        <v>4428</v>
      </c>
      <c r="C7340" t="s">
        <v>12945</v>
      </c>
      <c r="D7340" t="s">
        <v>617</v>
      </c>
      <c r="E7340" t="s">
        <v>10823</v>
      </c>
      <c r="F7340">
        <v>811.06</v>
      </c>
      <c r="H7340" t="s">
        <v>4562</v>
      </c>
    </row>
    <row r="7341" spans="2:8" x14ac:dyDescent="0.2">
      <c r="B7341" t="s">
        <v>4428</v>
      </c>
      <c r="C7341" t="s">
        <v>12945</v>
      </c>
      <c r="D7341" t="s">
        <v>617</v>
      </c>
      <c r="E7341" t="s">
        <v>10824</v>
      </c>
      <c r="F7341">
        <v>458.69</v>
      </c>
      <c r="H7341" t="s">
        <v>2216</v>
      </c>
    </row>
    <row r="7342" spans="2:8" x14ac:dyDescent="0.2">
      <c r="B7342" t="s">
        <v>4428</v>
      </c>
      <c r="C7342" t="s">
        <v>12945</v>
      </c>
      <c r="D7342" t="s">
        <v>617</v>
      </c>
      <c r="E7342" t="s">
        <v>10825</v>
      </c>
      <c r="F7342">
        <v>282.10000000000002</v>
      </c>
      <c r="H7342" t="s">
        <v>4551</v>
      </c>
    </row>
    <row r="7343" spans="2:8" x14ac:dyDescent="0.2">
      <c r="B7343" t="s">
        <v>4428</v>
      </c>
      <c r="C7343" t="s">
        <v>12945</v>
      </c>
      <c r="D7343" t="s">
        <v>617</v>
      </c>
      <c r="E7343" t="s">
        <v>10826</v>
      </c>
      <c r="F7343">
        <v>155.93</v>
      </c>
      <c r="H7343" t="s">
        <v>4552</v>
      </c>
    </row>
    <row r="7344" spans="2:8" x14ac:dyDescent="0.2">
      <c r="B7344" t="s">
        <v>4428</v>
      </c>
      <c r="C7344" t="s">
        <v>12945</v>
      </c>
      <c r="D7344" t="s">
        <v>617</v>
      </c>
      <c r="E7344" t="s">
        <v>10827</v>
      </c>
      <c r="F7344">
        <v>438.4</v>
      </c>
      <c r="H7344" t="s">
        <v>4554</v>
      </c>
    </row>
    <row r="7345" spans="2:8" x14ac:dyDescent="0.2">
      <c r="B7345" t="s">
        <v>4428</v>
      </c>
      <c r="C7345" t="s">
        <v>12945</v>
      </c>
      <c r="D7345" t="s">
        <v>617</v>
      </c>
      <c r="E7345" t="s">
        <v>10828</v>
      </c>
      <c r="F7345">
        <v>55.13</v>
      </c>
      <c r="H7345" t="s">
        <v>4453</v>
      </c>
    </row>
    <row r="7346" spans="2:8" x14ac:dyDescent="0.2">
      <c r="B7346" t="s">
        <v>4428</v>
      </c>
      <c r="C7346" t="s">
        <v>12945</v>
      </c>
      <c r="D7346" t="s">
        <v>617</v>
      </c>
      <c r="E7346" t="s">
        <v>10829</v>
      </c>
      <c r="F7346">
        <v>-55.13</v>
      </c>
      <c r="H7346" t="s">
        <v>4453</v>
      </c>
    </row>
    <row r="7347" spans="2:8" x14ac:dyDescent="0.2">
      <c r="B7347" t="s">
        <v>4428</v>
      </c>
      <c r="C7347" t="s">
        <v>12945</v>
      </c>
      <c r="D7347" t="s">
        <v>617</v>
      </c>
      <c r="E7347" t="s">
        <v>10830</v>
      </c>
      <c r="F7347">
        <v>55.13</v>
      </c>
      <c r="H7347" t="s">
        <v>4453</v>
      </c>
    </row>
    <row r="7348" spans="2:8" x14ac:dyDescent="0.2">
      <c r="B7348" t="s">
        <v>4428</v>
      </c>
      <c r="C7348" t="s">
        <v>12945</v>
      </c>
      <c r="D7348" t="s">
        <v>617</v>
      </c>
      <c r="E7348" t="s">
        <v>10831</v>
      </c>
      <c r="F7348">
        <v>418.99</v>
      </c>
      <c r="H7348" t="s">
        <v>4453</v>
      </c>
    </row>
    <row r="7349" spans="2:8" x14ac:dyDescent="0.2">
      <c r="B7349" t="s">
        <v>4428</v>
      </c>
      <c r="C7349" t="s">
        <v>12945</v>
      </c>
      <c r="D7349" t="s">
        <v>617</v>
      </c>
      <c r="E7349" t="s">
        <v>10832</v>
      </c>
      <c r="F7349">
        <v>3739.35</v>
      </c>
      <c r="H7349" t="s">
        <v>4563</v>
      </c>
    </row>
    <row r="7350" spans="2:8" x14ac:dyDescent="0.2">
      <c r="B7350" t="s">
        <v>4428</v>
      </c>
      <c r="C7350" t="s">
        <v>12945</v>
      </c>
      <c r="D7350" t="s">
        <v>617</v>
      </c>
      <c r="E7350" t="s">
        <v>10833</v>
      </c>
      <c r="F7350">
        <v>659.44</v>
      </c>
      <c r="H7350" t="s">
        <v>4564</v>
      </c>
    </row>
    <row r="7351" spans="2:8" x14ac:dyDescent="0.2">
      <c r="B7351" t="s">
        <v>4428</v>
      </c>
      <c r="C7351" t="s">
        <v>12945</v>
      </c>
      <c r="D7351" t="s">
        <v>617</v>
      </c>
      <c r="E7351" t="s">
        <v>10834</v>
      </c>
      <c r="F7351">
        <v>407.6</v>
      </c>
      <c r="H7351" t="s">
        <v>4553</v>
      </c>
    </row>
    <row r="7352" spans="2:8" x14ac:dyDescent="0.2">
      <c r="B7352" t="s">
        <v>4428</v>
      </c>
      <c r="C7352" t="s">
        <v>12945</v>
      </c>
      <c r="D7352" t="s">
        <v>617</v>
      </c>
      <c r="E7352" t="s">
        <v>10835</v>
      </c>
      <c r="F7352">
        <v>870.9</v>
      </c>
      <c r="H7352" t="s">
        <v>4565</v>
      </c>
    </row>
    <row r="7353" spans="2:8" x14ac:dyDescent="0.2">
      <c r="B7353" t="s">
        <v>4428</v>
      </c>
      <c r="C7353" t="s">
        <v>12945</v>
      </c>
      <c r="D7353" t="s">
        <v>617</v>
      </c>
      <c r="E7353" t="s">
        <v>10836</v>
      </c>
      <c r="F7353">
        <v>575.71</v>
      </c>
      <c r="H7353" t="s">
        <v>4566</v>
      </c>
    </row>
    <row r="7354" spans="2:8" x14ac:dyDescent="0.2">
      <c r="B7354" t="s">
        <v>4428</v>
      </c>
      <c r="C7354" t="s">
        <v>12945</v>
      </c>
      <c r="D7354" t="s">
        <v>617</v>
      </c>
      <c r="E7354" t="s">
        <v>10837</v>
      </c>
      <c r="F7354">
        <v>418.8</v>
      </c>
      <c r="H7354" t="s">
        <v>1481</v>
      </c>
    </row>
    <row r="7355" spans="2:8" x14ac:dyDescent="0.2">
      <c r="B7355" t="s">
        <v>4428</v>
      </c>
      <c r="C7355" t="s">
        <v>12945</v>
      </c>
      <c r="D7355" t="s">
        <v>617</v>
      </c>
      <c r="E7355" t="s">
        <v>10838</v>
      </c>
      <c r="F7355">
        <v>216</v>
      </c>
      <c r="H7355" t="s">
        <v>2862</v>
      </c>
    </row>
    <row r="7356" spans="2:8" x14ac:dyDescent="0.2">
      <c r="B7356" t="s">
        <v>4428</v>
      </c>
      <c r="C7356" t="s">
        <v>12945</v>
      </c>
      <c r="D7356" t="s">
        <v>617</v>
      </c>
      <c r="E7356" t="s">
        <v>10839</v>
      </c>
      <c r="F7356">
        <v>67.599999999999994</v>
      </c>
      <c r="H7356" t="s">
        <v>2933</v>
      </c>
    </row>
    <row r="7357" spans="2:8" x14ac:dyDescent="0.2">
      <c r="B7357" t="s">
        <v>4428</v>
      </c>
      <c r="C7357" t="s">
        <v>12945</v>
      </c>
      <c r="D7357" t="s">
        <v>617</v>
      </c>
      <c r="E7357" t="s">
        <v>10840</v>
      </c>
      <c r="F7357">
        <v>97.6</v>
      </c>
      <c r="H7357" t="s">
        <v>2935</v>
      </c>
    </row>
    <row r="7358" spans="2:8" x14ac:dyDescent="0.2">
      <c r="B7358" t="s">
        <v>4428</v>
      </c>
      <c r="C7358" t="s">
        <v>12945</v>
      </c>
      <c r="D7358" t="s">
        <v>617</v>
      </c>
      <c r="E7358" t="s">
        <v>10841</v>
      </c>
      <c r="F7358">
        <v>630.45000000000005</v>
      </c>
      <c r="H7358" t="s">
        <v>3671</v>
      </c>
    </row>
    <row r="7359" spans="2:8" x14ac:dyDescent="0.2">
      <c r="B7359" t="s">
        <v>4428</v>
      </c>
      <c r="C7359" t="s">
        <v>12945</v>
      </c>
      <c r="D7359" t="s">
        <v>613</v>
      </c>
      <c r="E7359" t="s">
        <v>10842</v>
      </c>
      <c r="F7359">
        <v>930</v>
      </c>
      <c r="H7359" t="s">
        <v>4523</v>
      </c>
    </row>
    <row r="7360" spans="2:8" x14ac:dyDescent="0.2">
      <c r="B7360" t="s">
        <v>4428</v>
      </c>
      <c r="C7360" t="s">
        <v>12945</v>
      </c>
      <c r="D7360" t="s">
        <v>613</v>
      </c>
      <c r="E7360" t="s">
        <v>10843</v>
      </c>
      <c r="F7360">
        <v>926.2</v>
      </c>
      <c r="H7360" t="s">
        <v>1268</v>
      </c>
    </row>
    <row r="7361" spans="2:8" x14ac:dyDescent="0.2">
      <c r="B7361" t="s">
        <v>4428</v>
      </c>
      <c r="C7361" t="s">
        <v>12945</v>
      </c>
      <c r="D7361" t="s">
        <v>613</v>
      </c>
      <c r="E7361" t="s">
        <v>10844</v>
      </c>
      <c r="F7361">
        <v>400</v>
      </c>
      <c r="H7361" t="s">
        <v>1269</v>
      </c>
    </row>
    <row r="7362" spans="2:8" x14ac:dyDescent="0.2">
      <c r="B7362" t="s">
        <v>4428</v>
      </c>
      <c r="C7362" t="s">
        <v>12945</v>
      </c>
      <c r="D7362" t="s">
        <v>613</v>
      </c>
      <c r="E7362" t="s">
        <v>10845</v>
      </c>
      <c r="F7362">
        <v>323.66000000000003</v>
      </c>
      <c r="H7362" t="s">
        <v>1282</v>
      </c>
    </row>
    <row r="7363" spans="2:8" x14ac:dyDescent="0.2">
      <c r="B7363" t="s">
        <v>4428</v>
      </c>
      <c r="C7363" t="s">
        <v>12945</v>
      </c>
      <c r="D7363" t="s">
        <v>613</v>
      </c>
      <c r="E7363" t="s">
        <v>10846</v>
      </c>
      <c r="F7363">
        <v>629.51</v>
      </c>
      <c r="H7363" t="s">
        <v>1284</v>
      </c>
    </row>
    <row r="7364" spans="2:8" x14ac:dyDescent="0.2">
      <c r="B7364" t="s">
        <v>4428</v>
      </c>
      <c r="C7364" t="s">
        <v>12945</v>
      </c>
      <c r="D7364" t="s">
        <v>613</v>
      </c>
      <c r="E7364" t="s">
        <v>10847</v>
      </c>
      <c r="F7364">
        <v>2125</v>
      </c>
      <c r="H7364" t="s">
        <v>1298</v>
      </c>
    </row>
    <row r="7365" spans="2:8" x14ac:dyDescent="0.2">
      <c r="B7365" t="s">
        <v>4428</v>
      </c>
      <c r="C7365" t="s">
        <v>12945</v>
      </c>
      <c r="D7365" t="s">
        <v>617</v>
      </c>
      <c r="E7365" t="s">
        <v>10848</v>
      </c>
      <c r="F7365">
        <v>1738.2</v>
      </c>
      <c r="H7365" t="s">
        <v>1317</v>
      </c>
    </row>
    <row r="7366" spans="2:8" x14ac:dyDescent="0.2">
      <c r="B7366" t="s">
        <v>4428</v>
      </c>
      <c r="C7366" t="s">
        <v>12945</v>
      </c>
      <c r="D7366" t="s">
        <v>617</v>
      </c>
      <c r="E7366" t="s">
        <v>10849</v>
      </c>
      <c r="F7366">
        <v>304.66000000000003</v>
      </c>
      <c r="H7366" t="s">
        <v>1327</v>
      </c>
    </row>
    <row r="7367" spans="2:8" x14ac:dyDescent="0.2">
      <c r="B7367" t="s">
        <v>4428</v>
      </c>
      <c r="C7367" t="s">
        <v>12945</v>
      </c>
      <c r="D7367" t="s">
        <v>617</v>
      </c>
      <c r="E7367" t="s">
        <v>10850</v>
      </c>
      <c r="F7367">
        <v>515.22</v>
      </c>
      <c r="H7367" t="s">
        <v>1325</v>
      </c>
    </row>
    <row r="7368" spans="2:8" x14ac:dyDescent="0.2">
      <c r="B7368" t="s">
        <v>4428</v>
      </c>
      <c r="C7368" t="s">
        <v>12945</v>
      </c>
      <c r="D7368" t="s">
        <v>617</v>
      </c>
      <c r="E7368" t="s">
        <v>10851</v>
      </c>
      <c r="F7368">
        <v>121.7</v>
      </c>
      <c r="H7368" t="s">
        <v>2306</v>
      </c>
    </row>
    <row r="7369" spans="2:8" x14ac:dyDescent="0.2">
      <c r="B7369" t="s">
        <v>4428</v>
      </c>
      <c r="C7369" t="s">
        <v>12945</v>
      </c>
      <c r="D7369" t="s">
        <v>613</v>
      </c>
      <c r="E7369" t="s">
        <v>10852</v>
      </c>
      <c r="F7369">
        <v>3.39</v>
      </c>
      <c r="H7369" t="s">
        <v>7007</v>
      </c>
    </row>
    <row r="7370" spans="2:8" x14ac:dyDescent="0.2">
      <c r="B7370" t="s">
        <v>4428</v>
      </c>
      <c r="C7370" t="s">
        <v>12945</v>
      </c>
      <c r="D7370" t="s">
        <v>617</v>
      </c>
      <c r="E7370" t="s">
        <v>10854</v>
      </c>
      <c r="F7370">
        <v>14.9</v>
      </c>
      <c r="H7370" t="s">
        <v>5251</v>
      </c>
    </row>
    <row r="7371" spans="2:8" x14ac:dyDescent="0.2">
      <c r="B7371" t="s">
        <v>4428</v>
      </c>
      <c r="C7371" t="s">
        <v>12945</v>
      </c>
      <c r="D7371" t="s">
        <v>617</v>
      </c>
      <c r="E7371" t="s">
        <v>10855</v>
      </c>
      <c r="F7371">
        <v>9.23</v>
      </c>
      <c r="H7371" t="s">
        <v>6489</v>
      </c>
    </row>
    <row r="7372" spans="2:8" x14ac:dyDescent="0.2">
      <c r="B7372" t="s">
        <v>4428</v>
      </c>
      <c r="C7372" t="s">
        <v>12945</v>
      </c>
      <c r="D7372" t="s">
        <v>617</v>
      </c>
      <c r="E7372" t="s">
        <v>10856</v>
      </c>
      <c r="F7372">
        <v>24.51</v>
      </c>
      <c r="H7372" t="s">
        <v>10857</v>
      </c>
    </row>
    <row r="7373" spans="2:8" x14ac:dyDescent="0.2">
      <c r="B7373" t="s">
        <v>4428</v>
      </c>
      <c r="C7373" t="s">
        <v>12945</v>
      </c>
      <c r="D7373" t="s">
        <v>617</v>
      </c>
      <c r="E7373" t="s">
        <v>10858</v>
      </c>
      <c r="F7373">
        <v>26.4</v>
      </c>
      <c r="H7373" t="s">
        <v>5897</v>
      </c>
    </row>
    <row r="7374" spans="2:8" x14ac:dyDescent="0.2">
      <c r="B7374" t="s">
        <v>4428</v>
      </c>
      <c r="C7374" t="s">
        <v>12945</v>
      </c>
      <c r="D7374" t="s">
        <v>617</v>
      </c>
      <c r="E7374" t="s">
        <v>10859</v>
      </c>
      <c r="F7374">
        <v>22</v>
      </c>
      <c r="H7374" t="s">
        <v>4878</v>
      </c>
    </row>
    <row r="7375" spans="2:8" x14ac:dyDescent="0.2">
      <c r="B7375" t="s">
        <v>4428</v>
      </c>
      <c r="C7375" t="s">
        <v>12945</v>
      </c>
      <c r="D7375" t="s">
        <v>617</v>
      </c>
      <c r="E7375" t="s">
        <v>10860</v>
      </c>
      <c r="F7375">
        <v>9.1</v>
      </c>
      <c r="H7375" t="s">
        <v>8343</v>
      </c>
    </row>
    <row r="7376" spans="2:8" x14ac:dyDescent="0.2">
      <c r="B7376" t="s">
        <v>4428</v>
      </c>
      <c r="C7376" t="s">
        <v>12945</v>
      </c>
      <c r="D7376" t="s">
        <v>617</v>
      </c>
      <c r="E7376" t="s">
        <v>10861</v>
      </c>
      <c r="F7376">
        <v>6.68</v>
      </c>
      <c r="H7376" t="s">
        <v>7595</v>
      </c>
    </row>
    <row r="7377" spans="2:8" x14ac:dyDescent="0.2">
      <c r="B7377" t="s">
        <v>4428</v>
      </c>
      <c r="C7377" t="s">
        <v>12945</v>
      </c>
      <c r="D7377" t="s">
        <v>617</v>
      </c>
      <c r="E7377" t="s">
        <v>10862</v>
      </c>
      <c r="F7377">
        <v>15.3</v>
      </c>
      <c r="H7377" t="s">
        <v>7593</v>
      </c>
    </row>
    <row r="7378" spans="2:8" x14ac:dyDescent="0.2">
      <c r="B7378" t="s">
        <v>4428</v>
      </c>
      <c r="C7378" t="s">
        <v>12945</v>
      </c>
      <c r="D7378" t="s">
        <v>617</v>
      </c>
      <c r="E7378" t="s">
        <v>10863</v>
      </c>
      <c r="F7378">
        <v>33.090000000000003</v>
      </c>
      <c r="H7378" t="s">
        <v>5077</v>
      </c>
    </row>
    <row r="7379" spans="2:8" x14ac:dyDescent="0.2">
      <c r="B7379" t="s">
        <v>4428</v>
      </c>
      <c r="C7379" t="s">
        <v>12945</v>
      </c>
      <c r="D7379" t="s">
        <v>617</v>
      </c>
      <c r="E7379" t="s">
        <v>10864</v>
      </c>
      <c r="F7379">
        <v>31.68</v>
      </c>
      <c r="H7379" t="s">
        <v>8641</v>
      </c>
    </row>
    <row r="7380" spans="2:8" x14ac:dyDescent="0.2">
      <c r="B7380" t="s">
        <v>4428</v>
      </c>
      <c r="C7380" t="s">
        <v>12945</v>
      </c>
      <c r="D7380" t="s">
        <v>617</v>
      </c>
      <c r="E7380" t="s">
        <v>10865</v>
      </c>
      <c r="F7380">
        <v>4.3499999999999996</v>
      </c>
      <c r="H7380" t="s">
        <v>5075</v>
      </c>
    </row>
    <row r="7381" spans="2:8" x14ac:dyDescent="0.2">
      <c r="B7381" t="s">
        <v>4428</v>
      </c>
      <c r="C7381" t="s">
        <v>12945</v>
      </c>
      <c r="D7381" t="s">
        <v>613</v>
      </c>
      <c r="E7381" t="s">
        <v>10866</v>
      </c>
      <c r="F7381">
        <v>9.4</v>
      </c>
      <c r="H7381" t="s">
        <v>7585</v>
      </c>
    </row>
    <row r="7382" spans="2:8" x14ac:dyDescent="0.2">
      <c r="B7382" t="s">
        <v>4428</v>
      </c>
      <c r="C7382" t="s">
        <v>12945</v>
      </c>
      <c r="D7382" t="s">
        <v>613</v>
      </c>
      <c r="E7382" t="s">
        <v>10867</v>
      </c>
      <c r="F7382">
        <v>3.3</v>
      </c>
      <c r="H7382" t="s">
        <v>6183</v>
      </c>
    </row>
    <row r="7383" spans="2:8" x14ac:dyDescent="0.2">
      <c r="B7383" t="s">
        <v>4428</v>
      </c>
      <c r="C7383" t="s">
        <v>12945</v>
      </c>
      <c r="D7383" t="s">
        <v>613</v>
      </c>
      <c r="E7383" t="s">
        <v>10868</v>
      </c>
      <c r="F7383">
        <v>0.57999999999999996</v>
      </c>
      <c r="H7383" t="s">
        <v>9955</v>
      </c>
    </row>
    <row r="7384" spans="2:8" x14ac:dyDescent="0.2">
      <c r="B7384" t="s">
        <v>4428</v>
      </c>
      <c r="C7384" t="s">
        <v>12945</v>
      </c>
      <c r="D7384" t="s">
        <v>613</v>
      </c>
      <c r="E7384" t="s">
        <v>10869</v>
      </c>
      <c r="F7384">
        <v>3.05</v>
      </c>
      <c r="H7384" t="s">
        <v>10870</v>
      </c>
    </row>
    <row r="7385" spans="2:8" x14ac:dyDescent="0.2">
      <c r="B7385" t="s">
        <v>4428</v>
      </c>
      <c r="C7385" t="s">
        <v>12945</v>
      </c>
      <c r="D7385" t="s">
        <v>613</v>
      </c>
      <c r="E7385" t="s">
        <v>10871</v>
      </c>
      <c r="F7385">
        <v>0.6</v>
      </c>
      <c r="H7385" t="s">
        <v>7606</v>
      </c>
    </row>
    <row r="7386" spans="2:8" x14ac:dyDescent="0.2">
      <c r="B7386" t="s">
        <v>4428</v>
      </c>
      <c r="C7386" t="s">
        <v>12945</v>
      </c>
      <c r="D7386" t="s">
        <v>613</v>
      </c>
      <c r="E7386" t="s">
        <v>10872</v>
      </c>
      <c r="F7386">
        <v>4.5</v>
      </c>
      <c r="H7386" t="s">
        <v>10873</v>
      </c>
    </row>
    <row r="7387" spans="2:8" x14ac:dyDescent="0.2">
      <c r="B7387" t="s">
        <v>4428</v>
      </c>
      <c r="C7387" t="s">
        <v>12945</v>
      </c>
      <c r="D7387" t="s">
        <v>617</v>
      </c>
      <c r="E7387" t="s">
        <v>10874</v>
      </c>
      <c r="F7387">
        <v>1.85</v>
      </c>
      <c r="H7387" t="s">
        <v>8269</v>
      </c>
    </row>
    <row r="7388" spans="2:8" x14ac:dyDescent="0.2">
      <c r="B7388" t="s">
        <v>4428</v>
      </c>
      <c r="C7388" t="s">
        <v>12945</v>
      </c>
      <c r="D7388" t="s">
        <v>617</v>
      </c>
      <c r="E7388" t="s">
        <v>10875</v>
      </c>
      <c r="F7388">
        <v>7.25</v>
      </c>
      <c r="H7388" t="s">
        <v>5075</v>
      </c>
    </row>
    <row r="7389" spans="2:8" x14ac:dyDescent="0.2">
      <c r="B7389" t="s">
        <v>4428</v>
      </c>
      <c r="C7389" t="s">
        <v>12945</v>
      </c>
      <c r="D7389" t="s">
        <v>617</v>
      </c>
      <c r="E7389" t="s">
        <v>10876</v>
      </c>
      <c r="F7389">
        <v>5.15</v>
      </c>
      <c r="H7389" t="s">
        <v>7915</v>
      </c>
    </row>
    <row r="7390" spans="2:8" x14ac:dyDescent="0.2">
      <c r="B7390" t="s">
        <v>4428</v>
      </c>
      <c r="C7390" t="s">
        <v>12945</v>
      </c>
      <c r="D7390" t="s">
        <v>617</v>
      </c>
      <c r="E7390" t="s">
        <v>10877</v>
      </c>
      <c r="F7390">
        <v>3.6</v>
      </c>
      <c r="H7390" t="s">
        <v>5255</v>
      </c>
    </row>
    <row r="7391" spans="2:8" x14ac:dyDescent="0.2">
      <c r="B7391" t="s">
        <v>4428</v>
      </c>
      <c r="C7391" t="s">
        <v>12945</v>
      </c>
      <c r="D7391" t="s">
        <v>613</v>
      </c>
      <c r="E7391" t="s">
        <v>10878</v>
      </c>
      <c r="F7391">
        <v>0.88</v>
      </c>
      <c r="H7391" t="s">
        <v>6609</v>
      </c>
    </row>
    <row r="7392" spans="2:8" x14ac:dyDescent="0.2">
      <c r="B7392" t="s">
        <v>4428</v>
      </c>
      <c r="C7392" t="s">
        <v>12945</v>
      </c>
      <c r="D7392" t="s">
        <v>613</v>
      </c>
      <c r="E7392" t="s">
        <v>10879</v>
      </c>
      <c r="F7392">
        <v>1.4</v>
      </c>
      <c r="H7392" t="s">
        <v>10880</v>
      </c>
    </row>
    <row r="7393" spans="2:8" x14ac:dyDescent="0.2">
      <c r="B7393" t="s">
        <v>4428</v>
      </c>
      <c r="C7393" t="s">
        <v>12945</v>
      </c>
      <c r="D7393" t="s">
        <v>613</v>
      </c>
      <c r="E7393" t="s">
        <v>10881</v>
      </c>
      <c r="F7393">
        <v>0.14000000000000001</v>
      </c>
      <c r="H7393" t="s">
        <v>10880</v>
      </c>
    </row>
    <row r="7394" spans="2:8" x14ac:dyDescent="0.2">
      <c r="B7394" t="s">
        <v>4428</v>
      </c>
      <c r="C7394" t="s">
        <v>12945</v>
      </c>
      <c r="D7394" t="s">
        <v>613</v>
      </c>
      <c r="E7394" t="s">
        <v>10882</v>
      </c>
      <c r="F7394">
        <v>0.77</v>
      </c>
      <c r="H7394" t="s">
        <v>5271</v>
      </c>
    </row>
    <row r="7395" spans="2:8" x14ac:dyDescent="0.2">
      <c r="B7395" t="s">
        <v>4428</v>
      </c>
      <c r="C7395" t="s">
        <v>12945</v>
      </c>
      <c r="D7395" t="s">
        <v>613</v>
      </c>
      <c r="E7395" t="s">
        <v>10884</v>
      </c>
      <c r="F7395">
        <v>30.75</v>
      </c>
      <c r="H7395" t="s">
        <v>5354</v>
      </c>
    </row>
    <row r="7396" spans="2:8" x14ac:dyDescent="0.2">
      <c r="B7396" t="s">
        <v>4428</v>
      </c>
      <c r="C7396" t="s">
        <v>12945</v>
      </c>
      <c r="D7396" t="s">
        <v>617</v>
      </c>
      <c r="E7396" t="s">
        <v>10885</v>
      </c>
      <c r="F7396">
        <v>4.2</v>
      </c>
      <c r="H7396" t="s">
        <v>4495</v>
      </c>
    </row>
    <row r="7397" spans="2:8" x14ac:dyDescent="0.2">
      <c r="B7397" t="s">
        <v>4428</v>
      </c>
      <c r="C7397" t="s">
        <v>12945</v>
      </c>
      <c r="D7397" t="s">
        <v>617</v>
      </c>
      <c r="E7397" t="s">
        <v>10886</v>
      </c>
      <c r="F7397">
        <v>57.75</v>
      </c>
      <c r="H7397" t="s">
        <v>4455</v>
      </c>
    </row>
    <row r="7398" spans="2:8" x14ac:dyDescent="0.2">
      <c r="B7398" t="s">
        <v>4428</v>
      </c>
      <c r="C7398" t="s">
        <v>12945</v>
      </c>
      <c r="D7398" t="s">
        <v>617</v>
      </c>
      <c r="E7398" t="s">
        <v>10887</v>
      </c>
      <c r="F7398">
        <v>-57.75</v>
      </c>
      <c r="H7398" t="s">
        <v>4455</v>
      </c>
    </row>
    <row r="7399" spans="2:8" x14ac:dyDescent="0.2">
      <c r="B7399" t="s">
        <v>4428</v>
      </c>
      <c r="C7399" t="s">
        <v>12945</v>
      </c>
      <c r="D7399" t="s">
        <v>617</v>
      </c>
      <c r="E7399" t="s">
        <v>10888</v>
      </c>
      <c r="F7399">
        <v>57.75</v>
      </c>
      <c r="H7399" t="s">
        <v>4455</v>
      </c>
    </row>
    <row r="7400" spans="2:8" x14ac:dyDescent="0.2">
      <c r="B7400" t="s">
        <v>4428</v>
      </c>
      <c r="C7400" t="s">
        <v>12945</v>
      </c>
      <c r="D7400" t="s">
        <v>617</v>
      </c>
      <c r="E7400" t="s">
        <v>10889</v>
      </c>
      <c r="F7400">
        <v>28.88</v>
      </c>
      <c r="H7400" t="s">
        <v>4455</v>
      </c>
    </row>
    <row r="7401" spans="2:8" x14ac:dyDescent="0.2">
      <c r="B7401" t="s">
        <v>4428</v>
      </c>
      <c r="C7401" t="s">
        <v>12945</v>
      </c>
      <c r="D7401" t="s">
        <v>617</v>
      </c>
      <c r="E7401" t="s">
        <v>10890</v>
      </c>
      <c r="F7401">
        <v>81.2</v>
      </c>
      <c r="H7401" t="s">
        <v>4493</v>
      </c>
    </row>
    <row r="7402" spans="2:8" x14ac:dyDescent="0.2">
      <c r="B7402" t="s">
        <v>4428</v>
      </c>
      <c r="C7402" t="s">
        <v>12945</v>
      </c>
      <c r="D7402" t="s">
        <v>617</v>
      </c>
      <c r="E7402" t="s">
        <v>10891</v>
      </c>
      <c r="F7402">
        <v>610.36</v>
      </c>
      <c r="H7402" t="s">
        <v>4567</v>
      </c>
    </row>
    <row r="7403" spans="2:8" x14ac:dyDescent="0.2">
      <c r="B7403" t="s">
        <v>4428</v>
      </c>
      <c r="C7403" t="s">
        <v>12945</v>
      </c>
      <c r="D7403" t="s">
        <v>617</v>
      </c>
      <c r="E7403" t="s">
        <v>10892</v>
      </c>
      <c r="F7403">
        <v>130.32</v>
      </c>
      <c r="H7403" t="s">
        <v>4492</v>
      </c>
    </row>
    <row r="7404" spans="2:8" x14ac:dyDescent="0.2">
      <c r="B7404" t="s">
        <v>4428</v>
      </c>
      <c r="C7404" t="s">
        <v>12945</v>
      </c>
      <c r="D7404" t="s">
        <v>617</v>
      </c>
      <c r="E7404" t="s">
        <v>10893</v>
      </c>
      <c r="F7404">
        <v>177.69</v>
      </c>
      <c r="H7404" t="s">
        <v>2073</v>
      </c>
    </row>
    <row r="7405" spans="2:8" x14ac:dyDescent="0.2">
      <c r="B7405" t="s">
        <v>4428</v>
      </c>
      <c r="C7405" t="s">
        <v>12945</v>
      </c>
      <c r="D7405" t="s">
        <v>617</v>
      </c>
      <c r="E7405" t="s">
        <v>10894</v>
      </c>
      <c r="F7405">
        <v>19.149999999999999</v>
      </c>
      <c r="H7405" t="s">
        <v>4497</v>
      </c>
    </row>
    <row r="7406" spans="2:8" x14ac:dyDescent="0.2">
      <c r="B7406" t="s">
        <v>4428</v>
      </c>
      <c r="C7406" t="s">
        <v>12945</v>
      </c>
      <c r="D7406" t="s">
        <v>617</v>
      </c>
      <c r="E7406" t="s">
        <v>10895</v>
      </c>
      <c r="F7406">
        <v>46.94</v>
      </c>
      <c r="H7406" t="s">
        <v>4469</v>
      </c>
    </row>
    <row r="7407" spans="2:8" x14ac:dyDescent="0.2">
      <c r="B7407" t="s">
        <v>4428</v>
      </c>
      <c r="C7407" t="s">
        <v>12945</v>
      </c>
      <c r="D7407" t="s">
        <v>617</v>
      </c>
      <c r="E7407" t="s">
        <v>10896</v>
      </c>
      <c r="F7407">
        <v>14.08</v>
      </c>
      <c r="H7407" t="s">
        <v>4469</v>
      </c>
    </row>
    <row r="7408" spans="2:8" x14ac:dyDescent="0.2">
      <c r="B7408" t="s">
        <v>4428</v>
      </c>
      <c r="C7408" t="s">
        <v>12945</v>
      </c>
      <c r="D7408" t="s">
        <v>617</v>
      </c>
      <c r="E7408" t="s">
        <v>10897</v>
      </c>
      <c r="F7408">
        <v>9.39</v>
      </c>
      <c r="H7408" t="s">
        <v>4469</v>
      </c>
    </row>
    <row r="7409" spans="2:8" x14ac:dyDescent="0.2">
      <c r="B7409" t="s">
        <v>4428</v>
      </c>
      <c r="C7409" t="s">
        <v>12945</v>
      </c>
      <c r="D7409" t="s">
        <v>617</v>
      </c>
      <c r="E7409" t="s">
        <v>10898</v>
      </c>
      <c r="F7409">
        <v>14.08</v>
      </c>
      <c r="H7409" t="s">
        <v>4469</v>
      </c>
    </row>
    <row r="7410" spans="2:8" x14ac:dyDescent="0.2">
      <c r="B7410" t="s">
        <v>4428</v>
      </c>
      <c r="C7410" t="s">
        <v>12945</v>
      </c>
      <c r="D7410" t="s">
        <v>617</v>
      </c>
      <c r="E7410" t="s">
        <v>10899</v>
      </c>
      <c r="F7410">
        <v>11.73</v>
      </c>
      <c r="H7410" t="s">
        <v>4458</v>
      </c>
    </row>
    <row r="7411" spans="2:8" x14ac:dyDescent="0.2">
      <c r="B7411" t="s">
        <v>4428</v>
      </c>
      <c r="C7411" t="s">
        <v>12945</v>
      </c>
      <c r="D7411" t="s">
        <v>617</v>
      </c>
      <c r="E7411" t="s">
        <v>10900</v>
      </c>
      <c r="F7411">
        <v>70.650000000000006</v>
      </c>
      <c r="H7411" t="s">
        <v>4576</v>
      </c>
    </row>
    <row r="7412" spans="2:8" x14ac:dyDescent="0.2">
      <c r="B7412" t="s">
        <v>4428</v>
      </c>
      <c r="C7412" t="s">
        <v>12945</v>
      </c>
      <c r="D7412" t="s">
        <v>617</v>
      </c>
      <c r="E7412" t="s">
        <v>10901</v>
      </c>
      <c r="F7412">
        <v>70.02</v>
      </c>
      <c r="H7412" t="s">
        <v>4498</v>
      </c>
    </row>
    <row r="7413" spans="2:8" x14ac:dyDescent="0.2">
      <c r="B7413" t="s">
        <v>4428</v>
      </c>
      <c r="C7413" t="s">
        <v>12945</v>
      </c>
      <c r="D7413" t="s">
        <v>617</v>
      </c>
      <c r="E7413" t="s">
        <v>10902</v>
      </c>
      <c r="F7413">
        <v>48.26</v>
      </c>
      <c r="H7413" t="s">
        <v>3366</v>
      </c>
    </row>
    <row r="7414" spans="2:8" x14ac:dyDescent="0.2">
      <c r="B7414" t="s">
        <v>4428</v>
      </c>
      <c r="C7414" t="s">
        <v>12945</v>
      </c>
      <c r="D7414" t="s">
        <v>617</v>
      </c>
      <c r="E7414" t="s">
        <v>10903</v>
      </c>
      <c r="F7414">
        <v>418.53</v>
      </c>
      <c r="H7414" t="s">
        <v>4568</v>
      </c>
    </row>
    <row r="7415" spans="2:8" x14ac:dyDescent="0.2">
      <c r="B7415" t="s">
        <v>4428</v>
      </c>
      <c r="C7415" t="s">
        <v>12945</v>
      </c>
      <c r="D7415" t="s">
        <v>617</v>
      </c>
      <c r="E7415" t="s">
        <v>10904</v>
      </c>
      <c r="F7415">
        <v>134.55000000000001</v>
      </c>
      <c r="H7415" t="s">
        <v>4460</v>
      </c>
    </row>
    <row r="7416" spans="2:8" x14ac:dyDescent="0.2">
      <c r="B7416" t="s">
        <v>4428</v>
      </c>
      <c r="C7416" t="s">
        <v>12945</v>
      </c>
      <c r="D7416" t="s">
        <v>617</v>
      </c>
      <c r="E7416" t="s">
        <v>10905</v>
      </c>
      <c r="F7416">
        <v>67.27</v>
      </c>
      <c r="H7416" t="s">
        <v>4460</v>
      </c>
    </row>
    <row r="7417" spans="2:8" x14ac:dyDescent="0.2">
      <c r="B7417" t="s">
        <v>4428</v>
      </c>
      <c r="C7417" t="s">
        <v>12945</v>
      </c>
      <c r="D7417" t="s">
        <v>617</v>
      </c>
      <c r="E7417" t="s">
        <v>10906</v>
      </c>
      <c r="F7417">
        <v>218.12</v>
      </c>
      <c r="H7417" t="s">
        <v>4575</v>
      </c>
    </row>
    <row r="7418" spans="2:8" x14ac:dyDescent="0.2">
      <c r="B7418" t="s">
        <v>4428</v>
      </c>
      <c r="C7418" t="s">
        <v>12945</v>
      </c>
      <c r="D7418" t="s">
        <v>617</v>
      </c>
      <c r="E7418" t="s">
        <v>10907</v>
      </c>
      <c r="F7418">
        <v>207.65</v>
      </c>
      <c r="H7418" t="s">
        <v>4577</v>
      </c>
    </row>
    <row r="7419" spans="2:8" x14ac:dyDescent="0.2">
      <c r="B7419" t="s">
        <v>4428</v>
      </c>
      <c r="C7419" t="s">
        <v>12945</v>
      </c>
      <c r="D7419" t="s">
        <v>617</v>
      </c>
      <c r="E7419" t="s">
        <v>10908</v>
      </c>
      <c r="F7419">
        <v>6.78</v>
      </c>
      <c r="H7419" t="s">
        <v>1806</v>
      </c>
    </row>
    <row r="7420" spans="2:8" x14ac:dyDescent="0.2">
      <c r="B7420" t="s">
        <v>4428</v>
      </c>
      <c r="C7420" t="s">
        <v>12945</v>
      </c>
      <c r="D7420" t="s">
        <v>617</v>
      </c>
      <c r="E7420" t="s">
        <v>10909</v>
      </c>
      <c r="F7420">
        <v>77.900000000000006</v>
      </c>
      <c r="H7420" t="s">
        <v>4569</v>
      </c>
    </row>
    <row r="7421" spans="2:8" x14ac:dyDescent="0.2">
      <c r="B7421" t="s">
        <v>4428</v>
      </c>
      <c r="C7421" t="s">
        <v>12945</v>
      </c>
      <c r="D7421" t="s">
        <v>617</v>
      </c>
      <c r="E7421" t="s">
        <v>10910</v>
      </c>
      <c r="F7421">
        <v>88.36</v>
      </c>
      <c r="H7421" t="s">
        <v>4570</v>
      </c>
    </row>
    <row r="7422" spans="2:8" x14ac:dyDescent="0.2">
      <c r="B7422" t="s">
        <v>4428</v>
      </c>
      <c r="C7422" t="s">
        <v>12945</v>
      </c>
      <c r="D7422" t="s">
        <v>617</v>
      </c>
      <c r="E7422" t="s">
        <v>10911</v>
      </c>
      <c r="F7422">
        <v>49.3</v>
      </c>
      <c r="H7422" t="s">
        <v>4571</v>
      </c>
    </row>
    <row r="7423" spans="2:8" x14ac:dyDescent="0.2">
      <c r="B7423" t="s">
        <v>4428</v>
      </c>
      <c r="C7423" t="s">
        <v>12945</v>
      </c>
      <c r="D7423" t="s">
        <v>617</v>
      </c>
      <c r="E7423" t="s">
        <v>10912</v>
      </c>
      <c r="F7423">
        <v>181.99</v>
      </c>
      <c r="H7423" t="s">
        <v>4572</v>
      </c>
    </row>
    <row r="7424" spans="2:8" x14ac:dyDescent="0.2">
      <c r="B7424" t="s">
        <v>4428</v>
      </c>
      <c r="C7424" t="s">
        <v>12945</v>
      </c>
      <c r="D7424" t="s">
        <v>617</v>
      </c>
      <c r="E7424" t="s">
        <v>10913</v>
      </c>
      <c r="F7424">
        <v>242.65</v>
      </c>
      <c r="H7424" t="s">
        <v>4461</v>
      </c>
    </row>
    <row r="7425" spans="2:8" x14ac:dyDescent="0.2">
      <c r="B7425" t="s">
        <v>4428</v>
      </c>
      <c r="C7425" t="s">
        <v>12945</v>
      </c>
      <c r="D7425" t="s">
        <v>617</v>
      </c>
      <c r="E7425" t="s">
        <v>10914</v>
      </c>
      <c r="F7425">
        <v>121.33</v>
      </c>
      <c r="H7425" t="s">
        <v>4461</v>
      </c>
    </row>
    <row r="7426" spans="2:8" x14ac:dyDescent="0.2">
      <c r="B7426" t="s">
        <v>4428</v>
      </c>
      <c r="C7426" t="s">
        <v>12945</v>
      </c>
      <c r="D7426" t="s">
        <v>617</v>
      </c>
      <c r="E7426" t="s">
        <v>10915</v>
      </c>
      <c r="F7426">
        <v>121.33</v>
      </c>
      <c r="H7426" t="s">
        <v>4462</v>
      </c>
    </row>
    <row r="7427" spans="2:8" x14ac:dyDescent="0.2">
      <c r="B7427" t="s">
        <v>4428</v>
      </c>
      <c r="C7427" t="s">
        <v>12945</v>
      </c>
      <c r="D7427" t="s">
        <v>617</v>
      </c>
      <c r="E7427" t="s">
        <v>10916</v>
      </c>
      <c r="F7427">
        <v>133.46</v>
      </c>
      <c r="H7427" t="s">
        <v>4462</v>
      </c>
    </row>
    <row r="7428" spans="2:8" x14ac:dyDescent="0.2">
      <c r="B7428" t="s">
        <v>4428</v>
      </c>
      <c r="C7428" t="s">
        <v>12945</v>
      </c>
      <c r="D7428" t="s">
        <v>617</v>
      </c>
      <c r="E7428" t="s">
        <v>10917</v>
      </c>
      <c r="F7428">
        <v>100.91</v>
      </c>
      <c r="H7428" t="s">
        <v>4573</v>
      </c>
    </row>
    <row r="7429" spans="2:8" x14ac:dyDescent="0.2">
      <c r="B7429" t="s">
        <v>4428</v>
      </c>
      <c r="C7429" t="s">
        <v>12945</v>
      </c>
      <c r="D7429" t="s">
        <v>617</v>
      </c>
      <c r="E7429" t="s">
        <v>10918</v>
      </c>
      <c r="F7429">
        <v>67.27</v>
      </c>
      <c r="H7429" t="s">
        <v>4463</v>
      </c>
    </row>
    <row r="7430" spans="2:8" x14ac:dyDescent="0.2">
      <c r="B7430" t="s">
        <v>4428</v>
      </c>
      <c r="C7430" t="s">
        <v>12945</v>
      </c>
      <c r="D7430" t="s">
        <v>617</v>
      </c>
      <c r="E7430" t="s">
        <v>10919</v>
      </c>
      <c r="F7430">
        <v>74</v>
      </c>
      <c r="H7430" t="s">
        <v>4463</v>
      </c>
    </row>
    <row r="7431" spans="2:8" x14ac:dyDescent="0.2">
      <c r="B7431" t="s">
        <v>4428</v>
      </c>
      <c r="C7431" t="s">
        <v>12945</v>
      </c>
      <c r="D7431" t="s">
        <v>617</v>
      </c>
      <c r="E7431" t="s">
        <v>10920</v>
      </c>
      <c r="F7431">
        <v>51.38</v>
      </c>
      <c r="H7431" t="s">
        <v>4429</v>
      </c>
    </row>
    <row r="7432" spans="2:8" x14ac:dyDescent="0.2">
      <c r="B7432" t="s">
        <v>4428</v>
      </c>
      <c r="C7432" t="s">
        <v>12945</v>
      </c>
      <c r="D7432" t="s">
        <v>617</v>
      </c>
      <c r="E7432" t="s">
        <v>10921</v>
      </c>
      <c r="F7432">
        <v>12.85</v>
      </c>
      <c r="H7432" t="s">
        <v>4429</v>
      </c>
    </row>
    <row r="7433" spans="2:8" x14ac:dyDescent="0.2">
      <c r="B7433" t="s">
        <v>4428</v>
      </c>
      <c r="C7433" t="s">
        <v>12945</v>
      </c>
      <c r="D7433" t="s">
        <v>617</v>
      </c>
      <c r="E7433" t="s">
        <v>10922</v>
      </c>
      <c r="F7433">
        <v>12.85</v>
      </c>
      <c r="H7433" t="s">
        <v>4429</v>
      </c>
    </row>
    <row r="7434" spans="2:8" x14ac:dyDescent="0.2">
      <c r="B7434" t="s">
        <v>4428</v>
      </c>
      <c r="C7434" t="s">
        <v>12945</v>
      </c>
      <c r="D7434" t="s">
        <v>617</v>
      </c>
      <c r="E7434" t="s">
        <v>10923</v>
      </c>
      <c r="F7434">
        <v>55.13</v>
      </c>
      <c r="H7434" t="s">
        <v>4453</v>
      </c>
    </row>
    <row r="7435" spans="2:8" x14ac:dyDescent="0.2">
      <c r="B7435" t="s">
        <v>4428</v>
      </c>
      <c r="C7435" t="s">
        <v>12945</v>
      </c>
      <c r="D7435" t="s">
        <v>617</v>
      </c>
      <c r="E7435" t="s">
        <v>10924</v>
      </c>
      <c r="F7435">
        <v>-55.13</v>
      </c>
      <c r="H7435" t="s">
        <v>4453</v>
      </c>
    </row>
    <row r="7436" spans="2:8" x14ac:dyDescent="0.2">
      <c r="B7436" t="s">
        <v>4428</v>
      </c>
      <c r="C7436" t="s">
        <v>12945</v>
      </c>
      <c r="D7436" t="s">
        <v>617</v>
      </c>
      <c r="E7436" t="s">
        <v>10925</v>
      </c>
      <c r="F7436">
        <v>55.13</v>
      </c>
      <c r="H7436" t="s">
        <v>4453</v>
      </c>
    </row>
    <row r="7437" spans="2:8" x14ac:dyDescent="0.2">
      <c r="B7437" t="s">
        <v>4428</v>
      </c>
      <c r="C7437" t="s">
        <v>12945</v>
      </c>
      <c r="D7437" t="s">
        <v>617</v>
      </c>
      <c r="E7437" t="s">
        <v>10926</v>
      </c>
      <c r="F7437">
        <v>27.56</v>
      </c>
      <c r="H7437" t="s">
        <v>4453</v>
      </c>
    </row>
    <row r="7438" spans="2:8" x14ac:dyDescent="0.2">
      <c r="B7438" t="s">
        <v>4428</v>
      </c>
      <c r="C7438" t="s">
        <v>12945</v>
      </c>
      <c r="D7438" t="s">
        <v>617</v>
      </c>
      <c r="E7438" t="s">
        <v>10927</v>
      </c>
      <c r="F7438">
        <v>824.85</v>
      </c>
      <c r="H7438" t="s">
        <v>4549</v>
      </c>
    </row>
    <row r="7439" spans="2:8" x14ac:dyDescent="0.2">
      <c r="B7439" t="s">
        <v>4428</v>
      </c>
      <c r="C7439" t="s">
        <v>12945</v>
      </c>
      <c r="D7439" t="s">
        <v>617</v>
      </c>
      <c r="E7439" t="s">
        <v>10928</v>
      </c>
      <c r="F7439">
        <v>5.68</v>
      </c>
      <c r="H7439" t="s">
        <v>4501</v>
      </c>
    </row>
    <row r="7440" spans="2:8" x14ac:dyDescent="0.2">
      <c r="B7440" t="s">
        <v>4428</v>
      </c>
      <c r="C7440" t="s">
        <v>12945</v>
      </c>
      <c r="D7440" t="s">
        <v>617</v>
      </c>
      <c r="E7440" t="s">
        <v>10929</v>
      </c>
      <c r="F7440">
        <v>30.69</v>
      </c>
      <c r="H7440" t="s">
        <v>2080</v>
      </c>
    </row>
    <row r="7441" spans="2:8" x14ac:dyDescent="0.2">
      <c r="B7441" t="s">
        <v>4428</v>
      </c>
      <c r="C7441" t="s">
        <v>12945</v>
      </c>
      <c r="D7441" t="s">
        <v>617</v>
      </c>
      <c r="E7441" t="s">
        <v>10930</v>
      </c>
      <c r="F7441">
        <v>95.51</v>
      </c>
      <c r="H7441" t="s">
        <v>4574</v>
      </c>
    </row>
    <row r="7442" spans="2:8" x14ac:dyDescent="0.2">
      <c r="B7442" t="s">
        <v>4428</v>
      </c>
      <c r="C7442" t="s">
        <v>12945</v>
      </c>
      <c r="D7442" t="s">
        <v>617</v>
      </c>
      <c r="E7442" t="s">
        <v>10931</v>
      </c>
      <c r="F7442">
        <v>1218.1500000000001</v>
      </c>
      <c r="H7442" t="s">
        <v>4547</v>
      </c>
    </row>
    <row r="7443" spans="2:8" x14ac:dyDescent="0.2">
      <c r="B7443" t="s">
        <v>4428</v>
      </c>
      <c r="C7443" t="s">
        <v>12945</v>
      </c>
      <c r="D7443" t="s">
        <v>621</v>
      </c>
      <c r="E7443" t="s">
        <v>10934</v>
      </c>
      <c r="F7443">
        <v>123.9</v>
      </c>
      <c r="H7443" t="s">
        <v>6963</v>
      </c>
    </row>
    <row r="7444" spans="2:8" x14ac:dyDescent="0.2">
      <c r="B7444" t="s">
        <v>4428</v>
      </c>
      <c r="C7444" t="s">
        <v>12945</v>
      </c>
      <c r="D7444" t="s">
        <v>621</v>
      </c>
      <c r="E7444" t="s">
        <v>10935</v>
      </c>
      <c r="F7444">
        <v>144</v>
      </c>
      <c r="H7444" t="s">
        <v>1768</v>
      </c>
    </row>
    <row r="7445" spans="2:8" x14ac:dyDescent="0.2">
      <c r="B7445" t="s">
        <v>4428</v>
      </c>
      <c r="C7445" t="s">
        <v>12945</v>
      </c>
      <c r="D7445" t="s">
        <v>621</v>
      </c>
      <c r="E7445" t="s">
        <v>10936</v>
      </c>
      <c r="F7445">
        <v>717.11</v>
      </c>
      <c r="H7445" t="s">
        <v>1674</v>
      </c>
    </row>
    <row r="7446" spans="2:8" x14ac:dyDescent="0.2">
      <c r="B7446" t="s">
        <v>4428</v>
      </c>
      <c r="C7446" t="s">
        <v>12945</v>
      </c>
      <c r="D7446" t="s">
        <v>621</v>
      </c>
      <c r="E7446" t="s">
        <v>10937</v>
      </c>
      <c r="F7446">
        <v>536.4</v>
      </c>
      <c r="H7446" t="s">
        <v>1675</v>
      </c>
    </row>
    <row r="7447" spans="2:8" x14ac:dyDescent="0.2">
      <c r="B7447" t="s">
        <v>4428</v>
      </c>
      <c r="C7447" t="s">
        <v>12945</v>
      </c>
      <c r="D7447" t="s">
        <v>621</v>
      </c>
      <c r="E7447" t="s">
        <v>10938</v>
      </c>
      <c r="F7447">
        <v>5240</v>
      </c>
      <c r="H7447" t="s">
        <v>1668</v>
      </c>
    </row>
    <row r="7448" spans="2:8" x14ac:dyDescent="0.2">
      <c r="B7448" t="s">
        <v>4428</v>
      </c>
      <c r="C7448" t="s">
        <v>12945</v>
      </c>
      <c r="D7448" t="s">
        <v>621</v>
      </c>
      <c r="E7448" t="s">
        <v>10939</v>
      </c>
      <c r="F7448">
        <v>223</v>
      </c>
      <c r="H7448" t="s">
        <v>1673</v>
      </c>
    </row>
    <row r="7449" spans="2:8" x14ac:dyDescent="0.2">
      <c r="B7449" t="s">
        <v>4428</v>
      </c>
      <c r="C7449" t="s">
        <v>12945</v>
      </c>
      <c r="D7449" t="s">
        <v>621</v>
      </c>
      <c r="E7449" t="s">
        <v>10940</v>
      </c>
      <c r="F7449">
        <v>356</v>
      </c>
      <c r="H7449" t="s">
        <v>8809</v>
      </c>
    </row>
    <row r="7450" spans="2:8" x14ac:dyDescent="0.2">
      <c r="B7450" t="s">
        <v>4428</v>
      </c>
      <c r="C7450" t="s">
        <v>12945</v>
      </c>
      <c r="D7450" t="s">
        <v>621</v>
      </c>
      <c r="E7450" t="s">
        <v>10941</v>
      </c>
      <c r="F7450">
        <v>1237.5</v>
      </c>
      <c r="H7450" t="s">
        <v>8021</v>
      </c>
    </row>
    <row r="7451" spans="2:8" x14ac:dyDescent="0.2">
      <c r="B7451" t="s">
        <v>4428</v>
      </c>
      <c r="C7451" t="s">
        <v>12945</v>
      </c>
      <c r="D7451" t="s">
        <v>621</v>
      </c>
      <c r="E7451" t="s">
        <v>10942</v>
      </c>
      <c r="F7451">
        <v>822</v>
      </c>
      <c r="H7451" t="s">
        <v>1671</v>
      </c>
    </row>
    <row r="7452" spans="2:8" x14ac:dyDescent="0.2">
      <c r="B7452" t="s">
        <v>4428</v>
      </c>
      <c r="C7452" t="s">
        <v>12945</v>
      </c>
      <c r="D7452" t="s">
        <v>621</v>
      </c>
      <c r="E7452" t="s">
        <v>10943</v>
      </c>
      <c r="F7452">
        <v>645</v>
      </c>
      <c r="H7452" t="s">
        <v>1672</v>
      </c>
    </row>
    <row r="7453" spans="2:8" x14ac:dyDescent="0.2">
      <c r="B7453" t="s">
        <v>4428</v>
      </c>
      <c r="C7453" t="s">
        <v>12945</v>
      </c>
      <c r="D7453" t="s">
        <v>621</v>
      </c>
      <c r="E7453" t="s">
        <v>10944</v>
      </c>
      <c r="F7453">
        <v>1143.68</v>
      </c>
      <c r="H7453" t="s">
        <v>6645</v>
      </c>
    </row>
    <row r="7454" spans="2:8" x14ac:dyDescent="0.2">
      <c r="B7454" t="s">
        <v>4428</v>
      </c>
      <c r="C7454" t="s">
        <v>12945</v>
      </c>
      <c r="D7454" t="s">
        <v>621</v>
      </c>
      <c r="E7454" t="s">
        <v>10945</v>
      </c>
      <c r="F7454">
        <v>1785</v>
      </c>
      <c r="H7454" t="s">
        <v>1769</v>
      </c>
    </row>
    <row r="7455" spans="2:8" x14ac:dyDescent="0.2">
      <c r="B7455" t="s">
        <v>4428</v>
      </c>
      <c r="C7455" t="s">
        <v>12945</v>
      </c>
      <c r="D7455" t="s">
        <v>621</v>
      </c>
      <c r="E7455" t="s">
        <v>10946</v>
      </c>
      <c r="F7455">
        <v>2096</v>
      </c>
      <c r="H7455" t="s">
        <v>1670</v>
      </c>
    </row>
    <row r="7456" spans="2:8" x14ac:dyDescent="0.2">
      <c r="B7456" t="s">
        <v>4428</v>
      </c>
      <c r="C7456" t="s">
        <v>12945</v>
      </c>
      <c r="D7456" t="s">
        <v>621</v>
      </c>
      <c r="E7456" t="s">
        <v>10947</v>
      </c>
      <c r="F7456">
        <v>1856</v>
      </c>
      <c r="H7456" t="s">
        <v>4541</v>
      </c>
    </row>
    <row r="7457" spans="2:8" x14ac:dyDescent="0.2">
      <c r="B7457" t="s">
        <v>4428</v>
      </c>
      <c r="C7457" t="s">
        <v>12945</v>
      </c>
      <c r="D7457" t="s">
        <v>621</v>
      </c>
      <c r="E7457" t="s">
        <v>10948</v>
      </c>
      <c r="F7457">
        <v>491.76</v>
      </c>
      <c r="H7457" t="s">
        <v>1665</v>
      </c>
    </row>
    <row r="7458" spans="2:8" x14ac:dyDescent="0.2">
      <c r="B7458" t="s">
        <v>4428</v>
      </c>
      <c r="C7458" t="s">
        <v>12945</v>
      </c>
      <c r="D7458" t="s">
        <v>621</v>
      </c>
      <c r="E7458" t="s">
        <v>10949</v>
      </c>
      <c r="F7458">
        <v>193.92</v>
      </c>
      <c r="H7458" t="s">
        <v>10933</v>
      </c>
    </row>
    <row r="7459" spans="2:8" x14ac:dyDescent="0.2">
      <c r="B7459" t="s">
        <v>4428</v>
      </c>
      <c r="C7459" t="s">
        <v>12945</v>
      </c>
      <c r="D7459" t="s">
        <v>621</v>
      </c>
      <c r="E7459" t="s">
        <v>10950</v>
      </c>
      <c r="F7459">
        <v>82.05</v>
      </c>
      <c r="H7459" t="s">
        <v>10951</v>
      </c>
    </row>
    <row r="7460" spans="2:8" x14ac:dyDescent="0.2">
      <c r="B7460" t="s">
        <v>4428</v>
      </c>
      <c r="C7460" t="s">
        <v>12945</v>
      </c>
      <c r="D7460" t="s">
        <v>621</v>
      </c>
      <c r="E7460" t="s">
        <v>10952</v>
      </c>
      <c r="F7460">
        <v>205.14</v>
      </c>
      <c r="H7460" t="s">
        <v>10951</v>
      </c>
    </row>
    <row r="7461" spans="2:8" x14ac:dyDescent="0.2">
      <c r="B7461" t="s">
        <v>4428</v>
      </c>
      <c r="C7461" t="s">
        <v>12945</v>
      </c>
      <c r="D7461" t="s">
        <v>613</v>
      </c>
      <c r="E7461" t="s">
        <v>10953</v>
      </c>
      <c r="F7461">
        <v>12.83</v>
      </c>
      <c r="H7461" t="s">
        <v>7578</v>
      </c>
    </row>
    <row r="7462" spans="2:8" x14ac:dyDescent="0.2">
      <c r="B7462" t="s">
        <v>4428</v>
      </c>
      <c r="C7462" t="s">
        <v>12945</v>
      </c>
      <c r="D7462" t="s">
        <v>613</v>
      </c>
      <c r="E7462" t="s">
        <v>10954</v>
      </c>
      <c r="F7462">
        <v>3.63</v>
      </c>
      <c r="H7462" t="s">
        <v>9314</v>
      </c>
    </row>
    <row r="7463" spans="2:8" x14ac:dyDescent="0.2">
      <c r="B7463" t="s">
        <v>4428</v>
      </c>
      <c r="C7463" t="s">
        <v>12945</v>
      </c>
      <c r="D7463" t="s">
        <v>617</v>
      </c>
      <c r="E7463" t="s">
        <v>10955</v>
      </c>
      <c r="F7463">
        <v>21.64</v>
      </c>
      <c r="H7463" t="s">
        <v>1616</v>
      </c>
    </row>
    <row r="7464" spans="2:8" x14ac:dyDescent="0.2">
      <c r="B7464" t="s">
        <v>4428</v>
      </c>
      <c r="C7464" t="s">
        <v>12945</v>
      </c>
      <c r="D7464" t="s">
        <v>621</v>
      </c>
      <c r="E7464" t="s">
        <v>10956</v>
      </c>
      <c r="F7464">
        <v>21.36</v>
      </c>
      <c r="H7464" t="s">
        <v>8874</v>
      </c>
    </row>
    <row r="7465" spans="2:8" x14ac:dyDescent="0.2">
      <c r="B7465" t="s">
        <v>4428</v>
      </c>
      <c r="C7465" t="s">
        <v>12945</v>
      </c>
      <c r="D7465" t="s">
        <v>621</v>
      </c>
      <c r="E7465" t="s">
        <v>10957</v>
      </c>
      <c r="F7465">
        <v>38.81</v>
      </c>
      <c r="H7465" t="s">
        <v>7784</v>
      </c>
    </row>
    <row r="7466" spans="2:8" x14ac:dyDescent="0.2">
      <c r="B7466" t="s">
        <v>4428</v>
      </c>
      <c r="C7466" t="s">
        <v>12945</v>
      </c>
      <c r="D7466" t="s">
        <v>621</v>
      </c>
      <c r="E7466" t="s">
        <v>10958</v>
      </c>
      <c r="F7466">
        <v>10.47</v>
      </c>
      <c r="H7466" t="s">
        <v>6563</v>
      </c>
    </row>
    <row r="7467" spans="2:8" x14ac:dyDescent="0.2">
      <c r="B7467" t="s">
        <v>4428</v>
      </c>
      <c r="C7467" t="s">
        <v>12945</v>
      </c>
      <c r="D7467" t="s">
        <v>621</v>
      </c>
      <c r="E7467" t="s">
        <v>10959</v>
      </c>
      <c r="F7467">
        <v>45.42</v>
      </c>
      <c r="H7467" t="s">
        <v>6561</v>
      </c>
    </row>
    <row r="7468" spans="2:8" x14ac:dyDescent="0.2">
      <c r="B7468" t="s">
        <v>4428</v>
      </c>
      <c r="C7468" t="s">
        <v>12945</v>
      </c>
      <c r="D7468" t="s">
        <v>621</v>
      </c>
      <c r="E7468" t="s">
        <v>10960</v>
      </c>
      <c r="F7468">
        <v>12.51</v>
      </c>
      <c r="H7468" t="s">
        <v>8417</v>
      </c>
    </row>
    <row r="7469" spans="2:8" x14ac:dyDescent="0.2">
      <c r="B7469" t="s">
        <v>4428</v>
      </c>
      <c r="C7469" t="s">
        <v>12945</v>
      </c>
      <c r="D7469" t="s">
        <v>621</v>
      </c>
      <c r="E7469" t="s">
        <v>10961</v>
      </c>
      <c r="F7469">
        <v>17.510000000000002</v>
      </c>
      <c r="H7469" t="s">
        <v>10962</v>
      </c>
    </row>
    <row r="7470" spans="2:8" x14ac:dyDescent="0.2">
      <c r="B7470" t="s">
        <v>4428</v>
      </c>
      <c r="C7470" t="s">
        <v>12945</v>
      </c>
      <c r="D7470" t="s">
        <v>621</v>
      </c>
      <c r="E7470" t="s">
        <v>10963</v>
      </c>
      <c r="F7470">
        <v>24</v>
      </c>
      <c r="H7470" t="s">
        <v>6642</v>
      </c>
    </row>
    <row r="7471" spans="2:8" x14ac:dyDescent="0.2">
      <c r="B7471" t="s">
        <v>4428</v>
      </c>
      <c r="C7471" t="s">
        <v>12945</v>
      </c>
      <c r="D7471" t="s">
        <v>621</v>
      </c>
      <c r="E7471" t="s">
        <v>10964</v>
      </c>
      <c r="F7471">
        <v>120</v>
      </c>
      <c r="H7471" t="s">
        <v>6642</v>
      </c>
    </row>
    <row r="7472" spans="2:8" x14ac:dyDescent="0.2">
      <c r="B7472" t="s">
        <v>4428</v>
      </c>
      <c r="C7472" t="s">
        <v>12945</v>
      </c>
      <c r="D7472" t="s">
        <v>613</v>
      </c>
      <c r="E7472" t="s">
        <v>10965</v>
      </c>
      <c r="F7472">
        <v>25</v>
      </c>
      <c r="H7472" t="s">
        <v>7588</v>
      </c>
    </row>
    <row r="7473" spans="2:8" x14ac:dyDescent="0.2">
      <c r="B7473" t="s">
        <v>4428</v>
      </c>
      <c r="C7473" t="s">
        <v>12945</v>
      </c>
      <c r="D7473" t="s">
        <v>621</v>
      </c>
      <c r="E7473" t="s">
        <v>10966</v>
      </c>
      <c r="F7473">
        <v>22.86</v>
      </c>
      <c r="H7473" t="s">
        <v>9884</v>
      </c>
    </row>
    <row r="7474" spans="2:8" x14ac:dyDescent="0.2">
      <c r="B7474" t="s">
        <v>4428</v>
      </c>
      <c r="C7474" t="s">
        <v>12945</v>
      </c>
      <c r="D7474" t="s">
        <v>621</v>
      </c>
      <c r="E7474" t="s">
        <v>10967</v>
      </c>
      <c r="F7474">
        <v>46.98</v>
      </c>
      <c r="H7474" t="s">
        <v>7628</v>
      </c>
    </row>
    <row r="7475" spans="2:8" x14ac:dyDescent="0.2">
      <c r="B7475" t="s">
        <v>4428</v>
      </c>
      <c r="C7475" t="s">
        <v>12945</v>
      </c>
      <c r="D7475" t="s">
        <v>621</v>
      </c>
      <c r="E7475" t="s">
        <v>10968</v>
      </c>
      <c r="F7475">
        <v>60</v>
      </c>
      <c r="H7475" t="s">
        <v>10969</v>
      </c>
    </row>
    <row r="7476" spans="2:8" x14ac:dyDescent="0.2">
      <c r="B7476" t="s">
        <v>4428</v>
      </c>
      <c r="C7476" t="s">
        <v>12945</v>
      </c>
      <c r="D7476" t="s">
        <v>621</v>
      </c>
      <c r="E7476" t="s">
        <v>10970</v>
      </c>
      <c r="F7476">
        <v>10</v>
      </c>
      <c r="H7476" t="s">
        <v>10969</v>
      </c>
    </row>
    <row r="7477" spans="2:8" x14ac:dyDescent="0.2">
      <c r="B7477" t="s">
        <v>4428</v>
      </c>
      <c r="C7477" t="s">
        <v>12945</v>
      </c>
      <c r="D7477" t="s">
        <v>613</v>
      </c>
      <c r="E7477" t="s">
        <v>10971</v>
      </c>
      <c r="F7477">
        <v>46</v>
      </c>
      <c r="H7477" t="s">
        <v>7588</v>
      </c>
    </row>
    <row r="7478" spans="2:8" x14ac:dyDescent="0.2">
      <c r="B7478" t="s">
        <v>4428</v>
      </c>
      <c r="C7478" t="s">
        <v>12945</v>
      </c>
      <c r="D7478" t="s">
        <v>613</v>
      </c>
      <c r="E7478" t="s">
        <v>10972</v>
      </c>
      <c r="F7478">
        <v>8.2799999999999994</v>
      </c>
      <c r="H7478" t="s">
        <v>8472</v>
      </c>
    </row>
    <row r="7479" spans="2:8" x14ac:dyDescent="0.2">
      <c r="B7479" t="s">
        <v>4428</v>
      </c>
      <c r="C7479" t="s">
        <v>12945</v>
      </c>
      <c r="D7479" t="s">
        <v>613</v>
      </c>
      <c r="E7479" t="s">
        <v>10973</v>
      </c>
      <c r="F7479">
        <v>4.4400000000000004</v>
      </c>
      <c r="H7479" t="s">
        <v>10974</v>
      </c>
    </row>
    <row r="7480" spans="2:8" x14ac:dyDescent="0.2">
      <c r="B7480" t="s">
        <v>4428</v>
      </c>
      <c r="C7480" t="s">
        <v>12945</v>
      </c>
      <c r="D7480" t="s">
        <v>621</v>
      </c>
      <c r="E7480" t="s">
        <v>10975</v>
      </c>
      <c r="F7480">
        <v>32.89</v>
      </c>
      <c r="H7480" t="s">
        <v>7628</v>
      </c>
    </row>
    <row r="7481" spans="2:8" x14ac:dyDescent="0.2">
      <c r="B7481" t="s">
        <v>4428</v>
      </c>
      <c r="C7481" t="s">
        <v>12945</v>
      </c>
      <c r="D7481" t="s">
        <v>621</v>
      </c>
      <c r="E7481" t="s">
        <v>10977</v>
      </c>
      <c r="F7481">
        <v>73.680000000000007</v>
      </c>
      <c r="H7481" t="s">
        <v>1767</v>
      </c>
    </row>
    <row r="7482" spans="2:8" x14ac:dyDescent="0.2">
      <c r="B7482" t="s">
        <v>4428</v>
      </c>
      <c r="C7482" t="s">
        <v>12945</v>
      </c>
      <c r="D7482" t="s">
        <v>621</v>
      </c>
      <c r="E7482" t="s">
        <v>10978</v>
      </c>
      <c r="F7482">
        <v>50.22</v>
      </c>
      <c r="H7482" t="s">
        <v>8841</v>
      </c>
    </row>
    <row r="7483" spans="2:8" x14ac:dyDescent="0.2">
      <c r="B7483" t="s">
        <v>4428</v>
      </c>
      <c r="C7483" t="s">
        <v>12945</v>
      </c>
      <c r="D7483" t="s">
        <v>621</v>
      </c>
      <c r="E7483" t="s">
        <v>10979</v>
      </c>
      <c r="F7483">
        <v>42.72</v>
      </c>
      <c r="H7483" t="s">
        <v>8874</v>
      </c>
    </row>
    <row r="7484" spans="2:8" x14ac:dyDescent="0.2">
      <c r="B7484" t="s">
        <v>4428</v>
      </c>
      <c r="C7484" t="s">
        <v>12945</v>
      </c>
      <c r="D7484" t="s">
        <v>617</v>
      </c>
      <c r="E7484" t="s">
        <v>10980</v>
      </c>
      <c r="F7484">
        <v>289.23</v>
      </c>
      <c r="H7484" t="s">
        <v>4542</v>
      </c>
    </row>
    <row r="7485" spans="2:8" x14ac:dyDescent="0.2">
      <c r="B7485" t="s">
        <v>4428</v>
      </c>
      <c r="C7485" t="s">
        <v>12945</v>
      </c>
      <c r="D7485" t="s">
        <v>621</v>
      </c>
      <c r="E7485" t="s">
        <v>10981</v>
      </c>
      <c r="F7485">
        <v>170</v>
      </c>
      <c r="H7485" t="s">
        <v>1760</v>
      </c>
    </row>
    <row r="7486" spans="2:8" x14ac:dyDescent="0.2">
      <c r="B7486" t="s">
        <v>4428</v>
      </c>
      <c r="C7486" t="s">
        <v>12945</v>
      </c>
      <c r="D7486" t="s">
        <v>621</v>
      </c>
      <c r="E7486" t="s">
        <v>10982</v>
      </c>
      <c r="F7486">
        <v>44.31</v>
      </c>
      <c r="H7486" t="s">
        <v>4186</v>
      </c>
    </row>
    <row r="7487" spans="2:8" x14ac:dyDescent="0.2">
      <c r="B7487" t="s">
        <v>4428</v>
      </c>
      <c r="C7487" t="s">
        <v>12945</v>
      </c>
      <c r="D7487" t="s">
        <v>621</v>
      </c>
      <c r="E7487" t="s">
        <v>10983</v>
      </c>
      <c r="F7487">
        <v>367.92</v>
      </c>
      <c r="H7487" t="s">
        <v>4533</v>
      </c>
    </row>
    <row r="7488" spans="2:8" x14ac:dyDescent="0.2">
      <c r="B7488" t="s">
        <v>4428</v>
      </c>
      <c r="C7488" t="s">
        <v>12945</v>
      </c>
      <c r="D7488" t="s">
        <v>621</v>
      </c>
      <c r="E7488" t="s">
        <v>10984</v>
      </c>
      <c r="F7488">
        <v>306.8</v>
      </c>
      <c r="H7488" t="s">
        <v>4534</v>
      </c>
    </row>
    <row r="7489" spans="2:8" x14ac:dyDescent="0.2">
      <c r="B7489" t="s">
        <v>4428</v>
      </c>
      <c r="C7489" t="s">
        <v>12945</v>
      </c>
      <c r="D7489" t="s">
        <v>621</v>
      </c>
      <c r="E7489" t="s">
        <v>10985</v>
      </c>
      <c r="F7489">
        <v>91.87</v>
      </c>
      <c r="H7489" t="s">
        <v>4535</v>
      </c>
    </row>
    <row r="7490" spans="2:8" x14ac:dyDescent="0.2">
      <c r="B7490" t="s">
        <v>4428</v>
      </c>
      <c r="C7490" t="s">
        <v>12945</v>
      </c>
      <c r="D7490" t="s">
        <v>621</v>
      </c>
      <c r="E7490" t="s">
        <v>10986</v>
      </c>
      <c r="F7490">
        <v>46.5</v>
      </c>
      <c r="H7490" t="s">
        <v>4536</v>
      </c>
    </row>
    <row r="7491" spans="2:8" x14ac:dyDescent="0.2">
      <c r="B7491" t="s">
        <v>4428</v>
      </c>
      <c r="C7491" t="s">
        <v>12945</v>
      </c>
      <c r="D7491" t="s">
        <v>621</v>
      </c>
      <c r="E7491" t="s">
        <v>10987</v>
      </c>
      <c r="F7491">
        <v>20.399999999999999</v>
      </c>
      <c r="H7491" t="s">
        <v>4537</v>
      </c>
    </row>
    <row r="7492" spans="2:8" x14ac:dyDescent="0.2">
      <c r="B7492" t="s">
        <v>4428</v>
      </c>
      <c r="C7492" t="s">
        <v>12945</v>
      </c>
      <c r="D7492" t="s">
        <v>621</v>
      </c>
      <c r="E7492" t="s">
        <v>10988</v>
      </c>
      <c r="F7492">
        <v>134.4</v>
      </c>
      <c r="H7492" t="s">
        <v>4538</v>
      </c>
    </row>
    <row r="7493" spans="2:8" x14ac:dyDescent="0.2">
      <c r="B7493" t="s">
        <v>4428</v>
      </c>
      <c r="C7493" t="s">
        <v>12945</v>
      </c>
      <c r="D7493" t="s">
        <v>621</v>
      </c>
      <c r="E7493" t="s">
        <v>10989</v>
      </c>
      <c r="F7493">
        <v>241.8</v>
      </c>
      <c r="H7493" t="s">
        <v>4539</v>
      </c>
    </row>
    <row r="7494" spans="2:8" x14ac:dyDescent="0.2">
      <c r="B7494" t="s">
        <v>4428</v>
      </c>
      <c r="C7494" t="s">
        <v>12945</v>
      </c>
      <c r="D7494" t="s">
        <v>621</v>
      </c>
      <c r="E7494" t="s">
        <v>10990</v>
      </c>
      <c r="F7494">
        <v>949.62</v>
      </c>
      <c r="H7494" t="s">
        <v>1360</v>
      </c>
    </row>
    <row r="7495" spans="2:8" x14ac:dyDescent="0.2">
      <c r="B7495" t="s">
        <v>4428</v>
      </c>
      <c r="C7495" t="s">
        <v>12945</v>
      </c>
      <c r="D7495" t="s">
        <v>613</v>
      </c>
      <c r="E7495" t="s">
        <v>10991</v>
      </c>
      <c r="F7495">
        <v>1345.36</v>
      </c>
      <c r="H7495" t="s">
        <v>1384</v>
      </c>
    </row>
    <row r="7496" spans="2:8" x14ac:dyDescent="0.2">
      <c r="B7496" t="s">
        <v>4428</v>
      </c>
      <c r="C7496" t="s">
        <v>12945</v>
      </c>
      <c r="D7496" t="s">
        <v>613</v>
      </c>
      <c r="E7496" t="s">
        <v>10992</v>
      </c>
      <c r="F7496">
        <v>182</v>
      </c>
      <c r="H7496" t="s">
        <v>1386</v>
      </c>
    </row>
    <row r="7497" spans="2:8" x14ac:dyDescent="0.2">
      <c r="B7497" t="s">
        <v>4428</v>
      </c>
      <c r="C7497" t="s">
        <v>12945</v>
      </c>
      <c r="D7497" t="s">
        <v>621</v>
      </c>
      <c r="E7497" t="s">
        <v>10993</v>
      </c>
      <c r="F7497">
        <v>1737.96</v>
      </c>
      <c r="H7497" t="s">
        <v>4590</v>
      </c>
    </row>
    <row r="7498" spans="2:8" x14ac:dyDescent="0.2">
      <c r="B7498" t="s">
        <v>4428</v>
      </c>
      <c r="C7498" t="s">
        <v>12945</v>
      </c>
      <c r="D7498" t="s">
        <v>621</v>
      </c>
      <c r="E7498" t="s">
        <v>10994</v>
      </c>
      <c r="F7498">
        <v>4003.72</v>
      </c>
      <c r="H7498" t="s">
        <v>2562</v>
      </c>
    </row>
    <row r="7499" spans="2:8" x14ac:dyDescent="0.2">
      <c r="B7499" t="s">
        <v>4428</v>
      </c>
      <c r="C7499" t="s">
        <v>12945</v>
      </c>
      <c r="D7499" t="s">
        <v>621</v>
      </c>
      <c r="E7499" t="s">
        <v>10995</v>
      </c>
      <c r="F7499">
        <v>4976.01</v>
      </c>
      <c r="H7499" t="s">
        <v>2516</v>
      </c>
    </row>
    <row r="7500" spans="2:8" x14ac:dyDescent="0.2">
      <c r="B7500" t="s">
        <v>4428</v>
      </c>
      <c r="C7500" t="s">
        <v>12945</v>
      </c>
      <c r="D7500" t="s">
        <v>621</v>
      </c>
      <c r="E7500" t="s">
        <v>10996</v>
      </c>
      <c r="F7500">
        <v>3664.2</v>
      </c>
      <c r="H7500" t="s">
        <v>1514</v>
      </c>
    </row>
    <row r="7501" spans="2:8" x14ac:dyDescent="0.2">
      <c r="B7501" t="s">
        <v>4428</v>
      </c>
      <c r="C7501" t="s">
        <v>12945</v>
      </c>
      <c r="D7501" t="s">
        <v>613</v>
      </c>
      <c r="E7501" t="s">
        <v>10997</v>
      </c>
      <c r="F7501">
        <v>459.9</v>
      </c>
      <c r="H7501" t="s">
        <v>1516</v>
      </c>
    </row>
    <row r="7502" spans="2:8" x14ac:dyDescent="0.2">
      <c r="B7502" t="s">
        <v>4428</v>
      </c>
      <c r="C7502" t="s">
        <v>12945</v>
      </c>
      <c r="D7502" t="s">
        <v>613</v>
      </c>
      <c r="E7502" t="s">
        <v>10998</v>
      </c>
      <c r="F7502">
        <v>139.5</v>
      </c>
      <c r="H7502" t="s">
        <v>1517</v>
      </c>
    </row>
    <row r="7503" spans="2:8" x14ac:dyDescent="0.2">
      <c r="B7503" t="s">
        <v>4428</v>
      </c>
      <c r="C7503" t="s">
        <v>12945</v>
      </c>
      <c r="D7503" t="s">
        <v>613</v>
      </c>
      <c r="E7503" t="s">
        <v>10999</v>
      </c>
      <c r="F7503">
        <v>1.8</v>
      </c>
      <c r="H7503" t="s">
        <v>11000</v>
      </c>
    </row>
    <row r="7504" spans="2:8" x14ac:dyDescent="0.2">
      <c r="B7504" t="s">
        <v>4428</v>
      </c>
      <c r="C7504" t="s">
        <v>12945</v>
      </c>
      <c r="D7504" t="s">
        <v>613</v>
      </c>
      <c r="E7504" t="s">
        <v>11001</v>
      </c>
      <c r="F7504">
        <v>1.1000000000000001</v>
      </c>
      <c r="H7504" t="s">
        <v>6609</v>
      </c>
    </row>
    <row r="7505" spans="2:8" x14ac:dyDescent="0.2">
      <c r="B7505" t="s">
        <v>4428</v>
      </c>
      <c r="C7505" t="s">
        <v>12945</v>
      </c>
      <c r="D7505" t="s">
        <v>621</v>
      </c>
      <c r="E7505" t="s">
        <v>11002</v>
      </c>
      <c r="F7505">
        <v>17.53</v>
      </c>
      <c r="H7505" t="s">
        <v>11003</v>
      </c>
    </row>
    <row r="7506" spans="2:8" x14ac:dyDescent="0.2">
      <c r="B7506" t="s">
        <v>4428</v>
      </c>
      <c r="C7506" t="s">
        <v>12945</v>
      </c>
      <c r="D7506" t="s">
        <v>621</v>
      </c>
      <c r="E7506" t="s">
        <v>11004</v>
      </c>
      <c r="F7506">
        <v>2.72</v>
      </c>
      <c r="H7506" t="s">
        <v>11005</v>
      </c>
    </row>
    <row r="7507" spans="2:8" x14ac:dyDescent="0.2">
      <c r="B7507" t="s">
        <v>4428</v>
      </c>
      <c r="C7507" t="s">
        <v>12945</v>
      </c>
      <c r="D7507" t="s">
        <v>621</v>
      </c>
      <c r="E7507" t="s">
        <v>11006</v>
      </c>
      <c r="F7507">
        <v>35.57</v>
      </c>
      <c r="H7507" t="s">
        <v>8898</v>
      </c>
    </row>
    <row r="7508" spans="2:8" x14ac:dyDescent="0.2">
      <c r="B7508" t="s">
        <v>4428</v>
      </c>
      <c r="C7508" t="s">
        <v>12945</v>
      </c>
      <c r="D7508" t="s">
        <v>621</v>
      </c>
      <c r="E7508" t="s">
        <v>11007</v>
      </c>
      <c r="F7508">
        <v>48</v>
      </c>
      <c r="H7508" t="s">
        <v>6642</v>
      </c>
    </row>
    <row r="7509" spans="2:8" x14ac:dyDescent="0.2">
      <c r="B7509" t="s">
        <v>4428</v>
      </c>
      <c r="C7509" t="s">
        <v>12945</v>
      </c>
      <c r="D7509" t="s">
        <v>617</v>
      </c>
      <c r="E7509" t="s">
        <v>11008</v>
      </c>
      <c r="F7509">
        <v>1.98</v>
      </c>
      <c r="H7509" t="s">
        <v>5897</v>
      </c>
    </row>
    <row r="7510" spans="2:8" x14ac:dyDescent="0.2">
      <c r="B7510" t="s">
        <v>4428</v>
      </c>
      <c r="C7510" t="s">
        <v>12945</v>
      </c>
      <c r="D7510" t="s">
        <v>617</v>
      </c>
      <c r="E7510" t="s">
        <v>11009</v>
      </c>
      <c r="F7510">
        <v>1.86</v>
      </c>
      <c r="H7510" t="s">
        <v>8321</v>
      </c>
    </row>
    <row r="7511" spans="2:8" x14ac:dyDescent="0.2">
      <c r="B7511" t="s">
        <v>4428</v>
      </c>
      <c r="C7511" t="s">
        <v>12945</v>
      </c>
      <c r="D7511" t="s">
        <v>613</v>
      </c>
      <c r="E7511" t="s">
        <v>11010</v>
      </c>
      <c r="F7511">
        <v>1.1200000000000001</v>
      </c>
      <c r="H7511" t="s">
        <v>7678</v>
      </c>
    </row>
    <row r="7512" spans="2:8" x14ac:dyDescent="0.2">
      <c r="B7512" t="s">
        <v>4428</v>
      </c>
      <c r="C7512" t="s">
        <v>12945</v>
      </c>
      <c r="D7512" t="s">
        <v>613</v>
      </c>
      <c r="E7512" t="s">
        <v>11011</v>
      </c>
      <c r="F7512">
        <v>1.4</v>
      </c>
      <c r="H7512" t="s">
        <v>6747</v>
      </c>
    </row>
    <row r="7513" spans="2:8" x14ac:dyDescent="0.2">
      <c r="B7513" t="s">
        <v>4428</v>
      </c>
      <c r="C7513" t="s">
        <v>12945</v>
      </c>
      <c r="D7513" t="s">
        <v>613</v>
      </c>
      <c r="E7513" t="s">
        <v>11012</v>
      </c>
      <c r="F7513">
        <v>0.36</v>
      </c>
      <c r="H7513" t="s">
        <v>10853</v>
      </c>
    </row>
    <row r="7514" spans="2:8" x14ac:dyDescent="0.2">
      <c r="B7514" t="s">
        <v>4428</v>
      </c>
      <c r="C7514" t="s">
        <v>12945</v>
      </c>
      <c r="D7514" t="s">
        <v>617</v>
      </c>
      <c r="E7514" t="s">
        <v>11013</v>
      </c>
      <c r="F7514">
        <v>4.2699999999999996</v>
      </c>
      <c r="H7514" t="s">
        <v>7619</v>
      </c>
    </row>
    <row r="7515" spans="2:8" x14ac:dyDescent="0.2">
      <c r="B7515" t="s">
        <v>4428</v>
      </c>
      <c r="C7515" t="s">
        <v>12945</v>
      </c>
      <c r="D7515" t="s">
        <v>621</v>
      </c>
      <c r="E7515" t="s">
        <v>11014</v>
      </c>
      <c r="F7515">
        <v>11.27</v>
      </c>
      <c r="H7515" t="s">
        <v>8838</v>
      </c>
    </row>
    <row r="7516" spans="2:8" x14ac:dyDescent="0.2">
      <c r="B7516" t="s">
        <v>4428</v>
      </c>
      <c r="C7516" t="s">
        <v>12945</v>
      </c>
      <c r="D7516" t="s">
        <v>621</v>
      </c>
      <c r="E7516" t="s">
        <v>11015</v>
      </c>
      <c r="F7516">
        <v>13.6</v>
      </c>
      <c r="H7516" t="s">
        <v>11016</v>
      </c>
    </row>
    <row r="7517" spans="2:8" x14ac:dyDescent="0.2">
      <c r="B7517" t="s">
        <v>4428</v>
      </c>
      <c r="C7517" t="s">
        <v>12945</v>
      </c>
      <c r="D7517" t="s">
        <v>621</v>
      </c>
      <c r="E7517" t="s">
        <v>11017</v>
      </c>
      <c r="F7517">
        <v>4.38</v>
      </c>
      <c r="H7517" t="s">
        <v>11003</v>
      </c>
    </row>
    <row r="7518" spans="2:8" x14ac:dyDescent="0.2">
      <c r="B7518" t="s">
        <v>4428</v>
      </c>
      <c r="C7518" t="s">
        <v>12945</v>
      </c>
      <c r="D7518" t="s">
        <v>613</v>
      </c>
      <c r="E7518" t="s">
        <v>11018</v>
      </c>
      <c r="F7518">
        <v>3.6</v>
      </c>
      <c r="H7518" t="s">
        <v>7606</v>
      </c>
    </row>
    <row r="7519" spans="2:8" x14ac:dyDescent="0.2">
      <c r="B7519" t="s">
        <v>4428</v>
      </c>
      <c r="C7519" t="s">
        <v>12945</v>
      </c>
      <c r="D7519" t="s">
        <v>621</v>
      </c>
      <c r="E7519" t="s">
        <v>11020</v>
      </c>
      <c r="F7519">
        <v>57.6</v>
      </c>
      <c r="H7519" t="s">
        <v>4184</v>
      </c>
    </row>
    <row r="7520" spans="2:8" x14ac:dyDescent="0.2">
      <c r="B7520" t="s">
        <v>4428</v>
      </c>
      <c r="C7520" t="s">
        <v>12945</v>
      </c>
      <c r="D7520" t="s">
        <v>621</v>
      </c>
      <c r="E7520" t="s">
        <v>11021</v>
      </c>
      <c r="F7520">
        <v>194.35</v>
      </c>
      <c r="H7520" t="s">
        <v>4519</v>
      </c>
    </row>
    <row r="7521" spans="2:8" x14ac:dyDescent="0.2">
      <c r="B7521" t="s">
        <v>4428</v>
      </c>
      <c r="C7521" t="s">
        <v>12945</v>
      </c>
      <c r="D7521" t="s">
        <v>621</v>
      </c>
      <c r="E7521" t="s">
        <v>11022</v>
      </c>
      <c r="F7521">
        <v>4072.2</v>
      </c>
      <c r="H7521" t="s">
        <v>4163</v>
      </c>
    </row>
    <row r="7522" spans="2:8" x14ac:dyDescent="0.2">
      <c r="B7522" t="s">
        <v>4428</v>
      </c>
      <c r="C7522" t="s">
        <v>12945</v>
      </c>
      <c r="D7522" t="s">
        <v>621</v>
      </c>
      <c r="E7522" t="s">
        <v>11023</v>
      </c>
      <c r="F7522">
        <v>905.84</v>
      </c>
      <c r="H7522" t="s">
        <v>4164</v>
      </c>
    </row>
    <row r="7523" spans="2:8" x14ac:dyDescent="0.2">
      <c r="B7523" t="s">
        <v>4428</v>
      </c>
      <c r="C7523" t="s">
        <v>12945</v>
      </c>
      <c r="D7523" t="s">
        <v>621</v>
      </c>
      <c r="E7523" t="s">
        <v>11024</v>
      </c>
      <c r="F7523">
        <v>136</v>
      </c>
      <c r="H7523" t="s">
        <v>1760</v>
      </c>
    </row>
    <row r="7524" spans="2:8" x14ac:dyDescent="0.2">
      <c r="B7524" t="s">
        <v>4428</v>
      </c>
      <c r="C7524" t="s">
        <v>12945</v>
      </c>
      <c r="D7524" t="s">
        <v>621</v>
      </c>
      <c r="E7524" t="s">
        <v>11025</v>
      </c>
      <c r="F7524">
        <v>124.07</v>
      </c>
      <c r="H7524" t="s">
        <v>4186</v>
      </c>
    </row>
    <row r="7525" spans="2:8" x14ac:dyDescent="0.2">
      <c r="B7525" t="s">
        <v>4428</v>
      </c>
      <c r="C7525" t="s">
        <v>12945</v>
      </c>
      <c r="D7525" t="s">
        <v>621</v>
      </c>
      <c r="E7525" t="s">
        <v>11026</v>
      </c>
      <c r="F7525">
        <v>875.61</v>
      </c>
      <c r="H7525" t="s">
        <v>4529</v>
      </c>
    </row>
    <row r="7526" spans="2:8" x14ac:dyDescent="0.2">
      <c r="B7526" t="s">
        <v>4428</v>
      </c>
      <c r="C7526" t="s">
        <v>12945</v>
      </c>
      <c r="D7526" t="s">
        <v>621</v>
      </c>
      <c r="E7526" t="s">
        <v>11027</v>
      </c>
      <c r="F7526">
        <v>161</v>
      </c>
      <c r="H7526" t="s">
        <v>4156</v>
      </c>
    </row>
    <row r="7527" spans="2:8" x14ac:dyDescent="0.2">
      <c r="B7527" t="s">
        <v>4428</v>
      </c>
      <c r="C7527" t="s">
        <v>12945</v>
      </c>
      <c r="D7527" t="s">
        <v>621</v>
      </c>
      <c r="E7527" t="s">
        <v>11028</v>
      </c>
      <c r="F7527">
        <v>318.01</v>
      </c>
      <c r="H7527" t="s">
        <v>4158</v>
      </c>
    </row>
    <row r="7528" spans="2:8" x14ac:dyDescent="0.2">
      <c r="B7528" t="s">
        <v>4428</v>
      </c>
      <c r="C7528" t="s">
        <v>12945</v>
      </c>
      <c r="D7528" t="s">
        <v>621</v>
      </c>
      <c r="E7528" t="s">
        <v>11029</v>
      </c>
      <c r="F7528">
        <v>1687</v>
      </c>
      <c r="H7528" t="s">
        <v>4159</v>
      </c>
    </row>
    <row r="7529" spans="2:8" x14ac:dyDescent="0.2">
      <c r="B7529" t="s">
        <v>4428</v>
      </c>
      <c r="C7529" t="s">
        <v>12945</v>
      </c>
      <c r="D7529" t="s">
        <v>621</v>
      </c>
      <c r="E7529" t="s">
        <v>11030</v>
      </c>
      <c r="F7529">
        <v>3856</v>
      </c>
      <c r="H7529" t="s">
        <v>4160</v>
      </c>
    </row>
    <row r="7530" spans="2:8" x14ac:dyDescent="0.2">
      <c r="B7530" t="s">
        <v>4428</v>
      </c>
      <c r="C7530" t="s">
        <v>12945</v>
      </c>
      <c r="D7530" t="s">
        <v>621</v>
      </c>
      <c r="E7530" t="s">
        <v>11031</v>
      </c>
      <c r="F7530">
        <v>14.4</v>
      </c>
      <c r="H7530" t="s">
        <v>4582</v>
      </c>
    </row>
    <row r="7531" spans="2:8" x14ac:dyDescent="0.2">
      <c r="B7531" t="s">
        <v>4428</v>
      </c>
      <c r="C7531" t="s">
        <v>12945</v>
      </c>
      <c r="D7531" t="s">
        <v>621</v>
      </c>
      <c r="E7531" t="s">
        <v>11032</v>
      </c>
      <c r="F7531">
        <v>15.45</v>
      </c>
      <c r="H7531" t="s">
        <v>4161</v>
      </c>
    </row>
    <row r="7532" spans="2:8" x14ac:dyDescent="0.2">
      <c r="B7532" t="s">
        <v>4428</v>
      </c>
      <c r="C7532" t="s">
        <v>12945</v>
      </c>
      <c r="D7532" t="s">
        <v>621</v>
      </c>
      <c r="E7532" t="s">
        <v>11033</v>
      </c>
      <c r="F7532">
        <v>108.15</v>
      </c>
      <c r="H7532" t="s">
        <v>4161</v>
      </c>
    </row>
    <row r="7533" spans="2:8" x14ac:dyDescent="0.2">
      <c r="B7533" t="s">
        <v>4428</v>
      </c>
      <c r="C7533" t="s">
        <v>12945</v>
      </c>
      <c r="D7533" t="s">
        <v>621</v>
      </c>
      <c r="E7533" t="s">
        <v>11034</v>
      </c>
      <c r="F7533">
        <v>100.5</v>
      </c>
      <c r="H7533" t="s">
        <v>4167</v>
      </c>
    </row>
    <row r="7534" spans="2:8" x14ac:dyDescent="0.2">
      <c r="B7534" t="s">
        <v>4428</v>
      </c>
      <c r="C7534" t="s">
        <v>12945</v>
      </c>
      <c r="D7534" t="s">
        <v>621</v>
      </c>
      <c r="E7534" t="s">
        <v>11035</v>
      </c>
      <c r="F7534">
        <v>97.2</v>
      </c>
      <c r="H7534" t="s">
        <v>4583</v>
      </c>
    </row>
    <row r="7535" spans="2:8" x14ac:dyDescent="0.2">
      <c r="B7535" t="s">
        <v>4428</v>
      </c>
      <c r="C7535" t="s">
        <v>12945</v>
      </c>
      <c r="D7535" t="s">
        <v>621</v>
      </c>
      <c r="E7535" t="s">
        <v>11036</v>
      </c>
      <c r="F7535">
        <v>692.55</v>
      </c>
      <c r="H7535" t="s">
        <v>4583</v>
      </c>
    </row>
    <row r="7536" spans="2:8" x14ac:dyDescent="0.2">
      <c r="B7536" t="s">
        <v>4428</v>
      </c>
      <c r="C7536" t="s">
        <v>12945</v>
      </c>
      <c r="D7536" t="s">
        <v>621</v>
      </c>
      <c r="E7536" t="s">
        <v>11037</v>
      </c>
      <c r="F7536">
        <v>203</v>
      </c>
      <c r="H7536" t="s">
        <v>4162</v>
      </c>
    </row>
    <row r="7537" spans="2:8" x14ac:dyDescent="0.2">
      <c r="B7537" t="s">
        <v>4428</v>
      </c>
      <c r="C7537" t="s">
        <v>12945</v>
      </c>
      <c r="D7537" t="s">
        <v>621</v>
      </c>
      <c r="E7537" t="s">
        <v>11038</v>
      </c>
      <c r="F7537">
        <v>490.86</v>
      </c>
      <c r="H7537" t="s">
        <v>4173</v>
      </c>
    </row>
    <row r="7538" spans="2:8" x14ac:dyDescent="0.2">
      <c r="B7538" t="s">
        <v>4428</v>
      </c>
      <c r="C7538" t="s">
        <v>12945</v>
      </c>
      <c r="D7538" t="s">
        <v>621</v>
      </c>
      <c r="E7538" t="s">
        <v>11039</v>
      </c>
      <c r="F7538">
        <v>3040</v>
      </c>
      <c r="H7538" t="s">
        <v>4168</v>
      </c>
    </row>
    <row r="7539" spans="2:8" x14ac:dyDescent="0.2">
      <c r="B7539" t="s">
        <v>4428</v>
      </c>
      <c r="C7539" t="s">
        <v>12945</v>
      </c>
      <c r="D7539" t="s">
        <v>621</v>
      </c>
      <c r="E7539" t="s">
        <v>11040</v>
      </c>
      <c r="F7539">
        <v>396.31</v>
      </c>
      <c r="H7539" t="s">
        <v>4532</v>
      </c>
    </row>
    <row r="7540" spans="2:8" x14ac:dyDescent="0.2">
      <c r="B7540" t="s">
        <v>4428</v>
      </c>
      <c r="C7540" t="s">
        <v>12945</v>
      </c>
      <c r="D7540" t="s">
        <v>617</v>
      </c>
      <c r="E7540" t="s">
        <v>11041</v>
      </c>
      <c r="F7540">
        <v>1082.1600000000001</v>
      </c>
      <c r="H7540" t="s">
        <v>4187</v>
      </c>
    </row>
    <row r="7541" spans="2:8" x14ac:dyDescent="0.2">
      <c r="B7541" t="s">
        <v>4428</v>
      </c>
      <c r="C7541" t="s">
        <v>12945</v>
      </c>
      <c r="D7541" t="s">
        <v>621</v>
      </c>
      <c r="E7541" t="s">
        <v>11042</v>
      </c>
      <c r="F7541">
        <v>167.58</v>
      </c>
      <c r="H7541" t="s">
        <v>1360</v>
      </c>
    </row>
    <row r="7542" spans="2:8" x14ac:dyDescent="0.2">
      <c r="B7542" t="s">
        <v>4428</v>
      </c>
      <c r="C7542" t="s">
        <v>12945</v>
      </c>
      <c r="D7542" t="s">
        <v>621</v>
      </c>
      <c r="E7542" t="s">
        <v>11043</v>
      </c>
      <c r="F7542">
        <v>2823.37</v>
      </c>
      <c r="H7542" t="s">
        <v>1518</v>
      </c>
    </row>
    <row r="7543" spans="2:8" x14ac:dyDescent="0.2">
      <c r="B7543" t="s">
        <v>4428</v>
      </c>
      <c r="C7543" t="s">
        <v>12945</v>
      </c>
      <c r="D7543" t="s">
        <v>621</v>
      </c>
      <c r="E7543" t="s">
        <v>11044</v>
      </c>
      <c r="F7543">
        <v>1540.02</v>
      </c>
      <c r="H7543" t="s">
        <v>1518</v>
      </c>
    </row>
    <row r="7544" spans="2:8" x14ac:dyDescent="0.2">
      <c r="B7544" t="s">
        <v>4428</v>
      </c>
      <c r="C7544" t="s">
        <v>12945</v>
      </c>
      <c r="D7544" t="s">
        <v>621</v>
      </c>
      <c r="E7544" t="s">
        <v>11045</v>
      </c>
      <c r="F7544">
        <v>109.08</v>
      </c>
      <c r="H7544" t="s">
        <v>4173</v>
      </c>
    </row>
    <row r="7545" spans="2:8" x14ac:dyDescent="0.2">
      <c r="B7545" t="s">
        <v>4428</v>
      </c>
      <c r="C7545" t="s">
        <v>12945</v>
      </c>
      <c r="D7545" t="s">
        <v>52</v>
      </c>
      <c r="E7545" t="s">
        <v>11046</v>
      </c>
      <c r="F7545">
        <v>8</v>
      </c>
      <c r="H7545" t="s">
        <v>6427</v>
      </c>
    </row>
    <row r="7546" spans="2:8" x14ac:dyDescent="0.2">
      <c r="B7546" t="s">
        <v>4428</v>
      </c>
      <c r="C7546" t="s">
        <v>12945</v>
      </c>
      <c r="D7546" t="s">
        <v>613</v>
      </c>
      <c r="E7546" t="s">
        <v>11047</v>
      </c>
      <c r="F7546">
        <v>76.400000000000006</v>
      </c>
      <c r="H7546" t="s">
        <v>7963</v>
      </c>
    </row>
    <row r="7547" spans="2:8" x14ac:dyDescent="0.2">
      <c r="B7547" t="s">
        <v>4428</v>
      </c>
      <c r="C7547" t="s">
        <v>12945</v>
      </c>
      <c r="D7547" t="s">
        <v>613</v>
      </c>
      <c r="E7547" t="s">
        <v>11048</v>
      </c>
      <c r="F7547">
        <v>12.91</v>
      </c>
      <c r="H7547" t="s">
        <v>6232</v>
      </c>
    </row>
    <row r="7548" spans="2:8" x14ac:dyDescent="0.2">
      <c r="B7548" t="s">
        <v>4428</v>
      </c>
      <c r="C7548" t="s">
        <v>12945</v>
      </c>
      <c r="D7548" t="s">
        <v>621</v>
      </c>
      <c r="E7548" t="s">
        <v>11049</v>
      </c>
      <c r="F7548">
        <v>38.1</v>
      </c>
      <c r="H7548" t="s">
        <v>1767</v>
      </c>
    </row>
    <row r="7549" spans="2:8" x14ac:dyDescent="0.2">
      <c r="B7549" t="s">
        <v>4428</v>
      </c>
      <c r="C7549" t="s">
        <v>12945</v>
      </c>
      <c r="D7549" t="s">
        <v>621</v>
      </c>
      <c r="E7549" t="s">
        <v>11050</v>
      </c>
      <c r="F7549">
        <v>17.510000000000002</v>
      </c>
      <c r="H7549" t="s">
        <v>10962</v>
      </c>
    </row>
    <row r="7550" spans="2:8" x14ac:dyDescent="0.2">
      <c r="B7550" t="s">
        <v>4428</v>
      </c>
      <c r="C7550" t="s">
        <v>12945</v>
      </c>
      <c r="D7550" t="s">
        <v>52</v>
      </c>
      <c r="E7550" t="s">
        <v>11051</v>
      </c>
      <c r="F7550">
        <v>80</v>
      </c>
      <c r="H7550" t="s">
        <v>6427</v>
      </c>
    </row>
    <row r="7551" spans="2:8" x14ac:dyDescent="0.2">
      <c r="B7551" t="s">
        <v>4428</v>
      </c>
      <c r="C7551" t="s">
        <v>12945</v>
      </c>
      <c r="D7551" t="s">
        <v>613</v>
      </c>
      <c r="E7551" t="s">
        <v>11052</v>
      </c>
      <c r="F7551">
        <v>43.65</v>
      </c>
      <c r="H7551" t="s">
        <v>6425</v>
      </c>
    </row>
    <row r="7552" spans="2:8" x14ac:dyDescent="0.2">
      <c r="B7552" t="s">
        <v>4428</v>
      </c>
      <c r="C7552" t="s">
        <v>12945</v>
      </c>
      <c r="D7552" t="s">
        <v>617</v>
      </c>
      <c r="E7552" t="s">
        <v>11054</v>
      </c>
      <c r="F7552">
        <v>1654.08</v>
      </c>
      <c r="H7552" t="s">
        <v>4627</v>
      </c>
    </row>
    <row r="7553" spans="2:8" x14ac:dyDescent="0.2">
      <c r="B7553" t="s">
        <v>4428</v>
      </c>
      <c r="C7553" t="s">
        <v>12945</v>
      </c>
      <c r="D7553" t="s">
        <v>617</v>
      </c>
      <c r="E7553" t="s">
        <v>11055</v>
      </c>
      <c r="F7553">
        <v>5657.4</v>
      </c>
      <c r="H7553" t="s">
        <v>4629</v>
      </c>
    </row>
    <row r="7554" spans="2:8" x14ac:dyDescent="0.2">
      <c r="B7554" t="s">
        <v>4428</v>
      </c>
      <c r="C7554" t="s">
        <v>12945</v>
      </c>
      <c r="D7554" t="s">
        <v>617</v>
      </c>
      <c r="E7554" t="s">
        <v>11056</v>
      </c>
      <c r="F7554">
        <v>18.82</v>
      </c>
      <c r="H7554" t="s">
        <v>4490</v>
      </c>
    </row>
    <row r="7555" spans="2:8" x14ac:dyDescent="0.2">
      <c r="B7555" t="s">
        <v>4428</v>
      </c>
      <c r="C7555" t="s">
        <v>12945</v>
      </c>
      <c r="D7555" t="s">
        <v>617</v>
      </c>
      <c r="E7555" t="s">
        <v>11057</v>
      </c>
      <c r="F7555">
        <v>7.28</v>
      </c>
      <c r="H7555" t="s">
        <v>4816</v>
      </c>
    </row>
    <row r="7556" spans="2:8" x14ac:dyDescent="0.2">
      <c r="B7556" t="s">
        <v>4428</v>
      </c>
      <c r="C7556" t="s">
        <v>12945</v>
      </c>
      <c r="D7556" t="s">
        <v>617</v>
      </c>
      <c r="E7556" t="s">
        <v>11058</v>
      </c>
      <c r="F7556">
        <v>11250</v>
      </c>
      <c r="G7556" t="s">
        <v>4691</v>
      </c>
    </row>
    <row r="7557" spans="2:8" x14ac:dyDescent="0.2">
      <c r="B7557" t="s">
        <v>4428</v>
      </c>
      <c r="C7557" t="s">
        <v>12945</v>
      </c>
      <c r="D7557" t="s">
        <v>617</v>
      </c>
      <c r="E7557" t="s">
        <v>11060</v>
      </c>
      <c r="F7557">
        <v>124.83</v>
      </c>
      <c r="H7557" t="s">
        <v>1388</v>
      </c>
    </row>
    <row r="7558" spans="2:8" x14ac:dyDescent="0.2">
      <c r="B7558" t="s">
        <v>4428</v>
      </c>
      <c r="C7558" t="s">
        <v>12945</v>
      </c>
      <c r="D7558" t="s">
        <v>617</v>
      </c>
      <c r="E7558" t="s">
        <v>11061</v>
      </c>
      <c r="F7558">
        <v>180</v>
      </c>
      <c r="H7558" t="s">
        <v>1580</v>
      </c>
    </row>
    <row r="7559" spans="2:8" x14ac:dyDescent="0.2">
      <c r="B7559" t="s">
        <v>4428</v>
      </c>
      <c r="C7559" t="s">
        <v>12945</v>
      </c>
      <c r="D7559" t="s">
        <v>617</v>
      </c>
      <c r="E7559" t="s">
        <v>11062</v>
      </c>
      <c r="F7559">
        <v>177.45</v>
      </c>
      <c r="H7559" t="s">
        <v>1983</v>
      </c>
    </row>
    <row r="7560" spans="2:8" x14ac:dyDescent="0.2">
      <c r="B7560" t="s">
        <v>4428</v>
      </c>
      <c r="C7560" t="s">
        <v>12945</v>
      </c>
      <c r="D7560" t="s">
        <v>617</v>
      </c>
      <c r="E7560" t="s">
        <v>11063</v>
      </c>
      <c r="F7560">
        <v>80.849999999999994</v>
      </c>
      <c r="H7560" t="s">
        <v>4205</v>
      </c>
    </row>
    <row r="7561" spans="2:8" x14ac:dyDescent="0.2">
      <c r="B7561" t="s">
        <v>4428</v>
      </c>
      <c r="C7561" t="s">
        <v>12945</v>
      </c>
      <c r="D7561" t="s">
        <v>617</v>
      </c>
      <c r="E7561" t="s">
        <v>11064</v>
      </c>
      <c r="F7561">
        <v>5334.03</v>
      </c>
      <c r="H7561" t="s">
        <v>4206</v>
      </c>
    </row>
    <row r="7562" spans="2:8" x14ac:dyDescent="0.2">
      <c r="B7562" t="s">
        <v>4428</v>
      </c>
      <c r="C7562" t="s">
        <v>12945</v>
      </c>
      <c r="D7562" t="s">
        <v>617</v>
      </c>
      <c r="E7562" t="s">
        <v>11065</v>
      </c>
      <c r="F7562">
        <v>313.45</v>
      </c>
      <c r="H7562" t="s">
        <v>4208</v>
      </c>
    </row>
    <row r="7563" spans="2:8" x14ac:dyDescent="0.2">
      <c r="B7563" t="s">
        <v>4428</v>
      </c>
      <c r="C7563" t="s">
        <v>12945</v>
      </c>
      <c r="D7563" t="s">
        <v>617</v>
      </c>
      <c r="E7563" t="s">
        <v>11066</v>
      </c>
      <c r="F7563">
        <v>2225</v>
      </c>
      <c r="H7563" t="s">
        <v>4191</v>
      </c>
    </row>
    <row r="7564" spans="2:8" x14ac:dyDescent="0.2">
      <c r="B7564" t="s">
        <v>4428</v>
      </c>
      <c r="C7564" t="s">
        <v>12945</v>
      </c>
      <c r="D7564" t="s">
        <v>617</v>
      </c>
      <c r="E7564" t="s">
        <v>11067</v>
      </c>
      <c r="F7564">
        <v>1075</v>
      </c>
      <c r="H7564" t="s">
        <v>4193</v>
      </c>
    </row>
    <row r="7565" spans="2:8" x14ac:dyDescent="0.2">
      <c r="B7565" t="s">
        <v>4428</v>
      </c>
      <c r="C7565" t="s">
        <v>12945</v>
      </c>
      <c r="D7565" t="s">
        <v>617</v>
      </c>
      <c r="E7565" t="s">
        <v>11068</v>
      </c>
      <c r="F7565">
        <v>1417.04</v>
      </c>
      <c r="H7565" t="s">
        <v>4193</v>
      </c>
    </row>
    <row r="7566" spans="2:8" x14ac:dyDescent="0.2">
      <c r="B7566" t="s">
        <v>4428</v>
      </c>
      <c r="C7566" t="s">
        <v>12945</v>
      </c>
      <c r="D7566" t="s">
        <v>617</v>
      </c>
      <c r="E7566" t="s">
        <v>11069</v>
      </c>
      <c r="F7566">
        <v>2100</v>
      </c>
      <c r="H7566" t="s">
        <v>2052</v>
      </c>
    </row>
    <row r="7567" spans="2:8" x14ac:dyDescent="0.2">
      <c r="B7567" t="s">
        <v>4428</v>
      </c>
      <c r="C7567" t="s">
        <v>12945</v>
      </c>
      <c r="D7567" t="s">
        <v>617</v>
      </c>
      <c r="E7567" t="s">
        <v>11070</v>
      </c>
      <c r="F7567">
        <v>2430</v>
      </c>
      <c r="H7567" t="s">
        <v>4228</v>
      </c>
    </row>
    <row r="7568" spans="2:8" x14ac:dyDescent="0.2">
      <c r="B7568" t="s">
        <v>4428</v>
      </c>
      <c r="C7568" t="s">
        <v>12945</v>
      </c>
      <c r="D7568" t="s">
        <v>617</v>
      </c>
      <c r="E7568" t="s">
        <v>11071</v>
      </c>
      <c r="F7568">
        <v>2530</v>
      </c>
      <c r="H7568" t="s">
        <v>4194</v>
      </c>
    </row>
    <row r="7569" spans="2:8" x14ac:dyDescent="0.2">
      <c r="B7569" t="s">
        <v>4428</v>
      </c>
      <c r="C7569" t="s">
        <v>12945</v>
      </c>
      <c r="D7569" t="s">
        <v>617</v>
      </c>
      <c r="E7569" t="s">
        <v>11072</v>
      </c>
      <c r="F7569">
        <v>1150</v>
      </c>
      <c r="H7569" t="s">
        <v>4194</v>
      </c>
    </row>
    <row r="7570" spans="2:8" x14ac:dyDescent="0.2">
      <c r="B7570" t="s">
        <v>4428</v>
      </c>
      <c r="C7570" t="s">
        <v>12945</v>
      </c>
      <c r="D7570" t="s">
        <v>617</v>
      </c>
      <c r="E7570" t="s">
        <v>11073</v>
      </c>
      <c r="F7570">
        <v>568</v>
      </c>
      <c r="H7570" t="s">
        <v>4210</v>
      </c>
    </row>
    <row r="7571" spans="2:8" x14ac:dyDescent="0.2">
      <c r="B7571" t="s">
        <v>4428</v>
      </c>
      <c r="C7571" t="s">
        <v>12945</v>
      </c>
      <c r="D7571" t="s">
        <v>617</v>
      </c>
      <c r="E7571" t="s">
        <v>11074</v>
      </c>
      <c r="F7571">
        <v>1249.5999999999999</v>
      </c>
      <c r="H7571" t="s">
        <v>4210</v>
      </c>
    </row>
    <row r="7572" spans="2:8" x14ac:dyDescent="0.2">
      <c r="B7572" t="s">
        <v>4428</v>
      </c>
      <c r="C7572" t="s">
        <v>12945</v>
      </c>
      <c r="D7572" t="s">
        <v>617</v>
      </c>
      <c r="E7572" t="s">
        <v>11075</v>
      </c>
      <c r="F7572">
        <v>589.5</v>
      </c>
      <c r="H7572" t="s">
        <v>4211</v>
      </c>
    </row>
    <row r="7573" spans="2:8" x14ac:dyDescent="0.2">
      <c r="B7573" t="s">
        <v>4428</v>
      </c>
      <c r="C7573" t="s">
        <v>12945</v>
      </c>
      <c r="D7573" t="s">
        <v>617</v>
      </c>
      <c r="E7573" t="s">
        <v>11076</v>
      </c>
      <c r="F7573">
        <v>1296.9000000000001</v>
      </c>
      <c r="H7573" t="s">
        <v>4211</v>
      </c>
    </row>
    <row r="7574" spans="2:8" x14ac:dyDescent="0.2">
      <c r="B7574" t="s">
        <v>4428</v>
      </c>
      <c r="C7574" t="s">
        <v>12945</v>
      </c>
      <c r="D7574" t="s">
        <v>617</v>
      </c>
      <c r="E7574" t="s">
        <v>11077</v>
      </c>
      <c r="F7574">
        <v>800</v>
      </c>
      <c r="H7574" t="s">
        <v>11078</v>
      </c>
    </row>
    <row r="7575" spans="2:8" x14ac:dyDescent="0.2">
      <c r="B7575" t="s">
        <v>4428</v>
      </c>
      <c r="C7575" t="s">
        <v>12945</v>
      </c>
      <c r="D7575" t="s">
        <v>617</v>
      </c>
      <c r="E7575" t="s">
        <v>11079</v>
      </c>
      <c r="F7575">
        <v>470</v>
      </c>
      <c r="H7575" t="s">
        <v>11080</v>
      </c>
    </row>
    <row r="7576" spans="2:8" x14ac:dyDescent="0.2">
      <c r="B7576" t="s">
        <v>4428</v>
      </c>
      <c r="C7576" t="s">
        <v>12945</v>
      </c>
      <c r="D7576" t="s">
        <v>613</v>
      </c>
      <c r="E7576" t="s">
        <v>11081</v>
      </c>
      <c r="F7576">
        <v>0.17</v>
      </c>
      <c r="H7576" t="s">
        <v>2513</v>
      </c>
    </row>
    <row r="7577" spans="2:8" x14ac:dyDescent="0.2">
      <c r="B7577" t="s">
        <v>4428</v>
      </c>
      <c r="C7577" t="s">
        <v>12945</v>
      </c>
      <c r="D7577" t="s">
        <v>613</v>
      </c>
      <c r="E7577" t="s">
        <v>11082</v>
      </c>
      <c r="F7577">
        <v>1.4</v>
      </c>
      <c r="H7577" t="s">
        <v>6635</v>
      </c>
    </row>
    <row r="7578" spans="2:8" x14ac:dyDescent="0.2">
      <c r="B7578" t="s">
        <v>4428</v>
      </c>
      <c r="C7578" t="s">
        <v>12945</v>
      </c>
      <c r="D7578" t="s">
        <v>613</v>
      </c>
      <c r="E7578" t="s">
        <v>11083</v>
      </c>
      <c r="F7578">
        <v>4.4000000000000004</v>
      </c>
      <c r="H7578" t="s">
        <v>9559</v>
      </c>
    </row>
    <row r="7579" spans="2:8" x14ac:dyDescent="0.2">
      <c r="B7579" t="s">
        <v>4428</v>
      </c>
      <c r="C7579" t="s">
        <v>12945</v>
      </c>
      <c r="D7579" t="s">
        <v>613</v>
      </c>
      <c r="E7579" t="s">
        <v>11084</v>
      </c>
      <c r="F7579">
        <v>0.44</v>
      </c>
      <c r="H7579" t="s">
        <v>2513</v>
      </c>
    </row>
    <row r="7580" spans="2:8" x14ac:dyDescent="0.2">
      <c r="B7580" t="s">
        <v>4428</v>
      </c>
      <c r="C7580" t="s">
        <v>12945</v>
      </c>
      <c r="D7580" t="s">
        <v>617</v>
      </c>
      <c r="E7580" t="s">
        <v>11085</v>
      </c>
      <c r="F7580">
        <v>30</v>
      </c>
      <c r="G7580" t="s">
        <v>4598</v>
      </c>
    </row>
    <row r="7581" spans="2:8" x14ac:dyDescent="0.2">
      <c r="B7581" t="s">
        <v>4428</v>
      </c>
      <c r="C7581" t="s">
        <v>12945</v>
      </c>
      <c r="D7581" t="s">
        <v>621</v>
      </c>
      <c r="E7581" t="s">
        <v>11087</v>
      </c>
      <c r="F7581">
        <v>319.5</v>
      </c>
      <c r="H7581" t="s">
        <v>4588</v>
      </c>
    </row>
    <row r="7582" spans="2:8" x14ac:dyDescent="0.2">
      <c r="B7582" t="s">
        <v>4428</v>
      </c>
      <c r="C7582" t="s">
        <v>12945</v>
      </c>
      <c r="D7582" t="s">
        <v>621</v>
      </c>
      <c r="E7582" t="s">
        <v>11089</v>
      </c>
      <c r="F7582">
        <v>1018.05</v>
      </c>
      <c r="H7582" t="s">
        <v>4163</v>
      </c>
    </row>
    <row r="7583" spans="2:8" x14ac:dyDescent="0.2">
      <c r="B7583" t="s">
        <v>4428</v>
      </c>
      <c r="C7583" t="s">
        <v>12945</v>
      </c>
      <c r="D7583" t="s">
        <v>621</v>
      </c>
      <c r="E7583" t="s">
        <v>11090</v>
      </c>
      <c r="F7583">
        <v>7.56</v>
      </c>
      <c r="H7583" t="s">
        <v>11091</v>
      </c>
    </row>
    <row r="7584" spans="2:8" x14ac:dyDescent="0.2">
      <c r="B7584" t="s">
        <v>4428</v>
      </c>
      <c r="C7584" t="s">
        <v>12945</v>
      </c>
      <c r="D7584" t="s">
        <v>621</v>
      </c>
      <c r="E7584" t="s">
        <v>11092</v>
      </c>
      <c r="F7584">
        <v>115</v>
      </c>
      <c r="H7584" t="s">
        <v>4156</v>
      </c>
    </row>
    <row r="7585" spans="2:8" x14ac:dyDescent="0.2">
      <c r="B7585" t="s">
        <v>4428</v>
      </c>
      <c r="C7585" t="s">
        <v>12945</v>
      </c>
      <c r="D7585" t="s">
        <v>621</v>
      </c>
      <c r="E7585" t="s">
        <v>11093</v>
      </c>
      <c r="F7585">
        <v>45.43</v>
      </c>
      <c r="H7585" t="s">
        <v>4158</v>
      </c>
    </row>
    <row r="7586" spans="2:8" x14ac:dyDescent="0.2">
      <c r="B7586" t="s">
        <v>4428</v>
      </c>
      <c r="C7586" t="s">
        <v>12945</v>
      </c>
      <c r="D7586" t="s">
        <v>621</v>
      </c>
      <c r="E7586" t="s">
        <v>11094</v>
      </c>
      <c r="F7586">
        <v>1687</v>
      </c>
      <c r="H7586" t="s">
        <v>4159</v>
      </c>
    </row>
    <row r="7587" spans="2:8" x14ac:dyDescent="0.2">
      <c r="B7587" t="s">
        <v>4428</v>
      </c>
      <c r="C7587" t="s">
        <v>12945</v>
      </c>
      <c r="D7587" t="s">
        <v>621</v>
      </c>
      <c r="E7587" t="s">
        <v>11095</v>
      </c>
      <c r="F7587">
        <v>2169</v>
      </c>
      <c r="H7587" t="s">
        <v>4160</v>
      </c>
    </row>
    <row r="7588" spans="2:8" x14ac:dyDescent="0.2">
      <c r="B7588" t="s">
        <v>4428</v>
      </c>
      <c r="C7588" t="s">
        <v>12945</v>
      </c>
      <c r="D7588" t="s">
        <v>621</v>
      </c>
      <c r="E7588" t="s">
        <v>11096</v>
      </c>
      <c r="F7588">
        <v>15.45</v>
      </c>
      <c r="H7588" t="s">
        <v>4161</v>
      </c>
    </row>
    <row r="7589" spans="2:8" x14ac:dyDescent="0.2">
      <c r="B7589" t="s">
        <v>4428</v>
      </c>
      <c r="C7589" t="s">
        <v>12945</v>
      </c>
      <c r="D7589" t="s">
        <v>621</v>
      </c>
      <c r="E7589" t="s">
        <v>11097</v>
      </c>
      <c r="F7589">
        <v>61.8</v>
      </c>
      <c r="H7589" t="s">
        <v>4161</v>
      </c>
    </row>
    <row r="7590" spans="2:8" x14ac:dyDescent="0.2">
      <c r="B7590" t="s">
        <v>4428</v>
      </c>
      <c r="C7590" t="s">
        <v>12945</v>
      </c>
      <c r="D7590" t="s">
        <v>621</v>
      </c>
      <c r="E7590" t="s">
        <v>11098</v>
      </c>
      <c r="F7590">
        <v>26.3</v>
      </c>
      <c r="H7590" t="s">
        <v>4652</v>
      </c>
    </row>
    <row r="7591" spans="2:8" x14ac:dyDescent="0.2">
      <c r="B7591" t="s">
        <v>4428</v>
      </c>
      <c r="C7591" t="s">
        <v>12945</v>
      </c>
      <c r="D7591" t="s">
        <v>621</v>
      </c>
      <c r="E7591" t="s">
        <v>11099</v>
      </c>
      <c r="F7591">
        <v>105.2</v>
      </c>
      <c r="H7591" t="s">
        <v>4652</v>
      </c>
    </row>
    <row r="7592" spans="2:8" x14ac:dyDescent="0.2">
      <c r="B7592" t="s">
        <v>4428</v>
      </c>
      <c r="C7592" t="s">
        <v>12945</v>
      </c>
      <c r="D7592" t="s">
        <v>621</v>
      </c>
      <c r="E7592" t="s">
        <v>11100</v>
      </c>
      <c r="F7592">
        <v>608</v>
      </c>
      <c r="H7592" t="s">
        <v>4168</v>
      </c>
    </row>
    <row r="7593" spans="2:8" x14ac:dyDescent="0.2">
      <c r="B7593" t="s">
        <v>4428</v>
      </c>
      <c r="C7593" t="s">
        <v>12945</v>
      </c>
      <c r="D7593" t="s">
        <v>621</v>
      </c>
      <c r="E7593" t="s">
        <v>11101</v>
      </c>
      <c r="F7593">
        <v>259.2</v>
      </c>
      <c r="H7593" t="s">
        <v>4235</v>
      </c>
    </row>
    <row r="7594" spans="2:8" x14ac:dyDescent="0.2">
      <c r="B7594" t="s">
        <v>4428</v>
      </c>
      <c r="C7594" t="s">
        <v>12945</v>
      </c>
      <c r="D7594" t="s">
        <v>621</v>
      </c>
      <c r="E7594" t="s">
        <v>11102</v>
      </c>
      <c r="F7594">
        <v>233.6</v>
      </c>
      <c r="H7594" t="s">
        <v>4653</v>
      </c>
    </row>
    <row r="7595" spans="2:8" x14ac:dyDescent="0.2">
      <c r="B7595" t="s">
        <v>4428</v>
      </c>
      <c r="C7595" t="s">
        <v>12945</v>
      </c>
      <c r="D7595" t="s">
        <v>621</v>
      </c>
      <c r="E7595" t="s">
        <v>11103</v>
      </c>
      <c r="F7595">
        <v>46.72</v>
      </c>
      <c r="H7595" t="s">
        <v>4653</v>
      </c>
    </row>
    <row r="7596" spans="2:8" x14ac:dyDescent="0.2">
      <c r="B7596" t="s">
        <v>4428</v>
      </c>
      <c r="C7596" t="s">
        <v>12945</v>
      </c>
      <c r="D7596" t="s">
        <v>621</v>
      </c>
      <c r="E7596" t="s">
        <v>11104</v>
      </c>
      <c r="F7596">
        <v>93.44</v>
      </c>
      <c r="H7596" t="s">
        <v>4653</v>
      </c>
    </row>
    <row r="7597" spans="2:8" x14ac:dyDescent="0.2">
      <c r="B7597" t="s">
        <v>4428</v>
      </c>
      <c r="C7597" t="s">
        <v>12945</v>
      </c>
      <c r="D7597" t="s">
        <v>617</v>
      </c>
      <c r="E7597" t="s">
        <v>11105</v>
      </c>
      <c r="F7597">
        <v>324.54000000000002</v>
      </c>
      <c r="H7597" t="s">
        <v>4649</v>
      </c>
    </row>
    <row r="7598" spans="2:8" x14ac:dyDescent="0.2">
      <c r="B7598" t="s">
        <v>4428</v>
      </c>
      <c r="C7598" t="s">
        <v>12945</v>
      </c>
      <c r="D7598" t="s">
        <v>617</v>
      </c>
      <c r="E7598" t="s">
        <v>11106</v>
      </c>
      <c r="F7598">
        <v>135.27000000000001</v>
      </c>
      <c r="H7598" t="s">
        <v>4187</v>
      </c>
    </row>
    <row r="7599" spans="2:8" x14ac:dyDescent="0.2">
      <c r="B7599" t="s">
        <v>4428</v>
      </c>
      <c r="C7599" t="s">
        <v>12945</v>
      </c>
      <c r="D7599" t="s">
        <v>621</v>
      </c>
      <c r="E7599" t="s">
        <v>11107</v>
      </c>
      <c r="F7599">
        <v>770.01</v>
      </c>
      <c r="H7599" t="s">
        <v>1518</v>
      </c>
    </row>
    <row r="7600" spans="2:8" x14ac:dyDescent="0.2">
      <c r="B7600" t="s">
        <v>4428</v>
      </c>
      <c r="C7600" t="s">
        <v>12945</v>
      </c>
      <c r="D7600" t="s">
        <v>621</v>
      </c>
      <c r="E7600" t="s">
        <v>11108</v>
      </c>
      <c r="F7600">
        <v>1473.76</v>
      </c>
      <c r="H7600" t="s">
        <v>1719</v>
      </c>
    </row>
    <row r="7601" spans="2:8" x14ac:dyDescent="0.2">
      <c r="B7601" t="s">
        <v>4428</v>
      </c>
      <c r="C7601" t="s">
        <v>12945</v>
      </c>
      <c r="D7601" t="s">
        <v>621</v>
      </c>
      <c r="E7601" t="s">
        <v>11109</v>
      </c>
      <c r="F7601">
        <v>1713.72</v>
      </c>
      <c r="H7601" t="s">
        <v>1727</v>
      </c>
    </row>
    <row r="7602" spans="2:8" x14ac:dyDescent="0.2">
      <c r="B7602" t="s">
        <v>4428</v>
      </c>
      <c r="C7602" t="s">
        <v>12945</v>
      </c>
      <c r="D7602" t="s">
        <v>621</v>
      </c>
      <c r="E7602" t="s">
        <v>11110</v>
      </c>
      <c r="F7602">
        <v>1353.78</v>
      </c>
      <c r="H7602" t="s">
        <v>1720</v>
      </c>
    </row>
    <row r="7603" spans="2:8" x14ac:dyDescent="0.2">
      <c r="B7603" t="s">
        <v>4428</v>
      </c>
      <c r="C7603" t="s">
        <v>12945</v>
      </c>
      <c r="D7603" t="s">
        <v>621</v>
      </c>
      <c r="E7603" t="s">
        <v>11111</v>
      </c>
      <c r="F7603">
        <v>1319.72</v>
      </c>
      <c r="H7603" t="s">
        <v>1728</v>
      </c>
    </row>
    <row r="7604" spans="2:8" x14ac:dyDescent="0.2">
      <c r="B7604" t="s">
        <v>4428</v>
      </c>
      <c r="C7604" t="s">
        <v>12945</v>
      </c>
      <c r="D7604" t="s">
        <v>621</v>
      </c>
      <c r="E7604" t="s">
        <v>11112</v>
      </c>
      <c r="F7604">
        <v>1199.76</v>
      </c>
      <c r="H7604" t="s">
        <v>1721</v>
      </c>
    </row>
    <row r="7605" spans="2:8" x14ac:dyDescent="0.2">
      <c r="B7605" t="s">
        <v>4428</v>
      </c>
      <c r="C7605" t="s">
        <v>12945</v>
      </c>
      <c r="D7605" t="s">
        <v>621</v>
      </c>
      <c r="E7605" t="s">
        <v>11113</v>
      </c>
      <c r="F7605">
        <v>1113.82</v>
      </c>
      <c r="H7605" t="s">
        <v>1908</v>
      </c>
    </row>
    <row r="7606" spans="2:8" x14ac:dyDescent="0.2">
      <c r="B7606" t="s">
        <v>4428</v>
      </c>
      <c r="C7606" t="s">
        <v>12945</v>
      </c>
      <c r="D7606" t="s">
        <v>621</v>
      </c>
      <c r="E7606" t="s">
        <v>11114</v>
      </c>
      <c r="F7606">
        <v>1319.72</v>
      </c>
      <c r="H7606" t="s">
        <v>1678</v>
      </c>
    </row>
    <row r="7607" spans="2:8" x14ac:dyDescent="0.2">
      <c r="B7607" t="s">
        <v>4428</v>
      </c>
      <c r="C7607" t="s">
        <v>12945</v>
      </c>
      <c r="D7607" t="s">
        <v>621</v>
      </c>
      <c r="E7607" t="s">
        <v>11115</v>
      </c>
      <c r="F7607">
        <v>1439.7</v>
      </c>
      <c r="H7607" t="s">
        <v>1680</v>
      </c>
    </row>
    <row r="7608" spans="2:8" x14ac:dyDescent="0.2">
      <c r="B7608" t="s">
        <v>4428</v>
      </c>
      <c r="C7608" t="s">
        <v>12945</v>
      </c>
      <c r="D7608" t="s">
        <v>621</v>
      </c>
      <c r="E7608" t="s">
        <v>11116</v>
      </c>
      <c r="F7608">
        <v>496.92</v>
      </c>
      <c r="H7608" t="s">
        <v>1819</v>
      </c>
    </row>
    <row r="7609" spans="2:8" x14ac:dyDescent="0.2">
      <c r="B7609" t="s">
        <v>4428</v>
      </c>
      <c r="C7609" t="s">
        <v>12945</v>
      </c>
      <c r="D7609" t="s">
        <v>621</v>
      </c>
      <c r="E7609" t="s">
        <v>11117</v>
      </c>
      <c r="F7609">
        <v>1199.76</v>
      </c>
      <c r="H7609" t="s">
        <v>1507</v>
      </c>
    </row>
    <row r="7610" spans="2:8" x14ac:dyDescent="0.2">
      <c r="B7610" t="s">
        <v>4428</v>
      </c>
      <c r="C7610" t="s">
        <v>12945</v>
      </c>
      <c r="D7610" t="s">
        <v>621</v>
      </c>
      <c r="E7610" t="s">
        <v>11118</v>
      </c>
      <c r="F7610">
        <v>1199.76</v>
      </c>
      <c r="H7610" t="s">
        <v>1509</v>
      </c>
    </row>
    <row r="7611" spans="2:8" x14ac:dyDescent="0.2">
      <c r="B7611" t="s">
        <v>4428</v>
      </c>
      <c r="C7611" t="s">
        <v>12945</v>
      </c>
      <c r="D7611" t="s">
        <v>621</v>
      </c>
      <c r="E7611" t="s">
        <v>11119</v>
      </c>
      <c r="F7611">
        <v>479.9</v>
      </c>
      <c r="H7611" t="s">
        <v>1591</v>
      </c>
    </row>
    <row r="7612" spans="2:8" x14ac:dyDescent="0.2">
      <c r="B7612" t="s">
        <v>4428</v>
      </c>
      <c r="C7612" t="s">
        <v>12945</v>
      </c>
      <c r="D7612" t="s">
        <v>621</v>
      </c>
      <c r="E7612" t="s">
        <v>11120</v>
      </c>
      <c r="F7612">
        <v>959.8</v>
      </c>
      <c r="H7612" t="s">
        <v>1501</v>
      </c>
    </row>
    <row r="7613" spans="2:8" x14ac:dyDescent="0.2">
      <c r="B7613" t="s">
        <v>4428</v>
      </c>
      <c r="C7613" t="s">
        <v>12945</v>
      </c>
      <c r="D7613" t="s">
        <v>621</v>
      </c>
      <c r="E7613" t="s">
        <v>11121</v>
      </c>
      <c r="F7613">
        <v>711.71</v>
      </c>
      <c r="H7613" t="s">
        <v>1608</v>
      </c>
    </row>
    <row r="7614" spans="2:8" x14ac:dyDescent="0.2">
      <c r="B7614" t="s">
        <v>4428</v>
      </c>
      <c r="C7614" t="s">
        <v>12945</v>
      </c>
      <c r="D7614" t="s">
        <v>621</v>
      </c>
      <c r="E7614" t="s">
        <v>11122</v>
      </c>
      <c r="F7614">
        <v>215.56</v>
      </c>
      <c r="H7614" t="s">
        <v>4237</v>
      </c>
    </row>
    <row r="7615" spans="2:8" x14ac:dyDescent="0.2">
      <c r="B7615" t="s">
        <v>4428</v>
      </c>
      <c r="C7615" t="s">
        <v>12945</v>
      </c>
      <c r="D7615" t="s">
        <v>617</v>
      </c>
      <c r="E7615" t="s">
        <v>11124</v>
      </c>
      <c r="F7615">
        <v>1163.52</v>
      </c>
      <c r="H7615" t="s">
        <v>1624</v>
      </c>
    </row>
    <row r="7616" spans="2:8" x14ac:dyDescent="0.2">
      <c r="B7616" t="s">
        <v>4428</v>
      </c>
      <c r="C7616" t="s">
        <v>12945</v>
      </c>
      <c r="D7616" t="s">
        <v>617</v>
      </c>
      <c r="E7616" t="s">
        <v>11125</v>
      </c>
      <c r="F7616">
        <v>1023.84</v>
      </c>
      <c r="H7616" t="s">
        <v>1626</v>
      </c>
    </row>
    <row r="7617" spans="2:8" x14ac:dyDescent="0.2">
      <c r="B7617" t="s">
        <v>4428</v>
      </c>
      <c r="C7617" t="s">
        <v>12945</v>
      </c>
      <c r="D7617" t="s">
        <v>617</v>
      </c>
      <c r="E7617" t="s">
        <v>11126</v>
      </c>
      <c r="F7617">
        <v>325.08</v>
      </c>
      <c r="H7617" t="s">
        <v>3362</v>
      </c>
    </row>
    <row r="7618" spans="2:8" x14ac:dyDescent="0.2">
      <c r="B7618" t="s">
        <v>4428</v>
      </c>
      <c r="C7618" t="s">
        <v>12945</v>
      </c>
      <c r="D7618" t="s">
        <v>617</v>
      </c>
      <c r="E7618" t="s">
        <v>11127</v>
      </c>
      <c r="F7618">
        <v>1191.96</v>
      </c>
      <c r="H7618" t="s">
        <v>3362</v>
      </c>
    </row>
    <row r="7619" spans="2:8" x14ac:dyDescent="0.2">
      <c r="B7619" t="s">
        <v>4428</v>
      </c>
      <c r="C7619" t="s">
        <v>12945</v>
      </c>
      <c r="D7619" t="s">
        <v>617</v>
      </c>
      <c r="E7619" t="s">
        <v>11128</v>
      </c>
      <c r="F7619">
        <v>971.88</v>
      </c>
      <c r="H7619" t="s">
        <v>1627</v>
      </c>
    </row>
    <row r="7620" spans="2:8" x14ac:dyDescent="0.2">
      <c r="B7620" t="s">
        <v>4428</v>
      </c>
      <c r="C7620" t="s">
        <v>12945</v>
      </c>
      <c r="D7620" t="s">
        <v>617</v>
      </c>
      <c r="E7620" t="s">
        <v>11129</v>
      </c>
      <c r="F7620">
        <v>41.6</v>
      </c>
      <c r="H7620" t="s">
        <v>1628</v>
      </c>
    </row>
    <row r="7621" spans="2:8" x14ac:dyDescent="0.2">
      <c r="B7621" t="s">
        <v>4428</v>
      </c>
      <c r="C7621" t="s">
        <v>12945</v>
      </c>
      <c r="D7621" t="s">
        <v>617</v>
      </c>
      <c r="E7621" t="s">
        <v>11130</v>
      </c>
      <c r="F7621">
        <v>62</v>
      </c>
      <c r="H7621" t="s">
        <v>1630</v>
      </c>
    </row>
    <row r="7622" spans="2:8" x14ac:dyDescent="0.2">
      <c r="B7622" t="s">
        <v>4428</v>
      </c>
      <c r="C7622" t="s">
        <v>12945</v>
      </c>
      <c r="D7622" t="s">
        <v>617</v>
      </c>
      <c r="E7622" t="s">
        <v>11131</v>
      </c>
      <c r="F7622">
        <v>46.2</v>
      </c>
      <c r="H7622" t="s">
        <v>3364</v>
      </c>
    </row>
    <row r="7623" spans="2:8" x14ac:dyDescent="0.2">
      <c r="B7623" t="s">
        <v>4428</v>
      </c>
      <c r="C7623" t="s">
        <v>12945</v>
      </c>
      <c r="D7623" t="s">
        <v>617</v>
      </c>
      <c r="E7623" t="s">
        <v>11132</v>
      </c>
      <c r="F7623">
        <v>33</v>
      </c>
      <c r="H7623" t="s">
        <v>3364</v>
      </c>
    </row>
    <row r="7624" spans="2:8" x14ac:dyDescent="0.2">
      <c r="B7624" t="s">
        <v>4428</v>
      </c>
      <c r="C7624" t="s">
        <v>12945</v>
      </c>
      <c r="D7624" t="s">
        <v>617</v>
      </c>
      <c r="E7624" t="s">
        <v>11133</v>
      </c>
      <c r="F7624">
        <v>43.2</v>
      </c>
      <c r="H7624" t="s">
        <v>1629</v>
      </c>
    </row>
    <row r="7625" spans="2:8" x14ac:dyDescent="0.2">
      <c r="B7625" t="s">
        <v>4428</v>
      </c>
      <c r="C7625" t="s">
        <v>12945</v>
      </c>
      <c r="D7625" t="s">
        <v>617</v>
      </c>
      <c r="E7625" t="s">
        <v>11134</v>
      </c>
      <c r="F7625">
        <v>3.6</v>
      </c>
      <c r="H7625" t="s">
        <v>1629</v>
      </c>
    </row>
    <row r="7626" spans="2:8" x14ac:dyDescent="0.2">
      <c r="B7626" t="s">
        <v>4428</v>
      </c>
      <c r="C7626" t="s">
        <v>12945</v>
      </c>
      <c r="D7626" t="s">
        <v>617</v>
      </c>
      <c r="E7626" t="s">
        <v>11135</v>
      </c>
      <c r="F7626">
        <v>39</v>
      </c>
      <c r="H7626" t="s">
        <v>1631</v>
      </c>
    </row>
    <row r="7627" spans="2:8" x14ac:dyDescent="0.2">
      <c r="B7627" t="s">
        <v>4428</v>
      </c>
      <c r="C7627" t="s">
        <v>12945</v>
      </c>
      <c r="D7627" t="s">
        <v>617</v>
      </c>
      <c r="E7627" t="s">
        <v>11136</v>
      </c>
      <c r="F7627">
        <v>1216</v>
      </c>
      <c r="H7627" t="s">
        <v>1632</v>
      </c>
    </row>
    <row r="7628" spans="2:8" x14ac:dyDescent="0.2">
      <c r="B7628" t="s">
        <v>4428</v>
      </c>
      <c r="C7628" t="s">
        <v>12945</v>
      </c>
      <c r="D7628" t="s">
        <v>617</v>
      </c>
      <c r="E7628" t="s">
        <v>11137</v>
      </c>
      <c r="F7628">
        <v>1224.48</v>
      </c>
      <c r="H7628" t="s">
        <v>4685</v>
      </c>
    </row>
    <row r="7629" spans="2:8" x14ac:dyDescent="0.2">
      <c r="B7629" t="s">
        <v>4428</v>
      </c>
      <c r="C7629" t="s">
        <v>12945</v>
      </c>
      <c r="D7629" t="s">
        <v>613</v>
      </c>
      <c r="E7629" t="s">
        <v>11138</v>
      </c>
      <c r="F7629">
        <v>130</v>
      </c>
      <c r="H7629" t="s">
        <v>1869</v>
      </c>
    </row>
    <row r="7630" spans="2:8" x14ac:dyDescent="0.2">
      <c r="B7630" t="s">
        <v>4428</v>
      </c>
      <c r="C7630" t="s">
        <v>12945</v>
      </c>
      <c r="D7630" t="s">
        <v>617</v>
      </c>
      <c r="E7630" t="s">
        <v>11140</v>
      </c>
      <c r="F7630">
        <v>20.47</v>
      </c>
      <c r="H7630" t="s">
        <v>4637</v>
      </c>
    </row>
    <row r="7631" spans="2:8" x14ac:dyDescent="0.2">
      <c r="B7631" t="s">
        <v>4428</v>
      </c>
      <c r="C7631" t="s">
        <v>12945</v>
      </c>
      <c r="D7631" t="s">
        <v>617</v>
      </c>
      <c r="E7631" t="s">
        <v>11141</v>
      </c>
      <c r="F7631">
        <v>-20.47</v>
      </c>
      <c r="H7631" t="s">
        <v>4637</v>
      </c>
    </row>
    <row r="7632" spans="2:8" x14ac:dyDescent="0.2">
      <c r="B7632" t="s">
        <v>4428</v>
      </c>
      <c r="C7632" t="s">
        <v>12945</v>
      </c>
      <c r="D7632" t="s">
        <v>617</v>
      </c>
      <c r="E7632" t="s">
        <v>11142</v>
      </c>
      <c r="F7632">
        <v>20.47</v>
      </c>
      <c r="H7632" t="s">
        <v>4637</v>
      </c>
    </row>
    <row r="7633" spans="2:8" x14ac:dyDescent="0.2">
      <c r="B7633" t="s">
        <v>4428</v>
      </c>
      <c r="C7633" t="s">
        <v>12945</v>
      </c>
      <c r="D7633" t="s">
        <v>617</v>
      </c>
      <c r="E7633" t="s">
        <v>11143</v>
      </c>
      <c r="F7633">
        <v>62.65</v>
      </c>
      <c r="H7633" t="s">
        <v>4637</v>
      </c>
    </row>
    <row r="7634" spans="2:8" x14ac:dyDescent="0.2">
      <c r="B7634" t="s">
        <v>4428</v>
      </c>
      <c r="C7634" t="s">
        <v>12945</v>
      </c>
      <c r="D7634" t="s">
        <v>617</v>
      </c>
      <c r="E7634" t="s">
        <v>11144</v>
      </c>
      <c r="F7634">
        <v>58.38</v>
      </c>
      <c r="H7634" t="s">
        <v>4639</v>
      </c>
    </row>
    <row r="7635" spans="2:8" x14ac:dyDescent="0.2">
      <c r="B7635" t="s">
        <v>4428</v>
      </c>
      <c r="C7635" t="s">
        <v>12945</v>
      </c>
      <c r="D7635" t="s">
        <v>617</v>
      </c>
      <c r="E7635" t="s">
        <v>11145</v>
      </c>
      <c r="F7635">
        <v>-58.38</v>
      </c>
      <c r="H7635" t="s">
        <v>4639</v>
      </c>
    </row>
    <row r="7636" spans="2:8" x14ac:dyDescent="0.2">
      <c r="B7636" t="s">
        <v>4428</v>
      </c>
      <c r="C7636" t="s">
        <v>12945</v>
      </c>
      <c r="D7636" t="s">
        <v>617</v>
      </c>
      <c r="E7636" t="s">
        <v>11146</v>
      </c>
      <c r="F7636">
        <v>58.38</v>
      </c>
      <c r="H7636" t="s">
        <v>4639</v>
      </c>
    </row>
    <row r="7637" spans="2:8" x14ac:dyDescent="0.2">
      <c r="B7637" t="s">
        <v>4428</v>
      </c>
      <c r="C7637" t="s">
        <v>12945</v>
      </c>
      <c r="D7637" t="s">
        <v>617</v>
      </c>
      <c r="E7637" t="s">
        <v>11147</v>
      </c>
      <c r="F7637">
        <v>52.36</v>
      </c>
      <c r="H7637" t="s">
        <v>4639</v>
      </c>
    </row>
    <row r="7638" spans="2:8" x14ac:dyDescent="0.2">
      <c r="B7638" t="s">
        <v>4428</v>
      </c>
      <c r="C7638" t="s">
        <v>12945</v>
      </c>
      <c r="D7638" t="s">
        <v>617</v>
      </c>
      <c r="E7638" t="s">
        <v>11148</v>
      </c>
      <c r="F7638">
        <v>9.09</v>
      </c>
      <c r="H7638" t="s">
        <v>1979</v>
      </c>
    </row>
    <row r="7639" spans="2:8" x14ac:dyDescent="0.2">
      <c r="B7639" t="s">
        <v>4428</v>
      </c>
      <c r="C7639" t="s">
        <v>12945</v>
      </c>
      <c r="D7639" t="s">
        <v>617</v>
      </c>
      <c r="E7639" t="s">
        <v>11149</v>
      </c>
      <c r="F7639">
        <v>99.97</v>
      </c>
      <c r="H7639" t="s">
        <v>1979</v>
      </c>
    </row>
    <row r="7640" spans="2:8" x14ac:dyDescent="0.2">
      <c r="B7640" t="s">
        <v>4428</v>
      </c>
      <c r="C7640" t="s">
        <v>12945</v>
      </c>
      <c r="D7640" t="s">
        <v>617</v>
      </c>
      <c r="E7640" t="s">
        <v>11151</v>
      </c>
      <c r="F7640">
        <v>343.71</v>
      </c>
      <c r="H7640" t="s">
        <v>4721</v>
      </c>
    </row>
    <row r="7641" spans="2:8" x14ac:dyDescent="0.2">
      <c r="B7641" t="s">
        <v>4428</v>
      </c>
      <c r="C7641" t="s">
        <v>12945</v>
      </c>
      <c r="D7641" t="s">
        <v>617</v>
      </c>
      <c r="E7641" t="s">
        <v>11152</v>
      </c>
      <c r="F7641">
        <v>3463.69</v>
      </c>
      <c r="H7641" t="s">
        <v>1694</v>
      </c>
    </row>
    <row r="7642" spans="2:8" x14ac:dyDescent="0.2">
      <c r="B7642" t="s">
        <v>4428</v>
      </c>
      <c r="C7642" t="s">
        <v>12945</v>
      </c>
      <c r="D7642" t="s">
        <v>617</v>
      </c>
      <c r="E7642" t="s">
        <v>11153</v>
      </c>
      <c r="F7642">
        <v>-3463.69</v>
      </c>
      <c r="H7642" t="s">
        <v>1694</v>
      </c>
    </row>
    <row r="7643" spans="2:8" x14ac:dyDescent="0.2">
      <c r="B7643" t="s">
        <v>4428</v>
      </c>
      <c r="C7643" t="s">
        <v>12945</v>
      </c>
      <c r="D7643" t="s">
        <v>617</v>
      </c>
      <c r="E7643" t="s">
        <v>11154</v>
      </c>
      <c r="F7643">
        <v>5195.53</v>
      </c>
      <c r="H7643" t="s">
        <v>1694</v>
      </c>
    </row>
    <row r="7644" spans="2:8" x14ac:dyDescent="0.2">
      <c r="B7644" t="s">
        <v>4428</v>
      </c>
      <c r="C7644" t="s">
        <v>12945</v>
      </c>
      <c r="D7644" t="s">
        <v>84</v>
      </c>
      <c r="E7644" t="s">
        <v>11156</v>
      </c>
      <c r="F7644">
        <v>133.03</v>
      </c>
      <c r="H7644" t="s">
        <v>11157</v>
      </c>
    </row>
    <row r="7645" spans="2:8" x14ac:dyDescent="0.2">
      <c r="B7645" t="s">
        <v>4428</v>
      </c>
      <c r="C7645" t="s">
        <v>12945</v>
      </c>
      <c r="D7645" t="s">
        <v>84</v>
      </c>
      <c r="E7645" t="s">
        <v>11158</v>
      </c>
      <c r="F7645">
        <v>14.58</v>
      </c>
      <c r="H7645" t="s">
        <v>11159</v>
      </c>
    </row>
    <row r="7646" spans="2:8" x14ac:dyDescent="0.2">
      <c r="B7646" t="s">
        <v>4428</v>
      </c>
      <c r="C7646" t="s">
        <v>12945</v>
      </c>
      <c r="D7646" t="s">
        <v>84</v>
      </c>
      <c r="E7646" t="s">
        <v>11160</v>
      </c>
      <c r="F7646">
        <v>124.67</v>
      </c>
      <c r="H7646" t="s">
        <v>7599</v>
      </c>
    </row>
    <row r="7647" spans="2:8" x14ac:dyDescent="0.2">
      <c r="B7647" t="s">
        <v>4428</v>
      </c>
      <c r="C7647" t="s">
        <v>12945</v>
      </c>
      <c r="D7647" t="s">
        <v>84</v>
      </c>
      <c r="E7647" t="s">
        <v>11161</v>
      </c>
      <c r="F7647">
        <v>45.34</v>
      </c>
      <c r="H7647" t="s">
        <v>5503</v>
      </c>
    </row>
    <row r="7648" spans="2:8" x14ac:dyDescent="0.2">
      <c r="B7648" t="s">
        <v>4428</v>
      </c>
      <c r="C7648" t="s">
        <v>12945</v>
      </c>
      <c r="D7648" t="s">
        <v>84</v>
      </c>
      <c r="E7648" t="s">
        <v>11162</v>
      </c>
      <c r="F7648">
        <v>320</v>
      </c>
      <c r="H7648" t="s">
        <v>7944</v>
      </c>
    </row>
    <row r="7649" spans="2:8" x14ac:dyDescent="0.2">
      <c r="B7649" t="s">
        <v>4428</v>
      </c>
      <c r="C7649" t="s">
        <v>12945</v>
      </c>
      <c r="D7649" t="s">
        <v>84</v>
      </c>
      <c r="E7649" t="s">
        <v>11163</v>
      </c>
      <c r="F7649">
        <v>30.22</v>
      </c>
      <c r="H7649" t="s">
        <v>6484</v>
      </c>
    </row>
    <row r="7650" spans="2:8" x14ac:dyDescent="0.2">
      <c r="B7650" t="s">
        <v>4428</v>
      </c>
      <c r="C7650" t="s">
        <v>12945</v>
      </c>
      <c r="D7650" t="s">
        <v>617</v>
      </c>
      <c r="E7650" t="s">
        <v>11165</v>
      </c>
      <c r="F7650">
        <v>1403.28</v>
      </c>
      <c r="H7650" t="s">
        <v>4699</v>
      </c>
    </row>
    <row r="7651" spans="2:8" x14ac:dyDescent="0.2">
      <c r="B7651" t="s">
        <v>4428</v>
      </c>
      <c r="C7651" t="s">
        <v>12945</v>
      </c>
      <c r="D7651" t="s">
        <v>617</v>
      </c>
      <c r="E7651" t="s">
        <v>11166</v>
      </c>
      <c r="F7651">
        <v>35</v>
      </c>
      <c r="H7651" t="s">
        <v>1613</v>
      </c>
    </row>
    <row r="7652" spans="2:8" x14ac:dyDescent="0.2">
      <c r="B7652" t="s">
        <v>4428</v>
      </c>
      <c r="C7652" t="s">
        <v>12945</v>
      </c>
      <c r="D7652" t="s">
        <v>617</v>
      </c>
      <c r="E7652" t="s">
        <v>11167</v>
      </c>
      <c r="F7652">
        <v>45</v>
      </c>
      <c r="H7652" t="s">
        <v>1615</v>
      </c>
    </row>
    <row r="7653" spans="2:8" x14ac:dyDescent="0.2">
      <c r="B7653" t="s">
        <v>4428</v>
      </c>
      <c r="C7653" t="s">
        <v>12945</v>
      </c>
      <c r="D7653" t="s">
        <v>617</v>
      </c>
      <c r="E7653" t="s">
        <v>11168</v>
      </c>
      <c r="F7653">
        <v>1018.5</v>
      </c>
      <c r="H7653" t="s">
        <v>1391</v>
      </c>
    </row>
    <row r="7654" spans="2:8" x14ac:dyDescent="0.2">
      <c r="B7654" t="s">
        <v>4428</v>
      </c>
      <c r="C7654" t="s">
        <v>12945</v>
      </c>
      <c r="D7654" t="s">
        <v>617</v>
      </c>
      <c r="E7654" t="s">
        <v>11169</v>
      </c>
      <c r="F7654">
        <v>339.5</v>
      </c>
      <c r="H7654" t="s">
        <v>1391</v>
      </c>
    </row>
    <row r="7655" spans="2:8" x14ac:dyDescent="0.2">
      <c r="B7655" t="s">
        <v>4428</v>
      </c>
      <c r="C7655" t="s">
        <v>12945</v>
      </c>
      <c r="D7655" t="s">
        <v>617</v>
      </c>
      <c r="E7655" t="s">
        <v>11170</v>
      </c>
      <c r="F7655">
        <v>38.049999999999997</v>
      </c>
      <c r="H7655" t="s">
        <v>4517</v>
      </c>
    </row>
    <row r="7656" spans="2:8" x14ac:dyDescent="0.2">
      <c r="B7656" t="s">
        <v>4428</v>
      </c>
      <c r="C7656" t="s">
        <v>12945</v>
      </c>
      <c r="D7656" t="s">
        <v>617</v>
      </c>
      <c r="E7656" t="s">
        <v>11171</v>
      </c>
      <c r="F7656">
        <v>378.22</v>
      </c>
      <c r="H7656" t="s">
        <v>2397</v>
      </c>
    </row>
    <row r="7657" spans="2:8" x14ac:dyDescent="0.2">
      <c r="B7657" t="s">
        <v>4428</v>
      </c>
      <c r="C7657" t="s">
        <v>12945</v>
      </c>
      <c r="D7657" t="s">
        <v>617</v>
      </c>
      <c r="E7657" t="s">
        <v>11172</v>
      </c>
      <c r="F7657">
        <v>47.28</v>
      </c>
      <c r="H7657" t="s">
        <v>2397</v>
      </c>
    </row>
    <row r="7658" spans="2:8" x14ac:dyDescent="0.2">
      <c r="B7658" t="s">
        <v>4428</v>
      </c>
      <c r="C7658" t="s">
        <v>12945</v>
      </c>
      <c r="D7658" t="s">
        <v>617</v>
      </c>
      <c r="E7658" t="s">
        <v>11173</v>
      </c>
      <c r="F7658">
        <v>772.2</v>
      </c>
      <c r="H7658" t="s">
        <v>3370</v>
      </c>
    </row>
    <row r="7659" spans="2:8" x14ac:dyDescent="0.2">
      <c r="B7659" t="s">
        <v>4428</v>
      </c>
      <c r="C7659" t="s">
        <v>12945</v>
      </c>
      <c r="D7659" t="s">
        <v>617</v>
      </c>
      <c r="E7659" t="s">
        <v>11174</v>
      </c>
      <c r="F7659">
        <v>772.2</v>
      </c>
      <c r="H7659" t="s">
        <v>3370</v>
      </c>
    </row>
    <row r="7660" spans="2:8" x14ac:dyDescent="0.2">
      <c r="B7660" t="s">
        <v>4428</v>
      </c>
      <c r="C7660" t="s">
        <v>12945</v>
      </c>
      <c r="D7660" t="s">
        <v>617</v>
      </c>
      <c r="E7660" t="s">
        <v>11175</v>
      </c>
      <c r="F7660">
        <v>401.24</v>
      </c>
      <c r="H7660" t="s">
        <v>4086</v>
      </c>
    </row>
    <row r="7661" spans="2:8" x14ac:dyDescent="0.2">
      <c r="B7661" t="s">
        <v>4428</v>
      </c>
      <c r="C7661" t="s">
        <v>12945</v>
      </c>
      <c r="D7661" t="s">
        <v>617</v>
      </c>
      <c r="E7661" t="s">
        <v>11176</v>
      </c>
      <c r="F7661">
        <v>16.600000000000001</v>
      </c>
      <c r="H7661" t="s">
        <v>4717</v>
      </c>
    </row>
    <row r="7662" spans="2:8" x14ac:dyDescent="0.2">
      <c r="B7662" t="s">
        <v>4428</v>
      </c>
      <c r="C7662" t="s">
        <v>12945</v>
      </c>
      <c r="D7662" t="s">
        <v>621</v>
      </c>
      <c r="E7662" t="s">
        <v>11178</v>
      </c>
      <c r="F7662">
        <v>8.86</v>
      </c>
      <c r="H7662" t="s">
        <v>4186</v>
      </c>
    </row>
    <row r="7663" spans="2:8" x14ac:dyDescent="0.2">
      <c r="B7663" t="s">
        <v>4428</v>
      </c>
      <c r="C7663" t="s">
        <v>12945</v>
      </c>
      <c r="D7663" t="s">
        <v>621</v>
      </c>
      <c r="E7663" t="s">
        <v>11179</v>
      </c>
      <c r="F7663">
        <v>52.56</v>
      </c>
      <c r="H7663" t="s">
        <v>4533</v>
      </c>
    </row>
    <row r="7664" spans="2:8" x14ac:dyDescent="0.2">
      <c r="B7664" t="s">
        <v>4428</v>
      </c>
      <c r="C7664" t="s">
        <v>12945</v>
      </c>
      <c r="D7664" t="s">
        <v>617</v>
      </c>
      <c r="E7664" t="s">
        <v>11180</v>
      </c>
      <c r="F7664">
        <v>90.18</v>
      </c>
      <c r="H7664" t="s">
        <v>4187</v>
      </c>
    </row>
    <row r="7665" spans="2:8" x14ac:dyDescent="0.2">
      <c r="B7665" t="s">
        <v>4428</v>
      </c>
      <c r="C7665" t="s">
        <v>12945</v>
      </c>
      <c r="D7665" t="s">
        <v>621</v>
      </c>
      <c r="E7665" t="s">
        <v>11181</v>
      </c>
      <c r="F7665">
        <v>1061.3399999999999</v>
      </c>
      <c r="H7665" t="s">
        <v>1360</v>
      </c>
    </row>
    <row r="7666" spans="2:8" x14ac:dyDescent="0.2">
      <c r="B7666" t="s">
        <v>4428</v>
      </c>
      <c r="C7666" t="s">
        <v>12945</v>
      </c>
      <c r="D7666" t="s">
        <v>613</v>
      </c>
      <c r="E7666" t="s">
        <v>11182</v>
      </c>
      <c r="F7666">
        <v>336.34</v>
      </c>
      <c r="H7666" t="s">
        <v>1384</v>
      </c>
    </row>
    <row r="7667" spans="2:8" x14ac:dyDescent="0.2">
      <c r="B7667" t="s">
        <v>4428</v>
      </c>
      <c r="C7667" t="s">
        <v>12945</v>
      </c>
      <c r="D7667" t="s">
        <v>613</v>
      </c>
      <c r="E7667" t="s">
        <v>11183</v>
      </c>
      <c r="F7667">
        <v>45.5</v>
      </c>
      <c r="H7667" t="s">
        <v>1386</v>
      </c>
    </row>
    <row r="7668" spans="2:8" x14ac:dyDescent="0.2">
      <c r="B7668" t="s">
        <v>4428</v>
      </c>
      <c r="C7668" t="s">
        <v>12945</v>
      </c>
      <c r="D7668" t="s">
        <v>621</v>
      </c>
      <c r="E7668" t="s">
        <v>11184</v>
      </c>
      <c r="F7668">
        <v>434.49</v>
      </c>
      <c r="H7668" t="s">
        <v>4590</v>
      </c>
    </row>
    <row r="7669" spans="2:8" x14ac:dyDescent="0.2">
      <c r="B7669" t="s">
        <v>4428</v>
      </c>
      <c r="C7669" t="s">
        <v>12945</v>
      </c>
      <c r="D7669" t="s">
        <v>621</v>
      </c>
      <c r="E7669" t="s">
        <v>11185</v>
      </c>
      <c r="F7669">
        <v>571.96</v>
      </c>
      <c r="H7669" t="s">
        <v>2562</v>
      </c>
    </row>
    <row r="7670" spans="2:8" x14ac:dyDescent="0.2">
      <c r="B7670" t="s">
        <v>4428</v>
      </c>
      <c r="C7670" t="s">
        <v>12945</v>
      </c>
      <c r="D7670" t="s">
        <v>621</v>
      </c>
      <c r="E7670" t="s">
        <v>11186</v>
      </c>
      <c r="F7670">
        <v>1319.72</v>
      </c>
      <c r="H7670" t="s">
        <v>1728</v>
      </c>
    </row>
    <row r="7671" spans="2:8" x14ac:dyDescent="0.2">
      <c r="B7671" t="s">
        <v>4428</v>
      </c>
      <c r="C7671" t="s">
        <v>12945</v>
      </c>
      <c r="D7671" t="s">
        <v>621</v>
      </c>
      <c r="E7671" t="s">
        <v>11187</v>
      </c>
      <c r="F7671">
        <v>1319.72</v>
      </c>
      <c r="H7671" t="s">
        <v>1728</v>
      </c>
    </row>
    <row r="7672" spans="2:8" x14ac:dyDescent="0.2">
      <c r="B7672" t="s">
        <v>4428</v>
      </c>
      <c r="C7672" t="s">
        <v>12945</v>
      </c>
      <c r="D7672" t="s">
        <v>621</v>
      </c>
      <c r="E7672" t="s">
        <v>11188</v>
      </c>
      <c r="F7672">
        <v>546.32000000000005</v>
      </c>
      <c r="H7672" t="s">
        <v>1503</v>
      </c>
    </row>
    <row r="7673" spans="2:8" x14ac:dyDescent="0.2">
      <c r="B7673" t="s">
        <v>4428</v>
      </c>
      <c r="C7673" t="s">
        <v>12945</v>
      </c>
      <c r="D7673" t="s">
        <v>1137</v>
      </c>
      <c r="E7673" t="s">
        <v>11189</v>
      </c>
      <c r="F7673">
        <v>340</v>
      </c>
      <c r="G7673" t="s">
        <v>1253</v>
      </c>
    </row>
    <row r="7674" spans="2:8" x14ac:dyDescent="0.2">
      <c r="B7674" t="s">
        <v>4428</v>
      </c>
      <c r="C7674" t="s">
        <v>12945</v>
      </c>
      <c r="D7674" t="s">
        <v>621</v>
      </c>
      <c r="E7674" t="s">
        <v>11191</v>
      </c>
      <c r="F7674">
        <v>52.42</v>
      </c>
      <c r="H7674" t="s">
        <v>3016</v>
      </c>
    </row>
    <row r="7675" spans="2:8" x14ac:dyDescent="0.2">
      <c r="B7675" t="s">
        <v>4428</v>
      </c>
      <c r="C7675" t="s">
        <v>12945</v>
      </c>
      <c r="D7675" t="s">
        <v>621</v>
      </c>
      <c r="E7675" t="s">
        <v>11192</v>
      </c>
      <c r="F7675">
        <v>1319.72</v>
      </c>
      <c r="H7675" t="s">
        <v>1728</v>
      </c>
    </row>
    <row r="7676" spans="2:8" x14ac:dyDescent="0.2">
      <c r="B7676" t="s">
        <v>4428</v>
      </c>
      <c r="C7676" t="s">
        <v>12945</v>
      </c>
      <c r="D7676" t="s">
        <v>621</v>
      </c>
      <c r="E7676" t="s">
        <v>11193</v>
      </c>
      <c r="F7676">
        <v>1319.72</v>
      </c>
      <c r="H7676" t="s">
        <v>1728</v>
      </c>
    </row>
    <row r="7677" spans="2:8" x14ac:dyDescent="0.2">
      <c r="B7677" t="s">
        <v>4428</v>
      </c>
      <c r="C7677" t="s">
        <v>12945</v>
      </c>
      <c r="D7677" t="s">
        <v>621</v>
      </c>
      <c r="E7677" t="s">
        <v>11194</v>
      </c>
      <c r="F7677">
        <v>484.34</v>
      </c>
      <c r="H7677" t="s">
        <v>1880</v>
      </c>
    </row>
    <row r="7678" spans="2:8" x14ac:dyDescent="0.2">
      <c r="B7678" t="s">
        <v>4428</v>
      </c>
      <c r="C7678" t="s">
        <v>12945</v>
      </c>
      <c r="D7678" t="s">
        <v>621</v>
      </c>
      <c r="E7678" t="s">
        <v>11195</v>
      </c>
      <c r="F7678">
        <v>2392.08</v>
      </c>
      <c r="H7678" t="s">
        <v>1881</v>
      </c>
    </row>
    <row r="7679" spans="2:8" x14ac:dyDescent="0.2">
      <c r="B7679" t="s">
        <v>4428</v>
      </c>
      <c r="C7679" t="s">
        <v>12945</v>
      </c>
      <c r="D7679" t="s">
        <v>621</v>
      </c>
      <c r="E7679" t="s">
        <v>11196</v>
      </c>
      <c r="F7679">
        <v>82.2</v>
      </c>
      <c r="H7679" t="s">
        <v>1487</v>
      </c>
    </row>
    <row r="7680" spans="2:8" x14ac:dyDescent="0.2">
      <c r="B7680" t="s">
        <v>4428</v>
      </c>
      <c r="C7680" t="s">
        <v>12945</v>
      </c>
      <c r="D7680" t="s">
        <v>621</v>
      </c>
      <c r="E7680" t="s">
        <v>11197</v>
      </c>
      <c r="F7680">
        <v>184.84</v>
      </c>
      <c r="H7680" t="s">
        <v>1465</v>
      </c>
    </row>
    <row r="7681" spans="2:8" x14ac:dyDescent="0.2">
      <c r="B7681" t="s">
        <v>4428</v>
      </c>
      <c r="C7681" t="s">
        <v>12945</v>
      </c>
      <c r="D7681" t="s">
        <v>1137</v>
      </c>
      <c r="E7681" t="s">
        <v>11198</v>
      </c>
      <c r="F7681">
        <v>380</v>
      </c>
      <c r="G7681" t="s">
        <v>1277</v>
      </c>
    </row>
    <row r="7682" spans="2:8" x14ac:dyDescent="0.2">
      <c r="B7682" t="s">
        <v>4428</v>
      </c>
      <c r="C7682" t="s">
        <v>12945</v>
      </c>
      <c r="D7682" t="s">
        <v>1137</v>
      </c>
      <c r="E7682" t="s">
        <v>11199</v>
      </c>
      <c r="F7682">
        <v>792</v>
      </c>
      <c r="G7682" t="s">
        <v>1275</v>
      </c>
    </row>
    <row r="7683" spans="2:8" x14ac:dyDescent="0.2">
      <c r="B7683" t="s">
        <v>4428</v>
      </c>
      <c r="C7683" t="s">
        <v>12945</v>
      </c>
      <c r="D7683" t="s">
        <v>1137</v>
      </c>
      <c r="E7683" t="s">
        <v>11200</v>
      </c>
      <c r="F7683">
        <v>272</v>
      </c>
      <c r="G7683" t="s">
        <v>1292</v>
      </c>
    </row>
    <row r="7684" spans="2:8" x14ac:dyDescent="0.2">
      <c r="B7684" t="s">
        <v>4428</v>
      </c>
      <c r="C7684" t="s">
        <v>12945</v>
      </c>
      <c r="D7684" t="s">
        <v>1169</v>
      </c>
      <c r="E7684" t="s">
        <v>11201</v>
      </c>
      <c r="F7684">
        <v>5235.5</v>
      </c>
      <c r="G7684" t="s">
        <v>1274</v>
      </c>
    </row>
    <row r="7685" spans="2:8" x14ac:dyDescent="0.2">
      <c r="B7685" t="s">
        <v>4428</v>
      </c>
      <c r="C7685" t="s">
        <v>12945</v>
      </c>
      <c r="D7685" t="s">
        <v>1169</v>
      </c>
      <c r="E7685" t="s">
        <v>11202</v>
      </c>
      <c r="F7685">
        <v>5235.5</v>
      </c>
      <c r="G7685" t="s">
        <v>1274</v>
      </c>
    </row>
    <row r="7686" spans="2:8" x14ac:dyDescent="0.2">
      <c r="B7686" t="s">
        <v>4428</v>
      </c>
      <c r="C7686" t="s">
        <v>12945</v>
      </c>
      <c r="D7686" t="s">
        <v>1169</v>
      </c>
      <c r="E7686" t="s">
        <v>11203</v>
      </c>
      <c r="F7686">
        <v>10471</v>
      </c>
      <c r="G7686" t="s">
        <v>1274</v>
      </c>
    </row>
    <row r="7687" spans="2:8" x14ac:dyDescent="0.2">
      <c r="B7687" t="s">
        <v>4428</v>
      </c>
      <c r="C7687" t="s">
        <v>12945</v>
      </c>
      <c r="D7687" t="s">
        <v>1169</v>
      </c>
      <c r="E7687" t="s">
        <v>11204</v>
      </c>
      <c r="F7687">
        <v>31413</v>
      </c>
      <c r="G7687" t="s">
        <v>1274</v>
      </c>
    </row>
    <row r="7688" spans="2:8" x14ac:dyDescent="0.2">
      <c r="B7688" t="s">
        <v>4428</v>
      </c>
      <c r="C7688" t="s">
        <v>12945</v>
      </c>
      <c r="D7688" t="s">
        <v>617</v>
      </c>
      <c r="E7688" t="s">
        <v>11205</v>
      </c>
      <c r="F7688">
        <v>462</v>
      </c>
      <c r="G7688" t="s">
        <v>1249</v>
      </c>
    </row>
    <row r="7689" spans="2:8" x14ac:dyDescent="0.2">
      <c r="B7689" t="s">
        <v>4428</v>
      </c>
      <c r="C7689" t="s">
        <v>12945</v>
      </c>
      <c r="D7689" t="s">
        <v>617</v>
      </c>
      <c r="E7689" t="s">
        <v>11206</v>
      </c>
      <c r="F7689">
        <v>4158</v>
      </c>
      <c r="G7689" t="s">
        <v>1249</v>
      </c>
    </row>
    <row r="7690" spans="2:8" x14ac:dyDescent="0.2">
      <c r="B7690" t="s">
        <v>4428</v>
      </c>
      <c r="C7690" t="s">
        <v>12945</v>
      </c>
      <c r="D7690" t="s">
        <v>613</v>
      </c>
      <c r="E7690" t="s">
        <v>11207</v>
      </c>
      <c r="F7690">
        <v>30.06</v>
      </c>
      <c r="G7690" t="s">
        <v>9312</v>
      </c>
    </row>
    <row r="7691" spans="2:8" x14ac:dyDescent="0.2">
      <c r="B7691" t="s">
        <v>4428</v>
      </c>
      <c r="C7691" t="s">
        <v>12945</v>
      </c>
      <c r="D7691" t="s">
        <v>1137</v>
      </c>
      <c r="E7691" t="s">
        <v>11208</v>
      </c>
      <c r="F7691">
        <v>119</v>
      </c>
      <c r="G7691" t="s">
        <v>1301</v>
      </c>
    </row>
    <row r="7692" spans="2:8" x14ac:dyDescent="0.2">
      <c r="B7692" t="s">
        <v>4428</v>
      </c>
      <c r="C7692" t="s">
        <v>12945</v>
      </c>
      <c r="D7692" t="s">
        <v>1137</v>
      </c>
      <c r="E7692" t="s">
        <v>11209</v>
      </c>
      <c r="F7692">
        <v>232</v>
      </c>
      <c r="G7692" t="s">
        <v>1307</v>
      </c>
    </row>
    <row r="7693" spans="2:8" x14ac:dyDescent="0.2">
      <c r="B7693" t="s">
        <v>4428</v>
      </c>
      <c r="C7693" t="s">
        <v>12945</v>
      </c>
      <c r="D7693" t="s">
        <v>617</v>
      </c>
      <c r="E7693" t="s">
        <v>11211</v>
      </c>
      <c r="F7693">
        <v>440</v>
      </c>
      <c r="H7693" t="s">
        <v>4814</v>
      </c>
    </row>
    <row r="7694" spans="2:8" x14ac:dyDescent="0.2">
      <c r="B7694" t="s">
        <v>4428</v>
      </c>
      <c r="C7694" t="s">
        <v>12945</v>
      </c>
      <c r="D7694" t="s">
        <v>621</v>
      </c>
      <c r="E7694" t="s">
        <v>11212</v>
      </c>
      <c r="F7694">
        <v>170</v>
      </c>
      <c r="G7694" t="s">
        <v>1760</v>
      </c>
    </row>
    <row r="7695" spans="2:8" x14ac:dyDescent="0.2">
      <c r="B7695" t="s">
        <v>4428</v>
      </c>
      <c r="C7695" t="s">
        <v>12945</v>
      </c>
      <c r="D7695" t="s">
        <v>621</v>
      </c>
      <c r="E7695" t="s">
        <v>11214</v>
      </c>
      <c r="F7695">
        <v>259.2</v>
      </c>
      <c r="H7695" t="s">
        <v>4235</v>
      </c>
    </row>
    <row r="7696" spans="2:8" x14ac:dyDescent="0.2">
      <c r="B7696" t="s">
        <v>4428</v>
      </c>
      <c r="C7696" t="s">
        <v>12945</v>
      </c>
      <c r="D7696" t="s">
        <v>621</v>
      </c>
      <c r="E7696" t="s">
        <v>11215</v>
      </c>
      <c r="F7696">
        <v>172.8</v>
      </c>
      <c r="H7696" t="s">
        <v>4235</v>
      </c>
    </row>
    <row r="7697" spans="2:8" x14ac:dyDescent="0.2">
      <c r="B7697" t="s">
        <v>4428</v>
      </c>
      <c r="C7697" t="s">
        <v>12945</v>
      </c>
      <c r="D7697" t="s">
        <v>1137</v>
      </c>
      <c r="E7697" t="s">
        <v>11216</v>
      </c>
      <c r="F7697">
        <v>552</v>
      </c>
      <c r="G7697" t="s">
        <v>1421</v>
      </c>
    </row>
    <row r="7698" spans="2:8" x14ac:dyDescent="0.2">
      <c r="B7698" t="s">
        <v>4428</v>
      </c>
      <c r="C7698" t="s">
        <v>12945</v>
      </c>
      <c r="D7698" t="s">
        <v>617</v>
      </c>
      <c r="E7698" t="s">
        <v>11217</v>
      </c>
      <c r="F7698">
        <v>88</v>
      </c>
      <c r="G7698" t="s">
        <v>2644</v>
      </c>
    </row>
    <row r="7699" spans="2:8" x14ac:dyDescent="0.2">
      <c r="B7699" t="s">
        <v>4428</v>
      </c>
      <c r="C7699" t="s">
        <v>12945</v>
      </c>
      <c r="D7699" t="s">
        <v>1137</v>
      </c>
      <c r="E7699" t="s">
        <v>11218</v>
      </c>
      <c r="F7699">
        <v>380</v>
      </c>
      <c r="G7699" t="s">
        <v>2481</v>
      </c>
    </row>
    <row r="7700" spans="2:8" x14ac:dyDescent="0.2">
      <c r="B7700" t="s">
        <v>4428</v>
      </c>
      <c r="C7700" t="s">
        <v>12945</v>
      </c>
      <c r="D7700" t="s">
        <v>1137</v>
      </c>
      <c r="E7700" t="s">
        <v>11219</v>
      </c>
      <c r="F7700">
        <v>416</v>
      </c>
      <c r="G7700" t="s">
        <v>2484</v>
      </c>
    </row>
    <row r="7701" spans="2:8" x14ac:dyDescent="0.2">
      <c r="B7701" t="s">
        <v>4428</v>
      </c>
      <c r="C7701" t="s">
        <v>12945</v>
      </c>
      <c r="D7701" t="s">
        <v>1137</v>
      </c>
      <c r="E7701" t="s">
        <v>11220</v>
      </c>
      <c r="F7701">
        <v>560</v>
      </c>
      <c r="G7701" t="s">
        <v>2477</v>
      </c>
    </row>
    <row r="7702" spans="2:8" x14ac:dyDescent="0.2">
      <c r="B7702" t="s">
        <v>4428</v>
      </c>
      <c r="C7702" t="s">
        <v>12945</v>
      </c>
      <c r="D7702" t="s">
        <v>1137</v>
      </c>
      <c r="E7702" t="s">
        <v>11221</v>
      </c>
      <c r="F7702">
        <v>570</v>
      </c>
      <c r="G7702" t="s">
        <v>2534</v>
      </c>
    </row>
    <row r="7703" spans="2:8" x14ac:dyDescent="0.2">
      <c r="B7703" t="s">
        <v>4428</v>
      </c>
      <c r="C7703" t="s">
        <v>12945</v>
      </c>
      <c r="D7703" t="s">
        <v>613</v>
      </c>
      <c r="E7703" t="s">
        <v>11222</v>
      </c>
      <c r="F7703">
        <v>70.5</v>
      </c>
      <c r="G7703" t="s">
        <v>4851</v>
      </c>
    </row>
    <row r="7704" spans="2:8" x14ac:dyDescent="0.2">
      <c r="B7704" t="s">
        <v>4428</v>
      </c>
      <c r="C7704" t="s">
        <v>12945</v>
      </c>
      <c r="D7704" t="s">
        <v>617</v>
      </c>
      <c r="E7704" t="s">
        <v>11223</v>
      </c>
      <c r="F7704">
        <v>177.63</v>
      </c>
      <c r="G7704" t="s">
        <v>1931</v>
      </c>
    </row>
    <row r="7705" spans="2:8" x14ac:dyDescent="0.2">
      <c r="B7705" t="s">
        <v>4428</v>
      </c>
      <c r="C7705" t="s">
        <v>12945</v>
      </c>
      <c r="D7705" t="s">
        <v>621</v>
      </c>
      <c r="E7705" t="s">
        <v>11225</v>
      </c>
      <c r="F7705">
        <v>907.41</v>
      </c>
      <c r="H7705" t="s">
        <v>4893</v>
      </c>
    </row>
    <row r="7706" spans="2:8" x14ac:dyDescent="0.2">
      <c r="B7706" t="s">
        <v>4428</v>
      </c>
      <c r="C7706" t="s">
        <v>12945</v>
      </c>
      <c r="D7706" t="s">
        <v>621</v>
      </c>
      <c r="E7706" t="s">
        <v>11228</v>
      </c>
      <c r="F7706">
        <v>33.18</v>
      </c>
      <c r="H7706" t="s">
        <v>1938</v>
      </c>
    </row>
    <row r="7707" spans="2:8" x14ac:dyDescent="0.2">
      <c r="B7707" t="s">
        <v>4428</v>
      </c>
      <c r="C7707" t="s">
        <v>12945</v>
      </c>
      <c r="D7707" t="s">
        <v>621</v>
      </c>
      <c r="E7707" t="s">
        <v>11230</v>
      </c>
      <c r="F7707">
        <v>56.2</v>
      </c>
      <c r="H7707" t="s">
        <v>1894</v>
      </c>
    </row>
    <row r="7708" spans="2:8" x14ac:dyDescent="0.2">
      <c r="B7708" t="s">
        <v>4428</v>
      </c>
      <c r="C7708" t="s">
        <v>12945</v>
      </c>
      <c r="D7708" t="s">
        <v>621</v>
      </c>
      <c r="E7708" t="s">
        <v>11231</v>
      </c>
      <c r="F7708">
        <v>83.4</v>
      </c>
      <c r="H7708" t="s">
        <v>1895</v>
      </c>
    </row>
    <row r="7709" spans="2:8" x14ac:dyDescent="0.2">
      <c r="B7709" t="s">
        <v>4428</v>
      </c>
      <c r="C7709" t="s">
        <v>12945</v>
      </c>
      <c r="D7709" t="s">
        <v>617</v>
      </c>
      <c r="E7709" t="s">
        <v>11232</v>
      </c>
      <c r="F7709">
        <v>183.6</v>
      </c>
      <c r="G7709" t="s">
        <v>4911</v>
      </c>
    </row>
    <row r="7710" spans="2:8" x14ac:dyDescent="0.2">
      <c r="B7710" t="s">
        <v>4428</v>
      </c>
      <c r="C7710" t="s">
        <v>12945</v>
      </c>
      <c r="D7710" t="s">
        <v>1137</v>
      </c>
      <c r="E7710" t="s">
        <v>11233</v>
      </c>
      <c r="F7710">
        <v>846</v>
      </c>
      <c r="G7710" t="s">
        <v>2631</v>
      </c>
    </row>
    <row r="7711" spans="2:8" x14ac:dyDescent="0.2">
      <c r="B7711" t="s">
        <v>4428</v>
      </c>
      <c r="C7711" t="s">
        <v>12945</v>
      </c>
      <c r="D7711" t="s">
        <v>621</v>
      </c>
      <c r="E7711" t="s">
        <v>11234</v>
      </c>
      <c r="F7711">
        <v>100.5</v>
      </c>
      <c r="G7711" t="s">
        <v>4167</v>
      </c>
    </row>
    <row r="7712" spans="2:8" x14ac:dyDescent="0.2">
      <c r="B7712" t="s">
        <v>4428</v>
      </c>
      <c r="C7712" t="s">
        <v>12945</v>
      </c>
      <c r="D7712" t="s">
        <v>621</v>
      </c>
      <c r="E7712" t="s">
        <v>11235</v>
      </c>
      <c r="F7712">
        <v>234.5</v>
      </c>
      <c r="G7712" t="s">
        <v>4167</v>
      </c>
    </row>
    <row r="7713" spans="2:8" x14ac:dyDescent="0.2">
      <c r="B7713" t="s">
        <v>4428</v>
      </c>
      <c r="C7713" t="s">
        <v>12945</v>
      </c>
      <c r="D7713" t="s">
        <v>621</v>
      </c>
      <c r="E7713" t="s">
        <v>11237</v>
      </c>
      <c r="F7713">
        <v>190.08</v>
      </c>
      <c r="H7713" t="s">
        <v>4940</v>
      </c>
    </row>
    <row r="7714" spans="2:8" x14ac:dyDescent="0.2">
      <c r="B7714" t="s">
        <v>4428</v>
      </c>
      <c r="C7714" t="s">
        <v>12945</v>
      </c>
      <c r="D7714" t="s">
        <v>621</v>
      </c>
      <c r="E7714" t="s">
        <v>11238</v>
      </c>
      <c r="F7714">
        <v>26.21</v>
      </c>
      <c r="H7714" t="s">
        <v>3016</v>
      </c>
    </row>
    <row r="7715" spans="2:8" x14ac:dyDescent="0.2">
      <c r="B7715" t="s">
        <v>4428</v>
      </c>
      <c r="C7715" t="s">
        <v>12945</v>
      </c>
      <c r="D7715" t="s">
        <v>617</v>
      </c>
      <c r="E7715" t="s">
        <v>11239</v>
      </c>
      <c r="F7715">
        <v>90.18</v>
      </c>
      <c r="H7715" t="s">
        <v>4187</v>
      </c>
    </row>
    <row r="7716" spans="2:8" x14ac:dyDescent="0.2">
      <c r="B7716" t="s">
        <v>4428</v>
      </c>
      <c r="C7716" t="s">
        <v>12945</v>
      </c>
      <c r="D7716" t="s">
        <v>423</v>
      </c>
      <c r="E7716" t="s">
        <v>11240</v>
      </c>
      <c r="F7716">
        <v>728.6</v>
      </c>
      <c r="G7716" t="s">
        <v>11241</v>
      </c>
    </row>
    <row r="7717" spans="2:8" x14ac:dyDescent="0.2">
      <c r="B7717" t="s">
        <v>4428</v>
      </c>
      <c r="C7717" t="s">
        <v>12946</v>
      </c>
      <c r="D7717" t="s">
        <v>613</v>
      </c>
      <c r="E7717" t="s">
        <v>11262</v>
      </c>
      <c r="F7717">
        <v>26653.7</v>
      </c>
      <c r="G7717" t="s">
        <v>1519</v>
      </c>
    </row>
    <row r="7718" spans="2:8" x14ac:dyDescent="0.2">
      <c r="B7718" t="s">
        <v>4428</v>
      </c>
      <c r="C7718" t="s">
        <v>12946</v>
      </c>
      <c r="D7718" t="s">
        <v>613</v>
      </c>
      <c r="E7718" t="s">
        <v>11264</v>
      </c>
      <c r="F7718">
        <v>29663.58</v>
      </c>
      <c r="G7718" t="s">
        <v>1493</v>
      </c>
    </row>
    <row r="7719" spans="2:8" x14ac:dyDescent="0.2">
      <c r="B7719" t="s">
        <v>4428</v>
      </c>
      <c r="C7719" t="s">
        <v>12946</v>
      </c>
      <c r="D7719" t="s">
        <v>613</v>
      </c>
      <c r="E7719" t="s">
        <v>11266</v>
      </c>
      <c r="F7719">
        <v>25615.94</v>
      </c>
      <c r="G7719" t="s">
        <v>1684</v>
      </c>
    </row>
    <row r="7720" spans="2:8" x14ac:dyDescent="0.2">
      <c r="B7720" t="s">
        <v>4428</v>
      </c>
      <c r="C7720" t="s">
        <v>12946</v>
      </c>
      <c r="D7720" t="s">
        <v>613</v>
      </c>
      <c r="E7720" t="s">
        <v>11267</v>
      </c>
      <c r="F7720">
        <v>29663.58</v>
      </c>
      <c r="G7720" t="s">
        <v>2106</v>
      </c>
    </row>
    <row r="7721" spans="2:8" x14ac:dyDescent="0.2">
      <c r="B7721" t="s">
        <v>4428</v>
      </c>
      <c r="C7721" t="s">
        <v>12946</v>
      </c>
      <c r="D7721" t="s">
        <v>613</v>
      </c>
      <c r="E7721" t="s">
        <v>11268</v>
      </c>
      <c r="F7721">
        <v>23249.96</v>
      </c>
      <c r="G7721" t="s">
        <v>2104</v>
      </c>
    </row>
    <row r="7722" spans="2:8" x14ac:dyDescent="0.2">
      <c r="B7722" t="s">
        <v>4428</v>
      </c>
      <c r="C7722" t="s">
        <v>12946</v>
      </c>
      <c r="D7722" t="s">
        <v>613</v>
      </c>
      <c r="E7722" t="s">
        <v>11269</v>
      </c>
      <c r="F7722">
        <v>26908.44</v>
      </c>
      <c r="G7722" t="s">
        <v>1812</v>
      </c>
    </row>
    <row r="7723" spans="2:8" x14ac:dyDescent="0.2">
      <c r="B7723" t="s">
        <v>4428</v>
      </c>
      <c r="C7723" t="s">
        <v>12946</v>
      </c>
      <c r="D7723" t="s">
        <v>613</v>
      </c>
      <c r="E7723" t="s">
        <v>11271</v>
      </c>
      <c r="F7723">
        <v>16439.66</v>
      </c>
      <c r="G7723" t="s">
        <v>2010</v>
      </c>
    </row>
    <row r="7724" spans="2:8" x14ac:dyDescent="0.2">
      <c r="B7724" t="s">
        <v>4428</v>
      </c>
      <c r="C7724" t="s">
        <v>12946</v>
      </c>
      <c r="D7724" t="s">
        <v>613</v>
      </c>
      <c r="E7724" t="s">
        <v>11272</v>
      </c>
      <c r="F7724">
        <v>16439.66</v>
      </c>
      <c r="G7724" t="s">
        <v>2011</v>
      </c>
    </row>
    <row r="7725" spans="2:8" x14ac:dyDescent="0.2">
      <c r="B7725" t="s">
        <v>4428</v>
      </c>
      <c r="C7725" t="s">
        <v>12946</v>
      </c>
      <c r="D7725" t="s">
        <v>613</v>
      </c>
      <c r="E7725" t="s">
        <v>11273</v>
      </c>
      <c r="F7725">
        <v>13232.38</v>
      </c>
      <c r="G7725" t="s">
        <v>1700</v>
      </c>
    </row>
    <row r="7726" spans="2:8" x14ac:dyDescent="0.2">
      <c r="B7726" t="s">
        <v>4428</v>
      </c>
      <c r="C7726" t="s">
        <v>12946</v>
      </c>
      <c r="D7726" t="s">
        <v>613</v>
      </c>
      <c r="E7726" t="s">
        <v>11274</v>
      </c>
      <c r="F7726">
        <v>8352</v>
      </c>
      <c r="G7726" t="s">
        <v>1561</v>
      </c>
    </row>
    <row r="7727" spans="2:8" x14ac:dyDescent="0.2">
      <c r="B7727" t="s">
        <v>4428</v>
      </c>
      <c r="C7727" t="s">
        <v>12946</v>
      </c>
      <c r="D7727" t="s">
        <v>613</v>
      </c>
      <c r="E7727" t="s">
        <v>11275</v>
      </c>
      <c r="F7727">
        <v>26797.5</v>
      </c>
      <c r="G7727" t="s">
        <v>1818</v>
      </c>
    </row>
    <row r="7728" spans="2:8" x14ac:dyDescent="0.2">
      <c r="B7728" t="s">
        <v>4428</v>
      </c>
      <c r="C7728" t="s">
        <v>12946</v>
      </c>
      <c r="D7728" t="s">
        <v>613</v>
      </c>
      <c r="E7728" t="s">
        <v>11276</v>
      </c>
      <c r="F7728">
        <v>62527.5</v>
      </c>
      <c r="G7728" t="s">
        <v>1818</v>
      </c>
    </row>
    <row r="7729" spans="2:7" x14ac:dyDescent="0.2">
      <c r="B7729" t="s">
        <v>4428</v>
      </c>
      <c r="C7729" t="s">
        <v>12946</v>
      </c>
      <c r="D7729" t="s">
        <v>613</v>
      </c>
      <c r="E7729" t="s">
        <v>11277</v>
      </c>
      <c r="F7729">
        <v>1035</v>
      </c>
      <c r="G7729" t="s">
        <v>1609</v>
      </c>
    </row>
    <row r="7730" spans="2:7" x14ac:dyDescent="0.2">
      <c r="B7730" t="s">
        <v>4428</v>
      </c>
      <c r="C7730" t="s">
        <v>12946</v>
      </c>
      <c r="D7730" t="s">
        <v>613</v>
      </c>
      <c r="E7730" t="s">
        <v>11278</v>
      </c>
      <c r="F7730">
        <v>1035</v>
      </c>
      <c r="G7730" t="s">
        <v>1609</v>
      </c>
    </row>
    <row r="7731" spans="2:7" x14ac:dyDescent="0.2">
      <c r="B7731" t="s">
        <v>4428</v>
      </c>
      <c r="C7731" t="s">
        <v>12946</v>
      </c>
      <c r="D7731" t="s">
        <v>613</v>
      </c>
      <c r="E7731" t="s">
        <v>11279</v>
      </c>
      <c r="F7731">
        <v>2415</v>
      </c>
      <c r="G7731" t="s">
        <v>1609</v>
      </c>
    </row>
    <row r="7732" spans="2:7" x14ac:dyDescent="0.2">
      <c r="B7732" t="s">
        <v>4428</v>
      </c>
      <c r="C7732" t="s">
        <v>12946</v>
      </c>
      <c r="D7732" t="s">
        <v>613</v>
      </c>
      <c r="E7732" t="s">
        <v>11280</v>
      </c>
      <c r="F7732">
        <v>2415</v>
      </c>
      <c r="G7732" t="s">
        <v>1609</v>
      </c>
    </row>
    <row r="7733" spans="2:7" x14ac:dyDescent="0.2">
      <c r="B7733" t="s">
        <v>4428</v>
      </c>
      <c r="C7733" t="s">
        <v>12946</v>
      </c>
      <c r="D7733" t="s">
        <v>613</v>
      </c>
      <c r="E7733" t="s">
        <v>11281</v>
      </c>
      <c r="F7733">
        <v>8135</v>
      </c>
      <c r="G7733" t="s">
        <v>1260</v>
      </c>
    </row>
    <row r="7734" spans="2:7" x14ac:dyDescent="0.2">
      <c r="B7734" t="s">
        <v>4428</v>
      </c>
      <c r="C7734" t="s">
        <v>12946</v>
      </c>
      <c r="D7734" t="s">
        <v>613</v>
      </c>
      <c r="E7734" t="s">
        <v>11282</v>
      </c>
      <c r="F7734">
        <v>745</v>
      </c>
      <c r="G7734" t="s">
        <v>1255</v>
      </c>
    </row>
    <row r="7735" spans="2:7" x14ac:dyDescent="0.2">
      <c r="B7735" t="s">
        <v>4428</v>
      </c>
      <c r="C7735" t="s">
        <v>12946</v>
      </c>
      <c r="D7735" t="s">
        <v>613</v>
      </c>
      <c r="E7735" t="s">
        <v>11283</v>
      </c>
      <c r="F7735">
        <v>17811.900000000001</v>
      </c>
      <c r="G7735" t="s">
        <v>1533</v>
      </c>
    </row>
    <row r="7736" spans="2:7" x14ac:dyDescent="0.2">
      <c r="B7736" t="s">
        <v>4428</v>
      </c>
      <c r="C7736" t="s">
        <v>12946</v>
      </c>
      <c r="D7736" t="s">
        <v>613</v>
      </c>
      <c r="E7736" t="s">
        <v>11284</v>
      </c>
      <c r="F7736">
        <v>41561.1</v>
      </c>
      <c r="G7736" t="s">
        <v>1533</v>
      </c>
    </row>
    <row r="7737" spans="2:7" x14ac:dyDescent="0.2">
      <c r="B7737" t="s">
        <v>4428</v>
      </c>
      <c r="C7737" t="s">
        <v>12946</v>
      </c>
      <c r="D7737" t="s">
        <v>613</v>
      </c>
      <c r="E7737" t="s">
        <v>11285</v>
      </c>
      <c r="F7737">
        <v>28463.9</v>
      </c>
      <c r="G7737" t="s">
        <v>1290</v>
      </c>
    </row>
    <row r="7738" spans="2:7" x14ac:dyDescent="0.2">
      <c r="B7738" t="s">
        <v>4428</v>
      </c>
      <c r="C7738" t="s">
        <v>12946</v>
      </c>
      <c r="D7738" t="s">
        <v>613</v>
      </c>
      <c r="E7738" t="s">
        <v>11286</v>
      </c>
      <c r="F7738">
        <v>2612</v>
      </c>
      <c r="G7738" t="s">
        <v>1305</v>
      </c>
    </row>
    <row r="7739" spans="2:7" x14ac:dyDescent="0.2">
      <c r="B7739" t="s">
        <v>4428</v>
      </c>
      <c r="C7739" t="s">
        <v>12946</v>
      </c>
      <c r="D7739" t="s">
        <v>613</v>
      </c>
      <c r="E7739" t="s">
        <v>11287</v>
      </c>
      <c r="F7739">
        <v>8840</v>
      </c>
      <c r="G7739" t="s">
        <v>1319</v>
      </c>
    </row>
    <row r="7740" spans="2:7" x14ac:dyDescent="0.2">
      <c r="B7740" t="s">
        <v>4428</v>
      </c>
      <c r="C7740" t="s">
        <v>12947</v>
      </c>
      <c r="D7740" t="s">
        <v>84</v>
      </c>
      <c r="E7740" t="s">
        <v>11288</v>
      </c>
      <c r="F7740">
        <v>135821</v>
      </c>
      <c r="G7740" t="s">
        <v>2385</v>
      </c>
    </row>
    <row r="7741" spans="2:7" x14ac:dyDescent="0.2">
      <c r="B7741" t="s">
        <v>4428</v>
      </c>
      <c r="C7741" t="s">
        <v>12947</v>
      </c>
      <c r="D7741" t="s">
        <v>84</v>
      </c>
      <c r="E7741" t="s">
        <v>11290</v>
      </c>
      <c r="F7741">
        <v>91339</v>
      </c>
      <c r="G7741" t="s">
        <v>1193</v>
      </c>
    </row>
    <row r="7742" spans="2:7" x14ac:dyDescent="0.2">
      <c r="B7742" t="s">
        <v>4428</v>
      </c>
      <c r="C7742" t="s">
        <v>12947</v>
      </c>
      <c r="D7742" t="s">
        <v>84</v>
      </c>
      <c r="E7742" t="s">
        <v>11291</v>
      </c>
      <c r="F7742">
        <v>76221</v>
      </c>
      <c r="G7742" t="s">
        <v>1195</v>
      </c>
    </row>
    <row r="7743" spans="2:7" x14ac:dyDescent="0.2">
      <c r="B7743" t="s">
        <v>4428</v>
      </c>
      <c r="C7743" t="s">
        <v>12947</v>
      </c>
      <c r="D7743" t="s">
        <v>84</v>
      </c>
      <c r="E7743" t="s">
        <v>11292</v>
      </c>
      <c r="F7743">
        <v>128197</v>
      </c>
      <c r="G7743" t="s">
        <v>1196</v>
      </c>
    </row>
    <row r="7744" spans="2:7" x14ac:dyDescent="0.2">
      <c r="B7744" t="s">
        <v>4428</v>
      </c>
      <c r="C7744" t="s">
        <v>12947</v>
      </c>
      <c r="D7744" t="s">
        <v>84</v>
      </c>
      <c r="E7744" t="s">
        <v>11293</v>
      </c>
      <c r="F7744">
        <v>12352</v>
      </c>
      <c r="G7744" t="s">
        <v>1199</v>
      </c>
    </row>
    <row r="7745" spans="2:7" x14ac:dyDescent="0.2">
      <c r="B7745" t="s">
        <v>4428</v>
      </c>
      <c r="C7745" t="s">
        <v>12947</v>
      </c>
      <c r="D7745" t="s">
        <v>84</v>
      </c>
      <c r="E7745" t="s">
        <v>11294</v>
      </c>
      <c r="F7745">
        <v>9747</v>
      </c>
      <c r="G7745" t="s">
        <v>1201</v>
      </c>
    </row>
    <row r="7746" spans="2:7" x14ac:dyDescent="0.2">
      <c r="B7746" t="s">
        <v>4428</v>
      </c>
      <c r="C7746" t="s">
        <v>12947</v>
      </c>
      <c r="D7746" t="s">
        <v>84</v>
      </c>
      <c r="E7746" t="s">
        <v>11295</v>
      </c>
      <c r="F7746">
        <v>11967</v>
      </c>
      <c r="G7746" t="s">
        <v>1203</v>
      </c>
    </row>
    <row r="7747" spans="2:7" x14ac:dyDescent="0.2">
      <c r="B7747" t="s">
        <v>4428</v>
      </c>
      <c r="C7747" t="s">
        <v>12947</v>
      </c>
      <c r="D7747" t="s">
        <v>84</v>
      </c>
      <c r="E7747" t="s">
        <v>11296</v>
      </c>
      <c r="F7747">
        <v>12352</v>
      </c>
      <c r="G7747" t="s">
        <v>1205</v>
      </c>
    </row>
    <row r="7748" spans="2:7" x14ac:dyDescent="0.2">
      <c r="B7748" t="s">
        <v>4428</v>
      </c>
      <c r="C7748" t="s">
        <v>12947</v>
      </c>
      <c r="D7748" t="s">
        <v>613</v>
      </c>
      <c r="E7748" t="s">
        <v>11297</v>
      </c>
      <c r="F7748">
        <v>21106.32</v>
      </c>
      <c r="G7748" t="s">
        <v>1303</v>
      </c>
    </row>
    <row r="7749" spans="2:7" x14ac:dyDescent="0.2">
      <c r="B7749" t="s">
        <v>4428</v>
      </c>
      <c r="C7749" t="s">
        <v>12948</v>
      </c>
      <c r="D7749" t="s">
        <v>345</v>
      </c>
      <c r="E7749" t="s">
        <v>11409</v>
      </c>
      <c r="F7749">
        <v>9920.06</v>
      </c>
      <c r="G7749" t="s">
        <v>11410</v>
      </c>
    </row>
    <row r="7750" spans="2:7" x14ac:dyDescent="0.2">
      <c r="B7750" t="s">
        <v>4428</v>
      </c>
      <c r="C7750" t="s">
        <v>12948</v>
      </c>
      <c r="D7750" t="s">
        <v>372</v>
      </c>
      <c r="E7750" t="s">
        <v>11411</v>
      </c>
      <c r="F7750">
        <v>3693.28</v>
      </c>
      <c r="G7750" t="s">
        <v>11412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StdData</vt:lpstr>
      <vt:lpstr>InData</vt:lpstr>
      <vt:lpstr>OutData</vt:lpstr>
      <vt:lpstr>LngS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StdData!PrjX_Id</vt:lpstr>
      <vt:lpstr>PrjX_Id</vt:lpstr>
      <vt:lpstr>Pth</vt:lpstr>
      <vt:lpstr>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2024-11-27T21:01:14Z</dcterms:created>
  <dcterms:modified xsi:type="dcterms:W3CDTF">2024-12-01T12:33:28Z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