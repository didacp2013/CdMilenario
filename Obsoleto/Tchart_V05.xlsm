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idac/Downloads/StoryMac/DashBTracker/PruebasCdM/"/>
    </mc:Choice>
  </mc:AlternateContent>
  <xr:revisionPtr revIDLastSave="0" documentId="13_ncr:1_{207FA919-B4F3-E849-8F2F-89329E2DC0BB}" xr6:coauthVersionLast="47" xr6:coauthVersionMax="47" xr10:uidLastSave="{00000000-0000-0000-0000-000000000000}"/>
  <bookViews>
    <workbookView xWindow="0" yWindow="720" windowWidth="29400" windowHeight="18400" xr2:uid="{EDAD35E9-EC97-4654-B180-E6FDDD7C6CE2}"/>
  </bookViews>
  <sheets>
    <sheet name="F_Asg4" sheetId="58870" r:id="rId1"/>
    <sheet name="OutData" sheetId="58868" r:id="rId2"/>
    <sheet name="InData" sheetId="58853" r:id="rId3"/>
  </sheets>
  <functionGroups builtInGroupCount="19"/>
  <definedNames>
    <definedName name="_xlnm._FilterDatabase" localSheetId="2" hidden="1">InData!#REF!</definedName>
    <definedName name="ExternalData_1" localSheetId="2" hidden="1">InData!#REF!</definedName>
    <definedName name="ExternalData_1" localSheetId="1" hidden="1">OutData!$O$3:$V$2598</definedName>
    <definedName name="ExternalData_18" localSheetId="2" hidden="1">InData!#REF!</definedName>
    <definedName name="ExternalData_19" localSheetId="2" hidden="1">InData!#REF!</definedName>
    <definedName name="ExternalData_3" localSheetId="2" hidden="1">InData!#REF!</definedName>
    <definedName name="ExternalData_3" localSheetId="1" hidden="1">OutData!$C$3:$J$136</definedName>
    <definedName name="ExternalData_30" localSheetId="2" hidden="1">InData!#REF!</definedName>
    <definedName name="ExternalData_33" localSheetId="2" hidden="1">InData!#REF!</definedName>
    <definedName name="ExternalData_34" localSheetId="2" hidden="1">InData!#REF!</definedName>
    <definedName name="ExternalData_35" localSheetId="2" hidden="1">InData!#REF!</definedName>
    <definedName name="ExternalData_4" localSheetId="1" hidden="1">OutData!$AA$3:$AL$3187</definedName>
    <definedName name="LngS">InData!$C$4</definedName>
    <definedName name="OsyS">InData!$C$3</definedName>
    <definedName name="PrjX_Id">InData!$C$6</definedName>
    <definedName name="Pth">InData!$C$2</definedName>
    <definedName name="Vrs">InData!$C$8</definedName>
    <definedName name="VrsClc">InData!$C$12</definedName>
    <definedName name="VrsLup">InData!$C$14</definedName>
    <definedName name="VrsPck">InData!$C$15</definedName>
    <definedName name="VrsPts">InData!$C$13</definedName>
    <definedName name="VrsTch">InData!$C$10</definedName>
    <definedName name="VrsTrk">InData!$C$11</definedName>
    <definedName name="VrsXpl">InData!$C$9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58853" l="1" a="1"/>
  <c r="C3" i="58853" a="1"/>
  <c r="C3" i="58853" l="1"/>
  <c r="C4" i="58853"/>
  <c r="B1" i="58853" s="1" a="1"/>
  <c r="B1" i="58853" s="1"/>
  <c r="C2" i="58853" l="1"/>
  <c r="C5" i="5885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52038A-8BFC-4C44-8F00-F597B8528092}" keepAlive="1" name="Query - _IsoDay" description="Connection to the '_IsoDay' query in the workbook." type="5" refreshedVersion="0" background="1">
    <dbPr connection="Provider=Microsoft.Mashup.OleDb.1;Data Source=$Workbook$;Location=_IsoDay;Extended Properties=&quot;&quot;" command="SELECT * FROM [_IsoDay]"/>
  </connection>
  <connection id="2" xr16:uid="{B2F75A1E-1B83-4740-9AEB-4726E96BB3BA}" keepAlive="1" name="Query - _IsoWeek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3" xr16:uid="{EF952624-26DE-D946-AA33-DA508F759AE9}" keepAlive="1" name="Query - _IsoWeek(1)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4" xr16:uid="{ED32ACDA-F517-4668-AF78-FD5155FB74A3}" keepAlive="1" name="Query - CDc0_Tot" description="Connection to the 'CDc0_Tot' query in the workbook." type="5" refreshedVersion="0" background="1">
    <dbPr connection="Provider=Microsoft.Mashup.OleDb.1;Data Source=$Workbook$;Location=CDc0_Tot;Extended Properties=&quot;&quot;" command="SELECT * FROM [CDc0_Tot]"/>
  </connection>
  <connection id="5" xr16:uid="{DE62EEEF-FD56-9642-B145-DDD782AE921F}" keepAlive="1" name="Query - Dates" description="Connection to the 'Dates' query in the workbook." type="5" refreshedVersion="8" background="1" saveData="1">
    <dbPr connection="Provider=Microsoft.Mashup.OleDb.1;Data Source=$Workbook$;Location=Dates;Extended Properties=&quot;&quot;" command="SELECT * FROM [Dates]"/>
  </connection>
  <connection id="6" xr16:uid="{F5CD3415-4A4C-490D-8F65-73C9D48C944B}" keepAlive="1" name="Query - DhB0" description="Connection to the 'DhB0' query in the workbook." type="5" refreshedVersion="8" background="1" saveData="1">
    <dbPr connection="Provider=Microsoft.Mashup.OleDb.1;Data Source=$Workbook$;Location=DhB0;Extended Properties=&quot;&quot;" command="SELECT * FROM [DhB0]"/>
  </connection>
  <connection id="7" xr16:uid="{53B52B73-6F68-4A9E-BECC-409F416A8BBB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8" xr16:uid="{0BDA86E1-48DB-4325-AC30-7FC7A3484695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9" xr16:uid="{CCC0B00F-0F5B-4F5A-B95A-58D2C35B04A8}" keepAlive="1" name="Query - DhB3" description="Connection to the 'DhB3' query in the workbook." type="5" refreshedVersion="8" background="1" saveData="1">
    <dbPr connection="Provider=Microsoft.Mashup.OleDb.1;Data Source=$Workbook$;Location=DhB3;Extended Properties=&quot;&quot;" command="SELECT * FROM [DhB3]"/>
  </connection>
  <connection id="10" xr16:uid="{CDB90F31-52F8-42B3-933F-036CE72FB9D1}" keepAlive="1" name="Query - DhB4" description="Connection to the 'DhB4' query in the workbook." type="5" refreshedVersion="0" background="1">
    <dbPr connection="Provider=Microsoft.Mashup.OleDb.1;Data Source=$Workbook$;Location=DhB4;Extended Properties=&quot;&quot;" command="SELECT * FROM [DhB4]"/>
  </connection>
  <connection id="11" xr16:uid="{5839F313-7179-4FE3-B7FA-9EBA6EF8C834}" keepAlive="1" name="Query - DhB5" description="Connection to the 'DhB5' query in the workbook." type="5" refreshedVersion="0" background="1">
    <dbPr connection="Provider=Microsoft.Mashup.OleDb.1;Data Source=$Workbook$;Location=DhB5;Extended Properties=&quot;&quot;" command="SELECT * FROM [DhB5]"/>
  </connection>
  <connection id="12" xr16:uid="{C63F1870-EA42-6F48-8252-670D495E3313}" keepAlive="1" name="Query - DhB6" description="Connection to the 'DhB6' query in the workbook." type="5" refreshedVersion="0" background="1">
    <dbPr connection="Provider=Microsoft.Mashup.OleDb.1;Data Source=$Workbook$;Location=DhB6;Extended Properties=&quot;&quot;" command="SELECT * FROM [DhB6]"/>
  </connection>
  <connection id="13" xr16:uid="{6BE15262-EA58-8142-B067-BD14EDA0F054}" keepAlive="1" name="Query - DhB7" description="Connection to the 'DhB7' query in the workbook." type="5" refreshedVersion="0" background="1">
    <dbPr connection="Provider=Microsoft.Mashup.OleDb.1;Data Source=$Workbook$;Location=DhB7;Extended Properties=&quot;&quot;" command="SELECT * FROM [DhB7]"/>
  </connection>
  <connection id="14" xr16:uid="{DE1CDAB0-30B5-8444-ACA3-E7231E3AB1E7}" keepAlive="1" name="Query - F_Asg4" description="Connection to the 'F_Asg4' query in the workbook." type="5" refreshedVersion="8" background="1" saveData="1">
    <dbPr connection="Provider=Microsoft.Mashup.OleDb.1;Data Source=$Workbook$;Location=F_Asg4;Extended Properties=&quot;&quot;" command="SELECT * FROM [F_Asg4]"/>
  </connection>
  <connection id="15" xr16:uid="{8B05A9D8-8A3A-4287-BBC0-B60FD333FDBA}" keepAlive="1" name="Query - FilD_XPE0" description="Connection to the 'FilD_XPE0' query in the workbook." type="5" refreshedVersion="0" background="1">
    <dbPr connection="Provider=Microsoft.Mashup.OleDb.1;Data Source=$Workbook$;Location=FilD_XPE0;Extended Properties=&quot;&quot;" command="SELECT * FROM [FilD_XPE0]"/>
  </connection>
  <connection id="16" xr16:uid="{C4176FBE-0814-48DA-9299-F1847F0588DF}" keepAlive="1" name="Query - FilD_XPE1" description="Connection to the 'FilD_XPE1' query in the workbook." type="5" refreshedVersion="8" background="1" saveData="1">
    <dbPr connection="Provider=Microsoft.Mashup.OleDb.1;Data Source=$Workbook$;Location=FilD_XPE1;Extended Properties=&quot;&quot;" command="SELECT * FROM [FilD_XPE1]"/>
  </connection>
  <connection id="17" xr16:uid="{5F4194C5-6129-42B5-A1DC-0F66C73A1A5E}" keepAlive="1" name="Query - FilD0" description="Connection to the 'FilD0' query in the workbook." type="5" refreshedVersion="0" background="1">
    <dbPr connection="Provider=Microsoft.Mashup.OleDb.1;Data Source=$Workbook$;Location=FilD0;Extended Properties=&quot;&quot;" command="SELECT * FROM [FilD0]"/>
  </connection>
  <connection id="18" xr16:uid="{90116E05-EA2A-4183-8555-D85F6E2CC7FF}" keepAlive="1" name="Query - FilDCDc0" description="Connection to the 'FilDCDc0' query in the workbook." type="5" refreshedVersion="0" background="1">
    <dbPr connection="Provider=Microsoft.Mashup.OleDb.1;Data Source=$Workbook$;Location=FilDCDc0;Extended Properties=&quot;&quot;" command="SELECT * FROM [FilDCDc0]"/>
  </connection>
  <connection id="19" xr16:uid="{0A7E4E30-8C96-4AB9-8E11-5FD379AA4C95}" keepAlive="1" name="Query - FilDCDc1" description="Connection to the 'FilDCDc1' query in the workbook." type="5" refreshedVersion="0" background="1">
    <dbPr connection="Provider=Microsoft.Mashup.OleDb.1;Data Source=$Workbook$;Location=FilDCDc1;Extended Properties=&quot;&quot;" command="SELECT * FROM [FilDCDc1]"/>
  </connection>
  <connection id="20" xr16:uid="{CCBD3171-13AD-450C-A786-369740313DF7}" keepAlive="1" name="Query - FilDCDc2" description="Connection to the 'FilDCDc2' query in the workbook." type="5" refreshedVersion="0" background="1">
    <dbPr connection="Provider=Microsoft.Mashup.OleDb.1;Data Source=$Workbook$;Location=FilDCDc2;Extended Properties=&quot;&quot;" command="SELECT * FROM [FilDCDc2]"/>
  </connection>
  <connection id="21" xr16:uid="{D2C60C16-8F38-4B6B-A210-CE1F35AE3D0B}" keepAlive="1" name="Query - FilDCDc3" description="Connection to the 'FilDCDc3' query in the workbook." type="5" refreshedVersion="0" background="1">
    <dbPr connection="Provider=Microsoft.Mashup.OleDb.1;Data Source=$Workbook$;Location=FilDCDc3;Extended Properties=&quot;&quot;" command="SELECT * FROM [FilDCDc3]"/>
  </connection>
  <connection id="22" xr16:uid="{A47F0DB8-1A08-48B6-A30B-AABFCE7EAF8B}" keepAlive="1" name="Query - FilDCsv" description="Connection to the 'FilDCsv' query in the workbook." type="5" refreshedVersion="0" background="1">
    <dbPr connection="Provider=Microsoft.Mashup.OleDb.1;Data Source=$Workbook$;Location=FilDCsv;Extended Properties=&quot;&quot;" command="SELECT * FROM [FilDCsv]"/>
  </connection>
  <connection id="23" xr16:uid="{C9B8ADC1-21B1-461D-8A24-6F856AC363E2}" keepAlive="1" name="Query - FilDGEn0" description="Connection to the 'FilDGEn0' query in the workbook." type="5" refreshedVersion="8" background="1" saveData="1">
    <dbPr connection="Provider=Microsoft.Mashup.OleDb.1;Data Source=$Workbook$;Location=FilDGEn0;Extended Properties=&quot;&quot;" command="SELECT * FROM [FilDGEn0]"/>
  </connection>
  <connection id="24" xr16:uid="{C4E2BE22-8673-4E1C-9001-C03CE45EAAC8}" keepAlive="1" name="Query - FilDGEn1" description="Connection to the 'FilDGEn1' query in the workbook." type="5" refreshedVersion="8" background="1" saveData="1">
    <dbPr connection="Provider=Microsoft.Mashup.OleDb.1;Data Source=$Workbook$;Location=FilDGEn1;Extended Properties=&quot;&quot;" command="SELECT * FROM [FilDGEn1]"/>
  </connection>
  <connection id="25" xr16:uid="{BE71BCCB-B805-496D-85D6-D45ECCC274A8}" keepAlive="1" name="Query - FilDGEn2" description="Connection to the 'FilDGEn2' query in the workbook." type="5" refreshedVersion="8" background="1" saveData="1">
    <dbPr connection="Provider=Microsoft.Mashup.OleDb.1;Data Source=$Workbook$;Location=FilDGEn2;Extended Properties=&quot;&quot;" command="SELECT * FROM [FilDGEn2]"/>
  </connection>
  <connection id="26" xr16:uid="{AA48903E-DF51-4D46-A569-74440538B1D0}" keepAlive="1" name="Query - FilDGEn3" description="Connection to the 'FilDGEn3' query in the workbook." type="5" refreshedVersion="8" background="1" saveData="1">
    <dbPr connection="Provider=Microsoft.Mashup.OleDb.1;Data Source=$Workbook$;Location=FilDGEn3;Extended Properties=&quot;&quot;" command="SELECT * FROM [FilDGEn3]"/>
  </connection>
  <connection id="27" xr16:uid="{01C8C239-BA09-4B8F-A3C7-85EDA974822C}" keepAlive="1" name="Query - FilDGEn4" description="Connection to the 'FilDGEn4' query in the workbook." type="5" refreshedVersion="8" background="1" saveData="1">
    <dbPr connection="Provider=Microsoft.Mashup.OleDb.1;Data Source=$Workbook$;Location=FilDGEn4;Extended Properties=&quot;&quot;" command="SELECT * FROM [FilDGEn4]"/>
  </connection>
  <connection id="28" xr16:uid="{29B44186-5217-4E2B-AFFE-74EF51D8BCEB}" keepAlive="1" name="Query - FilDOFb0" description="Connection to the 'FilDOFb0' query in the workbook." type="5" refreshedVersion="0" background="1">
    <dbPr connection="Provider=Microsoft.Mashup.OleDb.1;Data Source=$Workbook$;Location=FilDOFb0;Extended Properties=&quot;&quot;" command="SELECT * FROM [FilDOFb0]"/>
  </connection>
  <connection id="29" xr16:uid="{248AA9E2-52F0-4BF0-B71A-3CC8653749D9}" keepAlive="1" name="Query - FilDOFb2" description="Connection to the 'FilDOFb2' query in the workbook." type="5" refreshedVersion="0" background="1">
    <dbPr connection="Provider=Microsoft.Mashup.OleDb.1;Data Source=$Workbook$;Location=FilDOFb2;Extended Properties=&quot;&quot;" command="SELECT * FROM [FilDOFb2]"/>
  </connection>
  <connection id="30" xr16:uid="{45839686-40C0-4B51-9AFD-5169E03B8C28}" keepAlive="1" name="Query - FilDOFb3" description="Connection to the 'FilDOFb3' query in the workbook." type="5" refreshedVersion="0" background="1">
    <dbPr connection="Provider=Microsoft.Mashup.OleDb.1;Data Source=$Workbook$;Location=FilDOFb3;Extended Properties=&quot;&quot;" command="SELECT * FROM [FilDOFb3]"/>
  </connection>
  <connection id="31" xr16:uid="{4F63123E-5660-4C04-A570-6AF08EA8178F}" keepAlive="1" name="Query - FilDOFb4" description="Connection to the 'FilDOFb4' query in the workbook." type="5" refreshedVersion="8" background="1" saveData="1">
    <dbPr connection="Provider=Microsoft.Mashup.OleDb.1;Data Source=$Workbook$;Location=FilDOFb4;Extended Properties=&quot;&quot;" command="SELECT * FROM [FilDOFb4]"/>
  </connection>
  <connection id="32" xr16:uid="{0BD9F1EA-D69C-4E35-B7B1-87EC639D27D2}" keepAlive="1" name="Query - FilDOFs1" description="Connection to the 'FilDOFs1' query in the workbook." type="5" refreshedVersion="0" background="1">
    <dbPr connection="Provider=Microsoft.Mashup.OleDb.1;Data Source=$Workbook$;Location=FilDOFs1;Extended Properties=&quot;&quot;" command="SELECT * FROM [FilDOFs1]"/>
  </connection>
  <connection id="33" xr16:uid="{D190B548-94D8-4DB8-862F-7A322C624D03}" keepAlive="1" name="Query - FilDXls" description="Connection to the 'FilDXls' query in the workbook." type="5" refreshedVersion="0" background="1">
    <dbPr connection="Provider=Microsoft.Mashup.OleDb.1;Data Source=$Workbook$;Location=FilDXls;Extended Properties=&quot;&quot;" command="SELECT * FROM [FilDXls]"/>
  </connection>
  <connection id="34" xr16:uid="{4C483B8B-5EA9-4513-B0F0-C66FB85EB920}" keepAlive="1" name="Query - FilOFb0" description="Connection to the 'FilOFb0' query in the workbook." type="5" refreshedVersion="0" background="1">
    <dbPr connection="Provider=Microsoft.Mashup.OleDb.1;Data Source=$Workbook$;Location=FilOFb0;Extended Properties=&quot;&quot;" command="SELECT * FROM [FilOFb0]"/>
  </connection>
  <connection id="35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36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37" xr16:uid="{2DCF75F5-A4C4-BE4D-95F2-FCD1A13AA763}" keepAlive="1" name="Query - FrmBB_0(1)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38" xr16:uid="{745E48C5-A91D-C14E-B62C-8762CBCF1404}" keepAlive="1" name="Query - FrmBB_0(2)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39" xr16:uid="{0A8E0167-432E-428C-884D-AF39A629D41B}" keepAlive="1" name="Query - FrmBB_1" description="Connection to the 'FrmBB_1' query in the workbook." type="5" refreshedVersion="8" background="1" saveData="1">
    <dbPr connection="Provider=Microsoft.Mashup.OleDb.1;Data Source=$Workbook$;Location=FrmBB_1;Extended Properties=&quot;&quot;" command="SELECT * FROM [FrmBB_1]"/>
  </connection>
  <connection id="40" xr16:uid="{62911ADA-B9DA-8B47-8595-F3640117D359}" keepAlive="1" name="Query - FrmBB_2" description="Connection to the 'FrmBB_2' query in the workbook." type="5" refreshedVersion="8" background="1" saveData="1">
    <dbPr connection="Provider=Microsoft.Mashup.OleDb.1;Data Source=$Workbook$;Location=FrmBB_2;Extended Properties=&quot;&quot;" command="SELECT * FROM [FrmBB_2]"/>
  </connection>
  <connection id="41" xr16:uid="{0CE11057-8181-D745-8E0E-197327F862AB}" keepAlive="1" name="Query - FrmBB_3" description="Connection to the 'FrmBB_3' query in the workbook." type="5" refreshedVersion="8" background="1" saveData="1">
    <dbPr connection="Provider=Microsoft.Mashup.OleDb.1;Data Source=$Workbook$;Location=FrmBB_3;Extended Properties=&quot;&quot;" command="SELECT * FROM [FrmBB_3]"/>
  </connection>
  <connection id="42" xr16:uid="{965F24A8-1738-44EF-9B57-A14F7B788DD3}" keepAlive="1" name="Query - Limits" description="Connection to the 'Limits' query in the workbook." type="5" refreshedVersion="8" background="1" saveData="1">
    <dbPr connection="Provider=Microsoft.Mashup.OleDb.1;Data Source=$Workbook$;Location=Limits;Extended Properties=&quot;&quot;" command="SELECT * FROM [Limits]"/>
  </connection>
  <connection id="43" xr16:uid="{8CC4041B-6390-EA4A-B0EF-BFD054A5E7DA}" keepAlive="1" name="Query - MaxDate" description="Connection to the 'MaxDate' query in the workbook." type="5" refreshedVersion="0" background="1">
    <dbPr connection="Provider=Microsoft.Mashup.OleDb.1;Data Source=$Workbook$;Location=MaxDate;Extended Properties=&quot;&quot;" command="SELECT * FROM [MaxDate]"/>
  </connection>
  <connection id="44" xr16:uid="{FCF911E4-7E74-9241-81C1-2AF847BC6C9C}" keepAlive="1" name="Query - MinDate" description="Connection to the 'MinDate' query in the workbook." type="5" refreshedVersion="0" background="1">
    <dbPr connection="Provider=Microsoft.Mashup.OleDb.1;Data Source=$Workbook$;Location=MinDate;Extended Properties=&quot;&quot;" command="SELECT * FROM [MinDate]"/>
  </connection>
  <connection id="45" xr16:uid="{298DC523-7C64-41B0-BB45-7ADDADDF548D}" keepAlive="1" name="Query - P_DCsv" description="Connection to the 'P_DCsv' query in the workbook." type="5" refreshedVersion="0" background="1">
    <dbPr connection="Provider=Microsoft.Mashup.OleDb.1;Data Source=$Workbook$;Location=P_DCsv;Extended Properties=&quot;&quot;" command="SELECT * FROM [P_DCsv]"/>
  </connection>
  <connection id="46" xr16:uid="{2A58B69A-AB7A-4947-9BBD-0692907D1F0E}" keepAlive="1" name="Query - P_DXls" description="Connection to the 'P_DXls' query in the workbook." type="5" refreshedVersion="0" background="1">
    <dbPr connection="Provider=Microsoft.Mashup.OleDb.1;Data Source=$Workbook$;Location=P_DXls;Extended Properties=&quot;&quot;" command="SELECT * FROM [P_DXls]"/>
  </connection>
  <connection id="47" xr16:uid="{0C70C391-C724-45D2-8407-E341961C3387}" keepAlive="1" name="Query - S_DCsv" description="Connection to the 'S_DCsv' query in the workbook." type="5" refreshedVersion="0" background="1">
    <dbPr connection="Provider=Microsoft.Mashup.OleDb.1;Data Source=$Workbook$;Location=S_DCsv;Extended Properties=&quot;&quot;" command="SELECT * FROM [S_DCsv]"/>
  </connection>
  <connection id="48" xr16:uid="{3FB29BA4-4CCF-4544-999F-AE4113245A6F}" keepAlive="1" name="Query - S_DXls" description="Connection to the 'S_DXls' query in the workbook." type="5" refreshedVersion="0" background="1">
    <dbPr connection="Provider=Microsoft.Mashup.OleDb.1;Data Source=$Workbook$;Location=S_DXls;Extended Properties=&quot;&quot;" command="SELECT * FROM [S_DXls]"/>
  </connection>
  <connection id="49" xr16:uid="{383EBDBD-7CE1-4DAC-B506-78D366000C6A}" keepAlive="1" name="Query - TF_DCsv" description="Connection to the 'TF_DCsv' query in the workbook." type="5" refreshedVersion="0" background="1">
    <dbPr connection="Provider=Microsoft.Mashup.OleDb.1;Data Source=$Workbook$;Location=TF_DCsv;Extended Properties=&quot;&quot;" command="SELECT * FROM [TF_DCsv]"/>
  </connection>
  <connection id="50" xr16:uid="{6EBB0336-3472-42C6-B84B-B5C9B0729921}" keepAlive="1" name="Query - TF_DXls" description="Connection to the 'TF_DXls' query in the workbook." type="5" refreshedVersion="0" background="1">
    <dbPr connection="Provider=Microsoft.Mashup.OleDb.1;Data Source=$Workbook$;Location=TF_DXls;Extended Properties=&quot;&quot;" command="SELECT * FROM [TF_DXls]"/>
  </connection>
  <connection id="51" xr16:uid="{71D2B38F-18C0-4A10-82CC-7AAA3D6DB131}" keepAlive="1" name="Query - Tot_GEn" description="Connection to the 'Tot_GEn' query in the workbook." type="5" refreshedVersion="0" background="1">
    <dbPr connection="Provider=Microsoft.Mashup.OleDb.1;Data Source=$Workbook$;Location=Tot_GEn;Extended Properties=&quot;&quot;" command="SELECT * FROM [Tot_GEn]"/>
  </connection>
  <connection id="52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<sst xmlns="http://schemas.openxmlformats.org/spreadsheetml/2006/main" count="28978" uniqueCount="4808">
  <si>
    <t>COSTES EVITABLES</t>
  </si>
  <si>
    <t>GRANDES COMPRAS</t>
  </si>
  <si>
    <t>RECEPCION UTILES</t>
  </si>
  <si>
    <t>GESTION Y COORDINACION</t>
  </si>
  <si>
    <t>ROBCAD</t>
  </si>
  <si>
    <t>ARMARIOS ELECTRICOS</t>
  </si>
  <si>
    <t>FABRICACION ELEMENTOS IMPLANTA</t>
  </si>
  <si>
    <t>SOR</t>
  </si>
  <si>
    <t>Row</t>
  </si>
  <si>
    <t>Column</t>
  </si>
  <si>
    <t>DESMONTAJE</t>
  </si>
  <si>
    <t>DISEÑO HARDWARE</t>
  </si>
  <si>
    <t>DISEÑO SOFTWARE</t>
  </si>
  <si>
    <t>PrjId</t>
  </si>
  <si>
    <t>PathName</t>
  </si>
  <si>
    <t>Windows System</t>
  </si>
  <si>
    <t>English Version</t>
  </si>
  <si>
    <t>CUADRANTES CD2</t>
  </si>
  <si>
    <t>CUADRANTE ESTRUCTURADO</t>
  </si>
  <si>
    <t>PUESTA EN MARCHA EN SERRA</t>
  </si>
  <si>
    <t>COSTES EVITABLES PROVEEDORES</t>
  </si>
  <si>
    <t>DISEÑO ELEMENTOS IMPLANTACION</t>
  </si>
  <si>
    <t>MONTAJE EN SERRA</t>
  </si>
  <si>
    <t>PROGRAMA STD PLC SIEMENS</t>
  </si>
  <si>
    <t>31200</t>
  </si>
  <si>
    <t>PUESTA EN MARCHA EN PLANTA</t>
  </si>
  <si>
    <t>DISEÑO UTILES/GARRAS</t>
  </si>
  <si>
    <t>FABRICACION UTILES/GARRAS</t>
  </si>
  <si>
    <t>ENR. UTILES/GARRAS</t>
  </si>
  <si>
    <t>MATERIAL SERRA UNP</t>
  </si>
  <si>
    <t>Sheet Name</t>
  </si>
  <si>
    <t>DISC</t>
  </si>
  <si>
    <t>DIST</t>
  </si>
  <si>
    <t>FABT</t>
  </si>
  <si>
    <t>Wks</t>
  </si>
  <si>
    <t>SchPdt1</t>
  </si>
  <si>
    <t>GESH</t>
  </si>
  <si>
    <t>IMPC</t>
  </si>
  <si>
    <t>IMPT</t>
  </si>
  <si>
    <t>PEMC</t>
  </si>
  <si>
    <t>PEMT</t>
  </si>
  <si>
    <t>Project</t>
  </si>
  <si>
    <t>Cia</t>
  </si>
  <si>
    <t>Sp</t>
  </si>
  <si>
    <t>31199</t>
  </si>
  <si>
    <t>GASTOS GENERALES</t>
  </si>
  <si>
    <t>TRANSPORTES Y EMBALAJES</t>
  </si>
  <si>
    <t>GASTOS DE DESPLAZAMIENTO</t>
  </si>
  <si>
    <t>GASTOS ADUANALES</t>
  </si>
  <si>
    <t>ASISTENCIA PRODUCCIÓN</t>
  </si>
  <si>
    <t>PPTO</t>
  </si>
  <si>
    <t>PREV</t>
  </si>
  <si>
    <t>REAL</t>
  </si>
  <si>
    <t>03:DISEÑO MECÁNICO</t>
  </si>
  <si>
    <t>08:FABRICACIÓN MECÁNICA</t>
  </si>
  <si>
    <t>10:METROLOGÍA</t>
  </si>
  <si>
    <t>09:MONTAJE MECÁNICO</t>
  </si>
  <si>
    <t>15:MATERIAL FLUIDOS</t>
  </si>
  <si>
    <t>13:MATERIAL MECÁNICO</t>
  </si>
  <si>
    <t>16:TRANSP. &amp; DESPLAZ.</t>
  </si>
  <si>
    <t>05:DISEÑO ELÉCTRICO</t>
  </si>
  <si>
    <t>06:DISEÑO NR</t>
  </si>
  <si>
    <t>07:ROBÓTICA</t>
  </si>
  <si>
    <t>04:ROBCAD</t>
  </si>
  <si>
    <t>11:INSTALACIÓN E.N.R.</t>
  </si>
  <si>
    <t>14:MATERIAL ELÉCTRICO</t>
  </si>
  <si>
    <t>02:GESTIÓN MECÁNICA</t>
  </si>
  <si>
    <t>01:GESTIÓN PROYECTOS</t>
  </si>
  <si>
    <t>:FABRICACIÓN ELÉCTRICA</t>
  </si>
  <si>
    <t>%PRV/PTO</t>
  </si>
  <si>
    <t>%REA/PRV</t>
  </si>
  <si>
    <t>PDTE</t>
  </si>
  <si>
    <t>VERSIONS</t>
  </si>
  <si>
    <t>DashBoard</t>
  </si>
  <si>
    <t>Xplode</t>
  </si>
  <si>
    <t>Tchart</t>
  </si>
  <si>
    <t>CstTrk</t>
  </si>
  <si>
    <t>CstClc</t>
  </si>
  <si>
    <t>Pts</t>
  </si>
  <si>
    <t>Lup</t>
  </si>
  <si>
    <t>PickData</t>
  </si>
  <si>
    <t>03:GESTION Y COORDINACION</t>
  </si>
  <si>
    <t>08:FABRICACION UTILES/GARRAS</t>
  </si>
  <si>
    <t>09:ENR. UTILES/GARRAS</t>
  </si>
  <si>
    <t>16:COSTES EVITABLES</t>
  </si>
  <si>
    <t>18:FABRICACION ELEMENTOS IMPLANTA</t>
  </si>
  <si>
    <t>04:DISEÑO UTILES/GARRAS</t>
  </si>
  <si>
    <t>17:COSTES EVITABLES PROVEEDORES</t>
  </si>
  <si>
    <t>11:PUESTA EN MARCHA EN PLANTA</t>
  </si>
  <si>
    <t>10:RECEPCION UTILES</t>
  </si>
  <si>
    <t>07:DISEÑO SOFTWARE</t>
  </si>
  <si>
    <t>12:INSTALACIÓN E.N.R.</t>
  </si>
  <si>
    <t>14:MATERIAL MECÁNICO</t>
  </si>
  <si>
    <t>14:CUADRANTE ESTRUCTURADO</t>
  </si>
  <si>
    <t>15:MATERIAL ELÉCTRICO</t>
  </si>
  <si>
    <t>16:MATERIAL FLUIDOS</t>
  </si>
  <si>
    <t>17:TRANSP. &amp; DESPLAZ.</t>
  </si>
  <si>
    <t>02:GASTOS DE DESPLAZAMIENTO</t>
  </si>
  <si>
    <t>12:GASTOS GENERALES</t>
  </si>
  <si>
    <t>13:GASTOS ADUANALES</t>
  </si>
  <si>
    <t>15:CUADRANTES CD2</t>
  </si>
  <si>
    <t>06:ROBCAD</t>
  </si>
  <si>
    <t>05:DISEÑO HARDWARE</t>
  </si>
  <si>
    <t>01:TRANSPORTES Y EMBALAJES</t>
  </si>
  <si>
    <t>10:ARMARIOS ELECTRICOS</t>
  </si>
  <si>
    <t>06:DISEÑO UTILES/GARRAS</t>
  </si>
  <si>
    <t>16:RECEPCION UTILES</t>
  </si>
  <si>
    <t>20:COSTES EVITABLES PROVEEDORES</t>
  </si>
  <si>
    <t>12:ENR. UTILES/GARRAS</t>
  </si>
  <si>
    <t>04:DISEÑO ELEMENTOS IMPLANTACION</t>
  </si>
  <si>
    <t>11:FABRICACION UTILES/GARRAS</t>
  </si>
  <si>
    <t>09:FABRICACION ELEMENTOS IMPLANTA</t>
  </si>
  <si>
    <t>13:MONTAJE EN SERRA</t>
  </si>
  <si>
    <t>24:CUADRANTE ESTRUCTURADO</t>
  </si>
  <si>
    <t>19:COSTES EVITABLES</t>
  </si>
  <si>
    <t>18:MATERIAL SERRA UNP</t>
  </si>
  <si>
    <t>17:GRANDES COMPRAS</t>
  </si>
  <si>
    <t>22:GASTOS GENERALES</t>
  </si>
  <si>
    <t>23:GASTOS ADUANALES</t>
  </si>
  <si>
    <t>15:PUESTA EN MARCHA EN SERRA</t>
  </si>
  <si>
    <t>26:PUESTA EN MARCHA EN PLANTA</t>
  </si>
  <si>
    <t>21:PROGRAMA STD PLC SIEMENS</t>
  </si>
  <si>
    <t>14:DESMONTAJE</t>
  </si>
  <si>
    <t>27:ASISTENCIA PRODUCCIÓN</t>
  </si>
  <si>
    <t>11:FABRICACIÓN ELÉCTRICA</t>
  </si>
  <si>
    <t>08:ROBCAD</t>
  </si>
  <si>
    <t>25:CUADRANTES CD2</t>
  </si>
  <si>
    <t>FrmBB_3</t>
  </si>
  <si>
    <t>FrmBB_2</t>
  </si>
  <si>
    <t>Prj</t>
  </si>
  <si>
    <t>Parte_Prj</t>
  </si>
  <si>
    <t>Nivel</t>
  </si>
  <si>
    <t>Valor</t>
  </si>
  <si>
    <t>ValorAcumulado</t>
  </si>
  <si>
    <t>Nivel1</t>
  </si>
  <si>
    <t>Nivel2</t>
  </si>
  <si>
    <t>Nivel3</t>
  </si>
  <si>
    <t>Nivel4</t>
  </si>
  <si>
    <t>Nivel5</t>
  </si>
  <si>
    <t>Proyecto</t>
  </si>
  <si>
    <t>31199.0010 -  03 - Fabricación</t>
  </si>
  <si>
    <t>Sp-31199.0010</t>
  </si>
  <si>
    <t xml:space="preserve">    31199.0010 - Subproyecto - 919,92€</t>
  </si>
  <si>
    <t xml:space="preserve">        624317.0010 (Operación) - 919,92€</t>
  </si>
  <si>
    <t xml:space="preserve">    31199.0010 - Subproyecto - 5.099,92€</t>
  </si>
  <si>
    <t xml:space="preserve">        624317.0010 (Operación) - 5.099,92€</t>
  </si>
  <si>
    <t xml:space="preserve">    31199.0010 - Subproyecto - 4.663,84€</t>
  </si>
  <si>
    <t xml:space="preserve">        624317.0010 (Operación) - 4.663,84€</t>
  </si>
  <si>
    <t xml:space="preserve">    31199.0010 - Subproyecto - 32.839,38€</t>
  </si>
  <si>
    <t xml:space="preserve">        624317.0010 (Operación) - 32.839,38€</t>
  </si>
  <si>
    <t xml:space="preserve">    31199.0010 - Subproyecto - 72,00€</t>
  </si>
  <si>
    <t xml:space="preserve">        66009 (Recep OC) - 72,00€</t>
  </si>
  <si>
    <t xml:space="preserve">    31199.0010 - Subproyecto - 19.973,44€</t>
  </si>
  <si>
    <t xml:space="preserve">        624317.0010 (Operación) - 19.973,44€</t>
  </si>
  <si>
    <t xml:space="preserve">    31199.0010 - Subproyecto - 1.260,00€</t>
  </si>
  <si>
    <t xml:space="preserve">        66003 (Recep OC) - 1.260,00€</t>
  </si>
  <si>
    <t xml:space="preserve">    31199.0010 - Subproyecto - 1.890,00€</t>
  </si>
  <si>
    <t xml:space="preserve">        66003 (Recep OC) - 1.890,00€</t>
  </si>
  <si>
    <t xml:space="preserve">    31199.0010 - Subproyecto - 630,00€</t>
  </si>
  <si>
    <t xml:space="preserve">        66003 (Recep OC) - 630,00€</t>
  </si>
  <si>
    <t>31199.0020 -  03 - Fabricación</t>
  </si>
  <si>
    <t>Sp-31199.0020</t>
  </si>
  <si>
    <t xml:space="preserve">    31199.0020 - Subproyecto - 10.563,68€</t>
  </si>
  <si>
    <t xml:space="preserve">        624318.0020 (Operación) - 10.563,68€</t>
  </si>
  <si>
    <t xml:space="preserve">    31199.0020 - Subproyecto - 6.012,84€</t>
  </si>
  <si>
    <t xml:space="preserve">        624318.0020 (Operación) - 6.012,84€</t>
  </si>
  <si>
    <t>31199.0030 -  03 - Fabricación</t>
  </si>
  <si>
    <t>Sp-31199.0030</t>
  </si>
  <si>
    <t xml:space="preserve">    31199.0030 - Subproyecto - 36,62€</t>
  </si>
  <si>
    <t xml:space="preserve">        624319.0030 (Operación) - 36,62€</t>
  </si>
  <si>
    <t xml:space="preserve">    31199.0030 - Subproyecto - 23.163,76€</t>
  </si>
  <si>
    <t xml:space="preserve">        624319.0030 (Operación) - 23.163,76€</t>
  </si>
  <si>
    <t>31199.0040 -  03 - Fabricación</t>
  </si>
  <si>
    <t>Sp-31199.0040</t>
  </si>
  <si>
    <t xml:space="preserve">    31199.0040 - Subproyecto - 9.481,80€</t>
  </si>
  <si>
    <t xml:space="preserve">        66001 (Recep OC) - 9.481,80€</t>
  </si>
  <si>
    <t xml:space="preserve">    31199.0040 - Subproyecto - 6.321,20€</t>
  </si>
  <si>
    <t xml:space="preserve">        66001 (Recep OC) - 6.321,20€</t>
  </si>
  <si>
    <t xml:space="preserve">    31199.0040 - Subproyecto - 3.160,60€</t>
  </si>
  <si>
    <t xml:space="preserve">        66001 (Recep OC) - 3.160,60€</t>
  </si>
  <si>
    <t xml:space="preserve">    31199.0040 - Subproyecto - 160,00€</t>
  </si>
  <si>
    <t xml:space="preserve">        66008 (Recep OC) - 160,00€</t>
  </si>
  <si>
    <t xml:space="preserve">    31199.0040 - Subproyecto - 4.152,19€</t>
  </si>
  <si>
    <t xml:space="preserve">        624320.0040 (Operación) - 4.152,19€</t>
  </si>
  <si>
    <t>31199.0050 -  03 - Fabricación</t>
  </si>
  <si>
    <t>Sp-31199.0050</t>
  </si>
  <si>
    <t xml:space="preserve">    31199.0050 - Subproyecto - 1.218,00€</t>
  </si>
  <si>
    <t xml:space="preserve">        66070 (Recep OC) - 1.218,00€</t>
  </si>
  <si>
    <t>31199.0060 -  03 - Fabricación</t>
  </si>
  <si>
    <t>Sp-31199.0060</t>
  </si>
  <si>
    <t xml:space="preserve">    31199.0060 - Subproyecto - 4.059,00€</t>
  </si>
  <si>
    <t xml:space="preserve">        55000 (Recep OC) - 4.059,00€</t>
  </si>
  <si>
    <t xml:space="preserve">    31199.0060 - Subproyecto - 2.736,00€</t>
  </si>
  <si>
    <t xml:space="preserve">        66007 (Recep OC) - 2.736,00€</t>
  </si>
  <si>
    <t xml:space="preserve">    31199.0060 - Subproyecto - 3.111,20€</t>
  </si>
  <si>
    <t xml:space="preserve">        66031 (Recep OC) - 3.111,20€</t>
  </si>
  <si>
    <t xml:space="preserve">    31199.0060 - Subproyecto - 2.216,03€</t>
  </si>
  <si>
    <t xml:space="preserve">        634332.0060 (Operación) - 2.216,03€</t>
  </si>
  <si>
    <t xml:space="preserve">    31199.0060 - Subproyecto - 1.795,40€</t>
  </si>
  <si>
    <t xml:space="preserve">        66067 (Recep OC) - 1.795,40€</t>
  </si>
  <si>
    <t xml:space="preserve">    31199.0060 - Subproyecto - 458,40€</t>
  </si>
  <si>
    <t xml:space="preserve">        66069 (Recep OC) - 458,40€</t>
  </si>
  <si>
    <t xml:space="preserve">    31199.0060 - Subproyecto - 2.524,50€</t>
  </si>
  <si>
    <t xml:space="preserve">        55000 (Recep OC) - 2.524,50€</t>
  </si>
  <si>
    <t xml:space="preserve">    31199.0060 - Subproyecto - 1.361,15€</t>
  </si>
  <si>
    <t xml:space="preserve">        66032 (Recep OC) - 1.361,15€</t>
  </si>
  <si>
    <t xml:space="preserve">    31199.0060 - Subproyecto - 5.280,00€</t>
  </si>
  <si>
    <t xml:space="preserve">        55000 (Recep OC) - 5.280,00€</t>
  </si>
  <si>
    <t xml:space="preserve">    31199.0060 - Subproyecto - 429,00€</t>
  </si>
  <si>
    <t xml:space="preserve">        55000 (Recep OC) - 429,00€</t>
  </si>
  <si>
    <t xml:space="preserve">    31199.0060 - Subproyecto - 10.404,00€</t>
  </si>
  <si>
    <t xml:space="preserve">        66000 (Recep OC) - 10.404,00€</t>
  </si>
  <si>
    <t xml:space="preserve">    31199.0060 - Subproyecto - 20.808,00€</t>
  </si>
  <si>
    <t xml:space="preserve">        66000 (Recep OC) - 20.808,00€</t>
  </si>
  <si>
    <t xml:space="preserve">    31199.0060 - Subproyecto - 31.212,00€</t>
  </si>
  <si>
    <t xml:space="preserve">        66000 (Recep OC) - 31.212,00€</t>
  </si>
  <si>
    <t>31199.0070 -  03 - Fabricación</t>
  </si>
  <si>
    <t>Sp-31199.0070</t>
  </si>
  <si>
    <t xml:space="preserve">    31199.0070 - Subproyecto - 0,00€</t>
  </si>
  <si>
    <t xml:space="preserve">        105301 (Estándar) - 0,00€</t>
  </si>
  <si>
    <t xml:space="preserve">    31199.0070 - Subproyecto - 26,00€</t>
  </si>
  <si>
    <t xml:space="preserve">        104676 (Estándar) - 26,00€</t>
  </si>
  <si>
    <t xml:space="preserve">    31199.0070 - Subproyecto - 56,00€</t>
  </si>
  <si>
    <t xml:space="preserve">        66029 (Recep OC) - 56,00€</t>
  </si>
  <si>
    <t xml:space="preserve">    31199.0070 - Subproyecto - 463,61€</t>
  </si>
  <si>
    <t xml:space="preserve">        66028 (Recep OC) - 463,61€</t>
  </si>
  <si>
    <t xml:space="preserve">        02M01-4-11 (Rec.Plan. OF) - 0,00€</t>
  </si>
  <si>
    <t xml:space="preserve">    31199.0070 - Subproyecto - 38,00€</t>
  </si>
  <si>
    <t xml:space="preserve">        44020 (Recep OC) - 38,00€</t>
  </si>
  <si>
    <t xml:space="preserve">    31199.0070 - Subproyecto - 35,00€</t>
  </si>
  <si>
    <t xml:space="preserve">        44019 (Recep OC) - 35,00€</t>
  </si>
  <si>
    <t xml:space="preserve">    31199.0070 - Subproyecto - 14,55€</t>
  </si>
  <si>
    <t xml:space="preserve">        105301 (Estándar) - 14,55€</t>
  </si>
  <si>
    <t xml:space="preserve">    31199.0070 - Subproyecto - 1,20€</t>
  </si>
  <si>
    <t xml:space="preserve">        101404 (Estándar) - 1,20€</t>
  </si>
  <si>
    <t xml:space="preserve">    31199.0070 - Subproyecto - 1,10€</t>
  </si>
  <si>
    <t xml:space="preserve">        101472 (Estándar) - 1,10€</t>
  </si>
  <si>
    <t xml:space="preserve">    31199.0070 - Subproyecto - 126,25€</t>
  </si>
  <si>
    <t xml:space="preserve">        66025 (Recep OC) - 126,25€</t>
  </si>
  <si>
    <t xml:space="preserve">    31199.0070 - Subproyecto - 28,50€</t>
  </si>
  <si>
    <t xml:space="preserve">        44016 (Recep OC) - 28,50€</t>
  </si>
  <si>
    <t xml:space="preserve">    31199.0070 - Subproyecto - 60,00€</t>
  </si>
  <si>
    <t xml:space="preserve">        44015 (Recep OC) - 60,00€</t>
  </si>
  <si>
    <t xml:space="preserve">    31199.0070 - Subproyecto - 630,00€</t>
  </si>
  <si>
    <t xml:space="preserve">        44014 (Recep OC) - 630,00€</t>
  </si>
  <si>
    <t xml:space="preserve">    31199.0070 - Subproyecto - 64,00€</t>
  </si>
  <si>
    <t xml:space="preserve">        44018 (Recep OC) - 64,00€</t>
  </si>
  <si>
    <t xml:space="preserve">        685-00-000-1 (Rec.Plan. OF) - 0,00€</t>
  </si>
  <si>
    <t xml:space="preserve">    31199.0070 - Subproyecto - 262,50€</t>
  </si>
  <si>
    <t xml:space="preserve">        66046 (Recep OC) - 262,50€</t>
  </si>
  <si>
    <t xml:space="preserve">    31199.0070 - Subproyecto - 15,00€</t>
  </si>
  <si>
    <t xml:space="preserve">        44025 (Recep OC) - 15,00€</t>
  </si>
  <si>
    <t xml:space="preserve">    31199.0070 - Subproyecto - 72,00€</t>
  </si>
  <si>
    <t xml:space="preserve">        44010 (Recep OC) - 72,00€</t>
  </si>
  <si>
    <t xml:space="preserve">    31199.0070 - Subproyecto - 116,00€</t>
  </si>
  <si>
    <t xml:space="preserve">        44033 (Recep OC) - 116,00€</t>
  </si>
  <si>
    <t xml:space="preserve">    31199.0070 - Subproyecto - 10.252,64€</t>
  </si>
  <si>
    <t xml:space="preserve">        634333.0070 (Operación) - 10.252,64€</t>
  </si>
  <si>
    <t xml:space="preserve">    31199.0070 - Subproyecto - 581,00€</t>
  </si>
  <si>
    <t xml:space="preserve">        44032 (Recep OC) - 581,00€</t>
  </si>
  <si>
    <t xml:space="preserve">    31199.0070 - Subproyecto - 387,00€</t>
  </si>
  <si>
    <t xml:space="preserve">        44031 (Recep OC) - 387,00€</t>
  </si>
  <si>
    <t xml:space="preserve">    31199.0070 - Subproyecto - 721,00€</t>
  </si>
  <si>
    <t xml:space="preserve">        44030 (Recep OC) - 721,00€</t>
  </si>
  <si>
    <t xml:space="preserve">    31199.0070 - Subproyecto - 696,00€</t>
  </si>
  <si>
    <t xml:space="preserve">        44029 (Recep OC) - 696,00€</t>
  </si>
  <si>
    <t xml:space="preserve">    31199.0070 - Subproyecto - 1.974,00€</t>
  </si>
  <si>
    <t xml:space="preserve">        44028 (Recep OC) - 1.974,00€</t>
  </si>
  <si>
    <t xml:space="preserve">    31199.0070 - Subproyecto - 5.648,00€</t>
  </si>
  <si>
    <t xml:space="preserve">        C725-00-000-1 (Recep OC) - 5.648,00€</t>
  </si>
  <si>
    <t xml:space="preserve">    31199.0070 - Subproyecto - 41,90€</t>
  </si>
  <si>
    <t xml:space="preserve">        66066 (Recep OC) - 41,90€</t>
  </si>
  <si>
    <t xml:space="preserve">    31199.0070 - Subproyecto - 2.386,00€</t>
  </si>
  <si>
    <t xml:space="preserve">        C9000-01M01-1-10 (Transfer. Stock) - 2.386,00€</t>
  </si>
  <si>
    <t xml:space="preserve">    31199.0070 - Subproyecto - 225,00€</t>
  </si>
  <si>
    <t xml:space="preserve">        66056 (Recep OC) - 225,00€</t>
  </si>
  <si>
    <t xml:space="preserve">        735-00-000-1 (Rec.Plan. OF) - 0,00€</t>
  </si>
  <si>
    <t xml:space="preserve">    31199.0070 - Subproyecto - 40,80€</t>
  </si>
  <si>
    <t xml:space="preserve">        66047 (Recep OC) - 40,80€</t>
  </si>
  <si>
    <t xml:space="preserve">    31199.0070 - Subproyecto - 110,00€</t>
  </si>
  <si>
    <t xml:space="preserve">        44026 (Recep OC) - 110,00€</t>
  </si>
  <si>
    <t xml:space="preserve">    31199.0070 - Subproyecto - 44,00€</t>
  </si>
  <si>
    <t xml:space="preserve">        44022 (Recep OC) - 44,00€</t>
  </si>
  <si>
    <t xml:space="preserve">    31199.0070 - Subproyecto - 1.482,00€</t>
  </si>
  <si>
    <t xml:space="preserve">        44009 (Recep OC) - 1.482,00€</t>
  </si>
  <si>
    <t xml:space="preserve">    31199.0070 - Subproyecto - 1.464,00€</t>
  </si>
  <si>
    <t xml:space="preserve">        MOD11908 (Recep OC) - 1.464,00€</t>
  </si>
  <si>
    <t xml:space="preserve">        596-00-000-1 (Rec.Plan. OF) - 0,00€</t>
  </si>
  <si>
    <t xml:space="preserve">        310-00-000-1 (Rec.Plan. OF) - 0,00€</t>
  </si>
  <si>
    <t xml:space="preserve">        580-00-000-1 (Rec.Plan. OF) - 0,00€</t>
  </si>
  <si>
    <t xml:space="preserve">        520-00-000-1 (Rec.Plan. OF) - 0,00€</t>
  </si>
  <si>
    <t xml:space="preserve">        530-00-000-1 (Rec.Plan. OF) - 0,00€</t>
  </si>
  <si>
    <t xml:space="preserve">        510-01-000-1 (Rec.Plan. OF) - 0,00€</t>
  </si>
  <si>
    <t xml:space="preserve">        410-00-000-1 (Rec.Plan. OF) - 0,00€</t>
  </si>
  <si>
    <t xml:space="preserve">        680-00-000-1 (Rec.Plan. OF) - 0,00€</t>
  </si>
  <si>
    <t xml:space="preserve">        480-00-000-1 (Rec.Plan. OF) - 0,00€</t>
  </si>
  <si>
    <t xml:space="preserve">        420-00-000-1 (Rec.Plan. OF) - 0,00€</t>
  </si>
  <si>
    <t xml:space="preserve">        180/280-00-000-1 (Rec.Plan. OF) - 0,00€</t>
  </si>
  <si>
    <t xml:space="preserve">        110/210-00-0001 (Rec.Plan. OF) - 0,00€</t>
  </si>
  <si>
    <t xml:space="preserve">        130/230-00-0001 (Rec.Plan. OF) - 0,00€</t>
  </si>
  <si>
    <t xml:space="preserve">        120/220-00-0001 (Rec.Plan. OF) - 0,00€</t>
  </si>
  <si>
    <t xml:space="preserve">        597-00-000-1 (Rec.Plan. OF) - 0,00€</t>
  </si>
  <si>
    <t xml:space="preserve">        430-00-000-1 (Rec.Plan. OF) - 0,00€</t>
  </si>
  <si>
    <t xml:space="preserve">        585-00-000-1 (Rec.Plan. OF) - 0,00€</t>
  </si>
  <si>
    <t xml:space="preserve">        415-00-000-1 (Rec.Plan. OF) - 0,00€</t>
  </si>
  <si>
    <t xml:space="preserve">        330-00-000-1 (Rec.Plan. OF) - 0,00€</t>
  </si>
  <si>
    <t xml:space="preserve">        397-00-000-1 (Rec.Plan. OF) - 0,00€</t>
  </si>
  <si>
    <t xml:space="preserve">        610-00-00-1 (Rec.Plan. OF) - 0,00€</t>
  </si>
  <si>
    <t xml:space="preserve">    31199.0070 - Subproyecto - 1.056,40€</t>
  </si>
  <si>
    <t xml:space="preserve">        137081 (Recep OC) - 1.056,40€</t>
  </si>
  <si>
    <t xml:space="preserve">    31199.0070 - Subproyecto - 8.580,00€</t>
  </si>
  <si>
    <t xml:space="preserve">        C595-00-000-1 (Recep OC) - 8.580,00€</t>
  </si>
  <si>
    <t xml:space="preserve">        C395-00-000-1 (Recep OC) - 8.580,00€</t>
  </si>
  <si>
    <t xml:space="preserve">        300-00-000-1 (Rec.Plan. OF) - 0,00€</t>
  </si>
  <si>
    <t xml:space="preserve">    31199.0070 - Subproyecto - 1.036,00€</t>
  </si>
  <si>
    <t xml:space="preserve">        44000 (Recep OC) - 1.036,00€</t>
  </si>
  <si>
    <t xml:space="preserve">        396-00-000-1 (Rec.Plan. OF) - 0,00€</t>
  </si>
  <si>
    <t xml:space="preserve">        780-00-000-1 (Rec.Plan. OF) - 0,00€</t>
  </si>
  <si>
    <t xml:space="preserve">        320-00-000-1 (Rec.Plan. OF) - 0,00€</t>
  </si>
  <si>
    <t xml:space="preserve">    31199.0070 - Subproyecto - 42,80€</t>
  </si>
  <si>
    <t xml:space="preserve">        99025 (Recep OC) - 42,80€</t>
  </si>
  <si>
    <t xml:space="preserve">        380-00-000-1 (Rec.Plan. OF) - 0,00€</t>
  </si>
  <si>
    <t xml:space="preserve">    31199.0070 - Subproyecto - 10.452,00€</t>
  </si>
  <si>
    <t xml:space="preserve">        C495-00-000-1 (Recep OC) - 10.452,00€</t>
  </si>
  <si>
    <t xml:space="preserve">        620-00-00-1 (Rec.Plan. OF) - 0,00€</t>
  </si>
  <si>
    <t xml:space="preserve">    31199.0070 - Subproyecto - 148,44€</t>
  </si>
  <si>
    <t xml:space="preserve">            99036 (Recep OC) - 148,44€</t>
  </si>
  <si>
    <t xml:space="preserve">    31199.0070 - Subproyecto - 6,40€</t>
  </si>
  <si>
    <t xml:space="preserve">            142171 (Recep OC) - 6,40€</t>
  </si>
  <si>
    <t xml:space="preserve">    31199.0070 - Subproyecto - 1.187,70€</t>
  </si>
  <si>
    <t xml:space="preserve">            143194 (Recep OC) - 1.187,70€</t>
  </si>
  <si>
    <t xml:space="preserve">    31199.0070 - Subproyecto - 43,32€</t>
  </si>
  <si>
    <t xml:space="preserve">            144772 (Recep OC) - 43,32€</t>
  </si>
  <si>
    <t xml:space="preserve">    31199.0070 - Subproyecto - 53,50€</t>
  </si>
  <si>
    <t xml:space="preserve">            99023 (Recep OC) - 53,50€</t>
  </si>
  <si>
    <t xml:space="preserve">            99024 (Recep OC) - 53,50€</t>
  </si>
  <si>
    <t xml:space="preserve">    31199.0070 - Subproyecto - 48,08€</t>
  </si>
  <si>
    <t xml:space="preserve">            116414 (Estándar) - 48,08€</t>
  </si>
  <si>
    <t xml:space="preserve">    31199.0070 - Subproyecto - 0,96€</t>
  </si>
  <si>
    <t xml:space="preserve">            99034 (Recep OC) - 0,96€</t>
  </si>
  <si>
    <t xml:space="preserve">    31199.0070 - Subproyecto - 114,84€</t>
  </si>
  <si>
    <t xml:space="preserve">            99005 (Recep OC) - 114,84€</t>
  </si>
  <si>
    <t xml:space="preserve">    31199.0070 - Subproyecto - 6,30€</t>
  </si>
  <si>
    <t xml:space="preserve">            103133 (Estándar) - 6,30€</t>
  </si>
  <si>
    <t xml:space="preserve">    31199.0070 - Subproyecto - 85,60€</t>
  </si>
  <si>
    <t xml:space="preserve">            99044 (Recep OC) - 85,60€</t>
  </si>
  <si>
    <t xml:space="preserve">            99020 (Recep OC) - 42,80€</t>
  </si>
  <si>
    <t xml:space="preserve">    31199.0070 - Subproyecto - -42,80€</t>
  </si>
  <si>
    <t xml:space="preserve">            99020 (Recep OC) - -42,80€</t>
  </si>
  <si>
    <t xml:space="preserve">    31199.0070 - Subproyecto - 892,38€</t>
  </si>
  <si>
    <t xml:space="preserve">            141139 (Recep OC) - 892,38€</t>
  </si>
  <si>
    <t xml:space="preserve">    31199.0070 - Subproyecto - 297,46€</t>
  </si>
  <si>
    <t xml:space="preserve">            141139 (Recep OC) - 297,46€</t>
  </si>
  <si>
    <t xml:space="preserve">    31199.0070 - Subproyecto - -297,46€</t>
  </si>
  <si>
    <t xml:space="preserve">            141139 (Recep OC) - -297,46€</t>
  </si>
  <si>
    <t xml:space="preserve">    31199.0070 - Subproyecto - 6.242,00€</t>
  </si>
  <si>
    <t xml:space="preserve">            C585-00-000-1 (Recep OC) - 6.242,00€</t>
  </si>
  <si>
    <t xml:space="preserve">            99031 (Recep OC) - 53,50€</t>
  </si>
  <si>
    <t xml:space="preserve">    31199.0070 - Subproyecto - 9,64€</t>
  </si>
  <si>
    <t xml:space="preserve">            99060 (Recep OC) - 9,64€</t>
  </si>
  <si>
    <t xml:space="preserve">    31199.0070 - Subproyecto - 609,90€</t>
  </si>
  <si>
    <t xml:space="preserve">            143189 (Recep OC) - 609,90€</t>
  </si>
  <si>
    <t xml:space="preserve">    31199.0070 - Subproyecto - 72,76€</t>
  </si>
  <si>
    <t xml:space="preserve">            141912 (Recep OC) - 72,76€</t>
  </si>
  <si>
    <t xml:space="preserve">    31199.0070 - Subproyecto - 318,86€</t>
  </si>
  <si>
    <t xml:space="preserve">            141276 (Recep OC) - 318,86€</t>
  </si>
  <si>
    <t xml:space="preserve">    31199.0070 - Subproyecto - 305,01€</t>
  </si>
  <si>
    <t xml:space="preserve">            141143 (Transfer. Stock) - 305,01€</t>
  </si>
  <si>
    <t xml:space="preserve">    31199.0070 - Subproyecto - 7,92€</t>
  </si>
  <si>
    <t xml:space="preserve">            130905 (Recep OC) - 7,92€</t>
  </si>
  <si>
    <t xml:space="preserve">    31199.0070 - Subproyecto - 6,00€</t>
  </si>
  <si>
    <t xml:space="preserve">            103123 (Estándar) - 6,00€</t>
  </si>
  <si>
    <t xml:space="preserve">    31199.0070 - Subproyecto - 24.864,00€</t>
  </si>
  <si>
    <t xml:space="preserve">            C330-00-000-1 (Recep OC) - 24.864,00€</t>
  </si>
  <si>
    <t xml:space="preserve">            99032 (Recep OC) - 53,50€</t>
  </si>
  <si>
    <t xml:space="preserve">            99028 (Recep OC) - 85,60€</t>
  </si>
  <si>
    <t xml:space="preserve">            99025 (Recep OC) - 85,60€</t>
  </si>
  <si>
    <t xml:space="preserve">    31199.0070 - Subproyecto - 1.275,44€</t>
  </si>
  <si>
    <t xml:space="preserve">            141276 (Recep OC) - 1.275,44€</t>
  </si>
  <si>
    <t xml:space="preserve">    31199.0070 - Subproyecto - 610,02€</t>
  </si>
  <si>
    <t xml:space="preserve">            141143 (Transfer. Stock) - 610,02€</t>
  </si>
  <si>
    <t xml:space="preserve">    31199.0070 - Subproyecto - 12,59€</t>
  </si>
  <si>
    <t xml:space="preserve">            103133 (Estándar) - 12,59€</t>
  </si>
  <si>
    <t xml:space="preserve">    31199.0070 - Subproyecto - 376,72€</t>
  </si>
  <si>
    <t xml:space="preserve">            99069 (Recep OC) - 376,72€</t>
  </si>
  <si>
    <t xml:space="preserve">    31199.0070 - Subproyecto - 145,52€</t>
  </si>
  <si>
    <t xml:space="preserve">            141144 (Recep OC) - 145,52€</t>
  </si>
  <si>
    <t xml:space="preserve">    31199.0070 - Subproyecto - 12.572,00€</t>
  </si>
  <si>
    <t xml:space="preserve">            C610-00-00-1 (Recep OC) - 12.572,00€</t>
  </si>
  <si>
    <t xml:space="preserve">    31199.0070 - Subproyecto - 94,76€</t>
  </si>
  <si>
    <t xml:space="preserve">            99063 (Recep OC) - 94,76€</t>
  </si>
  <si>
    <t xml:space="preserve">    31199.0070 - Subproyecto - 98,32€</t>
  </si>
  <si>
    <t xml:space="preserve">            99062 (Recep OC) - 98,32€</t>
  </si>
  <si>
    <t xml:space="preserve">    31199.0070 - Subproyecto - 329,08€</t>
  </si>
  <si>
    <t xml:space="preserve">            99061 (Recep OC) - 329,08€</t>
  </si>
  <si>
    <t xml:space="preserve">    31199.0070 - Subproyecto - 41,96€</t>
  </si>
  <si>
    <t xml:space="preserve">            99039 (Recep OC) - 41,96€</t>
  </si>
  <si>
    <t xml:space="preserve">    31199.0070 - Subproyecto - 6,88€</t>
  </si>
  <si>
    <t xml:space="preserve">            103131 (Estándar) - 6,88€</t>
  </si>
  <si>
    <t xml:space="preserve">    31199.0070 - Subproyecto - 300,56€</t>
  </si>
  <si>
    <t xml:space="preserve">            99012 (Recep OC) - 300,56€</t>
  </si>
  <si>
    <t xml:space="preserve">            99044 (Recep OC) - 42,80€</t>
  </si>
  <si>
    <t xml:space="preserve">    31199.0070 - Subproyecto - 114,76€</t>
  </si>
  <si>
    <t xml:space="preserve">            130101 (Recep OC) - 114,76€</t>
  </si>
  <si>
    <t xml:space="preserve">    31199.0070 - Subproyecto - 4.871,00€</t>
  </si>
  <si>
    <t xml:space="preserve">            C580-00-000-1 (Recep OC) - 4.871,00€</t>
  </si>
  <si>
    <t xml:space="preserve">    31199.0070 - Subproyecto - 291,04€</t>
  </si>
  <si>
    <t xml:space="preserve">            141144 (Recep OC) - 291,04€</t>
  </si>
  <si>
    <t xml:space="preserve">    31199.0070 - Subproyecto - 229,68€</t>
  </si>
  <si>
    <t xml:space="preserve">            99005 (Recep OC) - 229,68€</t>
  </si>
  <si>
    <t xml:space="preserve">    31199.0070 - Subproyecto - 448,00€</t>
  </si>
  <si>
    <t xml:space="preserve">            99003 (Recep OC) - 448,00€</t>
  </si>
  <si>
    <t xml:space="preserve">    31199.0070 - Subproyecto - 14.835,00€</t>
  </si>
  <si>
    <t xml:space="preserve">            C520-00-000-1 (Recep OC) - 14.835,00€</t>
  </si>
  <si>
    <t xml:space="preserve">    31199.0070 - Subproyecto - 70,00€</t>
  </si>
  <si>
    <t xml:space="preserve">            99051 (Recep OC) - 70,00€</t>
  </si>
  <si>
    <t xml:space="preserve">            99050 (Recep OC) - 98,32€</t>
  </si>
  <si>
    <t xml:space="preserve">    31199.0070 - Subproyecto - 300,00€</t>
  </si>
  <si>
    <t xml:space="preserve">            99049 (Recep OC) - 300,00€</t>
  </si>
  <si>
    <t xml:space="preserve">            99048 (Recep OC) - 300,00€</t>
  </si>
  <si>
    <t xml:space="preserve">    31199.0070 - Subproyecto - 152,00€</t>
  </si>
  <si>
    <t xml:space="preserve">            520-03/4-35/6 (Recep OC) - 152,00€</t>
  </si>
  <si>
    <t xml:space="preserve">    31199.0070 - Subproyecto - 5.319,00€</t>
  </si>
  <si>
    <t xml:space="preserve">            C680-00-000-1 (Recep OC) - 5.319,00€</t>
  </si>
  <si>
    <t xml:space="preserve">    31199.0070 - Subproyecto - 105,64€</t>
  </si>
  <si>
    <t xml:space="preserve">            99033 (Recep OC) - 105,64€</t>
  </si>
  <si>
    <t xml:space="preserve">            103133 (Estándar) - 0,00€</t>
  </si>
  <si>
    <t xml:space="preserve">    31199.0070 - Subproyecto - 18,16€</t>
  </si>
  <si>
    <t xml:space="preserve">            105313 (Estándar) - 18,16€</t>
  </si>
  <si>
    <t xml:space="preserve">    31199.0070 - Subproyecto - 1,00€</t>
  </si>
  <si>
    <t xml:space="preserve">            101446 (Estándar) - 1,00€</t>
  </si>
  <si>
    <t xml:space="preserve">    31199.0070 - Subproyecto - 12.389,00€</t>
  </si>
  <si>
    <t xml:space="preserve">            C310-00-000-1 (Recep OC) - 12.389,00€</t>
  </si>
  <si>
    <t xml:space="preserve">    31199.0070 - Subproyecto - 80,25€</t>
  </si>
  <si>
    <t xml:space="preserve">            99032 (Recep OC) - 80,25€</t>
  </si>
  <si>
    <t xml:space="preserve">            99028 (Recep OC) - 42,80€</t>
  </si>
  <si>
    <t xml:space="preserve">    31199.0070 - Subproyecto - 21,40€</t>
  </si>
  <si>
    <t xml:space="preserve">            99027 (Recep OC) - 21,40€</t>
  </si>
  <si>
    <t xml:space="preserve">    31199.0070 - Subproyecto - 86,64€</t>
  </si>
  <si>
    <t xml:space="preserve">            144772 (Recep OC) - 86,64€</t>
  </si>
  <si>
    <t xml:space="preserve">    31199.0070 - Subproyecto - 813,20€</t>
  </si>
  <si>
    <t xml:space="preserve">            143189 (Recep OC) - 813,20€</t>
  </si>
  <si>
    <t xml:space="preserve">    31199.0070 - Subproyecto - 797,15€</t>
  </si>
  <si>
    <t xml:space="preserve">            141276 (Recep OC) - 797,15€</t>
  </si>
  <si>
    <t xml:space="preserve">    31199.0070 - Subproyecto - 5,28€</t>
  </si>
  <si>
    <t xml:space="preserve">            138289 (Recep OC) - 5,28€</t>
  </si>
  <si>
    <t xml:space="preserve">    31199.0070 - Subproyecto - 46,32€</t>
  </si>
  <si>
    <t xml:space="preserve">            127426 (Recep OC) - 46,32€</t>
  </si>
  <si>
    <t xml:space="preserve">            99031 (Recep OC) - 80,25€</t>
  </si>
  <si>
    <t xml:space="preserve">            99025 (Recep OC) - 42,80€</t>
  </si>
  <si>
    <t xml:space="preserve">    31199.0070 - Subproyecto - 3,84€</t>
  </si>
  <si>
    <t xml:space="preserve">            103131 (Estándar) - 3,84€</t>
  </si>
  <si>
    <t xml:space="preserve">    31199.0070 - Subproyecto - 64,20€</t>
  </si>
  <si>
    <t xml:space="preserve">            99028 (Recep OC) - 64,20€</t>
  </si>
  <si>
    <t xml:space="preserve">    31199.0070 - Subproyecto - 5,85€</t>
  </si>
  <si>
    <t xml:space="preserve">            128165 (Estándar) - 5,85€</t>
  </si>
  <si>
    <t xml:space="preserve">    31199.0070 - Subproyecto - 1.019,00€</t>
  </si>
  <si>
    <t xml:space="preserve">            C596-00-000-1 (Recep OC) - 1.019,00€</t>
  </si>
  <si>
    <t xml:space="preserve">    31199.0070 - Subproyecto - 21,66€</t>
  </si>
  <si>
    <t xml:space="preserve">            144772 (Recep OC) - 21,66€</t>
  </si>
  <si>
    <t xml:space="preserve">    31199.0070 - Subproyecto - 159,43€</t>
  </si>
  <si>
    <t xml:space="preserve">            141276 (Recep OC) - 159,43€</t>
  </si>
  <si>
    <t xml:space="preserve">    31199.0070 - Subproyecto - 612,00€</t>
  </si>
  <si>
    <t xml:space="preserve">            C397-00-000-1 (Recep OC) - 612,00€</t>
  </si>
  <si>
    <t xml:space="preserve">            99068 (Recep OC) - 21,40€</t>
  </si>
  <si>
    <t xml:space="preserve">    31199.0070 - Subproyecto - 1.076,00€</t>
  </si>
  <si>
    <t xml:space="preserve">            C396-00-000-1 (Recep OC) - 1.076,00€</t>
  </si>
  <si>
    <t xml:space="preserve">            126193 (Estándar) - 0,00€</t>
  </si>
  <si>
    <t xml:space="preserve">    31199.0070 - Subproyecto - 2.444,00€</t>
  </si>
  <si>
    <t xml:space="preserve">            C300-00-000-1 (Recep OC) - 2.444,00€</t>
  </si>
  <si>
    <t xml:space="preserve">    31199.0070 - Subproyecto - 64,98€</t>
  </si>
  <si>
    <t xml:space="preserve">            144772 (Recep OC) - 64,98€</t>
  </si>
  <si>
    <t xml:space="preserve">    31199.0070 - Subproyecto - 5.839,00€</t>
  </si>
  <si>
    <t xml:space="preserve">            C780-00-000-1 (Recep OC) - 5.839,00€</t>
  </si>
  <si>
    <t xml:space="preserve">    31199.0070 - Subproyecto - 26,75€</t>
  </si>
  <si>
    <t xml:space="preserve">            145946 (Recep OC) - 26,75€</t>
  </si>
  <si>
    <t xml:space="preserve">    31199.0070 - Subproyecto - 21,20€</t>
  </si>
  <si>
    <t xml:space="preserve">            99075 (Recep OC) - 21,20€</t>
  </si>
  <si>
    <t xml:space="preserve">    31199.0070 - Subproyecto - 1,60€</t>
  </si>
  <si>
    <t xml:space="preserve">            105073 (Estándar) - 1,60€</t>
  </si>
  <si>
    <t xml:space="preserve">    31199.0070 - Subproyecto - 2.667,00€</t>
  </si>
  <si>
    <t xml:space="preserve">            C735-00-000-1 (Recep OC) - 2.667,00€</t>
  </si>
  <si>
    <t xml:space="preserve">            21006.00.001.004 (Estándar) - 15,00€</t>
  </si>
  <si>
    <t xml:space="preserve">    31199.0070 - Subproyecto - 12,09€</t>
  </si>
  <si>
    <t xml:space="preserve">            21006.00.001.002 (Estándar) - 12,09€</t>
  </si>
  <si>
    <t xml:space="preserve">            21006.00.001.001 (Compra) - 0,00€</t>
  </si>
  <si>
    <t xml:space="preserve">    31199.0070 - Subproyecto - 8,60€</t>
  </si>
  <si>
    <t xml:space="preserve">            126209 (Estándar) - 8,60€</t>
  </si>
  <si>
    <t xml:space="preserve">    31199.0070 - Subproyecto - 0,84€</t>
  </si>
  <si>
    <t xml:space="preserve">            120687 (Estándar) - 0,84€</t>
  </si>
  <si>
    <t xml:space="preserve">            104906 (Estándar) - 0,00€</t>
  </si>
  <si>
    <t xml:space="preserve">    31199.0070 - Subproyecto - 6,66€</t>
  </si>
  <si>
    <t xml:space="preserve">            103133 (Estándar) - 6,66€</t>
  </si>
  <si>
    <t xml:space="preserve">            99073 (Compra) - 0,00€</t>
  </si>
  <si>
    <t xml:space="preserve">    31199.0070 - Subproyecto - 2.300,00€</t>
  </si>
  <si>
    <t xml:space="preserve">            C685-00-000-1 (Recep OC) - 2.300,00€</t>
  </si>
  <si>
    <t xml:space="preserve">    31199.0070 - Subproyecto - 89,46€</t>
  </si>
  <si>
    <t xml:space="preserve">            99072 (Recep OC) - 89,46€</t>
  </si>
  <si>
    <t xml:space="preserve">    31199.0070 - Subproyecto - 11,54€</t>
  </si>
  <si>
    <t xml:space="preserve">            121663 (Recep OC) - 11,54€</t>
  </si>
  <si>
    <t xml:space="preserve">    31199.0070 - Subproyecto - 2.676,00€</t>
  </si>
  <si>
    <t xml:space="preserve">            C02M01-4-11 (Recep OC) - 2.676,00€</t>
  </si>
  <si>
    <t xml:space="preserve">    31199.0070 - Subproyecto - 39,00€</t>
  </si>
  <si>
    <t xml:space="preserve">            99071 (Recep OC) - 39,00€</t>
  </si>
  <si>
    <t xml:space="preserve">    31199.0070 - Subproyecto - 622,00€</t>
  </si>
  <si>
    <t xml:space="preserve">            C597-00-000-1 (Recep OC) - 622,00€</t>
  </si>
  <si>
    <t xml:space="preserve">            114743 (Estándar) - 0,00€</t>
  </si>
  <si>
    <t xml:space="preserve">    31199.0070 - Subproyecto - 594,92€</t>
  </si>
  <si>
    <t xml:space="preserve">            141139 (Recep OC) - 594,92€</t>
  </si>
  <si>
    <t xml:space="preserve">    31199.0070 - Subproyecto - 8,00€</t>
  </si>
  <si>
    <t xml:space="preserve">            121392 (Recep OC) - 8,00€</t>
  </si>
  <si>
    <t xml:space="preserve">    31199.0070 - Subproyecto - 10.232,00€</t>
  </si>
  <si>
    <t xml:space="preserve">            C620-00-00-1 (Recep OC) - 10.232,00€</t>
  </si>
  <si>
    <t xml:space="preserve">    31199.0070 - Subproyecto - 55,78€</t>
  </si>
  <si>
    <t xml:space="preserve">            99067 (Recep OC) - 55,78€</t>
  </si>
  <si>
    <t xml:space="preserve">            99066 (Recep OC) - 98,32€</t>
  </si>
  <si>
    <t xml:space="preserve">    31199.0070 - Subproyecto - 153,44€</t>
  </si>
  <si>
    <t xml:space="preserve">            99065 (Recep OC) - 153,44€</t>
  </si>
  <si>
    <t xml:space="preserve">    31199.0070 - Subproyecto - 55,40€</t>
  </si>
  <si>
    <t xml:space="preserve">            99037 (Recep OC) - 55,40€</t>
  </si>
  <si>
    <t xml:space="preserve">    31199.0070 - Subproyecto - 43,00€</t>
  </si>
  <si>
    <t xml:space="preserve">            99076 (Recep OC) - 43,00€</t>
  </si>
  <si>
    <t xml:space="preserve">    31199.0070 - Subproyecto - 52,82€</t>
  </si>
  <si>
    <t xml:space="preserve">            99033 (Recep OC) - 52,82€</t>
  </si>
  <si>
    <t xml:space="preserve">    31199.0070 - Subproyecto - 224,00€</t>
  </si>
  <si>
    <t xml:space="preserve">            99003 (Recep OC) - 224,00€</t>
  </si>
  <si>
    <t xml:space="preserve">    31199.0070 - Subproyecto - 791,80€</t>
  </si>
  <si>
    <t xml:space="preserve">            143194 (Recep OC) - 791,80€</t>
  </si>
  <si>
    <t xml:space="preserve">            142465 (Recep OC) - 26,75€</t>
  </si>
  <si>
    <t xml:space="preserve">            142464 (Recep OC) - 26,75€</t>
  </si>
  <si>
    <t xml:space="preserve">            141140 (Recep OC) - 42,80€</t>
  </si>
  <si>
    <t xml:space="preserve">    31199.0070 - Subproyecto - 7.694,00€</t>
  </si>
  <si>
    <t xml:space="preserve">            C320-00-000-1 (Recep OC) - 7.694,00€</t>
  </si>
  <si>
    <t xml:space="preserve">    31199.0070 - Subproyecto - 1,39€</t>
  </si>
  <si>
    <t xml:space="preserve">            99064 (Recep OC) - 1,39€</t>
  </si>
  <si>
    <t xml:space="preserve">    31199.0070 - Subproyecto - 485,94€</t>
  </si>
  <si>
    <t xml:space="preserve">            99011 (Recep OC) - 485,94€</t>
  </si>
  <si>
    <t xml:space="preserve">    31199.0070 - Subproyecto - 49,00€</t>
  </si>
  <si>
    <t xml:space="preserve">            99077 (Recep OC) - 49,00€</t>
  </si>
  <si>
    <t xml:space="preserve">    31199.0070 - Subproyecto - 9,44€</t>
  </si>
  <si>
    <t xml:space="preserve">            103133 (Estándar) - 9,44€</t>
  </si>
  <si>
    <t xml:space="preserve">    31199.0070 - Subproyecto - 6.481,00€</t>
  </si>
  <si>
    <t xml:space="preserve">            C380-00-000-1 (Recep OC) - 6.481,00€</t>
  </si>
  <si>
    <t xml:space="preserve">            145322 (Recep OC) - 42,80€</t>
  </si>
  <si>
    <t xml:space="preserve">            145321 (Recep OC) - 42,80€</t>
  </si>
  <si>
    <t xml:space="preserve">            144535 (Recep OC) - 64,20€</t>
  </si>
  <si>
    <t xml:space="preserve">            99027 (Recep OC) - 42,80€</t>
  </si>
  <si>
    <t xml:space="preserve">    31199.0070 - Subproyecto - 1,92€</t>
  </si>
  <si>
    <t xml:space="preserve">            99034 (Recep OC) - 1,92€</t>
  </si>
  <si>
    <t xml:space="preserve">    31199.0070 - Subproyecto - 336,00€</t>
  </si>
  <si>
    <t xml:space="preserve">            99003 (Recep OC) - 336,00€</t>
  </si>
  <si>
    <t xml:space="preserve">            99031 (Recep OC) - 26,75€</t>
  </si>
  <si>
    <t xml:space="preserve">    31199.0070 - Subproyecto - 129,96€</t>
  </si>
  <si>
    <t xml:space="preserve">            144772 (Recep OC) - 129,96€</t>
  </si>
  <si>
    <t xml:space="preserve">            99041 (Compra) - 0,00€</t>
  </si>
  <si>
    <t xml:space="preserve">    31199.0070 - Subproyecto - 582,08€</t>
  </si>
  <si>
    <t xml:space="preserve">            141144 (Recep OC) - 582,08€</t>
  </si>
  <si>
    <t xml:space="preserve">            144921 (Compra) - 0,00€</t>
  </si>
  <si>
    <t xml:space="preserve">    31199.0070 - Subproyecto - 45,26€</t>
  </si>
  <si>
    <t xml:space="preserve">            144628 (Estándar) - 45,26€</t>
  </si>
  <si>
    <t xml:space="preserve">    31199.0070 - Subproyecto - 13.892,00€</t>
  </si>
  <si>
    <t xml:space="preserve">            C110/210-00-0001 (Recep OC) - 13.892,00€</t>
  </si>
  <si>
    <t xml:space="preserve">    31199.0070 - Subproyecto - 7,32€</t>
  </si>
  <si>
    <t xml:space="preserve">            99041 (Recep OC) - 7,32€</t>
  </si>
  <si>
    <t xml:space="preserve">    31199.0070 - Subproyecto - 3,96€</t>
  </si>
  <si>
    <t xml:space="preserve">            99040 (Recep OC) - 3,96€</t>
  </si>
  <si>
    <t xml:space="preserve">    31199.0070 - Subproyecto - 83,92€</t>
  </si>
  <si>
    <t xml:space="preserve">            99039 (Recep OC) - 83,92€</t>
  </si>
  <si>
    <t xml:space="preserve">    31199.0070 - Subproyecto - 383,80€</t>
  </si>
  <si>
    <t xml:space="preserve">            99038 (Recep OC) - 383,80€</t>
  </si>
  <si>
    <t xml:space="preserve">    31199.0070 - Subproyecto - 6,14€</t>
  </si>
  <si>
    <t xml:space="preserve">            99035 (Recep OC) - 6,14€</t>
  </si>
  <si>
    <t xml:space="preserve">    31199.0070 - Subproyecto - 38,55€</t>
  </si>
  <si>
    <t xml:space="preserve">            144499 (Estándar) - 38,55€</t>
  </si>
  <si>
    <t xml:space="preserve">            99021 (Recep OC) - 21,40€</t>
  </si>
  <si>
    <t xml:space="preserve">    31199.0070 - Subproyecto - 1.067,54€</t>
  </si>
  <si>
    <t xml:space="preserve">            141143 (Transfer. Stock) - 1.067,54€</t>
  </si>
  <si>
    <t xml:space="preserve">    31199.0070 - Subproyecto - 6,54€</t>
  </si>
  <si>
    <t xml:space="preserve">            103133 (Estándar) - 6,54€</t>
  </si>
  <si>
    <t xml:space="preserve">    31199.0070 - Subproyecto - 5.474,00€</t>
  </si>
  <si>
    <t xml:space="preserve">            C420-00-000-1 (Recep OC) - 5.474,00€</t>
  </si>
  <si>
    <t xml:space="preserve">            99032 (Recep OC) - 26,75€</t>
  </si>
  <si>
    <t xml:space="preserve">            99025 (Recep OC) - 21,40€</t>
  </si>
  <si>
    <t xml:space="preserve">    31199.0070 - Subproyecto - 637,72€</t>
  </si>
  <si>
    <t xml:space="preserve">            141276 (Recep OC) - 637,72€</t>
  </si>
  <si>
    <t xml:space="preserve">    31199.0070 - Subproyecto - 152,51€</t>
  </si>
  <si>
    <t xml:space="preserve">            141143 (Transfer. Stock) - 152,51€</t>
  </si>
  <si>
    <t xml:space="preserve">    31199.0070 - Subproyecto - 13,07€</t>
  </si>
  <si>
    <t xml:space="preserve">            103133 (Estándar) - 13,07€</t>
  </si>
  <si>
    <t xml:space="preserve">    31199.0070 - Subproyecto - 4.564,00€</t>
  </si>
  <si>
    <t xml:space="preserve">            C280-00-000-1 (Recep OC) - 4.564,00€</t>
  </si>
  <si>
    <t xml:space="preserve">            C180-00-000-1 (Recep OC) - 4.564,00€</t>
  </si>
  <si>
    <t xml:space="preserve">            99022 (Recep OC) - 21,40€</t>
  </si>
  <si>
    <t xml:space="preserve">    31199.0070 - Subproyecto - -21,40€</t>
  </si>
  <si>
    <t xml:space="preserve">            99022 (Recep OC) - -21,40€</t>
  </si>
  <si>
    <t xml:space="preserve">            99021 (Recep OC) - -21,40€</t>
  </si>
  <si>
    <t xml:space="preserve">    31199.0070 - Subproyecto - 264,10€</t>
  </si>
  <si>
    <t xml:space="preserve">            99033 (Recep OC) - 264,10€</t>
  </si>
  <si>
    <t xml:space="preserve">    31199.0070 - Subproyecto - 4.386,80€</t>
  </si>
  <si>
    <t xml:space="preserve">            144921 (Recep OC) - 4.386,80€</t>
  </si>
  <si>
    <t xml:space="preserve">    31199.0070 - Subproyecto - 8.086,00€</t>
  </si>
  <si>
    <t xml:space="preserve">            C120/220-00-0001 (Recep OC) - 8.086,00€</t>
  </si>
  <si>
    <t xml:space="preserve">    31199.0070 - Subproyecto - 211,28€</t>
  </si>
  <si>
    <t xml:space="preserve">            99033 (Recep OC) - 211,28€</t>
  </si>
  <si>
    <t xml:space="preserve">    31199.0070 - Subproyecto - 1.220,04€</t>
  </si>
  <si>
    <t xml:space="preserve">            141143 (Transfer. Stock) - 1.220,04€</t>
  </si>
  <si>
    <t xml:space="preserve">            99023 (Recep OC) - 80,25€</t>
  </si>
  <si>
    <t xml:space="preserve">    31199.0070 - Subproyecto - 524,30€</t>
  </si>
  <si>
    <t xml:space="preserve">            99007 (Recep OC) - 524,30€</t>
  </si>
  <si>
    <t xml:space="preserve">            99000 (Recep OC) - 4.386,80€</t>
  </si>
  <si>
    <t xml:space="preserve">    31199.0070 - Subproyecto - 406,60€</t>
  </si>
  <si>
    <t xml:space="preserve">            143189 (Recep OC) - 406,60€</t>
  </si>
  <si>
    <t xml:space="preserve">    31199.0070 - Subproyecto - 684,80€</t>
  </si>
  <si>
    <t xml:space="preserve">            142795 (Recep OC) - 684,80€</t>
  </si>
  <si>
    <t xml:space="preserve">    31199.0070 - Subproyecto - 342,40€</t>
  </si>
  <si>
    <t xml:space="preserve">            142795 (Recep OC) - 342,40€</t>
  </si>
  <si>
    <t xml:space="preserve">    31199.0070 - Subproyecto - 107,00€</t>
  </si>
  <si>
    <t xml:space="preserve">            99024 (Recep OC) - 107,00€</t>
  </si>
  <si>
    <t xml:space="preserve">            99023 (Recep OC) - 107,00€</t>
  </si>
  <si>
    <t xml:space="preserve">    31199.0070 - Subproyecto - 108,70€</t>
  </si>
  <si>
    <t xml:space="preserve">            99016 (Recep OC) - 108,70€</t>
  </si>
  <si>
    <t xml:space="preserve">    31199.0070 - Subproyecto - 425,98€</t>
  </si>
  <si>
    <t xml:space="preserve">            99010 (Recep OC) - 425,98€</t>
  </si>
  <si>
    <t xml:space="preserve">            99000 (Compra) - 0,00€</t>
  </si>
  <si>
    <t xml:space="preserve">    31199.0070 - Subproyecto - 372,36€</t>
  </si>
  <si>
    <t xml:space="preserve">            143847 (Recep OC) - 372,36€</t>
  </si>
  <si>
    <t xml:space="preserve">            141912 (Recep OC) - 582,08€</t>
  </si>
  <si>
    <t xml:space="preserve">    31199.0070 - Subproyecto - 1.078,00€</t>
  </si>
  <si>
    <t xml:space="preserve">            C120/220-09-0001 (Recep OC) - 1.078,00€</t>
  </si>
  <si>
    <t xml:space="preserve">    31199.0070 - Subproyecto - 4.469,00€</t>
  </si>
  <si>
    <t xml:space="preserve">            C130/230-00-0001 (Recep OC) - 4.469,00€</t>
  </si>
  <si>
    <t xml:space="preserve">    31199.0070 - Subproyecto - 128,40€</t>
  </si>
  <si>
    <t xml:space="preserve">            99025 (Recep OC) - 128,40€</t>
  </si>
  <si>
    <t xml:space="preserve">            99024 (Recep OC) - 26,75€</t>
  </si>
  <si>
    <t xml:space="preserve">            99023 (Recep OC) - 26,75€</t>
  </si>
  <si>
    <t xml:space="preserve">    31199.0070 - Subproyecto - 590,00€</t>
  </si>
  <si>
    <t xml:space="preserve">            99008 (Recep OC) - 590,00€</t>
  </si>
  <si>
    <t xml:space="preserve">    31199.0070 - Subproyecto - 1.525,05€</t>
  </si>
  <si>
    <t xml:space="preserve">            141143 (Transfer. Stock) - 1.525,05€</t>
  </si>
  <si>
    <t xml:space="preserve">    31199.0070 - Subproyecto - 110,80€</t>
  </si>
  <si>
    <t xml:space="preserve">            99037 (Recep OC) - 110,80€</t>
  </si>
  <si>
    <t xml:space="preserve">    31199.0070 - Subproyecto - 12.866,00€</t>
  </si>
  <si>
    <t xml:space="preserve">            C510-01-000-1 (Recep OC) - 12.866,00€</t>
  </si>
  <si>
    <t xml:space="preserve">    31199.0070 - Subproyecto - 27,53€</t>
  </si>
  <si>
    <t xml:space="preserve">            118540 (Estándar) - 27,53€</t>
  </si>
  <si>
    <t xml:space="preserve">    31199.0070 - Subproyecto - 5.466,00€</t>
  </si>
  <si>
    <t xml:space="preserve">            C410-00-000-1 (Recep OC) - 5.466,00€</t>
  </si>
  <si>
    <t xml:space="preserve">    31199.0070 - Subproyecto - 99,92€</t>
  </si>
  <si>
    <t xml:space="preserve">            99014 (Recep OC) - 99,92€</t>
  </si>
  <si>
    <t xml:space="preserve">    31199.0070 - Subproyecto - 118,82€</t>
  </si>
  <si>
    <t xml:space="preserve">            99015 (Recep OC) - 118,82€</t>
  </si>
  <si>
    <t xml:space="preserve">            142171 (Estándar) - 0,00€</t>
  </si>
  <si>
    <t xml:space="preserve">            142170 (Recep OC) - 7,32€</t>
  </si>
  <si>
    <t xml:space="preserve">    31199.0070 - Subproyecto - 123,00€</t>
  </si>
  <si>
    <t xml:space="preserve">            101263 (Estándar) - 123,00€</t>
  </si>
  <si>
    <t xml:space="preserve">    31199.0070 - Subproyecto - 0,77€</t>
  </si>
  <si>
    <t xml:space="preserve">            105302 (Estándar) - 0,77€</t>
  </si>
  <si>
    <t xml:space="preserve">    31199.0070 - Subproyecto - 7.126,00€</t>
  </si>
  <si>
    <t xml:space="preserve">            C530-00-000-1 (Recep OC) - 7.126,00€</t>
  </si>
  <si>
    <t xml:space="preserve">    31199.0070 - Subproyecto - 30,00€</t>
  </si>
  <si>
    <t xml:space="preserve">            99047 (Recep OC) - 30,00€</t>
  </si>
  <si>
    <t xml:space="preserve">            99046 (Recep OC) - 30,00€</t>
  </si>
  <si>
    <t xml:space="preserve">    31199.0070 - Subproyecto - 956,58€</t>
  </si>
  <si>
    <t xml:space="preserve">            141276 (Recep OC) - 956,58€</t>
  </si>
  <si>
    <t xml:space="preserve">    31199.0070 - Subproyecto - 395,90€</t>
  </si>
  <si>
    <t xml:space="preserve">            143194 (Recep OC) - 395,90€</t>
  </si>
  <si>
    <t xml:space="preserve">    31199.0070 - Subproyecto - 363,80€</t>
  </si>
  <si>
    <t xml:space="preserve">            141144 (Recep OC) - 363,80€</t>
  </si>
  <si>
    <t xml:space="preserve">    31199.0070 - Subproyecto - 12.099,00€</t>
  </si>
  <si>
    <t xml:space="preserve">            C415-00-000-1 (Recep OC) - 12.099,00€</t>
  </si>
  <si>
    <t xml:space="preserve">            99026 (Compra) - 0,00€</t>
  </si>
  <si>
    <t xml:space="preserve">            99025 (Recep OC) - 64,20€</t>
  </si>
  <si>
    <t xml:space="preserve">    31199.0070 - Subproyecto - 138,04€</t>
  </si>
  <si>
    <t xml:space="preserve">            99013 (Recep OC) - 138,04€</t>
  </si>
  <si>
    <t xml:space="preserve">    31199.0070 - Subproyecto - 252,84€</t>
  </si>
  <si>
    <t xml:space="preserve">            99045 (Recep OC) - 252,84€</t>
  </si>
  <si>
    <t xml:space="preserve">            99026 (Recep OC) - 42,80€</t>
  </si>
  <si>
    <t xml:space="preserve">            99027 (Recep OC) - 64,20€</t>
  </si>
  <si>
    <t xml:space="preserve">            C480-00-000-1 (Recep OC) - 4.871,00€</t>
  </si>
  <si>
    <t xml:space="preserve">    31199.0070 - Subproyecto - 144,20€</t>
  </si>
  <si>
    <t xml:space="preserve">            99043 (Recep OC) - 144,20€</t>
  </si>
  <si>
    <t xml:space="preserve">    31199.0070 - Subproyecto - 278,40€</t>
  </si>
  <si>
    <t xml:space="preserve">            99042 (Recep OC) - 278,40€</t>
  </si>
  <si>
    <t xml:space="preserve">    31199.0070 - Subproyecto - 14.786,00€</t>
  </si>
  <si>
    <t xml:space="preserve">            C430-00-000-1 (Recep OC) - 14.786,00€</t>
  </si>
  <si>
    <t>31199.0080 -  03 - Fabricación</t>
  </si>
  <si>
    <t>Sp-31199.0080</t>
  </si>
  <si>
    <t xml:space="preserve">    31199.0080 - Subproyecto - 48,00€</t>
  </si>
  <si>
    <t xml:space="preserve">        66020 (Recep OC) - 48,00€</t>
  </si>
  <si>
    <t xml:space="preserve">    31199.0080 - Subproyecto - 247,23€</t>
  </si>
  <si>
    <t xml:space="preserve">        141663 (Recep OC) - 247,23€</t>
  </si>
  <si>
    <t xml:space="preserve">    31199.0080 - Subproyecto - 5,44€</t>
  </si>
  <si>
    <t xml:space="preserve">        123222 (Estándar) - 5,44€</t>
  </si>
  <si>
    <t xml:space="preserve">    31199.0080 - Subproyecto - 0,00€</t>
  </si>
  <si>
    <t xml:space="preserve">        123207 (Estándar) - 0,00€</t>
  </si>
  <si>
    <t xml:space="preserve">    31199.0080 - Subproyecto - 0,95€</t>
  </si>
  <si>
    <t xml:space="preserve">        123207 (Estándar) - 0,95€</t>
  </si>
  <si>
    <t xml:space="preserve">    31199.0080 - Subproyecto - 2,40€</t>
  </si>
  <si>
    <t xml:space="preserve">        123206 (Estándar) - 2,40€</t>
  </si>
  <si>
    <t xml:space="preserve">    31199.0080 - Subproyecto - 163,75€</t>
  </si>
  <si>
    <t xml:space="preserve">        66023 (Recep OC) - 163,75€</t>
  </si>
  <si>
    <t xml:space="preserve">    31199.0080 - Subproyecto - 162,40€</t>
  </si>
  <si>
    <t xml:space="preserve">        138589 (Recep OC) - 162,40€</t>
  </si>
  <si>
    <t xml:space="preserve">    31199.0080 - Subproyecto - 0,11€</t>
  </si>
  <si>
    <t xml:space="preserve">        104840 (Estándar) - 0,11€</t>
  </si>
  <si>
    <t xml:space="preserve">    31199.0080 - Subproyecto - 243,60€</t>
  </si>
  <si>
    <t xml:space="preserve">        138589 (Recep OC) - 243,60€</t>
  </si>
  <si>
    <t xml:space="preserve">    31199.0080 - Subproyecto - 22,50€</t>
  </si>
  <si>
    <t xml:space="preserve">        126225 (Estándar) - 22,50€</t>
  </si>
  <si>
    <t xml:space="preserve">    31199.0080 - Subproyecto - 60,00€</t>
  </si>
  <si>
    <t xml:space="preserve">        71254.02.210.016 (Estándar) - 60,00€</t>
  </si>
  <si>
    <t xml:space="preserve">    31199.0080 - Subproyecto - 1.520,00€</t>
  </si>
  <si>
    <t xml:space="preserve">        44007 (Recep OC) - 1.520,00€</t>
  </si>
  <si>
    <t xml:space="preserve">    31199.0080 - Subproyecto - 1,00€</t>
  </si>
  <si>
    <t xml:space="preserve">        133813 (Estándar) - 1,00€</t>
  </si>
  <si>
    <t xml:space="preserve">    31199.0080 - Subproyecto - 2,58€</t>
  </si>
  <si>
    <t xml:space="preserve">        102802 (Estándar) - 2,58€</t>
  </si>
  <si>
    <t xml:space="preserve">        00E00-1-03U (Fabricación) - 0,00€</t>
  </si>
  <si>
    <t xml:space="preserve">        00N01-0-00U (Rec.Plan. OF) - 0,00€</t>
  </si>
  <si>
    <t xml:space="preserve">    31199.0080 - Subproyecto - 20,98€</t>
  </si>
  <si>
    <t xml:space="preserve">        99039 (Recep OC) - 20,98€</t>
  </si>
  <si>
    <t xml:space="preserve">    31199.0080 - Subproyecto - 8,22€</t>
  </si>
  <si>
    <t xml:space="preserve">        116470 (Estándar) - 8,22€</t>
  </si>
  <si>
    <t xml:space="preserve">    31199.0080 - Subproyecto - 3,78€</t>
  </si>
  <si>
    <t xml:space="preserve">        123207 (Estándar) - 3,78€</t>
  </si>
  <si>
    <t xml:space="preserve">        102806 (Estándar) - 0,00€</t>
  </si>
  <si>
    <t xml:space="preserve">    31199.0080 - Subproyecto - 159,48€</t>
  </si>
  <si>
    <t xml:space="preserve">        634334.0080 (Operación) - 159,48€</t>
  </si>
  <si>
    <t xml:space="preserve">    31199.0080 - Subproyecto - 55,80€</t>
  </si>
  <si>
    <t xml:space="preserve">        138467 (Estándar) - 55,80€</t>
  </si>
  <si>
    <t xml:space="preserve">    31199.0080 - Subproyecto - 6,00€</t>
  </si>
  <si>
    <t xml:space="preserve">        141046 (Estándar) - 6,00€</t>
  </si>
  <si>
    <t xml:space="preserve">    31199.0080 - Subproyecto - 9,30€</t>
  </si>
  <si>
    <t xml:space="preserve">        141047 (Estándar) - 9,30€</t>
  </si>
  <si>
    <t xml:space="preserve">    31199.0080 - Subproyecto - 14,14€</t>
  </si>
  <si>
    <t xml:space="preserve">        141043 (Estándar) - 14,14€</t>
  </si>
  <si>
    <t xml:space="preserve">        00N09-1-00U (Rec.Plan. OF) - 0,00€</t>
  </si>
  <si>
    <t xml:space="preserve">    31199.0080 - Subproyecto - 81,00€</t>
  </si>
  <si>
    <t xml:space="preserve">        66044 (Recep OC) - 81,00€</t>
  </si>
  <si>
    <t xml:space="preserve">    31199.0080 - Subproyecto - 33,60€</t>
  </si>
  <si>
    <t xml:space="preserve">        123191 (Estándar) - 33,60€</t>
  </si>
  <si>
    <t xml:space="preserve">    31199.0080 - Subproyecto - 14,30€</t>
  </si>
  <si>
    <t xml:space="preserve">        116472 (Estándar) - 14,30€</t>
  </si>
  <si>
    <t xml:space="preserve">    31199.0080 - Subproyecto - 0,74€</t>
  </si>
  <si>
    <t xml:space="preserve">        103711 (Estándar) - 0,74€</t>
  </si>
  <si>
    <t xml:space="preserve">    31199.0080 - Subproyecto - 0,55€</t>
  </si>
  <si>
    <t xml:space="preserve">        103710 (Estándar) - 0,55€</t>
  </si>
  <si>
    <t xml:space="preserve">    31199.0080 - Subproyecto - 26,90€</t>
  </si>
  <si>
    <t xml:space="preserve">        111306 (Estándar) - 26,90€</t>
  </si>
  <si>
    <t xml:space="preserve">    31199.0080 - Subproyecto - 50,00€</t>
  </si>
  <si>
    <t xml:space="preserve">        30991.00.419.000 (Estándar) - 50,00€</t>
  </si>
  <si>
    <t xml:space="preserve">    31199.0080 - Subproyecto - 0,35€</t>
  </si>
  <si>
    <t xml:space="preserve">        101377 (Estándar) - 0,35€</t>
  </si>
  <si>
    <t xml:space="preserve">        71254.02.210.016 (Estándar) - 0,00€</t>
  </si>
  <si>
    <t xml:space="preserve">    31199.0080 - Subproyecto - 17,46€</t>
  </si>
  <si>
    <t xml:space="preserve">        104447 (Estándar) - 17,46€</t>
  </si>
  <si>
    <t xml:space="preserve">    31199.0080 - Subproyecto - 192,00€</t>
  </si>
  <si>
    <t xml:space="preserve">        66026 (Recep OC) - 192,00€</t>
  </si>
  <si>
    <t xml:space="preserve">    31199.0080 - Subproyecto - 4,80€</t>
  </si>
  <si>
    <t xml:space="preserve">        104148 (Estándar) - 4,80€</t>
  </si>
  <si>
    <t xml:space="preserve">    31199.0080 - Subproyecto - 1,30€</t>
  </si>
  <si>
    <t xml:space="preserve">        117345 (Estándar) - 1,30€</t>
  </si>
  <si>
    <t xml:space="preserve">    31199.0080 - Subproyecto - 54,50€</t>
  </si>
  <si>
    <t xml:space="preserve">        104207 (Estándar) - 54,50€</t>
  </si>
  <si>
    <t xml:space="preserve">    31199.0080 - Subproyecto - 0,72€</t>
  </si>
  <si>
    <t xml:space="preserve">        141049 (Estándar) - 0,72€</t>
  </si>
  <si>
    <t xml:space="preserve">        00N06-1-00U (Rec.Plan. OF) - 0,00€</t>
  </si>
  <si>
    <t xml:space="preserve">        00N05-1-00U (Rec.Plan. OF) - 0,00€</t>
  </si>
  <si>
    <t xml:space="preserve">        00E00-0-00I (Rec.Plan. OF) - 0,00€</t>
  </si>
  <si>
    <t xml:space="preserve">        00E00-0-00F (Rec.Plan. OF) - 0,00€</t>
  </si>
  <si>
    <t xml:space="preserve">        00N04-1-00 (Rec.Plan. OF) - 0,00€</t>
  </si>
  <si>
    <t xml:space="preserve">        00N03-1-00U (Rec.Plan. OF) - 0,00€</t>
  </si>
  <si>
    <t xml:space="preserve">        00N02-1-00 (Rec.Plan. OF) - 0,00€</t>
  </si>
  <si>
    <t xml:space="preserve">        00N07-1-00U (Rec.Plan. OF) - 0,00€</t>
  </si>
  <si>
    <t xml:space="preserve">        00E00-1-03U (Rec.Plan. OF) - 0,00€</t>
  </si>
  <si>
    <t xml:space="preserve">        00E00-1-02U (Rec.Plan. OF) - 0,00€</t>
  </si>
  <si>
    <t xml:space="preserve">    31199.0080 - Subproyecto - 6.200,00€</t>
  </si>
  <si>
    <t xml:space="preserve">        66004 (Recep OC) - 6.200,00€</t>
  </si>
  <si>
    <t xml:space="preserve">    31199.0080 - Subproyecto - 12.400,00€</t>
  </si>
  <si>
    <t xml:space="preserve">        66004 (Recep OC) - 12.400,00€</t>
  </si>
  <si>
    <t xml:space="preserve">    31199.0080 - Subproyecto - 11.919,00€</t>
  </si>
  <si>
    <t xml:space="preserve">        139454 (Recep OC) - 11.919,00€</t>
  </si>
  <si>
    <t xml:space="preserve">    31199.0080 - Subproyecto - 411,00€</t>
  </si>
  <si>
    <t xml:space="preserve">        139454 (Recep OC) - 411,00€</t>
  </si>
  <si>
    <t xml:space="preserve">    31199.0080 - Subproyecto - 2,78€</t>
  </si>
  <si>
    <t xml:space="preserve">        101601 (Estándar) - 2,78€</t>
  </si>
  <si>
    <t xml:space="preserve">        00N01-1-00U (Rec.Plan. OF) - 0,00€</t>
  </si>
  <si>
    <t xml:space="preserve">        00E01-0-00 (Rec.Plan. OF) - 0,00€</t>
  </si>
  <si>
    <t xml:space="preserve">    31199.0080 - Subproyecto - 3.900,00€</t>
  </si>
  <si>
    <t xml:space="preserve">        66005 (Recep OC) - 3.900,00€</t>
  </si>
  <si>
    <t xml:space="preserve">    31199.0080 - Subproyecto - 8,52€</t>
  </si>
  <si>
    <t xml:space="preserve">        104010 (Estándar) - 8,52€</t>
  </si>
  <si>
    <t xml:space="preserve">    31199.0080 - Subproyecto - 0,09€</t>
  </si>
  <si>
    <t xml:space="preserve">        105244 (Estándar) - 0,09€</t>
  </si>
  <si>
    <t xml:space="preserve">    31199.0080 - Subproyecto - 60,45€</t>
  </si>
  <si>
    <t xml:space="preserve">        21020.00.400.011 (Estándar) - 60,45€</t>
  </si>
  <si>
    <t xml:space="preserve">    31199.0080 - Subproyecto - 12,12€</t>
  </si>
  <si>
    <t xml:space="preserve">        100979 (Estándar) - 12,12€</t>
  </si>
  <si>
    <t xml:space="preserve">    31199.0080 - Subproyecto - 4,50€</t>
  </si>
  <si>
    <t xml:space="preserve">        105436 (Estándar) - 4,50€</t>
  </si>
  <si>
    <t xml:space="preserve">        101345 (Estándar) - 0,00€</t>
  </si>
  <si>
    <t xml:space="preserve">        101344 (Estándar) - 0,00€</t>
  </si>
  <si>
    <t xml:space="preserve">    31199.0080 - Subproyecto - 27,31€</t>
  </si>
  <si>
    <t xml:space="preserve">        101343 (Estándar) - 27,31€</t>
  </si>
  <si>
    <t xml:space="preserve">    31199.0080 - Subproyecto - 20,00€</t>
  </si>
  <si>
    <t xml:space="preserve">        105279 (Estándar) - 20,00€</t>
  </si>
  <si>
    <t xml:space="preserve">        101338 (Estándar) - 0,00€</t>
  </si>
  <si>
    <t xml:space="preserve">    31199.0080 - Subproyecto - 1.340,00€</t>
  </si>
  <si>
    <t xml:space="preserve">        44002 (Recep OC) - 1.340,00€</t>
  </si>
  <si>
    <t xml:space="preserve">    31199.0080 - Subproyecto - 6.840,00€</t>
  </si>
  <si>
    <t xml:space="preserve">        44001 (Recep OC) - 6.840,00€</t>
  </si>
  <si>
    <t xml:space="preserve">    31199.0080 - Subproyecto - 20,94€</t>
  </si>
  <si>
    <t xml:space="preserve">        104249 (Estándar) - 20,94€</t>
  </si>
  <si>
    <t xml:space="preserve">        00N08-1-00 (Rec.Plan. OF) - 0,00€</t>
  </si>
  <si>
    <t xml:space="preserve">    31199.0080 - Subproyecto - 36,90€</t>
  </si>
  <si>
    <t xml:space="preserve">        117354 (Estándar) - 36,90€</t>
  </si>
  <si>
    <t xml:space="preserve">        125853 (Estándar) - 0,00€</t>
  </si>
  <si>
    <t xml:space="preserve">    31199.0080 - Subproyecto - 35,04€</t>
  </si>
  <si>
    <t xml:space="preserve">        104204 (Estándar) - 35,04€</t>
  </si>
  <si>
    <t xml:space="preserve">            138467 (Estándar) - 55,80€</t>
  </si>
  <si>
    <t xml:space="preserve">    31199.0080 - Subproyecto - 1,10€</t>
  </si>
  <si>
    <t xml:space="preserve">            109117 (Estándar) - 1,10€</t>
  </si>
  <si>
    <t xml:space="preserve">    31199.0080 - Subproyecto - 52,38€</t>
  </si>
  <si>
    <t xml:space="preserve">            104447 (Estándar) - 52,38€</t>
  </si>
  <si>
    <t xml:space="preserve">            71254.02.210.016 (Estándar) - 0,00€</t>
  </si>
  <si>
    <t xml:space="preserve">    31199.0080 - Subproyecto - 91,85€</t>
  </si>
  <si>
    <t xml:space="preserve">            138466 (Estándar) - 91,85€</t>
  </si>
  <si>
    <t xml:space="preserve">            105279 (Estándar) - 20,00€</t>
  </si>
  <si>
    <t xml:space="preserve">    31199.0080 - Subproyecto - 38,88€</t>
  </si>
  <si>
    <t xml:space="preserve">            138502 (Estándar) - 38,88€</t>
  </si>
  <si>
    <t xml:space="preserve">    31199.0080 - Subproyecto - 27,90€</t>
  </si>
  <si>
    <t xml:space="preserve">            138467 (Estándar) - 27,90€</t>
  </si>
  <si>
    <t xml:space="preserve">    31199.0080 - Subproyecto - 105,00€</t>
  </si>
  <si>
    <t xml:space="preserve">            140939 (Estándar) - 105,00€</t>
  </si>
  <si>
    <t xml:space="preserve">    31199.0080 - Subproyecto - 52,49€</t>
  </si>
  <si>
    <t xml:space="preserve">            138466 (Estándar) - 52,49€</t>
  </si>
  <si>
    <t xml:space="preserve">    31199.0080 - Subproyecto - 287,80€</t>
  </si>
  <si>
    <t xml:space="preserve">            139412 (Recep OC) - 287,80€</t>
  </si>
  <si>
    <t xml:space="preserve">            123191 (Estándar) - 33,60€</t>
  </si>
  <si>
    <t xml:space="preserve">    31199.0080 - Subproyecto - 274,00€</t>
  </si>
  <si>
    <t xml:space="preserve">            141736 (Recep OC) - 274,00€</t>
  </si>
  <si>
    <t xml:space="preserve">    31199.0080 - Subproyecto - 10,00€</t>
  </si>
  <si>
    <t xml:space="preserve">            105280 (Estándar) - 10,00€</t>
  </si>
  <si>
    <t xml:space="preserve">    31199.0080 - Subproyecto - 185,00€</t>
  </si>
  <si>
    <t xml:space="preserve">            143898 (Recep OC) - 185,00€</t>
  </si>
  <si>
    <t xml:space="preserve">    31199.0080 - Subproyecto - 52,80€</t>
  </si>
  <si>
    <t xml:space="preserve">            141584 (Recep OC) - 52,80€</t>
  </si>
  <si>
    <t xml:space="preserve">    31199.0080 - Subproyecto - 204,48€</t>
  </si>
  <si>
    <t xml:space="preserve">            139443 (Recep OC) - 204,48€</t>
  </si>
  <si>
    <t xml:space="preserve">    31199.0080 - Subproyecto - 118,72€</t>
  </si>
  <si>
    <t xml:space="preserve">            139413 (Recep OC) - 118,72€</t>
  </si>
  <si>
    <t xml:space="preserve">            139410 (Recep OC) - 204,48€</t>
  </si>
  <si>
    <t xml:space="preserve">    31199.0080 - Subproyecto - 484,34€</t>
  </si>
  <si>
    <t xml:space="preserve">            99059 (Recep OC) - 484,34€</t>
  </si>
  <si>
    <t xml:space="preserve">    31199.0080 - Subproyecto - 496,92€</t>
  </si>
  <si>
    <t xml:space="preserve">            99058 (Recep OC) - 496,92€</t>
  </si>
  <si>
    <t xml:space="preserve">    31199.0080 - Subproyecto - 684,15€</t>
  </si>
  <si>
    <t xml:space="preserve">            99056 (Recep OC) - 684,15€</t>
  </si>
  <si>
    <t xml:space="preserve">    31199.0080 - Subproyecto - 32,70€</t>
  </si>
  <si>
    <t xml:space="preserve">            101344 (Estándar) - 32,70€</t>
  </si>
  <si>
    <t xml:space="preserve">    31199.0080 - Subproyecto - 7,02€</t>
  </si>
  <si>
    <t xml:space="preserve">            123207 (Estándar) - 7,02€</t>
  </si>
  <si>
    <t xml:space="preserve">    31199.0080 - Subproyecto - 4,90€</t>
  </si>
  <si>
    <t xml:space="preserve">            100980 (Estándar) - 4,90€</t>
  </si>
  <si>
    <t xml:space="preserve">    31199.0080 - Subproyecto - 3,00€</t>
  </si>
  <si>
    <t xml:space="preserve">            101331 (Estándar) - 3,00€</t>
  </si>
  <si>
    <t xml:space="preserve">    31199.0080 - Subproyecto - 966,42€</t>
  </si>
  <si>
    <t xml:space="preserve">            143948 (Recep OC) - 966,42€</t>
  </si>
  <si>
    <t xml:space="preserve">    31199.0080 - Subproyecto - 25,92€</t>
  </si>
  <si>
    <t xml:space="preserve">            117347 (Recep OC) - 25,92€</t>
  </si>
  <si>
    <t xml:space="preserve">    31199.0080 - Subproyecto - 28,50€</t>
  </si>
  <si>
    <t xml:space="preserve">            104009 (Recep OC) - 28,50€</t>
  </si>
  <si>
    <t xml:space="preserve">    31199.0080 - Subproyecto - -22,80€</t>
  </si>
  <si>
    <t xml:space="preserve">            104009 (Recep OC) - -22,80€</t>
  </si>
  <si>
    <t xml:space="preserve">    31199.0080 - Subproyecto - 22,80€</t>
  </si>
  <si>
    <t xml:space="preserve">            104009 (Recep OC) - 22,80€</t>
  </si>
  <si>
    <t xml:space="preserve">    31199.0080 - Subproyecto - 6,03€</t>
  </si>
  <si>
    <t xml:space="preserve">            104014 (Estándar) - 6,03€</t>
  </si>
  <si>
    <t xml:space="preserve">    31199.0080 - Subproyecto - 12,46€</t>
  </si>
  <si>
    <t xml:space="preserve">            103959 (Estándar) - 12,46€</t>
  </si>
  <si>
    <t xml:space="preserve">    31199.0080 - Subproyecto - 637,72€</t>
  </si>
  <si>
    <t xml:space="preserve">            99055 (Recep OC) - 637,72€</t>
  </si>
  <si>
    <t xml:space="preserve">    31199.0080 - Subproyecto - 4,97€</t>
  </si>
  <si>
    <t xml:space="preserve">            100980 (Estándar) - 4,97€</t>
  </si>
  <si>
    <t xml:space="preserve">    31199.0080 - Subproyecto - 3,08€</t>
  </si>
  <si>
    <t xml:space="preserve">            100979 (Estándar) - 3,08€</t>
  </si>
  <si>
    <t xml:space="preserve">    31199.0080 - Subproyecto - 43,39€</t>
  </si>
  <si>
    <t xml:space="preserve">            123067 (Estándar) - 43,39€</t>
  </si>
  <si>
    <t xml:space="preserve">            123067 (Estándar) - 0,00€</t>
  </si>
  <si>
    <t xml:space="preserve">            104010 (Estándar) - 0,00€</t>
  </si>
  <si>
    <t xml:space="preserve">            21020.00.401.810 (Estándar) - 0,00€</t>
  </si>
  <si>
    <t xml:space="preserve">    31199.0080 - Subproyecto - 41,06€</t>
  </si>
  <si>
    <t xml:space="preserve">            139457 (Transfer. Stock) - 41,06€</t>
  </si>
  <si>
    <t xml:space="preserve">    31199.0080 - Subproyecto - 206,50€</t>
  </si>
  <si>
    <t xml:space="preserve">            143066 (Recep OC) - 206,50€</t>
  </si>
  <si>
    <t xml:space="preserve">    31199.0080 - Subproyecto - 99,00€</t>
  </si>
  <si>
    <t xml:space="preserve">            110843 (Recep OC) - 99,00€</t>
  </si>
  <si>
    <t xml:space="preserve">    31199.0080 - Subproyecto - 377,57€</t>
  </si>
  <si>
    <t xml:space="preserve">            99057 (Recep OC) - 377,57€</t>
  </si>
  <si>
    <t xml:space="preserve">    31199.0080 - Subproyecto - 447,35€</t>
  </si>
  <si>
    <t xml:space="preserve">            99053 (Recep OC) - 447,35€</t>
  </si>
  <si>
    <t xml:space="preserve">    31199.0080 - Subproyecto - 45,09€</t>
  </si>
  <si>
    <t xml:space="preserve">            145518 (Recep OC) - 45,09€</t>
  </si>
  <si>
    <t xml:space="preserve">    31199.0080 - Subproyecto - 32,27€</t>
  </si>
  <si>
    <t xml:space="preserve">            104205 (Estándar) - 32,27€</t>
  </si>
  <si>
    <t xml:space="preserve">    31199.0080 - Subproyecto - 16,01€</t>
  </si>
  <si>
    <t xml:space="preserve">            104288 (Estándar) - 16,01€</t>
  </si>
  <si>
    <t xml:space="preserve">    31199.0080 - Subproyecto - 172,80€</t>
  </si>
  <si>
    <t xml:space="preserve">            143837 (Recep OC) - 172,80€</t>
  </si>
  <si>
    <t xml:space="preserve">    31199.0080 - Subproyecto - 64,80€</t>
  </si>
  <si>
    <t xml:space="preserve">            138502 (Estándar) - 64,80€</t>
  </si>
  <si>
    <t xml:space="preserve">    31199.0080 - Subproyecto - 383,89€</t>
  </si>
  <si>
    <t xml:space="preserve">            99052 (Recep OC) - 383,89€</t>
  </si>
  <si>
    <t xml:space="preserve">    31199.0080 - Subproyecto - 109,30€</t>
  </si>
  <si>
    <t xml:space="preserve">            139486 (Recep OC) - 109,30€</t>
  </si>
  <si>
    <t xml:space="preserve">    31199.0080 - Subproyecto - 135,27€</t>
  </si>
  <si>
    <t xml:space="preserve">            145518 (Recep OC) - 135,27€</t>
  </si>
  <si>
    <t xml:space="preserve">    31199.0080 - Subproyecto - 117,90€</t>
  </si>
  <si>
    <t xml:space="preserve">            145513 (Recep OC) - 117,90€</t>
  </si>
  <si>
    <t xml:space="preserve">    31199.0080 - Subproyecto - 113,60€</t>
  </si>
  <si>
    <t xml:space="preserve">            145512 (Recep OC) - 113,60€</t>
  </si>
  <si>
    <t xml:space="preserve">    31199.0080 - Subproyecto - 406,56€</t>
  </si>
  <si>
    <t xml:space="preserve">            140294 (Recep OC) - 406,56€</t>
  </si>
  <si>
    <t xml:space="preserve">    31199.0080 - Subproyecto - 392,00€</t>
  </si>
  <si>
    <t xml:space="preserve">            140293 (Recep OC) - 392,00€</t>
  </si>
  <si>
    <t xml:space="preserve">    31199.0080 - Subproyecto - 273,03€</t>
  </si>
  <si>
    <t xml:space="preserve">            139487 (Recep OC) - 273,03€</t>
  </si>
  <si>
    <t xml:space="preserve">    31199.0080 - Subproyecto - 303,37€</t>
  </si>
  <si>
    <t xml:space="preserve">            139487 (Recep OC) - 303,37€</t>
  </si>
  <si>
    <t xml:space="preserve">    31199.0080 - Subproyecto - -303,37€</t>
  </si>
  <si>
    <t xml:space="preserve">            139487 (Recep OC) - -303,37€</t>
  </si>
  <si>
    <t xml:space="preserve">    31199.0080 - Subproyecto - 163,95€</t>
  </si>
  <si>
    <t xml:space="preserve">            139486 (Recep OC) - 163,95€</t>
  </si>
  <si>
    <t xml:space="preserve">    31199.0080 - Subproyecto - -109,30€</t>
  </si>
  <si>
    <t xml:space="preserve">            139486 (Recep OC) - -109,30€</t>
  </si>
  <si>
    <t xml:space="preserve">    31199.0080 - Subproyecto - 4.200,37€</t>
  </si>
  <si>
    <t xml:space="preserve">            139485 (Recep OC) - 4.200,37€</t>
  </si>
  <si>
    <t xml:space="preserve">    31199.0080 - Subproyecto - 10,11€</t>
  </si>
  <si>
    <t xml:space="preserve">            139484 (Recep OC) - 10,11€</t>
  </si>
  <si>
    <t xml:space="preserve">    31199.0080 - Subproyecto - 50,54€</t>
  </si>
  <si>
    <t xml:space="preserve">            139484 (Recep OC) - 50,54€</t>
  </si>
  <si>
    <t xml:space="preserve">    31199.0080 - Subproyecto - -50,54€</t>
  </si>
  <si>
    <t xml:space="preserve">            139484 (Recep OC) - -50,54€</t>
  </si>
  <si>
    <t xml:space="preserve">    31199.0080 - Subproyecto - 137,00€</t>
  </si>
  <si>
    <t xml:space="preserve">            139127 (Recep OC) - 137,00€</t>
  </si>
  <si>
    <t xml:space="preserve">    31199.0080 - Subproyecto - 147,74€</t>
  </si>
  <si>
    <t xml:space="preserve">            100749 (Estándar) - 147,74€</t>
  </si>
  <si>
    <t xml:space="preserve">    31199.0080 - Subproyecto - 1.453,02€</t>
  </si>
  <si>
    <t xml:space="preserve">            99059 (Recep OC) - 1.453,02€</t>
  </si>
  <si>
    <t xml:space="preserve">    31199.0080 - Subproyecto - 1.275,44€</t>
  </si>
  <si>
    <t xml:space="preserve">            99055 (Recep OC) - 1.275,44€</t>
  </si>
  <si>
    <t xml:space="preserve">    31199.0080 - Subproyecto - 755,14€</t>
  </si>
  <si>
    <t xml:space="preserve">            99057 (Recep OC) - 755,14€</t>
  </si>
  <si>
    <t xml:space="preserve">    31199.0080 - Subproyecto - 2.871,30€</t>
  </si>
  <si>
    <t xml:space="preserve">            99054 (Recep OC) - 2.871,30€</t>
  </si>
  <si>
    <t xml:space="preserve">    31199.0080 - Subproyecto - 767,78€</t>
  </si>
  <si>
    <t xml:space="preserve">            99052 (Recep OC) - 767,78€</t>
  </si>
  <si>
    <t xml:space="preserve">            139454 (Compra) - 0,00€</t>
  </si>
  <si>
    <t xml:space="preserve">    31199.0080 - Subproyecto - 1.368,30€</t>
  </si>
  <si>
    <t xml:space="preserve">            99056 (Recep OC) - 1.368,30€</t>
  </si>
  <si>
    <t xml:space="preserve">    31199.0080 - Subproyecto - 169,40€</t>
  </si>
  <si>
    <t xml:space="preserve">            139486 (Recep OC) - 169,40€</t>
  </si>
  <si>
    <t xml:space="preserve">    31199.0080 - Subproyecto - -273,03€</t>
  </si>
  <si>
    <t xml:space="preserve">            139487 (Recep OC) - -273,03€</t>
  </si>
  <si>
    <t xml:space="preserve">    31199.0080 - Subproyecto - 112,93€</t>
  </si>
  <si>
    <t xml:space="preserve">            139486 (Recep OC) - 112,93€</t>
  </si>
  <si>
    <t xml:space="preserve">    31199.0080 - Subproyecto - -163,95€</t>
  </si>
  <si>
    <t xml:space="preserve">            139486 (Recep OC) - -163,95€</t>
  </si>
  <si>
    <t xml:space="preserve">    31199.0080 - Subproyecto - 31,35€</t>
  </si>
  <si>
    <t xml:space="preserve">            139487 (Recep OC) - 31,35€</t>
  </si>
  <si>
    <t>31199.0090 -  03 - Fabricación</t>
  </si>
  <si>
    <t>Sp-31199.0090</t>
  </si>
  <si>
    <t xml:space="preserve">    31199.0090 - Subproyecto - 0,42€</t>
  </si>
  <si>
    <t xml:space="preserve">        105047 (Estándar) - 0,42€</t>
  </si>
  <si>
    <t xml:space="preserve">    31199.0090 - Subproyecto - 96,00€</t>
  </si>
  <si>
    <t xml:space="preserve">        66040 (Recep OC) - 96,00€</t>
  </si>
  <si>
    <t xml:space="preserve">    31199.0090 - Subproyecto - 450,03€</t>
  </si>
  <si>
    <t xml:space="preserve">        66042 (Recep OC) - 450,03€</t>
  </si>
  <si>
    <t xml:space="preserve">    31199.0090 - Subproyecto - 256,28€</t>
  </si>
  <si>
    <t xml:space="preserve">        66041 (Recep OC) - 256,28€</t>
  </si>
  <si>
    <t xml:space="preserve">    31199.0090 - Subproyecto - 1.219,75€</t>
  </si>
  <si>
    <t xml:space="preserve">        66038 (Recep OC) - 1.219,75€</t>
  </si>
  <si>
    <t xml:space="preserve">    31199.0090 - Subproyecto - 446,75€</t>
  </si>
  <si>
    <t xml:space="preserve">        66033 (Recep OC) - 446,75€</t>
  </si>
  <si>
    <t xml:space="preserve">    31199.0090 - Subproyecto - 1.081,00€</t>
  </si>
  <si>
    <t xml:space="preserve">        66036 (Recep OC) - 1.081,00€</t>
  </si>
  <si>
    <t xml:space="preserve">    31199.0090 - Subproyecto - 228,00€</t>
  </si>
  <si>
    <t xml:space="preserve">        66035 (Recep OC) - 228,00€</t>
  </si>
  <si>
    <t xml:space="preserve">    31199.0090 - Subproyecto - 524,25€</t>
  </si>
  <si>
    <t xml:space="preserve">        66034 (Recep OC) - 524,25€</t>
  </si>
  <si>
    <t xml:space="preserve">    31199.0090 - Subproyecto - 240,00€</t>
  </si>
  <si>
    <t xml:space="preserve">        66027 (Recep OC) - 240,00€</t>
  </si>
  <si>
    <t xml:space="preserve">    31199.0090 - Subproyecto - 200,00€</t>
  </si>
  <si>
    <t xml:space="preserve">        66043 (Recep OC) - 200,00€</t>
  </si>
  <si>
    <t xml:space="preserve">    31199.0090 - Subproyecto - 386,25€</t>
  </si>
  <si>
    <t xml:space="preserve">        66037 (Recep OC) - 386,25€</t>
  </si>
  <si>
    <t xml:space="preserve">    31199.0090 - Subproyecto - 437,50€</t>
  </si>
  <si>
    <t xml:space="preserve">        66045 (Recep OC) - 437,50€</t>
  </si>
  <si>
    <t xml:space="preserve">    31199.0090 - Subproyecto - 198,25€</t>
  </si>
  <si>
    <t xml:space="preserve">        66063 (Recep OC) - 198,25€</t>
  </si>
  <si>
    <t xml:space="preserve">    31199.0090 - Subproyecto - 793,00€</t>
  </si>
  <si>
    <t xml:space="preserve">        66049 (Recep OC) - 793,00€</t>
  </si>
  <si>
    <t xml:space="preserve">    31199.0090 - Subproyecto - 192,00€</t>
  </si>
  <si>
    <t xml:space="preserve">        66050 (Recep OC) - 192,00€</t>
  </si>
  <si>
    <t xml:space="preserve">        66051 (Recep OC) - 192,00€</t>
  </si>
  <si>
    <t xml:space="preserve">    31199.0090 - Subproyecto - 212,50€</t>
  </si>
  <si>
    <t xml:space="preserve">        66052 (Recep OC) - 212,50€</t>
  </si>
  <si>
    <t xml:space="preserve">    31199.0090 - Subproyecto - 125,39€</t>
  </si>
  <si>
    <t xml:space="preserve">        66053 (Recep OC) - 125,39€</t>
  </si>
  <si>
    <t xml:space="preserve">    31199.0090 - Subproyecto - 1.087,50€</t>
  </si>
  <si>
    <t xml:space="preserve">        66054 (Recep OC) - 1.087,50€</t>
  </si>
  <si>
    <t xml:space="preserve">    31199.0090 - Subproyecto - 1.112,50€</t>
  </si>
  <si>
    <t xml:space="preserve">        66058 (Recep OC) - 1.112,50€</t>
  </si>
  <si>
    <t xml:space="preserve">    31199.0090 - Subproyecto - 562,50€</t>
  </si>
  <si>
    <t xml:space="preserve">        66059 (Recep OC) - 562,50€</t>
  </si>
  <si>
    <t xml:space="preserve">    31199.0090 - Subproyecto - 594,75€</t>
  </si>
  <si>
    <t xml:space="preserve">        66060 (Recep OC) - 594,75€</t>
  </si>
  <si>
    <t xml:space="preserve">    31199.0090 - Subproyecto - 354,75€</t>
  </si>
  <si>
    <t xml:space="preserve">        66062 (Recep OC) - 354,75€</t>
  </si>
  <si>
    <t xml:space="preserve">    31199.0090 - Subproyecto - 26,62€</t>
  </si>
  <si>
    <t xml:space="preserve">        103133 (Estándar) - 26,62€</t>
  </si>
  <si>
    <t xml:space="preserve">    31199.0090 - Subproyecto - 10.136,18€</t>
  </si>
  <si>
    <t xml:space="preserve">        634335.0090 (Operación) - 10.136,18€</t>
  </si>
  <si>
    <t xml:space="preserve">    31199.0090 - Subproyecto - 8,00€</t>
  </si>
  <si>
    <t xml:space="preserve">        105974 (Estándar) - 8,00€</t>
  </si>
  <si>
    <t xml:space="preserve">    31199.0090 - Subproyecto - 150,00€</t>
  </si>
  <si>
    <t xml:space="preserve">        66048 (Recep OC) - 150,00€</t>
  </si>
  <si>
    <t xml:space="preserve">    31199.0090 - Subproyecto - 2,70€</t>
  </si>
  <si>
    <t xml:space="preserve">        101378 (Estándar) - 2,70€</t>
  </si>
  <si>
    <t xml:space="preserve">    31199.0090 - Subproyecto - 342,25€</t>
  </si>
  <si>
    <t xml:space="preserve">        66011 (Recep OC) - 342,25€</t>
  </si>
  <si>
    <t xml:space="preserve">    31199.0090 - Subproyecto - 17,10€</t>
  </si>
  <si>
    <t xml:space="preserve">        103148 (Estándar) - 17,10€</t>
  </si>
  <si>
    <t xml:space="preserve">    31199.0090 - Subproyecto - 0,53€</t>
  </si>
  <si>
    <t xml:space="preserve">        134545 (Estándar) - 0,53€</t>
  </si>
  <si>
    <t xml:space="preserve">    31199.0090 - Subproyecto - 4,00€</t>
  </si>
  <si>
    <t xml:space="preserve">        132975 (Estándar) - 4,00€</t>
  </si>
  <si>
    <t xml:space="preserve">    31199.0090 - Subproyecto - 0,00€</t>
  </si>
  <si>
    <t xml:space="preserve">        132638 (Estándar) - 0,00€</t>
  </si>
  <si>
    <t xml:space="preserve">    31199.0090 - Subproyecto - 0,61€</t>
  </si>
  <si>
    <t xml:space="preserve">        104613 (Estándar) - 0,61€</t>
  </si>
  <si>
    <t xml:space="preserve">    31199.0090 - Subproyecto - 0,70€</t>
  </si>
  <si>
    <t xml:space="preserve">        104614 (Estándar) - 0,70€</t>
  </si>
  <si>
    <t xml:space="preserve">    31199.0090 - Subproyecto - 19,06€</t>
  </si>
  <si>
    <t xml:space="preserve">        104673 (Estándar) - 19,06€</t>
  </si>
  <si>
    <t xml:space="preserve">    31199.0090 - Subproyecto - 6,02€</t>
  </si>
  <si>
    <t xml:space="preserve">        126193 (Estándar) - 6,02€</t>
  </si>
  <si>
    <t xml:space="preserve">    31199.0090 - Subproyecto - 1,60€</t>
  </si>
  <si>
    <t xml:space="preserve">        133813 (Estándar) - 1,60€</t>
  </si>
  <si>
    <t xml:space="preserve">        66012 (Recep OC) - 96,00€</t>
  </si>
  <si>
    <t xml:space="preserve">    31199.0090 - Subproyecto - 144,00€</t>
  </si>
  <si>
    <t xml:space="preserve">        66013 (Recep OC) - 144,00€</t>
  </si>
  <si>
    <t xml:space="preserve">        66014 (Recep OC) - 144,00€</t>
  </si>
  <si>
    <t xml:space="preserve">    31199.0090 - Subproyecto - 1,93€</t>
  </si>
  <si>
    <t xml:space="preserve">        104840 (Estándar) - 1,93€</t>
  </si>
  <si>
    <t xml:space="preserve">    31199.0090 - Subproyecto - 216,00€</t>
  </si>
  <si>
    <t xml:space="preserve">        66006 (Recep OC) - 216,00€</t>
  </si>
  <si>
    <t xml:space="preserve">    31199.0090 - Subproyecto - 4,45€</t>
  </si>
  <si>
    <t xml:space="preserve">        128166 (Estándar) - 4,45€</t>
  </si>
  <si>
    <t xml:space="preserve">    31199.0090 - Subproyecto - 1,80€</t>
  </si>
  <si>
    <t xml:space="preserve">        101405 (Estándar) - 1,80€</t>
  </si>
  <si>
    <t xml:space="preserve">    31199.0090 - Subproyecto - 772,00€</t>
  </si>
  <si>
    <t xml:space="preserve">        66024 (Recep OC) - 772,00€</t>
  </si>
  <si>
    <t xml:space="preserve">    31199.0090 - Subproyecto - 611,25€</t>
  </si>
  <si>
    <t xml:space="preserve">        66022 (Recep OC) - 611,25€</t>
  </si>
  <si>
    <t xml:space="preserve">    31199.0090 - Subproyecto - 0,03€</t>
  </si>
  <si>
    <t xml:space="preserve">        105336 (Estándar) - 0,03€</t>
  </si>
  <si>
    <t xml:space="preserve">    31199.0090 - Subproyecto - 0,04€</t>
  </si>
  <si>
    <t xml:space="preserve">        105335 (Estándar) - 0,04€</t>
  </si>
  <si>
    <t xml:space="preserve">    31199.0090 - Subproyecto - 0,39€</t>
  </si>
  <si>
    <t xml:space="preserve">        105335 (Estándar) - 0,39€</t>
  </si>
  <si>
    <t xml:space="preserve">    31199.0090 - Subproyecto - 972,25€</t>
  </si>
  <si>
    <t xml:space="preserve">        66018 (Recep OC) - 972,25€</t>
  </si>
  <si>
    <t xml:space="preserve">    31199.0090 - Subproyecto - 396,50€</t>
  </si>
  <si>
    <t xml:space="preserve">        66017 (Recep OC) - 396,50€</t>
  </si>
  <si>
    <t xml:space="preserve">        66016 (Recep OC) - 144,00€</t>
  </si>
  <si>
    <t xml:space="preserve">        66015 (Recep OC) - 96,00€</t>
  </si>
  <si>
    <t xml:space="preserve">    31199.0090 - Subproyecto - 33,85€</t>
  </si>
  <si>
    <t xml:space="preserve">        103146 (Estándar) - 33,85€</t>
  </si>
  <si>
    <t xml:space="preserve">        66019 (Recep OC) - 96,00€</t>
  </si>
  <si>
    <t>31199.0100 -  03 - Fabricación</t>
  </si>
  <si>
    <t>Sp-31199.0100</t>
  </si>
  <si>
    <t xml:space="preserve">    31199.0100 - Subproyecto - 75,00€</t>
  </si>
  <si>
    <t xml:space="preserve">        66057 (Recep OC) - 75,00€</t>
  </si>
  <si>
    <t xml:space="preserve">    31199.0100 - Subproyecto - 493,20€</t>
  </si>
  <si>
    <t xml:space="preserve">        44023 (Recep OC) - 493,20€</t>
  </si>
  <si>
    <t xml:space="preserve">    31199.0100 - Subproyecto - 190,00€</t>
  </si>
  <si>
    <t xml:space="preserve">        44024 (Recep OC) - 190,00€</t>
  </si>
  <si>
    <t xml:space="preserve">    31199.0100 - Subproyecto - 68,00€</t>
  </si>
  <si>
    <t xml:space="preserve">        44027 (Recep OC) - 68,00€</t>
  </si>
  <si>
    <t xml:space="preserve">        66055 (Recep OC) - 75,00€</t>
  </si>
  <si>
    <t xml:space="preserve">    31199.0100 - Subproyecto - 168,00€</t>
  </si>
  <si>
    <t xml:space="preserve">        66061 (Recep OC) - 168,00€</t>
  </si>
  <si>
    <t xml:space="preserve">    31199.0100 - Subproyecto - 604,48€</t>
  </si>
  <si>
    <t xml:space="preserve">        651835.0100 (Operación) - 604,48€</t>
  </si>
  <si>
    <t xml:space="preserve">    31199.0100 - Subproyecto - 72,00€</t>
  </si>
  <si>
    <t xml:space="preserve">        66065 (Recep OC) - 72,00€</t>
  </si>
  <si>
    <t xml:space="preserve">        66068 (Recep OC) - 72,00€</t>
  </si>
  <si>
    <t xml:space="preserve">    31199.0100 - Subproyecto - 1.510,18€</t>
  </si>
  <si>
    <t xml:space="preserve">        651835.0100 (Operación) - 1.510,18€</t>
  </si>
  <si>
    <t xml:space="preserve">    31199.0100 - Subproyecto - 54,25€</t>
  </si>
  <si>
    <t xml:space="preserve">        66039 (Recep OC) - 54,25€</t>
  </si>
  <si>
    <t xml:space="preserve">    31199.0100 - Subproyecto - 78,55€</t>
  </si>
  <si>
    <t xml:space="preserve">        651835.0100 (Operación) - 78,55€</t>
  </si>
  <si>
    <t xml:space="preserve">        66064 (Recep OC) - 54,25€</t>
  </si>
  <si>
    <t xml:space="preserve">    31199.0100 - Subproyecto - 110,00€</t>
  </si>
  <si>
    <t xml:space="preserve">        44021 (Recep OC) - 110,00€</t>
  </si>
  <si>
    <t xml:space="preserve">    31199.0100 - Subproyecto - 2.495,80€</t>
  </si>
  <si>
    <t xml:space="preserve">        44034 (Recep OC) - 2.495,80€</t>
  </si>
  <si>
    <t xml:space="preserve">    31199.0100 - Subproyecto - 136,00€</t>
  </si>
  <si>
    <t xml:space="preserve">        44017 (Recep OC) - 136,00€</t>
  </si>
  <si>
    <t xml:space="preserve">    31199.0100 - Subproyecto - 1.044,00€</t>
  </si>
  <si>
    <t xml:space="preserve">        110/210-00-0001A (Recep OC) - 1.044,00€</t>
  </si>
  <si>
    <t xml:space="preserve">    31199.0100 - Subproyecto - 108,00€</t>
  </si>
  <si>
    <t xml:space="preserve">        44003 (Recep OC) - 108,00€</t>
  </si>
  <si>
    <t xml:space="preserve">    31199.0100 - Subproyecto - 36,00€</t>
  </si>
  <si>
    <t xml:space="preserve">        44004 (Recep OC) - 36,00€</t>
  </si>
  <si>
    <t xml:space="preserve">    31199.0100 - Subproyecto - 310,00€</t>
  </si>
  <si>
    <t xml:space="preserve">        44005 (Recep OC) - 310,00€</t>
  </si>
  <si>
    <t xml:space="preserve">    31199.0100 - Subproyecto - 280,00€</t>
  </si>
  <si>
    <t xml:space="preserve">        44006 (Recep OC) - 280,00€</t>
  </si>
  <si>
    <t xml:space="preserve">    31199.0100 - Subproyecto - 96,00€</t>
  </si>
  <si>
    <t xml:space="preserve">        66021 (Recep OC) - 96,00€</t>
  </si>
  <si>
    <t xml:space="preserve">    31199.0100 - Subproyecto - 48,00€</t>
  </si>
  <si>
    <t xml:space="preserve">        44008 (Recep OC) - 48,00€</t>
  </si>
  <si>
    <t xml:space="preserve">    31199.0100 - Subproyecto - 40,00€</t>
  </si>
  <si>
    <t xml:space="preserve">        44011 (Recep OC) - 40,00€</t>
  </si>
  <si>
    <t xml:space="preserve">    31199.0100 - Subproyecto - 74,00€</t>
  </si>
  <si>
    <t xml:space="preserve">        44012 (Recep OC) - 74,00€</t>
  </si>
  <si>
    <t xml:space="preserve">    31199.0100 - Subproyecto - 506,00€</t>
  </si>
  <si>
    <t xml:space="preserve">        44013 (Recep OC) - 506,00€</t>
  </si>
  <si>
    <t xml:space="preserve">    31199.0100 - Subproyecto - 259,75€</t>
  </si>
  <si>
    <t xml:space="preserve">        66010 (Recep OC) - 259,75€</t>
  </si>
  <si>
    <t>31199.0110 -  03 - Fabricación</t>
  </si>
  <si>
    <t>Sp-31199.0110</t>
  </si>
  <si>
    <t xml:space="preserve">    31199.0110 - Subproyecto - 302,24€</t>
  </si>
  <si>
    <t xml:space="preserve">        651836.0110 (Operación) - 302,24€</t>
  </si>
  <si>
    <t xml:space="preserve">    31199.0110 - Subproyecto - 137,46€</t>
  </si>
  <si>
    <t xml:space="preserve">        651836.0110 (Operación) - 137,46€</t>
  </si>
  <si>
    <t>31199.0120 -  03 - Fabricación</t>
  </si>
  <si>
    <t>Sp-31199.0120</t>
  </si>
  <si>
    <t>31199.0130 -  03 - Fabricación</t>
  </si>
  <si>
    <t>Sp-31199.0130</t>
  </si>
  <si>
    <t>31200.0010 -  03 - Fabricación</t>
  </si>
  <si>
    <t>Sp-31200.0010</t>
  </si>
  <si>
    <t xml:space="preserve">    31200.0010 - Subproyecto - 166,20€</t>
  </si>
  <si>
    <t xml:space="preserve">        624323.0010 (Operación) - 166,20€</t>
  </si>
  <si>
    <t xml:space="preserve">    31200.0010 - Subproyecto - 10.179,68€</t>
  </si>
  <si>
    <t xml:space="preserve">        624323.0010 (Operación) - 10.179,68€</t>
  </si>
  <si>
    <t xml:space="preserve">    31200.0010 - Subproyecto - 18.321,84€</t>
  </si>
  <si>
    <t xml:space="preserve">        624323.0010 (Operación) - 18.321,84€</t>
  </si>
  <si>
    <t xml:space="preserve">    31200.0010 - Subproyecto - 23.665,50€</t>
  </si>
  <si>
    <t xml:space="preserve">        624323.0010 (Operación) - 23.665,50€</t>
  </si>
  <si>
    <t xml:space="preserve">    31200.0010 - Subproyecto - 94.236,36€</t>
  </si>
  <si>
    <t xml:space="preserve">        624323.0010 (Operación) - 94.236,36€</t>
  </si>
  <si>
    <t xml:space="preserve">    31200.0010 - Subproyecto - 74.664,24€</t>
  </si>
  <si>
    <t xml:space="preserve">        624323.0010 (Operación) - 74.664,24€</t>
  </si>
  <si>
    <t xml:space="preserve">    31200.0010 - Subproyecto - 8.614,05€</t>
  </si>
  <si>
    <t xml:space="preserve">        624323.0010 (Operación) - 8.614,05€</t>
  </si>
  <si>
    <t>31200.0020 -  03 - Fabricación</t>
  </si>
  <si>
    <t>Sp-31200.0020</t>
  </si>
  <si>
    <t xml:space="preserve">    31200.0020 - Subproyecto - 3,30€</t>
  </si>
  <si>
    <t xml:space="preserve">        109117 (Estándar) - 3,30€</t>
  </si>
  <si>
    <t xml:space="preserve">    31200.0020 - Subproyecto - 11.020,56€</t>
  </si>
  <si>
    <t xml:space="preserve">        624324.0020 (Operación) - 11.020,56€</t>
  </si>
  <si>
    <t xml:space="preserve">    31200.0020 - Subproyecto - 17.961,34€</t>
  </si>
  <si>
    <t xml:space="preserve">        624324.0020 (Operación) - 17.961,34€</t>
  </si>
  <si>
    <t xml:space="preserve">    31200.0020 - Subproyecto - 22,06€</t>
  </si>
  <si>
    <t xml:space="preserve">        101306 (Estándar) - 22,06€</t>
  </si>
  <si>
    <t xml:space="preserve">    31200.0020 - Subproyecto - 4,17€</t>
  </si>
  <si>
    <t xml:space="preserve">        101601 (Estándar) - 4,17€</t>
  </si>
  <si>
    <t xml:space="preserve">    31200.0020 - Subproyecto - 17,50€</t>
  </si>
  <si>
    <t xml:space="preserve">        101448 (Estándar) - 17,50€</t>
  </si>
  <si>
    <t xml:space="preserve">    31200.0020 - Subproyecto - 2.550,00€</t>
  </si>
  <si>
    <t xml:space="preserve">        66021 (Recep OC) - 2.550,00€</t>
  </si>
  <si>
    <t xml:space="preserve">    31200.0020 - Subproyecto - 4.200,00€</t>
  </si>
  <si>
    <t xml:space="preserve">        66021 (Recep OC) - 4.200,00€</t>
  </si>
  <si>
    <t xml:space="preserve">    31200.0020 - Subproyecto - 5.100,00€</t>
  </si>
  <si>
    <t xml:space="preserve">        66021 (Recep OC) - 5.100,00€</t>
  </si>
  <si>
    <t xml:space="preserve">    31200.0020 - Subproyecto - 3.150,00€</t>
  </si>
  <si>
    <t xml:space="preserve">        66021 (Recep OC) - 3.150,00€</t>
  </si>
  <si>
    <t>31200.0030 -  03 - Fabricación</t>
  </si>
  <si>
    <t>Sp-31200.0030</t>
  </si>
  <si>
    <t xml:space="preserve">    31200.0030 - Subproyecto - 0,00€</t>
  </si>
  <si>
    <t xml:space="preserve">        66016 (Compra) - 0,00€</t>
  </si>
  <si>
    <t xml:space="preserve">    31200.0030 - Subproyecto - 12.758,48€</t>
  </si>
  <si>
    <t xml:space="preserve">        624325.0030 (Operación) - 12.758,48€</t>
  </si>
  <si>
    <t xml:space="preserve">    31200.0030 - Subproyecto - 47.993,68€</t>
  </si>
  <si>
    <t xml:space="preserve">        624325.0030 (Operación) - 47.993,68€</t>
  </si>
  <si>
    <t>31200.0040 -  03 - Fabricación</t>
  </si>
  <si>
    <t>Sp-31200.0040</t>
  </si>
  <si>
    <t xml:space="preserve">    31200.0040 - Subproyecto - 46.262,93€</t>
  </si>
  <si>
    <t xml:space="preserve">        624326.0040 (Operación) - 46.262,93€</t>
  </si>
  <si>
    <t>31200.0050 -  03 - Fabricación</t>
  </si>
  <si>
    <t>Sp-31200.0050</t>
  </si>
  <si>
    <t xml:space="preserve">    31200.0050 - Subproyecto - 0,00€</t>
  </si>
  <si>
    <t xml:space="preserve">        66017 (Compra) - 0,00€</t>
  </si>
  <si>
    <t xml:space="preserve">    31200.0050 - Subproyecto - 19.352,30€</t>
  </si>
  <si>
    <t xml:space="preserve">        624327.0050 (Operación) - 19.352,30€</t>
  </si>
  <si>
    <t xml:space="preserve">    31200.0050 - Subproyecto - 22.061,36€</t>
  </si>
  <si>
    <t xml:space="preserve">        624327.0050 (Operación) - 22.061,36€</t>
  </si>
  <si>
    <t xml:space="preserve">        624327.0050 (Operación) - 0,00€</t>
  </si>
  <si>
    <t xml:space="preserve">    31200.0050 - Subproyecto - 1.425,00€</t>
  </si>
  <si>
    <t xml:space="preserve">        44072 (Recep OC) - 1.425,00€</t>
  </si>
  <si>
    <t xml:space="preserve">    31200.0050 - Subproyecto - 105,00€</t>
  </si>
  <si>
    <t xml:space="preserve">        44071 (Recep OC) - 105,00€</t>
  </si>
  <si>
    <t xml:space="preserve">    31200.0050 - Subproyecto - 49.475,35€</t>
  </si>
  <si>
    <t xml:space="preserve">        624327.0050 (Operación) - 49.475,35€</t>
  </si>
  <si>
    <t xml:space="preserve">    31200.0050 - Subproyecto - 856,25€</t>
  </si>
  <si>
    <t xml:space="preserve">        44041 (Recep OC) - 856,25€</t>
  </si>
  <si>
    <t xml:space="preserve">    31200.0050 - Subproyecto - 2.700,00€</t>
  </si>
  <si>
    <t xml:space="preserve">        66045 (Rec.Plan. OC) - 2.700,00€</t>
  </si>
  <si>
    <t xml:space="preserve">    31200.0050 - Subproyecto - 6.300,00€</t>
  </si>
  <si>
    <t xml:space="preserve">        66045 (Recep OC) - 6.300,00€</t>
  </si>
  <si>
    <t xml:space="preserve">    31200.0050 - Subproyecto - 9.000,00€</t>
  </si>
  <si>
    <t xml:space="preserve">        66045 (Recep OC) - 9.000,00€</t>
  </si>
  <si>
    <t xml:space="preserve">        66018 (Compra) - 0,00€</t>
  </si>
  <si>
    <t xml:space="preserve">    31200.0050 - Subproyecto - 285,00€</t>
  </si>
  <si>
    <t xml:space="preserve">        44052 (Recep OC) - 285,00€</t>
  </si>
  <si>
    <t>31200.0060 -  03 - Fabricación</t>
  </si>
  <si>
    <t>Sp-31200.0060</t>
  </si>
  <si>
    <t xml:space="preserve">    31200.0060 - Subproyecto - 1.980,00€</t>
  </si>
  <si>
    <t xml:space="preserve">        66026 (Recep OC) - 1.980,00€</t>
  </si>
  <si>
    <t xml:space="preserve">    31200.0060 - Subproyecto - 3.294,00€</t>
  </si>
  <si>
    <t xml:space="preserve">        66027 (Recep OC) - 3.294,00€</t>
  </si>
  <si>
    <t xml:space="preserve">    31200.0060 - Subproyecto - 1.985,44€</t>
  </si>
  <si>
    <t xml:space="preserve">        624328.0060 (Operación) - 1.985,44€</t>
  </si>
  <si>
    <t>31200.0070 -  03 - Fabricación</t>
  </si>
  <si>
    <t>Sp-31200.0070</t>
  </si>
  <si>
    <t xml:space="preserve">    31200.0070 - Subproyecto - 575,74€</t>
  </si>
  <si>
    <t xml:space="preserve">        624329.0070 (Operación) - 575,74€</t>
  </si>
  <si>
    <t xml:space="preserve">    31200.0070 - Subproyecto - 437,16€</t>
  </si>
  <si>
    <t xml:space="preserve">        624329.0070 (Operación) - 437,16€</t>
  </si>
  <si>
    <t xml:space="preserve">    31200.0070 - Subproyecto - 219,72€</t>
  </si>
  <si>
    <t xml:space="preserve">        624329.0070 (Operación) - 219,72€</t>
  </si>
  <si>
    <t xml:space="preserve">    31200.0070 - Subproyecto - 0,00€</t>
  </si>
  <si>
    <t xml:space="preserve">        66019 (Compra) - 0,00€</t>
  </si>
  <si>
    <t xml:space="preserve">        66020 (Compra) - 0,00€</t>
  </si>
  <si>
    <t xml:space="preserve">    31200.0070 - Subproyecto - 10.394,80€</t>
  </si>
  <si>
    <t xml:space="preserve">        66050 (Rec.Plan. OC) - 10.394,80€</t>
  </si>
  <si>
    <t>31200.0080 -  03 - Fabricación</t>
  </si>
  <si>
    <t>Sp-31200.0080</t>
  </si>
  <si>
    <t xml:space="preserve">    31200.0080 - Subproyecto - 3.168,00€</t>
  </si>
  <si>
    <t xml:space="preserve">        55000 (Recep OC) - 3.168,00€</t>
  </si>
  <si>
    <t xml:space="preserve">    31200.0080 - Subproyecto - 1.303,50€</t>
  </si>
  <si>
    <t xml:space="preserve">        55000 (Recep OC) - 1.303,50€</t>
  </si>
  <si>
    <t xml:space="preserve">    31200.0080 - Subproyecto - 25,00€</t>
  </si>
  <si>
    <t xml:space="preserve">        30991.00.419.000 (Estándar) - 25,00€</t>
  </si>
  <si>
    <t xml:space="preserve">    31200.0080 - Subproyecto - 33,60€</t>
  </si>
  <si>
    <t xml:space="preserve">    31200.0080 - Subproyecto - 3,78€</t>
  </si>
  <si>
    <t xml:space="preserve">    31200.0080 - Subproyecto - 0,00€</t>
  </si>
  <si>
    <t xml:space="preserve">        111306 (Estándar) - 0,00€</t>
  </si>
  <si>
    <t xml:space="preserve">        126225 (Compra) - 0,00€</t>
  </si>
  <si>
    <t xml:space="preserve">    31200.0080 - Subproyecto - 22,50€</t>
  </si>
  <si>
    <t xml:space="preserve">    31200.0080 - Subproyecto - 26,90€</t>
  </si>
  <si>
    <t xml:space="preserve">    31200.0080 - Subproyecto - 627,00€</t>
  </si>
  <si>
    <t xml:space="preserve">        55000 (Recep OC) - 627,00€</t>
  </si>
  <si>
    <t xml:space="preserve">    31200.0080 - Subproyecto - 1.732,50€</t>
  </si>
  <si>
    <t xml:space="preserve">        55000 (Recep OC) - 1.732,50€</t>
  </si>
  <si>
    <t xml:space="preserve">    31200.0080 - Subproyecto - 209.051,59€</t>
  </si>
  <si>
    <t xml:space="preserve">        634341.0080 (Operación) - 209.051,59€</t>
  </si>
  <si>
    <t xml:space="preserve">    31200.0080 - Subproyecto - 478,50€</t>
  </si>
  <si>
    <t xml:space="preserve">        55000 (Recep OC) - 478,50€</t>
  </si>
  <si>
    <t xml:space="preserve">    31200.0080 - Subproyecto - 1.402,50€</t>
  </si>
  <si>
    <t xml:space="preserve">        55000 (Recep OC) - 1.402,50€</t>
  </si>
  <si>
    <t xml:space="preserve">    31200.0080 - Subproyecto - 2.475,00€</t>
  </si>
  <si>
    <t xml:space="preserve">        55000 (Recep OC) - 2.475,00€</t>
  </si>
  <si>
    <t xml:space="preserve">    31200.0080 - Subproyecto - 5.164,50€</t>
  </si>
  <si>
    <t xml:space="preserve">        55000 (Recep OC) - 5.164,50€</t>
  </si>
  <si>
    <t>31200.0090 -  03 - Fabricación</t>
  </si>
  <si>
    <t>Sp-31200.0090</t>
  </si>
  <si>
    <t xml:space="preserve">    31200.0090 - Subproyecto - 18.005,06€</t>
  </si>
  <si>
    <t xml:space="preserve">        634342.0090 (Operación) - 18.005,06€</t>
  </si>
  <si>
    <t xml:space="preserve">    31200.0090 - Subproyecto - 3.694,55€</t>
  </si>
  <si>
    <t xml:space="preserve">        66015 (Recep OC) - 3.694,55€</t>
  </si>
  <si>
    <t>31200.0100 -  03 - Fabricación</t>
  </si>
  <si>
    <t>Sp-31200.0100</t>
  </si>
  <si>
    <t xml:space="preserve">    31200.0100 - Subproyecto - 13,00€</t>
  </si>
  <si>
    <t xml:space="preserve">        142078 (Estándar) - 13,00€</t>
  </si>
  <si>
    <t xml:space="preserve">    31200.0100 - Subproyecto - 80,00€</t>
  </si>
  <si>
    <t xml:space="preserve">        21001.00.901.030 (Estándar) - 80,00€</t>
  </si>
  <si>
    <t xml:space="preserve">    31200.0100 - Subproyecto - 60,00€</t>
  </si>
  <si>
    <t xml:space="preserve">        21001.00.901.029 (Estándar) - 60,00€</t>
  </si>
  <si>
    <t xml:space="preserve">    31200.0100 - Subproyecto - 55,00€</t>
  </si>
  <si>
    <t xml:space="preserve">        21001.00.901.028 (Estándar) - 55,00€</t>
  </si>
  <si>
    <t xml:space="preserve">    31200.0100 - Subproyecto - 2,28€</t>
  </si>
  <si>
    <t xml:space="preserve">        126192 (Estándar) - 2,28€</t>
  </si>
  <si>
    <t xml:space="preserve">    31200.0100 - Subproyecto - 2,61€</t>
  </si>
  <si>
    <t xml:space="preserve">        21020.00.201.201 (Estándar) - 2,61€</t>
  </si>
  <si>
    <t xml:space="preserve">    31200.0100 - Subproyecto - 13,60€</t>
  </si>
  <si>
    <t xml:space="preserve">        109064 (Estándar) - 13,60€</t>
  </si>
  <si>
    <t xml:space="preserve">    31200.0100 - Subproyecto - 6,44€</t>
  </si>
  <si>
    <t xml:space="preserve">        118970 (Estándar) - 6,44€</t>
  </si>
  <si>
    <t xml:space="preserve">    31200.0100 - Subproyecto - 9,90€</t>
  </si>
  <si>
    <t xml:space="preserve">        105978 (Estándar) - 9,90€</t>
  </si>
  <si>
    <t xml:space="preserve">    31200.0100 - Subproyecto - 1,44€</t>
  </si>
  <si>
    <t xml:space="preserve">        101376 (Estándar) - 1,44€</t>
  </si>
  <si>
    <t xml:space="preserve">    31200.0100 - Subproyecto - 3,60€</t>
  </si>
  <si>
    <t xml:space="preserve">        104815 (Estándar) - 3,60€</t>
  </si>
  <si>
    <t xml:space="preserve">        21001.00.901.027 (Estándar) - 80,00€</t>
  </si>
  <si>
    <t xml:space="preserve">    31200.0100 - Subproyecto - 12,31€</t>
  </si>
  <si>
    <t xml:space="preserve">        103152 (Estándar) - 12,31€</t>
  </si>
  <si>
    <t xml:space="preserve">    31200.0100 - Subproyecto - 12,23€</t>
  </si>
  <si>
    <t xml:space="preserve">        103147 (Estándar) - 12,23€</t>
  </si>
  <si>
    <t xml:space="preserve">    31200.0100 - Subproyecto - 42,50€</t>
  </si>
  <si>
    <t xml:space="preserve">        66069 (Recep OC) - 42,50€</t>
  </si>
  <si>
    <t xml:space="preserve">    31200.0100 - Subproyecto - 7,20€</t>
  </si>
  <si>
    <t xml:space="preserve">        132975 (Estándar) - 7,20€</t>
  </si>
  <si>
    <t xml:space="preserve">    31200.0100 - Subproyecto - 9,02€</t>
  </si>
  <si>
    <t xml:space="preserve">        66070 (Recep OC) - 9,02€</t>
  </si>
  <si>
    <t xml:space="preserve">    31200.0100 - Subproyecto - 5,53€</t>
  </si>
  <si>
    <t xml:space="preserve">        105101 (Estándar) - 5,53€</t>
  </si>
  <si>
    <t xml:space="preserve">    31200.0100 - Subproyecto - 0,50€</t>
  </si>
  <si>
    <t xml:space="preserve">        105246 (Estándar) - 0,50€</t>
  </si>
  <si>
    <t xml:space="preserve">    31200.0100 - Subproyecto - 0,45€</t>
  </si>
  <si>
    <t xml:space="preserve">        114404 (Estándar) - 0,45€</t>
  </si>
  <si>
    <t xml:space="preserve">    31200.0100 - Subproyecto - 7,90€</t>
  </si>
  <si>
    <t xml:space="preserve">        116375 (Estándar) - 7,90€</t>
  </si>
  <si>
    <t xml:space="preserve">    31200.0100 - Subproyecto - 0,18€</t>
  </si>
  <si>
    <t xml:space="preserve">        105202 (Estándar) - 0,18€</t>
  </si>
  <si>
    <t xml:space="preserve">    31200.0100 - Subproyecto - 4,87€</t>
  </si>
  <si>
    <t xml:space="preserve">        102804 (Estándar) - 4,87€</t>
  </si>
  <si>
    <t xml:space="preserve">    31200.0100 - Subproyecto - 12,00€</t>
  </si>
  <si>
    <t xml:space="preserve">        101608 (Estándar) - 12,00€</t>
  </si>
  <si>
    <t xml:space="preserve">    31200.0100 - Subproyecto - 11,60€</t>
  </si>
  <si>
    <t xml:space="preserve">        105098 (Estándar) - 11,60€</t>
  </si>
  <si>
    <t xml:space="preserve">    31200.0100 - Subproyecto - 19,75€</t>
  </si>
  <si>
    <t xml:space="preserve">        21020.01.403.040 (Estándar) - 19,75€</t>
  </si>
  <si>
    <t xml:space="preserve">    31200.0100 - Subproyecto - 34.933,00€</t>
  </si>
  <si>
    <t xml:space="preserve">        634343.0100 (Operación) - 34.933,00€</t>
  </si>
  <si>
    <t xml:space="preserve">    31200.0100 - Subproyecto - 238,48€</t>
  </si>
  <si>
    <t xml:space="preserve">        634343.0100 (Operación) - 238,48€</t>
  </si>
  <si>
    <t xml:space="preserve">    31200.0100 - Subproyecto - 12,45€</t>
  </si>
  <si>
    <t xml:space="preserve">        105311 (Estándar) - 12,45€</t>
  </si>
  <si>
    <t xml:space="preserve">    31200.0100 - Subproyecto - 3,96€</t>
  </si>
  <si>
    <t xml:space="preserve">        105977 (Estándar) - 3,96€</t>
  </si>
  <si>
    <t xml:space="preserve">    31200.0100 - Subproyecto - 0,39€</t>
  </si>
  <si>
    <t xml:space="preserve">        101458 (Estándar) - 0,39€</t>
  </si>
  <si>
    <t xml:space="preserve">    31200.0100 - Subproyecto - 283,52€</t>
  </si>
  <si>
    <t xml:space="preserve">        66043 (Recep OC) - 283,52€</t>
  </si>
  <si>
    <t xml:space="preserve">    31200.0100 - Subproyecto - 6,50€</t>
  </si>
  <si>
    <t xml:space="preserve">        132970 (Estándar) - 6,50€</t>
  </si>
  <si>
    <t xml:space="preserve">    31200.0100 - Subproyecto - 0,86€</t>
  </si>
  <si>
    <t xml:space="preserve">        101376 (Estándar) - 0,86€</t>
  </si>
  <si>
    <t xml:space="preserve">    31200.0100 - Subproyecto - 2,00€</t>
  </si>
  <si>
    <t xml:space="preserve">        133813 (Estándar) - 2,00€</t>
  </si>
  <si>
    <t xml:space="preserve">    31200.0100 - Subproyecto - 1,35€</t>
  </si>
  <si>
    <t xml:space="preserve">        142076 (Estándar) - 1,35€</t>
  </si>
  <si>
    <t xml:space="preserve">    31200.0100 - Subproyecto - 1,20€</t>
  </si>
  <si>
    <t xml:space="preserve">        132975 (Estándar) - 1,20€</t>
  </si>
  <si>
    <t xml:space="preserve">    31200.0100 - Subproyecto - 1,50€</t>
  </si>
  <si>
    <t xml:space="preserve">        131368 (Estándar) - 1,50€</t>
  </si>
  <si>
    <t xml:space="preserve">        101404 (Estándar) - 12,00€</t>
  </si>
  <si>
    <t xml:space="preserve">        105280 (Estándar) - 80,00€</t>
  </si>
  <si>
    <t xml:space="preserve">    31200.0100 - Subproyecto - 1,75€</t>
  </si>
  <si>
    <t xml:space="preserve">        134545 (Estándar) - 1,75€</t>
  </si>
  <si>
    <t xml:space="preserve">    31200.0100 - Subproyecto - 135,00€</t>
  </si>
  <si>
    <t xml:space="preserve">        105284 (Estándar) - 135,00€</t>
  </si>
  <si>
    <t xml:space="preserve">    31200.0100 - Subproyecto - 1.620,55€</t>
  </si>
  <si>
    <t xml:space="preserve">        66034 (Recep OC) - 1.620,55€</t>
  </si>
  <si>
    <t xml:space="preserve">    31200.0100 - Subproyecto - 637,90€</t>
  </si>
  <si>
    <t xml:space="preserve">        66035 (Recep OC) - 637,90€</t>
  </si>
  <si>
    <t xml:space="preserve">    31200.0100 - Subproyecto - 23,20€</t>
  </si>
  <si>
    <t xml:space="preserve">        66036 (Recep OC) - 23,20€</t>
  </si>
  <si>
    <t xml:space="preserve">    31200.0100 - Subproyecto - 141,60€</t>
  </si>
  <si>
    <t xml:space="preserve">        66041 (Recep OC) - 141,60€</t>
  </si>
  <si>
    <t xml:space="preserve">    31200.0100 - Subproyecto - 0,90€</t>
  </si>
  <si>
    <t xml:space="preserve">        104662 (Estándar) - 0,90€</t>
  </si>
  <si>
    <t xml:space="preserve">    31200.0100 - Subproyecto - 23,30€</t>
  </si>
  <si>
    <t xml:space="preserve">        103133 (Estándar) - 23,30€</t>
  </si>
  <si>
    <t>31200.0110 -  03 - Fabricación</t>
  </si>
  <si>
    <t>Sp-31200.0110</t>
  </si>
  <si>
    <t xml:space="preserve">    31200.0110 - Subproyecto - 0,00€</t>
  </si>
  <si>
    <t xml:space="preserve">        00E04-0-00 (Rec.Plan. OF) - 0,00€</t>
  </si>
  <si>
    <t xml:space="preserve">    31200.0110 - Subproyecto - 67,10€</t>
  </si>
  <si>
    <t xml:space="preserve">        99115 (Recep OC) - 67,10€</t>
  </si>
  <si>
    <t xml:space="preserve">    31200.0110 - Subproyecto - 377,64€</t>
  </si>
  <si>
    <t xml:space="preserve">        142909 (Recep OC) - 377,64€</t>
  </si>
  <si>
    <t xml:space="preserve">        04E02-1-00A (Rec.Plan. OF) - 0,00€</t>
  </si>
  <si>
    <t xml:space="preserve">    31200.0110 - Subproyecto - 0,33€</t>
  </si>
  <si>
    <t xml:space="preserve">        109118 (Estándar) - 0,33€</t>
  </si>
  <si>
    <t xml:space="preserve">        00E06-0-00A (Rec.Plan. OF) - 0,00€</t>
  </si>
  <si>
    <t xml:space="preserve">        00E03-0-00A (Rec.Plan. OF) - 0,00€</t>
  </si>
  <si>
    <t xml:space="preserve">        01E17-1-00A (Rec.Plan. OF) - 0,00€</t>
  </si>
  <si>
    <t xml:space="preserve">    31200.0110 - Subproyecto - 253,50€</t>
  </si>
  <si>
    <t xml:space="preserve">        139929 (Recep OC) - 253,50€</t>
  </si>
  <si>
    <t xml:space="preserve">    31200.0110 - Subproyecto - 507,00€</t>
  </si>
  <si>
    <t xml:space="preserve">        139929 (Recep OC) - 507,00€</t>
  </si>
  <si>
    <t xml:space="preserve">    31200.0110 - Subproyecto - 1.370,00€</t>
  </si>
  <si>
    <t xml:space="preserve">        99166 (Recep OC) - 1.370,00€</t>
  </si>
  <si>
    <t xml:space="preserve">        04E03-1-00 (Rec.Plan. OF) - 0,00€</t>
  </si>
  <si>
    <t xml:space="preserve">        109117 (Estándar) - 0,33€</t>
  </si>
  <si>
    <t xml:space="preserve">        00E09-0-00A (Rec.Plan. OF) - 0,00€</t>
  </si>
  <si>
    <t xml:space="preserve">        01E13-1-00A (Rec.Plan. OF) - 0,00€</t>
  </si>
  <si>
    <t xml:space="preserve">        00E21-1-00A (Rec.Plan. OF) - 0,00€</t>
  </si>
  <si>
    <t xml:space="preserve">        01E22-1-00A (Rec.Plan. OF) - 0,00€</t>
  </si>
  <si>
    <t xml:space="preserve">    31200.0110 - Subproyecto - 8.210,24€</t>
  </si>
  <si>
    <t xml:space="preserve">        634344.0110 (Operación) - 8.210,24€</t>
  </si>
  <si>
    <t xml:space="preserve">        01E27-1-00A (Rec.Plan. OF) - 0,00€</t>
  </si>
  <si>
    <t xml:space="preserve">    31200.0110 - Subproyecto - 29,00€</t>
  </si>
  <si>
    <t xml:space="preserve">        141433 (Estándar) - 29,00€</t>
  </si>
  <si>
    <t xml:space="preserve">    31200.0110 - Subproyecto - 29,50€</t>
  </si>
  <si>
    <t xml:space="preserve">        141319 (Estándar) - 29,50€</t>
  </si>
  <si>
    <t xml:space="preserve">        01E26-1-00A (Rec.Plan. OF) - 0,00€</t>
  </si>
  <si>
    <t xml:space="preserve">    31200.0110 - Subproyecto - 2.649,84€</t>
  </si>
  <si>
    <t xml:space="preserve">        66063 (Recep OC) - 2.649,84€</t>
  </si>
  <si>
    <t xml:space="preserve">        01E25-1-00 (Rec.Plan. OF) - 0,00€</t>
  </si>
  <si>
    <t xml:space="preserve">    31200.0110 - Subproyecto - 180,85€</t>
  </si>
  <si>
    <t xml:space="preserve">        110967 (Recep OC) - 180,85€</t>
  </si>
  <si>
    <t xml:space="preserve">    31200.0110 - Subproyecto - 62,32€</t>
  </si>
  <si>
    <t xml:space="preserve">        120948 (Recep OC) - 62,32€</t>
  </si>
  <si>
    <t xml:space="preserve">    31200.0110 - Subproyecto - 27,29€</t>
  </si>
  <si>
    <t xml:space="preserve">        141835 (Recep OC) - 27,29€</t>
  </si>
  <si>
    <t xml:space="preserve">    31200.0110 - Subproyecto - 133,93€</t>
  </si>
  <si>
    <t xml:space="preserve">        120945 (Recep OC) - 133,93€</t>
  </si>
  <si>
    <t xml:space="preserve">        01E24-1-00A (Rec.Plan. OF) - 0,00€</t>
  </si>
  <si>
    <t xml:space="preserve">        00E20-1-00A (Rec.Plan. OF) - 0,00€</t>
  </si>
  <si>
    <t xml:space="preserve">    31200.0110 - Subproyecto - 345,00€</t>
  </si>
  <si>
    <t xml:space="preserve">        140703 (Recep OC) - 345,00€</t>
  </si>
  <si>
    <t xml:space="preserve">    31200.0110 - Subproyecto - 1.303,70€</t>
  </si>
  <si>
    <t xml:space="preserve">        66029 (Recep OC) - 1.303,70€</t>
  </si>
  <si>
    <t xml:space="preserve">        01E00-0-00A (Rec.Plan. OF) - 0,00€</t>
  </si>
  <si>
    <t xml:space="preserve">        00N15-1-00A (Rec.Plan. OF) - 0,00€</t>
  </si>
  <si>
    <t xml:space="preserve">        01E02-1-00A (Rec.Plan. OF) - 0,00€</t>
  </si>
  <si>
    <t xml:space="preserve">        01E05-1-00A (Rec.Plan. OF) - 0,00€</t>
  </si>
  <si>
    <t xml:space="preserve">    31200.0110 - Subproyecto - 5.704,75€</t>
  </si>
  <si>
    <t xml:space="preserve">        66010 (Recep OC) - 5.704,75€</t>
  </si>
  <si>
    <t xml:space="preserve">        04E01-1-00 (Rec.Plan. OF) - 0,00€</t>
  </si>
  <si>
    <t xml:space="preserve">    31200.0110 - Subproyecto - 43,28€</t>
  </si>
  <si>
    <t xml:space="preserve">        101609 (Estándar) - 43,28€</t>
  </si>
  <si>
    <t xml:space="preserve">    31200.0110 - Subproyecto - 4.138,71€</t>
  </si>
  <si>
    <t xml:space="preserve">        66012 (Recep OC) - 4.138,71€</t>
  </si>
  <si>
    <t xml:space="preserve">        01E06-1-00A (Rec.Plan. OF) - 0,00€</t>
  </si>
  <si>
    <t xml:space="preserve">    31200.0110 - Subproyecto - 8.277,42€</t>
  </si>
  <si>
    <t xml:space="preserve">        66012 (Recep OC) - 8.277,42€</t>
  </si>
  <si>
    <t xml:space="preserve">    31200.0110 - Subproyecto - 2.069,36€</t>
  </si>
  <si>
    <t xml:space="preserve">        66012 (Recep OC) - 2.069,36€</t>
  </si>
  <si>
    <t xml:space="preserve">    31200.0110 - Subproyecto - 2.131,05€</t>
  </si>
  <si>
    <t xml:space="preserve">        66014 (Recep OC) - 2.131,05€</t>
  </si>
  <si>
    <t xml:space="preserve">    31200.0110 - Subproyecto - 4.262,10€</t>
  </si>
  <si>
    <t xml:space="preserve">        66014 (Recep OC) - 4.262,10€</t>
  </si>
  <si>
    <t xml:space="preserve">    31200.0110 - Subproyecto - 1.065,53€</t>
  </si>
  <si>
    <t xml:space="preserve">        66014 (Recep OC) - 1.065,53€</t>
  </si>
  <si>
    <t xml:space="preserve">    31200.0110 - Subproyecto - 194,27€</t>
  </si>
  <si>
    <t xml:space="preserve">            141329 (Recep OC) - 194,27€</t>
  </si>
  <si>
    <t xml:space="preserve">    31200.0110 - Subproyecto - 0,45€</t>
  </si>
  <si>
    <t xml:space="preserve">            105416 (Estándar) - 0,45€</t>
  </si>
  <si>
    <t xml:space="preserve">    31200.0110 - Subproyecto - 0,15€</t>
  </si>
  <si>
    <t xml:space="preserve">            105415 (Estándar) - 0,15€</t>
  </si>
  <si>
    <t xml:space="preserve">    31200.0110 - Subproyecto - 13,36€</t>
  </si>
  <si>
    <t xml:space="preserve">            126030 (Estándar) - 13,36€</t>
  </si>
  <si>
    <t xml:space="preserve">    31200.0110 - Subproyecto - 9,78€</t>
  </si>
  <si>
    <t xml:space="preserve">            103125 (Estándar) - 9,78€</t>
  </si>
  <si>
    <t xml:space="preserve">    31200.0110 - Subproyecto - 0,50€</t>
  </si>
  <si>
    <t xml:space="preserve">            131368 (Estándar) - 0,50€</t>
  </si>
  <si>
    <t xml:space="preserve">            128165 (Estándar) - 0,00€</t>
  </si>
  <si>
    <t xml:space="preserve">    31200.0110 - Subproyecto - 0,75€</t>
  </si>
  <si>
    <t xml:space="preserve">            128165 (Estándar) - 0,75€</t>
  </si>
  <si>
    <t xml:space="preserve">            142076 (Estándar) - 0,45€</t>
  </si>
  <si>
    <t xml:space="preserve">    31200.0110 - Subproyecto - 634,58€</t>
  </si>
  <si>
    <t xml:space="preserve">            141727 (Recep OC) - 634,58€</t>
  </si>
  <si>
    <t xml:space="preserve">    31200.0110 - Subproyecto - 0,40€</t>
  </si>
  <si>
    <t xml:space="preserve">            132975 (Estándar) - 0,40€</t>
  </si>
  <si>
    <t xml:space="preserve">    31200.0110 - Subproyecto - 1,70€</t>
  </si>
  <si>
    <t xml:space="preserve">            104884 (Estándar) - 1,70€</t>
  </si>
  <si>
    <t xml:space="preserve">    31200.0110 - Subproyecto - 1.586,44€</t>
  </si>
  <si>
    <t xml:space="preserve">            141727 (Recep OC) - 1.586,44€</t>
  </si>
  <si>
    <t xml:space="preserve">    31200.0110 - Subproyecto - 77,90€</t>
  </si>
  <si>
    <t xml:space="preserve">            120948 (Estándar) - 77,90€</t>
  </si>
  <si>
    <t xml:space="preserve">    31200.0110 - Subproyecto - 314,58€</t>
  </si>
  <si>
    <t xml:space="preserve">            141728 (Transfer. Stock) - 314,58€</t>
  </si>
  <si>
    <t xml:space="preserve">    31200.0110 - Subproyecto - 6.292,00€</t>
  </si>
  <si>
    <t xml:space="preserve">            99014 (Recep OC) - 6.292,00€</t>
  </si>
  <si>
    <t xml:space="preserve">    31200.0110 - Subproyecto - 90,81€</t>
  </si>
  <si>
    <t xml:space="preserve">            141728 (Recep OC) - 90,81€</t>
  </si>
  <si>
    <t xml:space="preserve">    31200.0110 - Subproyecto - 28,60€</t>
  </si>
  <si>
    <t xml:space="preserve">            141728 (Transfer. Stock) - 28,60€</t>
  </si>
  <si>
    <t xml:space="preserve">    31200.0110 - Subproyecto - 3,84€</t>
  </si>
  <si>
    <t xml:space="preserve">            21020.00.401.430 (Estándar) - 3,84€</t>
  </si>
  <si>
    <t xml:space="preserve">            21020.00.401.430 (Estándar) - 0,00€</t>
  </si>
  <si>
    <t xml:space="preserve">            132972 (Estándar) - 0,00€</t>
  </si>
  <si>
    <t xml:space="preserve">    31200.0110 - Subproyecto - 23,58€</t>
  </si>
  <si>
    <t xml:space="preserve">            111610 (Recep OC) - 23,58€</t>
  </si>
  <si>
    <t xml:space="preserve">    31200.0110 - Subproyecto - 18,29€</t>
  </si>
  <si>
    <t xml:space="preserve">            122379 (Recep OC) - 18,29€</t>
  </si>
  <si>
    <t xml:space="preserve">    31200.0110 - Subproyecto - 1,36€</t>
  </si>
  <si>
    <t xml:space="preserve">            122390 (Recep OC) - 1,36€</t>
  </si>
  <si>
    <t xml:space="preserve">    31200.0110 - Subproyecto - 6,06€</t>
  </si>
  <si>
    <t xml:space="preserve">            122394 (Recep OC) - 6,06€</t>
  </si>
  <si>
    <t xml:space="preserve">    31200.0110 - Subproyecto - 26,23€</t>
  </si>
  <si>
    <t xml:space="preserve">            128808 (Recep OC) - 26,23€</t>
  </si>
  <si>
    <t xml:space="preserve">    31200.0110 - Subproyecto - 53,10€</t>
  </si>
  <si>
    <t xml:space="preserve">            104229 (Estándar) - 53,10€</t>
  </si>
  <si>
    <t xml:space="preserve">    31200.0110 - Subproyecto - 25,80€</t>
  </si>
  <si>
    <t xml:space="preserve">            116471 (Estándar) - 25,80€</t>
  </si>
  <si>
    <t xml:space="preserve">            21020.00.402.020 (Estándar) - 0,00€</t>
  </si>
  <si>
    <t xml:space="preserve">    31200.0110 - Subproyecto - 21,19€</t>
  </si>
  <si>
    <t xml:space="preserve">            21020.00.401.420 (Estándar) - 21,19€</t>
  </si>
  <si>
    <t xml:space="preserve">    31200.0110 - Subproyecto - 1,60€</t>
  </si>
  <si>
    <t xml:space="preserve">            21020.00.401.430 (Estándar) - 1,60€</t>
  </si>
  <si>
    <t xml:space="preserve">    31200.0110 - Subproyecto - 6,86€</t>
  </si>
  <si>
    <t xml:space="preserve">            21020.00.401.810 (Estándar) - 6,86€</t>
  </si>
  <si>
    <t xml:space="preserve">    31200.0110 - Subproyecto - 0,35€</t>
  </si>
  <si>
    <t xml:space="preserve">            105422 (Estándar) - 0,35€</t>
  </si>
  <si>
    <t xml:space="preserve">            117360 (Estándar) - 0,00€</t>
  </si>
  <si>
    <t xml:space="preserve">    31200.0110 - Subproyecto - 4,70€</t>
  </si>
  <si>
    <t xml:space="preserve">            117356 (Estándar) - 4,70€</t>
  </si>
  <si>
    <t xml:space="preserve">    31200.0110 - Subproyecto - 5,19€</t>
  </si>
  <si>
    <t xml:space="preserve">            104149 (Estándar) - 5,19€</t>
  </si>
  <si>
    <t xml:space="preserve">    31200.0110 - Subproyecto - 4,95€</t>
  </si>
  <si>
    <t xml:space="preserve">            104283 (Estándar) - 4,95€</t>
  </si>
  <si>
    <t xml:space="preserve">    31200.0110 - Subproyecto - 2,88€</t>
  </si>
  <si>
    <t xml:space="preserve">            123185 (Estándar) - 2,88€</t>
  </si>
  <si>
    <t xml:space="preserve">    31200.0110 - Subproyecto - 10,38€</t>
  </si>
  <si>
    <t xml:space="preserve">            104149 (Estándar) - 10,38€</t>
  </si>
  <si>
    <t xml:space="preserve">    31200.0110 - Subproyecto - 51,60€</t>
  </si>
  <si>
    <t xml:space="preserve">            116471 (Estándar) - 51,60€</t>
  </si>
  <si>
    <t xml:space="preserve">    31200.0110 - Subproyecto - 11,85€</t>
  </si>
  <si>
    <t xml:space="preserve">            21020.01.403.040 (Estándar) - 11,85€</t>
  </si>
  <si>
    <t xml:space="preserve">    31200.0110 - Subproyecto - 13,65€</t>
  </si>
  <si>
    <t xml:space="preserve">            138466 (Estándar) - 13,65€</t>
  </si>
  <si>
    <t xml:space="preserve">    31200.0110 - Subproyecto - 8,93€</t>
  </si>
  <si>
    <t xml:space="preserve">            138467 (Estándar) - 8,93€</t>
  </si>
  <si>
    <t xml:space="preserve">    31200.0110 - Subproyecto - 7,90€</t>
  </si>
  <si>
    <t xml:space="preserve">            21020.01.403.040 (Estándar) - 7,90€</t>
  </si>
  <si>
    <t xml:space="preserve">            125212 (Estándar) - 0,00€</t>
  </si>
  <si>
    <t xml:space="preserve">    31200.0110 - Subproyecto - 6,13€</t>
  </si>
  <si>
    <t xml:space="preserve">            100749 (Estándar) - 6,13€</t>
  </si>
  <si>
    <t xml:space="preserve">    31200.0110 - Subproyecto - 15,24€</t>
  </si>
  <si>
    <t xml:space="preserve">            104226 (Estándar) - 15,24€</t>
  </si>
  <si>
    <t xml:space="preserve">    31200.0110 - Subproyecto - 3,49€</t>
  </si>
  <si>
    <t xml:space="preserve">            117349 (Estándar) - 3,49€</t>
  </si>
  <si>
    <t xml:space="preserve">    31200.0110 - Subproyecto - 1,75€</t>
  </si>
  <si>
    <t xml:space="preserve">            104188 (Estándar) - 1,75€</t>
  </si>
  <si>
    <t xml:space="preserve">    31200.0110 - Subproyecto - 35,07€</t>
  </si>
  <si>
    <t xml:space="preserve">            139609 (Transfer. Stock) - 35,07€</t>
  </si>
  <si>
    <t xml:space="preserve">            116472 (Estándar) - 28,60€</t>
  </si>
  <si>
    <t xml:space="preserve">    31200.0110 - Subproyecto - 31,86€</t>
  </si>
  <si>
    <t xml:space="preserve">            102806 (Estándar) - 31,86€</t>
  </si>
  <si>
    <t xml:space="preserve">    31200.0110 - Subproyecto - 44,08€</t>
  </si>
  <si>
    <t xml:space="preserve">            141045 (Estándar) - 44,08€</t>
  </si>
  <si>
    <t xml:space="preserve">    31200.0110 - Subproyecto - 7,12€</t>
  </si>
  <si>
    <t xml:space="preserve">            104292 (Estándar) - 7,12€</t>
  </si>
  <si>
    <t xml:space="preserve">    31200.0110 - Subproyecto - 1,80€</t>
  </si>
  <si>
    <t xml:space="preserve">            141049 (Estándar) - 1,80€</t>
  </si>
  <si>
    <t xml:space="preserve">    31200.0110 - Subproyecto - 33,00€</t>
  </si>
  <si>
    <t xml:space="preserve">            116240 (Estándar) - 33,00€</t>
  </si>
  <si>
    <t xml:space="preserve">    31200.0110 - Subproyecto - 33,36€</t>
  </si>
  <si>
    <t xml:space="preserve">            140276 (Recep OC) - 33,36€</t>
  </si>
  <si>
    <t xml:space="preserve">    31200.0110 - Subproyecto - 32,41€</t>
  </si>
  <si>
    <t xml:space="preserve">            142314 (Transfer. Stock) - 32,41€</t>
  </si>
  <si>
    <t xml:space="preserve">    31200.0110 - Subproyecto - 65,25€</t>
  </si>
  <si>
    <t xml:space="preserve">            140752 (Recep OC) - 65,25€</t>
  </si>
  <si>
    <t xml:space="preserve">    31200.0110 - Subproyecto - 1.573,00€</t>
  </si>
  <si>
    <t xml:space="preserve">            145013 (Recep OC) - 1.573,00€</t>
  </si>
  <si>
    <t xml:space="preserve">    31200.0110 - Subproyecto - 110,42€</t>
  </si>
  <si>
    <t xml:space="preserve">            142149 (Recep OC) - 110,42€</t>
  </si>
  <si>
    <t xml:space="preserve">    31200.0110 - Subproyecto - 27,59€</t>
  </si>
  <si>
    <t xml:space="preserve">            142150 (Recep OC) - 27,59€</t>
  </si>
  <si>
    <t xml:space="preserve">    31200.0110 - Subproyecto - 38,34€</t>
  </si>
  <si>
    <t xml:space="preserve">            145337 (Recep OC) - 38,34€</t>
  </si>
  <si>
    <t xml:space="preserve">    31200.0110 - Subproyecto - 63,90€</t>
  </si>
  <si>
    <t xml:space="preserve">            145338 (Recep OC) - 63,90€</t>
  </si>
  <si>
    <t xml:space="preserve">    31200.0110 - Subproyecto - 19,89€</t>
  </si>
  <si>
    <t xml:space="preserve">            99149 (Recep OC) - 19,89€</t>
  </si>
  <si>
    <t xml:space="preserve">    31200.0110 - Subproyecto - 23,34€</t>
  </si>
  <si>
    <t xml:space="preserve">            119770 (Recep OC) - 23,34€</t>
  </si>
  <si>
    <t xml:space="preserve">    31200.0110 - Subproyecto - 13,55€</t>
  </si>
  <si>
    <t xml:space="preserve">            122390 (Recep OC) - 13,55€</t>
  </si>
  <si>
    <t xml:space="preserve">    31200.0110 - Subproyecto - 18,93€</t>
  </si>
  <si>
    <t xml:space="preserve">            140216 (Recep OC) - 18,93€</t>
  </si>
  <si>
    <t xml:space="preserve">    31200.0110 - Subproyecto - 49,14€</t>
  </si>
  <si>
    <t xml:space="preserve">            144814 (Recep OC) - 49,14€</t>
  </si>
  <si>
    <t xml:space="preserve">    31200.0110 - Subproyecto - 12,58€</t>
  </si>
  <si>
    <t xml:space="preserve">            99039 (Recep OC) - 12,58€</t>
  </si>
  <si>
    <t xml:space="preserve">    31200.0110 - Subproyecto - 14,22€</t>
  </si>
  <si>
    <t xml:space="preserve">            99167 (Recep OC) - 14,22€</t>
  </si>
  <si>
    <t xml:space="preserve">    31200.0110 - Subproyecto - 182,27€</t>
  </si>
  <si>
    <t xml:space="preserve">            145974 (Recep OC) - 182,27€</t>
  </si>
  <si>
    <t xml:space="preserve">    31200.0110 - Subproyecto - 100,80€</t>
  </si>
  <si>
    <t xml:space="preserve">            120613 (Recep OC) - 100,80€</t>
  </si>
  <si>
    <t xml:space="preserve">    31200.0110 - Subproyecto - 122,82€</t>
  </si>
  <si>
    <t xml:space="preserve">            140194 (Recep OC) - 122,82€</t>
  </si>
  <si>
    <t xml:space="preserve">    31200.0110 - Subproyecto - 28,45€</t>
  </si>
  <si>
    <t xml:space="preserve">            99167 (Recep OC) - 28,45€</t>
  </si>
  <si>
    <t xml:space="preserve">    31200.0110 - Subproyecto - 475,94€</t>
  </si>
  <si>
    <t xml:space="preserve">            141727 (Recep OC) - 475,94€</t>
  </si>
  <si>
    <t xml:space="preserve">    31200.0110 - Subproyecto - 3.222,45€</t>
  </si>
  <si>
    <t xml:space="preserve">            145060 (Recep OC) - 3.222,45€</t>
  </si>
  <si>
    <t xml:space="preserve">    31200.0110 - Subproyecto - 264,15€</t>
  </si>
  <si>
    <t xml:space="preserve">            99202 (Recep OC) - 264,15€</t>
  </si>
  <si>
    <t xml:space="preserve">    31200.0110 - Subproyecto - 25,53€</t>
  </si>
  <si>
    <t xml:space="preserve">            112381 (Recep OC) - 25,53€</t>
  </si>
  <si>
    <t xml:space="preserve">    31200.0110 - Subproyecto - 8,39€</t>
  </si>
  <si>
    <t xml:space="preserve">            106918 (Recep OC) - 8,39€</t>
  </si>
  <si>
    <t xml:space="preserve">    31200.0110 - Subproyecto - 78,54€</t>
  </si>
  <si>
    <t xml:space="preserve">            141286 (Recep OC) - 78,54€</t>
  </si>
  <si>
    <t xml:space="preserve">    31200.0110 - Subproyecto - 38,16€</t>
  </si>
  <si>
    <t xml:space="preserve">            136290 (Recep OC) - 38,16€</t>
  </si>
  <si>
    <t xml:space="preserve">    31200.0110 - Subproyecto - 16,35€</t>
  </si>
  <si>
    <t xml:space="preserve">            136289 (Recep OC) - 16,35€</t>
  </si>
  <si>
    <t xml:space="preserve">    31200.0110 - Subproyecto - 212,66€</t>
  </si>
  <si>
    <t xml:space="preserve">            144387 (Recep OC) - 212,66€</t>
  </si>
  <si>
    <t xml:space="preserve">            21020.00.401.440 (Estándar) - 6,86€</t>
  </si>
  <si>
    <t xml:space="preserve">    31200.0110 - Subproyecto - 47,07€</t>
  </si>
  <si>
    <t xml:space="preserve">            144238 (Recep OC) - 47,07€</t>
  </si>
  <si>
    <t xml:space="preserve">    31200.0110 - Subproyecto - 43,20€</t>
  </si>
  <si>
    <t xml:space="preserve">            120612 (Recep OC) - 43,20€</t>
  </si>
  <si>
    <t xml:space="preserve">    31200.0110 - Subproyecto - 304,08€</t>
  </si>
  <si>
    <t xml:space="preserve">            111037 (Recep OC) - 304,08€</t>
  </si>
  <si>
    <t xml:space="preserve">    31200.0110 - Subproyecto - 17,01€</t>
  </si>
  <si>
    <t xml:space="preserve">            140753 (Recep OC) - 17,01€</t>
  </si>
  <si>
    <t xml:space="preserve">    31200.0110 - Subproyecto - 1,83€</t>
  </si>
  <si>
    <t xml:space="preserve">            141614 (Transfer. Stock) - 1,83€</t>
  </si>
  <si>
    <t xml:space="preserve">    31200.0110 - Subproyecto - 4,34€</t>
  </si>
  <si>
    <t xml:space="preserve">            141620 (Recep OC) - 4,34€</t>
  </si>
  <si>
    <t xml:space="preserve">    31200.0110 - Subproyecto - 35,13€</t>
  </si>
  <si>
    <t xml:space="preserve">            141685 (Recep OC) - 35,13€</t>
  </si>
  <si>
    <t xml:space="preserve">    31200.0110 - Subproyecto - 55,71€</t>
  </si>
  <si>
    <t xml:space="preserve">            141722 (Recep OC) - 55,71€</t>
  </si>
  <si>
    <t xml:space="preserve">    31200.0110 - Subproyecto - 93,15€</t>
  </si>
  <si>
    <t xml:space="preserve">            141984 (Recep OC) - 93,15€</t>
  </si>
  <si>
    <t xml:space="preserve">    31200.0110 - Subproyecto - 25,02€</t>
  </si>
  <si>
    <t xml:space="preserve">            142247 (Recep OC) - 25,02€</t>
  </si>
  <si>
    <t xml:space="preserve">    31200.0110 - Subproyecto - 13,59€</t>
  </si>
  <si>
    <t xml:space="preserve">            142333 (Transfer. Stock) - 13,59€</t>
  </si>
  <si>
    <t xml:space="preserve">    31200.0110 - Subproyecto - 37,78€</t>
  </si>
  <si>
    <t xml:space="preserve">            142510 (Recep OC) - 37,78€</t>
  </si>
  <si>
    <t xml:space="preserve">    31200.0110 - Subproyecto - 4,20€</t>
  </si>
  <si>
    <t xml:space="preserve">            142592 (Recep OC) - 4,20€</t>
  </si>
  <si>
    <t xml:space="preserve">    31200.0110 - Subproyecto - 289,99€</t>
  </si>
  <si>
    <t xml:space="preserve">            143030 (Transfer. Stock) - 289,99€</t>
  </si>
  <si>
    <t xml:space="preserve">    31200.0110 - Subproyecto - 7,84€</t>
  </si>
  <si>
    <t xml:space="preserve">            144327 (Recep OC) - 7,84€</t>
  </si>
  <si>
    <t xml:space="preserve">    31200.0110 - Subproyecto - 72,90€</t>
  </si>
  <si>
    <t xml:space="preserve">            144383 (Recep OC) - 72,90€</t>
  </si>
  <si>
    <t xml:space="preserve">    31200.0110 - Subproyecto - 364,50€</t>
  </si>
  <si>
    <t xml:space="preserve">            144566 (Recep OC) - 364,50€</t>
  </si>
  <si>
    <t xml:space="preserve">            144567 (Recep OC) - 19,89€</t>
  </si>
  <si>
    <t xml:space="preserve">    31200.0110 - Subproyecto - 173,70€</t>
  </si>
  <si>
    <t xml:space="preserve">            144953 (Recep OC) - 173,70€</t>
  </si>
  <si>
    <t xml:space="preserve">    31200.0110 - Subproyecto - 4.833,68€</t>
  </si>
  <si>
    <t xml:space="preserve">            145060 (Recep OC) - 4.833,68€</t>
  </si>
  <si>
    <t xml:space="preserve">    31200.0110 - Subproyecto - 10.690,35€</t>
  </si>
  <si>
    <t xml:space="preserve">            145294 (Recep OC) - 10.690,35€</t>
  </si>
  <si>
    <t xml:space="preserve">    31200.0110 - Subproyecto - 4,51€</t>
  </si>
  <si>
    <t xml:space="preserve">            145339 (Recep OC) - 4,51€</t>
  </si>
  <si>
    <t xml:space="preserve">    31200.0110 - Subproyecto - 18,37€</t>
  </si>
  <si>
    <t xml:space="preserve">            138808 (Recep OC) - 18,37€</t>
  </si>
  <si>
    <t xml:space="preserve">            99037 (Recep OC) - 0,00€</t>
  </si>
  <si>
    <t xml:space="preserve">    31200.0110 - Subproyecto - 15,08€</t>
  </si>
  <si>
    <t xml:space="preserve">            99038 (Recep OC) - 15,08€</t>
  </si>
  <si>
    <t xml:space="preserve">    31200.0110 - Subproyecto - 93,28€</t>
  </si>
  <si>
    <t xml:space="preserve">            102087 (Recep OC) - 93,28€</t>
  </si>
  <si>
    <t xml:space="preserve">    31200.0110 - Subproyecto - 100,45€</t>
  </si>
  <si>
    <t xml:space="preserve">            102087 (Recep OC) - 100,45€</t>
  </si>
  <si>
    <t xml:space="preserve">    31200.0110 - Subproyecto - 21,53€</t>
  </si>
  <si>
    <t xml:space="preserve">            102087 (Recep OC) - 21,53€</t>
  </si>
  <si>
    <t xml:space="preserve">    31200.0110 - Subproyecto - 189,46€</t>
  </si>
  <si>
    <t xml:space="preserve">            110851 (Recep OC) - 189,46€</t>
  </si>
  <si>
    <t xml:space="preserve">    31200.0110 - Subproyecto - 121,07€</t>
  </si>
  <si>
    <t xml:space="preserve">            110866 (Recep OC) - 121,07€</t>
  </si>
  <si>
    <t xml:space="preserve">    31200.0110 - Subproyecto - 158,32€</t>
  </si>
  <si>
    <t xml:space="preserve">            110866 (Recep OC) - 158,32€</t>
  </si>
  <si>
    <t xml:space="preserve">    31200.0110 - Subproyecto - 19,12€</t>
  </si>
  <si>
    <t xml:space="preserve">            140472 (Recep OC) - 19,12€</t>
  </si>
  <si>
    <t xml:space="preserve">    31200.0110 - Subproyecto - 27,30€</t>
  </si>
  <si>
    <t xml:space="preserve">            138466 (Estándar) - 27,30€</t>
  </si>
  <si>
    <t xml:space="preserve">    31200.0110 - Subproyecto - 3.292,20€</t>
  </si>
  <si>
    <t xml:space="preserve">            99036 (Recep OC) - 3.292,20€</t>
  </si>
  <si>
    <t xml:space="preserve">    31200.0110 - Subproyecto - 66,12€</t>
  </si>
  <si>
    <t xml:space="preserve">            141045 (Estándar) - 66,12€</t>
  </si>
  <si>
    <t xml:space="preserve">    31200.0110 - Subproyecto - 144,00€</t>
  </si>
  <si>
    <t xml:space="preserve">            120613 (Recep OC) - 144,00€</t>
  </si>
  <si>
    <t xml:space="preserve">    31200.0110 - Subproyecto - 158,40€</t>
  </si>
  <si>
    <t xml:space="preserve">            123070 (Recep OC) - 158,40€</t>
  </si>
  <si>
    <t xml:space="preserve">    31200.0110 - Subproyecto - 776,88€</t>
  </si>
  <si>
    <t xml:space="preserve">            123497 (Recep OC) - 776,88€</t>
  </si>
  <si>
    <t xml:space="preserve">    31200.0110 - Subproyecto - 172,08€</t>
  </si>
  <si>
    <t xml:space="preserve">            123931 (Recep OC) - 172,08€</t>
  </si>
  <si>
    <t xml:space="preserve">    31200.0110 - Subproyecto - 51,38€</t>
  </si>
  <si>
    <t xml:space="preserve">            124155 (Recep OC) - 51,38€</t>
  </si>
  <si>
    <t xml:space="preserve">    31200.0110 - Subproyecto - 30,98€</t>
  </si>
  <si>
    <t xml:space="preserve">            124268 (Recep OC) - 30,98€</t>
  </si>
  <si>
    <t xml:space="preserve">    31200.0110 - Subproyecto - 28,16€</t>
  </si>
  <si>
    <t xml:space="preserve">            124268 (Recep OC) - 28,16€</t>
  </si>
  <si>
    <t xml:space="preserve">    31200.0110 - Subproyecto - 25,35€</t>
  </si>
  <si>
    <t xml:space="preserve">            124268 (Recep OC) - 25,35€</t>
  </si>
  <si>
    <t xml:space="preserve">    31200.0110 - Subproyecto - 14,59€</t>
  </si>
  <si>
    <t xml:space="preserve">            129094 (Recep OC) - 14,59€</t>
  </si>
  <si>
    <t xml:space="preserve">    31200.0110 - Subproyecto - 27,04€</t>
  </si>
  <si>
    <t xml:space="preserve">            129452 (Recep OC) - 27,04€</t>
  </si>
  <si>
    <t xml:space="preserve">    31200.0110 - Subproyecto - 457,80€</t>
  </si>
  <si>
    <t xml:space="preserve">            132456 (Recep OC) - 457,80€</t>
  </si>
  <si>
    <t xml:space="preserve">    31200.0110 - Subproyecto - 57,23€</t>
  </si>
  <si>
    <t xml:space="preserve">            132456 (Transfer. Stock) - 57,23€</t>
  </si>
  <si>
    <t xml:space="preserve">    31200.0110 - Subproyecto - 205,68€</t>
  </si>
  <si>
    <t xml:space="preserve">            132459 (Recep OC) - 205,68€</t>
  </si>
  <si>
    <t xml:space="preserve">    31200.0110 - Subproyecto - 457,12€</t>
  </si>
  <si>
    <t xml:space="preserve">            132521 (Recep OC) - 457,12€</t>
  </si>
  <si>
    <t xml:space="preserve">    31200.0110 - Subproyecto - 436,13€</t>
  </si>
  <si>
    <t xml:space="preserve">            136289 (Recep OC) - 436,13€</t>
  </si>
  <si>
    <t xml:space="preserve">    31200.0110 - Subproyecto - 218,06€</t>
  </si>
  <si>
    <t xml:space="preserve">            136290 (Recep OC) - 218,06€</t>
  </si>
  <si>
    <t xml:space="preserve">    31200.0110 - Subproyecto - 65,20€</t>
  </si>
  <si>
    <t xml:space="preserve">            137459 (Recep OC) - 65,20€</t>
  </si>
  <si>
    <t xml:space="preserve">    31200.0110 - Subproyecto - 42,24€</t>
  </si>
  <si>
    <t xml:space="preserve">            137500 (Recep OC) - 42,24€</t>
  </si>
  <si>
    <t xml:space="preserve">    31200.0110 - Subproyecto - 399,66€</t>
  </si>
  <si>
    <t xml:space="preserve">            137574 (Recep OC) - 399,66€</t>
  </si>
  <si>
    <t xml:space="preserve">    31200.0110 - Subproyecto - 101,40€</t>
  </si>
  <si>
    <t xml:space="preserve">            138598 (Recep OC) - 101,40€</t>
  </si>
  <si>
    <t xml:space="preserve">    31200.0110 - Subproyecto - 146,40€</t>
  </si>
  <si>
    <t xml:space="preserve">            138599 (Recep OC) - 146,40€</t>
  </si>
  <si>
    <t xml:space="preserve">    31200.0110 - Subproyecto - 38,05€</t>
  </si>
  <si>
    <t xml:space="preserve">            138978 (Recep OC) - 38,05€</t>
  </si>
  <si>
    <t xml:space="preserve">    31200.0110 - Subproyecto - 378,22€</t>
  </si>
  <si>
    <t xml:space="preserve">            138979 (Recep OC) - 378,22€</t>
  </si>
  <si>
    <t xml:space="preserve">    31200.0110 - Subproyecto - 70,02€</t>
  </si>
  <si>
    <t xml:space="preserve">            140216 (Recep OC) - 70,02€</t>
  </si>
  <si>
    <t xml:space="preserve">    31200.0110 - Subproyecto - 186,72€</t>
  </si>
  <si>
    <t xml:space="preserve">            119770 (Recep OC) - 186,72€</t>
  </si>
  <si>
    <t xml:space="preserve">    31200.0110 - Subproyecto - 115,56€</t>
  </si>
  <si>
    <t xml:space="preserve">            113394 (Recep OC) - 115,56€</t>
  </si>
  <si>
    <t xml:space="preserve">    31200.0110 - Subproyecto - 302,54€</t>
  </si>
  <si>
    <t xml:space="preserve">            112944 (Recep OC) - 302,54€</t>
  </si>
  <si>
    <t xml:space="preserve">    31200.0110 - Subproyecto - 4,50€</t>
  </si>
  <si>
    <t xml:space="preserve">            141049 (Estándar) - 4,50€</t>
  </si>
  <si>
    <t xml:space="preserve">            101263 (Estándar) - 0,00€</t>
  </si>
  <si>
    <t xml:space="preserve">    31200.0110 - Subproyecto - 1.563,25€</t>
  </si>
  <si>
    <t xml:space="preserve">            127249 (Recep OC) - 1.563,25€</t>
  </si>
  <si>
    <t xml:space="preserve">    31200.0110 - Subproyecto - 392,48€</t>
  </si>
  <si>
    <t xml:space="preserve">            142355 (Recep OC) - 392,48€</t>
  </si>
  <si>
    <t xml:space="preserve">    31200.0110 - Subproyecto - 196,24€</t>
  </si>
  <si>
    <t xml:space="preserve">            142355 (Recep OC) - 196,24€</t>
  </si>
  <si>
    <t xml:space="preserve">    31200.0110 - Subproyecto - 3.574,08€</t>
  </si>
  <si>
    <t xml:space="preserve">            142356 (Recep OC) - 3.574,08€</t>
  </si>
  <si>
    <t xml:space="preserve">    31200.0110 - Subproyecto - 198,99€</t>
  </si>
  <si>
    <t xml:space="preserve">            142908 (Recep OC) - 198,99€</t>
  </si>
  <si>
    <t xml:space="preserve">    31200.0110 - Subproyecto - 3.870,81€</t>
  </si>
  <si>
    <t xml:space="preserve">            142909 (Recep OC) - 3.870,81€</t>
  </si>
  <si>
    <t xml:space="preserve">    31200.0110 - Subproyecto - 7.849,92€</t>
  </si>
  <si>
    <t xml:space="preserve">            142910 (Recep OC) - 7.849,92€</t>
  </si>
  <si>
    <t xml:space="preserve">    31200.0110 - Subproyecto - 865,80€</t>
  </si>
  <si>
    <t xml:space="preserve">            142911 (Recep OC) - 865,80€</t>
  </si>
  <si>
    <t xml:space="preserve">    31200.0110 - Subproyecto - 4.012,44€</t>
  </si>
  <si>
    <t xml:space="preserve">            142913 (Recep OC) - 4.012,44€</t>
  </si>
  <si>
    <t xml:space="preserve">    31200.0110 - Subproyecto - 95,40€</t>
  </si>
  <si>
    <t xml:space="preserve">            142915 (Recep OC) - 95,40€</t>
  </si>
  <si>
    <t xml:space="preserve">    31200.0110 - Subproyecto - 398,97€</t>
  </si>
  <si>
    <t xml:space="preserve">            140367 (Recep OC) - 398,97€</t>
  </si>
  <si>
    <t xml:space="preserve">    31200.0110 - Subproyecto - 611,55€</t>
  </si>
  <si>
    <t xml:space="preserve">            143037 (Recep OC) - 611,55€</t>
  </si>
  <si>
    <t xml:space="preserve">    31200.0110 - Subproyecto - 16,40€</t>
  </si>
  <si>
    <t xml:space="preserve">            101263 (Estándar) - 16,40€</t>
  </si>
  <si>
    <t xml:space="preserve">    31200.0110 - Subproyecto - 218,11€</t>
  </si>
  <si>
    <t xml:space="preserve">            106004 (Recep OC) - 218,11€</t>
  </si>
  <si>
    <t xml:space="preserve">    31200.0110 - Subproyecto - 33,57€</t>
  </si>
  <si>
    <t xml:space="preserve">            106918 (Recep OC) - 33,57€</t>
  </si>
  <si>
    <t xml:space="preserve">    31200.0110 - Subproyecto - 151,92€</t>
  </si>
  <si>
    <t xml:space="preserve">            110055 (Recep OC) - 151,92€</t>
  </si>
  <si>
    <t xml:space="preserve">    31200.0110 - Subproyecto - 249,00€</t>
  </si>
  <si>
    <t xml:space="preserve">            110851 (Recep OC) - 249,00€</t>
  </si>
  <si>
    <t xml:space="preserve">    31200.0110 - Subproyecto - 301,22€</t>
  </si>
  <si>
    <t xml:space="preserve">            110860 (Recep OC) - 301,22€</t>
  </si>
  <si>
    <t xml:space="preserve">    31200.0110 - Subproyecto - 399,65€</t>
  </si>
  <si>
    <t xml:space="preserve">            111037 (Recep OC) - 399,65€</t>
  </si>
  <si>
    <t xml:space="preserve">    31200.0110 - Subproyecto - 153,16€</t>
  </si>
  <si>
    <t xml:space="preserve">            112381 (Recep OC) - 153,16€</t>
  </si>
  <si>
    <t xml:space="preserve">    31200.0110 - Subproyecto - 161,36€</t>
  </si>
  <si>
    <t xml:space="preserve">            112810 (Recep OC) - 161,36€</t>
  </si>
  <si>
    <t xml:space="preserve">    31200.0110 - Subproyecto - 676,00€</t>
  </si>
  <si>
    <t xml:space="preserve">            142355 (Estándar) - 676,00€</t>
  </si>
  <si>
    <t xml:space="preserve">    31200.0110 - Subproyecto - 152,93€</t>
  </si>
  <si>
    <t xml:space="preserve">            140472 (Recep OC) - 152,93€</t>
  </si>
  <si>
    <t xml:space="preserve">    31200.0110 - Subproyecto - 36,14€</t>
  </si>
  <si>
    <t xml:space="preserve">            122390 (Recep OC) - 36,14€</t>
  </si>
  <si>
    <t xml:space="preserve">    31200.0110 - Subproyecto - 246,80€</t>
  </si>
  <si>
    <t xml:space="preserve">            140492 (Recep OC) - 246,80€</t>
  </si>
  <si>
    <t xml:space="preserve">    31200.0110 - Subproyecto - 0,81€</t>
  </si>
  <si>
    <t xml:space="preserve">            104824 (Estándar) - 0,81€</t>
  </si>
  <si>
    <t xml:space="preserve">    31200.0110 - Subproyecto - 0,95€</t>
  </si>
  <si>
    <t xml:space="preserve">            101442 (Estándar) - 0,95€</t>
  </si>
  <si>
    <t xml:space="preserve">    31200.0110 - Subproyecto - 0,90€</t>
  </si>
  <si>
    <t xml:space="preserve">            116021 (Estándar) - 0,90€</t>
  </si>
  <si>
    <t xml:space="preserve">    31200.0110 - Subproyecto - 4,60€</t>
  </si>
  <si>
    <t xml:space="preserve">            118970 (Estándar) - 4,60€</t>
  </si>
  <si>
    <t xml:space="preserve">            131638 (Estándar) - 0,00€</t>
  </si>
  <si>
    <t xml:space="preserve">    31200.0110 - Subproyecto - 0,74€</t>
  </si>
  <si>
    <t xml:space="preserve">            105411 (Estándar) - 0,74€</t>
  </si>
  <si>
    <t xml:space="preserve">    31200.0110 - Subproyecto - 3,10€</t>
  </si>
  <si>
    <t xml:space="preserve">            105301 (Estándar) - 3,10€</t>
  </si>
  <si>
    <t xml:space="preserve">    31200.0110 - Subproyecto - 3,08€</t>
  </si>
  <si>
    <t xml:space="preserve">            105302 (Estándar) - 3,08€</t>
  </si>
  <si>
    <t xml:space="preserve">    31200.0110 - Subproyecto - 0,91€</t>
  </si>
  <si>
    <t xml:space="preserve">            128872 (Estándar) - 0,91€</t>
  </si>
  <si>
    <t xml:space="preserve">    31200.0110 - Subproyecto - 2,51€</t>
  </si>
  <si>
    <t xml:space="preserve">            128874 (Estándar) - 2,51€</t>
  </si>
  <si>
    <t xml:space="preserve">            104841 (Estándar) - 4,50€</t>
  </si>
  <si>
    <t xml:space="preserve">    31200.0110 - Subproyecto - 3,95€</t>
  </si>
  <si>
    <t xml:space="preserve">            104842 (Estándar) - 3,95€</t>
  </si>
  <si>
    <t xml:space="preserve">    31200.0110 - Subproyecto - 0,99€</t>
  </si>
  <si>
    <t xml:space="preserve">            101455 (Estándar) - 0,99€</t>
  </si>
  <si>
    <t xml:space="preserve">    31200.0110 - Subproyecto - 5,50€</t>
  </si>
  <si>
    <t xml:space="preserve">            128871 (Estándar) - 5,50€</t>
  </si>
  <si>
    <t xml:space="preserve">    31200.0110 - Subproyecto - 0,43€</t>
  </si>
  <si>
    <t xml:space="preserve">            101405 (Estándar) - 0,43€</t>
  </si>
  <si>
    <t xml:space="preserve">    31200.0110 - Subproyecto - 3,90€</t>
  </si>
  <si>
    <t xml:space="preserve">            104150 (Estándar) - 3,90€</t>
  </si>
  <si>
    <t xml:space="preserve">    31200.0110 - Subproyecto - 7,20€</t>
  </si>
  <si>
    <t xml:space="preserve">            104148 (Estándar) - 7,20€</t>
  </si>
  <si>
    <t xml:space="preserve">    31200.0110 - Subproyecto - 21,88€</t>
  </si>
  <si>
    <t xml:space="preserve">            30991.00.419.000 (Estándar) - 21,88€</t>
  </si>
  <si>
    <t xml:space="preserve">    31200.0110 - Subproyecto - 14,58€</t>
  </si>
  <si>
    <t xml:space="preserve">            21020.00.300.411 (Estándar) - 14,58€</t>
  </si>
  <si>
    <t xml:space="preserve">    31200.0110 - Subproyecto - 15,60€</t>
  </si>
  <si>
    <t xml:space="preserve">            21020.00.300.410 (Estándar) - 15,60€</t>
  </si>
  <si>
    <t xml:space="preserve">    31200.0110 - Subproyecto - 0,41€</t>
  </si>
  <si>
    <t xml:space="preserve">            105337 (Estándar) - 0,41€</t>
  </si>
  <si>
    <t xml:space="preserve">    31200.0110 - Subproyecto - 23,20€</t>
  </si>
  <si>
    <t xml:space="preserve">            94500.10.671.002 (Estándar) - 23,20€</t>
  </si>
  <si>
    <t xml:space="preserve">    31200.0110 - Subproyecto - 0,27€</t>
  </si>
  <si>
    <t xml:space="preserve">            105200 (Estándar) - 0,27€</t>
  </si>
  <si>
    <t xml:space="preserve">    31200.0110 - Subproyecto - 161,92€</t>
  </si>
  <si>
    <t xml:space="preserve">            140491 (Recep OC) - 161,92€</t>
  </si>
  <si>
    <t xml:space="preserve">            101452 (Estándar) - 3,08€</t>
  </si>
  <si>
    <t xml:space="preserve">    31200.0110 - Subproyecto - 2,00€</t>
  </si>
  <si>
    <t xml:space="preserve">            132975 (Estándar) - 2,00€</t>
  </si>
  <si>
    <t xml:space="preserve">    31200.0110 - Subproyecto - 11,54€</t>
  </si>
  <si>
    <t xml:space="preserve">            101404 (Estándar) - 11,54€</t>
  </si>
  <si>
    <t xml:space="preserve">    31200.0110 - Subproyecto - 0,79€</t>
  </si>
  <si>
    <t xml:space="preserve">            101450 (Estándar) - 0,79€</t>
  </si>
  <si>
    <t xml:space="preserve">            132962 (Estándar) - 1,80€</t>
  </si>
  <si>
    <t xml:space="preserve">    31200.0110 - Subproyecto - 0,78€</t>
  </si>
  <si>
    <t xml:space="preserve">            126192 (Estándar) - 0,78€</t>
  </si>
  <si>
    <t xml:space="preserve">    31200.0110 - Subproyecto - 522,00€</t>
  </si>
  <si>
    <t xml:space="preserve">            140752 (Recep OC) - 522,00€</t>
  </si>
  <si>
    <t xml:space="preserve">    31200.0110 - Subproyecto - 136,08€</t>
  </si>
  <si>
    <t xml:space="preserve">            140753 (Recep OC) - 136,08€</t>
  </si>
  <si>
    <t xml:space="preserve">    31200.0110 - Subproyecto - 132,43€</t>
  </si>
  <si>
    <t xml:space="preserve">            141070 (Recep OC) - 132,43€</t>
  </si>
  <si>
    <t xml:space="preserve">    31200.0110 - Subproyecto - 157,08€</t>
  </si>
  <si>
    <t xml:space="preserve">            141286 (Recep OC) - 157,08€</t>
  </si>
  <si>
    <t xml:space="preserve">    31200.0110 - Subproyecto - 141,60€</t>
  </si>
  <si>
    <t xml:space="preserve">            141673 (Recep OC) - 141,60€</t>
  </si>
  <si>
    <t xml:space="preserve">    31200.0110 - Subproyecto - 26,37€</t>
  </si>
  <si>
    <t xml:space="preserve">            141983 (Recep OC) - 26,37€</t>
  </si>
  <si>
    <t xml:space="preserve">    31200.0110 - Subproyecto - 21,10€</t>
  </si>
  <si>
    <t xml:space="preserve">            141983 (Transfer. Stock) - 21,10€</t>
  </si>
  <si>
    <t xml:space="preserve">    31200.0110 - Subproyecto - 372,60€</t>
  </si>
  <si>
    <t xml:space="preserve">            141984 (Recep OC) - 372,60€</t>
  </si>
  <si>
    <t xml:space="preserve">    31200.0110 - Subproyecto - 279,45€</t>
  </si>
  <si>
    <t xml:space="preserve">            141984 (Transfer. Stock) - 279,45€</t>
  </si>
  <si>
    <t xml:space="preserve">    31200.0110 - Subproyecto - 100,08€</t>
  </si>
  <si>
    <t xml:space="preserve">            142247 (Recep OC) - 100,08€</t>
  </si>
  <si>
    <t xml:space="preserve">            140703 (Recep OC) - 345,00€</t>
  </si>
  <si>
    <t xml:space="preserve">    31200.0110 - Subproyecto - 260,64€</t>
  </si>
  <si>
    <t xml:space="preserve">            143766 (Recep OC) - 260,64€</t>
  </si>
  <si>
    <t xml:space="preserve">    31200.0110 - Subproyecto - 709,20€</t>
  </si>
  <si>
    <t xml:space="preserve">            143787 (Recep OC) - 709,20€</t>
  </si>
  <si>
    <t xml:space="preserve">    31200.0110 - Subproyecto - 2.494,80€</t>
  </si>
  <si>
    <t xml:space="preserve">            143788 (Recep OC) - 2.494,80€</t>
  </si>
  <si>
    <t xml:space="preserve">    31200.0110 - Subproyecto - 644,40€</t>
  </si>
  <si>
    <t xml:space="preserve">            144384 (Recep OC) - 644,40€</t>
  </si>
  <si>
    <t xml:space="preserve">    31200.0110 - Subproyecto - 171,36€</t>
  </si>
  <si>
    <t xml:space="preserve">            144529 (Recep OC) - 171,36€</t>
  </si>
  <si>
    <t xml:space="preserve">    31200.0110 - Subproyecto - 236,48€</t>
  </si>
  <si>
    <t xml:space="preserve">            99001 (Recep OC) - 236,48€</t>
  </si>
  <si>
    <t xml:space="preserve">    31200.0110 - Subproyecto - 79,76€</t>
  </si>
  <si>
    <t xml:space="preserve">            99046 (Recep OC) - 79,76€</t>
  </si>
  <si>
    <t xml:space="preserve">    31200.0110 - Subproyecto - 2,10€</t>
  </si>
  <si>
    <t xml:space="preserve">            101377 (Estándar) - 2,10€</t>
  </si>
  <si>
    <t xml:space="preserve">    31200.0110 - Subproyecto - 9,90€</t>
  </si>
  <si>
    <t xml:space="preserve">            105978 (Estándar) - 9,90€</t>
  </si>
  <si>
    <t xml:space="preserve">    31200.0110 - Subproyecto - 75,06€</t>
  </si>
  <si>
    <t xml:space="preserve">            142247 (Transfer. Stock) - 75,06€</t>
  </si>
  <si>
    <t xml:space="preserve">    31200.0110 - Subproyecto - 15,96€</t>
  </si>
  <si>
    <t xml:space="preserve">            103147 (Estándar) - 15,96€</t>
  </si>
  <si>
    <t>31200.0120 -  03 - Fabricación</t>
  </si>
  <si>
    <t>Sp-31200.0120</t>
  </si>
  <si>
    <t xml:space="preserve">    31200.0120 - Subproyecto - 400,00€</t>
  </si>
  <si>
    <t xml:space="preserve">        44049 (Recep OC) - 400,00€</t>
  </si>
  <si>
    <t xml:space="preserve">    31200.0120 - Subproyecto - 894,00€</t>
  </si>
  <si>
    <t xml:space="preserve">        C00M20-0-02 (Recep OC) - 894,00€</t>
  </si>
  <si>
    <t xml:space="preserve">    31200.0120 - Subproyecto - 13.780,00€</t>
  </si>
  <si>
    <t xml:space="preserve">        C00M20-0-01 (Recep OC) - 13.780,00€</t>
  </si>
  <si>
    <t xml:space="preserve">    31200.0120 - Subproyecto - 160,00€</t>
  </si>
  <si>
    <t xml:space="preserve">        44046 (Recep OC) - 160,00€</t>
  </si>
  <si>
    <t xml:space="preserve">    31200.0120 - Subproyecto - 792,00€</t>
  </si>
  <si>
    <t xml:space="preserve">        44045 (Recep OC) - 792,00€</t>
  </si>
  <si>
    <t xml:space="preserve">    31200.0120 - Subproyecto - 1.140,00€</t>
  </si>
  <si>
    <t xml:space="preserve">        00M25-1-00-001 (Recep OC) - 1.140,00€</t>
  </si>
  <si>
    <t xml:space="preserve">    31200.0120 - Subproyecto - 1.330,00€</t>
  </si>
  <si>
    <t xml:space="preserve">        44044 (Recep OC) - 1.330,00€</t>
  </si>
  <si>
    <t xml:space="preserve">    31200.0120 - Subproyecto - 104,00€</t>
  </si>
  <si>
    <t xml:space="preserve">        44043 (Recep OC) - 104,00€</t>
  </si>
  <si>
    <t xml:space="preserve">    31200.0120 - Subproyecto - 0,00€</t>
  </si>
  <si>
    <t xml:space="preserve">        840-01-000-1 (Rec.Plan. OF) - 0,00€</t>
  </si>
  <si>
    <t xml:space="preserve">    31200.0120 - Subproyecto - 3.903,00€</t>
  </si>
  <si>
    <t xml:space="preserve">        66061 (Recep OC) - 3.903,00€</t>
  </si>
  <si>
    <t xml:space="preserve">        00M06-0-00 (Rec.Plan. OF) - 0,00€</t>
  </si>
  <si>
    <t xml:space="preserve">    31200.0120 - Subproyecto - 196,35€</t>
  </si>
  <si>
    <t xml:space="preserve">        146440 (Recep OC) - 196,35€</t>
  </si>
  <si>
    <t xml:space="preserve">    31200.0120 - Subproyecto - 85,00€</t>
  </si>
  <si>
    <t xml:space="preserve">        44038 (Recep OC) - 85,00€</t>
  </si>
  <si>
    <t xml:space="preserve">    31200.0120 - Subproyecto - 997,00€</t>
  </si>
  <si>
    <t xml:space="preserve">        44037 (Recep OC) - 997,00€</t>
  </si>
  <si>
    <t xml:space="preserve">        00M23-0-01 (Rec.Plan. OF) - 0,00€</t>
  </si>
  <si>
    <t xml:space="preserve">    31200.0120 - Subproyecto - 88,00€</t>
  </si>
  <si>
    <t xml:space="preserve">        44028 (Recep OC) - 88,00€</t>
  </si>
  <si>
    <t xml:space="preserve">        605-00-000-1 (Rec.Plan. OF) - 0,00€</t>
  </si>
  <si>
    <t xml:space="preserve">        316-00-000-1 (Rec.Plan. OF) - 0,00€</t>
  </si>
  <si>
    <t xml:space="preserve">        216-00-000-1 (Rec.Plan. OF) - 0,00€</t>
  </si>
  <si>
    <t xml:space="preserve">    31200.0120 - Subproyecto - 340,00€</t>
  </si>
  <si>
    <t xml:space="preserve">        44024 (Recep OC) - 340,00€</t>
  </si>
  <si>
    <t xml:space="preserve">    31200.0120 - Subproyecto - 740,00€</t>
  </si>
  <si>
    <t xml:space="preserve">        44023 (Recep OC) - 740,00€</t>
  </si>
  <si>
    <t xml:space="preserve">    31200.0120 - Subproyecto - 742,00€</t>
  </si>
  <si>
    <t xml:space="preserve">        00M25-3-00-001 (Recep OC) - 742,00€</t>
  </si>
  <si>
    <t xml:space="preserve">    31200.0120 - Subproyecto - 342,00€</t>
  </si>
  <si>
    <t xml:space="preserve">        44015 (Recep OC) - 342,00€</t>
  </si>
  <si>
    <t xml:space="preserve">        00M02-0-01 (Rec.Plan. OF) - 0,00€</t>
  </si>
  <si>
    <t xml:space="preserve">    31200.0120 - Subproyecto - 924,00€</t>
  </si>
  <si>
    <t xml:space="preserve">        00M25-3-00-002 (Recep OC) - 924,00€</t>
  </si>
  <si>
    <t xml:space="preserve">    31200.0120 - Subproyecto - 3,70€</t>
  </si>
  <si>
    <t xml:space="preserve">        99209 (Recep OC) - 3,70€</t>
  </si>
  <si>
    <t xml:space="preserve">    31200.0120 - Subproyecto - 5.901,33€</t>
  </si>
  <si>
    <t xml:space="preserve">        99207 (Rec.Plan. OC) - 5.901,33€</t>
  </si>
  <si>
    <t xml:space="preserve">    31200.0120 - Subproyecto - 364,00€</t>
  </si>
  <si>
    <t xml:space="preserve">        44014 (Recep OC) - 364,00€</t>
  </si>
  <si>
    <t xml:space="preserve">    31200.0120 - Subproyecto - 324,00€</t>
  </si>
  <si>
    <t xml:space="preserve">        00M06-0-05A (Rec.Plan. OC) - 324,00€</t>
  </si>
  <si>
    <t xml:space="preserve">    31200.0120 - Subproyecto - 2.120,00€</t>
  </si>
  <si>
    <t xml:space="preserve">        C00M38-0-01 (Rec.Plan. OC) - 2.120,00€</t>
  </si>
  <si>
    <t xml:space="preserve">    31200.0120 - Subproyecto - 380,00€</t>
  </si>
  <si>
    <t xml:space="preserve">        00M12-0-00-013 (Rec.Plan. OC) - 380,00€</t>
  </si>
  <si>
    <t xml:space="preserve">    31200.0120 - Subproyecto - 235,00€</t>
  </si>
  <si>
    <t xml:space="preserve">        00M37-0-01-001 (Rec.Plan. OC) - 235,00€</t>
  </si>
  <si>
    <t xml:space="preserve">    31200.0120 - Subproyecto - 96,00€</t>
  </si>
  <si>
    <t xml:space="preserve">        00M36-0-01-001 (Recep OC) - 96,00€</t>
  </si>
  <si>
    <t xml:space="preserve">    31200.0120 - Subproyecto - 2.930,00€</t>
  </si>
  <si>
    <t xml:space="preserve">        66080 (Rec.Plan. OC) - 2.930,00€</t>
  </si>
  <si>
    <t xml:space="preserve">    31200.0120 - Subproyecto - 553,00€</t>
  </si>
  <si>
    <t xml:space="preserve">        44073 (Recep OC) - 553,00€</t>
  </si>
  <si>
    <t xml:space="preserve">    31200.0120 - Subproyecto - 1.220,00€</t>
  </si>
  <si>
    <t xml:space="preserve">        C00M29-0-01 (Recep OC) - 1.220,00€</t>
  </si>
  <si>
    <t xml:space="preserve">    31200.0120 - Subproyecto - 1.334,00€</t>
  </si>
  <si>
    <t xml:space="preserve">        C00M35-0-01 (Recep OC) - 1.334,00€</t>
  </si>
  <si>
    <t xml:space="preserve">    31200.0120 - Subproyecto - 764,00€</t>
  </si>
  <si>
    <t xml:space="preserve">        00M15-0-00-001 (Recep OC) - 764,00€</t>
  </si>
  <si>
    <t xml:space="preserve">    31200.0120 - Subproyecto - 2.529,14€</t>
  </si>
  <si>
    <t xml:space="preserve">        99207 (Recep OC) - 2.529,14€</t>
  </si>
  <si>
    <t xml:space="preserve">    31200.0120 - Subproyecto - 26,75€</t>
  </si>
  <si>
    <t xml:space="preserve">        99054 (Recep OC) - 26,75€</t>
  </si>
  <si>
    <t xml:space="preserve">    31200.0120 - Subproyecto - 350,00€</t>
  </si>
  <si>
    <t xml:space="preserve">        00M33-0-01-001 (Recep OC) - 350,00€</t>
  </si>
  <si>
    <t xml:space="preserve">    31200.0120 - Subproyecto - 246,00€</t>
  </si>
  <si>
    <t xml:space="preserve">        44064 (Recep OC) - 246,00€</t>
  </si>
  <si>
    <t xml:space="preserve">    31200.0120 - Subproyecto - 95,00€</t>
  </si>
  <si>
    <t xml:space="preserve">        44063 (Recep OC) - 95,00€</t>
  </si>
  <si>
    <t xml:space="preserve">    31200.0120 - Subproyecto - 4.060,00€</t>
  </si>
  <si>
    <t xml:space="preserve">        44060 (Recep OC) - 4.060,00€</t>
  </si>
  <si>
    <t xml:space="preserve">    31200.0120 - Subproyecto - 478,00€</t>
  </si>
  <si>
    <t xml:space="preserve">        44059 (Recep OC) - 478,00€</t>
  </si>
  <si>
    <t xml:space="preserve">    31200.0120 - Subproyecto - 448,00€</t>
  </si>
  <si>
    <t xml:space="preserve">        00M30-0-01-001_1 (Recep OC) - 448,00€</t>
  </si>
  <si>
    <t xml:space="preserve">    31200.0120 - Subproyecto - 672,00€</t>
  </si>
  <si>
    <t xml:space="preserve">        00M22-0-00-023 (Recep OC) - 672,00€</t>
  </si>
  <si>
    <t xml:space="preserve">    31200.0120 - Subproyecto - 652,00€</t>
  </si>
  <si>
    <t xml:space="preserve">        00M20-0-01-023 (Recep OC) - 652,00€</t>
  </si>
  <si>
    <t xml:space="preserve">    31200.0120 - Subproyecto - 192,00€</t>
  </si>
  <si>
    <t xml:space="preserve">        00M24-0-00-002 (Recep OC) - 192,00€</t>
  </si>
  <si>
    <t xml:space="preserve">    31200.0120 - Subproyecto - 700,00€</t>
  </si>
  <si>
    <t xml:space="preserve">        00M24-0-00-001 (Recep OC) - 700,00€</t>
  </si>
  <si>
    <t xml:space="preserve">    31200.0120 - Subproyecto - 1.476,00€</t>
  </si>
  <si>
    <t xml:space="preserve">        44056 (Recep OC) - 1.476,00€</t>
  </si>
  <si>
    <t xml:space="preserve">    31200.0120 - Subproyecto - 153,00€</t>
  </si>
  <si>
    <t xml:space="preserve">        00M19-0-01-010 (Recep OC) - 153,00€</t>
  </si>
  <si>
    <t xml:space="preserve">    31200.0120 - Subproyecto - 307,50€</t>
  </si>
  <si>
    <t xml:space="preserve">        44012 (Recep OC) - 307,50€</t>
  </si>
  <si>
    <t xml:space="preserve">    31200.0120 - Subproyecto - 10.879,37€</t>
  </si>
  <si>
    <t xml:space="preserve">        99087 (Recep OC) - 10.879,37€</t>
  </si>
  <si>
    <t xml:space="preserve">    31200.0120 - Subproyecto - 736,00€</t>
  </si>
  <si>
    <t xml:space="preserve">        C00M12-0-00+1 (Recep OC) - 736,00€</t>
  </si>
  <si>
    <t xml:space="preserve">    31200.0120 - Subproyecto - 2.250,00€</t>
  </si>
  <si>
    <t xml:space="preserve">        C00M02-0-00 (Recep OC) - 2.250,00€</t>
  </si>
  <si>
    <t xml:space="preserve">    31200.0120 - Subproyecto - 10.680,00€</t>
  </si>
  <si>
    <t xml:space="preserve">        C290-00-000-1 (Recep OC) - 10.680,00€</t>
  </si>
  <si>
    <t xml:space="preserve">    31200.0120 - Subproyecto - 570,02€</t>
  </si>
  <si>
    <t xml:space="preserve">        144317 (Recep OC) - 570,02€</t>
  </si>
  <si>
    <t xml:space="preserve">    31200.0120 - Subproyecto - 4.184,37€</t>
  </si>
  <si>
    <t xml:space="preserve">        99088 (Recep OC) - 4.184,37€</t>
  </si>
  <si>
    <t xml:space="preserve">        06M06-0-14 (Rec.Plan. OF) - 0,00€</t>
  </si>
  <si>
    <t xml:space="preserve">        06M06-0-13 (Rec.Plan. OF) - 0,00€</t>
  </si>
  <si>
    <t xml:space="preserve">    31200.0120 - Subproyecto - 26.100,00€</t>
  </si>
  <si>
    <t xml:space="preserve">        99077 (Recep OC) - 26.100,00€</t>
  </si>
  <si>
    <t xml:space="preserve">    31200.0120 - Subproyecto - 52.200,00€</t>
  </si>
  <si>
    <t xml:space="preserve">        99077 (Recep OC) - 52.200,00€</t>
  </si>
  <si>
    <t xml:space="preserve">        06M03-0-00 (Rec.Plan. OF) - 0,00€</t>
  </si>
  <si>
    <t xml:space="preserve">        06M02-0-00 (Rec.Plan. OF) - 0,00€</t>
  </si>
  <si>
    <t xml:space="preserve">    31200.0120 - Subproyecto - 94,50€</t>
  </si>
  <si>
    <t xml:space="preserve">        66011 (Recep OC) - 94,50€</t>
  </si>
  <si>
    <t xml:space="preserve">        C06M04-8-00 (Recep OC) - 700,00€</t>
  </si>
  <si>
    <t xml:space="preserve">    31200.0120 - Subproyecto - 4.815,00€</t>
  </si>
  <si>
    <t xml:space="preserve">        C06M04-5-00 (Recep OC) - 4.815,00€</t>
  </si>
  <si>
    <t xml:space="preserve">    31200.0120 - Subproyecto - 12.840,00€</t>
  </si>
  <si>
    <t xml:space="preserve">        C06M04-5-00 (Recep OC) - 12.840,00€</t>
  </si>
  <si>
    <t xml:space="preserve">        02M01-4-06 (Rec.Plan. OF) - 0,00€</t>
  </si>
  <si>
    <t xml:space="preserve">        02M01-4-01 (Rec.Plan. OF) - 0,00€</t>
  </si>
  <si>
    <t xml:space="preserve">        740-00-000-1 (Rec.Plan. OF) - 0,00€</t>
  </si>
  <si>
    <t xml:space="preserve">    31200.0120 - Subproyecto - 1.110,00€</t>
  </si>
  <si>
    <t xml:space="preserve">        C00M04-0-00 (Recep OC) - 1.110,00€</t>
  </si>
  <si>
    <t xml:space="preserve">    31200.0120 - Subproyecto - 1.428,05€</t>
  </si>
  <si>
    <t xml:space="preserve">        C00M08-1-00 (Recep OC) - 1.428,05€</t>
  </si>
  <si>
    <t xml:space="preserve">        06M01-0-00 (Rec.Plan. OF) - 0,00€</t>
  </si>
  <si>
    <t xml:space="preserve">    31200.0120 - Subproyecto - 16.152,00€</t>
  </si>
  <si>
    <t xml:space="preserve">        C490-00-000-1 (Recep OC) - 16.152,00€</t>
  </si>
  <si>
    <t xml:space="preserve">    31200.0120 - Subproyecto - 10.500,00€</t>
  </si>
  <si>
    <t xml:space="preserve">        C00M01-0-00 (Recep OC) - 10.500,00€</t>
  </si>
  <si>
    <t xml:space="preserve">    31200.0120 - Subproyecto - 170,00€</t>
  </si>
  <si>
    <t xml:space="preserve">        44011 (Recep OC) - 170,00€</t>
  </si>
  <si>
    <t xml:space="preserve">    31200.0120 - Subproyecto - 430,00€</t>
  </si>
  <si>
    <t xml:space="preserve">        44010 (Recep OC) - 430,00€</t>
  </si>
  <si>
    <t xml:space="preserve">    31200.0120 - Subproyecto - 3.456,00€</t>
  </si>
  <si>
    <t xml:space="preserve">        44009 (Recep OC) - 3.456,00€</t>
  </si>
  <si>
    <t xml:space="preserve">        44007 (Recep OC) - 672,00€</t>
  </si>
  <si>
    <t xml:space="preserve">    31200.0120 - Subproyecto - 6.329,00€</t>
  </si>
  <si>
    <t xml:space="preserve">        44006 (Recep OC) - 6.329,00€</t>
  </si>
  <si>
    <t xml:space="preserve">        00M17-0-00 (Rec.Plan. OF) - 0,00€</t>
  </si>
  <si>
    <t xml:space="preserve">        00M15-0-00 (Rec.Plan. OF) - 0,00€</t>
  </si>
  <si>
    <t xml:space="preserve">        00M14-0-00 (Rec.Plan. OF) - 0,00€</t>
  </si>
  <si>
    <t xml:space="preserve">        00M19-0-01 (Rec.Plan. OF) - 0,00€</t>
  </si>
  <si>
    <t xml:space="preserve">        00M10-0-00 (Rec.Plan. OF) - 0,00€</t>
  </si>
  <si>
    <t xml:space="preserve">        00M07-1-00 (Rec.Plan. OF) - 0,00€</t>
  </si>
  <si>
    <t xml:space="preserve">        00M13-0-01 (Rec.Plan. OF) - 0,00€</t>
  </si>
  <si>
    <t xml:space="preserve">        395-00-000-1 (Rec.Plan. OF) - 0,00€</t>
  </si>
  <si>
    <t xml:space="preserve">        00M09-0-01 (Rec.Plan. OF) - 0,00€</t>
  </si>
  <si>
    <t xml:space="preserve">    31200.0120 - Subproyecto - 1.017,00€</t>
  </si>
  <si>
    <t xml:space="preserve">        C00M11-0-00+1 (Recep OC) - 1.017,00€</t>
  </si>
  <si>
    <t xml:space="preserve">    31200.0120 - Subproyecto - 57,80€</t>
  </si>
  <si>
    <t xml:space="preserve">        C00M11-0-00 (Recep OC) - 57,80€</t>
  </si>
  <si>
    <t xml:space="preserve">        00M05-0-00 (Rec.Plan. OF) - 0,00€</t>
  </si>
  <si>
    <t xml:space="preserve">    31200.0120 - Subproyecto - 38,53€</t>
  </si>
  <si>
    <t xml:space="preserve">        C00M12-0-00 (Recep OC) - 38,53€</t>
  </si>
  <si>
    <t xml:space="preserve">    31200.0120 - Subproyecto - 109,90€</t>
  </si>
  <si>
    <t xml:space="preserve">            99187 (Recep OC) - 109,90€</t>
  </si>
  <si>
    <t xml:space="preserve">    31200.0120 - Subproyecto - 1.831,00€</t>
  </si>
  <si>
    <t xml:space="preserve">            C216-00-000-1 (Recep OC) - 1.831,00€</t>
  </si>
  <si>
    <t xml:space="preserve">    31200.0120 - Subproyecto - 105,64€</t>
  </si>
  <si>
    <t xml:space="preserve">            137081 (Recep OC) - 105,64€</t>
  </si>
  <si>
    <t xml:space="preserve">    31200.0120 - Subproyecto - 961,00€</t>
  </si>
  <si>
    <t xml:space="preserve">            C316-00-000-1 (Recep OC) - 961,00€</t>
  </si>
  <si>
    <t xml:space="preserve">    31200.0120 - Subproyecto - 291,10€</t>
  </si>
  <si>
    <t xml:space="preserve">            137082 (Recep OC) - 291,10€</t>
  </si>
  <si>
    <t xml:space="preserve">    31200.0120 - Subproyecto - 1.153,00€</t>
  </si>
  <si>
    <t xml:space="preserve">            C605-00-000-1 (Recep OC) - 1.153,00€</t>
  </si>
  <si>
    <t xml:space="preserve">    31200.0120 - Subproyecto - 109,20€</t>
  </si>
  <si>
    <t xml:space="preserve">            109238 (Recep OC) - 109,20€</t>
  </si>
  <si>
    <t xml:space="preserve">    31200.0120 - Subproyecto - 29,36€</t>
  </si>
  <si>
    <t xml:space="preserve">            113696 (Estándar) - 29,36€</t>
  </si>
  <si>
    <t xml:space="preserve">    31200.0120 - Subproyecto - 156,57€</t>
  </si>
  <si>
    <t xml:space="preserve">            141322 (Recep OC) - 156,57€</t>
  </si>
  <si>
    <t xml:space="preserve">    31200.0120 - Subproyecto - 8,00€</t>
  </si>
  <si>
    <t xml:space="preserve">            99188 (Rec.Plan. OC) - 8,00€</t>
  </si>
  <si>
    <t xml:space="preserve">            99143 (Recep OC) - 104,00€</t>
  </si>
  <si>
    <t xml:space="preserve">    31200.0120 - Subproyecto - 136,00€</t>
  </si>
  <si>
    <t xml:space="preserve">            99144 (Recep OC) - 136,00€</t>
  </si>
  <si>
    <t xml:space="preserve">    31200.0120 - Subproyecto - 85,44€</t>
  </si>
  <si>
    <t xml:space="preserve">            99186 (Recep OC) - 85,44€</t>
  </si>
  <si>
    <t xml:space="preserve">    31200.0120 - Subproyecto - 116,44€</t>
  </si>
  <si>
    <t xml:space="preserve">            137082 (Recep OC) - 116,44€</t>
  </si>
  <si>
    <t xml:space="preserve">    31200.0120 - Subproyecto - 5,28€</t>
  </si>
  <si>
    <t xml:space="preserve">    31200.0120 - Subproyecto - 95,44€</t>
  </si>
  <si>
    <t xml:space="preserve">            144274 (Recep OC) - 95,44€</t>
  </si>
  <si>
    <t xml:space="preserve">    31200.0120 - Subproyecto - 53,50€</t>
  </si>
  <si>
    <t xml:space="preserve">            145948 (Recep OC) - 53,50€</t>
  </si>
  <si>
    <t xml:space="preserve">    31200.0120 - Subproyecto - 85,46€</t>
  </si>
  <si>
    <t xml:space="preserve">            99164 (Recep OC) - 85,46€</t>
  </si>
  <si>
    <t xml:space="preserve">    31200.0120 - Subproyecto - 19,27€</t>
  </si>
  <si>
    <t xml:space="preserve">            C00M15-0-00 (Recep OC) - 19,27€</t>
  </si>
  <si>
    <t xml:space="preserve">    31200.0120 - Subproyecto - 93,96€</t>
  </si>
  <si>
    <t xml:space="preserve">            99189 (Recep OC) - 93,96€</t>
  </si>
  <si>
    <t xml:space="preserve">    31200.0120 - Subproyecto - 11,88€</t>
  </si>
  <si>
    <t xml:space="preserve">            99147 (Recep OC) - 11,88€</t>
  </si>
  <si>
    <t xml:space="preserve">    31200.0120 - Subproyecto - 5,99€</t>
  </si>
  <si>
    <t xml:space="preserve">            99148 (Recep OC) - 5,99€</t>
  </si>
  <si>
    <t xml:space="preserve">    31200.0120 - Subproyecto - 76,00€</t>
  </si>
  <si>
    <t xml:space="preserve">            99155 (Recep OC) - 76,00€</t>
  </si>
  <si>
    <t xml:space="preserve">    31200.0120 - Subproyecto - 90,00€</t>
  </si>
  <si>
    <t xml:space="preserve">            99156 (Recep OC) - 90,00€</t>
  </si>
  <si>
    <t xml:space="preserve">    31200.0120 - Subproyecto - 147,00€</t>
  </si>
  <si>
    <t xml:space="preserve">            99157 (Recep OC) - 147,00€</t>
  </si>
  <si>
    <t xml:space="preserve">    31200.0120 - Subproyecto - 58,22€</t>
  </si>
  <si>
    <t xml:space="preserve">            137082 (Recep OC) - 58,22€</t>
  </si>
  <si>
    <t xml:space="preserve">    31200.0120 - Subproyecto - 616,32€</t>
  </si>
  <si>
    <t xml:space="preserve">            141143 (Recep OC) - 616,32€</t>
  </si>
  <si>
    <t xml:space="preserve">            145949 (Recep OC) - 53,50€</t>
  </si>
  <si>
    <t xml:space="preserve">    31200.0120 - Subproyecto - 63,12€</t>
  </si>
  <si>
    <t xml:space="preserve">            99040 (Recep OC) - 63,12€</t>
  </si>
  <si>
    <t xml:space="preserve">    31200.0120 - Subproyecto - 79,90€</t>
  </si>
  <si>
    <t xml:space="preserve">            99043 (Recep OC) - 79,90€</t>
  </si>
  <si>
    <t xml:space="preserve">    31200.0120 - Subproyecto - 142,80€</t>
  </si>
  <si>
    <t xml:space="preserve">            99044 (Recep OC) - 142,80€</t>
  </si>
  <si>
    <t xml:space="preserve">    31200.0120 - Subproyecto - 201,29€</t>
  </si>
  <si>
    <t xml:space="preserve">            99121 (Recep OC) - 201,29€</t>
  </si>
  <si>
    <t xml:space="preserve">    31200.0120 - Subproyecto - 42,40€</t>
  </si>
  <si>
    <t xml:space="preserve">            99163 (Recep OC) - 42,40€</t>
  </si>
  <si>
    <t xml:space="preserve">    31200.0120 - Subproyecto - 7.805,00€</t>
  </si>
  <si>
    <t xml:space="preserve">            C740-00-000-1 (Recep OC) - 7.805,00€</t>
  </si>
  <si>
    <t xml:space="preserve">    31200.0120 - Subproyecto - 415,40€</t>
  </si>
  <si>
    <t xml:space="preserve">            99190 (Recep OC) - 415,40€</t>
  </si>
  <si>
    <t xml:space="preserve">    31200.0120 - Subproyecto - 826,00€</t>
  </si>
  <si>
    <t xml:space="preserve">            99193 (Recep OC) - 826,00€</t>
  </si>
  <si>
    <t xml:space="preserve">    31200.0120 - Subproyecto - 106,52€</t>
  </si>
  <si>
    <t xml:space="preserve">            99191 (Recep OC) - 106,52€</t>
  </si>
  <si>
    <t xml:space="preserve">    31200.0120 - Subproyecto - 30,00€</t>
  </si>
  <si>
    <t xml:space="preserve">            99156 (Recep OC) - 30,00€</t>
  </si>
  <si>
    <t xml:space="preserve">    31200.0120 - Subproyecto - 19,00€</t>
  </si>
  <si>
    <t xml:space="preserve">            132152 (Estándar) - 19,00€</t>
  </si>
  <si>
    <t xml:space="preserve">    31200.0120 - Subproyecto - 4.191,00€</t>
  </si>
  <si>
    <t xml:space="preserve">            C840-01-000-1 (Recep OC) - 4.191,00€</t>
  </si>
  <si>
    <t xml:space="preserve">    31200.0120 - Subproyecto - 193,00€</t>
  </si>
  <si>
    <t xml:space="preserve">            146467 (Recep OC) - 193,00€</t>
  </si>
  <si>
    <t xml:space="preserve">            145946 (Recep OC) - 53,50€</t>
  </si>
  <si>
    <t xml:space="preserve">    31200.0120 - Subproyecto - 252,00€</t>
  </si>
  <si>
    <t xml:space="preserve">            145237 (Recep OC) - 252,00€</t>
  </si>
  <si>
    <t xml:space="preserve">    31200.0120 - Subproyecto - 2.781,00€</t>
  </si>
  <si>
    <t xml:space="preserve">            145234 (Recep OC) - 2.781,00€</t>
  </si>
  <si>
    <t xml:space="preserve">    31200.0120 - Subproyecto - 318,86€</t>
  </si>
  <si>
    <t xml:space="preserve">            141765 (Recep OC) - 318,86€</t>
  </si>
  <si>
    <t xml:space="preserve">    31200.0120 - Subproyecto - 507,02€</t>
  </si>
  <si>
    <t xml:space="preserve">            132153 (Recep OC) - 507,02€</t>
  </si>
  <si>
    <t xml:space="preserve">    31200.0120 - Subproyecto - 43,68€</t>
  </si>
  <si>
    <t xml:space="preserve">            132152 (Recep OC) - 43,68€</t>
  </si>
  <si>
    <t xml:space="preserve">    31200.0120 - Subproyecto - 49,00€</t>
  </si>
  <si>
    <t xml:space="preserve">            99157 (Recep OC) - 49,00€</t>
  </si>
  <si>
    <t xml:space="preserve">            145945 (Recep OC) - 53,50€</t>
  </si>
  <si>
    <t xml:space="preserve">    31200.0120 - Subproyecto - 38,00€</t>
  </si>
  <si>
    <t xml:space="preserve">            99155 (Recep OC) - 38,00€</t>
  </si>
  <si>
    <t xml:space="preserve">    31200.0120 - Subproyecto - 185,00€</t>
  </si>
  <si>
    <t xml:space="preserve">            132153 (Estándar) - 185,00€</t>
  </si>
  <si>
    <t xml:space="preserve">    31200.0120 - Subproyecto - 68,00€</t>
  </si>
  <si>
    <t xml:space="preserve">            99144 (Recep OC) - 68,00€</t>
  </si>
  <si>
    <t xml:space="preserve">            99192 (Recep OC) - 63,12€</t>
  </si>
  <si>
    <t xml:space="preserve">    31200.0120 - Subproyecto - 930,00€</t>
  </si>
  <si>
    <t xml:space="preserve">            99194 (Recep OC) - 930,00€</t>
  </si>
  <si>
    <t xml:space="preserve">    31200.0120 - Subproyecto - 696,24€</t>
  </si>
  <si>
    <t xml:space="preserve">            99195 (Recep OC) - 696,24€</t>
  </si>
  <si>
    <t xml:space="preserve">    31200.0120 - Subproyecto - 80,72€</t>
  </si>
  <si>
    <t xml:space="preserve">            99196 (Recep OC) - 80,72€</t>
  </si>
  <si>
    <t xml:space="preserve">    31200.0120 - Subproyecto - 20.639,00€</t>
  </si>
  <si>
    <t xml:space="preserve">            C00M06-0-00 (Recep OC) - 20.639,00€</t>
  </si>
  <si>
    <t xml:space="preserve">    31200.0120 - Subproyecto - 10,98€</t>
  </si>
  <si>
    <t xml:space="preserve">            21006.00.001.002 (Estándar) - 10,98€</t>
  </si>
  <si>
    <t xml:space="preserve">    31200.0120 - Subproyecto - 15,00€</t>
  </si>
  <si>
    <t xml:space="preserve">    31200.0120 - Subproyecto - 8,60€</t>
  </si>
  <si>
    <t xml:space="preserve">    31200.0120 - Subproyecto - 0,84€</t>
  </si>
  <si>
    <t xml:space="preserve">    31200.0120 - Subproyecto - 1,60€</t>
  </si>
  <si>
    <t xml:space="preserve">    31200.0120 - Subproyecto - 52,00€</t>
  </si>
  <si>
    <t xml:space="preserve">            99143 (Recep OC) - 52,00€</t>
  </si>
  <si>
    <t xml:space="preserve">    31200.0120 - Subproyecto - 5.758,00€</t>
  </si>
  <si>
    <t xml:space="preserve">            C06M03-0-00 (Recep OC) - 5.758,00€</t>
  </si>
  <si>
    <t xml:space="preserve">            C00M14-0-00 (Recep OC) - 38,53€</t>
  </si>
  <si>
    <t xml:space="preserve">    31200.0120 - Subproyecto - 56,45€</t>
  </si>
  <si>
    <t xml:space="preserve">            99078 (Recep OC) - 56,45€</t>
  </si>
  <si>
    <t xml:space="preserve">    31200.0120 - Subproyecto - 2,52€</t>
  </si>
  <si>
    <t xml:space="preserve">            120687 (Estándar) - 2,52€</t>
  </si>
  <si>
    <t xml:space="preserve">    31200.0120 - Subproyecto - 25,80€</t>
  </si>
  <si>
    <t xml:space="preserve">            126209 (Estándar) - 25,80€</t>
  </si>
  <si>
    <t xml:space="preserve">    31200.0120 - Subproyecto - 4,80€</t>
  </si>
  <si>
    <t xml:space="preserve">            105073 (Estándar) - 4,80€</t>
  </si>
  <si>
    <t xml:space="preserve">    31200.0120 - Subproyecto - 44,88€</t>
  </si>
  <si>
    <t xml:space="preserve">            21006.00.001.004 (Estándar) - 44,88€</t>
  </si>
  <si>
    <t xml:space="preserve">    31200.0120 - Subproyecto - 120,40€</t>
  </si>
  <si>
    <t xml:space="preserve">            126209 (Estándar) - 120,40€</t>
  </si>
  <si>
    <t xml:space="preserve">    31200.0120 - Subproyecto - 11,76€</t>
  </si>
  <si>
    <t xml:space="preserve">            120687 (Estándar) - 11,76€</t>
  </si>
  <si>
    <t xml:space="preserve">            126208 (Estándar) - 0,00€</t>
  </si>
  <si>
    <t xml:space="preserve">    31200.0120 - Subproyecto - 22,40€</t>
  </si>
  <si>
    <t xml:space="preserve">            105073 (Estándar) - 22,40€</t>
  </si>
  <si>
    <t xml:space="preserve">    31200.0120 - Subproyecto - 27.864,00€</t>
  </si>
  <si>
    <t xml:space="preserve">            C06M02-0-00 (Recep OC) - 27.864,00€</t>
  </si>
  <si>
    <t xml:space="preserve">    31200.0120 - Subproyecto - 205,70€</t>
  </si>
  <si>
    <t xml:space="preserve">            21006.00.001.004 (Estándar) - 205,70€</t>
  </si>
  <si>
    <t xml:space="preserve">    31200.0120 - Subproyecto - 33,60€</t>
  </si>
  <si>
    <t xml:space="preserve">            120687 (Estándar) - 33,60€</t>
  </si>
  <si>
    <t xml:space="preserve">    31200.0120 - Subproyecto - 64,00€</t>
  </si>
  <si>
    <t xml:space="preserve">            105073 (Estándar) - 64,00€</t>
  </si>
  <si>
    <t xml:space="preserve">    31200.0120 - Subproyecto - 24.232,00€</t>
  </si>
  <si>
    <t xml:space="preserve">            C06M01-0-00 (Recep OC) - 24.232,00€</t>
  </si>
  <si>
    <t xml:space="preserve">    31200.0120 - Subproyecto - 5.472,00€</t>
  </si>
  <si>
    <t xml:space="preserve">            99032 (Recep OC) - 5.472,00€</t>
  </si>
  <si>
    <t xml:space="preserve">    31200.0120 - Subproyecto - 598,40€</t>
  </si>
  <si>
    <t xml:space="preserve">            21006.00.001.004 (Estándar) - 598,40€</t>
  </si>
  <si>
    <t xml:space="preserve">    31200.0120 - Subproyecto - 416,00€</t>
  </si>
  <si>
    <t xml:space="preserve">            145358 (Recep OC) - 416,00€</t>
  </si>
  <si>
    <t xml:space="preserve">    31200.0120 - Subproyecto - 617,56€</t>
  </si>
  <si>
    <t xml:space="preserve">            144928 (Recep OC) - 617,56€</t>
  </si>
  <si>
    <t xml:space="preserve">    31200.0120 - Subproyecto - 13.074,00€</t>
  </si>
  <si>
    <t xml:space="preserve">            C02M01-4-06 (Recep OC) - 13.074,00€</t>
  </si>
  <si>
    <t xml:space="preserve">    31200.0120 - Subproyecto - 108,80€</t>
  </si>
  <si>
    <t xml:space="preserve">            133258 (Recep OC) - 108,80€</t>
  </si>
  <si>
    <t xml:space="preserve">            133258 (Recep OC) - 136,00€</t>
  </si>
  <si>
    <t xml:space="preserve">    31200.0120 - Subproyecto - 3.572,00€</t>
  </si>
  <si>
    <t xml:space="preserve">            C02M01-4-01 (Recep OC) - 3.572,00€</t>
  </si>
  <si>
    <t xml:space="preserve">    31200.0120 - Subproyecto - 81,60€</t>
  </si>
  <si>
    <t xml:space="preserve">            133258 (Recep OC) - 81,60€</t>
  </si>
  <si>
    <t xml:space="preserve">    31200.0120 - Subproyecto - 1.016,00€</t>
  </si>
  <si>
    <t xml:space="preserve">            C00M14-0-00+1 (Recep OC) - 1.016,00€</t>
  </si>
  <si>
    <t xml:space="preserve">    31200.0120 - Subproyecto - 4.320,00€</t>
  </si>
  <si>
    <t xml:space="preserve">            C06M06-0-13 (Recep OC) - 4.320,00€</t>
  </si>
  <si>
    <t xml:space="preserve">    31200.0120 - Subproyecto - 24,70€</t>
  </si>
  <si>
    <t xml:space="preserve">            99078 (Recep OC) - 24,70€</t>
  </si>
  <si>
    <t xml:space="preserve">    31200.0120 - Subproyecto - 344,00€</t>
  </si>
  <si>
    <t xml:space="preserve">            126209 (Estándar) - 344,00€</t>
  </si>
  <si>
    <t xml:space="preserve">    31200.0120 - Subproyecto - 5.940,00€</t>
  </si>
  <si>
    <t xml:space="preserve">            145753 (Recep OC) - 5.940,00€</t>
  </si>
  <si>
    <t xml:space="preserve">    31200.0120 - Subproyecto - 2.478,00€</t>
  </si>
  <si>
    <t xml:space="preserve">            C06M06-0-14 (Recep OC) - 2.478,00€</t>
  </si>
  <si>
    <t xml:space="preserve">            145749 (Recep OC) - 52,00€</t>
  </si>
  <si>
    <t xml:space="preserve">    31200.0120 - Subproyecto - 144,00€</t>
  </si>
  <si>
    <t xml:space="preserve">            C00M13-0-01+1 (Recep OC) - 144,00€</t>
  </si>
  <si>
    <t xml:space="preserve">    31200.0120 - Subproyecto - 115,60€</t>
  </si>
  <si>
    <t xml:space="preserve">            C00M13-0-01 (Recep OC) - 115,60€</t>
  </si>
  <si>
    <t xml:space="preserve">    31200.0120 - Subproyecto - 17.820,00€</t>
  </si>
  <si>
    <t xml:space="preserve">            145753 (Recep OC) - 17.820,00€</t>
  </si>
  <si>
    <t xml:space="preserve">    31200.0120 - Subproyecto - 156,00€</t>
  </si>
  <si>
    <t xml:space="preserve">            145749 (Recep OC) - 156,00€</t>
  </si>
  <si>
    <t xml:space="preserve">    31200.0120 - Subproyecto - 279,00€</t>
  </si>
  <si>
    <t xml:space="preserve">            C00M10-0-00+1 (Recep OC) - 279,00€</t>
  </si>
  <si>
    <t xml:space="preserve">    31200.0120 - Subproyecto - 2.970,00€</t>
  </si>
  <si>
    <t xml:space="preserve">            145753 (Recep OC) - 2.970,00€</t>
  </si>
  <si>
    <t xml:space="preserve">    31200.0120 - Subproyecto - 26,00€</t>
  </si>
  <si>
    <t xml:space="preserve">            145749 (Recep OC) - 26,00€</t>
  </si>
  <si>
    <t xml:space="preserve">    31200.0120 - Subproyecto - 8,99€</t>
  </si>
  <si>
    <t xml:space="preserve">            99148 (Recep OC) - 8,99€</t>
  </si>
  <si>
    <t xml:space="preserve">    31200.0120 - Subproyecto - 17,82€</t>
  </si>
  <si>
    <t xml:space="preserve">            99147 (Recep OC) - 17,82€</t>
  </si>
  <si>
    <t xml:space="preserve">    31200.0120 - Subproyecto - 6.220,00€</t>
  </si>
  <si>
    <t xml:space="preserve">            C00M05-0-00 (Recep OC) - 6.220,00€</t>
  </si>
  <si>
    <t xml:space="preserve">    31200.0120 - Subproyecto - 10.981,00€</t>
  </si>
  <si>
    <t xml:space="preserve">            C00M09-0-01+1 (Recep OC) - 10.981,00€</t>
  </si>
  <si>
    <t xml:space="preserve">            C00M10-0-00 (Recep OC) - 19,27€</t>
  </si>
  <si>
    <t xml:space="preserve">    31200.0120 - Subproyecto - 2.515,68€</t>
  </si>
  <si>
    <t xml:space="preserve">            99127 (Recep OC) - 2.515,68€</t>
  </si>
  <si>
    <t xml:space="preserve">    31200.0120 - Subproyecto - 204,00€</t>
  </si>
  <si>
    <t xml:space="preserve">            99144 (Recep OC) - 204,00€</t>
  </si>
  <si>
    <t xml:space="preserve">    31200.0120 - Subproyecto - 312,00€</t>
  </si>
  <si>
    <t xml:space="preserve">            99143 (Recep OC) - 312,00€</t>
  </si>
  <si>
    <t xml:space="preserve">    31200.0120 - Subproyecto - 4.728,00€</t>
  </si>
  <si>
    <t xml:space="preserve">            99142 (Recep OC) - 4.728,00€</t>
  </si>
  <si>
    <t xml:space="preserve">            111997 (Estándar) - 2,52€</t>
  </si>
  <si>
    <t xml:space="preserve">    31200.0120 - Subproyecto - 77.328,00€</t>
  </si>
  <si>
    <t xml:space="preserve">            C395-00-000-1 (Recep OC) - 77.328,00€</t>
  </si>
  <si>
    <t xml:space="preserve">    31200.0120 - Subproyecto - 104,40€</t>
  </si>
  <si>
    <t xml:space="preserve">            99130 (Recep OC) - 104,40€</t>
  </si>
  <si>
    <t xml:space="preserve">    31200.0120 - Subproyecto - 92,00€</t>
  </si>
  <si>
    <t xml:space="preserve">            99129 (Recep OC) - 92,00€</t>
  </si>
  <si>
    <t xml:space="preserve">    31200.0120 - Subproyecto - 338,40€</t>
  </si>
  <si>
    <t xml:space="preserve">            99128 (Recep OC) - 338,40€</t>
  </si>
  <si>
    <t xml:space="preserve">    31200.0120 - Subproyecto - 7.986,00€</t>
  </si>
  <si>
    <t xml:space="preserve">            C00M07-1-00 (Recep OC) - 7.986,00€</t>
  </si>
  <si>
    <t xml:space="preserve">    31200.0120 - Subproyecto - 1.085,04€</t>
  </si>
  <si>
    <t xml:space="preserve">            99126 (Recep OC) - 1.085,04€</t>
  </si>
  <si>
    <t xml:space="preserve">    31200.0120 - Subproyecto - 16,80€</t>
  </si>
  <si>
    <t xml:space="preserve">            143073 (Estándar) - 16,80€</t>
  </si>
  <si>
    <t xml:space="preserve">    31200.0120 - Subproyecto - 1.168,00€</t>
  </si>
  <si>
    <t xml:space="preserve">            C00M09-0-01 (Recep OC) - 1.168,00€</t>
  </si>
  <si>
    <t xml:space="preserve">    31200.0120 - Subproyecto - 195,84€</t>
  </si>
  <si>
    <t xml:space="preserve">            109064 (Estándar) - 195,84€</t>
  </si>
  <si>
    <t>31200.0130 -  03 - Fabricación</t>
  </si>
  <si>
    <t>Sp-31200.0130</t>
  </si>
  <si>
    <t xml:space="preserve">    31200.0130 - Subproyecto - 887,23€</t>
  </si>
  <si>
    <t xml:space="preserve">        100749 (Recep OC) - 887,23€</t>
  </si>
  <si>
    <t xml:space="preserve">    31200.0130 - Subproyecto - 0,00€</t>
  </si>
  <si>
    <t xml:space="preserve">        01E22-1-00I (Rec.Plan. OF) - 0,00€</t>
  </si>
  <si>
    <t xml:space="preserve">    31200.0130 - Subproyecto - 124,83€</t>
  </si>
  <si>
    <t xml:space="preserve">        100749 (Recep OC) - 124,83€</t>
  </si>
  <si>
    <t xml:space="preserve">    31200.0130 - Subproyecto - 7,00€</t>
  </si>
  <si>
    <t xml:space="preserve">        105045 (Estándar) - 7,00€</t>
  </si>
  <si>
    <t xml:space="preserve">        01E23-1-00I (Rec.Plan. OF) - 0,00€</t>
  </si>
  <si>
    <t xml:space="preserve">    31200.0130 - Subproyecto - 5,65€</t>
  </si>
  <si>
    <t xml:space="preserve">        104662 (Estándar) - 5,65€</t>
  </si>
  <si>
    <t xml:space="preserve">    31200.0130 - Subproyecto - 6,45€</t>
  </si>
  <si>
    <t xml:space="preserve">        104844 (Estándar) - 6,45€</t>
  </si>
  <si>
    <t xml:space="preserve">    31200.0130 - Subproyecto - 1,80€</t>
  </si>
  <si>
    <t xml:space="preserve">        105202 (Estándar) - 1,80€</t>
  </si>
  <si>
    <t xml:space="preserve">    31200.0130 - Subproyecto - 623,40€</t>
  </si>
  <si>
    <t xml:space="preserve">        133476 (Recep OC) - 623,40€</t>
  </si>
  <si>
    <t xml:space="preserve">    31200.0130 - Subproyecto - 870,90€</t>
  </si>
  <si>
    <t xml:space="preserve">        133476 (Recep OC) - 870,90€</t>
  </si>
  <si>
    <t xml:space="preserve">    31200.0130 - Subproyecto - 44,40€</t>
  </si>
  <si>
    <t xml:space="preserve">        99159 (Recep OC) - 44,40€</t>
  </si>
  <si>
    <t xml:space="preserve">    31200.0130 - Subproyecto - 7,74€</t>
  </si>
  <si>
    <t xml:space="preserve">        104844 (Estándar) - 7,74€</t>
  </si>
  <si>
    <t xml:space="preserve">    31200.0130 - Subproyecto - 7,55€</t>
  </si>
  <si>
    <t xml:space="preserve">        104660 (Estándar) - 7,55€</t>
  </si>
  <si>
    <t xml:space="preserve">    31200.0130 - Subproyecto - 589,50€</t>
  </si>
  <si>
    <t xml:space="preserve">        145513 (Recep OC) - 589,50€</t>
  </si>
  <si>
    <t xml:space="preserve">        00E13-0-00I (Rec.Plan. OF) - 0,00€</t>
  </si>
  <si>
    <t xml:space="preserve">    31200.0130 - Subproyecto - 1.418,63€</t>
  </si>
  <si>
    <t xml:space="preserve">        139485 (Recep OC) - 1.418,63€</t>
  </si>
  <si>
    <t xml:space="preserve">        66056 (Recep OC) - 0,00€</t>
  </si>
  <si>
    <t xml:space="preserve">    31200.0130 - Subproyecto - 105,00€</t>
  </si>
  <si>
    <t xml:space="preserve">        99204 (Recep OC) - 105,00€</t>
  </si>
  <si>
    <t xml:space="preserve">        00E14-0-00F (Rec.Plan. OF) - 0,00€</t>
  </si>
  <si>
    <t xml:space="preserve">        00E14-0-00I (Rec.Plan. OF) - 0,00€</t>
  </si>
  <si>
    <t xml:space="preserve">        00E13-0-00F (Rec.Plan. OF) - 0,00€</t>
  </si>
  <si>
    <t xml:space="preserve">    31200.0130 - Subproyecto - 215,80€</t>
  </si>
  <si>
    <t xml:space="preserve">        66060 (Recep OC) - 215,80€</t>
  </si>
  <si>
    <t xml:space="preserve">        00E12-0-00F (Rec.Plan. OF) - 0,00€</t>
  </si>
  <si>
    <t xml:space="preserve">        00E12-0-00I (Rec.Plan. OF) - 0,00€</t>
  </si>
  <si>
    <t xml:space="preserve">    31200.0130 - Subproyecto - 63,00€</t>
  </si>
  <si>
    <t xml:space="preserve">        135294 (Recep OC) - 63,00€</t>
  </si>
  <si>
    <t xml:space="preserve">        00E11-0-00I (Rec.Plan. OF) - 0,00€</t>
  </si>
  <si>
    <t xml:space="preserve">    31200.0130 - Subproyecto - 37,50€</t>
  </si>
  <si>
    <t xml:space="preserve">        116416 (Estándar) - 37,50€</t>
  </si>
  <si>
    <t xml:space="preserve">    31200.0130 - Subproyecto - 1.188,60€</t>
  </si>
  <si>
    <t xml:space="preserve">        146452 (Recep OC) - 1.188,60€</t>
  </si>
  <si>
    <t xml:space="preserve">        01E24-1-00I (Rec.Plan. OF) - 0,00€</t>
  </si>
  <si>
    <t xml:space="preserve">    31200.0130 - Subproyecto - 2.510,00€</t>
  </si>
  <si>
    <t xml:space="preserve">        66059 (Recep OC) - 2.510,00€</t>
  </si>
  <si>
    <t xml:space="preserve">    31200.0130 - Subproyecto - 2.150,00€</t>
  </si>
  <si>
    <t xml:space="preserve">        66058 (Recep OC) - 2.150,00€</t>
  </si>
  <si>
    <t xml:space="preserve">    31200.0130 - Subproyecto - 601,25€</t>
  </si>
  <si>
    <t xml:space="preserve">        145513 (Recep OC) - 601,25€</t>
  </si>
  <si>
    <t xml:space="preserve">    31200.0130 - Subproyecto - 1.345,46€</t>
  </si>
  <si>
    <t xml:space="preserve">        66055 (Recep OC) - 1.345,46€</t>
  </si>
  <si>
    <t xml:space="preserve">    31200.0130 - Subproyecto - 3,91€</t>
  </si>
  <si>
    <t xml:space="preserve">        101473 (Estándar) - 3,91€</t>
  </si>
  <si>
    <t xml:space="preserve">    31200.0130 - Subproyecto - 3.514,00€</t>
  </si>
  <si>
    <t xml:space="preserve">        66053 (Recep OC) - 3.514,00€</t>
  </si>
  <si>
    <t xml:space="preserve">    31200.0130 - Subproyecto - 24,00€</t>
  </si>
  <si>
    <t xml:space="preserve">        101376 (Estándar) - 24,00€</t>
  </si>
  <si>
    <t xml:space="preserve">    31200.0130 - Subproyecto - 15,00€</t>
  </si>
  <si>
    <t xml:space="preserve">        101445 (Estándar) - 15,00€</t>
  </si>
  <si>
    <t xml:space="preserve">    31200.0130 - Subproyecto - 11,10€</t>
  </si>
  <si>
    <t xml:space="preserve">        101447 (Estándar) - 11,10€</t>
  </si>
  <si>
    <t xml:space="preserve">        01E19-1-00 (Rec.Plan. OF) - 0,00€</t>
  </si>
  <si>
    <t xml:space="preserve">    31200.0130 - Subproyecto - 3,95€</t>
  </si>
  <si>
    <t xml:space="preserve">        101450 (Estándar) - 3,95€</t>
  </si>
  <si>
    <t xml:space="preserve">    31200.0130 - Subproyecto - 6,40€</t>
  </si>
  <si>
    <t xml:space="preserve">        101451 (Estándar) - 6,40€</t>
  </si>
  <si>
    <t xml:space="preserve">    31200.0130 - Subproyecto - 7,40€</t>
  </si>
  <si>
    <t xml:space="preserve">        101447 (Estándar) - 7,40€</t>
  </si>
  <si>
    <t xml:space="preserve">    31200.0130 - Subproyecto - 14,04€</t>
  </si>
  <si>
    <t xml:space="preserve">        104637 (Estándar) - 14,04€</t>
  </si>
  <si>
    <t xml:space="preserve">        99204 (Rec.Plan. OC) - 105,00€</t>
  </si>
  <si>
    <t xml:space="preserve">    31200.0130 - Subproyecto - 5,00€</t>
  </si>
  <si>
    <t xml:space="preserve">        105144 (Estándar) - 5,00€</t>
  </si>
  <si>
    <t xml:space="preserve">    31200.0130 - Subproyecto - 5,06€</t>
  </si>
  <si>
    <t xml:space="preserve">        101472 (Estándar) - 5,06€</t>
  </si>
  <si>
    <t xml:space="preserve">    31200.0130 - Subproyecto - 16,50€</t>
  </si>
  <si>
    <t xml:space="preserve">        105978 (Estándar) - 16,50€</t>
  </si>
  <si>
    <t xml:space="preserve">        105242 (Estándar) - 5,00€</t>
  </si>
  <si>
    <t xml:space="preserve">    31200.0130 - Subproyecto - 8,10€</t>
  </si>
  <si>
    <t xml:space="preserve">        101378 (Estándar) - 8,10€</t>
  </si>
  <si>
    <t xml:space="preserve">        101377 (Estándar) - 7,00€</t>
  </si>
  <si>
    <t xml:space="preserve">    31200.0130 - Subproyecto - 10,50€</t>
  </si>
  <si>
    <t xml:space="preserve">        104652 (Estándar) - 10,50€</t>
  </si>
  <si>
    <t xml:space="preserve">    31200.0130 - Subproyecto - 3.564,00€</t>
  </si>
  <si>
    <t xml:space="preserve">        66054 (Recep OC) - 3.564,00€</t>
  </si>
  <si>
    <t xml:space="preserve">    31200.0130 - Subproyecto - 20,00€</t>
  </si>
  <si>
    <t xml:space="preserve">        105974 (Estándar) - 20,00€</t>
  </si>
  <si>
    <t xml:space="preserve">    31200.0130 - Subproyecto - 12,60€</t>
  </si>
  <si>
    <t xml:space="preserve">        120687 (Estándar) - 12,60€</t>
  </si>
  <si>
    <t xml:space="preserve">    31200.0130 - Subproyecto - 4,96€</t>
  </si>
  <si>
    <t xml:space="preserve">        104639 (Estándar) - 4,96€</t>
  </si>
  <si>
    <t xml:space="preserve">    31200.0130 - Subproyecto - 4,60€</t>
  </si>
  <si>
    <t xml:space="preserve">        101444 (Estándar) - 4,60€</t>
  </si>
  <si>
    <t xml:space="preserve">    31200.0130 - Subproyecto - 4,92€</t>
  </si>
  <si>
    <t xml:space="preserve">        104607 (Estándar) - 4,92€</t>
  </si>
  <si>
    <t xml:space="preserve">        101445 (Estándar) - 5,00€</t>
  </si>
  <si>
    <t xml:space="preserve">        00E20-1-00I (Rec.Plan. OF) - 0,00€</t>
  </si>
  <si>
    <t xml:space="preserve">    31200.0130 - Subproyecto - 535,04€</t>
  </si>
  <si>
    <t xml:space="preserve">        99185 (Recep OC) - 535,04€</t>
  </si>
  <si>
    <t xml:space="preserve">    31200.0130 - Subproyecto - 571,74€</t>
  </si>
  <si>
    <t xml:space="preserve">        66051 (Rec.Plan. OC) - 571,74€</t>
  </si>
  <si>
    <t xml:space="preserve">    31200.0130 - Subproyecto - 1.334,06€</t>
  </si>
  <si>
    <t xml:space="preserve">        66051 (Recep OC) - 1.334,06€</t>
  </si>
  <si>
    <t xml:space="preserve">    31200.0130 - Subproyecto - 876,67€</t>
  </si>
  <si>
    <t xml:space="preserve">        66051 (Recep OC) - 876,67€</t>
  </si>
  <si>
    <t xml:space="preserve">    31200.0130 - Subproyecto - 1.029,13€</t>
  </si>
  <si>
    <t xml:space="preserve">        66051 (Recep OC) - 1.029,13€</t>
  </si>
  <si>
    <t xml:space="preserve">    31200.0130 - Subproyecto - 14.551,29€</t>
  </si>
  <si>
    <t xml:space="preserve">        66049 (Rec.Plan. OC) - 14.551,29€</t>
  </si>
  <si>
    <t xml:space="preserve">    31200.0130 - Subproyecto - 33.953,01€</t>
  </si>
  <si>
    <t xml:space="preserve">        66049 (Recep OC) - 33.953,01€</t>
  </si>
  <si>
    <t xml:space="preserve">    31200.0130 - Subproyecto - 22.311,98€</t>
  </si>
  <si>
    <t xml:space="preserve">        66049 (Recep OC) - 22.311,98€</t>
  </si>
  <si>
    <t xml:space="preserve">    31200.0130 - Subproyecto - 26.192,32€</t>
  </si>
  <si>
    <t xml:space="preserve">        66049 (Recep OC) - 26.192,32€</t>
  </si>
  <si>
    <t xml:space="preserve">        00E09-0-00F (Rec.Plan. OF) - 0,00€</t>
  </si>
  <si>
    <t xml:space="preserve">    31200.0130 - Subproyecto - 2.700,00€</t>
  </si>
  <si>
    <t xml:space="preserve">        66062 (Recep OC) - 2.700,00€</t>
  </si>
  <si>
    <t xml:space="preserve">    31200.0130 - Subproyecto - 6,78€</t>
  </si>
  <si>
    <t xml:space="preserve">        104662 (Estándar) - 6,78€</t>
  </si>
  <si>
    <t xml:space="preserve">    31200.0130 - Subproyecto - 21,00€</t>
  </si>
  <si>
    <t xml:space="preserve">        104610 (Estándar) - 21,00€</t>
  </si>
  <si>
    <t xml:space="preserve">    31200.0130 - Subproyecto - 5,08€</t>
  </si>
  <si>
    <t xml:space="preserve">        104609 (Estándar) - 5,08€</t>
  </si>
  <si>
    <t xml:space="preserve">    31200.0130 - Subproyecto - 0,77€</t>
  </si>
  <si>
    <t xml:space="preserve">        104698 (Estándar) - 0,77€</t>
  </si>
  <si>
    <t xml:space="preserve">    31200.0130 - Subproyecto - 0,33€</t>
  </si>
  <si>
    <t xml:space="preserve">        109030 (Estándar) - 0,33€</t>
  </si>
  <si>
    <t xml:space="preserve">    31200.0130 - Subproyecto - 2.542,00€</t>
  </si>
  <si>
    <t xml:space="preserve">        66075 (Recep OC) - 2.542,00€</t>
  </si>
  <si>
    <t xml:space="preserve">    31200.0130 - Subproyecto - 1.944,00€</t>
  </si>
  <si>
    <t xml:space="preserve">        66074 (Recep OC) - 1.944,00€</t>
  </si>
  <si>
    <t xml:space="preserve">        01E27-1-00F (Rec.Plan. OF) - 0,00€</t>
  </si>
  <si>
    <t xml:space="preserve">    31200.0130 - Subproyecto - 9,73€</t>
  </si>
  <si>
    <t xml:space="preserve">        141286 (Estándar) - 9,73€</t>
  </si>
  <si>
    <t xml:space="preserve">    31200.0130 - Subproyecto - 1,32€</t>
  </si>
  <si>
    <t xml:space="preserve">        104654 (Estándar) - 1,32€</t>
  </si>
  <si>
    <t xml:space="preserve">    31200.0130 - Subproyecto - 0,35€</t>
  </si>
  <si>
    <t xml:space="preserve">    31200.0130 - Subproyecto - 4,00€</t>
  </si>
  <si>
    <t xml:space="preserve">        104653 (Estándar) - 4,00€</t>
  </si>
  <si>
    <t xml:space="preserve">    31200.0130 - Subproyecto - 9,60€</t>
  </si>
  <si>
    <t xml:space="preserve">        104653 (Estándar) - 9,60€</t>
  </si>
  <si>
    <t xml:space="preserve">    31200.0130 - Subproyecto - 10,23€</t>
  </si>
  <si>
    <t xml:space="preserve">        123208 (Estándar) - 10,23€</t>
  </si>
  <si>
    <t xml:space="preserve">    31200.0130 - Subproyecto - 36,72€</t>
  </si>
  <si>
    <t xml:space="preserve">        123240 (Estándar) - 36,72€</t>
  </si>
  <si>
    <t xml:space="preserve">        123183 (Estándar) - 0,00€</t>
  </si>
  <si>
    <t xml:space="preserve">        01E27-1-00I (Rec.Plan. OF) - 0,00€</t>
  </si>
  <si>
    <t xml:space="preserve">    31200.0130 - Subproyecto - 1.334,00€</t>
  </si>
  <si>
    <t xml:space="preserve">        66076 (Recep OC) - 1.334,00€</t>
  </si>
  <si>
    <t xml:space="preserve">    31200.0130 - Subproyecto - 1.450,00€</t>
  </si>
  <si>
    <t xml:space="preserve">        66078 (Recep OC) - 1.450,00€</t>
  </si>
  <si>
    <t xml:space="preserve">    31200.0130 - Subproyecto - 1,90€</t>
  </si>
  <si>
    <t xml:space="preserve">        101375 (Estándar) - 1,90€</t>
  </si>
  <si>
    <t xml:space="preserve">    31200.0130 - Subproyecto - 15.650,33€</t>
  </si>
  <si>
    <t xml:space="preserve">        634346.0130 (Operación) - 15.650,33€</t>
  </si>
  <si>
    <t xml:space="preserve">    31200.0130 - Subproyecto - 30.908,40€</t>
  </si>
  <si>
    <t xml:space="preserve">        634346.0130 (Operación) - 30.908,40€</t>
  </si>
  <si>
    <t xml:space="preserve">        66083 (Compra) - 0,00€</t>
  </si>
  <si>
    <t xml:space="preserve">        66082 (Compra) - 0,00€</t>
  </si>
  <si>
    <t xml:space="preserve">        66081 (Compra) - 0,00€</t>
  </si>
  <si>
    <t xml:space="preserve">    31200.0130 - Subproyecto - 1,50€</t>
  </si>
  <si>
    <t xml:space="preserve">        101608 (Estándar) - 1,50€</t>
  </si>
  <si>
    <t xml:space="preserve">        101448 (Estándar) - 10,50€</t>
  </si>
  <si>
    <t xml:space="preserve">    31200.0130 - Subproyecto - 3,50€</t>
  </si>
  <si>
    <t xml:space="preserve">        101445 (Estándar) - 3,50€</t>
  </si>
  <si>
    <t xml:space="preserve">    31200.0130 - Subproyecto - 2,10€</t>
  </si>
  <si>
    <t xml:space="preserve">        101377 (Estándar) - 2,10€</t>
  </si>
  <si>
    <t xml:space="preserve">        101471 (Estándar) - 2,10€</t>
  </si>
  <si>
    <t xml:space="preserve">    31200.0130 - Subproyecto - 729,60€</t>
  </si>
  <si>
    <t xml:space="preserve">        99002 (Recep OC) - 729,60€</t>
  </si>
  <si>
    <t xml:space="preserve">    31200.0130 - Subproyecto - 1.392,00€</t>
  </si>
  <si>
    <t xml:space="preserve">        66079 (Recep OC) - 1.392,00€</t>
  </si>
  <si>
    <t xml:space="preserve">        00E16-0-00 (Rec.Plan. OF) - 0,00€</t>
  </si>
  <si>
    <t xml:space="preserve">    31200.0130 - Subproyecto - 5,74€</t>
  </si>
  <si>
    <t xml:space="preserve">        104660 (Estándar) - 5,74€</t>
  </si>
  <si>
    <t xml:space="preserve">    31200.0130 - Subproyecto - 972,00€</t>
  </si>
  <si>
    <t xml:space="preserve">        66073 (Recep OC) - 972,00€</t>
  </si>
  <si>
    <t xml:space="preserve">    31200.0130 - Subproyecto - 800,00€</t>
  </si>
  <si>
    <t xml:space="preserve">        66071 (Recep OC) - 800,00€</t>
  </si>
  <si>
    <t xml:space="preserve">    31200.0130 - Subproyecto - 0,07€</t>
  </si>
  <si>
    <t xml:space="preserve">        105199 (Estándar) - 0,07€</t>
  </si>
  <si>
    <t xml:space="preserve">    31200.0130 - Subproyecto - 0,09€</t>
  </si>
  <si>
    <t xml:space="preserve">        105200 (Estándar) - 0,09€</t>
  </si>
  <si>
    <t xml:space="preserve">    31200.0130 - Subproyecto - 0,54€</t>
  </si>
  <si>
    <t xml:space="preserve">        105202 (Estándar) - 0,54€</t>
  </si>
  <si>
    <t xml:space="preserve">    31200.0130 - Subproyecto - 3,39€</t>
  </si>
  <si>
    <t xml:space="preserve">        104662 (Estándar) - 3,39€</t>
  </si>
  <si>
    <t xml:space="preserve">        01E26-1-00I (Rec.Plan. OF) - 0,00€</t>
  </si>
  <si>
    <t xml:space="preserve">    31200.0130 - Subproyecto - 9,66€</t>
  </si>
  <si>
    <t xml:space="preserve">        104303 (Estándar) - 9,66€</t>
  </si>
  <si>
    <t xml:space="preserve">    31200.0130 - Subproyecto - 0,02€</t>
  </si>
  <si>
    <t xml:space="preserve">        105200 (Estándar) - 0,02€</t>
  </si>
  <si>
    <t xml:space="preserve">    31200.0130 - Subproyecto - 2,26€</t>
  </si>
  <si>
    <t xml:space="preserve">        104662 (Estándar) - 2,26€</t>
  </si>
  <si>
    <t xml:space="preserve">    31200.0130 - Subproyecto - 12,24€</t>
  </si>
  <si>
    <t xml:space="preserve">        123240 (Estándar) - 12,24€</t>
  </si>
  <si>
    <t xml:space="preserve">        99206 (Recep OC) - 4,00€</t>
  </si>
  <si>
    <t xml:space="preserve">        99205 (Recep OC) - 4,00€</t>
  </si>
  <si>
    <t xml:space="preserve">    31200.0130 - Subproyecto - 2,16€</t>
  </si>
  <si>
    <t xml:space="preserve">        105202 (Estándar) - 2,16€</t>
  </si>
  <si>
    <t xml:space="preserve">    31200.0130 - Subproyecto - 3,41€</t>
  </si>
  <si>
    <t xml:space="preserve">        123208 (Estándar) - 3,41€</t>
  </si>
  <si>
    <t xml:space="preserve">    31200.0130 - Subproyecto - 59,20€</t>
  </si>
  <si>
    <t xml:space="preserve">        110647 (Estándar) - 59,20€</t>
  </si>
  <si>
    <t xml:space="preserve">    31200.0130 - Subproyecto - 3.825,00€</t>
  </si>
  <si>
    <t xml:space="preserve">        66064 (Recep OC) - 3.825,00€</t>
  </si>
  <si>
    <t xml:space="preserve">    31200.0130 - Subproyecto - 9,90€</t>
  </si>
  <si>
    <t xml:space="preserve">        105974 (Estándar) - 4,00€</t>
  </si>
  <si>
    <t xml:space="preserve">    31200.0130 - Subproyecto - 0,70€</t>
  </si>
  <si>
    <t xml:space="preserve">        101377 (Estándar) - 0,70€</t>
  </si>
  <si>
    <t xml:space="preserve">    31200.0130 - Subproyecto - 2,70€</t>
  </si>
  <si>
    <t xml:space="preserve">        101448 (Estándar) - 7,00€</t>
  </si>
  <si>
    <t xml:space="preserve">    31200.0130 - Subproyecto - 7,89€</t>
  </si>
  <si>
    <t xml:space="preserve">        101450 (Estándar) - 7,89€</t>
  </si>
  <si>
    <t xml:space="preserve">    31200.0130 - Subproyecto - 5,26€</t>
  </si>
  <si>
    <t xml:space="preserve">        104634 (Estándar) - 5,26€</t>
  </si>
  <si>
    <t xml:space="preserve">    31200.0130 - Subproyecto - 1.048,00€</t>
  </si>
  <si>
    <t xml:space="preserve">        112110 (Recep OC) - 1.048,00€</t>
  </si>
  <si>
    <t xml:space="preserve">        00E15-0-00I (Rec.Plan. OF) - 0,00€</t>
  </si>
  <si>
    <t xml:space="preserve">    31200.0130 - Subproyecto - 950,00€</t>
  </si>
  <si>
    <t xml:space="preserve">        66068 (Recep OC) - 950,00€</t>
  </si>
  <si>
    <t xml:space="preserve">    31200.0130 - Subproyecto - 1.102,00€</t>
  </si>
  <si>
    <t xml:space="preserve">        66066 (Recep OC) - 1.102,00€</t>
  </si>
  <si>
    <t xml:space="preserve">    31200.0130 - Subproyecto - 4.379,00€</t>
  </si>
  <si>
    <t xml:space="preserve">        66065 (Recep OC) - 4.379,00€</t>
  </si>
  <si>
    <t xml:space="preserve">    31200.0130 - Subproyecto - 2.190,00€</t>
  </si>
  <si>
    <t xml:space="preserve">        66072 (Recep OC) - 2.190,00€</t>
  </si>
  <si>
    <t xml:space="preserve">    31200.0130 - Subproyecto - 10,00€</t>
  </si>
  <si>
    <t xml:space="preserve">        104659 (Estándar) - 10,00€</t>
  </si>
  <si>
    <t xml:space="preserve">    31200.0130 - Subproyecto - 1,10€</t>
  </si>
  <si>
    <t xml:space="preserve">        109117 (Estándar) - 1,10€</t>
  </si>
  <si>
    <t xml:space="preserve">        104608 (Estándar) - 11,10€</t>
  </si>
  <si>
    <t xml:space="preserve">    31200.0130 - Subproyecto - 7,50€</t>
  </si>
  <si>
    <t xml:space="preserve">        101445 (Estándar) - 7,50€</t>
  </si>
  <si>
    <t xml:space="preserve">    31200.0130 - Subproyecto - 6,06€</t>
  </si>
  <si>
    <t xml:space="preserve">        104606 (Estándar) - 6,06€</t>
  </si>
  <si>
    <t xml:space="preserve">    31200.0130 - Subproyecto - 9,21€</t>
  </si>
  <si>
    <t xml:space="preserve">        101450 (Estándar) - 9,21€</t>
  </si>
  <si>
    <t xml:space="preserve">    31200.0130 - Subproyecto - 4,32€</t>
  </si>
  <si>
    <t xml:space="preserve">        101378 (Estándar) - 4,32€</t>
  </si>
  <si>
    <t xml:space="preserve">    31200.0130 - Subproyecto - 6,25€</t>
  </si>
  <si>
    <t xml:space="preserve">        105242 (Estándar) - 6,25€</t>
  </si>
  <si>
    <t xml:space="preserve">    31200.0130 - Subproyecto - 40,71€</t>
  </si>
  <si>
    <t xml:space="preserve">        101444 (Estándar) - 40,71€</t>
  </si>
  <si>
    <t xml:space="preserve">    31200.0130 - Subproyecto - 4,50€</t>
  </si>
  <si>
    <t xml:space="preserve">        104620 (Estándar) - 4,50€</t>
  </si>
  <si>
    <t xml:space="preserve">    31200.0130 - Subproyecto - 20,70€</t>
  </si>
  <si>
    <t xml:space="preserve">        105976 (Estándar) - 20,70€</t>
  </si>
  <si>
    <t xml:space="preserve">        105280 (Estándar) - 9,60€</t>
  </si>
  <si>
    <t xml:space="preserve">    31200.0130 - Subproyecto - 1,54€</t>
  </si>
  <si>
    <t xml:space="preserve">        101451 (Estándar) - 1,54€</t>
  </si>
  <si>
    <t xml:space="preserve">    31200.0130 - Subproyecto - 0,23€</t>
  </si>
  <si>
    <t xml:space="preserve">        101376 (Estándar) - 0,23€</t>
  </si>
  <si>
    <t xml:space="preserve">    31200.0130 - Subproyecto - 1,06€</t>
  </si>
  <si>
    <t xml:space="preserve">        105977 (Estándar) - 1,06€</t>
  </si>
  <si>
    <t xml:space="preserve">    31200.0130 - Subproyecto - 5,82€</t>
  </si>
  <si>
    <t xml:space="preserve">        101452 (Estándar) - 5,82€</t>
  </si>
  <si>
    <t xml:space="preserve">        101377 (Estándar) - 1,06€</t>
  </si>
  <si>
    <t xml:space="preserve">    31200.0130 - Subproyecto - 3,36€</t>
  </si>
  <si>
    <t xml:space="preserve">        104652 (Estándar) - 3,36€</t>
  </si>
  <si>
    <t xml:space="preserve">        104670 (Estándar) - 0,00€</t>
  </si>
  <si>
    <t xml:space="preserve">    31200.0130 - Subproyecto - 0,11€</t>
  </si>
  <si>
    <t xml:space="preserve">        101378 (Estándar) - 0,11€</t>
  </si>
  <si>
    <t xml:space="preserve">    31200.0130 - Subproyecto - 0,32€</t>
  </si>
  <si>
    <t xml:space="preserve">        105974 (Estándar) - 0,32€</t>
  </si>
  <si>
    <t xml:space="preserve">    31200.0130 - Subproyecto - 4,33€</t>
  </si>
  <si>
    <t xml:space="preserve">        104690 (Estándar) - 4,33€</t>
  </si>
  <si>
    <t xml:space="preserve">    31200.0130 - Subproyecto - 0,60€</t>
  </si>
  <si>
    <t xml:space="preserve">        105242 (Estándar) - 0,60€</t>
  </si>
  <si>
    <t xml:space="preserve">    31200.0130 - Subproyecto - 1,58€</t>
  </si>
  <si>
    <t xml:space="preserve">        110595 (Estándar) - 1,58€</t>
  </si>
  <si>
    <t xml:space="preserve">    31200.0130 - Subproyecto - 9,88€</t>
  </si>
  <si>
    <t xml:space="preserve">        104724 (Estándar) - 9,88€</t>
  </si>
  <si>
    <t xml:space="preserve">        105244 (Estándar) - 0,00€</t>
  </si>
  <si>
    <t xml:space="preserve">    31200.0130 - Subproyecto - 2,88€</t>
  </si>
  <si>
    <t xml:space="preserve">        110597 (Estándar) - 2,88€</t>
  </si>
  <si>
    <t xml:space="preserve">    31200.0130 - Subproyecto - 13,47€</t>
  </si>
  <si>
    <t xml:space="preserve">        105050 (Estándar) - 13,47€</t>
  </si>
  <si>
    <t xml:space="preserve">    31200.0130 - Subproyecto - 19,60€</t>
  </si>
  <si>
    <t xml:space="preserve">        105049 (Estándar) - 19,60€</t>
  </si>
  <si>
    <t xml:space="preserve">    31200.0130 - Subproyecto - 27,39€</t>
  </si>
  <si>
    <t xml:space="preserve">        105978 (Estándar) - 27,39€</t>
  </si>
  <si>
    <t xml:space="preserve">    31200.0130 - Subproyecto - 5,02€</t>
  </si>
  <si>
    <t xml:space="preserve">        105978 (Estándar) - 5,02€</t>
  </si>
  <si>
    <t xml:space="preserve">    31200.0130 - Subproyecto - 3,01€</t>
  </si>
  <si>
    <t xml:space="preserve">        101471 (Estándar) - 3,01€</t>
  </si>
  <si>
    <t xml:space="preserve">    31200.0130 - Subproyecto - 7,20€</t>
  </si>
  <si>
    <t xml:space="preserve">        101376 (Estándar) - 7,20€</t>
  </si>
  <si>
    <t xml:space="preserve">    31200.0130 - Subproyecto - 1,02€</t>
  </si>
  <si>
    <t xml:space="preserve">        104832 (Estándar) - 1,02€</t>
  </si>
  <si>
    <t xml:space="preserve">    31200.0130 - Subproyecto - 2.030,39€</t>
  </si>
  <si>
    <t xml:space="preserve">        66013 (Recep OC) - 2.030,39€</t>
  </si>
  <si>
    <t xml:space="preserve">    31200.0130 - Subproyecto - 4.060,78€</t>
  </si>
  <si>
    <t xml:space="preserve">        66013 (Recep OC) - 4.060,78€</t>
  </si>
  <si>
    <t xml:space="preserve">    31200.0130 - Subproyecto - 1.015,20€</t>
  </si>
  <si>
    <t xml:space="preserve">        66013 (Recep OC) - 1.015,20€</t>
  </si>
  <si>
    <t xml:space="preserve">        01E09-1-00I (Rec.Plan. OF) - 0,00€</t>
  </si>
  <si>
    <t xml:space="preserve">    31200.0130 - Subproyecto - 2.604,44€</t>
  </si>
  <si>
    <t xml:space="preserve">        138727 (Recep OC) - 2.604,44€</t>
  </si>
  <si>
    <t xml:space="preserve">    31200.0130 - Subproyecto - 2.407,78€</t>
  </si>
  <si>
    <t xml:space="preserve">        143477 (Recep OC) - 2.407,78€</t>
  </si>
  <si>
    <t xml:space="preserve">        00E01-0-00I (Rec.Plan. OF) - 0,00€</t>
  </si>
  <si>
    <t xml:space="preserve">        66022 (Compra) - 0,00€</t>
  </si>
  <si>
    <t xml:space="preserve">        66023 (Compra) - 0,00€</t>
  </si>
  <si>
    <t xml:space="preserve">        66024 (Compra) - 0,00€</t>
  </si>
  <si>
    <t xml:space="preserve">    31200.0130 - Subproyecto - 8.910,00€</t>
  </si>
  <si>
    <t xml:space="preserve">        66025 (Recep OC) - 8.910,00€</t>
  </si>
  <si>
    <t xml:space="preserve">    31200.0130 - Subproyecto - 4,75€</t>
  </si>
  <si>
    <t xml:space="preserve">        101374 (Estándar) - 4,75€</t>
  </si>
  <si>
    <t xml:space="preserve">    31200.0130 - Subproyecto - 316,00€</t>
  </si>
  <si>
    <t xml:space="preserve">        66028 (Recep OC) - 316,00€</t>
  </si>
  <si>
    <t xml:space="preserve">        00E02-0-00I (Rec.Plan. OF) - 0,00€</t>
  </si>
  <si>
    <t xml:space="preserve">    31200.0130 - Subproyecto - 1.217,74€</t>
  </si>
  <si>
    <t xml:space="preserve">        99112 (Recep OC) - 1.217,74€</t>
  </si>
  <si>
    <t xml:space="preserve">    31200.0130 - Subproyecto - 32,71€</t>
  </si>
  <si>
    <t xml:space="preserve">        136290 (Recep OC) - 32,71€</t>
  </si>
  <si>
    <t xml:space="preserve">    31200.0130 - Subproyecto - 58,91€</t>
  </si>
  <si>
    <t xml:space="preserve">        141286 (Recep OC) - 58,91€</t>
  </si>
  <si>
    <t xml:space="preserve">    31200.0130 - Subproyecto - 118.000,00€</t>
  </si>
  <si>
    <t xml:space="preserve">        66030 (Recep OC) - 118.000,00€</t>
  </si>
  <si>
    <t xml:space="preserve">        01E14-1-00 (Rec.Plan. OF) - 0,00€</t>
  </si>
  <si>
    <t xml:space="preserve">    31200.0130 - Subproyecto - 321,62€</t>
  </si>
  <si>
    <t xml:space="preserve">        145589 (Recep OC) - 321,62€</t>
  </si>
  <si>
    <t xml:space="preserve">    31200.0130 - Subproyecto - 45,95€</t>
  </si>
  <si>
    <t xml:space="preserve">        145589 (Recep OC) - 45,95€</t>
  </si>
  <si>
    <t xml:space="preserve">    31200.0130 - Subproyecto - 54,00€</t>
  </si>
  <si>
    <t xml:space="preserve">        99125 (Recep OC) - 54,00€</t>
  </si>
  <si>
    <t xml:space="preserve">        01E15-1-00I (Rec.Plan. OF) - 0,00€</t>
  </si>
  <si>
    <t xml:space="preserve">    31200.0130 - Subproyecto - 11,88€</t>
  </si>
  <si>
    <t xml:space="preserve">        132508 (Recep OC) - 11,88€</t>
  </si>
  <si>
    <t xml:space="preserve">    31200.0130 - Subproyecto - 10,72€</t>
  </si>
  <si>
    <t xml:space="preserve">        104744 (Estándar) - 10,72€</t>
  </si>
  <si>
    <t xml:space="preserve">    31200.0130 - Subproyecto - 0,75€</t>
  </si>
  <si>
    <t xml:space="preserve">        104839 (Estándar) - 0,75€</t>
  </si>
  <si>
    <t xml:space="preserve">    31200.0130 - Subproyecto - 16,65€</t>
  </si>
  <si>
    <t xml:space="preserve">        101447 (Estándar) - 16,65€</t>
  </si>
  <si>
    <t xml:space="preserve">    31200.0130 - Subproyecto - 8,08€</t>
  </si>
  <si>
    <t xml:space="preserve">        104606 (Estándar) - 8,08€</t>
  </si>
  <si>
    <t xml:space="preserve">    31200.0130 - Subproyecto - 6,16€</t>
  </si>
  <si>
    <t xml:space="preserve">        101452 (Estándar) - 6,16€</t>
  </si>
  <si>
    <t xml:space="preserve">        01E18-1-00 (Rec.Plan. OF) - 0,00€</t>
  </si>
  <si>
    <t xml:space="preserve">        00E06-0-00I (Rec.Plan. OF) - 0,00€</t>
  </si>
  <si>
    <t xml:space="preserve">        00E07-0-00F (Rec.Plan. OF) - 0,00€</t>
  </si>
  <si>
    <t xml:space="preserve">        00E07-0-00I (Rec.Plan. OF) - 0,00€</t>
  </si>
  <si>
    <t xml:space="preserve">    31200.0130 - Subproyecto - 40,98€</t>
  </si>
  <si>
    <t xml:space="preserve">        104253 (Estándar) - 40,98€</t>
  </si>
  <si>
    <t xml:space="preserve">    31200.0130 - Subproyecto - 39,00€</t>
  </si>
  <si>
    <t xml:space="preserve">        104150 (Estándar) - 39,00€</t>
  </si>
  <si>
    <t xml:space="preserve">    31200.0130 - Subproyecto - 100,98€</t>
  </si>
  <si>
    <t xml:space="preserve">        104227 (Estándar) - 100,98€</t>
  </si>
  <si>
    <t xml:space="preserve">    31200.0130 - Subproyecto - 11,34€</t>
  </si>
  <si>
    <t xml:space="preserve">        104189 (Estándar) - 11,34€</t>
  </si>
  <si>
    <t xml:space="preserve">        109118 (Estándar) - 1,10€</t>
  </si>
  <si>
    <t xml:space="preserve">    31200.0130 - Subproyecto - 10,88€</t>
  </si>
  <si>
    <t xml:space="preserve">        105281 (Estándar) - 10,88€</t>
  </si>
  <si>
    <t xml:space="preserve">    31200.0130 - Subproyecto - 210,24€</t>
  </si>
  <si>
    <t xml:space="preserve">        141630 (Recep OC) - 210,24€</t>
  </si>
  <si>
    <t xml:space="preserve">    31200.0130 - Subproyecto - 11,72€</t>
  </si>
  <si>
    <t xml:space="preserve">        104242 (Estándar) - 11,72€</t>
  </si>
  <si>
    <t xml:space="preserve">    31200.0130 - Subproyecto - 15,52€</t>
  </si>
  <si>
    <t xml:space="preserve">        104202 (Estándar) - 15,52€</t>
  </si>
  <si>
    <t xml:space="preserve">    31200.0130 - Subproyecto - 24,96€</t>
  </si>
  <si>
    <t xml:space="preserve">        99165 (Recep OC) - 24,96€</t>
  </si>
  <si>
    <t xml:space="preserve">    31200.0130 - Subproyecto - 0,52€</t>
  </si>
  <si>
    <t xml:space="preserve">        105051 (Estándar) - 0,52€</t>
  </si>
  <si>
    <t xml:space="preserve">    31200.0130 - Subproyecto - 215,56€</t>
  </si>
  <si>
    <t xml:space="preserve">        143948 (Recep OC) - 215,56€</t>
  </si>
  <si>
    <t xml:space="preserve">    31200.0130 - Subproyecto - 143,00€</t>
  </si>
  <si>
    <t xml:space="preserve">        116472 (Estándar) - 143,00€</t>
  </si>
  <si>
    <t xml:space="preserve">    31200.0130 - Subproyecto - 6,75€</t>
  </si>
  <si>
    <t xml:space="preserve">        138502 (Estándar) - 6,75€</t>
  </si>
  <si>
    <t xml:space="preserve">        00N01-0-00 (Rec.Plan. OF) - 0,00€</t>
  </si>
  <si>
    <t xml:space="preserve">        00E08-0-00 (Rec.Plan. OF) - 0,00€</t>
  </si>
  <si>
    <t xml:space="preserve">    31200.0130 - Subproyecto - 44,04€</t>
  </si>
  <si>
    <t xml:space="preserve">        66042 (Recep OC) - 44,04€</t>
  </si>
  <si>
    <t xml:space="preserve">    31200.0130 - Subproyecto - 4.569,20€</t>
  </si>
  <si>
    <t xml:space="preserve">        130675 (Recep OC) - 4.569,20€</t>
  </si>
  <si>
    <t xml:space="preserve">    31200.0130 - Subproyecto - 17,50€</t>
  </si>
  <si>
    <t xml:space="preserve">    31200.0130 - Subproyecto - 12,50€</t>
  </si>
  <si>
    <t xml:space="preserve">        101446 (Estándar) - 12,50€</t>
  </si>
  <si>
    <t xml:space="preserve">    31200.0130 - Subproyecto - 12,90€</t>
  </si>
  <si>
    <t xml:space="preserve">        104619 (Estándar) - 12,90€</t>
  </si>
  <si>
    <t xml:space="preserve">    31200.0130 - Subproyecto - 5,60€</t>
  </si>
  <si>
    <t xml:space="preserve">        101452 (Estándar) - 5,60€</t>
  </si>
  <si>
    <t xml:space="preserve">    31200.0130 - Subproyecto - 9,59€</t>
  </si>
  <si>
    <t xml:space="preserve">        104639 (Estándar) - 9,59€</t>
  </si>
  <si>
    <t xml:space="preserve">        104636 (Estándar) - 12,50€</t>
  </si>
  <si>
    <t xml:space="preserve">    31200.0130 - Subproyecto - 5,21€</t>
  </si>
  <si>
    <t xml:space="preserve">        104635 (Estándar) - 5,21€</t>
  </si>
  <si>
    <t xml:space="preserve">    31200.0130 - Subproyecto - 536,90€</t>
  </si>
  <si>
    <t xml:space="preserve">        143948 (Recep OC) - 536,90€</t>
  </si>
  <si>
    <t xml:space="preserve">    31200.0130 - Subproyecto - 0,36€</t>
  </si>
  <si>
    <t xml:space="preserve">        105050 (Estándar) - 0,36€</t>
  </si>
  <si>
    <t xml:space="preserve">    31200.0130 - Subproyecto - 16,56€</t>
  </si>
  <si>
    <t xml:space="preserve">        104675 (Estándar) - 16,56€</t>
  </si>
  <si>
    <t xml:space="preserve">    31200.0130 - Subproyecto - 16,00€</t>
  </si>
  <si>
    <t xml:space="preserve">        104674 (Estándar) - 16,00€</t>
  </si>
  <si>
    <t xml:space="preserve">        104654 (Estándar) - 0,00€</t>
  </si>
  <si>
    <t xml:space="preserve">    31200.0130 - Subproyecto - 6,30€</t>
  </si>
  <si>
    <t xml:space="preserve">        104656 (Estándar) - 6,30€</t>
  </si>
  <si>
    <t xml:space="preserve">    31200.0130 - Subproyecto - 68,22€</t>
  </si>
  <si>
    <t xml:space="preserve">        105976 (Estándar) - 68,22€</t>
  </si>
  <si>
    <t xml:space="preserve">    31200.0130 - Subproyecto - 4,12€</t>
  </si>
  <si>
    <t xml:space="preserve">        104724 (Estándar) - 4,12€</t>
  </si>
  <si>
    <t xml:space="preserve">    31200.0130 - Subproyecto - 1,92€</t>
  </si>
  <si>
    <t xml:space="preserve">        110597 (Estándar) - 1,92€</t>
  </si>
  <si>
    <t xml:space="preserve">        105040 (Estándar) - 0,00€</t>
  </si>
  <si>
    <t xml:space="preserve">    31200.0130 - Subproyecto - 18,81€</t>
  </si>
  <si>
    <t xml:space="preserve">        105039 (Estándar) - 18,81€</t>
  </si>
  <si>
    <t xml:space="preserve">        105041 (Estándar) - 0,00€</t>
  </si>
  <si>
    <t xml:space="preserve">    31200.0130 - Subproyecto - 198,62€</t>
  </si>
  <si>
    <t xml:space="preserve">        99150 (Recep OC) - 198,62€</t>
  </si>
  <si>
    <t xml:space="preserve">    31200.0130 - Subproyecto - 3,42€</t>
  </si>
  <si>
    <t xml:space="preserve">        105052 (Estándar) - 3,42€</t>
  </si>
  <si>
    <t xml:space="preserve">    31200.0130 - Subproyecto - 0,49€</t>
  </si>
  <si>
    <t xml:space="preserve">        101378 (Estándar) - 0,49€</t>
  </si>
  <si>
    <t xml:space="preserve">        104725 (Estándar) - 2,10€</t>
  </si>
  <si>
    <t xml:space="preserve">    31200.0130 - Subproyecto - 2.100,00€</t>
  </si>
  <si>
    <t xml:space="preserve">        99151 (Recep OC) - 2.100,00€</t>
  </si>
  <si>
    <t xml:space="preserve">        00E05-0-00F (Rec.Plan. OF) - 0,00€</t>
  </si>
  <si>
    <t xml:space="preserve">    31200.0130 - Subproyecto - 20,52€</t>
  </si>
  <si>
    <t xml:space="preserve">        123208 (Recep OC) - 20,52€</t>
  </si>
  <si>
    <t xml:space="preserve">    31200.0130 - Subproyecto - 60,00€</t>
  </si>
  <si>
    <t xml:space="preserve">        66038 (Recep OC) - 60,00€</t>
  </si>
  <si>
    <t xml:space="preserve">    31200.0130 - Subproyecto - 73,44€</t>
  </si>
  <si>
    <t xml:space="preserve">        123240 (Recep OC) - 73,44€</t>
  </si>
  <si>
    <t xml:space="preserve">        01E16-1-00I (Rec.Plan. OF) - 0,00€</t>
  </si>
  <si>
    <t xml:space="preserve">        00E03-0-00I (Rec.Plan. OF) - 0,00€</t>
  </si>
  <si>
    <t xml:space="preserve">        00E03-0-00F (Rec.Plan. OF) - 0,00€</t>
  </si>
  <si>
    <t xml:space="preserve">        00N00-0-00 (Rec.Plan. OF) - 0,00€</t>
  </si>
  <si>
    <t xml:space="preserve">    31200.0130 - Subproyecto - 45,12€</t>
  </si>
  <si>
    <t xml:space="preserve">        104250 (Estándar) - 45,12€</t>
  </si>
  <si>
    <t xml:space="preserve">        104652 (Estándar) - 1,54€</t>
  </si>
  <si>
    <t xml:space="preserve">    31200.0130 - Subproyecto - 26,00€</t>
  </si>
  <si>
    <t xml:space="preserve">        104672 (Estándar) - 26,00€</t>
  </si>
  <si>
    <t xml:space="preserve">    31200.0130 - Subproyecto - 195,00€</t>
  </si>
  <si>
    <t xml:space="preserve">        66037 (Recep OC) - 195,00€</t>
  </si>
  <si>
    <t xml:space="preserve">    31200.0130 - Subproyecto - 16,10€</t>
  </si>
  <si>
    <t xml:space="preserve">        110646 (Estándar) - 16,10€</t>
  </si>
  <si>
    <t xml:space="preserve">    31200.0130 - Subproyecto - 13,20€</t>
  </si>
  <si>
    <t xml:space="preserve">        123183 (Recep OC) - 13,20€</t>
  </si>
  <si>
    <t xml:space="preserve">    31200.0130 - Subproyecto - 59,98€</t>
  </si>
  <si>
    <t xml:space="preserve">        21006.00.001.004 (Estándar) - 59,98€</t>
  </si>
  <si>
    <t xml:space="preserve">    31200.0130 - Subproyecto - 52,10€</t>
  </si>
  <si>
    <t xml:space="preserve">        99152 (Recep OC) - 52,10€</t>
  </si>
  <si>
    <t xml:space="preserve">    31200.0130 - Subproyecto - 204,77€</t>
  </si>
  <si>
    <t xml:space="preserve">            100755 (Recep OC) - 204,77€</t>
  </si>
  <si>
    <t xml:space="preserve">    31200.0130 - Subproyecto - 867,04€</t>
  </si>
  <si>
    <t xml:space="preserve">            100755 (Recep OC) - 867,04€</t>
  </si>
  <si>
    <t xml:space="preserve">    31200.0130 - Subproyecto - 571,52€</t>
  </si>
  <si>
    <t xml:space="preserve">            140606 (Recep OC) - 571,52€</t>
  </si>
  <si>
    <t xml:space="preserve">    31200.0130 - Subproyecto - 39,28€</t>
  </si>
  <si>
    <t xml:space="preserve">            123191 (Estándar) - 39,28€</t>
  </si>
  <si>
    <t xml:space="preserve">    31200.0130 - Subproyecto - 358,32€</t>
  </si>
  <si>
    <t xml:space="preserve">            99154 (Recep OC) - 358,32€</t>
  </si>
  <si>
    <t xml:space="preserve">            144814 (Estándar) - 0,00€</t>
  </si>
  <si>
    <t xml:space="preserve">    31200.0130 - Subproyecto - 1.291,05€</t>
  </si>
  <si>
    <t xml:space="preserve">            146117 (Recep OC) - 1.291,05€</t>
  </si>
  <si>
    <t xml:space="preserve">            99150 (Recep OC) - 198,62€</t>
  </si>
  <si>
    <t xml:space="preserve">            99153 (Recep OC) - 358,32€</t>
  </si>
  <si>
    <t xml:space="preserve">            99159 (Recep OC) - 44,40€</t>
  </si>
  <si>
    <t xml:space="preserve">    31200.0130 - Subproyecto - 30,90€</t>
  </si>
  <si>
    <t xml:space="preserve">            138584 (Recep OC) - 30,90€</t>
  </si>
  <si>
    <t xml:space="preserve">    31200.0130 - Subproyecto - 173,52€</t>
  </si>
  <si>
    <t xml:space="preserve">            140936 (Recep OC) - 173,52€</t>
  </si>
  <si>
    <t xml:space="preserve">    31200.0130 - Subproyecto - 52,00€</t>
  </si>
  <si>
    <t xml:space="preserve">            133628 (Recep OC) - 52,00€</t>
  </si>
  <si>
    <t xml:space="preserve">    31200.0130 - Subproyecto - 40,00€</t>
  </si>
  <si>
    <t xml:space="preserve">            133628 (Recep OC) - 40,00€</t>
  </si>
  <si>
    <t xml:space="preserve">    31200.0130 - Subproyecto - 142,40€</t>
  </si>
  <si>
    <t xml:space="preserve">            146016 (Recep OC) - 142,40€</t>
  </si>
  <si>
    <t xml:space="preserve">    31200.0130 - Subproyecto - 35,50€</t>
  </si>
  <si>
    <t xml:space="preserve">            142261 (Recep OC) - 35,50€</t>
  </si>
  <si>
    <t xml:space="preserve">    31200.0130 - Subproyecto - 4,73€</t>
  </si>
  <si>
    <t xml:space="preserve">            123207 (Estándar) - 4,73€</t>
  </si>
  <si>
    <t xml:space="preserve">    31200.0130 - Subproyecto - 66,88€</t>
  </si>
  <si>
    <t xml:space="preserve">            116245 (Recep OC) - 66,88€</t>
  </si>
  <si>
    <t xml:space="preserve">    31200.0130 - Subproyecto - 15,45€</t>
  </si>
  <si>
    <t xml:space="preserve">            138584 (Recep OC) - 15,45€</t>
  </si>
  <si>
    <t xml:space="preserve">    31200.0130 - Subproyecto - 108,15€</t>
  </si>
  <si>
    <t xml:space="preserve">            138584 (Recep OC) - 108,15€</t>
  </si>
  <si>
    <t xml:space="preserve">            123065 (Estándar) - 0,00€</t>
  </si>
  <si>
    <t xml:space="preserve">    31200.0130 - Subproyecto - 101,40€</t>
  </si>
  <si>
    <t xml:space="preserve">            99158 (Recep OC) - 101,40€</t>
  </si>
  <si>
    <t xml:space="preserve">    31200.0130 - Subproyecto - 43,90€</t>
  </si>
  <si>
    <t xml:space="preserve">            123191 (Estándar) - 43,90€</t>
  </si>
  <si>
    <t xml:space="preserve">    31200.0130 - Subproyecto - 1.234,70€</t>
  </si>
  <si>
    <t xml:space="preserve">            144470 (Recep OC) - 1.234,70€</t>
  </si>
  <si>
    <t xml:space="preserve">    31200.0130 - Subproyecto - 520,80€</t>
  </si>
  <si>
    <t xml:space="preserve">            145139 (Recep OC) - 520,80€</t>
  </si>
  <si>
    <t xml:space="preserve">    31200.0130 - Subproyecto - 52,65€</t>
  </si>
  <si>
    <t xml:space="preserve">            117356 (Estándar) - 52,65€</t>
  </si>
  <si>
    <t xml:space="preserve">    31200.0130 - Subproyecto - 92,50€</t>
  </si>
  <si>
    <t xml:space="preserve">            146049 (Recep OC) - 92,50€</t>
  </si>
  <si>
    <t xml:space="preserve">    31200.0130 - Subproyecto - 32,50€</t>
  </si>
  <si>
    <t xml:space="preserve">            104153 (Estándar) - 32,50€</t>
  </si>
  <si>
    <t xml:space="preserve">    31200.0130 - Subproyecto - 27,24€</t>
  </si>
  <si>
    <t xml:space="preserve">            21020.00.401.420 (Estándar) - 27,24€</t>
  </si>
  <si>
    <t xml:space="preserve">    31200.0130 - Subproyecto - 3,20€</t>
  </si>
  <si>
    <t xml:space="preserve">            21020.00.401.430 (Estándar) - 3,20€</t>
  </si>
  <si>
    <t xml:space="preserve">    31200.0130 - Subproyecto - 9,00€</t>
  </si>
  <si>
    <t xml:space="preserve">            101282 (Estándar) - 9,00€</t>
  </si>
  <si>
    <t xml:space="preserve">    31200.0130 - Subproyecto - 6,24€</t>
  </si>
  <si>
    <t xml:space="preserve">            101287 (Estándar) - 6,24€</t>
  </si>
  <si>
    <t xml:space="preserve">    31200.0130 - Subproyecto - 5,13€</t>
  </si>
  <si>
    <t xml:space="preserve">            101289 (Estándar) - 5,13€</t>
  </si>
  <si>
    <t xml:space="preserve">    31200.0130 - Subproyecto - 7,44€</t>
  </si>
  <si>
    <t xml:space="preserve">            101290 (Estándar) - 7,44€</t>
  </si>
  <si>
    <t xml:space="preserve">    31200.0130 - Subproyecto - 8,16€</t>
  </si>
  <si>
    <t xml:space="preserve">            101291 (Estándar) - 8,16€</t>
  </si>
  <si>
    <t xml:space="preserve">    31200.0130 - Subproyecto - 1.248,78€</t>
  </si>
  <si>
    <t xml:space="preserve">            138104 (Recep OC) - 1.248,78€</t>
  </si>
  <si>
    <t xml:space="preserve">            144470 (Compra) - 0,00€</t>
  </si>
  <si>
    <t xml:space="preserve">    31200.0130 - Subproyecto - 247,80€</t>
  </si>
  <si>
    <t xml:space="preserve">            143066 (Recep OC) - 247,80€</t>
  </si>
  <si>
    <t xml:space="preserve">            141630 (Recep OC) - 210,24€</t>
  </si>
  <si>
    <t xml:space="preserve">    31200.0130 - Subproyecto - 153,40€</t>
  </si>
  <si>
    <t xml:space="preserve">            141631 (Recep OC) - 153,40€</t>
  </si>
  <si>
    <t xml:space="preserve">    31200.0130 - Subproyecto - 216,76€</t>
  </si>
  <si>
    <t xml:space="preserve">            100755 (Recep OC) - 216,76€</t>
  </si>
  <si>
    <t xml:space="preserve">    31200.0130 - Subproyecto - 165,60€</t>
  </si>
  <si>
    <t xml:space="preserve">            141272 (Recep OC) - 165,60€</t>
  </si>
  <si>
    <t xml:space="preserve">    31200.0130 - Subproyecto - 386,40€</t>
  </si>
  <si>
    <t xml:space="preserve">            141272 (Recep OC) - 386,40€</t>
  </si>
  <si>
    <t xml:space="preserve">    31200.0130 - Subproyecto - 37,20€</t>
  </si>
  <si>
    <t xml:space="preserve">            145139 (Recep OC) - 37,20€</t>
  </si>
  <si>
    <t xml:space="preserve">    31200.0130 - Subproyecto - 35,04€</t>
  </si>
  <si>
    <t xml:space="preserve">            123065 (Estándar) - 35,04€</t>
  </si>
  <si>
    <t xml:space="preserve">    31200.0130 - Subproyecto - 20,47€</t>
  </si>
  <si>
    <t xml:space="preserve">            126344 (Recep OC) - 20,47€</t>
  </si>
  <si>
    <t xml:space="preserve">    31200.0130 - Subproyecto - 346,68€</t>
  </si>
  <si>
    <t xml:space="preserve">            141091 (Recep OC) - 346,68€</t>
  </si>
  <si>
    <t xml:space="preserve">            104832 (Estándar) - 0,77€</t>
  </si>
  <si>
    <t xml:space="preserve">    31200.0130 - Subproyecto - 355,86€</t>
  </si>
  <si>
    <t xml:space="preserve">            142113 (Recep OC) - 355,86€</t>
  </si>
  <si>
    <t xml:space="preserve">    31200.0130 - Subproyecto - 296,00€</t>
  </si>
  <si>
    <t xml:space="preserve">            100706 (Recep OC) - 296,00€</t>
  </si>
  <si>
    <t xml:space="preserve">    31200.0130 - Subproyecto - 933,00€</t>
  </si>
  <si>
    <t xml:space="preserve">            100712 (Recep OC) - 933,00€</t>
  </si>
  <si>
    <t xml:space="preserve">    31200.0130 - Subproyecto - 35,00€</t>
  </si>
  <si>
    <t xml:space="preserve">            126224 (Recep OC) - 35,00€</t>
  </si>
  <si>
    <t xml:space="preserve">            126224 (Recep OC) - 17,50€</t>
  </si>
  <si>
    <t xml:space="preserve">    31200.0130 - Subproyecto - 45,00€</t>
  </si>
  <si>
    <t xml:space="preserve">            126225 (Recep OC) - 45,00€</t>
  </si>
  <si>
    <t xml:space="preserve">    31200.0130 - Subproyecto - 22,50€</t>
  </si>
  <si>
    <t xml:space="preserve">            126225 (Recep OC) - 22,50€</t>
  </si>
  <si>
    <t xml:space="preserve">            140833 (Recep OC) - 16,10€</t>
  </si>
  <si>
    <t xml:space="preserve">    31200.0130 - Subproyecto - 55,00€</t>
  </si>
  <si>
    <t xml:space="preserve">            143850 (Recep OC) - 55,00€</t>
  </si>
  <si>
    <t xml:space="preserve">    31200.0130 - Subproyecto - 46,55€</t>
  </si>
  <si>
    <t xml:space="preserve">            144374 (Recep OC) - 46,55€</t>
  </si>
  <si>
    <t xml:space="preserve">    31200.0130 - Subproyecto - 188,64€</t>
  </si>
  <si>
    <t xml:space="preserve">            145513 (Recep OC) - 188,64€</t>
  </si>
  <si>
    <t xml:space="preserve">    31200.0130 - Subproyecto - 189,90€</t>
  </si>
  <si>
    <t xml:space="preserve">            139197 (Recep OC) - 189,90€</t>
  </si>
  <si>
    <t xml:space="preserve">    31200.0130 - Subproyecto - 1.250,00€</t>
  </si>
  <si>
    <t xml:space="preserve">            140831 (Recep OC) - 1.250,00€</t>
  </si>
  <si>
    <t xml:space="preserve">    31200.0130 - Subproyecto - 0,90€</t>
  </si>
  <si>
    <t xml:space="preserve">            122390 (Recep OC) - 0,90€</t>
  </si>
  <si>
    <t xml:space="preserve">    31200.0130 - Subproyecto - 54,90€</t>
  </si>
  <si>
    <t xml:space="preserve">            144641 (Recep OC) - 54,90€</t>
  </si>
  <si>
    <t xml:space="preserve">    31200.0130 - Subproyecto - 74,25€</t>
  </si>
  <si>
    <t xml:space="preserve">            131690 (Recep OC) - 74,25€</t>
  </si>
  <si>
    <t xml:space="preserve">    31200.0130 - Subproyecto - 191,90€</t>
  </si>
  <si>
    <t xml:space="preserve">            133477 (Recep OC) - 191,90€</t>
  </si>
  <si>
    <t xml:space="preserve">    31200.0130 - Subproyecto - 75,33€</t>
  </si>
  <si>
    <t xml:space="preserve">            137924 (Recep OC) - 75,33€</t>
  </si>
  <si>
    <t xml:space="preserve">    31200.0130 - Subproyecto - 234,75€</t>
  </si>
  <si>
    <t xml:space="preserve">            141090 (Recep OC) - 234,75€</t>
  </si>
  <si>
    <t xml:space="preserve">    31200.0130 - Subproyecto - 115,56€</t>
  </si>
  <si>
    <t xml:space="preserve">            141091 (Recep OC) - 115,56€</t>
  </si>
  <si>
    <t xml:space="preserve">    31200.0130 - Subproyecto - 244,95€</t>
  </si>
  <si>
    <t xml:space="preserve">            142028 (Recep OC) - 244,95€</t>
  </si>
  <si>
    <t xml:space="preserve">    31200.0130 - Subproyecto - 118,62€</t>
  </si>
  <si>
    <t xml:space="preserve">            142113 (Recep OC) - 118,62€</t>
  </si>
  <si>
    <t xml:space="preserve">    31200.0130 - Subproyecto - 253,50€</t>
  </si>
  <si>
    <t xml:space="preserve">            139196 (Recep OC) - 253,50€</t>
  </si>
  <si>
    <t xml:space="preserve">    31200.0130 - Subproyecto - 15,60€</t>
  </si>
  <si>
    <t xml:space="preserve">            141447 (Recep OC) - 15,60€</t>
  </si>
  <si>
    <t xml:space="preserve">            141049 (Recep OC) - 9,00€</t>
  </si>
  <si>
    <t xml:space="preserve">    31200.0130 - Subproyecto - 125,31€</t>
  </si>
  <si>
    <t xml:space="preserve">            126344 (Recep OC) - 125,31€</t>
  </si>
  <si>
    <t xml:space="preserve">    31200.0130 - Subproyecto - 62,97€</t>
  </si>
  <si>
    <t xml:space="preserve">            143900 (Recep OC) - 62,97€</t>
  </si>
  <si>
    <t xml:space="preserve">    31200.0130 - Subproyecto - 530,00€</t>
  </si>
  <si>
    <t xml:space="preserve">            139410 (Recep OC) - 530,00€</t>
  </si>
  <si>
    <t xml:space="preserve">    31200.0130 - Subproyecto - 225,00€</t>
  </si>
  <si>
    <t xml:space="preserve">            139412 (Recep OC) - 225,00€</t>
  </si>
  <si>
    <t xml:space="preserve">            139443 (Recep OC) - 530,00€</t>
  </si>
  <si>
    <t xml:space="preserve">    31200.0130 - Subproyecto - 169,51€</t>
  </si>
  <si>
    <t xml:space="preserve">            124544 (Recep OC) - 169,51€</t>
  </si>
  <si>
    <t xml:space="preserve">            140584 (Estándar) - 0,00€</t>
  </si>
  <si>
    <t xml:space="preserve">    31200.0130 - Subproyecto - 118,24€</t>
  </si>
  <si>
    <t xml:space="preserve">            99000 (Recep OC) - 118,24€</t>
  </si>
  <si>
    <t xml:space="preserve">    31200.0130 - Subproyecto - -118,24€</t>
  </si>
  <si>
    <t xml:space="preserve">            99000 (Recep OC) - -118,24€</t>
  </si>
  <si>
    <t xml:space="preserve">    31200.0130 - Subproyecto - 31,14€</t>
  </si>
  <si>
    <t xml:space="preserve">            99000 (Recep OC) - 31,14€</t>
  </si>
  <si>
    <t xml:space="preserve">            111037 (Estándar) - 8,16€</t>
  </si>
  <si>
    <t xml:space="preserve">    31200.0130 - Subproyecto - 156,57€</t>
  </si>
  <si>
    <t xml:space="preserve">    31200.0130 - Subproyecto - 62,00€</t>
  </si>
  <si>
    <t xml:space="preserve">            99198 (Recep OC) - 62,00€</t>
  </si>
  <si>
    <t xml:space="preserve">    31200.0130 - Subproyecto - 336,00€</t>
  </si>
  <si>
    <t xml:space="preserve">            99199 (Recep OC) - 336,00€</t>
  </si>
  <si>
    <t xml:space="preserve">    31200.0130 - Subproyecto - 104,00€</t>
  </si>
  <si>
    <t xml:space="preserve">            145749 (Recep OC) - 104,00€</t>
  </si>
  <si>
    <t xml:space="preserve">    31200.0130 - Subproyecto - 11.880,00€</t>
  </si>
  <si>
    <t xml:space="preserve">            145753 (Recep OC) - 11.880,00€</t>
  </si>
  <si>
    <t xml:space="preserve">    31200.0130 - Subproyecto - 400,00€</t>
  </si>
  <si>
    <t xml:space="preserve">            99086 (Recep OC) - 400,00€</t>
  </si>
  <si>
    <t xml:space="preserve">    31200.0130 - Subproyecto - 74,28€</t>
  </si>
  <si>
    <t xml:space="preserve">            141089 (Recep OC) - 74,28€</t>
  </si>
  <si>
    <t xml:space="preserve">    31200.0130 - Subproyecto - 64,50€</t>
  </si>
  <si>
    <t xml:space="preserve">            142027 (Recep OC) - 64,50€</t>
  </si>
  <si>
    <t xml:space="preserve">    31200.0130 - Subproyecto - 148,80€</t>
  </si>
  <si>
    <t xml:space="preserve">            145139 (Recep OC) - 148,80€</t>
  </si>
  <si>
    <t xml:space="preserve">    31200.0130 - Subproyecto - 43,20€</t>
  </si>
  <si>
    <t xml:space="preserve">            141049 (Recep OC) - 43,20€</t>
  </si>
  <si>
    <t xml:space="preserve">    31200.0130 - Subproyecto - 3,60€</t>
  </si>
  <si>
    <t xml:space="preserve">            141049 (Recep OC) - 3,60€</t>
  </si>
  <si>
    <t xml:space="preserve">    31200.0130 - Subproyecto - -20,47€</t>
  </si>
  <si>
    <t xml:space="preserve">            126344 (Recep OC) - -20,47€</t>
  </si>
  <si>
    <t xml:space="preserve">    31200.0130 - Subproyecto - 0,26€</t>
  </si>
  <si>
    <t xml:space="preserve">            101457 (Estándar) - 0,26€</t>
  </si>
  <si>
    <t xml:space="preserve">    31200.0130 - Subproyecto - 0,13€</t>
  </si>
  <si>
    <t xml:space="preserve">            104825 (Estándar) - 0,13€</t>
  </si>
  <si>
    <t xml:space="preserve">    31200.0130 - Subproyecto - 4,90€</t>
  </si>
  <si>
    <t xml:space="preserve">    31200.0130 - Subproyecto - 2.873,70€</t>
  </si>
  <si>
    <t xml:space="preserve">            141110 (Recep OC) - 2.873,70€</t>
  </si>
  <si>
    <t xml:space="preserve">    31200.0130 - Subproyecto - 2.385,00€</t>
  </si>
  <si>
    <t xml:space="preserve">            141115 (Recep OC) - 2.385,00€</t>
  </si>
  <si>
    <t xml:space="preserve">    31200.0130 - Subproyecto - 90,00€</t>
  </si>
  <si>
    <t xml:space="preserve">            142026 (Recep OC) - 90,00€</t>
  </si>
  <si>
    <t xml:space="preserve">    31200.0130 - Subproyecto - 1.290,00€</t>
  </si>
  <si>
    <t xml:space="preserve">            142027 (Recep OC) - 1.290,00€</t>
  </si>
  <si>
    <t xml:space="preserve">    31200.0130 - Subproyecto - 1.861,62€</t>
  </si>
  <si>
    <t xml:space="preserve">            142028 (Recep OC) - 1.861,62€</t>
  </si>
  <si>
    <t xml:space="preserve">    31200.0130 - Subproyecto - 2.010,84€</t>
  </si>
  <si>
    <t xml:space="preserve">            142029 (Recep OC) - 2.010,84€</t>
  </si>
  <si>
    <t xml:space="preserve">    31200.0130 - Subproyecto - 303,90€</t>
  </si>
  <si>
    <t xml:space="preserve">            142108 (Recep OC) - 303,90€</t>
  </si>
  <si>
    <t xml:space="preserve">    31200.0130 - Subproyecto - 225,80€</t>
  </si>
  <si>
    <t xml:space="preserve">            142112 (Recep OC) - 225,80€</t>
  </si>
  <si>
    <t xml:space="preserve">    31200.0130 - Subproyecto - 3.084,12€</t>
  </si>
  <si>
    <t xml:space="preserve">            142113 (Recep OC) - 3.084,12€</t>
  </si>
  <si>
    <t xml:space="preserve">    31200.0130 - Subproyecto - 63,60€</t>
  </si>
  <si>
    <t xml:space="preserve">            99108 (Recep OC) - 63,60€</t>
  </si>
  <si>
    <t xml:space="preserve">    31200.0130 - Subproyecto - 110,40€</t>
  </si>
  <si>
    <t xml:space="preserve">            141272 (Recep OC) - 110,40€</t>
  </si>
  <si>
    <t xml:space="preserve">    31200.0130 - Subproyecto - 45,34€</t>
  </si>
  <si>
    <t xml:space="preserve">            21020.00.400.011 (Estándar) - 45,34€</t>
  </si>
  <si>
    <t xml:space="preserve">    31200.0130 - Subproyecto - 740,00€</t>
  </si>
  <si>
    <t xml:space="preserve">            100706 (Recep OC) - 740,00€</t>
  </si>
  <si>
    <t xml:space="preserve">    31200.0130 - Subproyecto - 0,31€</t>
  </si>
  <si>
    <t xml:space="preserve">            105065 (Estándar) - 0,31€</t>
  </si>
  <si>
    <t xml:space="preserve">    31200.0130 - Subproyecto - 124,00€</t>
  </si>
  <si>
    <t xml:space="preserve">            100709 (Recep OC) - 124,00€</t>
  </si>
  <si>
    <t xml:space="preserve">    31200.0130 - Subproyecto - 663,00€</t>
  </si>
  <si>
    <t xml:space="preserve">            100711 (Recep OC) - 663,00€</t>
  </si>
  <si>
    <t xml:space="preserve">    31200.0130 - Subproyecto - 71,86€</t>
  </si>
  <si>
    <t xml:space="preserve">            141666 (Recep OC) - 71,86€</t>
  </si>
  <si>
    <t xml:space="preserve">    31200.0130 - Subproyecto - 496,52€</t>
  </si>
  <si>
    <t xml:space="preserve">            99114 (Recep OC) - 496,52€</t>
  </si>
  <si>
    <t xml:space="preserve">    31200.0130 - Subproyecto - 190,35€</t>
  </si>
  <si>
    <t xml:space="preserve">            102086 (Recep OC) - 190,35€</t>
  </si>
  <si>
    <t xml:space="preserve">    31200.0130 - Subproyecto - 82,09€</t>
  </si>
  <si>
    <t xml:space="preserve">            102086 (Recep OC) - 82,09€</t>
  </si>
  <si>
    <t xml:space="preserve">    31200.0130 - Subproyecto - 57,40€</t>
  </si>
  <si>
    <t xml:space="preserve">            102087 (Recep OC) - 57,40€</t>
  </si>
  <si>
    <t xml:space="preserve">    31200.0130 - Subproyecto - 343,44€</t>
  </si>
  <si>
    <t xml:space="preserve">            141097 (Recep OC) - 343,44€</t>
  </si>
  <si>
    <t xml:space="preserve">    31200.0130 - Subproyecto - 57,75€</t>
  </si>
  <si>
    <t xml:space="preserve">            110850 (Recep OC) - 57,75€</t>
  </si>
  <si>
    <t xml:space="preserve">    31200.0130 - Subproyecto - 67,80€</t>
  </si>
  <si>
    <t xml:space="preserve">            141095 (Recep OC) - 67,80€</t>
  </si>
  <si>
    <t xml:space="preserve">    31200.0130 - Subproyecto - 3.004,56€</t>
  </si>
  <si>
    <t xml:space="preserve">            141091 (Recep OC) - 3.004,56€</t>
  </si>
  <si>
    <t xml:space="preserve">    31200.0130 - Subproyecto - 78,00€</t>
  </si>
  <si>
    <t xml:space="preserve">            145749 (Recep OC) - 78,00€</t>
  </si>
  <si>
    <t xml:space="preserve">            145753 (Recep OC) - 8.910,00€</t>
  </si>
  <si>
    <t xml:space="preserve">    31200.0130 - Subproyecto - 165,41€</t>
  </si>
  <si>
    <t xml:space="preserve">            145781 (Recep OC) - 165,41€</t>
  </si>
  <si>
    <t xml:space="preserve">    31200.0130 - Subproyecto - 1.212,30€</t>
  </si>
  <si>
    <t xml:space="preserve">            145782 (Recep OC) - 1.212,30€</t>
  </si>
  <si>
    <t xml:space="preserve">    31200.0130 - Subproyecto - 1.500,00€</t>
  </si>
  <si>
    <t xml:space="preserve">            99086 (Recep OC) - 1.500,00€</t>
  </si>
  <si>
    <t xml:space="preserve">    31200.0130 - Subproyecto - 4,40€</t>
  </si>
  <si>
    <t xml:space="preserve">            123183 (Estándar) - 4,40€</t>
  </si>
  <si>
    <t xml:space="preserve">    31200.0130 - Subproyecto - 1.076,00€</t>
  </si>
  <si>
    <t xml:space="preserve">            111306 (Recep OC) - 1.076,00€</t>
  </si>
  <si>
    <t xml:space="preserve">    31200.0130 - Subproyecto - 64,04€</t>
  </si>
  <si>
    <t xml:space="preserve">            111307 (Recep OC) - 64,04€</t>
  </si>
  <si>
    <t xml:space="preserve">    31200.0130 - Subproyecto - 69,42€</t>
  </si>
  <si>
    <t xml:space="preserve">            133629 (Recep OC) - 69,42€</t>
  </si>
  <si>
    <t xml:space="preserve">    31200.0130 - Subproyecto - 190,44€</t>
  </si>
  <si>
    <t xml:space="preserve">            133635 (Recep OC) - 190,44€</t>
  </si>
  <si>
    <t xml:space="preserve">    31200.0130 - Subproyecto - 346,14€</t>
  </si>
  <si>
    <t xml:space="preserve">            133805 (Recep OC) - 346,14€</t>
  </si>
  <si>
    <t xml:space="preserve">    31200.0130 - Subproyecto - 173,07€</t>
  </si>
  <si>
    <t xml:space="preserve">            133805 (Recep OC) - 173,07€</t>
  </si>
  <si>
    <t xml:space="preserve">    31200.0130 - Subproyecto - 168,11€</t>
  </si>
  <si>
    <t xml:space="preserve">            134352 (Recep OC) - 168,11€</t>
  </si>
  <si>
    <t xml:space="preserve">    31200.0130 - Subproyecto - 1.889,57€</t>
  </si>
  <si>
    <t xml:space="preserve">            138466 (Recep OC) - 1.889,57€</t>
  </si>
  <si>
    <t xml:space="preserve">    31200.0130 - Subproyecto - 669,60€</t>
  </si>
  <si>
    <t xml:space="preserve">            138467 (Recep OC) - 669,60€</t>
  </si>
  <si>
    <t xml:space="preserve">    31200.0130 - Subproyecto - 388,80€</t>
  </si>
  <si>
    <t xml:space="preserve">            138502 (Recep OC) - 388,80€</t>
  </si>
  <si>
    <t xml:space="preserve">    31200.0130 - Subproyecto - 111,60€</t>
  </si>
  <si>
    <t xml:space="preserve">            138975 (Recep OC) - 111,60€</t>
  </si>
  <si>
    <t xml:space="preserve">    31200.0130 - Subproyecto - 50,70€</t>
  </si>
  <si>
    <t xml:space="preserve">            139196 (Recep OC) - 50,70€</t>
  </si>
  <si>
    <t xml:space="preserve">    31200.0130 - Subproyecto - 1.485,60€</t>
  </si>
  <si>
    <t xml:space="preserve">            141089 (Recep OC) - 1.485,60€</t>
  </si>
  <si>
    <t xml:space="preserve">    31200.0130 - Subproyecto - 1.784,10€</t>
  </si>
  <si>
    <t xml:space="preserve">            141090 (Recep OC) - 1.784,10€</t>
  </si>
  <si>
    <t xml:space="preserve">    31200.0130 - Subproyecto - 2.094,36€</t>
  </si>
  <si>
    <t xml:space="preserve">            141092 (Recep OC) - 2.094,36€</t>
  </si>
  <si>
    <t xml:space="preserve">    31200.0130 - Subproyecto - -57,75€</t>
  </si>
  <si>
    <t xml:space="preserve">            110850 (Recep OC) - -57,75€</t>
  </si>
  <si>
    <t xml:space="preserve">    31200.0130 - Subproyecto - 620,00€</t>
  </si>
  <si>
    <t xml:space="preserve">            100709 (Recep OC) - 620,00€</t>
  </si>
  <si>
    <t xml:space="preserve">    31200.0130 - Subproyecto - 202,13€</t>
  </si>
  <si>
    <t xml:space="preserve">            110850 (Recep OC) - 202,13€</t>
  </si>
  <si>
    <t xml:space="preserve">    31200.0130 - Subproyecto - 2,55€</t>
  </si>
  <si>
    <t xml:space="preserve">            123200 (Estándar) - 2,55€</t>
  </si>
  <si>
    <t xml:space="preserve">    31200.0130 - Subproyecto - 2,20€</t>
  </si>
  <si>
    <t xml:space="preserve">            123183 (Estándar) - 2,20€</t>
  </si>
  <si>
    <t xml:space="preserve">            123199 (Estándar) - 1,50€</t>
  </si>
  <si>
    <t xml:space="preserve">    31200.0130 - Subproyecto - 18,87€</t>
  </si>
  <si>
    <t xml:space="preserve">            21020.00.300.610 (Estándar) - 18,87€</t>
  </si>
  <si>
    <t xml:space="preserve">    31200.0130 - Subproyecto - 3,00€</t>
  </si>
  <si>
    <t xml:space="preserve">            145139 (Estándar) - 0,00€</t>
  </si>
  <si>
    <t xml:space="preserve">            125853 (Estándar) - 0,00€</t>
  </si>
  <si>
    <t xml:space="preserve">    31200.0130 - Subproyecto - 75,46€</t>
  </si>
  <si>
    <t xml:space="preserve">            21020.00.300.210 (Estándar) - 75,46€</t>
  </si>
  <si>
    <t xml:space="preserve">            104831 (Estándar) - 0,60€</t>
  </si>
  <si>
    <t xml:space="preserve">    31200.0130 - Subproyecto - 3,30€</t>
  </si>
  <si>
    <t xml:space="preserve">            123184 (Estándar) - 3,30€</t>
  </si>
  <si>
    <t xml:space="preserve">    31200.0130 - Subproyecto - 1,67€</t>
  </si>
  <si>
    <t xml:space="preserve">            123200 (Estándar) - 1,67€</t>
  </si>
  <si>
    <t xml:space="preserve">    31200.0130 - Subproyecto - 38,64€</t>
  </si>
  <si>
    <t xml:space="preserve">            104303 (Estándar) - 38,64€</t>
  </si>
  <si>
    <t xml:space="preserve">    31200.0130 - Subproyecto - 2,25€</t>
  </si>
  <si>
    <t xml:space="preserve">            123199 (Estándar) - 2,25€</t>
  </si>
  <si>
    <t xml:space="preserve">    31200.0130 - Subproyecto - 35,58€</t>
  </si>
  <si>
    <t xml:space="preserve">            104292 (Estándar) - 35,58€</t>
  </si>
  <si>
    <t xml:space="preserve">    31200.0130 - Subproyecto - 2,48€</t>
  </si>
  <si>
    <t xml:space="preserve">            125853 (Estándar) - 2,48€</t>
  </si>
  <si>
    <t xml:space="preserve">    31200.0130 - Subproyecto - 32,20€</t>
  </si>
  <si>
    <t xml:space="preserve">            125211 (Estándar) - 32,20€</t>
  </si>
  <si>
    <t xml:space="preserve">    31200.0130 - Subproyecto - 4,27€</t>
  </si>
  <si>
    <t xml:space="preserve">            100977 (Estándar) - 4,27€</t>
  </si>
  <si>
    <t xml:space="preserve">    31200.0130 - Subproyecto - 3,08€</t>
  </si>
  <si>
    <t xml:space="preserve">    31200.0130 - Subproyecto - 39,58€</t>
  </si>
  <si>
    <t xml:space="preserve">            113104 (Estándar) - 39,58€</t>
  </si>
  <si>
    <t xml:space="preserve">    31200.0130 - Subproyecto - 54,13€</t>
  </si>
  <si>
    <t xml:space="preserve">            110851 (Recep OC) - 54,13€</t>
  </si>
  <si>
    <t xml:space="preserve">    31200.0130 - Subproyecto - 161,20€</t>
  </si>
  <si>
    <t xml:space="preserve">            126350 (Recep OC) - 161,20€</t>
  </si>
  <si>
    <t xml:space="preserve">    31200.0130 - Subproyecto - 12,42€</t>
  </si>
  <si>
    <t xml:space="preserve">            104304 (Estándar) - 12,42€</t>
  </si>
  <si>
    <t xml:space="preserve">    31200.0130 - Subproyecto - 67,65€</t>
  </si>
  <si>
    <t xml:space="preserve">            126351 (Recep OC) - 67,65€</t>
  </si>
  <si>
    <t xml:space="preserve">    31200.0130 - Subproyecto - 55,13€</t>
  </si>
  <si>
    <t xml:space="preserve">            126979 (Recep OC) - 55,13€</t>
  </si>
  <si>
    <t xml:space="preserve">    31200.0130 - Subproyecto - -55,13€</t>
  </si>
  <si>
    <t xml:space="preserve">            126979 (Recep OC) - -55,13€</t>
  </si>
  <si>
    <t xml:space="preserve">    31200.0130 - Subproyecto - 192,95€</t>
  </si>
  <si>
    <t xml:space="preserve">            126979 (Recep OC) - 192,95€</t>
  </si>
  <si>
    <t xml:space="preserve">    31200.0130 - Subproyecto - 101,90€</t>
  </si>
  <si>
    <t xml:space="preserve">            131776 (Recep OC) - 101,90€</t>
  </si>
  <si>
    <t xml:space="preserve">    31200.0130 - Subproyecto - 67,60€</t>
  </si>
  <si>
    <t xml:space="preserve">            138598 (Recep OC) - 67,60€</t>
  </si>
  <si>
    <t xml:space="preserve">    31200.0130 - Subproyecto - 97,60€</t>
  </si>
  <si>
    <t xml:space="preserve">            138599 (Recep OC) - 97,60€</t>
  </si>
  <si>
    <t xml:space="preserve">    31200.0130 - Subproyecto - 155,93€</t>
  </si>
  <si>
    <t xml:space="preserve">            126351 (Recep OC) - 155,93€</t>
  </si>
  <si>
    <t xml:space="preserve">    31200.0130 - Subproyecto - 115,19€</t>
  </si>
  <si>
    <t xml:space="preserve">            139486 (Recep OC) - 115,19€</t>
  </si>
  <si>
    <t xml:space="preserve">            101472 (Estándar) - 1,10€</t>
  </si>
  <si>
    <t xml:space="preserve">    31200.0130 - Subproyecto - 9,40€</t>
  </si>
  <si>
    <t xml:space="preserve">            105058 (Estándar) - 9,40€</t>
  </si>
  <si>
    <t xml:space="preserve">    31200.0130 - Subproyecto - 4,64€</t>
  </si>
  <si>
    <t xml:space="preserve">            94500.10.671.002 (Estándar) - 4,64€</t>
  </si>
  <si>
    <t xml:space="preserve">    31200.0130 - Subproyecto - 17,46€</t>
  </si>
  <si>
    <t xml:space="preserve">            104447 (Estándar) - 17,46€</t>
  </si>
  <si>
    <t xml:space="preserve">    31200.0130 - Subproyecto - 208,33€</t>
  </si>
  <si>
    <t xml:space="preserve">            21020.00.400.010 (Estándar) - 208,33€</t>
  </si>
  <si>
    <t xml:space="preserve">    31200.0130 - Subproyecto - 223,80€</t>
  </si>
  <si>
    <t xml:space="preserve">            139487 (Recep OC) - 223,80€</t>
  </si>
  <si>
    <t xml:space="preserve">    31200.0130 - Subproyecto - 313,45€</t>
  </si>
  <si>
    <t xml:space="preserve">            139487 (Recep OC) - 313,45€</t>
  </si>
  <si>
    <t xml:space="preserve">    31200.0130 - Subproyecto - 374,37€</t>
  </si>
  <si>
    <t xml:space="preserve">            139486 (Recep OC) - 374,37€</t>
  </si>
  <si>
    <t xml:space="preserve">            123172 (Estándar) - 5,13€</t>
  </si>
  <si>
    <t>31200.0140 -  03 - Fabricación</t>
  </si>
  <si>
    <t>Sp-31200.0140</t>
  </si>
  <si>
    <t xml:space="preserve">    31200.0140 - Subproyecto - 1.191,00€</t>
  </si>
  <si>
    <t xml:space="preserve">        44020 (Recep OC) - 1.191,00€</t>
  </si>
  <si>
    <t xml:space="preserve">        44022 (Recep OC) - 1.191,00€</t>
  </si>
  <si>
    <t xml:space="preserve">    31200.0140 - Subproyecto - 548,00€</t>
  </si>
  <si>
    <t xml:space="preserve">        44047 (Recep OC) - 548,00€</t>
  </si>
  <si>
    <t xml:space="preserve">    31200.0140 - Subproyecto - 942,00€</t>
  </si>
  <si>
    <t xml:space="preserve">        44048 (Recep OC) - 942,00€</t>
  </si>
  <si>
    <t xml:space="preserve">    31200.0140 - Subproyecto - 69,10€</t>
  </si>
  <si>
    <t xml:space="preserve">        651843.0140 (Operación) - 69,10€</t>
  </si>
  <si>
    <t xml:space="preserve">    31200.0140 - Subproyecto - 1.895,08€</t>
  </si>
  <si>
    <t xml:space="preserve">        651843.0140 (Operación) - 1.895,08€</t>
  </si>
  <si>
    <t xml:space="preserve">    31200.0140 - Subproyecto - 400,00€</t>
  </si>
  <si>
    <t xml:space="preserve">        66067 (Recep OC) - 400,00€</t>
  </si>
  <si>
    <t xml:space="preserve">    31200.0140 - Subproyecto - 204,00€</t>
  </si>
  <si>
    <t xml:space="preserve">        44055 (Recep OC) - 204,00€</t>
  </si>
  <si>
    <t xml:space="preserve">    31200.0140 - Subproyecto - 80,00€</t>
  </si>
  <si>
    <t xml:space="preserve">        44054 (Recep OC) - 80,00€</t>
  </si>
  <si>
    <t xml:space="preserve">    31200.0140 - Subproyecto - 90,00€</t>
  </si>
  <si>
    <t xml:space="preserve">        44053 (Recep OC) - 90,00€</t>
  </si>
  <si>
    <t xml:space="preserve">    31200.0140 - Subproyecto - 2.222,23€</t>
  </si>
  <si>
    <t xml:space="preserve">        651843.0140 (Operación) - 2.222,23€</t>
  </si>
  <si>
    <t xml:space="preserve">    31200.0140 - Subproyecto - 157,80€</t>
  </si>
  <si>
    <t xml:space="preserve">        99040 (Recep OC) - 157,80€</t>
  </si>
  <si>
    <t>31200.0150 -  03 - Fabricación</t>
  </si>
  <si>
    <t>Sp-31200.0150</t>
  </si>
  <si>
    <t xml:space="preserve">    31200.0150 - Subproyecto - 30,00€</t>
  </si>
  <si>
    <t xml:space="preserve">        44065 (Recep OC) - 30,00€</t>
  </si>
  <si>
    <t xml:space="preserve">    31200.0150 - Subproyecto - 550,00€</t>
  </si>
  <si>
    <t xml:space="preserve">        44070 (Recep OC) - 550,00€</t>
  </si>
  <si>
    <t xml:space="preserve">    31200.0150 - Subproyecto - 98,49€</t>
  </si>
  <si>
    <t xml:space="preserve">        651844.0150 (Operación) - 98,49€</t>
  </si>
  <si>
    <t xml:space="preserve">    31200.0150 - Subproyecto - 1.781,95€</t>
  </si>
  <si>
    <t xml:space="preserve">        651844.0150 (Operación) - 1.781,95€</t>
  </si>
  <si>
    <t xml:space="preserve">    31200.0150 - Subproyecto - 78,55€</t>
  </si>
  <si>
    <t xml:space="preserve">        651844.0150 (Operación) - 78,55€</t>
  </si>
  <si>
    <t xml:space="preserve">    31200.0150 - Subproyecto - 1.020,04€</t>
  </si>
  <si>
    <t xml:space="preserve">        651844.0150 (Operación) - 1.020,04€</t>
  </si>
  <si>
    <t>31200.0160 -  03 - Fabricación</t>
  </si>
  <si>
    <t>Sp-31200.0160</t>
  </si>
  <si>
    <t xml:space="preserve">    31200.0160 - Subproyecto - 464,00€</t>
  </si>
  <si>
    <t xml:space="preserve">        44051 (Recep OC) - 464,00€</t>
  </si>
  <si>
    <t xml:space="preserve">    31200.0160 - Subproyecto - 112,50€</t>
  </si>
  <si>
    <t xml:space="preserve">        44050 (Recep OC) - 112,50€</t>
  </si>
  <si>
    <t xml:space="preserve">    31200.0160 - Subproyecto - 0,00€</t>
  </si>
  <si>
    <t xml:space="preserve">        880-00-000-1 (Rec.Plan. OF) - 0,00€</t>
  </si>
  <si>
    <t xml:space="preserve">    31200.0160 - Subproyecto - 150,00€</t>
  </si>
  <si>
    <t xml:space="preserve">        44042 (Recep OC) - 150,00€</t>
  </si>
  <si>
    <t xml:space="preserve">    31200.0160 - Subproyecto - 280,00€</t>
  </si>
  <si>
    <t xml:space="preserve">        44040 (Recep OC) - 280,00€</t>
  </si>
  <si>
    <t xml:space="preserve">        830-00-000-1 (Rec.Plan. OF) - 0,00€</t>
  </si>
  <si>
    <t xml:space="preserve">    31200.0160 - Subproyecto - 1.250,00€</t>
  </si>
  <si>
    <t xml:space="preserve">        44036 (Recep OC) - 1.250,00€</t>
  </si>
  <si>
    <t xml:space="preserve">        620-00-000-1 (Rec.Plan. OF) - 0,00€</t>
  </si>
  <si>
    <t xml:space="preserve">    31200.0160 - Subproyecto - 387,00€</t>
  </si>
  <si>
    <t xml:space="preserve">        44035 (Recep OC) - 387,00€</t>
  </si>
  <si>
    <t xml:space="preserve">        44034 (Recep OC) - 150,00€</t>
  </si>
  <si>
    <t xml:space="preserve">    31200.0160 - Subproyecto - 10.815,00€</t>
  </si>
  <si>
    <t xml:space="preserve">        44033 (Recep OC) - 10.815,00€</t>
  </si>
  <si>
    <t xml:space="preserve">    31200.0160 - Subproyecto - 3.330,00€</t>
  </si>
  <si>
    <t xml:space="preserve">        44032 (Recep OC) - 3.330,00€</t>
  </si>
  <si>
    <t xml:space="preserve">    31200.0160 - Subproyecto - 6.203,75€</t>
  </si>
  <si>
    <t xml:space="preserve">        44031 (Recep OC) - 6.203,75€</t>
  </si>
  <si>
    <t xml:space="preserve">    31200.0160 - Subproyecto - 370,00€</t>
  </si>
  <si>
    <t xml:space="preserve">        44030 (Recep OC) - 370,00€</t>
  </si>
  <si>
    <t xml:space="preserve">    31200.0160 - Subproyecto - 476,00€</t>
  </si>
  <si>
    <t xml:space="preserve">        44058 (Recep OC) - 476,00€</t>
  </si>
  <si>
    <t xml:space="preserve">    31200.0160 - Subproyecto - 156,00€</t>
  </si>
  <si>
    <t xml:space="preserve">        44061 (Recep OC) - 156,00€</t>
  </si>
  <si>
    <t xml:space="preserve">    31200.0160 - Subproyecto - 605,00€</t>
  </si>
  <si>
    <t xml:space="preserve">        44062 (Recep OC) - 605,00€</t>
  </si>
  <si>
    <t xml:space="preserve">    31200.0160 - Subproyecto - 462,00€</t>
  </si>
  <si>
    <t xml:space="preserve">        66077 (Recep OC) - 462,00€</t>
  </si>
  <si>
    <t xml:space="preserve">    31200.0160 - Subproyecto - 220,00€</t>
  </si>
  <si>
    <t xml:space="preserve">        44066 (Recep OC) - 220,00€</t>
  </si>
  <si>
    <t xml:space="preserve">    31200.0160 - Subproyecto - 244,00€</t>
  </si>
  <si>
    <t xml:space="preserve">        44067 (Recep OC) - 244,00€</t>
  </si>
  <si>
    <t xml:space="preserve">    31200.0160 - Subproyecto - 373,00€</t>
  </si>
  <si>
    <t xml:space="preserve">        44068 (Recep OC) - 373,00€</t>
  </si>
  <si>
    <t xml:space="preserve">    31200.0160 - Subproyecto - 100,20€</t>
  </si>
  <si>
    <t xml:space="preserve">        44069 (Recep OC) - 100,20€</t>
  </si>
  <si>
    <t xml:space="preserve">    31200.0160 - Subproyecto - 6.921,42€</t>
  </si>
  <si>
    <t xml:space="preserve">        634347.0160 (Operación) - 6.921,42€</t>
  </si>
  <si>
    <t xml:space="preserve">    31200.0160 - Subproyecto - 15.383,88€</t>
  </si>
  <si>
    <t xml:space="preserve">        634347.0160 (Operación) - 15.383,88€</t>
  </si>
  <si>
    <t xml:space="preserve">    31200.0160 - Subproyecto - 3.670,80€</t>
  </si>
  <si>
    <t xml:space="preserve">        06M05-1-00A (Recep OC) - 3.670,80€</t>
  </si>
  <si>
    <t xml:space="preserve">        220-00-000-1 (Rec.Plan. OF) - 0,00€</t>
  </si>
  <si>
    <t xml:space="preserve">    31200.0160 - Subproyecto - 140,00€</t>
  </si>
  <si>
    <t xml:space="preserve">        44029 (Recep OC) - 140,00€</t>
  </si>
  <si>
    <t xml:space="preserve">    31200.0160 - Subproyecto - 1.100,00€</t>
  </si>
  <si>
    <t xml:space="preserve">        44027 (Recep OC) - 1.100,00€</t>
  </si>
  <si>
    <t xml:space="preserve">    31200.0160 - Subproyecto - 378,00€</t>
  </si>
  <si>
    <t xml:space="preserve">        44074 (Recep OC) - 378,00€</t>
  </si>
  <si>
    <t xml:space="preserve">        405/6-00-000 (Rec.Plan. OF) - 0,00€</t>
  </si>
  <si>
    <t xml:space="preserve">    31200.0160 - Subproyecto - 0,60€</t>
  </si>
  <si>
    <t xml:space="preserve">        116021 (Estándar) - 0,60€</t>
  </si>
  <si>
    <t xml:space="preserve">    31200.0160 - Subproyecto - 0,02€</t>
  </si>
  <si>
    <t xml:space="preserve">        101373 (Estándar) - 0,02€</t>
  </si>
  <si>
    <t xml:space="preserve">    31200.0160 - Subproyecto - 3,41€</t>
  </si>
  <si>
    <t xml:space="preserve">        105437 (Estándar) - 3,41€</t>
  </si>
  <si>
    <t xml:space="preserve">        104666 (Estándar) - 0,00€</t>
  </si>
  <si>
    <t xml:space="preserve">        280-00-000-1 (Rec.Plan. OF) - 0,00€</t>
  </si>
  <si>
    <t xml:space="preserve">    31200.0160 - Subproyecto - 1,09€</t>
  </si>
  <si>
    <t xml:space="preserve">        105307 (Estándar) - 1,09€</t>
  </si>
  <si>
    <t xml:space="preserve">    31200.0160 - Subproyecto - 0,63€</t>
  </si>
  <si>
    <t xml:space="preserve">        104600 (Estándar) - 0,63€</t>
  </si>
  <si>
    <t xml:space="preserve">    31200.0160 - Subproyecto - 1,54€</t>
  </si>
  <si>
    <t xml:space="preserve">        104693 (Estándar) - 1,54€</t>
  </si>
  <si>
    <t xml:space="preserve">    31200.0160 - Subproyecto - 412,50€</t>
  </si>
  <si>
    <t xml:space="preserve">        44000 (Recep OC) - 412,50€</t>
  </si>
  <si>
    <t xml:space="preserve">        510-00-000-1 (Rec.Plan. OF) - 0,00€</t>
  </si>
  <si>
    <t xml:space="preserve">        410-00-000-1+1 (Rec.Plan. OF) - 0,00€</t>
  </si>
  <si>
    <t xml:space="preserve">        610-00-000-1 (Rec.Plan. OF) - 0,00€</t>
  </si>
  <si>
    <t xml:space="preserve">        710-00-000-1 (Rec.Plan. OF) - 0,00€</t>
  </si>
  <si>
    <t xml:space="preserve">    31200.0160 - Subproyecto - 4,00€</t>
  </si>
  <si>
    <t xml:space="preserve">        116571 (Estándar) - 4,00€</t>
  </si>
  <si>
    <t xml:space="preserve">    31200.0160 - Subproyecto - 1,96€</t>
  </si>
  <si>
    <t xml:space="preserve">        111988 (Estándar) - 1,96€</t>
  </si>
  <si>
    <t xml:space="preserve">    31200.0160 - Subproyecto - 247,00€</t>
  </si>
  <si>
    <t xml:space="preserve">        44025 (Recep OC) - 247,00€</t>
  </si>
  <si>
    <t xml:space="preserve">    31200.0160 - Subproyecto - 2,40€</t>
  </si>
  <si>
    <t xml:space="preserve">        110597 (Estándar) - 2,40€</t>
  </si>
  <si>
    <t xml:space="preserve">    31200.0160 - Subproyecto - 9.709,00€</t>
  </si>
  <si>
    <t xml:space="preserve">        66044 (Recep OC) - 9.709,00€</t>
  </si>
  <si>
    <t xml:space="preserve">    31200.0160 - Subproyecto - 2.561,00€</t>
  </si>
  <si>
    <t xml:space="preserve">        44021 (Recep OC) - 2.561,00€</t>
  </si>
  <si>
    <t xml:space="preserve">        205-00-000-1+1 (Rec.Plan. OF) - 0,00€</t>
  </si>
  <si>
    <t xml:space="preserve">        230-00-000-1 (Rec.Plan. OF) - 0,00€</t>
  </si>
  <si>
    <t xml:space="preserve">    31200.0160 - Subproyecto - 30,75€</t>
  </si>
  <si>
    <t xml:space="preserve">        100979 (Estándar) - 30,75€</t>
  </si>
  <si>
    <t xml:space="preserve">    31200.0160 - Subproyecto - 1,23€</t>
  </si>
  <si>
    <t xml:space="preserve">        128588 (Estándar) - 1,23€</t>
  </si>
  <si>
    <t xml:space="preserve">    31200.0160 - Subproyecto - 6,38€</t>
  </si>
  <si>
    <t xml:space="preserve">        100954 (Estándar) - 6,38€</t>
  </si>
  <si>
    <t xml:space="preserve">        210-00-000-1 (Rec.Plan. OF) - 0,00€</t>
  </si>
  <si>
    <t xml:space="preserve">        128588 (Estándar) - 0,00€</t>
  </si>
  <si>
    <t xml:space="preserve">    31200.0160 - Subproyecto - 54,25€</t>
  </si>
  <si>
    <t xml:space="preserve">        104203 (Estándar) - 54,25€</t>
  </si>
  <si>
    <t xml:space="preserve">    31200.0160 - Subproyecto - 138,96€</t>
  </si>
  <si>
    <t xml:space="preserve">        104267 (Estándar) - 138,96€</t>
  </si>
  <si>
    <t xml:space="preserve">    31200.0160 - Subproyecto - 2,13€</t>
  </si>
  <si>
    <t xml:space="preserve">        100977 (Estándar) - 2,13€</t>
  </si>
  <si>
    <t xml:space="preserve">    31200.0160 - Subproyecto - 9,30€</t>
  </si>
  <si>
    <t xml:space="preserve">        145139 (Estándar) - 9,30€</t>
  </si>
  <si>
    <t xml:space="preserve">    31200.0160 - Subproyecto - 478,29€</t>
  </si>
  <si>
    <t xml:space="preserve">            99122 (Recep OC) - 478,29€</t>
  </si>
  <si>
    <t xml:space="preserve">    31200.0160 - Subproyecto - 29,75€</t>
  </si>
  <si>
    <t xml:space="preserve">            99123 (Recep OC) - 29,75€</t>
  </si>
  <si>
    <t xml:space="preserve">    31200.0160 - Subproyecto - 26,75€</t>
  </si>
  <si>
    <t xml:space="preserve">            99124 (Recep OC) - 26,75€</t>
  </si>
  <si>
    <t xml:space="preserve">    31200.0160 - Subproyecto - 37,95€</t>
  </si>
  <si>
    <t xml:space="preserve">            99161 (Recep OC) - 37,95€</t>
  </si>
  <si>
    <t xml:space="preserve">    31200.0160 - Subproyecto - 113,85€</t>
  </si>
  <si>
    <t xml:space="preserve">            99161 (Recep OC) - 113,85€</t>
  </si>
  <si>
    <t xml:space="preserve">    31200.0160 - Subproyecto - 181,90€</t>
  </si>
  <si>
    <t xml:space="preserve">            99162 (Recep OC) - 181,90€</t>
  </si>
  <si>
    <t xml:space="preserve">    31200.0160 - Subproyecto - 9,08€</t>
  </si>
  <si>
    <t xml:space="preserve">            129997 (Estándar) - 9,08€</t>
  </si>
  <si>
    <t xml:space="preserve">    31200.0160 - Subproyecto - 27.339,00€</t>
  </si>
  <si>
    <t xml:space="preserve">            C210-00-000-1 (Recep OC) - 27.339,00€</t>
  </si>
  <si>
    <t xml:space="preserve">    31200.0160 - Subproyecto - 252,60€</t>
  </si>
  <si>
    <t xml:space="preserve">            99160 (Recep OC) - 252,60€</t>
  </si>
  <si>
    <t xml:space="preserve">    31200.0160 - Subproyecto - 402,58€</t>
  </si>
  <si>
    <t xml:space="preserve">            99121 (Recep OC) - 402,58€</t>
  </si>
  <si>
    <t xml:space="preserve">    31200.0160 - Subproyecto - 285,60€</t>
  </si>
  <si>
    <t xml:space="preserve">            99044 (Recep OC) - 285,60€</t>
  </si>
  <si>
    <t xml:space="preserve">    31200.0160 - Subproyecto - 0,96€</t>
  </si>
  <si>
    <t xml:space="preserve">            99081 (Recep OC) - 0,96€</t>
  </si>
  <si>
    <t xml:space="preserve">    31200.0160 - Subproyecto - 448,00€</t>
  </si>
  <si>
    <t xml:space="preserve">            99074 (Recep OC) - 448,00€</t>
  </si>
  <si>
    <t xml:space="preserve">    31200.0160 - Subproyecto - 117,04€</t>
  </si>
  <si>
    <t xml:space="preserve">            99139 (Recep OC) - 117,04€</t>
  </si>
  <si>
    <t xml:space="preserve">    31200.0160 - Subproyecto - 55,78€</t>
  </si>
  <si>
    <t xml:space="preserve">            99059 (Recep OC) - 55,78€</t>
  </si>
  <si>
    <t xml:space="preserve">    31200.0160 - Subproyecto - 159,80€</t>
  </si>
  <si>
    <t xml:space="preserve">            99043 (Recep OC) - 159,80€</t>
  </si>
  <si>
    <t xml:space="preserve">    31200.0160 - Subproyecto - 138,50€</t>
  </si>
  <si>
    <t xml:space="preserve">            99041 (Recep OC) - 138,50€</t>
  </si>
  <si>
    <t xml:space="preserve">    31200.0160 - Subproyecto - 53,50€</t>
  </si>
  <si>
    <t xml:space="preserve">    31200.0160 - Subproyecto - 29,11€</t>
  </si>
  <si>
    <t xml:space="preserve">            137082 (Recep OC) - 29,11€</t>
  </si>
  <si>
    <t xml:space="preserve">            145947 (Recep OC) - 53,50€</t>
  </si>
  <si>
    <t xml:space="preserve">    31200.0160 - Subproyecto - 212,12€</t>
  </si>
  <si>
    <t xml:space="preserve">            99120 (Recep OC) - 212,12€</t>
  </si>
  <si>
    <t xml:space="preserve">    31200.0160 - Subproyecto - 6.421,00€</t>
  </si>
  <si>
    <t xml:space="preserve">            MOD-12397 (Recep OC) - 6.421,00€</t>
  </si>
  <si>
    <t xml:space="preserve">    31200.0160 - Subproyecto - 11.170,00€</t>
  </si>
  <si>
    <t xml:space="preserve">            C230-00-000-1 (Recep OC) - 11.170,00€</t>
  </si>
  <si>
    <t xml:space="preserve">    31200.0160 - Subproyecto - 318,86€</t>
  </si>
  <si>
    <t xml:space="preserve">    31200.0160 - Subproyecto - 133,75€</t>
  </si>
  <si>
    <t xml:space="preserve">            145946 (Recep OC) - 133,75€</t>
  </si>
  <si>
    <t xml:space="preserve">    31200.0160 - Subproyecto - 252,48€</t>
  </si>
  <si>
    <t xml:space="preserve">            99040 (Recep OC) - 252,48€</t>
  </si>
  <si>
    <t xml:space="preserve">            205-00-000-1 (Rec.Plan. OF) - 0,00€</t>
  </si>
  <si>
    <t xml:space="preserve">    31200.0160 - Subproyecto - 460,10€</t>
  </si>
  <si>
    <t xml:space="preserve">            145542 (Recep OC) - 460,10€</t>
  </si>
  <si>
    <t xml:space="preserve">    31200.0160 - Subproyecto - 5,28€</t>
  </si>
  <si>
    <t xml:space="preserve">    31200.0160 - Subproyecto - 145,55€</t>
  </si>
  <si>
    <t xml:space="preserve">            137082 (Recep OC) - 145,55€</t>
  </si>
  <si>
    <t xml:space="preserve">    31200.0160 - Subproyecto - 52,82€</t>
  </si>
  <si>
    <t xml:space="preserve">            137081 (Recep OC) - 52,82€</t>
  </si>
  <si>
    <t xml:space="preserve">    31200.0160 - Subproyecto - 23,16€</t>
  </si>
  <si>
    <t xml:space="preserve">            127426 (Recep OC) - 23,16€</t>
  </si>
  <si>
    <t xml:space="preserve">    31200.0160 - Subproyecto - 5,40€</t>
  </si>
  <si>
    <t xml:space="preserve">            103133 (Estándar) - 5,40€</t>
  </si>
  <si>
    <t xml:space="preserve">    31200.0160 - Subproyecto - 1,35€</t>
  </si>
  <si>
    <t xml:space="preserve">            99110 (Recep OC) - 1,35€</t>
  </si>
  <si>
    <t xml:space="preserve">    31200.0160 - Subproyecto - 997,00€</t>
  </si>
  <si>
    <t xml:space="preserve">            99061 (Recep OC) - 997,00€</t>
  </si>
  <si>
    <t xml:space="preserve">            99060 (Recep OC) - 997,00€</t>
  </si>
  <si>
    <t xml:space="preserve">    31200.0160 - Subproyecto - 203,30€</t>
  </si>
  <si>
    <t xml:space="preserve">            143189 (Recep OC) - 203,30€</t>
  </si>
  <si>
    <t xml:space="preserve">    31200.0160 - Subproyecto - 637,72€</t>
  </si>
  <si>
    <t xml:space="preserve">    31200.0160 - Subproyecto - 87,33€</t>
  </si>
  <si>
    <t xml:space="preserve">            137082 (Recep OC) - 87,33€</t>
  </si>
  <si>
    <t xml:space="preserve">    31200.0160 - Subproyecto - 34,96€</t>
  </si>
  <si>
    <t xml:space="preserve">            114669 (Recep OC) - 34,96€</t>
  </si>
  <si>
    <t xml:space="preserve">    31200.0160 - Subproyecto - 5,88€</t>
  </si>
  <si>
    <t xml:space="preserve">            103133 (Estándar) - 5,88€</t>
  </si>
  <si>
    <t xml:space="preserve">    31200.0160 - Subproyecto - 174,00€</t>
  </si>
  <si>
    <t xml:space="preserve">            143744 (Recep OC) - 174,00€</t>
  </si>
  <si>
    <t xml:space="preserve">    31200.0160 - Subproyecto - 348,00€</t>
  </si>
  <si>
    <t xml:space="preserve">            143744 (Recep OC) - 348,00€</t>
  </si>
  <si>
    <t xml:space="preserve">    31200.0160 - Subproyecto - 9,64€</t>
  </si>
  <si>
    <t xml:space="preserve">            142006 (Recep OC) - 9,64€</t>
  </si>
  <si>
    <t xml:space="preserve">    31200.0160 - Subproyecto - 145,52€</t>
  </si>
  <si>
    <t xml:space="preserve">            141144 (Transfer. Stock) - 145,52€</t>
  </si>
  <si>
    <t xml:space="preserve">            99071 (Compra) - 0,00€</t>
  </si>
  <si>
    <t xml:space="preserve">            99052 (Recep OC) - 53,50€</t>
  </si>
  <si>
    <t xml:space="preserve">            99051 (Recep OC) - 53,50€</t>
  </si>
  <si>
    <t xml:space="preserve">    31200.0160 - Subproyecto - 892,38€</t>
  </si>
  <si>
    <t xml:space="preserve">    31200.0160 - Subproyecto - 116,44€</t>
  </si>
  <si>
    <t xml:space="preserve">    31200.0160 - Subproyecto - 63,36€</t>
  </si>
  <si>
    <t xml:space="preserve">            118960 (Recep OC) - 63,36€</t>
  </si>
  <si>
    <t xml:space="preserve">    31200.0160 - Subproyecto - 378,72€</t>
  </si>
  <si>
    <t xml:space="preserve">            99040 (Recep OC) - 378,72€</t>
  </si>
  <si>
    <t xml:space="preserve">    31200.0160 - Subproyecto - 497,16€</t>
  </si>
  <si>
    <t xml:space="preserve">            99141 (Recep OC) - 497,16€</t>
  </si>
  <si>
    <t xml:space="preserve">    31200.0160 - Subproyecto - 4.395,00€</t>
  </si>
  <si>
    <t xml:space="preserve">            C480-00-000-1 (Recep OC) - 4.395,00€</t>
  </si>
  <si>
    <t xml:space="preserve">    31200.0160 - Subproyecto - 6.251,00€</t>
  </si>
  <si>
    <t xml:space="preserve">            C580-00-000-1 (Recep OC) - 6.251,00€</t>
  </si>
  <si>
    <t xml:space="preserve">    31200.0160 - Subproyecto - 374,50€</t>
  </si>
  <si>
    <t xml:space="preserve">            145947 (Recep OC) - 374,50€</t>
  </si>
  <si>
    <t xml:space="preserve">    31200.0160 - Subproyecto - 107,00€</t>
  </si>
  <si>
    <t xml:space="preserve">            145947 (Recep OC) - 107,00€</t>
  </si>
  <si>
    <t xml:space="preserve">    31200.0160 - Subproyecto - 28,92€</t>
  </si>
  <si>
    <t xml:space="preserve">            142006 (Recep OC) - 28,92€</t>
  </si>
  <si>
    <t xml:space="preserve">    31200.0160 - Subproyecto - 2.677,14€</t>
  </si>
  <si>
    <t xml:space="preserve">            141139 (Recep OC) - 2.677,14€</t>
  </si>
  <si>
    <t xml:space="preserve">    31200.0160 - Subproyecto - 349,32€</t>
  </si>
  <si>
    <t xml:space="preserve">            137082 (Recep OC) - 349,32€</t>
  </si>
  <si>
    <t xml:space="preserve">    31200.0160 - Subproyecto - 190,08€</t>
  </si>
  <si>
    <t xml:space="preserve">            118960 (Recep OC) - 190,08€</t>
  </si>
  <si>
    <t xml:space="preserve">    31200.0160 - Subproyecto - 63,12€</t>
  </si>
  <si>
    <t xml:space="preserve">    31200.0160 - Subproyecto - 108,24€</t>
  </si>
  <si>
    <t xml:space="preserve">            99138 (Recep OC) - 108,24€</t>
  </si>
  <si>
    <t xml:space="preserve">    31200.0160 - Subproyecto - 10.486,00€</t>
  </si>
  <si>
    <t xml:space="preserve">            C380-00-000-1 (Recep OC) - 10.486,00€</t>
  </si>
  <si>
    <t xml:space="preserve">    31200.0160 - Subproyecto - 12.502,00€</t>
  </si>
  <si>
    <t xml:space="preserve">            C580-00-000-1 (Recep OC) - 12.502,00€</t>
  </si>
  <si>
    <t xml:space="preserve">    31200.0160 - Subproyecto - 165,72€</t>
  </si>
  <si>
    <t xml:space="preserve">            99141 (Recep OC) - 165,72€</t>
  </si>
  <si>
    <t xml:space="preserve">    31200.0160 - Subproyecto - 126,24€</t>
  </si>
  <si>
    <t xml:space="preserve">            99040 (Recep OC) - 126,24€</t>
  </si>
  <si>
    <t xml:space="preserve">    31200.0160 - Subproyecto - 58,22€</t>
  </si>
  <si>
    <t xml:space="preserve">    31200.0160 - Subproyecto - 616,32€</t>
  </si>
  <si>
    <t xml:space="preserve">    31200.0160 - Subproyecto - 12,40€</t>
  </si>
  <si>
    <t xml:space="preserve">            138291 (Recep OC) - 12,40€</t>
  </si>
  <si>
    <t xml:space="preserve">    31200.0160 - Subproyecto - 10,56€</t>
  </si>
  <si>
    <t xml:space="preserve">            138289 (Recep OC) - 10,56€</t>
  </si>
  <si>
    <t xml:space="preserve">    31200.0160 - Subproyecto - 105,64€</t>
  </si>
  <si>
    <t xml:space="preserve">    31200.0160 - Subproyecto - 15,04€</t>
  </si>
  <si>
    <t xml:space="preserve">            129997 (Recep OC) - 15,04€</t>
  </si>
  <si>
    <t xml:space="preserve">    31200.0160 - Subproyecto - 30,36€</t>
  </si>
  <si>
    <t xml:space="preserve">            119812 (Recep OC) - 30,36€</t>
  </si>
  <si>
    <t xml:space="preserve">    31200.0160 - Subproyecto - 8.966,00€</t>
  </si>
  <si>
    <t xml:space="preserve">            C280-00-000-1 (Recep OC) - 8.966,00€</t>
  </si>
  <si>
    <t xml:space="preserve">    31200.0160 - Subproyecto - 247,80€</t>
  </si>
  <si>
    <t xml:space="preserve">            99132 (Recep OC) - 247,80€</t>
  </si>
  <si>
    <t xml:space="preserve">    31200.0160 - Subproyecto - 594,92€</t>
  </si>
  <si>
    <t xml:space="preserve">    31200.0160 - Subproyecto - 46,32€</t>
  </si>
  <si>
    <t xml:space="preserve">    31200.0160 - Subproyecto - 1.750,00€</t>
  </si>
  <si>
    <t xml:space="preserve">            C710-00-000-1MOD (Recep OC) - 1.750,00€</t>
  </si>
  <si>
    <t xml:space="preserve">    31200.0160 - Subproyecto - 7.222,00€</t>
  </si>
  <si>
    <t xml:space="preserve">            C710-00-000-1 (Recep OC) - 7.222,00€</t>
  </si>
  <si>
    <t xml:space="preserve">    31200.0160 - Subproyecto - 160,50€</t>
  </si>
  <si>
    <t xml:space="preserve">            99050 (Recep OC) - 160,50€</t>
  </si>
  <si>
    <t xml:space="preserve">    31200.0160 - Subproyecto - 214,00€</t>
  </si>
  <si>
    <t xml:space="preserve">            145946 (Recep OC) - 214,00€</t>
  </si>
  <si>
    <t xml:space="preserve">    31200.0160 - Subproyecto - 1.275,44€</t>
  </si>
  <si>
    <t xml:space="preserve">    31200.0160 - Subproyecto - 924,48€</t>
  </si>
  <si>
    <t xml:space="preserve">            141143 (Recep OC) - 924,48€</t>
  </si>
  <si>
    <t xml:space="preserve">    31200.0160 - Subproyecto - 395,90€</t>
  </si>
  <si>
    <t xml:space="preserve">    31200.0160 - Subproyecto - 123,90€</t>
  </si>
  <si>
    <t xml:space="preserve">            99132 (Recep OC) - 123,90€</t>
  </si>
  <si>
    <t xml:space="preserve">    31200.0160 - Subproyecto - 18,16€</t>
  </si>
  <si>
    <t xml:space="preserve">            129997 (Recep OC) - 18,16€</t>
  </si>
  <si>
    <t xml:space="preserve">    31200.0160 - Subproyecto - 18.299,00€</t>
  </si>
  <si>
    <t xml:space="preserve">            C205-00-000-1+1 (Recep OC) - 18.299,00€</t>
  </si>
  <si>
    <t xml:space="preserve">    31200.0160 - Subproyecto - 242,56€</t>
  </si>
  <si>
    <t xml:space="preserve">            99181 (Recep OC) - 242,56€</t>
  </si>
  <si>
    <t xml:space="preserve">    31200.0160 - Subproyecto - 318,00€</t>
  </si>
  <si>
    <t xml:space="preserve">            99180 (Recep OC) - 318,00€</t>
  </si>
  <si>
    <t xml:space="preserve">    31200.0160 - Subproyecto - 337,20€</t>
  </si>
  <si>
    <t xml:space="preserve">            99179 (Recep OC) - 337,20€</t>
  </si>
  <si>
    <t xml:space="preserve">    31200.0160 - Subproyecto - 82,00€</t>
  </si>
  <si>
    <t xml:space="preserve">            99178 (Recep OC) - 82,00€</t>
  </si>
  <si>
    <t xml:space="preserve">    31200.0160 - Subproyecto - 92,80€</t>
  </si>
  <si>
    <t xml:space="preserve">            99177 (Recep OC) - 92,80€</t>
  </si>
  <si>
    <t xml:space="preserve">    31200.0160 - Subproyecto - 358,16€</t>
  </si>
  <si>
    <t xml:space="preserve">            99176 (Recep OC) - 358,16€</t>
  </si>
  <si>
    <t xml:space="preserve">    31200.0160 - Subproyecto - 269,76€</t>
  </si>
  <si>
    <t xml:space="preserve">            99140 (Recep OC) - 269,76€</t>
  </si>
  <si>
    <t xml:space="preserve">    31200.0160 - Subproyecto - 216,48€</t>
  </si>
  <si>
    <t xml:space="preserve">            99138 (Recep OC) - 216,48€</t>
  </si>
  <si>
    <t xml:space="preserve">    31200.0160 - Subproyecto - 42,84€</t>
  </si>
  <si>
    <t xml:space="preserve">            99090 (Recep OC) - 42,84€</t>
  </si>
  <si>
    <t xml:space="preserve">    31200.0160 - Subproyecto - 281,00€</t>
  </si>
  <si>
    <t xml:space="preserve">            99182 (Recep OC) - 281,00€</t>
  </si>
  <si>
    <t xml:space="preserve">    31200.0160 - Subproyecto - 880,92€</t>
  </si>
  <si>
    <t xml:space="preserve">            99089 (Recep OC) - 880,92€</t>
  </si>
  <si>
    <t xml:space="preserve">    31200.0160 - Subproyecto - 1.344,00€</t>
  </si>
  <si>
    <t xml:space="preserve">            99074 (Recep OC) - 1.344,00€</t>
  </si>
  <si>
    <t xml:space="preserve">    31200.0160 - Subproyecto - 446,24€</t>
  </si>
  <si>
    <t xml:space="preserve">            99059 (Recep OC) - 446,24€</t>
  </si>
  <si>
    <t xml:space="preserve">    31200.0160 - Subproyecto - 21,40€</t>
  </si>
  <si>
    <t xml:space="preserve">            99057 (Recep OC) - 21,40€</t>
  </si>
  <si>
    <t xml:space="preserve">    31200.0160 - Subproyecto - 128,40€</t>
  </si>
  <si>
    <t xml:space="preserve">            99057 (Recep OC) - 128,40€</t>
  </si>
  <si>
    <t xml:space="preserve">            99056 (Recep OC) - 53,50€</t>
  </si>
  <si>
    <t xml:space="preserve">            99055 (Recep OC) - 53,50€</t>
  </si>
  <si>
    <t xml:space="preserve">    31200.0160 - Subproyecto - 720,20€</t>
  </si>
  <si>
    <t xml:space="preserve">            99041 (Recep OC) - 720,20€</t>
  </si>
  <si>
    <t xml:space="preserve">    31200.0160 - Subproyecto - 166,20€</t>
  </si>
  <si>
    <t xml:space="preserve">            99041 (Recep OC) - 166,20€</t>
  </si>
  <si>
    <t xml:space="preserve">    31200.0160 - Subproyecto - 219,16€</t>
  </si>
  <si>
    <t xml:space="preserve">            99085 (Recep OC) - 219,16€</t>
  </si>
  <si>
    <t xml:space="preserve">    31200.0160 - Subproyecto - -166,20€</t>
  </si>
  <si>
    <t xml:space="preserve">            99041 (Recep OC) - -166,20€</t>
  </si>
  <si>
    <t xml:space="preserve">    31200.0160 - Subproyecto - 73.580,00€</t>
  </si>
  <si>
    <t xml:space="preserve">            C410-00-000-1+1 (Recep OC) - 73.580,00€</t>
  </si>
  <si>
    <t xml:space="preserve">    31200.0160 - Subproyecto - 3.450,00€</t>
  </si>
  <si>
    <t xml:space="preserve">            780-00-000-1A (Rec.Plan. OC) - 3.450,00€</t>
  </si>
  <si>
    <t xml:space="preserve">    31200.0160 - Subproyecto - 4.263,00€</t>
  </si>
  <si>
    <t xml:space="preserve">            C880-00-000-1 (Recep OC) - 4.263,00€</t>
  </si>
  <si>
    <t xml:space="preserve">    31200.0160 - Subproyecto - 82,86€</t>
  </si>
  <si>
    <t xml:space="preserve">            99141 (Recep OC) - 82,86€</t>
  </si>
  <si>
    <t xml:space="preserve">    31200.0160 - Subproyecto - 80,25€</t>
  </si>
  <si>
    <t xml:space="preserve">            145947 (Recep OC) - 80,25€</t>
  </si>
  <si>
    <t xml:space="preserve">    31200.0160 - Subproyecto - 4,82€</t>
  </si>
  <si>
    <t xml:space="preserve">            142006 (Recep OC) - 4,82€</t>
  </si>
  <si>
    <t xml:space="preserve">    31200.0160 - Subproyecto - 446,19€</t>
  </si>
  <si>
    <t xml:space="preserve">            141139 (Recep OC) - 446,19€</t>
  </si>
  <si>
    <t xml:space="preserve">    31200.0160 - Subproyecto - 31,68€</t>
  </si>
  <si>
    <t xml:space="preserve">            118960 (Recep OC) - 31,68€</t>
  </si>
  <si>
    <t xml:space="preserve">    31200.0160 - Subproyecto - 42,00€</t>
  </si>
  <si>
    <t xml:space="preserve">            146438 (Recep OC) - 42,00€</t>
  </si>
  <si>
    <t xml:space="preserve">    31200.0160 - Subproyecto - 1.232,64€</t>
  </si>
  <si>
    <t xml:space="preserve">            141143 (Recep OC) - 1.232,64€</t>
  </si>
  <si>
    <t xml:space="preserve">    31200.0160 - Subproyecto - 10,81€</t>
  </si>
  <si>
    <t xml:space="preserve">            103133 (Estándar) - 10,81€</t>
  </si>
  <si>
    <t xml:space="preserve">    31200.0160 - Subproyecto - 268,72€</t>
  </si>
  <si>
    <t xml:space="preserve">            99197 (Recep OC) - 268,72€</t>
  </si>
  <si>
    <t xml:space="preserve">    31200.0160 - Subproyecto - 8.528,00€</t>
  </si>
  <si>
    <t xml:space="preserve">            C830-00-000-1 (Recep OC) - 8.528,00€</t>
  </si>
  <si>
    <t xml:space="preserve">    31200.0160 - Subproyecto - 568,08€</t>
  </si>
  <si>
    <t xml:space="preserve">            99040 (Recep OC) - 568,08€</t>
  </si>
  <si>
    <t xml:space="preserve">            145947 (Recep OC) - 214,00€</t>
  </si>
  <si>
    <t xml:space="preserve">            99054 (Recep OC) - 107,00€</t>
  </si>
  <si>
    <t xml:space="preserve">            99049 (Recep OC) - 26,75€</t>
  </si>
  <si>
    <t xml:space="preserve">            99048 (Recep OC) - 26,75€</t>
  </si>
  <si>
    <t xml:space="preserve">    31200.0160 - Subproyecto - 189,36€</t>
  </si>
  <si>
    <t xml:space="preserve">            99040 (Recep OC) - 189,36€</t>
  </si>
  <si>
    <t xml:space="preserve">    31200.0160 - Subproyecto - 2.234,16€</t>
  </si>
  <si>
    <t xml:space="preserve">            143847 (Recep OC) - 2.234,16€</t>
  </si>
  <si>
    <t xml:space="preserve">    31200.0160 - Subproyecto - 422,56€</t>
  </si>
  <si>
    <t xml:space="preserve">            137081 (Recep OC) - 422,56€</t>
  </si>
  <si>
    <t xml:space="preserve">    31200.0160 - Subproyecto - 3,68€</t>
  </si>
  <si>
    <t xml:space="preserve">            135397 (Recep OC) - 3,68€</t>
  </si>
  <si>
    <t xml:space="preserve">    31200.0160 - Subproyecto - 7,92€</t>
  </si>
  <si>
    <t xml:space="preserve">            132508 (Recep OC) - 7,92€</t>
  </si>
  <si>
    <t xml:space="preserve">    31200.0160 - Subproyecto - 7,52€</t>
  </si>
  <si>
    <t xml:space="preserve">            129997 (Recep OC) - 7,52€</t>
  </si>
  <si>
    <t xml:space="preserve">    31200.0160 - Subproyecto - 259,62€</t>
  </si>
  <si>
    <t xml:space="preserve">            99171 (Recep OC) - 259,62€</t>
  </si>
  <si>
    <t xml:space="preserve">    31200.0160 - Subproyecto - 240,66€</t>
  </si>
  <si>
    <t xml:space="preserve">            99170 (Recep OC) - 240,66€</t>
  </si>
  <si>
    <t xml:space="preserve">    31200.0160 - Subproyecto - 3,96€</t>
  </si>
  <si>
    <t xml:space="preserve">            132508 (Recep OC) - 3,96€</t>
  </si>
  <si>
    <t xml:space="preserve">    31200.0160 - Subproyecto - 413,10€</t>
  </si>
  <si>
    <t xml:space="preserve">            99173 (Recep OC) - 413,10€</t>
  </si>
  <si>
    <t xml:space="preserve">    31200.0160 - Subproyecto - 65,04€</t>
  </si>
  <si>
    <t xml:space="preserve">            99071 (Recep OC) - 65,04€</t>
  </si>
  <si>
    <t xml:space="preserve">    31200.0160 - Subproyecto - 380,02€</t>
  </si>
  <si>
    <t xml:space="preserve">            99174 (Recep OC) - 380,02€</t>
  </si>
  <si>
    <t xml:space="preserve">    31200.0160 - Subproyecto - 321,00€</t>
  </si>
  <si>
    <t xml:space="preserve">            145946 (Recep OC) - 321,00€</t>
  </si>
  <si>
    <t xml:space="preserve">    31200.0160 - Subproyecto - 1.489,44€</t>
  </si>
  <si>
    <t xml:space="preserve">            143847 (Recep OC) - 1.489,44€</t>
  </si>
  <si>
    <t xml:space="preserve">    31200.0160 - Subproyecto - 2.610,00€</t>
  </si>
  <si>
    <t xml:space="preserve">            143744 (Recep OC) - 2.610,00€</t>
  </si>
  <si>
    <t xml:space="preserve">    31200.0160 - Subproyecto - 64,20€</t>
  </si>
  <si>
    <t xml:space="preserve">            142180 (Recep OC) - 64,20€</t>
  </si>
  <si>
    <t xml:space="preserve">    31200.0160 - Subproyecto - 1.913,16€</t>
  </si>
  <si>
    <t xml:space="preserve">            141765 (Recep OC) - 1.913,16€</t>
  </si>
  <si>
    <t xml:space="preserve">    31200.0160 - Subproyecto - 316,92€</t>
  </si>
  <si>
    <t xml:space="preserve">            137081 (Recep OC) - 316,92€</t>
  </si>
  <si>
    <t xml:space="preserve">    31200.0160 - Subproyecto - 68,10€</t>
  </si>
  <si>
    <t xml:space="preserve">            129997 (Recep OC) - 68,10€</t>
  </si>
  <si>
    <t xml:space="preserve">    31200.0160 - Subproyecto - -9,08€</t>
  </si>
  <si>
    <t xml:space="preserve">            129997 (Recep OC) - -9,08€</t>
  </si>
  <si>
    <t xml:space="preserve">            129997 (Recep OC) - 9,08€</t>
  </si>
  <si>
    <t xml:space="preserve">    31200.0160 - Subproyecto - 13,62€</t>
  </si>
  <si>
    <t xml:space="preserve">            129997 (Recep OC) - 13,62€</t>
  </si>
  <si>
    <t xml:space="preserve">    31200.0160 - Subproyecto - 30,08€</t>
  </si>
  <si>
    <t xml:space="preserve">            129997 (Recep OC) - 30,08€</t>
  </si>
  <si>
    <t xml:space="preserve">    31200.0160 - Subproyecto - 69,92€</t>
  </si>
  <si>
    <t xml:space="preserve">            114669 (Recep OC) - 69,92€</t>
  </si>
  <si>
    <t xml:space="preserve">    31200.0160 - Subproyecto - 9,46€</t>
  </si>
  <si>
    <t xml:space="preserve">            103133 (Estándar) - 9,46€</t>
  </si>
  <si>
    <t xml:space="preserve">    31200.0160 - Subproyecto - 22.638,00€</t>
  </si>
  <si>
    <t xml:space="preserve">            C405/6-00-000 (Recep OC) - 22.638,00€</t>
  </si>
  <si>
    <t xml:space="preserve">    31200.0160 - Subproyecto - 440,10€</t>
  </si>
  <si>
    <t xml:space="preserve">            99175 (Recep OC) - 440,10€</t>
  </si>
  <si>
    <t xml:space="preserve">    31200.0160 - Subproyecto - 230,05€</t>
  </si>
  <si>
    <t xml:space="preserve">            145334 (Recep OC) - 230,05€</t>
  </si>
  <si>
    <t xml:space="preserve">            99068 (Compra) - 0,00€</t>
  </si>
  <si>
    <t xml:space="preserve">    31200.0160 - Subproyecto - 537,44€</t>
  </si>
  <si>
    <t xml:space="preserve">            99076 (Recep OC) - 537,44€</t>
  </si>
  <si>
    <t xml:space="preserve">    31200.0160 - Subproyecto - 2,70€</t>
  </si>
  <si>
    <t xml:space="preserve">            99075 (Recep OC) - 2,70€</t>
  </si>
  <si>
    <t xml:space="preserve">    31200.0160 - Subproyecto - 210,60€</t>
  </si>
  <si>
    <t xml:space="preserve">            99073 (Recep OC) - 210,60€</t>
  </si>
  <si>
    <t xml:space="preserve">            99062 (Compra) - 0,00€</t>
  </si>
  <si>
    <t xml:space="preserve">            99050 (Recep OC) - 107,00€</t>
  </si>
  <si>
    <t xml:space="preserve">            99042 (Compra) - 0,00€</t>
  </si>
  <si>
    <t xml:space="preserve">    31200.0160 - Subproyecto - 441,84€</t>
  </si>
  <si>
    <t xml:space="preserve">            99040 (Recep OC) - 441,84€</t>
  </si>
  <si>
    <t xml:space="preserve">    31200.0160 - Subproyecto - 1.219,80€</t>
  </si>
  <si>
    <t xml:space="preserve">            143189 (Recep OC) - 1.219,80€</t>
  </si>
  <si>
    <t xml:space="preserve">    31200.0160 - Subproyecto - 406,60€</t>
  </si>
  <si>
    <t xml:space="preserve">    31200.0160 - Subproyecto - 1.784,76€</t>
  </si>
  <si>
    <t xml:space="preserve">            141139 (Recep OC) - 1.784,76€</t>
  </si>
  <si>
    <t xml:space="preserve">    31200.0160 - Subproyecto - 523,98€</t>
  </si>
  <si>
    <t xml:space="preserve">            137082 (Recep OC) - 523,98€</t>
  </si>
  <si>
    <t xml:space="preserve">    31200.0160 - Subproyecto - 13,31€</t>
  </si>
  <si>
    <t xml:space="preserve">            103133 (Estándar) - 13,31€</t>
  </si>
  <si>
    <t xml:space="preserve">    31200.0160 - Subproyecto - 43.802,00€</t>
  </si>
  <si>
    <t xml:space="preserve">            C220-00-000-1 (Recep OC) - 43.802,00€</t>
  </si>
  <si>
    <t xml:space="preserve">    31200.0160 - Subproyecto - 170,92€</t>
  </si>
  <si>
    <t xml:space="preserve">            99137 (Recep OC) - 170,92€</t>
  </si>
  <si>
    <t xml:space="preserve">    31200.0160 - Subproyecto - 158,68€</t>
  </si>
  <si>
    <t xml:space="preserve">            99131 (Recep OC) - 158,68€</t>
  </si>
  <si>
    <t xml:space="preserve">    31200.0160 - Subproyecto - 7.636,00€</t>
  </si>
  <si>
    <t xml:space="preserve">            C410-00-000-1 (Recep OC) - 7.636,00€</t>
  </si>
  <si>
    <t xml:space="preserve">    31200.0160 - Subproyecto - 6.890,00€</t>
  </si>
  <si>
    <t xml:space="preserve">            C520-00-000-1 (Recep OC) - 6.890,00€</t>
  </si>
  <si>
    <t xml:space="preserve">            145946 (Recep OC) - 107,00€</t>
  </si>
  <si>
    <t xml:space="preserve">            141766 (Recep OC) - 616,32€</t>
  </si>
  <si>
    <t xml:space="preserve">    31200.0160 - Subproyecto - 438,70€</t>
  </si>
  <si>
    <t xml:space="preserve">            144570 (Recep OC) - 438,70€</t>
  </si>
  <si>
    <t xml:space="preserve">            145947 (Compra) - 0,00€</t>
  </si>
  <si>
    <t xml:space="preserve">            141139 (Compra) - 0,00€</t>
  </si>
  <si>
    <t xml:space="preserve">            99058 (Recep OC) - 145,52€</t>
  </si>
  <si>
    <t xml:space="preserve">    31200.0160 - Subproyecto - 11,28€</t>
  </si>
  <si>
    <t xml:space="preserve">            129997 (Recep OC) - 11,28€</t>
  </si>
  <si>
    <t xml:space="preserve">    31200.0160 - Subproyecto - 7,59€</t>
  </si>
  <si>
    <t xml:space="preserve">            119812 (Recep OC) - 7,59€</t>
  </si>
  <si>
    <t xml:space="preserve">    31200.0160 - Subproyecto - 317,36€</t>
  </si>
  <si>
    <t xml:space="preserve">            99136 (Recep OC) - 317,36€</t>
  </si>
  <si>
    <t xml:space="preserve">    31200.0160 - Subproyecto - 291,32€</t>
  </si>
  <si>
    <t xml:space="preserve">            99135 (Recep OC) - 291,32€</t>
  </si>
  <si>
    <t xml:space="preserve">    31200.0160 - Subproyecto - 21,12€</t>
  </si>
  <si>
    <t xml:space="preserve">            138289 (Recep OC) - 21,12€</t>
  </si>
  <si>
    <t xml:space="preserve">    31200.0160 - Subproyecto - 33.094,00€</t>
  </si>
  <si>
    <t xml:space="preserve">            C310-00-000-1 (Recep OC) - 33.094,00€</t>
  </si>
  <si>
    <t xml:space="preserve">    31200.0160 - Subproyecto - 1.022,04€</t>
  </si>
  <si>
    <t xml:space="preserve">            99045 (Recep OC) - 1.022,04€</t>
  </si>
  <si>
    <t xml:space="preserve">    31200.0160 - Subproyecto - 55,40€</t>
  </si>
  <si>
    <t xml:space="preserve">            99041 (Recep OC) - 55,40€</t>
  </si>
  <si>
    <t xml:space="preserve">            145945 (Recep OC) - 107,00€</t>
  </si>
  <si>
    <t xml:space="preserve">            145944 (Recep OC) - 53,50€</t>
  </si>
  <si>
    <t xml:space="preserve">            145943 (Recep OC) - 53,50€</t>
  </si>
  <si>
    <t xml:space="preserve">    31200.0160 - Subproyecto - 224,00€</t>
  </si>
  <si>
    <t xml:space="preserve">            99074 (Recep OC) - 224,00€</t>
  </si>
  <si>
    <t xml:space="preserve">    31200.0160 - Subproyecto - 465,76€</t>
  </si>
  <si>
    <t xml:space="preserve">            137082 (Recep OC) - 465,76€</t>
  </si>
  <si>
    <t xml:space="preserve">    31200.0160 - Subproyecto - 2.033,00€</t>
  </si>
  <si>
    <t xml:space="preserve">            143189 (Recep OC) - 2.033,00€</t>
  </si>
  <si>
    <t xml:space="preserve">    31200.0160 - Subproyecto - 291,04€</t>
  </si>
  <si>
    <t xml:space="preserve">            141912 (Recep OC) - 291,04€</t>
  </si>
  <si>
    <t xml:space="preserve">    31200.0160 - Subproyecto - 297,46€</t>
  </si>
  <si>
    <t xml:space="preserve">    31200.0160 - Subproyecto - 26,40€</t>
  </si>
  <si>
    <t xml:space="preserve">            126030 (Estándar) - 26,40€</t>
  </si>
  <si>
    <t xml:space="preserve">    31200.0160 - Subproyecto - 931,52€</t>
  </si>
  <si>
    <t xml:space="preserve">            137082 (Recep OC) - 931,52€</t>
  </si>
  <si>
    <t xml:space="preserve">    31200.0160 - Subproyecto - 44.344,00€</t>
  </si>
  <si>
    <t xml:space="preserve">            C320-00-000-1 (Recep OC) - 44.344,00€</t>
  </si>
  <si>
    <t xml:space="preserve">            99067 (Compra) - 0,00€</t>
  </si>
  <si>
    <t xml:space="preserve">            99066 (Compra) - 0,00€</t>
  </si>
  <si>
    <t xml:space="preserve">            99065 (Compra) - 0,00€</t>
  </si>
  <si>
    <t xml:space="preserve">    31200.0160 - Subproyecto - 1.994,00€</t>
  </si>
  <si>
    <t xml:space="preserve">            99061 (Recep OC) - 1.994,00€</t>
  </si>
  <si>
    <t xml:space="preserve">            99060 (Recep OC) - 1.994,00€</t>
  </si>
  <si>
    <t xml:space="preserve">    31200.0160 - Subproyecto - 223,12€</t>
  </si>
  <si>
    <t xml:space="preserve">            99059 (Recep OC) - 223,12€</t>
  </si>
  <si>
    <t xml:space="preserve">    31200.0160 - Subproyecto - 154,08€</t>
  </si>
  <si>
    <t xml:space="preserve">            141143 (Recep OC) - 154,08€</t>
  </si>
  <si>
    <t xml:space="preserve">    31200.0160 - Subproyecto - 110,80€</t>
  </si>
  <si>
    <t xml:space="preserve">            99041 (Recep OC) - 110,80€</t>
  </si>
  <si>
    <t xml:space="preserve">    31200.0160 - Subproyecto - 631,20€</t>
  </si>
  <si>
    <t xml:space="preserve">            99040 (Recep OC) - 631,20€</t>
  </si>
  <si>
    <t xml:space="preserve">            145945 (Recep OC) - 374,50€</t>
  </si>
  <si>
    <t xml:space="preserve">            145944 (Recep OC) - 107,00€</t>
  </si>
  <si>
    <t xml:space="preserve">            145943 (Recep OC) - 107,00€</t>
  </si>
  <si>
    <t xml:space="preserve">    31200.0160 - Subproyecto - 3.220,70€</t>
  </si>
  <si>
    <t xml:space="preserve">            145334 (Recep OC) - 3.220,70€</t>
  </si>
  <si>
    <t xml:space="preserve">            99050 (Recep OC) - 26,75€</t>
  </si>
  <si>
    <t xml:space="preserve">            99050 (Recep OC) - 214,00€</t>
  </si>
  <si>
    <t xml:space="preserve">    31200.0160 - Subproyecto - 315,60€</t>
  </si>
  <si>
    <t xml:space="preserve">            99040 (Recep OC) - 315,60€</t>
  </si>
  <si>
    <t xml:space="preserve">    31200.0160 - Subproyecto - 877,40€</t>
  </si>
  <si>
    <t xml:space="preserve">            144570 (Recep OC) - 877,40€</t>
  </si>
  <si>
    <t xml:space="preserve">    31200.0160 - Subproyecto - 791,80€</t>
  </si>
  <si>
    <t xml:space="preserve">    31200.0160 - Subproyecto - 611,31€</t>
  </si>
  <si>
    <t xml:space="preserve">            137082 (Recep OC) - 611,31€</t>
  </si>
  <si>
    <t xml:space="preserve">    31200.0160 - Subproyecto - 29,44€</t>
  </si>
  <si>
    <t xml:space="preserve">            133911 (Recep OC) - 29,44€</t>
  </si>
  <si>
    <t xml:space="preserve">            99053 (Recep OC) - 107,00€</t>
  </si>
  <si>
    <t xml:space="preserve">    31200.0160 - Subproyecto - 232,88€</t>
  </si>
  <si>
    <t xml:space="preserve">            137082 (Recep OC) - 232,88€</t>
  </si>
  <si>
    <t xml:space="preserve">    31200.0160 - Subproyecto - 128,52€</t>
  </si>
  <si>
    <t xml:space="preserve">            99134 (Recep OC) - 128,52€</t>
  </si>
  <si>
    <t xml:space="preserve">    31200.0160 - Subproyecto - 59.542,00€</t>
  </si>
  <si>
    <t xml:space="preserve">            C510-00-000-1 (Recep OC) - 59.542,00€</t>
  </si>
  <si>
    <t xml:space="preserve">    31200.0160 - Subproyecto - 371,52€</t>
  </si>
  <si>
    <t xml:space="preserve">            99084 (Recep OC) - 371,52€</t>
  </si>
  <si>
    <t xml:space="preserve">    31200.0160 - Subproyecto - 35,60€</t>
  </si>
  <si>
    <t xml:space="preserve">            99083 (Recep OC) - 35,60€</t>
  </si>
  <si>
    <t xml:space="preserve">    31200.0160 - Subproyecto - 1,92€</t>
  </si>
  <si>
    <t xml:space="preserve">            99081 (Recep OC) - 1,92€</t>
  </si>
  <si>
    <t xml:space="preserve">    31200.0160 - Subproyecto - 896,00€</t>
  </si>
  <si>
    <t xml:space="preserve">            99074 (Recep OC) - 896,00€</t>
  </si>
  <si>
    <t xml:space="preserve">            99070 (Compra) - 0,00€</t>
  </si>
  <si>
    <t xml:space="preserve">            99064 (Compra) - 0,00€</t>
  </si>
  <si>
    <t xml:space="preserve">    31200.0160 - Subproyecto - 111,56€</t>
  </si>
  <si>
    <t xml:space="preserve">            99059 (Recep OC) - 111,56€</t>
  </si>
  <si>
    <t xml:space="preserve">    31200.0160 - Subproyecto - 6.356,00€</t>
  </si>
  <si>
    <t xml:space="preserve">            C620-00-000-1 (Recep OC) - 6.356,00€</t>
  </si>
  <si>
    <t xml:space="preserve">    31200.0160 - Subproyecto - 920,20€</t>
  </si>
  <si>
    <t xml:space="preserve">            145334 (Recep OC) - 920,20€</t>
  </si>
  <si>
    <t xml:space="preserve">    31200.0160 - Subproyecto - 6,40€</t>
  </si>
  <si>
    <t xml:space="preserve">            99050 (Recep OC) - 53,50€</t>
  </si>
  <si>
    <t xml:space="preserve">    31200.0160 - Subproyecto - 308,16€</t>
  </si>
  <si>
    <t xml:space="preserve">            141143 (Recep OC) - 308,16€</t>
  </si>
  <si>
    <t xml:space="preserve">    31200.0160 - Subproyecto - 921,00€</t>
  </si>
  <si>
    <t xml:space="preserve">            MOD-11872 (Recep OC) - 921,00€</t>
  </si>
  <si>
    <t xml:space="preserve">    31200.0160 - Subproyecto - 0,70€</t>
  </si>
  <si>
    <t xml:space="preserve">            104626 (Estándar) - 0,70€</t>
  </si>
  <si>
    <t xml:space="preserve">    31200.0160 - Subproyecto - 633,84€</t>
  </si>
  <si>
    <t xml:space="preserve">            137081 (Recep OC) - 633,84€</t>
  </si>
  <si>
    <t xml:space="preserve">    31200.0160 - Subproyecto - 23,48€</t>
  </si>
  <si>
    <t xml:space="preserve">            132729 (Recep OC) - 23,48€</t>
  </si>
  <si>
    <t xml:space="preserve">    31200.0160 - Subproyecto - 372,36€</t>
  </si>
  <si>
    <t xml:space="preserve">    31200.0160 - Subproyecto - 252,84€</t>
  </si>
  <si>
    <t xml:space="preserve">            99133 (Recep OC) - 252,84€</t>
  </si>
  <si>
    <t xml:space="preserve">            99131 (Recep OC) - 317,36€</t>
  </si>
  <si>
    <t xml:space="preserve">    31200.0160 - Subproyecto - 24.536,00€</t>
  </si>
  <si>
    <t xml:space="preserve">            C610-00-000-1 (Recep OC) - 24.536,00€</t>
  </si>
  <si>
    <t xml:space="preserve">            99082 (Recep OC) - 464,00€</t>
  </si>
  <si>
    <t xml:space="preserve">    31200.0160 - Subproyecto - 571,20€</t>
  </si>
  <si>
    <t xml:space="preserve">            99080 (Recep OC) - 571,20€</t>
  </si>
  <si>
    <t xml:space="preserve">            99063 (Compra) - 0,00€</t>
  </si>
  <si>
    <t xml:space="preserve">            99057 (Recep OC) - 64,20€</t>
  </si>
  <si>
    <t xml:space="preserve">            99054 (Recep OC) - 214,00€</t>
  </si>
  <si>
    <t xml:space="preserve">            99049 (Recep OC) - 107,00€</t>
  </si>
  <si>
    <t xml:space="preserve">            99048 (Recep OC) - 107,00€</t>
  </si>
  <si>
    <t xml:space="preserve">    31200.0160 - Subproyecto - 264,56€</t>
  </si>
  <si>
    <t xml:space="preserve">            99079 (Recep OC) - 264,56€</t>
  </si>
  <si>
    <t xml:space="preserve">                99132 (Recep OC) - 123,90€</t>
  </si>
  <si>
    <t xml:space="preserve">                99081 (Recep OC) - 0,96€</t>
  </si>
  <si>
    <t xml:space="preserve">                143744 (Recep OC) - 348,00€</t>
  </si>
  <si>
    <t xml:space="preserve">                99051 (Recep OC) - 26,75€</t>
  </si>
  <si>
    <t xml:space="preserve">                99052 (Recep OC) - 26,75€</t>
  </si>
  <si>
    <t xml:space="preserve">                103133 (Estándar) - 5,88€</t>
  </si>
  <si>
    <t xml:space="preserve">                138289 (Recep OC) - 5,28€</t>
  </si>
  <si>
    <t xml:space="preserve">                141276 (Recep OC) - 637,72€</t>
  </si>
  <si>
    <t xml:space="preserve">                127426 (Recep OC) - 23,16€</t>
  </si>
  <si>
    <t xml:space="preserve">                145943 (Recep OC) - 26,75€</t>
  </si>
  <si>
    <t xml:space="preserve">                145944 (Recep OC) - 26,75€</t>
  </si>
  <si>
    <t xml:space="preserve">                145945 (Recep OC) - 107,00€</t>
  </si>
  <si>
    <t xml:space="preserve">                143189 (Recep OC) - 406,60€</t>
  </si>
  <si>
    <t>31200.0170 -  03 - Fabricación</t>
  </si>
  <si>
    <t>Sp-31200.0170</t>
  </si>
  <si>
    <t xml:space="preserve">    31200.0170 - Subproyecto - 234,50€</t>
  </si>
  <si>
    <t xml:space="preserve">        138585 (Recep OC) - 234,50€</t>
  </si>
  <si>
    <t xml:space="preserve">    31200.0170 - Subproyecto - 0,00€</t>
  </si>
  <si>
    <t xml:space="preserve">        00N12-1-00U (Rec.Plan. OF) - 0,00€</t>
  </si>
  <si>
    <t xml:space="preserve">    31200.0170 - Subproyecto - 340,00€</t>
  </si>
  <si>
    <t xml:space="preserve">        44039 (Recep OC) - 340,00€</t>
  </si>
  <si>
    <t xml:space="preserve">    31200.0170 - Subproyecto - 390,00€</t>
  </si>
  <si>
    <t xml:space="preserve">        66057 (Recep OC) - 390,00€</t>
  </si>
  <si>
    <t xml:space="preserve">        00N11-1-00U (Rec.Plan. OF) - 0,00€</t>
  </si>
  <si>
    <t xml:space="preserve">    31200.0170 - Subproyecto - 100,50€</t>
  </si>
  <si>
    <t xml:space="preserve">        138585 (Recep OC) - 100,50€</t>
  </si>
  <si>
    <t xml:space="preserve">        00N08-1-00U (Rec.Plan. OF) - 0,00€</t>
  </si>
  <si>
    <t xml:space="preserve">    31200.0170 - Subproyecto - 183,60€</t>
  </si>
  <si>
    <t xml:space="preserve">        140552 (Recep OC) - 183,60€</t>
  </si>
  <si>
    <t xml:space="preserve">        00N10-1-00U (Rec.Plan. OF) - 0,00€</t>
  </si>
  <si>
    <t xml:space="preserve">        00N09-1-00 (Rec.Plan. OF) - 0,00€</t>
  </si>
  <si>
    <t xml:space="preserve">    31200.0170 - Subproyecto - 105,00€</t>
  </si>
  <si>
    <t xml:space="preserve">        135294 (Recep OC) - 105,00€</t>
  </si>
  <si>
    <t xml:space="preserve">    31200.0170 - Subproyecto - 177,63€</t>
  </si>
  <si>
    <t xml:space="preserve">        99168 (Recep OC) - 177,63€</t>
  </si>
  <si>
    <t xml:space="preserve">    31200.0170 - Subproyecto - 70,50€</t>
  </si>
  <si>
    <t xml:space="preserve">        140101 (Recep OC) - 70,50€</t>
  </si>
  <si>
    <t xml:space="preserve">    31200.0170 - Subproyecto - 846,00€</t>
  </si>
  <si>
    <t xml:space="preserve">        44026 (Recep OC) - 846,00€</t>
  </si>
  <si>
    <t xml:space="preserve">        00N13-1-00U (Rec.Plan. OF) - 0,00€</t>
  </si>
  <si>
    <t xml:space="preserve">    31200.0170 - Subproyecto - -110,00€</t>
  </si>
  <si>
    <t xml:space="preserve">        143039 (Recep OC) - -110,00€</t>
  </si>
  <si>
    <t xml:space="preserve">    31200.0170 - Subproyecto - 440,00€</t>
  </si>
  <si>
    <t xml:space="preserve">        143039 (Recep OC) - 440,00€</t>
  </si>
  <si>
    <t xml:space="preserve">    31200.0170 - Subproyecto - 570,00€</t>
  </si>
  <si>
    <t xml:space="preserve">        44019 (Recep OC) - 570,00€</t>
  </si>
  <si>
    <t xml:space="preserve">    31200.0170 - Subproyecto - 7.604,76€</t>
  </si>
  <si>
    <t xml:space="preserve">        634348.0170 (Operación) - 7.604,76€</t>
  </si>
  <si>
    <t xml:space="preserve">        01E26-1-00U (Rec.Plan. OF) - 0,00€</t>
  </si>
  <si>
    <t xml:space="preserve">    31200.0170 - Subproyecto - 452,92€</t>
  </si>
  <si>
    <t xml:space="preserve">        115662 (Recep OC) - 452,92€</t>
  </si>
  <si>
    <t xml:space="preserve">    31200.0170 - Subproyecto - 27,60€</t>
  </si>
  <si>
    <t xml:space="preserve">        131929 (Recep OC) - 27,60€</t>
  </si>
  <si>
    <t xml:space="preserve">        00N15-1-00 (Rec.Plan. OF) - 0,00€</t>
  </si>
  <si>
    <t xml:space="preserve">    31200.0170 - Subproyecto - 837,00€</t>
  </si>
  <si>
    <t xml:space="preserve">        140938 (Recep OC) - 837,00€</t>
  </si>
  <si>
    <t xml:space="preserve">    31200.0170 - Subproyecto - 63,20€</t>
  </si>
  <si>
    <t xml:space="preserve">        139271 (Recep OC) - 63,20€</t>
  </si>
  <si>
    <t xml:space="preserve">    31200.0170 - Subproyecto - 115,90€</t>
  </si>
  <si>
    <t xml:space="preserve">        145512 (Recep OC) - 115,90€</t>
  </si>
  <si>
    <t xml:space="preserve">    31200.0170 - Subproyecto - 568,00€</t>
  </si>
  <si>
    <t xml:space="preserve">        145512 (Recep OC) - 568,00€</t>
  </si>
  <si>
    <t xml:space="preserve">    31200.0170 - Subproyecto - 220,00€</t>
  </si>
  <si>
    <t xml:space="preserve">        143039 (Recep OC) - 220,00€</t>
  </si>
  <si>
    <t xml:space="preserve">    31200.0170 - Subproyecto - 110,00€</t>
  </si>
  <si>
    <t xml:space="preserve">        143039 (Recep OC) - 110,00€</t>
  </si>
  <si>
    <t xml:space="preserve">    31200.0170 - Subproyecto - -440,00€</t>
  </si>
  <si>
    <t xml:space="preserve">        143039 (Recep OC) - -440,00€</t>
  </si>
  <si>
    <t xml:space="preserve">        00N14-1-00U (Rec.Plan. OF) - 0,00€</t>
  </si>
  <si>
    <t xml:space="preserve">    31200.0170 - Subproyecto - 560,00€</t>
  </si>
  <si>
    <t xml:space="preserve">        44018 (Recep OC) - 560,00€</t>
  </si>
  <si>
    <t xml:space="preserve">    31200.0170 - Subproyecto - 594,00€</t>
  </si>
  <si>
    <t xml:space="preserve">        44057 (Recep OC) - 594,00€</t>
  </si>
  <si>
    <t xml:space="preserve">    31200.0170 - Subproyecto - 380,00€</t>
  </si>
  <si>
    <t xml:space="preserve">        44016 (Recep OC) - 380,00€</t>
  </si>
  <si>
    <t xml:space="preserve">        00E02-0-00U (Rec.Plan. OF) - 0,00€</t>
  </si>
  <si>
    <t xml:space="preserve">        01E13-1-00F (Rec.Plan. OF) - 0,00€</t>
  </si>
  <si>
    <t xml:space="preserve">        01E12-1-00F (Rec.Plan. OF) - 0,00€</t>
  </si>
  <si>
    <t xml:space="preserve">        00E01-0-00F (Rec.Plan. OF) - 0,00€</t>
  </si>
  <si>
    <t xml:space="preserve">        00N02-1-00U (Rec.Plan. OF) - 0,00€</t>
  </si>
  <si>
    <t xml:space="preserve">        00N01-1-00 (Rec.Plan. OF) - 0,00€</t>
  </si>
  <si>
    <t xml:space="preserve">    31200.0170 - Subproyecto - 30,00€</t>
  </si>
  <si>
    <t xml:space="preserve">        117647 (Recep OC) - 30,00€</t>
  </si>
  <si>
    <t xml:space="preserve">        01E08-1-00 (Rec.Plan. OF) - 0,00€</t>
  </si>
  <si>
    <t xml:space="preserve">    31200.0170 - Subproyecto - 11.250,00€</t>
  </si>
  <si>
    <t xml:space="preserve">        145788 (Recep OC) - 11.250,00€</t>
  </si>
  <si>
    <t xml:space="preserve">        01E07-1-00I (Rec.Plan. OF) - 0,00€</t>
  </si>
  <si>
    <t xml:space="preserve">        00N00-1-00U (Rec.Plan. OF) - 0,00€</t>
  </si>
  <si>
    <t xml:space="preserve">        00N00-1-00P (Rec.Plan. OF) - 0,00€</t>
  </si>
  <si>
    <t xml:space="preserve">        00E04-1-00F (Rec.Plan. OF) - 0,00€</t>
  </si>
  <si>
    <t xml:space="preserve">        00E04-1-00I (Rec.Plan. OF) - 0,00€</t>
  </si>
  <si>
    <t xml:space="preserve">        00N15-1-00I (Rec.Plan. OF) - 0,00€</t>
  </si>
  <si>
    <t xml:space="preserve">    31200.0170 - Subproyecto - 416,00€</t>
  </si>
  <si>
    <t xml:space="preserve">        44017 (Recep OC) - 416,00€</t>
  </si>
  <si>
    <t xml:space="preserve">        01E03-1-00F (Rec.Plan. OF) - 0,00€</t>
  </si>
  <si>
    <t xml:space="preserve">        00E02-0-00F (Rec.Plan. OF) - 0,00€</t>
  </si>
  <si>
    <t xml:space="preserve">        00N03-1-00P (Rec.Plan. OF) - 0,00€</t>
  </si>
  <si>
    <t xml:space="preserve">        00N00-1-00I (Rec.Plan. OF) - 0,00€</t>
  </si>
  <si>
    <t xml:space="preserve">        00N05-1-00P (Rec.Plan. OF) - 0,00€</t>
  </si>
  <si>
    <t xml:space="preserve">        00N06-1-00 (Rec.Plan. OF) - 0,00€</t>
  </si>
  <si>
    <t xml:space="preserve">    31200.0170 - Subproyecto - 88,00€</t>
  </si>
  <si>
    <t xml:space="preserve">        141584 (Recep OC) - 88,00€</t>
  </si>
  <si>
    <t xml:space="preserve">        44001 (Recep OC) - 340,00€</t>
  </si>
  <si>
    <t xml:space="preserve">        01E16-1-00U (Rec.Plan. OF) - 0,00€</t>
  </si>
  <si>
    <t xml:space="preserve">    31200.0170 - Subproyecto - 232,00€</t>
  </si>
  <si>
    <t xml:space="preserve">        44008 (Recep OC) - 232,00€</t>
  </si>
  <si>
    <t xml:space="preserve">    31200.0170 - Subproyecto - 119,00€</t>
  </si>
  <si>
    <t xml:space="preserve">        44005 (Recep OC) - 119,00€</t>
  </si>
  <si>
    <t xml:space="preserve">    31200.0170 - Subproyecto - 30,06€</t>
  </si>
  <si>
    <t xml:space="preserve">        105028 (Estándar) - 30,06€</t>
  </si>
  <si>
    <t xml:space="preserve">    31200.0170 - Subproyecto - 4.158,00€</t>
  </si>
  <si>
    <t xml:space="preserve">        66033 (Recep OC) - 4.158,00€</t>
  </si>
  <si>
    <t xml:space="preserve">    31200.0170 - Subproyecto - 170,00€</t>
  </si>
  <si>
    <t xml:space="preserve">        116162 (Recep OC) - 170,00€</t>
  </si>
  <si>
    <t xml:space="preserve">    31200.0170 - Subproyecto - 552,00€</t>
  </si>
  <si>
    <t xml:space="preserve">        44013 (Recep OC) - 552,00€</t>
  </si>
  <si>
    <t xml:space="preserve">    31200.0170 - Subproyecto - 15.706,50€</t>
  </si>
  <si>
    <t xml:space="preserve">        66031 (Recep OC) - 15.706,50€</t>
  </si>
  <si>
    <t xml:space="preserve">    31200.0170 - Subproyecto - 10.471,00€</t>
  </si>
  <si>
    <t xml:space="preserve">        66031 (Recep OC) - 10.471,00€</t>
  </si>
  <si>
    <t xml:space="preserve">    31200.0170 - Subproyecto - 5.235,50€</t>
  </si>
  <si>
    <t xml:space="preserve">        66031 (Recep OC) - 5.235,50€</t>
  </si>
  <si>
    <t xml:space="preserve">        44002 (Recep OC) - 380,00€</t>
  </si>
  <si>
    <t xml:space="preserve">    31200.0170 - Subproyecto - 792,00€</t>
  </si>
  <si>
    <t xml:space="preserve">        44003 (Recep OC) - 792,00€</t>
  </si>
  <si>
    <t xml:space="preserve">    31200.0170 - Subproyecto - 462,00€</t>
  </si>
  <si>
    <t xml:space="preserve">        66033 (Recep OC) - 462,00€</t>
  </si>
  <si>
    <t xml:space="preserve">    31200.0170 - Subproyecto - 272,00€</t>
  </si>
  <si>
    <t xml:space="preserve">        44004 (Recep OC) - 272,00€</t>
  </si>
  <si>
    <t xml:space="preserve">    31200.0170 - Subproyecto - 0,17€</t>
  </si>
  <si>
    <t xml:space="preserve">            123217 (Estándar) - 0,17€</t>
  </si>
  <si>
    <t xml:space="preserve">    31200.0170 - Subproyecto - 0,33€</t>
  </si>
  <si>
    <t xml:space="preserve">            123184 (Estándar) - 0,33€</t>
  </si>
  <si>
    <t xml:space="preserve">    31200.0170 - Subproyecto - 0,72€</t>
  </si>
  <si>
    <t xml:space="preserve">            123185 (Estándar) - 0,72€</t>
  </si>
  <si>
    <t xml:space="preserve">    31200.0170 - Subproyecto - 4,27€</t>
  </si>
  <si>
    <t xml:space="preserve">            104280 (Estándar) - 4,27€</t>
  </si>
  <si>
    <t xml:space="preserve">    31200.0170 - Subproyecto - 11,56€</t>
  </si>
  <si>
    <t xml:space="preserve">            104198 (Estándar) - 11,56€</t>
  </si>
  <si>
    <t xml:space="preserve">    31200.0170 - Subproyecto - 3,81€</t>
  </si>
  <si>
    <t xml:space="preserve">            104226 (Estándar) - 3,81€</t>
  </si>
  <si>
    <t xml:space="preserve">    31200.0170 - Subproyecto - 2,48€</t>
  </si>
  <si>
    <t xml:space="preserve">            104283 (Estándar) - 2,48€</t>
  </si>
  <si>
    <t xml:space="preserve">    31200.0170 - Subproyecto - 0,44€</t>
  </si>
  <si>
    <t xml:space="preserve">            104188 (Estándar) - 0,44€</t>
  </si>
  <si>
    <t xml:space="preserve">    31200.0170 - Subproyecto - 27,30€</t>
  </si>
  <si>
    <t xml:space="preserve">    31200.0170 - Subproyecto - 8,93€</t>
  </si>
  <si>
    <t xml:space="preserve">    31200.0170 - Subproyecto - 14,40€</t>
  </si>
  <si>
    <t xml:space="preserve">            104148 (Estándar) - 14,40€</t>
  </si>
  <si>
    <t xml:space="preserve">            123216 (Estándar) - 0,00€</t>
  </si>
  <si>
    <t xml:space="preserve">    31200.0170 - Subproyecto - 165,00€</t>
  </si>
  <si>
    <t xml:space="preserve">            116240 (Estándar) - 165,00€</t>
  </si>
  <si>
    <t xml:space="preserve">    31200.0170 - Subproyecto - 9,08€</t>
  </si>
  <si>
    <t xml:space="preserve">            104207 (Estándar) - 9,08€</t>
  </si>
  <si>
    <t xml:space="preserve">    31200.0170 - Subproyecto - 5,57€</t>
  </si>
  <si>
    <t xml:space="preserve">            104253 (Estándar) - 5,57€</t>
  </si>
  <si>
    <t xml:space="preserve">    31200.0170 - Subproyecto - 12,91€</t>
  </si>
  <si>
    <t xml:space="preserve">            101404 (Estándar) - 12,91€</t>
  </si>
  <si>
    <t xml:space="preserve">            104447 (Estándar) - 0,00€</t>
  </si>
  <si>
    <t xml:space="preserve">    31200.0170 - Subproyecto - 396,31€</t>
  </si>
  <si>
    <t xml:space="preserve">            140837 (Recep OC) - 396,31€</t>
  </si>
  <si>
    <t xml:space="preserve">    31200.0170 - Subproyecto - 6,38€</t>
  </si>
  <si>
    <t xml:space="preserve">            104194 (Estándar) - 6,38€</t>
  </si>
  <si>
    <t xml:space="preserve">    31200.0170 - Subproyecto - 1.082,16€</t>
  </si>
  <si>
    <t xml:space="preserve">            145518 (Recep OC) - 1.082,16€</t>
  </si>
  <si>
    <t xml:space="preserve">    31200.0170 - Subproyecto - 167,58€</t>
  </si>
  <si>
    <t xml:space="preserve">            99015 (Recep OC) - 167,58€</t>
  </si>
  <si>
    <t xml:space="preserve">    31200.0170 - Subproyecto - 2.823,37€</t>
  </si>
  <si>
    <t xml:space="preserve">            99024 (Recep OC) - 2.823,37€</t>
  </si>
  <si>
    <t xml:space="preserve">    31200.0170 - Subproyecto - 1.540,02€</t>
  </si>
  <si>
    <t xml:space="preserve">            99024 (Recep OC) - 1.540,02€</t>
  </si>
  <si>
    <t xml:space="preserve">    31200.0170 - Subproyecto - 1,85€</t>
  </si>
  <si>
    <t xml:space="preserve">            104246 (Estándar) - 1,85€</t>
  </si>
  <si>
    <t xml:space="preserve">            140203 (Compra) - 0,00€</t>
  </si>
  <si>
    <t xml:space="preserve">    31200.0170 - Subproyecto - 8,00€</t>
  </si>
  <si>
    <t xml:space="preserve">            71254.02.210.016 (Estándar) - 8,00€</t>
  </si>
  <si>
    <t xml:space="preserve">    31200.0170 - Subproyecto - 76,40€</t>
  </si>
  <si>
    <t xml:space="preserve">            104448 (Estándar) - 76,40€</t>
  </si>
  <si>
    <t xml:space="preserve">    31200.0170 - Subproyecto - 38,10€</t>
  </si>
  <si>
    <t xml:space="preserve">            104226 (Estándar) - 38,10€</t>
  </si>
  <si>
    <t xml:space="preserve">    31200.0170 - Subproyecto - 17,51€</t>
  </si>
  <si>
    <t xml:space="preserve">            117352 (Estándar) - 17,51€</t>
  </si>
  <si>
    <t xml:space="preserve">    31200.0170 - Subproyecto - 80,00€</t>
  </si>
  <si>
    <t xml:space="preserve">            71254.02.210.016 (Estándar) - 80,00€</t>
  </si>
  <si>
    <t xml:space="preserve">    31200.0170 - Subproyecto - 43,65€</t>
  </si>
  <si>
    <t xml:space="preserve">            104447 (Estándar) - 43,65€</t>
  </si>
  <si>
    <t xml:space="preserve">    31200.0170 - Subproyecto - 109,08€</t>
  </si>
  <si>
    <t xml:space="preserve">            104203 (Estándar) - 109,08€</t>
  </si>
  <si>
    <t xml:space="preserve">    31200.0170 - Subproyecto - 7,76€</t>
  </si>
  <si>
    <t xml:space="preserve">            104202 (Estándar) - 7,76€</t>
  </si>
  <si>
    <t xml:space="preserve">    31200.0170 - Subproyecto - 7,28€</t>
  </si>
  <si>
    <t xml:space="preserve">            144814 (Estándar) - 7,28€</t>
  </si>
  <si>
    <t xml:space="preserve">    31200.0170 - Subproyecto - 1,93€</t>
  </si>
  <si>
    <t xml:space="preserve">            104303 (Estándar) - 1,93€</t>
  </si>
  <si>
    <t xml:space="preserve">    31200.0170 - Subproyecto - 180,00€</t>
  </si>
  <si>
    <t xml:space="preserve">            123730 (Recep OC) - 180,00€</t>
  </si>
  <si>
    <t xml:space="preserve">    31200.0170 - Subproyecto - 177,45€</t>
  </si>
  <si>
    <t xml:space="preserve">            139127 (Recep OC) - 177,45€</t>
  </si>
  <si>
    <t xml:space="preserve">    31200.0170 - Subproyecto - 80,85€</t>
  </si>
  <si>
    <t xml:space="preserve">            139484 (Recep OC) - 80,85€</t>
  </si>
  <si>
    <t xml:space="preserve">    31200.0170 - Subproyecto - 5.334,03€</t>
  </si>
  <si>
    <t xml:space="preserve">            139485 (Recep OC) - 5.334,03€</t>
  </si>
  <si>
    <t xml:space="preserve">    31200.0170 - Subproyecto - 313,45€</t>
  </si>
  <si>
    <t xml:space="preserve">    31200.0170 - Subproyecto - 2.225,00€</t>
  </si>
  <si>
    <t xml:space="preserve">            140843 (Recep OC) - 2.225,00€</t>
  </si>
  <si>
    <t xml:space="preserve">    31200.0170 - Subproyecto - 124,83€</t>
  </si>
  <si>
    <t xml:space="preserve">            100749 (Recep OC) - 124,83€</t>
  </si>
  <si>
    <t xml:space="preserve">    31200.0170 - Subproyecto - 1.075,00€</t>
  </si>
  <si>
    <t xml:space="preserve">            140844 (Recep OC) - 1.075,00€</t>
  </si>
  <si>
    <t xml:space="preserve">    31200.0170 - Subproyecto - 2.100,00€</t>
  </si>
  <si>
    <t xml:space="preserve">            140939 (Recep OC) - 2.100,00€</t>
  </si>
  <si>
    <t xml:space="preserve">    31200.0170 - Subproyecto - 2.430,00€</t>
  </si>
  <si>
    <t xml:space="preserve">            141637 (Recep OC) - 2.430,00€</t>
  </si>
  <si>
    <t xml:space="preserve">    31200.0170 - Subproyecto - 2.530,00€</t>
  </si>
  <si>
    <t xml:space="preserve">            141638 (Recep OC) - 2.530,00€</t>
  </si>
  <si>
    <t xml:space="preserve">    31200.0170 - Subproyecto - 1.150,00€</t>
  </si>
  <si>
    <t xml:space="preserve">            141638 (Transfer. Stock) - 1.150,00€</t>
  </si>
  <si>
    <t xml:space="preserve">            145512 (Recep OC) - 568,00€</t>
  </si>
  <si>
    <t xml:space="preserve">    31200.0170 - Subproyecto - 695,40€</t>
  </si>
  <si>
    <t xml:space="preserve">            145512 (Recep OC) - 695,40€</t>
  </si>
  <si>
    <t xml:space="preserve">    31200.0170 - Subproyecto - 1.417,04€</t>
  </si>
  <si>
    <t xml:space="preserve">            140844 (Transfer. Stock) - 1.417,04€</t>
  </si>
  <si>
    <t xml:space="preserve">    31200.0170 - Subproyecto - 2,60€</t>
  </si>
  <si>
    <t xml:space="preserve">            104149 (Estándar) - 2,60€</t>
  </si>
  <si>
    <t xml:space="preserve">    31200.0170 - Subproyecto - 3.040,00€</t>
  </si>
  <si>
    <t xml:space="preserve">            140550 (Recep OC) - 3.040,00€</t>
  </si>
  <si>
    <t xml:space="preserve">    31200.0170 - Subproyecto - 5.657,40€</t>
  </si>
  <si>
    <t xml:space="preserve">            145782 (Recep OC) - 5.657,40€</t>
  </si>
  <si>
    <t xml:space="preserve">    31200.0170 - Subproyecto - 21,39€</t>
  </si>
  <si>
    <t xml:space="preserve">            104003 (Estándar) - 21,39€</t>
  </si>
  <si>
    <t xml:space="preserve">    31200.0170 - Subproyecto - 47,50€</t>
  </si>
  <si>
    <t xml:space="preserve">            71254.02.210.016 (Estándar) - 47,50€</t>
  </si>
  <si>
    <t xml:space="preserve">    31200.0170 - Subproyecto - 9,30€</t>
  </si>
  <si>
    <t xml:space="preserve">            145139 (Estándar) - 9,30€</t>
  </si>
  <si>
    <t xml:space="preserve">    31200.0170 - Subproyecto - 3,60€</t>
  </si>
  <si>
    <t xml:space="preserve">            141049 (Estándar) - 3,60€</t>
  </si>
  <si>
    <t xml:space="preserve">    31200.0170 - Subproyecto - 6,49€</t>
  </si>
  <si>
    <t xml:space="preserve">            102804 (Estándar) - 6,49€</t>
  </si>
  <si>
    <t xml:space="preserve">    31200.0170 - Subproyecto - 18,82€</t>
  </si>
  <si>
    <t xml:space="preserve">            110860 (Estándar) - 18,82€</t>
  </si>
  <si>
    <t xml:space="preserve">    31200.0170 - Subproyecto - 0,90€</t>
  </si>
  <si>
    <t xml:space="preserve">            141049 (Estándar) - 0,90€</t>
  </si>
  <si>
    <t xml:space="preserve">    31200.0170 - Subproyecto - 173,90€</t>
  </si>
  <si>
    <t xml:space="preserve">            110647 (Estándar) - 173,90€</t>
  </si>
  <si>
    <t xml:space="preserve">    31200.0170 - Subproyecto - 3,50€</t>
  </si>
  <si>
    <t xml:space="preserve">            104652 (Estándar) - 3,50€</t>
  </si>
  <si>
    <t xml:space="preserve">    31200.0170 - Subproyecto - 4,46€</t>
  </si>
  <si>
    <t xml:space="preserve">            138467 (Estándar) - 4,46€</t>
  </si>
  <si>
    <t xml:space="preserve">    31200.0170 - Subproyecto - 2,70€</t>
  </si>
  <si>
    <t xml:space="preserve">            138502 (Estándar) - 2,70€</t>
  </si>
  <si>
    <t xml:space="preserve">    31200.0170 - Subproyecto - 7,90€</t>
  </si>
  <si>
    <t xml:space="preserve">    31200.0170 - Subproyecto - 1.654,08€</t>
  </si>
  <si>
    <t xml:space="preserve">            145781 (Recep OC) - 1.654,08€</t>
  </si>
  <si>
    <t xml:space="preserve">    31200.0170 - Subproyecto - 6,20€</t>
  </si>
  <si>
    <t xml:space="preserve">            125853 (Estándar) - 6,20€</t>
  </si>
  <si>
    <t xml:space="preserve">    31200.0170 - Subproyecto - 490,86€</t>
  </si>
  <si>
    <t xml:space="preserve">            104203 (Recep OC) - 490,86€</t>
  </si>
  <si>
    <t xml:space="preserve">            104831 (Estándar) - 3,60€</t>
  </si>
  <si>
    <t xml:space="preserve">    31200.0170 - Subproyecto - 692,55€</t>
  </si>
  <si>
    <t xml:space="preserve">            138587 (Recep OC) - 692,55€</t>
  </si>
  <si>
    <t xml:space="preserve">    31200.0170 - Subproyecto - 289,23€</t>
  </si>
  <si>
    <t xml:space="preserve">            111543 (Recep OC) - 289,23€</t>
  </si>
  <si>
    <t xml:space="preserve">            116162 (Recep OC) - 170,00€</t>
  </si>
  <si>
    <t xml:space="preserve">    31200.0170 - Subproyecto - 44,31€</t>
  </si>
  <si>
    <t xml:space="preserve">            120978 (Recep OC) - 44,31€</t>
  </si>
  <si>
    <t xml:space="preserve">    31200.0170 - Subproyecto - 367,92€</t>
  </si>
  <si>
    <t xml:space="preserve">            141630 (Recep OC) - 367,92€</t>
  </si>
  <si>
    <t xml:space="preserve">    31200.0170 - Subproyecto - 306,80€</t>
  </si>
  <si>
    <t xml:space="preserve">            141631 (Recep OC) - 306,80€</t>
  </si>
  <si>
    <t xml:space="preserve">    31200.0170 - Subproyecto - 91,87€</t>
  </si>
  <si>
    <t xml:space="preserve">            141632 (Recep OC) - 91,87€</t>
  </si>
  <si>
    <t xml:space="preserve">    31200.0170 - Subproyecto - 42,72€</t>
  </si>
  <si>
    <t xml:space="preserve">            104280 (Estándar) - 42,72€</t>
  </si>
  <si>
    <t xml:space="preserve">    31200.0170 - Subproyecto - 46,50€</t>
  </si>
  <si>
    <t xml:space="preserve">            141634 (Recep OC) - 46,50€</t>
  </si>
  <si>
    <t xml:space="preserve">    31200.0170 - Subproyecto - 134,40€</t>
  </si>
  <si>
    <t xml:space="preserve">            144647 (Recep OC) - 134,40€</t>
  </si>
  <si>
    <t xml:space="preserve">    31200.0170 - Subproyecto - 241,80€</t>
  </si>
  <si>
    <t xml:space="preserve">            144648 (Recep OC) - 241,80€</t>
  </si>
  <si>
    <t xml:space="preserve">    31200.0170 - Subproyecto - 949,62€</t>
  </si>
  <si>
    <t xml:space="preserve">            99015 (Recep OC) - 949,62€</t>
  </si>
  <si>
    <t xml:space="preserve">    31200.0170 - Subproyecto - 1.345,36€</t>
  </si>
  <si>
    <t xml:space="preserve">            99016 (Recep OC) - 1.345,36€</t>
  </si>
  <si>
    <t xml:space="preserve">    31200.0170 - Subproyecto - 182,00€</t>
  </si>
  <si>
    <t xml:space="preserve">            99017 (Recep OC) - 182,00€</t>
  </si>
  <si>
    <t xml:space="preserve">    31200.0170 - Subproyecto - 1.737,96€</t>
  </si>
  <si>
    <t xml:space="preserve">            99018 (Recep OC) - 1.737,96€</t>
  </si>
  <si>
    <t xml:space="preserve">    31200.0170 - Subproyecto - 20,40€</t>
  </si>
  <si>
    <t xml:space="preserve">            141635 (Recep OC) - 20,40€</t>
  </si>
  <si>
    <t xml:space="preserve">    31200.0170 - Subproyecto - 4.003,72€</t>
  </si>
  <si>
    <t xml:space="preserve">            99019 (Recep OC) - 4.003,72€</t>
  </si>
  <si>
    <t xml:space="preserve">    31200.0170 - Subproyecto - 50,22€</t>
  </si>
  <si>
    <t xml:space="preserve">            104244 (Estándar) - 50,22€</t>
  </si>
  <si>
    <t xml:space="preserve">    31200.0170 - Subproyecto - 8,11€</t>
  </si>
  <si>
    <t xml:space="preserve">            102804 (Estándar) - 8,11€</t>
  </si>
  <si>
    <t xml:space="preserve">    31200.0170 - Subproyecto - 4,44€</t>
  </si>
  <si>
    <t xml:space="preserve">            131028 (Estándar) - 4,44€</t>
  </si>
  <si>
    <t xml:space="preserve">    31200.0170 - Subproyecto - 32,89€</t>
  </si>
  <si>
    <t xml:space="preserve">            117356 (Estándar) - 32,89€</t>
  </si>
  <si>
    <t xml:space="preserve">    31200.0170 - Subproyecto - 13,00€</t>
  </si>
  <si>
    <t xml:space="preserve">            104153 (Estándar) - 13,00€</t>
  </si>
  <si>
    <t xml:space="preserve">    31200.0170 - Subproyecto - 9,90€</t>
  </si>
  <si>
    <t xml:space="preserve">            104268 (Estándar) - 9,90€</t>
  </si>
  <si>
    <t xml:space="preserve">    31200.0170 - Subproyecto - 0,55€</t>
  </si>
  <si>
    <t xml:space="preserve">            109118 (Estándar) - 0,55€</t>
  </si>
  <si>
    <t xml:space="preserve">    31200.0170 - Subproyecto - 73,68€</t>
  </si>
  <si>
    <t xml:space="preserve">            104226 (Estándar) - 73,68€</t>
  </si>
  <si>
    <t xml:space="preserve">    31200.0170 - Subproyecto - 54,54€</t>
  </si>
  <si>
    <t xml:space="preserve">            104203 (Estándar) - 54,54€</t>
  </si>
  <si>
    <t xml:space="preserve">    31200.0170 - Subproyecto - 5,60€</t>
  </si>
  <si>
    <t xml:space="preserve">            101452 (Estándar) - 5,60€</t>
  </si>
  <si>
    <t xml:space="preserve">    31200.0170 - Subproyecto - 7,00€</t>
  </si>
  <si>
    <t xml:space="preserve">            104652 (Estándar) - 7,00€</t>
  </si>
  <si>
    <t xml:space="preserve">    31200.0170 - Subproyecto - 1,40€</t>
  </si>
  <si>
    <t xml:space="preserve">            101377 (Estándar) - 1,40€</t>
  </si>
  <si>
    <t xml:space="preserve">            104660 (Estándar) - 0,00€</t>
  </si>
  <si>
    <t xml:space="preserve">    31200.0170 - Subproyecto - 6,60€</t>
  </si>
  <si>
    <t xml:space="preserve">            105978 (Estándar) - 6,60€</t>
  </si>
  <si>
    <t xml:space="preserve">    31200.0170 - Subproyecto - 75,00€</t>
  </si>
  <si>
    <t xml:space="preserve">            116416 (Estándar) - 75,00€</t>
  </si>
  <si>
    <t xml:space="preserve">    31200.0170 - Subproyecto - 4.976,01€</t>
  </si>
  <si>
    <t xml:space="preserve">            99020 (Recep OC) - 4.976,01€</t>
  </si>
  <si>
    <t xml:space="preserve">    31200.0170 - Subproyecto - 3.664,20€</t>
  </si>
  <si>
    <t xml:space="preserve">            99021 (Recep OC) - 3.664,20€</t>
  </si>
  <si>
    <t xml:space="preserve">    31200.0170 - Subproyecto - 459,90€</t>
  </si>
  <si>
    <t xml:space="preserve">            99022 (Recep OC) - 459,90€</t>
  </si>
  <si>
    <t xml:space="preserve">    31200.0170 - Subproyecto - 4.072,20€</t>
  </si>
  <si>
    <t xml:space="preserve">            115660 (Recep OC) - 4.072,20€</t>
  </si>
  <si>
    <t xml:space="preserve">    31200.0170 - Subproyecto - 905,84€</t>
  </si>
  <si>
    <t xml:space="preserve">            115662 (Recep OC) - 905,84€</t>
  </si>
  <si>
    <t xml:space="preserve">    31200.0170 - Subproyecto - 136,00€</t>
  </si>
  <si>
    <t xml:space="preserve">            116162 (Recep OC) - 136,00€</t>
  </si>
  <si>
    <t xml:space="preserve">    31200.0170 - Subproyecto - 124,07€</t>
  </si>
  <si>
    <t xml:space="preserve">            120978 (Recep OC) - 124,07€</t>
  </si>
  <si>
    <t xml:space="preserve">    31200.0170 - Subproyecto - 875,61€</t>
  </si>
  <si>
    <t xml:space="preserve">            125933 (Recep OC) - 875,61€</t>
  </si>
  <si>
    <t xml:space="preserve">    31200.0170 - Subproyecto - 161,00€</t>
  </si>
  <si>
    <t xml:space="preserve">            131929 (Recep OC) - 161,00€</t>
  </si>
  <si>
    <t xml:space="preserve">    31200.0170 - Subproyecto - 194,35€</t>
  </si>
  <si>
    <t xml:space="preserve">            115658 (Recep OC) - 194,35€</t>
  </si>
  <si>
    <t xml:space="preserve">    31200.0170 - Subproyecto - 318,01€</t>
  </si>
  <si>
    <t xml:space="preserve">            135231 (Recep OC) - 318,01€</t>
  </si>
  <si>
    <t xml:space="preserve">    31200.0170 - Subproyecto - 3.856,00€</t>
  </si>
  <si>
    <t xml:space="preserve">            135712 (Recep OC) - 3.856,00€</t>
  </si>
  <si>
    <t xml:space="preserve">            138580 (Recep OC) - 14,40€</t>
  </si>
  <si>
    <t xml:space="preserve">    31200.0170 - Subproyecto - 15,45€</t>
  </si>
  <si>
    <t xml:space="preserve">    31200.0170 - Subproyecto - 108,15€</t>
  </si>
  <si>
    <t xml:space="preserve">            138585 (Recep OC) - 100,50€</t>
  </si>
  <si>
    <t xml:space="preserve">    31200.0170 - Subproyecto - 97,20€</t>
  </si>
  <si>
    <t xml:space="preserve">            138587 (Recep OC) - 97,20€</t>
  </si>
  <si>
    <t xml:space="preserve">    31200.0170 - Subproyecto - 1.687,00€</t>
  </si>
  <si>
    <t xml:space="preserve">            135711 (Recep OC) - 1.687,00€</t>
  </si>
  <si>
    <t xml:space="preserve">    31200.0170 - Subproyecto - 57,60€</t>
  </si>
  <si>
    <t xml:space="preserve">            104009 (Recep OC) - 57,60€</t>
  </si>
  <si>
    <t xml:space="preserve">    31200.0170 - Subproyecto - 571,14€</t>
  </si>
  <si>
    <t xml:space="preserve">            145512 (Transfer. Stock) - 571,14€</t>
  </si>
  <si>
    <t xml:space="preserve">    31200.0170 - Subproyecto - 4,38€</t>
  </si>
  <si>
    <t xml:space="preserve">            104224 (Estándar) - 4,38€</t>
  </si>
  <si>
    <t xml:space="preserve">    31200.0170 - Subproyecto - 139,50€</t>
  </si>
  <si>
    <t xml:space="preserve">            99023 (Recep OC) - 139,50€</t>
  </si>
  <si>
    <t xml:space="preserve">    31200.0170 - Subproyecto - 1,80€</t>
  </si>
  <si>
    <t xml:space="preserve">    31200.0170 - Subproyecto - 1,10€</t>
  </si>
  <si>
    <t xml:space="preserve">            104840 (Estándar) - 1,10€</t>
  </si>
  <si>
    <t xml:space="preserve">    31200.0170 - Subproyecto - 17,53€</t>
  </si>
  <si>
    <t xml:space="preserve">            104224 (Estándar) - 17,53€</t>
  </si>
  <si>
    <t xml:space="preserve">    31200.0170 - Subproyecto - 2,72€</t>
  </si>
  <si>
    <t xml:space="preserve">            104186 (Estándar) - 2,72€</t>
  </si>
  <si>
    <t xml:space="preserve">    31200.0170 - Subproyecto - 35,57€</t>
  </si>
  <si>
    <t xml:space="preserve">            104240 (Estándar) - 35,57€</t>
  </si>
  <si>
    <t xml:space="preserve">    31200.0170 - Subproyecto - 48,00€</t>
  </si>
  <si>
    <t xml:space="preserve">            104148 (Estándar) - 48,00€</t>
  </si>
  <si>
    <t xml:space="preserve">    31200.0170 - Subproyecto - 1,98€</t>
  </si>
  <si>
    <t xml:space="preserve">            123184 (Estándar) - 1,98€</t>
  </si>
  <si>
    <t xml:space="preserve">    31200.0170 - Subproyecto - 1,86€</t>
  </si>
  <si>
    <t xml:space="preserve">            123216 (Estándar) - 1,86€</t>
  </si>
  <si>
    <t xml:space="preserve">    31200.0170 - Subproyecto - 1,12€</t>
  </si>
  <si>
    <t xml:space="preserve">            101452 (Estándar) - 1,12€</t>
  </si>
  <si>
    <t xml:space="preserve">            104652 (Estándar) - 1,40€</t>
  </si>
  <si>
    <t xml:space="preserve">    31200.0170 - Subproyecto - 0,36€</t>
  </si>
  <si>
    <t xml:space="preserve">            105202 (Estándar) - 0,36€</t>
  </si>
  <si>
    <t xml:space="preserve">    31200.0170 - Subproyecto - 11,27€</t>
  </si>
  <si>
    <t xml:space="preserve">            104241 (Estándar) - 11,27€</t>
  </si>
  <si>
    <t xml:space="preserve">    31200.0170 - Subproyecto - 13,60€</t>
  </si>
  <si>
    <t xml:space="preserve">            104201 (Estándar) - 13,60€</t>
  </si>
  <si>
    <t xml:space="preserve">    31200.0170 - Subproyecto - 203,00€</t>
  </si>
  <si>
    <t xml:space="preserve">            138589 (Recep OC) - 203,00€</t>
  </si>
  <si>
    <t xml:space="preserve">    31200.0170 - Subproyecto - 589,50€</t>
  </si>
  <si>
    <t xml:space="preserve">            145513 (Recep OC) - 589,50€</t>
  </si>
  <si>
    <t xml:space="preserve">            105280 (Estándar) - 8,00€</t>
  </si>
  <si>
    <t xml:space="preserve">    31200.0170 - Subproyecto - 122,75€</t>
  </si>
  <si>
    <t xml:space="preserve">            145513 (Recep OC) - 122,75€</t>
  </si>
  <si>
    <t xml:space="preserve">    31200.0170 - Subproyecto - 45,34€</t>
  </si>
  <si>
    <t xml:space="preserve">    31200.0170 - Subproyecto - 320,00€</t>
  </si>
  <si>
    <t xml:space="preserve">            21020.00.400.401 (Estándar) - 320,00€</t>
  </si>
  <si>
    <t xml:space="preserve">    31200.0170 - Subproyecto - 30,22€</t>
  </si>
  <si>
    <t xml:space="preserve">            21020.00.401.810 (Estándar) - 30,22€</t>
  </si>
  <si>
    <t xml:space="preserve">    31200.0170 - Subproyecto - 1.403,28€</t>
  </si>
  <si>
    <t xml:space="preserve">            124892 (Recep OC) - 1.403,28€</t>
  </si>
  <si>
    <t xml:space="preserve">    31200.0170 - Subproyecto - 35,00€</t>
  </si>
  <si>
    <t xml:space="preserve">    31200.0170 - Subproyecto - 45,00€</t>
  </si>
  <si>
    <t xml:space="preserve">    31200.0170 - Subproyecto - 124,67€</t>
  </si>
  <si>
    <t xml:space="preserve">            21020.00.300.610 (Estándar) - 124,67€</t>
  </si>
  <si>
    <t xml:space="preserve">    31200.0170 - Subproyecto - 1.018,50€</t>
  </si>
  <si>
    <t xml:space="preserve">            130908 (Recep OC) - 1.018,50€</t>
  </si>
  <si>
    <t xml:space="preserve">    31200.0170 - Subproyecto - 38,05€</t>
  </si>
  <si>
    <t xml:space="preserve">    31200.0170 - Subproyecto - 378,22€</t>
  </si>
  <si>
    <t xml:space="preserve">    31200.0170 - Subproyecto - 47,28€</t>
  </si>
  <si>
    <t xml:space="preserve">            138979 (Recep OC) - 47,28€</t>
  </si>
  <si>
    <t xml:space="preserve">    31200.0170 - Subproyecto - 772,20€</t>
  </si>
  <si>
    <t xml:space="preserve">            140283 (Recep OC) - 772,20€</t>
  </si>
  <si>
    <t xml:space="preserve">    31200.0170 - Subproyecto - 200,62€</t>
  </si>
  <si>
    <t xml:space="preserve">            141361 (Recep OC) - 200,62€</t>
  </si>
  <si>
    <t xml:space="preserve">    31200.0170 - Subproyecto - 339,50€</t>
  </si>
  <si>
    <t xml:space="preserve">            130908 (Recep OC) - 339,50€</t>
  </si>
  <si>
    <t xml:space="preserve">    31200.0170 - Subproyecto - 16,60€</t>
  </si>
  <si>
    <t xml:space="preserve">            141853 (Recep OC) - 16,60€</t>
  </si>
  <si>
    <t xml:space="preserve">    31200.0170 - Subproyecto - 14,58€</t>
  </si>
  <si>
    <t xml:space="preserve">    31200.0170 - Subproyecto - 5.195,53€</t>
  </si>
  <si>
    <t xml:space="preserve">            99111 (Recep OC) - 5.195,53€</t>
  </si>
  <si>
    <t xml:space="preserve">    31200.0170 - Subproyecto - 130,00€</t>
  </si>
  <si>
    <t xml:space="preserve">            99107 (Recep OC) - 130,00€</t>
  </si>
  <si>
    <t xml:space="preserve">    31200.0170 - Subproyecto - 20,47€</t>
  </si>
  <si>
    <t xml:space="preserve">    31200.0170 - Subproyecto - -20,47€</t>
  </si>
  <si>
    <t xml:space="preserve">    31200.0170 - Subproyecto - 62,65€</t>
  </si>
  <si>
    <t xml:space="preserve">            126344 (Recep OC) - 62,65€</t>
  </si>
  <si>
    <t xml:space="preserve">    31200.0170 - Subproyecto - 58,38€</t>
  </si>
  <si>
    <t xml:space="preserve">            126365 (Recep OC) - 58,38€</t>
  </si>
  <si>
    <t xml:space="preserve">    31200.0170 - Subproyecto - 133,03€</t>
  </si>
  <si>
    <t xml:space="preserve">            21020.00.300.011 (Estándar) - 133,03€</t>
  </si>
  <si>
    <t xml:space="preserve">    31200.0170 - Subproyecto - -58,38€</t>
  </si>
  <si>
    <t xml:space="preserve">            126365 (Recep OC) - -58,38€</t>
  </si>
  <si>
    <t xml:space="preserve">    31200.0170 - Subproyecto - 52,36€</t>
  </si>
  <si>
    <t xml:space="preserve">            126365 (Transfer. Stock) - 52,36€</t>
  </si>
  <si>
    <t xml:space="preserve">    31200.0170 - Subproyecto - 9,09€</t>
  </si>
  <si>
    <t xml:space="preserve">            126940 (Transfer. Stock) - 9,09€</t>
  </si>
  <si>
    <t xml:space="preserve">    31200.0170 - Subproyecto - 99,97€</t>
  </si>
  <si>
    <t xml:space="preserve">            126940 (Transfer. Stock) - 99,97€</t>
  </si>
  <si>
    <t xml:space="preserve">    31200.0170 - Subproyecto - 343,71€</t>
  </si>
  <si>
    <t xml:space="preserve">            131033 (Recep OC) - 343,71€</t>
  </si>
  <si>
    <t xml:space="preserve">    31200.0170 - Subproyecto - 3.463,69€</t>
  </si>
  <si>
    <t xml:space="preserve">            99111 (Recep OC) - 3.463,69€</t>
  </si>
  <si>
    <t xml:space="preserve">    31200.0170 - Subproyecto - -3.463,69€</t>
  </si>
  <si>
    <t xml:space="preserve">            99111 (Recep OC) - -3.463,69€</t>
  </si>
  <si>
    <t xml:space="preserve">    31200.0170 - Subproyecto - 1.224,48€</t>
  </si>
  <si>
    <t xml:space="preserve">            141475 (Recep OC) - 1.224,48€</t>
  </si>
  <si>
    <t xml:space="preserve">    31200.0170 - Subproyecto - 8,86€</t>
  </si>
  <si>
    <t xml:space="preserve">            120978 (Recep OC) - 8,86€</t>
  </si>
  <si>
    <t xml:space="preserve">    31200.0170 - Subproyecto - 90,18€</t>
  </si>
  <si>
    <t xml:space="preserve">            145518 (Recep OC) - 90,18€</t>
  </si>
  <si>
    <t xml:space="preserve">    31200.0170 - Subproyecto - 907,41€</t>
  </si>
  <si>
    <t xml:space="preserve">            140179 (Recep OC) - 907,41€</t>
  </si>
  <si>
    <t xml:space="preserve">    31200.0170 - Subproyecto - 33,18€</t>
  </si>
  <si>
    <t xml:space="preserve">            99172 (Recep OC) - 33,18€</t>
  </si>
  <si>
    <t xml:space="preserve">    31200.0170 - Subproyecto - 26,00€</t>
  </si>
  <si>
    <t xml:space="preserve">            104153 (Estándar) - 26,00€</t>
  </si>
  <si>
    <t xml:space="preserve">    31200.0170 - Subproyecto - 56,20€</t>
  </si>
  <si>
    <t xml:space="preserve">            99183 (Recep OC) - 56,20€</t>
  </si>
  <si>
    <t xml:space="preserve">    31200.0170 - Subproyecto - 83,40€</t>
  </si>
  <si>
    <t xml:space="preserve">            99184 (Recep OC) - 83,40€</t>
  </si>
  <si>
    <t xml:space="preserve">    31200.0170 - Subproyecto - 218,34€</t>
  </si>
  <si>
    <t xml:space="preserve">            131252 (Recep OC) - 218,34€</t>
  </si>
  <si>
    <t xml:space="preserve">    31200.0170 - Subproyecto - 172,80€</t>
  </si>
  <si>
    <t xml:space="preserve">    31200.0170 - Subproyecto - 26,21€</t>
  </si>
  <si>
    <t xml:space="preserve">            142992 (Recep OC) - 26,21€</t>
  </si>
  <si>
    <t xml:space="preserve">    31200.0170 - Subproyecto - 1.696,75€</t>
  </si>
  <si>
    <t xml:space="preserve">            115660 (Recep OC) - 1.696,75€</t>
  </si>
  <si>
    <t xml:space="preserve">    31200.0170 - Subproyecto - 925,76€</t>
  </si>
  <si>
    <t xml:space="preserve">            99200 (Recep OC) - 925,76€</t>
  </si>
  <si>
    <t xml:space="preserve">    31200.0170 - Subproyecto - 427,50€</t>
  </si>
  <si>
    <t xml:space="preserve">            99201 (Recep OC) - 427,50€</t>
  </si>
  <si>
    <t xml:space="preserve">    31200.0170 - Subproyecto - 316,96€</t>
  </si>
  <si>
    <t xml:space="preserve">            99203 (Recep OC) - 316,96€</t>
  </si>
  <si>
    <t xml:space="preserve">    31200.0170 - Subproyecto - 94,32€</t>
  </si>
  <si>
    <t xml:space="preserve">            145513 (Recep OC) - 94,32€</t>
  </si>
  <si>
    <t xml:space="preserve">    31200.0170 - Subproyecto - 8,28€</t>
  </si>
  <si>
    <t xml:space="preserve">            117037 (Estándar) - 8,28€</t>
  </si>
  <si>
    <t xml:space="preserve">    31200.0170 - Subproyecto - 52,56€</t>
  </si>
  <si>
    <t xml:space="preserve">            141630 (Recep OC) - 52,56€</t>
  </si>
  <si>
    <t xml:space="preserve">    31200.0170 - Subproyecto - 259,20€</t>
  </si>
  <si>
    <t xml:space="preserve">            143837 (Recep OC) - 259,20€</t>
  </si>
  <si>
    <t xml:space="preserve">    31200.0170 - Subproyecto - 184,84€</t>
  </si>
  <si>
    <t xml:space="preserve">            99119 (Recep OC) - 184,84€</t>
  </si>
  <si>
    <t xml:space="preserve">    31200.0170 - Subproyecto - 1.061,34€</t>
  </si>
  <si>
    <t xml:space="preserve">            99015 (Recep OC) - 1.061,34€</t>
  </si>
  <si>
    <t xml:space="preserve">    31200.0170 - Subproyecto - 336,34€</t>
  </si>
  <si>
    <t xml:space="preserve">            99016 (Recep OC) - 336,34€</t>
  </si>
  <si>
    <t xml:space="preserve">    31200.0170 - Subproyecto - 45,50€</t>
  </si>
  <si>
    <t xml:space="preserve">            99017 (Recep OC) - 45,50€</t>
  </si>
  <si>
    <t xml:space="preserve">    31200.0170 - Subproyecto - 434,49€</t>
  </si>
  <si>
    <t xml:space="preserve">            99018 (Recep OC) - 434,49€</t>
  </si>
  <si>
    <t xml:space="preserve">    31200.0170 - Subproyecto - 571,96€</t>
  </si>
  <si>
    <t xml:space="preserve">            99019 (Recep OC) - 571,96€</t>
  </si>
  <si>
    <t xml:space="preserve">    31200.0170 - Subproyecto - 1.319,72€</t>
  </si>
  <si>
    <t xml:space="preserve">            99096 (Recep OC) - 1.319,72€</t>
  </si>
  <si>
    <t xml:space="preserve">            143039 (Recep OC) - 440,00€</t>
  </si>
  <si>
    <t xml:space="preserve">    31200.0170 - Subproyecto - 52,42€</t>
  </si>
  <si>
    <t xml:space="preserve">            142992 (Recep OC) - 52,42€</t>
  </si>
  <si>
    <t xml:space="preserve">    31200.0170 - Subproyecto - 484,34€</t>
  </si>
  <si>
    <t xml:space="preserve">            99116 (Recep OC) - 484,34€</t>
  </si>
  <si>
    <t xml:space="preserve">    31200.0170 - Subproyecto - 2.392,08€</t>
  </si>
  <si>
    <t xml:space="preserve">            99117 (Recep OC) - 2.392,08€</t>
  </si>
  <si>
    <t xml:space="preserve">    31200.0170 - Subproyecto - 82,20€</t>
  </si>
  <si>
    <t xml:space="preserve">            99118 (Recep OC) - 82,20€</t>
  </si>
  <si>
    <t xml:space="preserve">    31200.0170 - Subproyecto - 546,32€</t>
  </si>
  <si>
    <t xml:space="preserve">            99113 (Recep OC) - 546,32€</t>
  </si>
  <si>
    <t xml:space="preserve">    31200.0170 - Subproyecto - 1.216,00€</t>
  </si>
  <si>
    <t xml:space="preserve">            141448 (Recep OC) - 1.216,00€</t>
  </si>
  <si>
    <t xml:space="preserve">    31200.0170 - Subproyecto - 39,00€</t>
  </si>
  <si>
    <t xml:space="preserve">            141447 (Recep OC) - 39,00€</t>
  </si>
  <si>
    <t xml:space="preserve">    31200.0170 - Subproyecto - 9,00€</t>
  </si>
  <si>
    <t xml:space="preserve">            141049 (Estándar) - 9,00€</t>
  </si>
  <si>
    <t xml:space="preserve">    31200.0170 - Subproyecto - 8,58€</t>
  </si>
  <si>
    <t xml:space="preserve">            104010 (Estándar) - 8,58€</t>
  </si>
  <si>
    <t xml:space="preserve">    31200.0170 - Subproyecto - 104,80€</t>
  </si>
  <si>
    <t xml:space="preserve">            71254.02.210.016 (Estándar) - 104,80€</t>
  </si>
  <si>
    <t xml:space="preserve">    31200.0170 - Subproyecto - 22,10€</t>
  </si>
  <si>
    <t xml:space="preserve">            30991.00.419.000 (Estándar) - 22,10€</t>
  </si>
  <si>
    <t xml:space="preserve">            101462 (Estándar) - 1,12€</t>
  </si>
  <si>
    <t xml:space="preserve">            109116 (Estándar) - 2,70€</t>
  </si>
  <si>
    <t xml:space="preserve">    31200.0170 - Subproyecto - 1.018,05€</t>
  </si>
  <si>
    <t xml:space="preserve">            115660 (Recep OC) - 1.018,05€</t>
  </si>
  <si>
    <t xml:space="preserve">    31200.0170 - Subproyecto - 7,56€</t>
  </si>
  <si>
    <t xml:space="preserve">            117340 (Transfer. Stock) - 7,56€</t>
  </si>
  <si>
    <t xml:space="preserve">    31200.0170 - Subproyecto - 115,00€</t>
  </si>
  <si>
    <t xml:space="preserve">            131929 (Recep OC) - 115,00€</t>
  </si>
  <si>
    <t xml:space="preserve">    31200.0170 - Subproyecto - 45,43€</t>
  </si>
  <si>
    <t xml:space="preserve">            135231 (Recep OC) - 45,43€</t>
  </si>
  <si>
    <t xml:space="preserve">    31200.0170 - Subproyecto - 2.169,00€</t>
  </si>
  <si>
    <t xml:space="preserve">            135712 (Recep OC) - 2.169,00€</t>
  </si>
  <si>
    <t xml:space="preserve">    31200.0170 - Subproyecto - 319,50€</t>
  </si>
  <si>
    <t xml:space="preserve">            109963 (Recep OC) - 319,50€</t>
  </si>
  <si>
    <t xml:space="preserve">            139487 (Compra) - 0,00€</t>
  </si>
  <si>
    <t xml:space="preserve">    31200.0170 - Subproyecto - 44,20€</t>
  </si>
  <si>
    <t xml:space="preserve">            30991.00.419.000 (Estándar) - 44,20€</t>
  </si>
  <si>
    <t xml:space="preserve">    31200.0170 - Subproyecto - 800,00€</t>
  </si>
  <si>
    <t xml:space="preserve">            140937 (Transfer. Stock) - 800,00€</t>
  </si>
  <si>
    <t xml:space="preserve">    31200.0170 - Subproyecto - 470,00€</t>
  </si>
  <si>
    <t xml:space="preserve">            140841 (Transfer. Stock) - 470,00€</t>
  </si>
  <si>
    <t xml:space="preserve">            109117 (Estándar) - 0,17€</t>
  </si>
  <si>
    <t xml:space="preserve">    31200.0170 - Subproyecto - 4,40€</t>
  </si>
  <si>
    <t xml:space="preserve">            105034 (Estándar) - 4,40€</t>
  </si>
  <si>
    <t xml:space="preserve">            109117 (Estándar) - 0,44€</t>
  </si>
  <si>
    <t xml:space="preserve">    31200.0170 - Subproyecto - 7,29€</t>
  </si>
  <si>
    <t xml:space="preserve">            101327 (Estándar) - 7,29€</t>
  </si>
  <si>
    <t xml:space="preserve">    31200.0170 - Subproyecto - 13,92€</t>
  </si>
  <si>
    <t xml:space="preserve">            104253 (Estándar) - 13,92€</t>
  </si>
  <si>
    <t xml:space="preserve">    31200.0170 - Subproyecto - 54,55€</t>
  </si>
  <si>
    <t xml:space="preserve">            104447 (Estándar) - 54,55€</t>
  </si>
  <si>
    <t xml:space="preserve">    31200.0170 - Subproyecto - 43,64€</t>
  </si>
  <si>
    <t xml:space="preserve">            104447 (Estándar) - 43,64€</t>
  </si>
  <si>
    <t xml:space="preserve">    31200.0170 - Subproyecto - 3,30€</t>
  </si>
  <si>
    <t xml:space="preserve">            109117 (Estándar) - 3,30€</t>
  </si>
  <si>
    <t xml:space="preserve">            104629 (Estándar) - 26,00€</t>
  </si>
  <si>
    <t xml:space="preserve">            123191 (Estándar) - 0,00€</t>
  </si>
  <si>
    <t xml:space="preserve">    31200.0170 - Subproyecto - 61,80€</t>
  </si>
  <si>
    <t xml:space="preserve">            138584 (Recep OC) - 61,80€</t>
  </si>
  <si>
    <t xml:space="preserve">    31200.0170 - Subproyecto - 26,30€</t>
  </si>
  <si>
    <t xml:space="preserve">            139205 (Recep OC) - 26,30€</t>
  </si>
  <si>
    <t xml:space="preserve">    31200.0170 - Subproyecto - 105,20€</t>
  </si>
  <si>
    <t xml:space="preserve">            139205 (Recep OC) - 105,20€</t>
  </si>
  <si>
    <t xml:space="preserve">    31200.0170 - Subproyecto - 479,90€</t>
  </si>
  <si>
    <t xml:space="preserve">            99104 (Recep OC) - 479,90€</t>
  </si>
  <si>
    <t xml:space="preserve">    31200.0170 - Subproyecto - 959,80€</t>
  </si>
  <si>
    <t xml:space="preserve">            99105 (Recep OC) - 959,80€</t>
  </si>
  <si>
    <t xml:space="preserve">    31200.0170 - Subproyecto - 711,71€</t>
  </si>
  <si>
    <t xml:space="preserve">            99106 (Recep OC) - 711,71€</t>
  </si>
  <si>
    <t xml:space="preserve">    31200.0170 - Subproyecto - 215,56€</t>
  </si>
  <si>
    <t xml:space="preserve">            143948 (Recep OC) - 215,56€</t>
  </si>
  <si>
    <t xml:space="preserve">    31200.0170 - Subproyecto - 1.163,52€</t>
  </si>
  <si>
    <t xml:space="preserve">            141040 (Recep OC) - 1.163,52€</t>
  </si>
  <si>
    <t xml:space="preserve">    31200.0170 - Subproyecto - 1.023,84€</t>
  </si>
  <si>
    <t xml:space="preserve">            141043 (Recep OC) - 1.023,84€</t>
  </si>
  <si>
    <t xml:space="preserve">    31200.0170 - Subproyecto - 1.199,76€</t>
  </si>
  <si>
    <t xml:space="preserve">            99103 (Recep OC) - 1.199,76€</t>
  </si>
  <si>
    <t xml:space="preserve">    31200.0170 - Subproyecto - 325,08€</t>
  </si>
  <si>
    <t xml:space="preserve">            141044 (Recep OC) - 325,08€</t>
  </si>
  <si>
    <t xml:space="preserve">    31200.0170 - Subproyecto - 971,88€</t>
  </si>
  <si>
    <t xml:space="preserve">            141045 (Recep OC) - 971,88€</t>
  </si>
  <si>
    <t xml:space="preserve">    31200.0170 - Subproyecto - 41,60€</t>
  </si>
  <si>
    <t xml:space="preserve">            141046 (Recep OC) - 41,60€</t>
  </si>
  <si>
    <t xml:space="preserve">    31200.0170 - Subproyecto - 62,00€</t>
  </si>
  <si>
    <t xml:space="preserve">            141047 (Recep OC) - 62,00€</t>
  </si>
  <si>
    <t xml:space="preserve">    31200.0170 - Subproyecto - 46,20€</t>
  </si>
  <si>
    <t xml:space="preserve">            141048 (Recep OC) - 46,20€</t>
  </si>
  <si>
    <t xml:space="preserve">    31200.0170 - Subproyecto - 33,00€</t>
  </si>
  <si>
    <t xml:space="preserve">            141048 (Recep OC) - 33,00€</t>
  </si>
  <si>
    <t xml:space="preserve">    31200.0170 - Subproyecto - 43,20€</t>
  </si>
  <si>
    <t xml:space="preserve">    31200.0170 - Subproyecto - 975,24€</t>
  </si>
  <si>
    <t xml:space="preserve">            141044 (Recep OC) - 975,24€</t>
  </si>
  <si>
    <t xml:space="preserve">            99102 (Recep OC) - 1.199,76€</t>
  </si>
  <si>
    <t xml:space="preserve">    31200.0170 - Subproyecto - 496,92€</t>
  </si>
  <si>
    <t xml:space="preserve">            99101 (Recep OC) - 496,92€</t>
  </si>
  <si>
    <t xml:space="preserve">    31200.0170 - Subproyecto - 1.439,70€</t>
  </si>
  <si>
    <t xml:space="preserve">            99100 (Recep OC) - 1.439,70€</t>
  </si>
  <si>
    <t xml:space="preserve">    31200.0170 - Subproyecto - 608,00€</t>
  </si>
  <si>
    <t xml:space="preserve">            140550 (Recep OC) - 608,00€</t>
  </si>
  <si>
    <t xml:space="preserve">    31200.0170 - Subproyecto - 233,60€</t>
  </si>
  <si>
    <t xml:space="preserve">            143838 (Recep OC) - 233,60€</t>
  </si>
  <si>
    <t xml:space="preserve">    31200.0170 - Subproyecto - 46,72€</t>
  </si>
  <si>
    <t xml:space="preserve">            143838 (Recep OC) - 46,72€</t>
  </si>
  <si>
    <t xml:space="preserve">    31200.0170 - Subproyecto - 93,44€</t>
  </si>
  <si>
    <t xml:space="preserve">            143838 (Recep OC) - 93,44€</t>
  </si>
  <si>
    <t xml:space="preserve">    31200.0170 - Subproyecto - 324,54€</t>
  </si>
  <si>
    <t xml:space="preserve">            144829 (Recep OC) - 324,54€</t>
  </si>
  <si>
    <t xml:space="preserve">    31200.0170 - Subproyecto - 135,27€</t>
  </si>
  <si>
    <t xml:space="preserve">    31200.0170 - Subproyecto - 770,01€</t>
  </si>
  <si>
    <t xml:space="preserve">            99024 (Recep OC) - 770,01€</t>
  </si>
  <si>
    <t xml:space="preserve">    31200.0170 - Subproyecto - 1.473,76€</t>
  </si>
  <si>
    <t xml:space="preserve">            99093 (Recep OC) - 1.473,76€</t>
  </si>
  <si>
    <t xml:space="preserve">    31200.0170 - Subproyecto - 1.713,72€</t>
  </si>
  <si>
    <t xml:space="preserve">            99094 (Recep OC) - 1.713,72€</t>
  </si>
  <si>
    <t xml:space="preserve">    31200.0170 - Subproyecto - 1.353,78€</t>
  </si>
  <si>
    <t xml:space="preserve">            99095 (Recep OC) - 1.353,78€</t>
  </si>
  <si>
    <t xml:space="preserve">            99097 (Recep OC) - 1.199,76€</t>
  </si>
  <si>
    <t xml:space="preserve">    31200.0170 - Subproyecto - 1.113,82€</t>
  </si>
  <si>
    <t xml:space="preserve">            99098 (Recep OC) - 1.113,82€</t>
  </si>
  <si>
    <t xml:space="preserve">            99099 (Recep OC) - 1.319,72€</t>
  </si>
  <si>
    <t xml:space="preserve">    31200.0170 - Subproyecto - 1.202,50€</t>
  </si>
  <si>
    <t xml:space="preserve">            145513 (Recep OC) - 1.202,50€</t>
  </si>
  <si>
    <t xml:space="preserve">    31200.0170 - Subproyecto - 46,00€</t>
  </si>
  <si>
    <t xml:space="preserve">            113104 (Estándar) - 46,00€</t>
  </si>
  <si>
    <t xml:space="preserve">    31200.0170 - Subproyecto - 29,55€</t>
  </si>
  <si>
    <t xml:space="preserve">            100735 (Estándar) - 29,55€</t>
  </si>
  <si>
    <t xml:space="preserve">    31200.0170 - Subproyecto - 60,00€</t>
  </si>
  <si>
    <t xml:space="preserve">            104161 (Estándar) - 60,00€</t>
  </si>
  <si>
    <t xml:space="preserve">    31200.0170 - Subproyecto - 31,68€</t>
  </si>
  <si>
    <t xml:space="preserve">            123231 (Estándar) - 31,68€</t>
  </si>
  <si>
    <t xml:space="preserve">    31200.0170 - Subproyecto - 4,35€</t>
  </si>
  <si>
    <t xml:space="preserve">            101601 (Estándar) - 4,35€</t>
  </si>
  <si>
    <t xml:space="preserve">    31200.0170 - Subproyecto - 9,40€</t>
  </si>
  <si>
    <t xml:space="preserve">            105057 (Estándar) - 0,00€</t>
  </si>
  <si>
    <t xml:space="preserve">            101472 (Estándar) - 3,30€</t>
  </si>
  <si>
    <t xml:space="preserve">    31200.0170 - Subproyecto - 0,58€</t>
  </si>
  <si>
    <t xml:space="preserve">            104843 (Estándar) - 0,58€</t>
  </si>
  <si>
    <t xml:space="preserve">    31200.0170 - Subproyecto - 33,09€</t>
  </si>
  <si>
    <t xml:space="preserve">            101306 (Estándar) - 33,09€</t>
  </si>
  <si>
    <t xml:space="preserve">    31200.0170 - Subproyecto - 3,05€</t>
  </si>
  <si>
    <t xml:space="preserve">            137115 (Estándar) - 3,05€</t>
  </si>
  <si>
    <t xml:space="preserve">    31200.0170 - Subproyecto - 4,50€</t>
  </si>
  <si>
    <t xml:space="preserve">            105063 (Estándar) - 4,50€</t>
  </si>
  <si>
    <t xml:space="preserve">            101602 (Estándar) - 1,85€</t>
  </si>
  <si>
    <t xml:space="preserve">    31200.0170 - Subproyecto - 7,25€</t>
  </si>
  <si>
    <t xml:space="preserve">            101601 (Estándar) - 7,25€</t>
  </si>
  <si>
    <t xml:space="preserve">    31200.0170 - Subproyecto - 5,15€</t>
  </si>
  <si>
    <t xml:space="preserve">            101600 (Estándar) - 5,15€</t>
  </si>
  <si>
    <t xml:space="preserve">            101599 (Estándar) - 3,60€</t>
  </si>
  <si>
    <t xml:space="preserve">    31200.0170 - Subproyecto - 0,88€</t>
  </si>
  <si>
    <t xml:space="preserve">            104840 (Estándar) - 0,88€</t>
  </si>
  <si>
    <t xml:space="preserve">    31200.0170 - Subproyecto - 0,60€</t>
  </si>
  <si>
    <t xml:space="preserve">            105045 (Estándar) - 1,40€</t>
  </si>
  <si>
    <t xml:space="preserve">            123198 (Estándar) - 0,00€</t>
  </si>
  <si>
    <t xml:space="preserve">    31200.0170 - Subproyecto - 6,68€</t>
  </si>
  <si>
    <t xml:space="preserve">            123200 (Estándar) - 6,68€</t>
  </si>
  <si>
    <t xml:space="preserve">    31200.0170 - Subproyecto - 629,51€</t>
  </si>
  <si>
    <t xml:space="preserve">            99009 (Recep OC) - 629,51€</t>
  </si>
  <si>
    <t xml:space="preserve">    31200.0170 - Subproyecto - 2.125,00€</t>
  </si>
  <si>
    <t xml:space="preserve">            99010 (Recep OC) - 2.125,00€</t>
  </si>
  <si>
    <t xml:space="preserve">    31200.0170 - Subproyecto - 1.738,20€</t>
  </si>
  <si>
    <t xml:space="preserve">            99011 (Recep OC) - 1.738,20€</t>
  </si>
  <si>
    <t xml:space="preserve">    31200.0170 - Subproyecto - 304,66€</t>
  </si>
  <si>
    <t xml:space="preserve">            99012 (Recep OC) - 304,66€</t>
  </si>
  <si>
    <t xml:space="preserve">    31200.0170 - Subproyecto - 515,22€</t>
  </si>
  <si>
    <t xml:space="preserve">            99013 (Recep OC) - 515,22€</t>
  </si>
  <si>
    <t xml:space="preserve">    31200.0170 - Subproyecto - 121,70€</t>
  </si>
  <si>
    <t xml:space="preserve">            100752 (Estándar) - 121,70€</t>
  </si>
  <si>
    <t xml:space="preserve">    31200.0170 - Subproyecto - 15,30€</t>
  </si>
  <si>
    <t xml:space="preserve">            123199 (Estándar) - 15,30€</t>
  </si>
  <si>
    <t xml:space="preserve">    31200.0170 - Subproyecto - 3,39€</t>
  </si>
  <si>
    <t xml:space="preserve">            104662 (Estándar) - 3,39€</t>
  </si>
  <si>
    <t xml:space="preserve">    31200.0170 - Subproyecto - 14,90€</t>
  </si>
  <si>
    <t xml:space="preserve">            100980 (Estándar) - 14,90€</t>
  </si>
  <si>
    <t xml:space="preserve">    31200.0170 - Subproyecto - 9,23€</t>
  </si>
  <si>
    <t xml:space="preserve">            100979 (Estándar) - 9,23€</t>
  </si>
  <si>
    <t xml:space="preserve">    31200.0170 - Subproyecto - 24,51€</t>
  </si>
  <si>
    <t xml:space="preserve">            101299 (Estándar) - 24,51€</t>
  </si>
  <si>
    <t xml:space="preserve">    31200.0170 - Subproyecto - 26,40€</t>
  </si>
  <si>
    <t xml:space="preserve">            123184 (Estándar) - 26,40€</t>
  </si>
  <si>
    <t xml:space="preserve">    31200.0170 - Subproyecto - 22,00€</t>
  </si>
  <si>
    <t xml:space="preserve">            123183 (Estándar) - 22,00€</t>
  </si>
  <si>
    <t xml:space="preserve">    31200.0170 - Subproyecto - 9,10€</t>
  </si>
  <si>
    <t xml:space="preserve">            123182 (Estándar) - 9,10€</t>
  </si>
  <si>
    <t xml:space="preserve">            105202 (Estándar) - 0,00€</t>
  </si>
  <si>
    <t xml:space="preserve">    31200.0170 - Subproyecto - 0,14€</t>
  </si>
  <si>
    <t xml:space="preserve">            105045 (Estándar) - 0,14€</t>
  </si>
  <si>
    <t xml:space="preserve">    31200.0170 - Subproyecto - 0,77€</t>
  </si>
  <si>
    <t xml:space="preserve">    31200.0170 - Subproyecto - 21,60€</t>
  </si>
  <si>
    <t xml:space="preserve">            109116 (Estándar) - 21,60€</t>
  </si>
  <si>
    <t xml:space="preserve">            120155 (Estándar) - 0,00€</t>
  </si>
  <si>
    <t xml:space="preserve">    31200.0170 - Subproyecto - 1,89€</t>
  </si>
  <si>
    <t xml:space="preserve">            123207 (Estándar) - 1,89€</t>
  </si>
  <si>
    <t xml:space="preserve">    31200.0170 - Subproyecto - 10,50€</t>
  </si>
  <si>
    <t xml:space="preserve">            100669 (Estándar) - 10,50€</t>
  </si>
  <si>
    <t xml:space="preserve">    31200.0170 - Subproyecto - 3,64€</t>
  </si>
  <si>
    <t xml:space="preserve">            101327 (Estándar) - 3,64€</t>
  </si>
  <si>
    <t xml:space="preserve">    31200.0170 - Subproyecto - 3,22€</t>
  </si>
  <si>
    <t xml:space="preserve">            104378 (Estándar) - 3,22€</t>
  </si>
  <si>
    <t xml:space="preserve">    31200.0170 - Subproyecto - 33,14€</t>
  </si>
  <si>
    <t xml:space="preserve">            101444 (Estándar) - 33,14€</t>
  </si>
  <si>
    <t xml:space="preserve">    31200.0170 - Subproyecto - 1,35€</t>
  </si>
  <si>
    <t xml:space="preserve">            105202 (Estándar) - 1,35€</t>
  </si>
  <si>
    <t xml:space="preserve">    31200.0170 - Subproyecto - 13,26€</t>
  </si>
  <si>
    <t xml:space="preserve">            114144 (Estándar) - 13,26€</t>
  </si>
  <si>
    <t xml:space="preserve">    31200.0170 - Subproyecto - 31,60€</t>
  </si>
  <si>
    <t xml:space="preserve">            21020.01.403.040 (Estándar) - 31,60€</t>
  </si>
  <si>
    <t xml:space="preserve">            123184 (Estándar) - 6,60€</t>
  </si>
  <si>
    <t xml:space="preserve">    31200.0170 - Subproyecto - 3,06€</t>
  </si>
  <si>
    <t xml:space="preserve">            123199 (Estándar) - 3,06€</t>
  </si>
  <si>
    <t xml:space="preserve">    31200.0170 - Subproyecto - 3,34€</t>
  </si>
  <si>
    <t xml:space="preserve">            123200 (Estándar) - 3,34€</t>
  </si>
  <si>
    <t xml:space="preserve">    31200.0170 - Subproyecto - 6,28€</t>
  </si>
  <si>
    <t xml:space="preserve">            101295 (Estándar) - 6,28€</t>
  </si>
  <si>
    <t xml:space="preserve">    31200.0170 - Subproyecto - 4,08€</t>
  </si>
  <si>
    <t xml:space="preserve">            112099 (Estándar) - 4,08€</t>
  </si>
  <si>
    <t xml:space="preserve">    31200.0170 - Subproyecto - 3,78€</t>
  </si>
  <si>
    <t xml:space="preserve">            104660 (Estándar) - 3,78€</t>
  </si>
  <si>
    <t xml:space="preserve">    31200.0170 - Subproyecto - 5,65€</t>
  </si>
  <si>
    <t xml:space="preserve">            104662 (Estándar) - 5,65€</t>
  </si>
  <si>
    <t xml:space="preserve">    31200.0170 - Subproyecto - 6,40€</t>
  </si>
  <si>
    <t xml:space="preserve">            100977 (Estándar) - 6,40€</t>
  </si>
  <si>
    <t xml:space="preserve">            109116 (Estándar) - 0,00€</t>
  </si>
  <si>
    <t xml:space="preserve">    31200.0170 - Subproyecto - 9,50€</t>
  </si>
  <si>
    <t xml:space="preserve">            101007 (Estándar) - 9,50€</t>
  </si>
  <si>
    <t xml:space="preserve">    31200.0170 - Subproyecto - 18,64€</t>
  </si>
  <si>
    <t xml:space="preserve">            100749 (Estándar) - 18,64€</t>
  </si>
  <si>
    <t xml:space="preserve">    31200.0170 - Subproyecto - 11,70€</t>
  </si>
  <si>
    <t xml:space="preserve">            101345 (Estándar) - 11,70€</t>
  </si>
  <si>
    <t xml:space="preserve">            114144 (Estándar) - 0,00€</t>
  </si>
  <si>
    <t xml:space="preserve">    31200.0170 - Subproyecto - 1,20€</t>
  </si>
  <si>
    <t xml:space="preserve">            110597 (Estándar) - 1,20€</t>
  </si>
  <si>
    <t xml:space="preserve">    31200.0170 - Subproyecto - 0,47€</t>
  </si>
  <si>
    <t xml:space="preserve">            105244 (Estándar) - 0,47€</t>
  </si>
  <si>
    <t xml:space="preserve">            104155 (Estándar) - 14,58€</t>
  </si>
  <si>
    <t xml:space="preserve">    31200.0170 - Subproyecto - 17,65€</t>
  </si>
  <si>
    <t xml:space="preserve">            101306 (Estándar) - 17,65€</t>
  </si>
  <si>
    <t xml:space="preserve">    31200.0170 - Subproyecto - 12,52€</t>
  </si>
  <si>
    <t xml:space="preserve">            101304 (Estándar) - 12,52€</t>
  </si>
  <si>
    <t xml:space="preserve">    31200.0170 - Subproyecto - 10,00€</t>
  </si>
  <si>
    <t xml:space="preserve">            104161 (Estándar) - 10,00€</t>
  </si>
  <si>
    <t xml:space="preserve">    31200.0170 - Subproyecto - 323,66€</t>
  </si>
  <si>
    <t xml:space="preserve">            99008 (Recep OC) - 323,66€</t>
  </si>
  <si>
    <t xml:space="preserve">    31200.0170 - Subproyecto - 400,00€</t>
  </si>
  <si>
    <t xml:space="preserve">            99007 (Recep OC) - 400,00€</t>
  </si>
  <si>
    <t xml:space="preserve">    31200.0170 - Subproyecto - 926,20€</t>
  </si>
  <si>
    <t xml:space="preserve">            99006 (Recep OC) - 926,20€</t>
  </si>
  <si>
    <t xml:space="preserve">    31200.0170 - Subproyecto - 930,00€</t>
  </si>
  <si>
    <t xml:space="preserve">            145359 (Recep OC) - 930,00€</t>
  </si>
  <si>
    <t xml:space="preserve">    31200.0170 - Subproyecto - 61,20€</t>
  </si>
  <si>
    <t xml:space="preserve">            117643 (Recep OC) - 61,20€</t>
  </si>
  <si>
    <t xml:space="preserve">    31200.0170 - Subproyecto - 167,41€</t>
  </si>
  <si>
    <t xml:space="preserve">            117644 (Recep OC) - 167,41€</t>
  </si>
  <si>
    <t xml:space="preserve">    31200.0170 - Subproyecto - 46,94€</t>
  </si>
  <si>
    <t xml:space="preserve">            117645 (Recep OC) - 46,94€</t>
  </si>
  <si>
    <t xml:space="preserve">    31200.0170 - Subproyecto - 39,10€</t>
  </si>
  <si>
    <t xml:space="preserve">            119534 (Recep OC) - 39,10€</t>
  </si>
  <si>
    <t xml:space="preserve">    31200.0170 - Subproyecto - 706,91€</t>
  </si>
  <si>
    <t xml:space="preserve">            119536 (Recep OC) - 706,91€</t>
  </si>
  <si>
    <t xml:space="preserve">    31200.0170 - Subproyecto - 363,82€</t>
  </si>
  <si>
    <t xml:space="preserve">            119567 (Recep OC) - 363,82€</t>
  </si>
  <si>
    <t xml:space="preserve">    31200.0170 - Subproyecto - 256,89€</t>
  </si>
  <si>
    <t xml:space="preserve">            117247 (Recep OC) - 256,89€</t>
  </si>
  <si>
    <t xml:space="preserve">    31200.0170 - Subproyecto - 81,69€</t>
  </si>
  <si>
    <t xml:space="preserve">            119770 (Recep OC) - 81,69€</t>
  </si>
  <si>
    <t xml:space="preserve">    31200.0170 - Subproyecto - 242,65€</t>
  </si>
  <si>
    <t xml:space="preserve">            122787 (Recep OC) - 242,65€</t>
  </si>
  <si>
    <t xml:space="preserve">    31200.0170 - Subproyecto - 121,33€</t>
  </si>
  <si>
    <t xml:space="preserve">            122790 (Recep OC) - 121,33€</t>
  </si>
  <si>
    <t xml:space="preserve">    31200.0170 - Subproyecto - 67,27€</t>
  </si>
  <si>
    <t xml:space="preserve">            122793 (Recep OC) - 67,27€</t>
  </si>
  <si>
    <t xml:space="preserve">    31200.0170 - Subproyecto - 51,38€</t>
  </si>
  <si>
    <t xml:space="preserve">    31200.0170 - Subproyecto - 12,85€</t>
  </si>
  <si>
    <t xml:space="preserve">            124155 (Recep OC) - 12,85€</t>
  </si>
  <si>
    <t xml:space="preserve">    31200.0170 - Subproyecto - 716,78€</t>
  </si>
  <si>
    <t xml:space="preserve">            125266 (Recep OC) - 716,78€</t>
  </si>
  <si>
    <t xml:space="preserve">    31200.0170 - Subproyecto - 134,55€</t>
  </si>
  <si>
    <t xml:space="preserve">            120946 (Recep OC) - 134,55€</t>
  </si>
  <si>
    <t xml:space="preserve">    31200.0170 - Subproyecto - 12,76€</t>
  </si>
  <si>
    <t xml:space="preserve">            112381 (Recep OC) - 12,76€</t>
  </si>
  <si>
    <t xml:space="preserve">    31200.0170 - Subproyecto - 86,88€</t>
  </si>
  <si>
    <t xml:space="preserve">            111037 (Recep OC) - 86,88€</t>
  </si>
  <si>
    <t xml:space="preserve">    31200.0170 - Subproyecto - 54,13€</t>
  </si>
  <si>
    <t xml:space="preserve">    31200.0170 - Subproyecto - 118,24€</t>
  </si>
  <si>
    <t xml:space="preserve">            99001 (Recep OC) - 118,24€</t>
  </si>
  <si>
    <t xml:space="preserve">    31200.0170 - Subproyecto - 8.208,00€</t>
  </si>
  <si>
    <t xml:space="preserve">            99002 (Recep OC) - 8.208,00€</t>
  </si>
  <si>
    <t xml:space="preserve">    31200.0170 - Subproyecto - 582,00€</t>
  </si>
  <si>
    <t xml:space="preserve">            99003 (Recep OC) - 582,00€</t>
  </si>
  <si>
    <t xml:space="preserve">    31200.0170 - Subproyecto - 410,00€</t>
  </si>
  <si>
    <t xml:space="preserve">            99004 (Recep OC) - 410,00€</t>
  </si>
  <si>
    <t xml:space="preserve">    31200.0170 - Subproyecto - 5,20€</t>
  </si>
  <si>
    <t xml:space="preserve">            104150 (Estándar) - 5,20€</t>
  </si>
  <si>
    <t xml:space="preserve">    31200.0170 - Subproyecto - 42,90€</t>
  </si>
  <si>
    <t xml:space="preserve">            116472 (Estándar) - 42,90€</t>
  </si>
  <si>
    <t xml:space="preserve">    31200.0170 - Subproyecto - 49,32€</t>
  </si>
  <si>
    <t xml:space="preserve">            116470 (Estándar) - 49,32€</t>
  </si>
  <si>
    <t xml:space="preserve">    31200.0170 - Subproyecto - 7,62€</t>
  </si>
  <si>
    <t xml:space="preserve">            104226 (Estándar) - 7,62€</t>
  </si>
  <si>
    <t xml:space="preserve">            104188 (Estándar) - 0,88€</t>
  </si>
  <si>
    <t xml:space="preserve">    31200.0170 - Subproyecto - 5,12€</t>
  </si>
  <si>
    <t xml:space="preserve">            117357 (Estándar) - 5,12€</t>
  </si>
  <si>
    <t xml:space="preserve">    31200.0170 - Subproyecto - 20,50€</t>
  </si>
  <si>
    <t xml:space="preserve">            101263 (Estándar) - 20,50€</t>
  </si>
  <si>
    <t xml:space="preserve">    31200.0170 - Subproyecto - 6,29€</t>
  </si>
  <si>
    <t xml:space="preserve">            106918 (Recep OC) - 6,29€</t>
  </si>
  <si>
    <t xml:space="preserve">    31200.0170 - Subproyecto - 57,75€</t>
  </si>
  <si>
    <t xml:space="preserve">    31200.0170 - Subproyecto - 55,13€</t>
  </si>
  <si>
    <t xml:space="preserve">    31200.0170 - Subproyecto - 0,51€</t>
  </si>
  <si>
    <t xml:space="preserve">            101290 (Estándar) - 0,51€</t>
  </si>
  <si>
    <t xml:space="preserve">    31200.0170 - Subproyecto - 321,83€</t>
  </si>
  <si>
    <t xml:space="preserve">            132401 (Recep OC) - 321,83€</t>
  </si>
  <si>
    <t xml:space="preserve">    31200.0170 - Subproyecto - 1.151,10€</t>
  </si>
  <si>
    <t xml:space="preserve">            99005 (Recep OC) - 1.151,10€</t>
  </si>
  <si>
    <t xml:space="preserve">    31200.0170 - Subproyecto - -55,13€</t>
  </si>
  <si>
    <t xml:space="preserve">    31200.0170 - Subproyecto - 418,99€</t>
  </si>
  <si>
    <t xml:space="preserve">            126979 (Recep OC) - 418,99€</t>
  </si>
  <si>
    <t xml:space="preserve">    31200.0170 - Subproyecto - 3.739,35€</t>
  </si>
  <si>
    <t xml:space="preserve">            129495 (Recep OC) - 3.739,35€</t>
  </si>
  <si>
    <t xml:space="preserve">    31200.0170 - Subproyecto - 659,44€</t>
  </si>
  <si>
    <t xml:space="preserve">            129882 (Recep OC) - 659,44€</t>
  </si>
  <si>
    <t xml:space="preserve">    31200.0170 - Subproyecto - 438,40€</t>
  </si>
  <si>
    <t xml:space="preserve">            126920 (Recep OC) - 438,40€</t>
  </si>
  <si>
    <t xml:space="preserve">    31200.0170 - Subproyecto - 407,60€</t>
  </si>
  <si>
    <t xml:space="preserve">            131776 (Recep OC) - 407,60€</t>
  </si>
  <si>
    <t xml:space="preserve">    31200.0170 - Subproyecto - 575,71€</t>
  </si>
  <si>
    <t xml:space="preserve">            133477 (Recep OC) - 575,71€</t>
  </si>
  <si>
    <t xml:space="preserve">    31200.0170 - Subproyecto - 418,80€</t>
  </si>
  <si>
    <t xml:space="preserve">            135211 (Recep OC) - 418,80€</t>
  </si>
  <si>
    <t xml:space="preserve">    31200.0170 - Subproyecto - 216,00€</t>
  </si>
  <si>
    <t xml:space="preserve">            136521 (Recep OC) - 216,00€</t>
  </si>
  <si>
    <t xml:space="preserve">    31200.0170 - Subproyecto - 67,60€</t>
  </si>
  <si>
    <t xml:space="preserve">    31200.0170 - Subproyecto - 97,60€</t>
  </si>
  <si>
    <t xml:space="preserve">    31200.0170 - Subproyecto - 630,45€</t>
  </si>
  <si>
    <t xml:space="preserve">            139218 (Recep OC) - 630,45€</t>
  </si>
  <si>
    <t xml:space="preserve">    31200.0170 - Subproyecto - 870,90€</t>
  </si>
  <si>
    <t xml:space="preserve">            133476 (Recep OC) - 870,90€</t>
  </si>
  <si>
    <t xml:space="preserve">    31200.0170 - Subproyecto - 155,93€</t>
  </si>
  <si>
    <t xml:space="preserve">    31200.0170 - Subproyecto - 282,10€</t>
  </si>
  <si>
    <t xml:space="preserve">            126350 (Recep OC) - 282,10€</t>
  </si>
  <si>
    <t xml:space="preserve">    31200.0170 - Subproyecto - 458,69€</t>
  </si>
  <si>
    <t xml:space="preserve">            116848 (Recep OC) - 458,69€</t>
  </si>
  <si>
    <t xml:space="preserve">    31200.0170 - Subproyecto - 204,77€</t>
  </si>
  <si>
    <t xml:space="preserve">    31200.0170 - Subproyecto - 614,30€</t>
  </si>
  <si>
    <t xml:space="preserve">            100759 (Recep OC) - 614,30€</t>
  </si>
  <si>
    <t xml:space="preserve">    31200.0170 - Subproyecto - 1.523,13€</t>
  </si>
  <si>
    <t xml:space="preserve">            100762 (Recep OC) - 1.523,13€</t>
  </si>
  <si>
    <t xml:space="preserve">    31200.0170 - Subproyecto - 190,35€</t>
  </si>
  <si>
    <t xml:space="preserve">    31200.0170 - Subproyecto - 93,28€</t>
  </si>
  <si>
    <t xml:space="preserve">    31200.0170 - Subproyecto - 7,18€</t>
  </si>
  <si>
    <t xml:space="preserve">            102087 (Recep OC) - 7,18€</t>
  </si>
  <si>
    <t xml:space="preserve">    31200.0170 - Subproyecto - -57,75€</t>
  </si>
  <si>
    <t xml:space="preserve">    31200.0170 - Subproyecto - 438,90€</t>
  </si>
  <si>
    <t xml:space="preserve">            110850 (Recep OC) - 438,90€</t>
  </si>
  <si>
    <t xml:space="preserve">    31200.0170 - Subproyecto - 216,52€</t>
  </si>
  <si>
    <t xml:space="preserve">            110851 (Recep OC) - 216,52€</t>
  </si>
  <si>
    <t xml:space="preserve">    31200.0170 - Subproyecto - 570,43€</t>
  </si>
  <si>
    <t xml:space="preserve">            110859 (Recep OC) - 570,43€</t>
  </si>
  <si>
    <t xml:space="preserve">    31200.0170 - Subproyecto - 301,22€</t>
  </si>
  <si>
    <t xml:space="preserve">    31200.0170 - Subproyecto - 285,61€</t>
  </si>
  <si>
    <t xml:space="preserve">            114643 (Recep OC) - 285,61€</t>
  </si>
  <si>
    <t xml:space="preserve">    31200.0170 - Subproyecto - 811,06€</t>
  </si>
  <si>
    <t xml:space="preserve">            114645 (Recep OC) - 811,06€</t>
  </si>
  <si>
    <t xml:space="preserve">    31200.0170 - Subproyecto - 342,90€</t>
  </si>
  <si>
    <t xml:space="preserve">            138748 (Recep OC) - 342,90€</t>
  </si>
  <si>
    <t xml:space="preserve">    31200.0170 - Subproyecto - 0,62€</t>
  </si>
  <si>
    <t xml:space="preserve">            101292 (Estándar) - 0,62€</t>
  </si>
  <si>
    <t xml:space="preserve">            101338 (Estándar) - 0,00€</t>
  </si>
  <si>
    <t xml:space="preserve">            122787 (Recep OC) - 121,33€</t>
  </si>
  <si>
    <t xml:space="preserve">    31200.0170 - Subproyecto - 133,46€</t>
  </si>
  <si>
    <t xml:space="preserve">            122790 (Recep OC) - 133,46€</t>
  </si>
  <si>
    <t xml:space="preserve">    31200.0170 - Subproyecto - 100,91€</t>
  </si>
  <si>
    <t xml:space="preserve">            122792 (Recep OC) - 100,91€</t>
  </si>
  <si>
    <t xml:space="preserve">    31200.0170 - Subproyecto - 74,00€</t>
  </si>
  <si>
    <t xml:space="preserve">            122793 (Recep OC) - 74,00€</t>
  </si>
  <si>
    <t xml:space="preserve">    31200.0170 - Subproyecto - 3,00€</t>
  </si>
  <si>
    <t xml:space="preserve">    31200.0170 - Subproyecto - 27,56€</t>
  </si>
  <si>
    <t xml:space="preserve">            126979 (Recep OC) - 27,56€</t>
  </si>
  <si>
    <t xml:space="preserve">    31200.0170 - Subproyecto - 824,85€</t>
  </si>
  <si>
    <t xml:space="preserve">            139043 (Recep OC) - 824,85€</t>
  </si>
  <si>
    <t xml:space="preserve">    31200.0170 - Subproyecto - 181,99€</t>
  </si>
  <si>
    <t xml:space="preserve">            122786 (Recep OC) - 181,99€</t>
  </si>
  <si>
    <t xml:space="preserve">    31200.0170 - Subproyecto - 49,30€</t>
  </si>
  <si>
    <t xml:space="preserve">            122783 (Recep OC) - 49,30€</t>
  </si>
  <si>
    <t xml:space="preserve">    31200.0170 - Subproyecto - 88,36€</t>
  </si>
  <si>
    <t xml:space="preserve">            122777 (Recep OC) - 88,36€</t>
  </si>
  <si>
    <t xml:space="preserve">    31200.0170 - Subproyecto - 14,08€</t>
  </si>
  <si>
    <t xml:space="preserve">            117645 (Recep OC) - 14,08€</t>
  </si>
  <si>
    <t xml:space="preserve">    31200.0170 - Subproyecto - 9,39€</t>
  </si>
  <si>
    <t xml:space="preserve">            117645 (Recep OC) - 9,39€</t>
  </si>
  <si>
    <t xml:space="preserve">    31200.0170 - Subproyecto - 11,73€</t>
  </si>
  <si>
    <t xml:space="preserve">            119534 (Recep OC) - 11,73€</t>
  </si>
  <si>
    <t xml:space="preserve">    31200.0170 - Subproyecto - 70,65€</t>
  </si>
  <si>
    <t xml:space="preserve">            119569 (Recep OC) - 70,65€</t>
  </si>
  <si>
    <t xml:space="preserve">    31200.0170 - Subproyecto - 70,02€</t>
  </si>
  <si>
    <t xml:space="preserve">            119770 (Recep OC) - 70,02€</t>
  </si>
  <si>
    <t xml:space="preserve">    31200.0170 - Subproyecto - 48,26€</t>
  </si>
  <si>
    <t xml:space="preserve">            119898 (Recep OC) - 48,26€</t>
  </si>
  <si>
    <t xml:space="preserve">    31200.0170 - Subproyecto - 418,53€</t>
  </si>
  <si>
    <t xml:space="preserve">            120945 (Recep OC) - 418,53€</t>
  </si>
  <si>
    <t xml:space="preserve">            120946 (Recep OC) - 67,27€</t>
  </si>
  <si>
    <t xml:space="preserve">    31200.0170 - Subproyecto - 218,12€</t>
  </si>
  <si>
    <t xml:space="preserve">            120948 (Recep OC) - 218,12€</t>
  </si>
  <si>
    <t xml:space="preserve">    31200.0170 - Subproyecto - 207,65€</t>
  </si>
  <si>
    <t xml:space="preserve">            120964 (Recep OC) - 207,65€</t>
  </si>
  <si>
    <t xml:space="preserve">    31200.0170 - Subproyecto - 6,78€</t>
  </si>
  <si>
    <t xml:space="preserve">            122390 (Recep OC) - 6,78€</t>
  </si>
  <si>
    <t xml:space="preserve">    31200.0170 - Subproyecto - 77,90€</t>
  </si>
  <si>
    <t xml:space="preserve">            122524 (Recep OC) - 77,90€</t>
  </si>
  <si>
    <t xml:space="preserve">    31200.0170 - Subproyecto - 5,68€</t>
  </si>
  <si>
    <t xml:space="preserve">            140216 (Recep OC) - 5,68€</t>
  </si>
  <si>
    <t xml:space="preserve">            117643 (Estándar) - 0,00€</t>
  </si>
  <si>
    <t xml:space="preserve">    31200.0170 - Subproyecto - 30,69€</t>
  </si>
  <si>
    <t xml:space="preserve">            140367 (Recep OC) - 30,69€</t>
  </si>
  <si>
    <t xml:space="preserve">    31200.0170 - Subproyecto - 1.218,15€</t>
  </si>
  <si>
    <t xml:space="preserve">            143950 (Recep OC) - 1.218,15€</t>
  </si>
  <si>
    <t xml:space="preserve">    31200.0170 - Subproyecto - 12,83€</t>
  </si>
  <si>
    <t xml:space="preserve">            123172 (Estándar) - 12,83€</t>
  </si>
  <si>
    <t xml:space="preserve">    31200.0170 - Subproyecto - 3,63€</t>
  </si>
  <si>
    <t xml:space="preserve">            101462 (Estándar) - 3,63€</t>
  </si>
  <si>
    <t xml:space="preserve">    31200.0170 - Subproyecto - 21,64€</t>
  </si>
  <si>
    <t xml:space="preserve">            101609 (Estándar) - 21,64€</t>
  </si>
  <si>
    <t xml:space="preserve">    31200.0170 - Subproyecto - 21,36€</t>
  </si>
  <si>
    <t xml:space="preserve">            104280 (Estándar) - 21,36€</t>
  </si>
  <si>
    <t xml:space="preserve">    31200.0170 - Subproyecto - 38,81€</t>
  </si>
  <si>
    <t xml:space="preserve">            104202 (Estándar) - 38,81€</t>
  </si>
  <si>
    <t xml:space="preserve">    31200.0170 - Subproyecto - 10,47€</t>
  </si>
  <si>
    <t xml:space="preserve">            104249 (Estándar) - 10,47€</t>
  </si>
  <si>
    <t xml:space="preserve">    31200.0170 - Subproyecto - 205,14€</t>
  </si>
  <si>
    <t xml:space="preserve">            104175 (Transfer. Stock) - 205,14€</t>
  </si>
  <si>
    <t xml:space="preserve">    31200.0170 - Subproyecto - 45,42€</t>
  </si>
  <si>
    <t xml:space="preserve">            104207 (Estándar) - 45,42€</t>
  </si>
  <si>
    <t xml:space="preserve">    31200.0170 - Subproyecto - 24,00€</t>
  </si>
  <si>
    <t xml:space="preserve">            104148 (Estándar) - 24,00€</t>
  </si>
  <si>
    <t xml:space="preserve">    31200.0170 - Subproyecto - 120,00€</t>
  </si>
  <si>
    <t xml:space="preserve">            104148 (Estándar) - 120,00€</t>
  </si>
  <si>
    <t xml:space="preserve">    31200.0170 - Subproyecto - 25,00€</t>
  </si>
  <si>
    <t xml:space="preserve">            113104 (Estándar) - 25,00€</t>
  </si>
  <si>
    <t xml:space="preserve">    31200.0170 - Subproyecto - 22,86€</t>
  </si>
  <si>
    <t xml:space="preserve">            117346 (Estándar) - 22,86€</t>
  </si>
  <si>
    <t xml:space="preserve">    31200.0170 - Subproyecto - 46,98€</t>
  </si>
  <si>
    <t xml:space="preserve">            117356 (Estándar) - 46,98€</t>
  </si>
  <si>
    <t xml:space="preserve">    31200.0170 - Subproyecto - 12,51€</t>
  </si>
  <si>
    <t xml:space="preserve">            104284 (Estándar) - 12,51€</t>
  </si>
  <si>
    <t xml:space="preserve">    31200.0170 - Subproyecto - 82,05€</t>
  </si>
  <si>
    <t xml:space="preserve">            104175 (Transfer. Stock) - 82,05€</t>
  </si>
  <si>
    <t xml:space="preserve">    31200.0170 - Subproyecto - 193,92€</t>
  </si>
  <si>
    <t xml:space="preserve">            104075 (Estándar) - 193,92€</t>
  </si>
  <si>
    <t xml:space="preserve">    31200.0170 - Subproyecto - 491,76€</t>
  </si>
  <si>
    <t xml:space="preserve">            142432 (Recep OC) - 491,76€</t>
  </si>
  <si>
    <t xml:space="preserve">            104075 (Estándar) - 0,00€</t>
  </si>
  <si>
    <t xml:space="preserve">    31200.0170 - Subproyecto - 123,90€</t>
  </si>
  <si>
    <t xml:space="preserve">            104283 (Estándar) - 123,90€</t>
  </si>
  <si>
    <t xml:space="preserve">    31200.0170 - Subproyecto - 144,00€</t>
  </si>
  <si>
    <t xml:space="preserve">            109590 (Recep OC) - 144,00€</t>
  </si>
  <si>
    <t xml:space="preserve">    31200.0170 - Subproyecto - 717,11€</t>
  </si>
  <si>
    <t xml:space="preserve">            111097 (Estándar) - 717,11€</t>
  </si>
  <si>
    <t xml:space="preserve">    31200.0170 - Subproyecto - 536,40€</t>
  </si>
  <si>
    <t xml:space="preserve">            111098 (Estándar) - 536,40€</t>
  </si>
  <si>
    <t xml:space="preserve">    31200.0170 - Subproyecto - 5.240,00€</t>
  </si>
  <si>
    <t xml:space="preserve">            112110 (Recep OC) - 5.240,00€</t>
  </si>
  <si>
    <t xml:space="preserve">    31200.0170 - Subproyecto - 223,00€</t>
  </si>
  <si>
    <t xml:space="preserve">            116238 (Estándar) - 223,00€</t>
  </si>
  <si>
    <t xml:space="preserve">    31200.0170 - Subproyecto - 356,00€</t>
  </si>
  <si>
    <t xml:space="preserve">            116239 (Estándar) - 356,00€</t>
  </si>
  <si>
    <t xml:space="preserve">    31200.0170 - Subproyecto - 1.237,50€</t>
  </si>
  <si>
    <t xml:space="preserve">            116240 (Estándar) - 1.237,50€</t>
  </si>
  <si>
    <t xml:space="preserve">    31200.0170 - Subproyecto - 822,00€</t>
  </si>
  <si>
    <t xml:space="preserve">            116470 (Estándar) - 822,00€</t>
  </si>
  <si>
    <t xml:space="preserve">    31200.0170 - Subproyecto - 645,00€</t>
  </si>
  <si>
    <t xml:space="preserve">            116471 (Estándar) - 645,00€</t>
  </si>
  <si>
    <t xml:space="preserve">    31200.0170 - Subproyecto - 1.143,68€</t>
  </si>
  <si>
    <t xml:space="preserve">            116472 (Estándar) - 1.143,68€</t>
  </si>
  <si>
    <t xml:space="preserve">    31200.0170 - Subproyecto - 1.785,00€</t>
  </si>
  <si>
    <t xml:space="preserve">            116594 (Recep OC) - 1.785,00€</t>
  </si>
  <si>
    <t xml:space="preserve">    31200.0170 - Subproyecto - 2.096,00€</t>
  </si>
  <si>
    <t xml:space="preserve">            116596 (Recep OC) - 2.096,00€</t>
  </si>
  <si>
    <t xml:space="preserve">    31200.0170 - Subproyecto - 1.856,00€</t>
  </si>
  <si>
    <t xml:space="preserve">            116670 (Recep OC) - 1.856,00€</t>
  </si>
  <si>
    <t xml:space="preserve">    31200.0170 - Subproyecto - 95,51€</t>
  </si>
  <si>
    <t xml:space="preserve">            141835 (Recep OC) - 95,51€</t>
  </si>
  <si>
    <t xml:space="preserve">    31200.0170 - Subproyecto - 19,15€</t>
  </si>
  <si>
    <t xml:space="preserve">            112381 (Recep OC) - 19,15€</t>
  </si>
  <si>
    <t xml:space="preserve">    31200.0170 - Subproyecto - 130,32€</t>
  </si>
  <si>
    <t xml:space="preserve">            111037 (Recep OC) - 130,32€</t>
  </si>
  <si>
    <t xml:space="preserve">    31200.0170 - Subproyecto - 4,24€</t>
  </si>
  <si>
    <t xml:space="preserve">            21020.00.401.420 (Estándar) - 4,24€</t>
  </si>
  <si>
    <t xml:space="preserve">    31200.0170 - Subproyecto - 6,30€</t>
  </si>
  <si>
    <t xml:space="preserve">            101448 (Estándar) - 6,30€</t>
  </si>
  <si>
    <t xml:space="preserve">            101338 (Estándar) - 3,00€</t>
  </si>
  <si>
    <t xml:space="preserve">    31200.0170 - Subproyecto - 2,13€</t>
  </si>
  <si>
    <t xml:space="preserve">            100977 (Estándar) - 2,13€</t>
  </si>
  <si>
    <t xml:space="preserve">    31200.0170 - Subproyecto - 1,27€</t>
  </si>
  <si>
    <t xml:space="preserve">            101079 (Estándar) - 1,27€</t>
  </si>
  <si>
    <t xml:space="preserve">    31200.0170 - Subproyecto - 3,08€</t>
  </si>
  <si>
    <t xml:space="preserve">    31200.0170 - Subproyecto - 0,48€</t>
  </si>
  <si>
    <t xml:space="preserve">            101453 (Estándar) - 0,48€</t>
  </si>
  <si>
    <t xml:space="preserve">    31200.0170 - Subproyecto - 0,39€</t>
  </si>
  <si>
    <t xml:space="preserve">            101458 (Estándar) - 0,39€</t>
  </si>
  <si>
    <t xml:space="preserve">            104833 (Estándar) - 0,33€</t>
  </si>
  <si>
    <t xml:space="preserve">    31200.0170 - Subproyecto - 6,15€</t>
  </si>
  <si>
    <t xml:space="preserve">            100979 (Estándar) - 6,15€</t>
  </si>
  <si>
    <t xml:space="preserve">    31200.0170 - Subproyecto - 42,37€</t>
  </si>
  <si>
    <t xml:space="preserve">            21020.00.401.420 (Estándar) - 42,37€</t>
  </si>
  <si>
    <t xml:space="preserve">    31200.0170 - Subproyecto - 0,80€</t>
  </si>
  <si>
    <t xml:space="preserve">            105280 (Estándar) - 0,80€</t>
  </si>
  <si>
    <t xml:space="preserve">    31200.0170 - Subproyecto - 103,60€</t>
  </si>
  <si>
    <t xml:space="preserve">            110647 (Estándar) - 103,60€</t>
  </si>
  <si>
    <t xml:space="preserve">    31200.0170 - Subproyecto - 10,71€</t>
  </si>
  <si>
    <t xml:space="preserve">            123199 (Estándar) - 10,71€</t>
  </si>
  <si>
    <t xml:space="preserve">    31200.0170 - Subproyecto - 24,84€</t>
  </si>
  <si>
    <t xml:space="preserve">            100980 (Estándar) - 24,84€</t>
  </si>
  <si>
    <t xml:space="preserve">    31200.0170 - Subproyecto - 15,38€</t>
  </si>
  <si>
    <t xml:space="preserve">            100979 (Estándar) - 15,38€</t>
  </si>
  <si>
    <t xml:space="preserve">    31200.0170 - Subproyecto - 4,00€</t>
  </si>
  <si>
    <t xml:space="preserve">            104379 (Estándar) - 4,00€</t>
  </si>
  <si>
    <t xml:space="preserve">    31200.0170 - Subproyecto - 0,56€</t>
  </si>
  <si>
    <t xml:space="preserve">            101296 (Estándar) - 0,56€</t>
  </si>
  <si>
    <t xml:space="preserve">    31200.0170 - Subproyecto - 0,38€</t>
  </si>
  <si>
    <t xml:space="preserve">            101293 (Estándar) - 0,38€</t>
  </si>
  <si>
    <t xml:space="preserve">    31200.0170 - Subproyecto - 22,60€</t>
  </si>
  <si>
    <t xml:space="preserve">            101344 (Estándar) - 22,60€</t>
  </si>
  <si>
    <t xml:space="preserve">            136314 (Estándar) - 0,00€</t>
  </si>
  <si>
    <t xml:space="preserve">    31200.0170 - Subproyecto - 27,20€</t>
  </si>
  <si>
    <t xml:space="preserve">            105281 (Estándar) - 27,20€</t>
  </si>
  <si>
    <t xml:space="preserve">    31200.0170 - Subproyecto - 27,00€</t>
  </si>
  <si>
    <t xml:space="preserve">            105284 (Estándar) - 27,00€</t>
  </si>
  <si>
    <t xml:space="preserve">    31200.0170 - Subproyecto - 30,60€</t>
  </si>
  <si>
    <t xml:space="preserve">            105281 (Estándar) - 30,60€</t>
  </si>
  <si>
    <t xml:space="preserve">    31200.0170 - Subproyecto - 177,69€</t>
  </si>
  <si>
    <t xml:space="preserve">            99047 (Recep OC) - 177,69€</t>
  </si>
  <si>
    <t xml:space="preserve">    31200.0170 - Subproyecto - 12,20€</t>
  </si>
  <si>
    <t xml:space="preserve">            137115 (Estándar) - 12,20€</t>
  </si>
  <si>
    <t xml:space="preserve">    31200.0170 - Subproyecto - 26,84€</t>
  </si>
  <si>
    <t xml:space="preserve">            123183 (Estándar) - 26,84€</t>
  </si>
  <si>
    <t xml:space="preserve">    31200.0170 - Subproyecto - 23,20€</t>
  </si>
  <si>
    <t xml:space="preserve">            136314 (Estándar) - 23,20€</t>
  </si>
  <si>
    <t xml:space="preserve">    31200.0170 - Subproyecto - 4,70€</t>
  </si>
  <si>
    <t xml:space="preserve">            123183 (Estándar) - 4,70€</t>
  </si>
  <si>
    <t xml:space="preserve">    31200.0170 - Subproyecto - 0,64€</t>
  </si>
  <si>
    <t xml:space="preserve">            21020.00.401.430 (Estándar) - 0,64€</t>
  </si>
  <si>
    <t xml:space="preserve">    31200.0170 - Subproyecto - 28,00€</t>
  </si>
  <si>
    <t xml:space="preserve">            21021.00.602.000 (Estándar) - 28,00€</t>
  </si>
  <si>
    <t xml:space="preserve">    31200.0170 - Subproyecto - 143,00€</t>
  </si>
  <si>
    <t xml:space="preserve">            116472 (Estándar) - 143,00€</t>
  </si>
  <si>
    <t xml:space="preserve">    31200.0170 - Subproyecto - 30,75€</t>
  </si>
  <si>
    <t xml:space="preserve">            101263 (Estándar) - 30,75€</t>
  </si>
  <si>
    <t xml:space="preserve">    31200.0170 - Subproyecto - 4,20€</t>
  </si>
  <si>
    <t xml:space="preserve">            106918 (Recep OC) - 4,20€</t>
  </si>
  <si>
    <t xml:space="preserve">    31200.0170 - Subproyecto - 26,10€</t>
  </si>
  <si>
    <t xml:space="preserve">            136314 (Estándar) - 26,10€</t>
  </si>
  <si>
    <t xml:space="preserve">    31200.0170 - Subproyecto - 28,88€</t>
  </si>
  <si>
    <t xml:space="preserve">            110850 (Recep OC) - 28,88€</t>
  </si>
  <si>
    <t xml:space="preserve">    31200.0170 - Subproyecto - 81,20€</t>
  </si>
  <si>
    <t xml:space="preserve">            110851 (Recep OC) - 81,20€</t>
  </si>
  <si>
    <t xml:space="preserve">    31200.0170 - Subproyecto - 610,36€</t>
  </si>
  <si>
    <t xml:space="preserve">            110967 (Recep OC) - 610,36€</t>
  </si>
  <si>
    <t xml:space="preserve">            123183 (Compra) - 0,00€</t>
  </si>
  <si>
    <t xml:space="preserve">    31200.0170 - Subproyecto - 13,55€</t>
  </si>
  <si>
    <t xml:space="preserve">    31200.0170 - Subproyecto - 0,96€</t>
  </si>
  <si>
    <t xml:space="preserve">            21020.00.401.430 (Estándar) - 0,96€</t>
  </si>
  <si>
    <t xml:space="preserve">    31200.0170 - Subproyecto - 0,22€</t>
  </si>
  <si>
    <t xml:space="preserve">            109117 (Estándar) - 0,22€</t>
  </si>
  <si>
    <t xml:space="preserve">    31200.0170 - Subproyecto - 9,60€</t>
  </si>
  <si>
    <t xml:space="preserve">            21001.00.901.002 (Estándar) - 9,60€</t>
  </si>
  <si>
    <t xml:space="preserve">            141049 (Estándar) - 1,35€</t>
  </si>
  <si>
    <t xml:space="preserve">    31200.0170 - Subproyecto - 10,67€</t>
  </si>
  <si>
    <t xml:space="preserve">            100977 (Estándar) - 10,67€</t>
  </si>
  <si>
    <t xml:space="preserve">    31200.0170 - Subproyecto - 22,50€</t>
  </si>
  <si>
    <t xml:space="preserve">            126225 (Estándar) - 22,50€</t>
  </si>
  <si>
    <t xml:space="preserve">            21001.00.901.052 (Estándar) - 9,60€</t>
  </si>
  <si>
    <t xml:space="preserve">    31200.0170 - Subproyecto - 0,50€</t>
  </si>
  <si>
    <t xml:space="preserve">            105411 (Estándar) - 0,50€</t>
  </si>
  <si>
    <t xml:space="preserve">    31200.0170 - Subproyecto - 21,19€</t>
  </si>
  <si>
    <t xml:space="preserve">    31200.0170 - Subproyecto - 8,25€</t>
  </si>
  <si>
    <t xml:space="preserve">            123184 (Estándar) - 8,25€</t>
  </si>
  <si>
    <t xml:space="preserve">    31200.0170 - Subproyecto - 1,45€</t>
  </si>
  <si>
    <t xml:space="preserve">            101601 (Estándar) - 1,45€</t>
  </si>
  <si>
    <t xml:space="preserve">            21001.00.901.027 (Estándar) - 9,60€</t>
  </si>
  <si>
    <t>31200.0180 -  03 - Fabricación</t>
  </si>
  <si>
    <t>Sp-31200.0180</t>
  </si>
  <si>
    <t xml:space="preserve">    31200.0180 - Subproyecto - 0,00€</t>
  </si>
  <si>
    <t xml:space="preserve">        99030 (Compra) - 0,00€</t>
  </si>
  <si>
    <t xml:space="preserve">    31200.0180 - Subproyecto - 17.811,90€</t>
  </si>
  <si>
    <t xml:space="preserve">        99092 (Recep OC) - 17.811,90€</t>
  </si>
  <si>
    <t xml:space="preserve">    31200.0180 - Subproyecto - 2.612,00€</t>
  </si>
  <si>
    <t xml:space="preserve">        66048 (Recep OC) - 2.612,00€</t>
  </si>
  <si>
    <t xml:space="preserve">    31200.0180 - Subproyecto - 28.463,90€</t>
  </si>
  <si>
    <t xml:space="preserve">        66046 (Recep OC) - 28.463,90€</t>
  </si>
  <si>
    <t xml:space="preserve">    31200.0180 - Subproyecto - 8.840,00€</t>
  </si>
  <si>
    <t xml:space="preserve">        66052 (Recep OC) - 8.840,00€</t>
  </si>
  <si>
    <t xml:space="preserve">    31200.0180 - Subproyecto - 8.135,00€</t>
  </si>
  <si>
    <t xml:space="preserve">        66039 (Recep OC) - 8.135,00€</t>
  </si>
  <si>
    <t xml:space="preserve">    31200.0180 - Subproyecto - 41.561,10€</t>
  </si>
  <si>
    <t xml:space="preserve">        99092 (Rec.Plan. OC) - 41.561,10€</t>
  </si>
  <si>
    <t xml:space="preserve">    31200.0180 - Subproyecto - 2.415,00€</t>
  </si>
  <si>
    <t xml:space="preserve">        99109 (Rec.Plan. OC) - 2.415,00€</t>
  </si>
  <si>
    <t xml:space="preserve">    31200.0180 - Subproyecto - 745,00€</t>
  </si>
  <si>
    <t xml:space="preserve">        66040 (Recep OC) - 745,00€</t>
  </si>
  <si>
    <t xml:space="preserve">    31200.0180 - Subproyecto - 1.035,00€</t>
  </si>
  <si>
    <t xml:space="preserve">        99109 (Recep OC) - 1.035,00€</t>
  </si>
  <si>
    <t xml:space="preserve">    31200.0180 - Subproyecto - 26.653,70€</t>
  </si>
  <si>
    <t xml:space="preserve">        99025 (Recep OC) - 26.653,70€</t>
  </si>
  <si>
    <t xml:space="preserve">        99109 (Recep OC) - 2.415,00€</t>
  </si>
  <si>
    <t xml:space="preserve">    31200.0180 - Subproyecto - 25.615,94€</t>
  </si>
  <si>
    <t xml:space="preserve">        99027 (Recep OC) - 25.615,94€</t>
  </si>
  <si>
    <t xml:space="preserve">    31200.0180 - Subproyecto - 29.663,58€</t>
  </si>
  <si>
    <t xml:space="preserve">        99028 (Recep OC) - 29.663,58€</t>
  </si>
  <si>
    <t xml:space="preserve">    31200.0180 - Subproyecto - 23.249,96€</t>
  </si>
  <si>
    <t xml:space="preserve">        99029 (Recep OC) - 23.249,96€</t>
  </si>
  <si>
    <t xml:space="preserve">    31200.0180 - Subproyecto - 26.908,44€</t>
  </si>
  <si>
    <t xml:space="preserve">        99030 (Recep OC) - 26.908,44€</t>
  </si>
  <si>
    <t xml:space="preserve">        99026 (Recep OC) - 29.663,58€</t>
  </si>
  <si>
    <t xml:space="preserve">    31200.0180 - Subproyecto - 13.232,38€</t>
  </si>
  <si>
    <t xml:space="preserve">        99035 (Recep OC) - 13.232,38€</t>
  </si>
  <si>
    <t xml:space="preserve">    31200.0180 - Subproyecto - 16.439,66€</t>
  </si>
  <si>
    <t xml:space="preserve">        99033 (Recep OC) - 16.439,66€</t>
  </si>
  <si>
    <t xml:space="preserve">        99034 (Recep OC) - 16.439,66€</t>
  </si>
  <si>
    <t xml:space="preserve">    31200.0180 - Subproyecto - 8.352,00€</t>
  </si>
  <si>
    <t xml:space="preserve">        99072 (Recep OC) - 8.352,00€</t>
  </si>
  <si>
    <t xml:space="preserve">    31200.0180 - Subproyecto - 26.797,50€</t>
  </si>
  <si>
    <t xml:space="preserve">        99091 (Recep OC) - 26.797,50€</t>
  </si>
  <si>
    <t xml:space="preserve">    31200.0180 - Subproyecto - 62.527,50€</t>
  </si>
  <si>
    <t xml:space="preserve">        99091 (Recep OC) - 62.527,50€</t>
  </si>
  <si>
    <t xml:space="preserve">        99031 (Rec.Plan. OC) - 0,00€</t>
  </si>
  <si>
    <t>31200.0190 -  03 - Fabricación</t>
  </si>
  <si>
    <t>Sp-31200.0190</t>
  </si>
  <si>
    <t xml:space="preserve">    31200.0190 - Subproyecto - 0,00€</t>
  </si>
  <si>
    <t xml:space="preserve">        109116 (Estándar) - 0,00€</t>
  </si>
  <si>
    <t xml:space="preserve">    31200.0190 - Subproyecto - 2,60€</t>
  </si>
  <si>
    <t xml:space="preserve">        105051 (Estándar) - 2,60€</t>
  </si>
  <si>
    <t xml:space="preserve">    31200.0190 - Subproyecto - 21.106,32€</t>
  </si>
  <si>
    <t xml:space="preserve">        66047 (Rec.Plan. OC) - 21.106,32€</t>
  </si>
  <si>
    <t xml:space="preserve">    31200.0190 - Subproyecto - 12.352,00€</t>
  </si>
  <si>
    <t xml:space="preserve">        66008 (Rec.Plan. OC) - 12.352,00€</t>
  </si>
  <si>
    <t xml:space="preserve">    31200.0190 - Subproyecto - 11.967,00€</t>
  </si>
  <si>
    <t xml:space="preserve">        66007 (Rec.Plan. OC) - 11.967,00€</t>
  </si>
  <si>
    <t xml:space="preserve">    31200.0190 - Subproyecto - 76.221,00€</t>
  </si>
  <si>
    <t xml:space="preserve">        66002 (Rec.Plan. OC) - 76.221,00€</t>
  </si>
  <si>
    <t xml:space="preserve">        66005 (Rec.Plan. OC) - 12.352,00€</t>
  </si>
  <si>
    <t xml:space="preserve">    31200.0190 - Subproyecto - 128.197,00€</t>
  </si>
  <si>
    <t xml:space="preserve">        66003 (Rec.Plan. OC) - 128.197,00€</t>
  </si>
  <si>
    <t xml:space="preserve">    31200.0190 - Subproyecto - 91.339,00€</t>
  </si>
  <si>
    <t xml:space="preserve">        66001 (Rec.Plan. OC) - 91.339,00€</t>
  </si>
  <si>
    <t xml:space="preserve">    31200.0190 - Subproyecto - 135.821,00€</t>
  </si>
  <si>
    <t xml:space="preserve">        66000 (Rec.Plan. OC) - 135.821,00€</t>
  </si>
  <si>
    <t xml:space="preserve">    31200.0190 - Subproyecto - 9.747,00€</t>
  </si>
  <si>
    <t xml:space="preserve">        66006 (Rec.Plan. OC) - 9.747,00€</t>
  </si>
  <si>
    <t>31200.0200 -  03 - Fabricación</t>
  </si>
  <si>
    <t>Sp-31200.0200</t>
  </si>
  <si>
    <t xml:space="preserve">    31200.0200 - Subproyecto - 3.693,28€</t>
  </si>
  <si>
    <t xml:space="preserve">        634367.0200 (Operación) - 3.693,28€</t>
  </si>
  <si>
    <t xml:space="preserve">    31200.0200 - Subproyecto - 9.920,06€</t>
  </si>
  <si>
    <t xml:space="preserve">        634367.0200 (Operación) - 9.920,06€</t>
  </si>
  <si>
    <t>F_Asg4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</si>
</sst>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]_-;\-* #,##0.00\ [$€]_-;_-* &quot;-&quot;??\ [$€]_-;_-@_-"/>
    <numFmt numFmtId="165" formatCode="dd/mm/yy\ hh:mm:ss"/>
  </numFmts>
  <fonts count="3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sz val="4"/>
      <color theme="1"/>
      <name val="Avenir Next Condensed Regular"/>
    </font>
    <font>
      <sz val="4"/>
      <name val="Avenir Next Condensed Regular"/>
    </font>
    <font>
      <sz val="8"/>
      <color theme="1"/>
      <name val="Avenir Next Condensed Regular"/>
    </font>
    <font>
      <sz val="8"/>
      <name val="Avenir Next Condensed Regular"/>
    </font>
    <font>
      <sz val="8"/>
      <color theme="0"/>
      <name val="Avenir Next Condensed Regular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</borders>
  <cellStyleXfs count="109">
    <xf numFmtId="0" fontId="0" fillId="0" borderId="0"/>
    <xf numFmtId="164" fontId="6" fillId="0" borderId="0" applyFont="0" applyFill="0" applyBorder="0" applyAlignment="0" applyProtection="0"/>
    <xf numFmtId="0" fontId="7" fillId="0" borderId="0"/>
    <xf numFmtId="0" fontId="6" fillId="0" borderId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4" applyNumberFormat="0" applyAlignment="0" applyProtection="0"/>
    <xf numFmtId="0" fontId="18" fillId="7" borderId="5" applyNumberFormat="0" applyAlignment="0" applyProtection="0"/>
    <xf numFmtId="0" fontId="19" fillId="7" borderId="4" applyNumberFormat="0" applyAlignment="0" applyProtection="0"/>
    <xf numFmtId="0" fontId="20" fillId="0" borderId="6" applyNumberFormat="0" applyFill="0" applyAlignment="0" applyProtection="0"/>
    <xf numFmtId="0" fontId="21" fillId="8" borderId="7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9" fillId="0" borderId="9" applyNumberFormat="0" applyFill="0" applyAlignment="0" applyProtection="0"/>
    <xf numFmtId="0" fontId="24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24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24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24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24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24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9" fontId="7" fillId="0" borderId="0" applyFont="0" applyFill="0" applyBorder="0" applyAlignment="0" applyProtection="0"/>
    <xf numFmtId="0" fontId="5" fillId="0" borderId="0"/>
    <xf numFmtId="0" fontId="5" fillId="9" borderId="8" applyNumberFormat="0" applyFont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8" fillId="0" borderId="0"/>
  </cellStyleXfs>
  <cellXfs count="31">
    <xf numFmtId="0" fontId="0" fillId="0" borderId="0" xfId="0"/>
    <xf numFmtId="0" fontId="26" fillId="36" borderId="0" xfId="107" applyFont="1" applyFill="1" applyAlignment="1">
      <alignment horizontal="center" vertical="top" textRotation="90"/>
    </xf>
    <xf numFmtId="0" fontId="27" fillId="36" borderId="0" xfId="2" applyFont="1" applyFill="1" applyAlignment="1">
      <alignment horizontal="center" vertical="top" textRotation="90" wrapText="1"/>
    </xf>
    <xf numFmtId="0" fontId="27" fillId="36" borderId="0" xfId="107" applyFont="1" applyFill="1" applyAlignment="1">
      <alignment horizontal="center" vertical="top" textRotation="90"/>
    </xf>
    <xf numFmtId="0" fontId="28" fillId="36" borderId="0" xfId="107" applyFont="1" applyFill="1" applyAlignment="1">
      <alignment horizontal="center" vertical="top" textRotation="90"/>
    </xf>
    <xf numFmtId="0" fontId="28" fillId="2" borderId="10" xfId="107" applyFont="1" applyFill="1" applyBorder="1" applyAlignment="1">
      <alignment horizontal="left" vertical="top" textRotation="90"/>
    </xf>
    <xf numFmtId="0" fontId="28" fillId="35" borderId="11" xfId="107" applyFont="1" applyFill="1" applyBorder="1" applyAlignment="1">
      <alignment horizontal="left" vertical="top" textRotation="90" wrapText="1"/>
    </xf>
    <xf numFmtId="0" fontId="29" fillId="0" borderId="0" xfId="107" applyFont="1" applyAlignment="1">
      <alignment vertical="top"/>
    </xf>
    <xf numFmtId="0" fontId="26" fillId="0" borderId="0" xfId="107" applyFont="1" applyAlignment="1">
      <alignment horizontal="left" vertical="top" textRotation="90"/>
    </xf>
    <xf numFmtId="0" fontId="29" fillId="0" borderId="0" xfId="0" applyFont="1" applyAlignment="1">
      <alignment horizontal="left" vertical="top" textRotation="90"/>
    </xf>
    <xf numFmtId="0" fontId="28" fillId="0" borderId="0" xfId="107" applyFont="1" applyAlignment="1">
      <alignment vertical="top"/>
    </xf>
    <xf numFmtId="0" fontId="28" fillId="2" borderId="12" xfId="107" applyFont="1" applyFill="1" applyBorder="1" applyAlignment="1">
      <alignment vertical="top"/>
    </xf>
    <xf numFmtId="0" fontId="30" fillId="34" borderId="0" xfId="3" applyFont="1" applyFill="1" applyAlignment="1">
      <alignment horizontal="center" vertical="top"/>
    </xf>
    <xf numFmtId="0" fontId="29" fillId="0" borderId="0" xfId="0" applyFont="1" applyAlignment="1">
      <alignment vertical="top"/>
    </xf>
    <xf numFmtId="0" fontId="28" fillId="2" borderId="13" xfId="107" applyFont="1" applyFill="1" applyBorder="1" applyAlignment="1">
      <alignment vertical="top"/>
    </xf>
    <xf numFmtId="165" fontId="26" fillId="0" borderId="0" xfId="107" applyNumberFormat="1" applyFont="1" applyAlignment="1">
      <alignment horizontal="left" vertical="top"/>
    </xf>
    <xf numFmtId="0" fontId="28" fillId="35" borderId="14" xfId="107" applyFont="1" applyFill="1" applyBorder="1" applyAlignment="1">
      <alignment horizontal="left" vertical="top"/>
    </xf>
    <xf numFmtId="0" fontId="26" fillId="0" borderId="0" xfId="107" applyFont="1" applyAlignment="1">
      <alignment horizontal="left" vertical="top"/>
    </xf>
    <xf numFmtId="0" fontId="28" fillId="35" borderId="14" xfId="107" applyFont="1" applyFill="1" applyBorder="1" applyAlignment="1">
      <alignment horizontal="left" vertical="top" shrinkToFit="1"/>
    </xf>
    <xf numFmtId="0" fontId="26" fillId="2" borderId="15" xfId="107" applyFont="1" applyFill="1" applyBorder="1" applyAlignment="1">
      <alignment horizontal="center" vertical="top"/>
    </xf>
    <xf numFmtId="0" fontId="26" fillId="2" borderId="16" xfId="107" applyFont="1" applyFill="1" applyBorder="1" applyAlignment="1">
      <alignment horizontal="center" vertical="top"/>
    </xf>
    <xf numFmtId="0" fontId="26" fillId="2" borderId="17" xfId="107" applyFont="1" applyFill="1" applyBorder="1" applyAlignment="1">
      <alignment vertical="top"/>
    </xf>
    <xf numFmtId="0" fontId="26" fillId="35" borderId="18" xfId="107" applyFont="1" applyFill="1" applyBorder="1" applyAlignment="1">
      <alignment horizontal="left" vertical="top"/>
    </xf>
    <xf numFmtId="0" fontId="26" fillId="2" borderId="12" xfId="107" applyFont="1" applyFill="1" applyBorder="1" applyAlignment="1">
      <alignment vertical="top"/>
    </xf>
    <xf numFmtId="0" fontId="26" fillId="35" borderId="14" xfId="107" applyFont="1" applyFill="1" applyBorder="1" applyAlignment="1">
      <alignment horizontal="left" vertical="top"/>
    </xf>
    <xf numFmtId="0" fontId="29" fillId="0" borderId="0" xfId="107" applyFont="1" applyAlignment="1">
      <alignment horizontal="center" vertical="top"/>
    </xf>
    <xf numFmtId="0" fontId="26" fillId="0" borderId="0" xfId="107" applyFont="1" applyAlignment="1">
      <alignment vertical="top"/>
    </xf>
    <xf numFmtId="0" fontId="28" fillId="0" borderId="0" xfId="107" applyFont="1" applyAlignment="1">
      <alignment horizontal="left" vertical="top"/>
    </xf>
    <xf numFmtId="0" fontId="29" fillId="0" borderId="0" xfId="2" applyFont="1" applyAlignment="1">
      <alignment vertical="top"/>
    </xf>
    <xf numFmtId="0" fontId="0" fillId="0" borderId="0" xfId="0" applyNumberFormat="1"/>
    <xf numFmtId="0" fontId="6" fillId="0" borderId="0" xfId="0" applyFont="1"/>
  </cellXfs>
  <cellStyles count="109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8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7" xr:uid="{1670FD44-4E89-4889-8330-24DB8EDC5B2B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font>
        <strike val="0"/>
        <outline val="0"/>
        <shadow val="0"/>
        <u val="none"/>
        <vertAlign val="baseline"/>
        <name val="Avenir Next Condensed Regular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663300"/>
      <color rgb="FFFFEB84"/>
      <color rgb="FFFFCCCC"/>
      <color rgb="FFA50021"/>
      <color rgb="FFFFFF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8</xdr:col>
      <xdr:colOff>630767</xdr:colOff>
      <xdr:row>1</xdr:row>
      <xdr:rowOff>977900</xdr:rowOff>
    </xdr:to>
    <xdr:sp macro="[0]!ExportarDatosCuadrante" textlink="">
      <xdr:nvSpPr>
        <xdr:cNvPr id="2" name="Rounded Rectangle 1">
          <a:extLst>
            <a:ext uri="{FF2B5EF4-FFF2-40B4-BE49-F238E27FC236}">
              <a16:creationId xmlns:a16="http://schemas.microsoft.com/office/drawing/2014/main" id="{06D290D1-5B7A-0E4B-B211-A673073D511F}"/>
            </a:ext>
          </a:extLst>
        </xdr:cNvPr>
        <xdr:cNvSpPr/>
      </xdr:nvSpPr>
      <xdr:spPr bwMode="auto">
        <a:xfrm>
          <a:off x="3158067" y="448733"/>
          <a:ext cx="1511300" cy="9779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4000"/>
            <a:t>CdM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1" xr16:uid="{8B46FAB5-6603-624D-B282-A4FEB1A39E2A}" autoFormatId="16" applyNumberFormats="0" applyBorderFormats="0" applyFontFormats="0" applyPatternFormats="0" applyAlignmentFormats="0" applyWidthHeightFormats="0">
  <queryTableRefresh nextId="13">
    <queryTableFields count="8">
      <queryTableField id="4" name="Column" tableColumnId="4"/>
      <queryTableField id="1" name="PrjId" tableColumnId="1"/>
      <queryTableField id="2" name="Cia" tableColumnId="2"/>
      <queryTableField id="3" name="Row" tableColumnId="3"/>
      <queryTableField id="5" name="REAL" tableColumnId="5"/>
      <queryTableField id="9" name="%PRV/PTO" tableColumnId="6"/>
      <queryTableField id="10" name="%REA/PRV" tableColumnId="7"/>
      <queryTableField id="11" name="PD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0" xr16:uid="{7CC9EE22-64D6-2A4E-83DD-1E9B84DFDB87}" autoFormatId="16" applyNumberFormats="0" applyBorderFormats="0" applyFontFormats="0" applyPatternFormats="0" applyAlignmentFormats="0" applyWidthHeightFormats="0">
  <queryTableRefresh nextId="9">
    <queryTableFields count="8">
      <queryTableField id="1" name="PrjId" tableColumnId="1"/>
      <queryTableField id="2" name="Cia" tableColumnId="2"/>
      <queryTableField id="3" name="Row" tableColumnId="3"/>
      <queryTableField id="4" name="Column" tableColumnId="4"/>
      <queryTableField id="5" name="Wks" tableColumnId="5"/>
      <queryTableField id="6" name="REAL" tableColumnId="6"/>
      <queryTableField id="7" name="PPTO" tableColumnId="7"/>
      <queryTableField id="8" name="PREV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8A01E68E-95B0-784D-BBA6-A8583F9D6C1A}" autoFormatId="16" applyNumberFormats="0" applyBorderFormats="0" applyFontFormats="0" applyPatternFormats="0" applyAlignmentFormats="0" applyWidthHeightFormats="0">
  <queryTableRefresh nextId="13">
    <queryTableFields count="12">
      <queryTableField id="1" name="Cia" tableColumnId="1"/>
      <queryTableField id="2" name="Prj" tableColumnId="2"/>
      <queryTableField id="3" name="Parte_Prj" tableColumnId="3"/>
      <queryTableField id="4" name="Nivel" tableColumnId="4"/>
      <queryTableField id="5" name="Valor" tableColumnId="5"/>
      <queryTableField id="6" name="ValorAcumulado" tableColumnId="6"/>
      <queryTableField id="7" name="Nivel1" tableColumnId="7"/>
      <queryTableField id="8" name="Nivel2" tableColumnId="8"/>
      <queryTableField id="9" name="Nivel3" tableColumnId="9"/>
      <queryTableField id="10" name="Nivel4" tableColumnId="10"/>
      <queryTableField id="11" name="Nivel5" tableColumnId="11"/>
      <queryTableField id="12" name="Proyecto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499CD6-58D4-8C49-B146-B5867833C71B}" name="FrmBB_3" displayName="FrmBB_3" ref="C3:J136" tableType="queryTable" totalsRowShown="0">
  <autoFilter ref="C3:J136" xr:uid="{A9499CD6-58D4-8C49-B146-B5867833C71B}"/>
  <tableColumns count="8">
    <tableColumn id="4" xr3:uid="{19283E4D-E9B5-5F4E-B79F-4BD50B44E182}" uniqueName="4" name="Column" queryTableFieldId="4" dataDxfId="21"/>
    <tableColumn id="1" xr3:uid="{00F9C71D-E7FF-4848-9332-43A192B4BF31}" uniqueName="1" name="PrjId" queryTableFieldId="1" dataDxfId="20"/>
    <tableColumn id="2" xr3:uid="{7B13DC99-8F14-A443-AF1C-DD248169AA41}" uniqueName="2" name="Cia" queryTableFieldId="2" dataDxfId="19"/>
    <tableColumn id="3" xr3:uid="{0619C92E-F107-5C49-B4B5-8A38CDA5AFC6}" uniqueName="3" name="Row" queryTableFieldId="3" dataDxfId="18"/>
    <tableColumn id="5" xr3:uid="{ED5D85B8-39EF-8045-8648-07BC32B1D9E2}" uniqueName="5" name="REAL" queryTableFieldId="5"/>
    <tableColumn id="6" xr3:uid="{044999B0-2F12-6945-AA29-9EBF2D4896D5}" uniqueName="6" name="%PRV/PTO" queryTableFieldId="9"/>
    <tableColumn id="7" xr3:uid="{144CBC01-BE41-964A-BCCD-910C4BF31017}" uniqueName="7" name="%REA/PRV" queryTableFieldId="10"/>
    <tableColumn id="8" xr3:uid="{20A2CE7A-B0AA-B14D-AC0B-CA348B9EA87A}" uniqueName="8" name="PDTE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7A7856-654F-7340-B574-624FD69D6221}" name="FrmBB_2" displayName="FrmBB_2" ref="O3:V2598" tableType="queryTable" totalsRowShown="0">
  <autoFilter ref="O3:V2598" xr:uid="{997A7856-654F-7340-B574-624FD69D6221}"/>
  <tableColumns count="8">
    <tableColumn id="1" xr3:uid="{83428B97-F2DE-514C-B0F0-E391DDFC5CEB}" uniqueName="1" name="PrjId" queryTableFieldId="1" dataDxfId="13"/>
    <tableColumn id="2" xr3:uid="{A646840D-357A-2A45-8350-AA55099A7550}" uniqueName="2" name="Cia" queryTableFieldId="2" dataDxfId="12"/>
    <tableColumn id="3" xr3:uid="{367BD3FE-DADD-1C47-9BD2-3B8DE607EEE9}" uniqueName="3" name="Row" queryTableFieldId="3" dataDxfId="11"/>
    <tableColumn id="4" xr3:uid="{30F4875D-C3A2-824C-99E0-112E64FEF85D}" uniqueName="4" name="Column" queryTableFieldId="4" dataDxfId="10"/>
    <tableColumn id="5" xr3:uid="{366268DC-357F-114E-9506-854B132EBB52}" uniqueName="5" name="Wks" queryTableFieldId="5" dataDxfId="9"/>
    <tableColumn id="6" xr3:uid="{382DC6A9-1F45-7E45-AD3C-36EF9FCB3D5C}" uniqueName="6" name="REAL" queryTableFieldId="6" dataDxfId="8"/>
    <tableColumn id="7" xr3:uid="{32CA9B9C-A82E-694B-84F4-EC1A734A2B3D}" uniqueName="7" name="PPTO" queryTableFieldId="7" dataDxfId="7"/>
    <tableColumn id="8" xr3:uid="{6A66AE81-C255-364D-B2D2-2C08437954DD}" uniqueName="8" name="PREV" queryTableFieldId="8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81C368-CC75-5D47-806F-05337004D79B}" name="F_Asg4" displayName="F_Asg4" ref="AA3:AL3187" tableType="queryTable" totalsRowShown="0">
  <autoFilter ref="AA3:AL3187" xr:uid="{FF81C368-CC75-5D47-806F-05337004D79B}"/>
  <tableColumns count="12">
    <tableColumn id="1" xr3:uid="{18A05535-406D-CD4A-BDFC-45AAFAC4A25B}" uniqueName="1" name="Cia" queryTableFieldId="1" dataDxfId="5"/>
    <tableColumn id="2" xr3:uid="{352E0784-2C84-8D40-BAE3-101561CEC985}" uniqueName="2" name="Prj" queryTableFieldId="2"/>
    <tableColumn id="3" xr3:uid="{573CA8D5-7746-AF44-86FE-5EA30DE40B2E}" uniqueName="3" name="Parte_Prj" queryTableFieldId="3"/>
    <tableColumn id="4" xr3:uid="{7135F120-659F-C742-A882-06E50BE23348}" uniqueName="4" name="Nivel" queryTableFieldId="4"/>
    <tableColumn id="5" xr3:uid="{6B4DDB74-70F9-2D43-89DC-7A5D15F211A7}" uniqueName="5" name="Valor" queryTableFieldId="5"/>
    <tableColumn id="6" xr3:uid="{956307D9-A17D-FF4F-AE60-8E196D481DC5}" uniqueName="6" name="ValorAcumulado" queryTableFieldId="6"/>
    <tableColumn id="7" xr3:uid="{8865113D-C358-E348-9D86-71F87AE59265}" uniqueName="7" name="Nivel1" queryTableFieldId="7" dataDxfId="4"/>
    <tableColumn id="8" xr3:uid="{09ACF437-AC06-7148-BDE4-4FF842C0DFDB}" uniqueName="8" name="Nivel2" queryTableFieldId="8" dataDxfId="3"/>
    <tableColumn id="9" xr3:uid="{2A4E1AFB-24DE-AB46-B3A0-A20C9C40B561}" uniqueName="9" name="Nivel3" queryTableFieldId="9" dataDxfId="2"/>
    <tableColumn id="10" xr3:uid="{65E9E8FA-DAD3-A44C-9E2B-38C998E90E97}" uniqueName="10" name="Nivel4" queryTableFieldId="10" dataDxfId="1"/>
    <tableColumn id="11" xr3:uid="{80604AA5-056F-514F-94C3-4A30FC39830B}" uniqueName="11" name="Nivel5" queryTableFieldId="11"/>
    <tableColumn id="12" xr3:uid="{35FCC06F-CABE-7245-98EA-56D76821D6C7}" uniqueName="12" name="Proyecto" queryTableFieldId="12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E3CB0AD-3CFF-4A3C-9D91-2030D0680970}" name="SchPdt1" displayName="SchPdt1" ref="F2:G10" totalsRowShown="0" headerRowDxfId="15" dataDxfId="14" dataCellStyle="Normal 8">
  <autoFilter ref="F2:G10" xr:uid="{BE3CB0AD-3CFF-4A3C-9D91-2030D0680970}"/>
  <tableColumns count="2">
    <tableColumn id="1" xr3:uid="{5B9A2CE2-660F-483D-B88E-CA3440434502}" name="PrjId" dataDxfId="17" dataCellStyle="Normal 8"/>
    <tableColumn id="2" xr3:uid="{6AD41C44-4190-42A7-93EE-059CE45E76C4}" name="Row" dataDxfId="16" dataCellStyle="Normal 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3CF74-9A33-344C-BF33-C874E84C7649}">
  <sheetPr codeName="Sheet2"/>
  <dimension ref="A1"/>
  <sheetViews>
    <sheetView tabSelected="1" workbookViewId="0">
      <selection sqref="A1:L3185"/>
    </sheetView>
  </sheetViews>
  <sheetFormatPr baseColWidth="10" defaultRowHeight="13"/>
  <cols>
    <col min="1" max="1" width="6.33203125" bestFit="1" customWidth="1"/>
    <col min="2" max="2" width="6.1640625" bestFit="1" customWidth="1"/>
    <col min="3" max="3" width="11.33203125" bestFit="1" customWidth="1"/>
    <col min="4" max="4" width="7.83203125" bestFit="1" customWidth="1"/>
    <col min="5" max="5" width="10.1640625" bestFit="1" customWidth="1"/>
    <col min="6" max="6" width="17.1640625" bestFit="1" customWidth="1"/>
    <col min="7" max="7" width="24.1640625" bestFit="1" customWidth="1"/>
    <col min="8" max="8" width="34" bestFit="1" customWidth="1"/>
    <col min="9" max="9" width="42.1640625" bestFit="1" customWidth="1"/>
    <col min="10" max="10" width="40.83203125" bestFit="1" customWidth="1"/>
    <col min="11" max="11" width="31.5" bestFit="1" customWidth="1"/>
    <col min="12" max="12" width="13.332031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0BC3-5438-514E-87A0-3FE7FE1F40EE}">
  <sheetPr codeName="Sheet1"/>
  <dimension ref="B3:AL3187"/>
  <sheetViews>
    <sheetView topLeftCell="P1" workbookViewId="0">
      <selection activeCell="Z4" sqref="Z4"/>
    </sheetView>
  </sheetViews>
  <sheetFormatPr baseColWidth="10" defaultColWidth="11.5" defaultRowHeight="13"/>
  <cols>
    <col min="3" max="3" width="25" bestFit="1" customWidth="1"/>
    <col min="4" max="4" width="7.5" bestFit="1" customWidth="1"/>
    <col min="5" max="5" width="6.33203125" bestFit="1" customWidth="1"/>
    <col min="6" max="6" width="35.83203125" bestFit="1" customWidth="1"/>
    <col min="7" max="7" width="10.1640625" bestFit="1" customWidth="1"/>
    <col min="8" max="9" width="12.6640625" bestFit="1" customWidth="1"/>
    <col min="10" max="13" width="12.1640625" bestFit="1" customWidth="1"/>
  </cols>
  <sheetData>
    <row r="3" spans="2:38">
      <c r="B3" s="30" t="s">
        <v>127</v>
      </c>
      <c r="C3" t="s">
        <v>9</v>
      </c>
      <c r="D3" t="s">
        <v>13</v>
      </c>
      <c r="E3" t="s">
        <v>42</v>
      </c>
      <c r="F3" t="s">
        <v>8</v>
      </c>
      <c r="G3" t="s">
        <v>52</v>
      </c>
      <c r="H3" t="s">
        <v>69</v>
      </c>
      <c r="I3" t="s">
        <v>70</v>
      </c>
      <c r="J3" t="s">
        <v>71</v>
      </c>
      <c r="N3" s="30" t="s">
        <v>128</v>
      </c>
      <c r="O3" t="s">
        <v>13</v>
      </c>
      <c r="P3" t="s">
        <v>42</v>
      </c>
      <c r="Q3" t="s">
        <v>8</v>
      </c>
      <c r="R3" t="s">
        <v>9</v>
      </c>
      <c r="S3" t="s">
        <v>34</v>
      </c>
      <c r="T3" t="s">
        <v>52</v>
      </c>
      <c r="U3" t="s">
        <v>50</v>
      </c>
      <c r="V3" t="s">
        <v>51</v>
      </c>
      <c r="Z3" s="30" t="s">
        <v>4807</v>
      </c>
      <c r="AA3" t="s">
        <v>42</v>
      </c>
      <c r="AB3" t="s">
        <v>129</v>
      </c>
      <c r="AC3" t="s">
        <v>130</v>
      </c>
      <c r="AD3" t="s">
        <v>131</v>
      </c>
      <c r="AE3" t="s">
        <v>132</v>
      </c>
      <c r="AF3" t="s">
        <v>133</v>
      </c>
      <c r="AG3" t="s">
        <v>134</v>
      </c>
      <c r="AH3" t="s">
        <v>135</v>
      </c>
      <c r="AI3" t="s">
        <v>136</v>
      </c>
      <c r="AJ3" t="s">
        <v>137</v>
      </c>
      <c r="AK3" t="s">
        <v>138</v>
      </c>
      <c r="AL3" t="s">
        <v>139</v>
      </c>
    </row>
    <row r="4" spans="2:38">
      <c r="C4" t="s">
        <v>67</v>
      </c>
      <c r="D4" t="s">
        <v>44</v>
      </c>
      <c r="E4" t="s">
        <v>43</v>
      </c>
      <c r="F4" t="s">
        <v>81</v>
      </c>
      <c r="G4">
        <v>32839.379999999997</v>
      </c>
      <c r="H4">
        <v>1.1128034544646701</v>
      </c>
      <c r="I4">
        <v>1</v>
      </c>
      <c r="J4">
        <v>0</v>
      </c>
      <c r="O4" t="s">
        <v>44</v>
      </c>
      <c r="P4" t="s">
        <v>43</v>
      </c>
      <c r="Q4" t="s">
        <v>0</v>
      </c>
      <c r="R4" t="s">
        <v>53</v>
      </c>
      <c r="S4">
        <v>2024.41</v>
      </c>
      <c r="T4">
        <v>656.6</v>
      </c>
      <c r="U4">
        <v>0</v>
      </c>
      <c r="V4">
        <v>0</v>
      </c>
      <c r="AA4" s="29" t="s">
        <v>43</v>
      </c>
      <c r="AB4">
        <v>31199</v>
      </c>
      <c r="AC4">
        <v>10</v>
      </c>
      <c r="AD4">
        <v>1</v>
      </c>
      <c r="AE4">
        <v>0</v>
      </c>
      <c r="AF4">
        <v>0</v>
      </c>
      <c r="AG4" s="29" t="s">
        <v>140</v>
      </c>
      <c r="AH4" s="29"/>
      <c r="AI4" s="29"/>
      <c r="AJ4" s="29"/>
      <c r="AL4" s="29" t="s">
        <v>141</v>
      </c>
    </row>
    <row r="5" spans="2:38">
      <c r="C5" t="s">
        <v>54</v>
      </c>
      <c r="D5" t="s">
        <v>44</v>
      </c>
      <c r="E5" t="s">
        <v>43</v>
      </c>
      <c r="F5" t="s">
        <v>82</v>
      </c>
      <c r="G5">
        <v>301732.5</v>
      </c>
      <c r="H5">
        <v>1</v>
      </c>
      <c r="I5">
        <v>1.0375544988410501</v>
      </c>
      <c r="J5">
        <v>-10921.27</v>
      </c>
      <c r="O5" t="s">
        <v>44</v>
      </c>
      <c r="P5" t="s">
        <v>43</v>
      </c>
      <c r="Q5" t="s">
        <v>0</v>
      </c>
      <c r="R5" t="s">
        <v>53</v>
      </c>
      <c r="S5">
        <v>2024.43</v>
      </c>
      <c r="T5">
        <v>656.6</v>
      </c>
      <c r="U5">
        <v>0</v>
      </c>
      <c r="V5">
        <v>0</v>
      </c>
      <c r="AA5" s="29" t="s">
        <v>43</v>
      </c>
      <c r="AB5">
        <v>31199</v>
      </c>
      <c r="AC5">
        <v>10</v>
      </c>
      <c r="AD5">
        <v>3</v>
      </c>
      <c r="AE5">
        <v>919.92</v>
      </c>
      <c r="AF5">
        <v>919.92</v>
      </c>
      <c r="AG5" s="29" t="s">
        <v>140</v>
      </c>
      <c r="AH5" s="29" t="s">
        <v>142</v>
      </c>
      <c r="AI5" s="29" t="s">
        <v>143</v>
      </c>
      <c r="AJ5" s="29"/>
      <c r="AL5" s="29" t="s">
        <v>141</v>
      </c>
    </row>
    <row r="6" spans="2:38">
      <c r="C6" t="s">
        <v>54</v>
      </c>
      <c r="D6" t="s">
        <v>44</v>
      </c>
      <c r="E6" t="s">
        <v>43</v>
      </c>
      <c r="F6" t="s">
        <v>81</v>
      </c>
      <c r="G6">
        <v>0</v>
      </c>
      <c r="H6">
        <v>0</v>
      </c>
      <c r="I6">
        <v>0</v>
      </c>
      <c r="J6">
        <v>0</v>
      </c>
      <c r="O6" t="s">
        <v>44</v>
      </c>
      <c r="P6" t="s">
        <v>43</v>
      </c>
      <c r="Q6" t="s">
        <v>0</v>
      </c>
      <c r="R6" t="s">
        <v>53</v>
      </c>
      <c r="S6">
        <v>2024.44</v>
      </c>
      <c r="T6">
        <v>656.6</v>
      </c>
      <c r="U6">
        <v>0</v>
      </c>
      <c r="V6">
        <v>656.6</v>
      </c>
      <c r="AA6" s="29" t="s">
        <v>43</v>
      </c>
      <c r="AB6">
        <v>31199</v>
      </c>
      <c r="AC6">
        <v>10</v>
      </c>
      <c r="AD6">
        <v>3</v>
      </c>
      <c r="AE6">
        <v>5099.92</v>
      </c>
      <c r="AF6">
        <v>5099.92</v>
      </c>
      <c r="AG6" s="29" t="s">
        <v>140</v>
      </c>
      <c r="AH6" s="29" t="s">
        <v>144</v>
      </c>
      <c r="AI6" s="29" t="s">
        <v>145</v>
      </c>
      <c r="AJ6" s="29"/>
      <c r="AL6" s="29" t="s">
        <v>141</v>
      </c>
    </row>
    <row r="7" spans="2:38">
      <c r="C7" t="s">
        <v>54</v>
      </c>
      <c r="D7" t="s">
        <v>44</v>
      </c>
      <c r="E7" t="s">
        <v>43</v>
      </c>
      <c r="F7" t="s">
        <v>83</v>
      </c>
      <c r="G7">
        <v>9750</v>
      </c>
      <c r="H7">
        <v>1</v>
      </c>
      <c r="I7">
        <v>1</v>
      </c>
      <c r="J7">
        <v>0</v>
      </c>
      <c r="O7" t="s">
        <v>44</v>
      </c>
      <c r="P7" t="s">
        <v>43</v>
      </c>
      <c r="Q7" t="s">
        <v>0</v>
      </c>
      <c r="R7" t="s">
        <v>53</v>
      </c>
      <c r="S7">
        <v>2024.45</v>
      </c>
      <c r="T7">
        <v>1510.18</v>
      </c>
      <c r="U7">
        <v>0</v>
      </c>
      <c r="V7">
        <v>656.6</v>
      </c>
      <c r="AA7" s="29" t="s">
        <v>43</v>
      </c>
      <c r="AB7">
        <v>31199</v>
      </c>
      <c r="AC7">
        <v>10</v>
      </c>
      <c r="AD7">
        <v>3</v>
      </c>
      <c r="AE7">
        <v>4663.84</v>
      </c>
      <c r="AF7">
        <v>4663.84</v>
      </c>
      <c r="AG7" s="29" t="s">
        <v>140</v>
      </c>
      <c r="AH7" s="29" t="s">
        <v>146</v>
      </c>
      <c r="AI7" s="29" t="s">
        <v>147</v>
      </c>
      <c r="AJ7" s="29"/>
      <c r="AL7" s="29" t="s">
        <v>141</v>
      </c>
    </row>
    <row r="8" spans="2:38">
      <c r="C8" t="s">
        <v>54</v>
      </c>
      <c r="D8" t="s">
        <v>44</v>
      </c>
      <c r="E8" t="s">
        <v>43</v>
      </c>
      <c r="F8" t="s">
        <v>84</v>
      </c>
      <c r="G8">
        <v>5939</v>
      </c>
      <c r="H8">
        <v>1</v>
      </c>
      <c r="I8">
        <v>1.7248489776951701</v>
      </c>
      <c r="J8">
        <v>-2495.8000000000002</v>
      </c>
      <c r="O8" t="s">
        <v>44</v>
      </c>
      <c r="P8" t="s">
        <v>43</v>
      </c>
      <c r="Q8" t="s">
        <v>0</v>
      </c>
      <c r="R8" t="s">
        <v>53</v>
      </c>
      <c r="S8">
        <v>2024.47</v>
      </c>
      <c r="T8">
        <v>1510.18</v>
      </c>
      <c r="U8">
        <v>0</v>
      </c>
      <c r="V8">
        <v>656.6</v>
      </c>
      <c r="AA8" s="29" t="s">
        <v>43</v>
      </c>
      <c r="AB8">
        <v>31199</v>
      </c>
      <c r="AC8">
        <v>10</v>
      </c>
      <c r="AD8">
        <v>3</v>
      </c>
      <c r="AE8">
        <v>32839.379999999997</v>
      </c>
      <c r="AF8">
        <v>32839.379999999997</v>
      </c>
      <c r="AG8" s="29" t="s">
        <v>140</v>
      </c>
      <c r="AH8" s="29" t="s">
        <v>148</v>
      </c>
      <c r="AI8" s="29" t="s">
        <v>149</v>
      </c>
      <c r="AJ8" s="29"/>
      <c r="AL8" s="29" t="s">
        <v>141</v>
      </c>
    </row>
    <row r="9" spans="2:38">
      <c r="C9" t="s">
        <v>54</v>
      </c>
      <c r="D9" t="s">
        <v>44</v>
      </c>
      <c r="E9" t="s">
        <v>43</v>
      </c>
      <c r="F9" t="s">
        <v>85</v>
      </c>
      <c r="G9">
        <v>0</v>
      </c>
      <c r="H9">
        <v>1</v>
      </c>
      <c r="I9">
        <v>0</v>
      </c>
      <c r="J9">
        <v>-6208.0285999999996</v>
      </c>
      <c r="O9" t="s">
        <v>44</v>
      </c>
      <c r="P9" t="s">
        <v>43</v>
      </c>
      <c r="Q9" t="s">
        <v>0</v>
      </c>
      <c r="R9" t="s">
        <v>53</v>
      </c>
      <c r="S9">
        <v>2024.48</v>
      </c>
      <c r="T9">
        <v>1510.18</v>
      </c>
      <c r="U9">
        <v>0</v>
      </c>
      <c r="V9">
        <v>656.6</v>
      </c>
      <c r="AA9" s="29" t="s">
        <v>43</v>
      </c>
      <c r="AB9">
        <v>31199</v>
      </c>
      <c r="AC9">
        <v>10</v>
      </c>
      <c r="AD9">
        <v>3</v>
      </c>
      <c r="AE9">
        <v>72</v>
      </c>
      <c r="AF9">
        <v>72</v>
      </c>
      <c r="AG9" s="29" t="s">
        <v>140</v>
      </c>
      <c r="AH9" s="29" t="s">
        <v>150</v>
      </c>
      <c r="AI9" s="29" t="s">
        <v>151</v>
      </c>
      <c r="AJ9" s="29"/>
      <c r="AL9" s="29" t="s">
        <v>141</v>
      </c>
    </row>
    <row r="10" spans="2:38">
      <c r="C10" t="s">
        <v>56</v>
      </c>
      <c r="D10" t="s">
        <v>44</v>
      </c>
      <c r="E10" t="s">
        <v>43</v>
      </c>
      <c r="F10" t="s">
        <v>84</v>
      </c>
      <c r="G10">
        <v>1530.73</v>
      </c>
      <c r="H10">
        <v>1</v>
      </c>
      <c r="I10">
        <v>1</v>
      </c>
      <c r="J10">
        <v>0</v>
      </c>
      <c r="O10" t="s">
        <v>44</v>
      </c>
      <c r="P10" t="s">
        <v>43</v>
      </c>
      <c r="Q10" t="s">
        <v>0</v>
      </c>
      <c r="R10" t="s">
        <v>53</v>
      </c>
      <c r="S10">
        <v>2024.49</v>
      </c>
      <c r="T10">
        <v>1510.18</v>
      </c>
      <c r="U10">
        <v>0</v>
      </c>
      <c r="V10">
        <v>656.6</v>
      </c>
      <c r="AA10" s="29" t="s">
        <v>43</v>
      </c>
      <c r="AB10">
        <v>31199</v>
      </c>
      <c r="AC10">
        <v>10</v>
      </c>
      <c r="AD10">
        <v>3</v>
      </c>
      <c r="AE10">
        <v>19973.439999999999</v>
      </c>
      <c r="AF10">
        <v>19973.439999999999</v>
      </c>
      <c r="AG10" s="29" t="s">
        <v>140</v>
      </c>
      <c r="AH10" s="29" t="s">
        <v>152</v>
      </c>
      <c r="AI10" s="29" t="s">
        <v>153</v>
      </c>
      <c r="AJ10" s="29"/>
      <c r="AL10" s="29" t="s">
        <v>141</v>
      </c>
    </row>
    <row r="11" spans="2:38">
      <c r="C11" t="s">
        <v>56</v>
      </c>
      <c r="D11" t="s">
        <v>44</v>
      </c>
      <c r="E11" t="s">
        <v>43</v>
      </c>
      <c r="F11" t="s">
        <v>86</v>
      </c>
      <c r="G11">
        <v>2736</v>
      </c>
      <c r="H11">
        <v>1</v>
      </c>
      <c r="I11">
        <v>1</v>
      </c>
      <c r="J11">
        <v>0</v>
      </c>
      <c r="O11" t="s">
        <v>44</v>
      </c>
      <c r="P11" t="s">
        <v>43</v>
      </c>
      <c r="Q11" t="s">
        <v>0</v>
      </c>
      <c r="R11" t="s">
        <v>53</v>
      </c>
      <c r="S11">
        <v>2024.52</v>
      </c>
      <c r="T11">
        <v>1510.18</v>
      </c>
      <c r="U11">
        <v>0</v>
      </c>
      <c r="V11">
        <v>656.6</v>
      </c>
      <c r="AA11" s="29" t="s">
        <v>43</v>
      </c>
      <c r="AB11">
        <v>31199</v>
      </c>
      <c r="AC11">
        <v>10</v>
      </c>
      <c r="AD11">
        <v>3</v>
      </c>
      <c r="AE11">
        <v>1260</v>
      </c>
      <c r="AF11">
        <v>1260</v>
      </c>
      <c r="AG11" s="29" t="s">
        <v>140</v>
      </c>
      <c r="AH11" s="29" t="s">
        <v>154</v>
      </c>
      <c r="AI11" s="29" t="s">
        <v>155</v>
      </c>
      <c r="AJ11" s="29"/>
      <c r="AL11" s="29" t="s">
        <v>141</v>
      </c>
    </row>
    <row r="12" spans="2:38">
      <c r="C12" t="s">
        <v>56</v>
      </c>
      <c r="D12" t="s">
        <v>44</v>
      </c>
      <c r="E12" t="s">
        <v>43</v>
      </c>
      <c r="F12" t="s">
        <v>87</v>
      </c>
      <c r="G12">
        <v>302.24</v>
      </c>
      <c r="H12">
        <v>1</v>
      </c>
      <c r="I12">
        <v>1</v>
      </c>
      <c r="J12">
        <v>0</v>
      </c>
      <c r="O12" t="s">
        <v>44</v>
      </c>
      <c r="P12" t="s">
        <v>43</v>
      </c>
      <c r="Q12" t="s">
        <v>0</v>
      </c>
      <c r="R12" t="s">
        <v>53</v>
      </c>
      <c r="S12">
        <v>2025.03</v>
      </c>
      <c r="T12">
        <v>1510.18</v>
      </c>
      <c r="U12">
        <v>0</v>
      </c>
      <c r="V12">
        <v>656.6</v>
      </c>
      <c r="AA12" s="29" t="s">
        <v>43</v>
      </c>
      <c r="AB12">
        <v>31199</v>
      </c>
      <c r="AC12">
        <v>10</v>
      </c>
      <c r="AD12">
        <v>3</v>
      </c>
      <c r="AE12">
        <v>1260</v>
      </c>
      <c r="AF12">
        <v>1260</v>
      </c>
      <c r="AG12" s="29" t="s">
        <v>140</v>
      </c>
      <c r="AH12" s="29" t="s">
        <v>154</v>
      </c>
      <c r="AI12" s="29" t="s">
        <v>155</v>
      </c>
      <c r="AJ12" s="29"/>
      <c r="AL12" s="29" t="s">
        <v>141</v>
      </c>
    </row>
    <row r="13" spans="2:38">
      <c r="C13" t="s">
        <v>56</v>
      </c>
      <c r="D13" t="s">
        <v>44</v>
      </c>
      <c r="E13" t="s">
        <v>43</v>
      </c>
      <c r="F13" t="s">
        <v>88</v>
      </c>
      <c r="G13">
        <v>1218</v>
      </c>
      <c r="H13">
        <v>1</v>
      </c>
      <c r="I13">
        <v>1</v>
      </c>
      <c r="J13">
        <v>0</v>
      </c>
      <c r="O13" t="s">
        <v>44</v>
      </c>
      <c r="P13" t="s">
        <v>43</v>
      </c>
      <c r="Q13" t="s">
        <v>0</v>
      </c>
      <c r="R13" t="s">
        <v>53</v>
      </c>
      <c r="S13">
        <v>2025.12</v>
      </c>
      <c r="T13">
        <v>1510.18</v>
      </c>
      <c r="U13">
        <v>0</v>
      </c>
      <c r="V13">
        <v>656.6</v>
      </c>
      <c r="AA13" s="29" t="s">
        <v>43</v>
      </c>
      <c r="AB13">
        <v>31199</v>
      </c>
      <c r="AC13">
        <v>10</v>
      </c>
      <c r="AD13">
        <v>3</v>
      </c>
      <c r="AE13">
        <v>1260</v>
      </c>
      <c r="AF13">
        <v>1260</v>
      </c>
      <c r="AG13" s="29" t="s">
        <v>140</v>
      </c>
      <c r="AH13" s="29" t="s">
        <v>154</v>
      </c>
      <c r="AI13" s="29" t="s">
        <v>155</v>
      </c>
      <c r="AJ13" s="29"/>
      <c r="AL13" s="29" t="s">
        <v>141</v>
      </c>
    </row>
    <row r="14" spans="2:38">
      <c r="C14" t="s">
        <v>56</v>
      </c>
      <c r="D14" t="s">
        <v>44</v>
      </c>
      <c r="E14" t="s">
        <v>43</v>
      </c>
      <c r="F14" t="s">
        <v>82</v>
      </c>
      <c r="G14">
        <v>613.75</v>
      </c>
      <c r="H14">
        <v>1</v>
      </c>
      <c r="I14">
        <v>1</v>
      </c>
      <c r="J14">
        <v>0</v>
      </c>
      <c r="O14" t="s">
        <v>44</v>
      </c>
      <c r="P14" t="s">
        <v>43</v>
      </c>
      <c r="Q14" t="s">
        <v>0</v>
      </c>
      <c r="R14" t="s">
        <v>54</v>
      </c>
      <c r="S14">
        <v>2024.41</v>
      </c>
      <c r="T14">
        <v>3443.2</v>
      </c>
      <c r="U14">
        <v>0</v>
      </c>
      <c r="V14">
        <v>0</v>
      </c>
      <c r="AA14" s="29" t="s">
        <v>43</v>
      </c>
      <c r="AB14">
        <v>31199</v>
      </c>
      <c r="AC14">
        <v>10</v>
      </c>
      <c r="AD14">
        <v>3</v>
      </c>
      <c r="AE14">
        <v>1890</v>
      </c>
      <c r="AF14">
        <v>1890</v>
      </c>
      <c r="AG14" s="29" t="s">
        <v>140</v>
      </c>
      <c r="AH14" s="29" t="s">
        <v>156</v>
      </c>
      <c r="AI14" s="29" t="s">
        <v>157</v>
      </c>
      <c r="AJ14" s="29"/>
      <c r="AL14" s="29" t="s">
        <v>141</v>
      </c>
    </row>
    <row r="15" spans="2:38">
      <c r="C15" t="s">
        <v>56</v>
      </c>
      <c r="D15" t="s">
        <v>44</v>
      </c>
      <c r="E15" t="s">
        <v>43</v>
      </c>
      <c r="F15" t="s">
        <v>89</v>
      </c>
      <c r="G15">
        <v>24475.68</v>
      </c>
      <c r="H15">
        <v>0.80245706739562905</v>
      </c>
      <c r="I15">
        <v>0.99999999591431199</v>
      </c>
      <c r="J15">
        <v>1E-4</v>
      </c>
      <c r="O15" t="s">
        <v>44</v>
      </c>
      <c r="P15" t="s">
        <v>43</v>
      </c>
      <c r="Q15" t="s">
        <v>0</v>
      </c>
      <c r="R15" t="s">
        <v>54</v>
      </c>
      <c r="S15">
        <v>2024.43</v>
      </c>
      <c r="T15">
        <v>3443.2</v>
      </c>
      <c r="U15">
        <v>0</v>
      </c>
      <c r="V15">
        <v>0</v>
      </c>
      <c r="AA15" s="29" t="s">
        <v>43</v>
      </c>
      <c r="AB15">
        <v>31199</v>
      </c>
      <c r="AC15">
        <v>10</v>
      </c>
      <c r="AD15">
        <v>3</v>
      </c>
      <c r="AE15">
        <v>630</v>
      </c>
      <c r="AF15">
        <v>630</v>
      </c>
      <c r="AG15" s="29" t="s">
        <v>140</v>
      </c>
      <c r="AH15" s="29" t="s">
        <v>158</v>
      </c>
      <c r="AI15" s="29" t="s">
        <v>159</v>
      </c>
      <c r="AJ15" s="29"/>
      <c r="AL15" s="29" t="s">
        <v>141</v>
      </c>
    </row>
    <row r="16" spans="2:38">
      <c r="C16" t="s">
        <v>55</v>
      </c>
      <c r="D16" t="s">
        <v>44</v>
      </c>
      <c r="E16" t="s">
        <v>43</v>
      </c>
      <c r="F16" t="s">
        <v>84</v>
      </c>
      <c r="G16">
        <v>78.55</v>
      </c>
      <c r="H16">
        <v>1</v>
      </c>
      <c r="I16">
        <v>1</v>
      </c>
      <c r="J16">
        <v>0</v>
      </c>
      <c r="O16" t="s">
        <v>44</v>
      </c>
      <c r="P16" t="s">
        <v>43</v>
      </c>
      <c r="Q16" t="s">
        <v>0</v>
      </c>
      <c r="R16" t="s">
        <v>54</v>
      </c>
      <c r="S16">
        <v>2024.44</v>
      </c>
      <c r="T16">
        <v>3443.2</v>
      </c>
      <c r="U16">
        <v>0</v>
      </c>
      <c r="V16">
        <v>3443.2</v>
      </c>
      <c r="AA16" s="29" t="s">
        <v>43</v>
      </c>
      <c r="AB16">
        <v>31199</v>
      </c>
      <c r="AC16">
        <v>20</v>
      </c>
      <c r="AD16">
        <v>1</v>
      </c>
      <c r="AE16">
        <v>0</v>
      </c>
      <c r="AF16">
        <v>0</v>
      </c>
      <c r="AG16" s="29" t="s">
        <v>160</v>
      </c>
      <c r="AH16" s="29"/>
      <c r="AI16" s="29"/>
      <c r="AJ16" s="29"/>
      <c r="AL16" s="29" t="s">
        <v>161</v>
      </c>
    </row>
    <row r="17" spans="3:38">
      <c r="C17" t="s">
        <v>55</v>
      </c>
      <c r="D17" t="s">
        <v>44</v>
      </c>
      <c r="E17" t="s">
        <v>43</v>
      </c>
      <c r="F17" t="s">
        <v>81</v>
      </c>
      <c r="G17">
        <v>0</v>
      </c>
      <c r="H17">
        <v>0</v>
      </c>
      <c r="I17">
        <v>0</v>
      </c>
      <c r="J17">
        <v>0</v>
      </c>
      <c r="O17" t="s">
        <v>44</v>
      </c>
      <c r="P17" t="s">
        <v>43</v>
      </c>
      <c r="Q17" t="s">
        <v>0</v>
      </c>
      <c r="R17" t="s">
        <v>54</v>
      </c>
      <c r="S17">
        <v>2024.45</v>
      </c>
      <c r="T17">
        <v>3443.2</v>
      </c>
      <c r="U17">
        <v>0</v>
      </c>
      <c r="V17">
        <v>3443.2</v>
      </c>
      <c r="AA17" s="29" t="s">
        <v>43</v>
      </c>
      <c r="AB17">
        <v>31199</v>
      </c>
      <c r="AC17">
        <v>20</v>
      </c>
      <c r="AD17">
        <v>3</v>
      </c>
      <c r="AE17">
        <v>10563.68</v>
      </c>
      <c r="AF17">
        <v>10563.68</v>
      </c>
      <c r="AG17" s="29" t="s">
        <v>160</v>
      </c>
      <c r="AH17" s="29" t="s">
        <v>162</v>
      </c>
      <c r="AI17" s="29" t="s">
        <v>163</v>
      </c>
      <c r="AJ17" s="29"/>
      <c r="AL17" s="29" t="s">
        <v>161</v>
      </c>
    </row>
    <row r="18" spans="3:38">
      <c r="C18" t="s">
        <v>62</v>
      </c>
      <c r="D18" t="s">
        <v>44</v>
      </c>
      <c r="E18" t="s">
        <v>43</v>
      </c>
      <c r="F18" t="s">
        <v>90</v>
      </c>
      <c r="G18">
        <v>23163.759999999998</v>
      </c>
      <c r="H18">
        <v>1</v>
      </c>
      <c r="I18">
        <v>1.0846747644130299</v>
      </c>
      <c r="J18">
        <v>-1808.271</v>
      </c>
      <c r="O18" t="s">
        <v>44</v>
      </c>
      <c r="P18" t="s">
        <v>43</v>
      </c>
      <c r="Q18" t="s">
        <v>0</v>
      </c>
      <c r="R18" t="s">
        <v>54</v>
      </c>
      <c r="S18">
        <v>2024.47</v>
      </c>
      <c r="T18">
        <v>5939</v>
      </c>
      <c r="U18">
        <v>0</v>
      </c>
      <c r="V18">
        <v>3443.2</v>
      </c>
      <c r="AA18" s="29" t="s">
        <v>43</v>
      </c>
      <c r="AB18">
        <v>31199</v>
      </c>
      <c r="AC18">
        <v>20</v>
      </c>
      <c r="AD18">
        <v>3</v>
      </c>
      <c r="AE18">
        <v>6012.84</v>
      </c>
      <c r="AF18">
        <v>6012.84</v>
      </c>
      <c r="AG18" s="29" t="s">
        <v>160</v>
      </c>
      <c r="AH18" s="29" t="s">
        <v>164</v>
      </c>
      <c r="AI18" s="29" t="s">
        <v>165</v>
      </c>
      <c r="AJ18" s="29"/>
      <c r="AL18" s="29" t="s">
        <v>161</v>
      </c>
    </row>
    <row r="19" spans="3:38">
      <c r="C19" t="s">
        <v>55</v>
      </c>
      <c r="D19" t="s">
        <v>44</v>
      </c>
      <c r="E19" t="s">
        <v>43</v>
      </c>
      <c r="F19" t="s">
        <v>82</v>
      </c>
      <c r="G19">
        <v>10252.64</v>
      </c>
      <c r="H19">
        <v>1</v>
      </c>
      <c r="I19">
        <v>1.1108000468040999</v>
      </c>
      <c r="J19">
        <v>-1022.68</v>
      </c>
      <c r="O19" t="s">
        <v>44</v>
      </c>
      <c r="P19" t="s">
        <v>43</v>
      </c>
      <c r="Q19" t="s">
        <v>0</v>
      </c>
      <c r="R19" t="s">
        <v>54</v>
      </c>
      <c r="S19">
        <v>2024.48</v>
      </c>
      <c r="T19">
        <v>5939</v>
      </c>
      <c r="U19">
        <v>0</v>
      </c>
      <c r="V19">
        <v>3443.2</v>
      </c>
      <c r="AA19" s="29" t="s">
        <v>43</v>
      </c>
      <c r="AB19">
        <v>31199</v>
      </c>
      <c r="AC19">
        <v>30</v>
      </c>
      <c r="AD19">
        <v>1</v>
      </c>
      <c r="AE19">
        <v>0</v>
      </c>
      <c r="AF19">
        <v>0</v>
      </c>
      <c r="AG19" s="29" t="s">
        <v>166</v>
      </c>
      <c r="AH19" s="29"/>
      <c r="AI19" s="29"/>
      <c r="AJ19" s="29"/>
      <c r="AL19" s="29" t="s">
        <v>167</v>
      </c>
    </row>
    <row r="20" spans="3:38">
      <c r="C20" t="s">
        <v>91</v>
      </c>
      <c r="D20" t="s">
        <v>44</v>
      </c>
      <c r="E20" t="s">
        <v>43</v>
      </c>
      <c r="F20" t="s">
        <v>81</v>
      </c>
      <c r="G20">
        <v>5099.92</v>
      </c>
      <c r="H20">
        <v>1</v>
      </c>
      <c r="I20">
        <v>1</v>
      </c>
      <c r="J20">
        <v>0</v>
      </c>
      <c r="O20" t="s">
        <v>44</v>
      </c>
      <c r="P20" t="s">
        <v>43</v>
      </c>
      <c r="Q20" t="s">
        <v>0</v>
      </c>
      <c r="R20" t="s">
        <v>54</v>
      </c>
      <c r="S20">
        <v>2024.49</v>
      </c>
      <c r="T20">
        <v>5939</v>
      </c>
      <c r="U20">
        <v>0</v>
      </c>
      <c r="V20">
        <v>3443.2</v>
      </c>
      <c r="AA20" s="29" t="s">
        <v>43</v>
      </c>
      <c r="AB20">
        <v>31199</v>
      </c>
      <c r="AC20">
        <v>30</v>
      </c>
      <c r="AD20">
        <v>3</v>
      </c>
      <c r="AE20">
        <v>36.619999999999997</v>
      </c>
      <c r="AF20">
        <v>36.619999999999997</v>
      </c>
      <c r="AG20" s="29" t="s">
        <v>166</v>
      </c>
      <c r="AH20" s="29" t="s">
        <v>168</v>
      </c>
      <c r="AI20" s="29" t="s">
        <v>169</v>
      </c>
      <c r="AJ20" s="29"/>
      <c r="AL20" s="29" t="s">
        <v>167</v>
      </c>
    </row>
    <row r="21" spans="3:38">
      <c r="C21" t="s">
        <v>91</v>
      </c>
      <c r="D21" t="s">
        <v>44</v>
      </c>
      <c r="E21" t="s">
        <v>43</v>
      </c>
      <c r="F21" t="s">
        <v>83</v>
      </c>
      <c r="G21">
        <v>31240.48</v>
      </c>
      <c r="H21">
        <v>0.68007466929214999</v>
      </c>
      <c r="I21">
        <v>1.01218826040426</v>
      </c>
      <c r="J21">
        <v>-376.18209999999999</v>
      </c>
      <c r="O21" t="s">
        <v>44</v>
      </c>
      <c r="P21" t="s">
        <v>43</v>
      </c>
      <c r="Q21" t="s">
        <v>0</v>
      </c>
      <c r="R21" t="s">
        <v>54</v>
      </c>
      <c r="S21">
        <v>2023.51</v>
      </c>
      <c r="T21">
        <v>2446</v>
      </c>
      <c r="U21">
        <v>0</v>
      </c>
      <c r="V21">
        <v>3443.2</v>
      </c>
      <c r="AA21" s="29" t="s">
        <v>43</v>
      </c>
      <c r="AB21">
        <v>31199</v>
      </c>
      <c r="AC21">
        <v>30</v>
      </c>
      <c r="AD21">
        <v>3</v>
      </c>
      <c r="AE21">
        <v>23163.759999999998</v>
      </c>
      <c r="AF21">
        <v>23163.759999999998</v>
      </c>
      <c r="AG21" s="29" t="s">
        <v>166</v>
      </c>
      <c r="AH21" s="29" t="s">
        <v>170</v>
      </c>
      <c r="AI21" s="29" t="s">
        <v>171</v>
      </c>
      <c r="AJ21" s="29"/>
      <c r="AL21" s="29" t="s">
        <v>167</v>
      </c>
    </row>
    <row r="22" spans="3:38">
      <c r="C22" t="s">
        <v>92</v>
      </c>
      <c r="D22" t="s">
        <v>44</v>
      </c>
      <c r="E22" t="s">
        <v>43</v>
      </c>
      <c r="F22" t="s">
        <v>93</v>
      </c>
      <c r="G22">
        <v>3181.54</v>
      </c>
      <c r="H22">
        <v>1</v>
      </c>
      <c r="I22">
        <v>1</v>
      </c>
      <c r="J22">
        <v>0</v>
      </c>
      <c r="O22" t="s">
        <v>44</v>
      </c>
      <c r="P22" t="s">
        <v>43</v>
      </c>
      <c r="Q22" t="s">
        <v>0</v>
      </c>
      <c r="R22" t="s">
        <v>54</v>
      </c>
      <c r="S22">
        <v>2024.52</v>
      </c>
      <c r="T22">
        <v>5939</v>
      </c>
      <c r="U22">
        <v>0</v>
      </c>
      <c r="V22">
        <v>3443.2</v>
      </c>
      <c r="AA22" s="29" t="s">
        <v>43</v>
      </c>
      <c r="AB22">
        <v>31199</v>
      </c>
      <c r="AC22">
        <v>40</v>
      </c>
      <c r="AD22">
        <v>1</v>
      </c>
      <c r="AE22">
        <v>0</v>
      </c>
      <c r="AF22">
        <v>0</v>
      </c>
      <c r="AG22" s="29" t="s">
        <v>172</v>
      </c>
      <c r="AH22" s="29"/>
      <c r="AI22" s="29"/>
      <c r="AJ22" s="29"/>
      <c r="AL22" s="29" t="s">
        <v>173</v>
      </c>
    </row>
    <row r="23" spans="3:38">
      <c r="C23" t="s">
        <v>92</v>
      </c>
      <c r="D23" t="s">
        <v>44</v>
      </c>
      <c r="E23" t="s">
        <v>43</v>
      </c>
      <c r="F23" t="s">
        <v>89</v>
      </c>
      <c r="G23">
        <v>961.55</v>
      </c>
      <c r="H23">
        <v>1</v>
      </c>
      <c r="I23">
        <v>1</v>
      </c>
      <c r="J23">
        <v>0</v>
      </c>
      <c r="O23" t="s">
        <v>44</v>
      </c>
      <c r="P23" t="s">
        <v>43</v>
      </c>
      <c r="Q23" t="s">
        <v>0</v>
      </c>
      <c r="R23" t="s">
        <v>54</v>
      </c>
      <c r="S23">
        <v>2025.03</v>
      </c>
      <c r="T23">
        <v>5939</v>
      </c>
      <c r="U23">
        <v>0</v>
      </c>
      <c r="V23">
        <v>3443.2</v>
      </c>
      <c r="AA23" s="29" t="s">
        <v>43</v>
      </c>
      <c r="AB23">
        <v>31199</v>
      </c>
      <c r="AC23">
        <v>40</v>
      </c>
      <c r="AD23">
        <v>3</v>
      </c>
      <c r="AE23">
        <v>9481.7999999999993</v>
      </c>
      <c r="AF23">
        <v>9481.7999999999993</v>
      </c>
      <c r="AG23" s="29" t="s">
        <v>172</v>
      </c>
      <c r="AH23" s="29" t="s">
        <v>174</v>
      </c>
      <c r="AI23" s="29" t="s">
        <v>175</v>
      </c>
      <c r="AJ23" s="29"/>
      <c r="AL23" s="29" t="s">
        <v>173</v>
      </c>
    </row>
    <row r="24" spans="3:38">
      <c r="C24" t="s">
        <v>92</v>
      </c>
      <c r="D24" t="s">
        <v>44</v>
      </c>
      <c r="E24" t="s">
        <v>43</v>
      </c>
      <c r="F24" t="s">
        <v>83</v>
      </c>
      <c r="G24">
        <v>269.70999999999998</v>
      </c>
      <c r="H24">
        <v>1</v>
      </c>
      <c r="I24">
        <v>1</v>
      </c>
      <c r="J24">
        <v>0</v>
      </c>
      <c r="O24" t="s">
        <v>44</v>
      </c>
      <c r="P24" t="s">
        <v>43</v>
      </c>
      <c r="Q24" t="s">
        <v>0</v>
      </c>
      <c r="R24" t="s">
        <v>54</v>
      </c>
      <c r="S24">
        <v>2025.12</v>
      </c>
      <c r="T24">
        <v>5939</v>
      </c>
      <c r="U24">
        <v>0</v>
      </c>
      <c r="V24">
        <v>3443.2</v>
      </c>
      <c r="AA24" s="29" t="s">
        <v>43</v>
      </c>
      <c r="AB24">
        <v>31199</v>
      </c>
      <c r="AC24">
        <v>40</v>
      </c>
      <c r="AD24">
        <v>3</v>
      </c>
      <c r="AE24">
        <v>6321.2</v>
      </c>
      <c r="AF24">
        <v>6321.2</v>
      </c>
      <c r="AG24" s="29" t="s">
        <v>172</v>
      </c>
      <c r="AH24" s="29" t="s">
        <v>176</v>
      </c>
      <c r="AI24" s="29" t="s">
        <v>177</v>
      </c>
      <c r="AJ24" s="29"/>
      <c r="AL24" s="29" t="s">
        <v>173</v>
      </c>
    </row>
    <row r="25" spans="3:38">
      <c r="C25" t="s">
        <v>92</v>
      </c>
      <c r="D25" t="s">
        <v>44</v>
      </c>
      <c r="E25" t="s">
        <v>43</v>
      </c>
      <c r="F25" t="s">
        <v>82</v>
      </c>
      <c r="G25">
        <v>65596.86</v>
      </c>
      <c r="H25">
        <v>0.43601112006498099</v>
      </c>
      <c r="I25">
        <v>1.11732784305747</v>
      </c>
      <c r="J25">
        <v>-6888.1646000000001</v>
      </c>
      <c r="O25" t="s">
        <v>44</v>
      </c>
      <c r="P25" t="s">
        <v>43</v>
      </c>
      <c r="Q25" t="s">
        <v>0</v>
      </c>
      <c r="R25" t="s">
        <v>54</v>
      </c>
      <c r="S25">
        <v>2024.06</v>
      </c>
      <c r="T25">
        <v>3443.2</v>
      </c>
      <c r="U25">
        <v>0</v>
      </c>
      <c r="V25">
        <v>3443.2</v>
      </c>
      <c r="AA25" s="29" t="s">
        <v>43</v>
      </c>
      <c r="AB25">
        <v>31199</v>
      </c>
      <c r="AC25">
        <v>40</v>
      </c>
      <c r="AD25">
        <v>3</v>
      </c>
      <c r="AE25">
        <v>6321.2</v>
      </c>
      <c r="AF25">
        <v>6321.2</v>
      </c>
      <c r="AG25" s="29" t="s">
        <v>172</v>
      </c>
      <c r="AH25" s="29" t="s">
        <v>176</v>
      </c>
      <c r="AI25" s="29" t="s">
        <v>177</v>
      </c>
      <c r="AJ25" s="29"/>
      <c r="AL25" s="29" t="s">
        <v>173</v>
      </c>
    </row>
    <row r="26" spans="3:38">
      <c r="C26" t="s">
        <v>94</v>
      </c>
      <c r="D26" t="s">
        <v>44</v>
      </c>
      <c r="E26" t="s">
        <v>43</v>
      </c>
      <c r="F26" t="s">
        <v>83</v>
      </c>
      <c r="G26">
        <v>22813.35</v>
      </c>
      <c r="H26">
        <v>0.33621833706530002</v>
      </c>
      <c r="I26">
        <v>1</v>
      </c>
      <c r="J26">
        <v>0</v>
      </c>
      <c r="O26" t="s">
        <v>44</v>
      </c>
      <c r="P26" t="s">
        <v>43</v>
      </c>
      <c r="Q26" t="s">
        <v>0</v>
      </c>
      <c r="R26" t="s">
        <v>54</v>
      </c>
      <c r="S26">
        <v>2024.07</v>
      </c>
      <c r="T26">
        <v>3443.2</v>
      </c>
      <c r="U26">
        <v>0</v>
      </c>
      <c r="V26">
        <v>3443.2</v>
      </c>
      <c r="AA26" s="29" t="s">
        <v>43</v>
      </c>
      <c r="AB26">
        <v>31199</v>
      </c>
      <c r="AC26">
        <v>40</v>
      </c>
      <c r="AD26">
        <v>3</v>
      </c>
      <c r="AE26">
        <v>6321.2</v>
      </c>
      <c r="AF26">
        <v>6321.2</v>
      </c>
      <c r="AG26" s="29" t="s">
        <v>172</v>
      </c>
      <c r="AH26" s="29" t="s">
        <v>176</v>
      </c>
      <c r="AI26" s="29" t="s">
        <v>177</v>
      </c>
      <c r="AJ26" s="29"/>
      <c r="AL26" s="29" t="s">
        <v>173</v>
      </c>
    </row>
    <row r="27" spans="3:38">
      <c r="C27" t="s">
        <v>95</v>
      </c>
      <c r="D27" t="s">
        <v>44</v>
      </c>
      <c r="E27" t="s">
        <v>43</v>
      </c>
      <c r="F27" t="s">
        <v>83</v>
      </c>
      <c r="G27">
        <v>23483.86</v>
      </c>
      <c r="H27">
        <v>0.39822296537722301</v>
      </c>
      <c r="I27">
        <v>1</v>
      </c>
      <c r="J27">
        <v>0</v>
      </c>
      <c r="O27" t="s">
        <v>44</v>
      </c>
      <c r="P27" t="s">
        <v>43</v>
      </c>
      <c r="Q27" t="s">
        <v>0</v>
      </c>
      <c r="R27" t="s">
        <v>54</v>
      </c>
      <c r="S27">
        <v>2024.08</v>
      </c>
      <c r="T27">
        <v>3443.2</v>
      </c>
      <c r="U27">
        <v>0</v>
      </c>
      <c r="V27">
        <v>3443.2</v>
      </c>
      <c r="AA27" s="29" t="s">
        <v>43</v>
      </c>
      <c r="AB27">
        <v>31199</v>
      </c>
      <c r="AC27">
        <v>40</v>
      </c>
      <c r="AD27">
        <v>3</v>
      </c>
      <c r="AE27">
        <v>3160.6</v>
      </c>
      <c r="AF27">
        <v>3160.6</v>
      </c>
      <c r="AG27" s="29" t="s">
        <v>172</v>
      </c>
      <c r="AH27" s="29" t="s">
        <v>178</v>
      </c>
      <c r="AI27" s="29" t="s">
        <v>179</v>
      </c>
      <c r="AJ27" s="29"/>
      <c r="AL27" s="29" t="s">
        <v>173</v>
      </c>
    </row>
    <row r="28" spans="3:38">
      <c r="C28" t="s">
        <v>95</v>
      </c>
      <c r="D28" t="s">
        <v>44</v>
      </c>
      <c r="E28" t="s">
        <v>43</v>
      </c>
      <c r="F28" t="s">
        <v>93</v>
      </c>
      <c r="G28">
        <v>22.8</v>
      </c>
      <c r="H28">
        <v>0</v>
      </c>
      <c r="I28">
        <v>1</v>
      </c>
      <c r="J28">
        <v>-22.8</v>
      </c>
      <c r="O28" t="s">
        <v>44</v>
      </c>
      <c r="P28" t="s">
        <v>43</v>
      </c>
      <c r="Q28" t="s">
        <v>0</v>
      </c>
      <c r="R28" t="s">
        <v>54</v>
      </c>
      <c r="S28">
        <v>2024.09</v>
      </c>
      <c r="T28">
        <v>3443.2</v>
      </c>
      <c r="U28">
        <v>0</v>
      </c>
      <c r="V28">
        <v>3443.2</v>
      </c>
      <c r="AA28" s="29" t="s">
        <v>43</v>
      </c>
      <c r="AB28">
        <v>31199</v>
      </c>
      <c r="AC28">
        <v>40</v>
      </c>
      <c r="AD28">
        <v>3</v>
      </c>
      <c r="AE28">
        <v>160</v>
      </c>
      <c r="AF28">
        <v>160</v>
      </c>
      <c r="AG28" s="29" t="s">
        <v>172</v>
      </c>
      <c r="AH28" s="29" t="s">
        <v>180</v>
      </c>
      <c r="AI28" s="29" t="s">
        <v>181</v>
      </c>
      <c r="AJ28" s="29"/>
      <c r="AL28" s="29" t="s">
        <v>173</v>
      </c>
    </row>
    <row r="29" spans="3:38">
      <c r="C29" t="s">
        <v>96</v>
      </c>
      <c r="D29" t="s">
        <v>44</v>
      </c>
      <c r="E29" t="s">
        <v>43</v>
      </c>
      <c r="F29" t="s">
        <v>97</v>
      </c>
      <c r="G29">
        <v>0</v>
      </c>
      <c r="H29">
        <v>0.129911279243732</v>
      </c>
      <c r="I29">
        <v>0</v>
      </c>
      <c r="J29">
        <v>911.9</v>
      </c>
      <c r="O29" t="s">
        <v>44</v>
      </c>
      <c r="P29" t="s">
        <v>43</v>
      </c>
      <c r="Q29" t="s">
        <v>0</v>
      </c>
      <c r="R29" t="s">
        <v>54</v>
      </c>
      <c r="S29">
        <v>2024.1</v>
      </c>
      <c r="T29">
        <v>3443.2</v>
      </c>
      <c r="U29">
        <v>0</v>
      </c>
      <c r="V29">
        <v>3443.2</v>
      </c>
      <c r="AA29" s="29" t="s">
        <v>43</v>
      </c>
      <c r="AB29">
        <v>31199</v>
      </c>
      <c r="AC29">
        <v>40</v>
      </c>
      <c r="AD29">
        <v>3</v>
      </c>
      <c r="AE29">
        <v>4152.1899999999996</v>
      </c>
      <c r="AF29">
        <v>4152.1899999999996</v>
      </c>
      <c r="AG29" s="29" t="s">
        <v>172</v>
      </c>
      <c r="AH29" s="29" t="s">
        <v>182</v>
      </c>
      <c r="AI29" s="29" t="s">
        <v>183</v>
      </c>
      <c r="AJ29" s="29"/>
      <c r="AL29" s="29" t="s">
        <v>173</v>
      </c>
    </row>
    <row r="30" spans="3:38">
      <c r="C30" t="s">
        <v>96</v>
      </c>
      <c r="D30" t="s">
        <v>44</v>
      </c>
      <c r="E30" t="s">
        <v>43</v>
      </c>
      <c r="F30" t="s">
        <v>98</v>
      </c>
      <c r="G30">
        <v>0</v>
      </c>
      <c r="H30">
        <v>1</v>
      </c>
      <c r="I30">
        <v>0</v>
      </c>
      <c r="J30">
        <v>770.2</v>
      </c>
      <c r="O30" t="s">
        <v>44</v>
      </c>
      <c r="P30" t="s">
        <v>43</v>
      </c>
      <c r="Q30" t="s">
        <v>0</v>
      </c>
      <c r="R30" t="s">
        <v>54</v>
      </c>
      <c r="S30">
        <v>2024.11</v>
      </c>
      <c r="T30">
        <v>3443.2</v>
      </c>
      <c r="U30">
        <v>0</v>
      </c>
      <c r="V30">
        <v>3443.2</v>
      </c>
      <c r="AA30" s="29" t="s">
        <v>43</v>
      </c>
      <c r="AB30">
        <v>31199</v>
      </c>
      <c r="AC30">
        <v>50</v>
      </c>
      <c r="AD30">
        <v>1</v>
      </c>
      <c r="AE30">
        <v>0</v>
      </c>
      <c r="AF30">
        <v>0</v>
      </c>
      <c r="AG30" s="29" t="s">
        <v>184</v>
      </c>
      <c r="AH30" s="29"/>
      <c r="AI30" s="29"/>
      <c r="AJ30" s="29"/>
      <c r="AL30" s="29" t="s">
        <v>185</v>
      </c>
    </row>
    <row r="31" spans="3:38">
      <c r="C31" t="s">
        <v>96</v>
      </c>
      <c r="D31" t="s">
        <v>44</v>
      </c>
      <c r="E31" t="s">
        <v>43</v>
      </c>
      <c r="F31" t="s">
        <v>99</v>
      </c>
      <c r="G31">
        <v>0</v>
      </c>
      <c r="H31">
        <v>1</v>
      </c>
      <c r="I31">
        <v>0</v>
      </c>
      <c r="J31">
        <v>2332.1867000000002</v>
      </c>
      <c r="O31" t="s">
        <v>44</v>
      </c>
      <c r="P31" t="s">
        <v>43</v>
      </c>
      <c r="Q31" t="s">
        <v>0</v>
      </c>
      <c r="R31" t="s">
        <v>54</v>
      </c>
      <c r="S31">
        <v>2024.14</v>
      </c>
      <c r="T31">
        <v>3443.2</v>
      </c>
      <c r="U31">
        <v>0</v>
      </c>
      <c r="V31">
        <v>3443.2</v>
      </c>
      <c r="AA31" s="29" t="s">
        <v>43</v>
      </c>
      <c r="AB31">
        <v>31199</v>
      </c>
      <c r="AC31">
        <v>50</v>
      </c>
      <c r="AD31">
        <v>3</v>
      </c>
      <c r="AE31">
        <v>1218</v>
      </c>
      <c r="AF31">
        <v>1218</v>
      </c>
      <c r="AG31" s="29" t="s">
        <v>184</v>
      </c>
      <c r="AH31" s="29" t="s">
        <v>186</v>
      </c>
      <c r="AI31" s="29" t="s">
        <v>187</v>
      </c>
      <c r="AJ31" s="29"/>
      <c r="AL31" s="29" t="s">
        <v>185</v>
      </c>
    </row>
    <row r="32" spans="3:38">
      <c r="C32" t="s">
        <v>96</v>
      </c>
      <c r="D32" t="s">
        <v>44</v>
      </c>
      <c r="E32" t="s">
        <v>43</v>
      </c>
      <c r="F32" t="s">
        <v>100</v>
      </c>
      <c r="G32">
        <v>29250.19</v>
      </c>
      <c r="H32">
        <v>0</v>
      </c>
      <c r="I32">
        <v>1</v>
      </c>
      <c r="J32">
        <v>-29250.19</v>
      </c>
      <c r="O32" t="s">
        <v>44</v>
      </c>
      <c r="P32" t="s">
        <v>43</v>
      </c>
      <c r="Q32" t="s">
        <v>0</v>
      </c>
      <c r="R32" t="s">
        <v>54</v>
      </c>
      <c r="S32">
        <v>2024.17</v>
      </c>
      <c r="T32">
        <v>3443.2</v>
      </c>
      <c r="U32">
        <v>0</v>
      </c>
      <c r="V32">
        <v>3443.2</v>
      </c>
      <c r="AA32" s="29" t="s">
        <v>43</v>
      </c>
      <c r="AB32">
        <v>31199</v>
      </c>
      <c r="AC32">
        <v>60</v>
      </c>
      <c r="AD32">
        <v>1</v>
      </c>
      <c r="AE32">
        <v>0</v>
      </c>
      <c r="AF32">
        <v>0</v>
      </c>
      <c r="AG32" s="29" t="s">
        <v>188</v>
      </c>
      <c r="AH32" s="29"/>
      <c r="AI32" s="29"/>
      <c r="AJ32" s="29"/>
      <c r="AL32" s="29" t="s">
        <v>189</v>
      </c>
    </row>
    <row r="33" spans="3:38">
      <c r="C33" t="s">
        <v>55</v>
      </c>
      <c r="D33" t="s">
        <v>44</v>
      </c>
      <c r="E33" t="s">
        <v>43</v>
      </c>
      <c r="F33" t="s">
        <v>87</v>
      </c>
      <c r="G33">
        <v>137.46</v>
      </c>
      <c r="H33">
        <v>1</v>
      </c>
      <c r="I33">
        <v>1</v>
      </c>
      <c r="J33">
        <v>0</v>
      </c>
      <c r="O33" t="s">
        <v>44</v>
      </c>
      <c r="P33" t="s">
        <v>43</v>
      </c>
      <c r="Q33" t="s">
        <v>0</v>
      </c>
      <c r="R33" t="s">
        <v>54</v>
      </c>
      <c r="S33">
        <v>2024.18</v>
      </c>
      <c r="T33">
        <v>6886.4</v>
      </c>
      <c r="U33">
        <v>0</v>
      </c>
      <c r="V33">
        <v>3443.2</v>
      </c>
      <c r="AA33" s="29" t="s">
        <v>43</v>
      </c>
      <c r="AB33">
        <v>31199</v>
      </c>
      <c r="AC33">
        <v>60</v>
      </c>
      <c r="AD33">
        <v>3</v>
      </c>
      <c r="AE33">
        <v>4059</v>
      </c>
      <c r="AF33">
        <v>4059</v>
      </c>
      <c r="AG33" s="29" t="s">
        <v>188</v>
      </c>
      <c r="AH33" s="29" t="s">
        <v>190</v>
      </c>
      <c r="AI33" s="29" t="s">
        <v>191</v>
      </c>
      <c r="AJ33" s="29"/>
      <c r="AL33" s="29" t="s">
        <v>189</v>
      </c>
    </row>
    <row r="34" spans="3:38">
      <c r="C34" t="s">
        <v>62</v>
      </c>
      <c r="D34" t="s">
        <v>44</v>
      </c>
      <c r="E34" t="s">
        <v>43</v>
      </c>
      <c r="F34" t="s">
        <v>88</v>
      </c>
      <c r="G34">
        <v>0</v>
      </c>
      <c r="H34">
        <v>0</v>
      </c>
      <c r="I34">
        <v>0</v>
      </c>
      <c r="J34">
        <v>0</v>
      </c>
      <c r="O34" t="s">
        <v>44</v>
      </c>
      <c r="P34" t="s">
        <v>43</v>
      </c>
      <c r="Q34" t="s">
        <v>0</v>
      </c>
      <c r="R34" t="s">
        <v>54</v>
      </c>
      <c r="S34">
        <v>2024.19</v>
      </c>
      <c r="T34">
        <v>3443.2</v>
      </c>
      <c r="U34">
        <v>0</v>
      </c>
      <c r="V34">
        <v>3443.2</v>
      </c>
      <c r="AA34" s="29" t="s">
        <v>43</v>
      </c>
      <c r="AB34">
        <v>31199</v>
      </c>
      <c r="AC34">
        <v>60</v>
      </c>
      <c r="AD34">
        <v>3</v>
      </c>
      <c r="AE34">
        <v>2736</v>
      </c>
      <c r="AF34">
        <v>2736</v>
      </c>
      <c r="AG34" s="29" t="s">
        <v>188</v>
      </c>
      <c r="AH34" s="29" t="s">
        <v>192</v>
      </c>
      <c r="AI34" s="29" t="s">
        <v>193</v>
      </c>
      <c r="AJ34" s="29"/>
      <c r="AL34" s="29" t="s">
        <v>189</v>
      </c>
    </row>
    <row r="35" spans="3:38">
      <c r="C35" t="s">
        <v>56</v>
      </c>
      <c r="D35" t="s">
        <v>44</v>
      </c>
      <c r="E35" t="s">
        <v>43</v>
      </c>
      <c r="F35" t="s">
        <v>83</v>
      </c>
      <c r="G35">
        <v>403.75</v>
      </c>
      <c r="H35">
        <v>1</v>
      </c>
      <c r="I35">
        <v>1</v>
      </c>
      <c r="J35">
        <v>0</v>
      </c>
      <c r="O35" t="s">
        <v>44</v>
      </c>
      <c r="P35" t="s">
        <v>43</v>
      </c>
      <c r="Q35" t="s">
        <v>0</v>
      </c>
      <c r="R35" t="s">
        <v>54</v>
      </c>
      <c r="S35">
        <v>2024.2</v>
      </c>
      <c r="T35">
        <v>3443.2</v>
      </c>
      <c r="U35">
        <v>0</v>
      </c>
      <c r="V35">
        <v>3443.2</v>
      </c>
      <c r="AA35" s="29" t="s">
        <v>43</v>
      </c>
      <c r="AB35">
        <v>31199</v>
      </c>
      <c r="AC35">
        <v>60</v>
      </c>
      <c r="AD35">
        <v>3</v>
      </c>
      <c r="AE35">
        <v>3111.2</v>
      </c>
      <c r="AF35">
        <v>3111.2</v>
      </c>
      <c r="AG35" s="29" t="s">
        <v>188</v>
      </c>
      <c r="AH35" s="29" t="s">
        <v>194</v>
      </c>
      <c r="AI35" s="29" t="s">
        <v>195</v>
      </c>
      <c r="AJ35" s="29"/>
      <c r="AL35" s="29" t="s">
        <v>189</v>
      </c>
    </row>
    <row r="36" spans="3:38">
      <c r="C36" t="s">
        <v>63</v>
      </c>
      <c r="D36" t="s">
        <v>44</v>
      </c>
      <c r="E36" t="s">
        <v>43</v>
      </c>
      <c r="F36" t="s">
        <v>86</v>
      </c>
      <c r="G36">
        <v>0</v>
      </c>
      <c r="H36">
        <v>1</v>
      </c>
      <c r="I36">
        <v>0</v>
      </c>
      <c r="J36">
        <v>-99.030799999999999</v>
      </c>
      <c r="O36" t="s">
        <v>44</v>
      </c>
      <c r="P36" t="s">
        <v>43</v>
      </c>
      <c r="Q36" t="s">
        <v>0</v>
      </c>
      <c r="R36" t="s">
        <v>54</v>
      </c>
      <c r="S36">
        <v>2024.21</v>
      </c>
      <c r="T36">
        <v>3443.2</v>
      </c>
      <c r="U36">
        <v>0</v>
      </c>
      <c r="V36">
        <v>3443.2</v>
      </c>
      <c r="AA36" s="29" t="s">
        <v>43</v>
      </c>
      <c r="AB36">
        <v>31199</v>
      </c>
      <c r="AC36">
        <v>60</v>
      </c>
      <c r="AD36">
        <v>3</v>
      </c>
      <c r="AE36">
        <v>2216.0300000000002</v>
      </c>
      <c r="AF36">
        <v>2216.0300000000002</v>
      </c>
      <c r="AG36" s="29" t="s">
        <v>188</v>
      </c>
      <c r="AH36" s="29" t="s">
        <v>196</v>
      </c>
      <c r="AI36" s="29" t="s">
        <v>197</v>
      </c>
      <c r="AJ36" s="29"/>
      <c r="AL36" s="29" t="s">
        <v>189</v>
      </c>
    </row>
    <row r="37" spans="3:38">
      <c r="C37" t="s">
        <v>66</v>
      </c>
      <c r="D37" t="s">
        <v>44</v>
      </c>
      <c r="E37" t="s">
        <v>43</v>
      </c>
      <c r="F37" t="s">
        <v>81</v>
      </c>
      <c r="G37">
        <v>27265.360000000001</v>
      </c>
      <c r="H37">
        <v>0.66009711857793896</v>
      </c>
      <c r="I37">
        <v>1</v>
      </c>
      <c r="J37">
        <v>0</v>
      </c>
      <c r="O37" t="s">
        <v>44</v>
      </c>
      <c r="P37" t="s">
        <v>43</v>
      </c>
      <c r="Q37" t="s">
        <v>0</v>
      </c>
      <c r="R37" t="s">
        <v>54</v>
      </c>
      <c r="S37">
        <v>2024.28</v>
      </c>
      <c r="T37">
        <v>3443.2</v>
      </c>
      <c r="U37">
        <v>0</v>
      </c>
      <c r="V37">
        <v>3443.2</v>
      </c>
      <c r="AA37" s="29" t="s">
        <v>43</v>
      </c>
      <c r="AB37">
        <v>31199</v>
      </c>
      <c r="AC37">
        <v>60</v>
      </c>
      <c r="AD37">
        <v>3</v>
      </c>
      <c r="AE37">
        <v>1795.4</v>
      </c>
      <c r="AF37">
        <v>1795.4</v>
      </c>
      <c r="AG37" s="29" t="s">
        <v>188</v>
      </c>
      <c r="AH37" s="29" t="s">
        <v>198</v>
      </c>
      <c r="AI37" s="29" t="s">
        <v>199</v>
      </c>
      <c r="AJ37" s="29"/>
      <c r="AL37" s="29" t="s">
        <v>189</v>
      </c>
    </row>
    <row r="38" spans="3:38">
      <c r="C38" t="s">
        <v>53</v>
      </c>
      <c r="D38" t="s">
        <v>44</v>
      </c>
      <c r="E38" t="s">
        <v>43</v>
      </c>
      <c r="F38" t="s">
        <v>86</v>
      </c>
      <c r="G38">
        <v>130323.95</v>
      </c>
      <c r="H38">
        <v>0.97884019371784903</v>
      </c>
      <c r="I38">
        <v>1.02245050776772</v>
      </c>
      <c r="J38">
        <v>-2861.5945999999999</v>
      </c>
      <c r="O38" t="s">
        <v>44</v>
      </c>
      <c r="P38" t="s">
        <v>43</v>
      </c>
      <c r="Q38" t="s">
        <v>0</v>
      </c>
      <c r="R38" t="s">
        <v>54</v>
      </c>
      <c r="S38">
        <v>2024.38</v>
      </c>
      <c r="T38">
        <v>6886.4</v>
      </c>
      <c r="U38">
        <v>0</v>
      </c>
      <c r="V38">
        <v>3443.2</v>
      </c>
      <c r="AA38" s="29" t="s">
        <v>43</v>
      </c>
      <c r="AB38">
        <v>31199</v>
      </c>
      <c r="AC38">
        <v>60</v>
      </c>
      <c r="AD38">
        <v>3</v>
      </c>
      <c r="AE38">
        <v>458.4</v>
      </c>
      <c r="AF38">
        <v>458.4</v>
      </c>
      <c r="AG38" s="29" t="s">
        <v>188</v>
      </c>
      <c r="AH38" s="29" t="s">
        <v>200</v>
      </c>
      <c r="AI38" s="29" t="s">
        <v>201</v>
      </c>
      <c r="AJ38" s="29"/>
      <c r="AL38" s="29" t="s">
        <v>189</v>
      </c>
    </row>
    <row r="39" spans="3:38">
      <c r="C39" t="s">
        <v>53</v>
      </c>
      <c r="D39" t="s">
        <v>44</v>
      </c>
      <c r="E39" t="s">
        <v>43</v>
      </c>
      <c r="F39" t="s">
        <v>84</v>
      </c>
      <c r="G39">
        <v>1510.18</v>
      </c>
      <c r="H39">
        <v>1</v>
      </c>
      <c r="I39">
        <v>2.2999999999999998</v>
      </c>
      <c r="J39">
        <v>-853.58</v>
      </c>
      <c r="O39" t="s">
        <v>44</v>
      </c>
      <c r="P39" t="s">
        <v>43</v>
      </c>
      <c r="Q39" t="s">
        <v>0</v>
      </c>
      <c r="R39" t="s">
        <v>54</v>
      </c>
      <c r="S39">
        <v>2024.39</v>
      </c>
      <c r="T39">
        <v>3443.2</v>
      </c>
      <c r="U39">
        <v>0</v>
      </c>
      <c r="V39">
        <v>3443.2</v>
      </c>
      <c r="AA39" s="29" t="s">
        <v>43</v>
      </c>
      <c r="AB39">
        <v>31199</v>
      </c>
      <c r="AC39">
        <v>60</v>
      </c>
      <c r="AD39">
        <v>3</v>
      </c>
      <c r="AE39">
        <v>2524.5</v>
      </c>
      <c r="AF39">
        <v>2524.5</v>
      </c>
      <c r="AG39" s="29" t="s">
        <v>188</v>
      </c>
      <c r="AH39" s="29" t="s">
        <v>202</v>
      </c>
      <c r="AI39" s="29" t="s">
        <v>203</v>
      </c>
      <c r="AJ39" s="29"/>
      <c r="AL39" s="29" t="s">
        <v>189</v>
      </c>
    </row>
    <row r="40" spans="3:38">
      <c r="C40" t="s">
        <v>63</v>
      </c>
      <c r="D40" t="s">
        <v>44</v>
      </c>
      <c r="E40" t="s">
        <v>43</v>
      </c>
      <c r="F40" t="s">
        <v>101</v>
      </c>
      <c r="G40">
        <v>35918.19</v>
      </c>
      <c r="H40">
        <v>0.950555097054682</v>
      </c>
      <c r="I40">
        <v>1.0357843758529499</v>
      </c>
      <c r="J40">
        <v>-1240.905</v>
      </c>
      <c r="O40" t="s">
        <v>44</v>
      </c>
      <c r="P40" t="s">
        <v>43</v>
      </c>
      <c r="Q40" t="s">
        <v>0</v>
      </c>
      <c r="R40" t="s">
        <v>55</v>
      </c>
      <c r="S40">
        <v>2024.41</v>
      </c>
      <c r="T40">
        <v>78.55</v>
      </c>
      <c r="U40">
        <v>0</v>
      </c>
      <c r="V40">
        <v>0</v>
      </c>
      <c r="AA40" s="29" t="s">
        <v>43</v>
      </c>
      <c r="AB40">
        <v>31199</v>
      </c>
      <c r="AC40">
        <v>60</v>
      </c>
      <c r="AD40">
        <v>3</v>
      </c>
      <c r="AE40">
        <v>1361.15</v>
      </c>
      <c r="AF40">
        <v>1361.15</v>
      </c>
      <c r="AG40" s="29" t="s">
        <v>188</v>
      </c>
      <c r="AH40" s="29" t="s">
        <v>204</v>
      </c>
      <c r="AI40" s="29" t="s">
        <v>205</v>
      </c>
      <c r="AJ40" s="29"/>
      <c r="AL40" s="29" t="s">
        <v>189</v>
      </c>
    </row>
    <row r="41" spans="3:38">
      <c r="C41" t="s">
        <v>60</v>
      </c>
      <c r="D41" t="s">
        <v>44</v>
      </c>
      <c r="E41" t="s">
        <v>43</v>
      </c>
      <c r="F41" t="s">
        <v>90</v>
      </c>
      <c r="G41">
        <v>36.619999999999997</v>
      </c>
      <c r="H41">
        <v>2.11522732628797E-2</v>
      </c>
      <c r="I41">
        <v>1</v>
      </c>
      <c r="J41">
        <v>0</v>
      </c>
      <c r="O41" t="s">
        <v>44</v>
      </c>
      <c r="P41" t="s">
        <v>43</v>
      </c>
      <c r="Q41" t="s">
        <v>0</v>
      </c>
      <c r="R41" t="s">
        <v>55</v>
      </c>
      <c r="S41">
        <v>2024.43</v>
      </c>
      <c r="T41">
        <v>78.55</v>
      </c>
      <c r="U41">
        <v>0</v>
      </c>
      <c r="V41">
        <v>0</v>
      </c>
      <c r="AA41" s="29" t="s">
        <v>43</v>
      </c>
      <c r="AB41">
        <v>31199</v>
      </c>
      <c r="AC41">
        <v>60</v>
      </c>
      <c r="AD41">
        <v>3</v>
      </c>
      <c r="AE41">
        <v>5280</v>
      </c>
      <c r="AF41">
        <v>5280</v>
      </c>
      <c r="AG41" s="29" t="s">
        <v>188</v>
      </c>
      <c r="AH41" s="29" t="s">
        <v>206</v>
      </c>
      <c r="AI41" s="29" t="s">
        <v>207</v>
      </c>
      <c r="AJ41" s="29"/>
      <c r="AL41" s="29" t="s">
        <v>189</v>
      </c>
    </row>
    <row r="42" spans="3:38">
      <c r="C42" t="s">
        <v>60</v>
      </c>
      <c r="D42" t="s">
        <v>44</v>
      </c>
      <c r="E42" t="s">
        <v>43</v>
      </c>
      <c r="F42" t="s">
        <v>102</v>
      </c>
      <c r="G42">
        <v>10563.68</v>
      </c>
      <c r="H42">
        <v>1.3308354133220299</v>
      </c>
      <c r="I42">
        <v>1.30068003838428</v>
      </c>
      <c r="J42">
        <v>-2442.0207999999998</v>
      </c>
      <c r="O42" t="s">
        <v>44</v>
      </c>
      <c r="P42" t="s">
        <v>43</v>
      </c>
      <c r="Q42" t="s">
        <v>0</v>
      </c>
      <c r="R42" t="s">
        <v>55</v>
      </c>
      <c r="S42">
        <v>2024.44</v>
      </c>
      <c r="T42">
        <v>78.55</v>
      </c>
      <c r="U42">
        <v>0</v>
      </c>
      <c r="V42">
        <v>78.55</v>
      </c>
      <c r="AA42" s="29" t="s">
        <v>43</v>
      </c>
      <c r="AB42">
        <v>31199</v>
      </c>
      <c r="AC42">
        <v>60</v>
      </c>
      <c r="AD42">
        <v>3</v>
      </c>
      <c r="AE42">
        <v>429</v>
      </c>
      <c r="AF42">
        <v>429</v>
      </c>
      <c r="AG42" s="29" t="s">
        <v>188</v>
      </c>
      <c r="AH42" s="29" t="s">
        <v>208</v>
      </c>
      <c r="AI42" s="29" t="s">
        <v>209</v>
      </c>
      <c r="AJ42" s="29"/>
      <c r="AL42" s="29" t="s">
        <v>189</v>
      </c>
    </row>
    <row r="43" spans="3:38">
      <c r="C43" t="s">
        <v>60</v>
      </c>
      <c r="D43" t="s">
        <v>44</v>
      </c>
      <c r="E43" t="s">
        <v>43</v>
      </c>
      <c r="F43" t="s">
        <v>81</v>
      </c>
      <c r="G43">
        <v>4663.84</v>
      </c>
      <c r="H43">
        <v>1.77815542000087</v>
      </c>
      <c r="I43">
        <v>0.99999997855844203</v>
      </c>
      <c r="J43">
        <v>1E-4</v>
      </c>
      <c r="O43" t="s">
        <v>44</v>
      </c>
      <c r="P43" t="s">
        <v>43</v>
      </c>
      <c r="Q43" t="s">
        <v>0</v>
      </c>
      <c r="R43" t="s">
        <v>55</v>
      </c>
      <c r="S43">
        <v>2024.45</v>
      </c>
      <c r="T43">
        <v>78.55</v>
      </c>
      <c r="U43">
        <v>0</v>
      </c>
      <c r="V43">
        <v>78.55</v>
      </c>
      <c r="AA43" s="29" t="s">
        <v>43</v>
      </c>
      <c r="AB43">
        <v>31199</v>
      </c>
      <c r="AC43">
        <v>60</v>
      </c>
      <c r="AD43">
        <v>3</v>
      </c>
      <c r="AE43">
        <v>2524.5</v>
      </c>
      <c r="AF43">
        <v>2524.5</v>
      </c>
      <c r="AG43" s="29" t="s">
        <v>188</v>
      </c>
      <c r="AH43" s="29" t="s">
        <v>202</v>
      </c>
      <c r="AI43" s="29" t="s">
        <v>203</v>
      </c>
      <c r="AJ43" s="29"/>
      <c r="AL43" s="29" t="s">
        <v>189</v>
      </c>
    </row>
    <row r="44" spans="3:38">
      <c r="C44" t="s">
        <v>61</v>
      </c>
      <c r="D44" t="s">
        <v>44</v>
      </c>
      <c r="E44" t="s">
        <v>43</v>
      </c>
      <c r="F44" t="s">
        <v>102</v>
      </c>
      <c r="G44">
        <v>6012.84</v>
      </c>
      <c r="H44">
        <v>1</v>
      </c>
      <c r="I44">
        <v>1.0166929255920401</v>
      </c>
      <c r="J44">
        <v>-98.7239</v>
      </c>
      <c r="O44" t="s">
        <v>44</v>
      </c>
      <c r="P44" t="s">
        <v>43</v>
      </c>
      <c r="Q44" t="s">
        <v>0</v>
      </c>
      <c r="R44" t="s">
        <v>55</v>
      </c>
      <c r="S44">
        <v>2024.47</v>
      </c>
      <c r="T44">
        <v>78.55</v>
      </c>
      <c r="U44">
        <v>0</v>
      </c>
      <c r="V44">
        <v>78.55</v>
      </c>
      <c r="AA44" s="29" t="s">
        <v>43</v>
      </c>
      <c r="AB44">
        <v>31199</v>
      </c>
      <c r="AC44">
        <v>60</v>
      </c>
      <c r="AD44">
        <v>3</v>
      </c>
      <c r="AE44">
        <v>10404</v>
      </c>
      <c r="AF44">
        <v>10404</v>
      </c>
      <c r="AG44" s="29" t="s">
        <v>188</v>
      </c>
      <c r="AH44" s="29" t="s">
        <v>210</v>
      </c>
      <c r="AI44" s="29" t="s">
        <v>211</v>
      </c>
      <c r="AJ44" s="29"/>
      <c r="AL44" s="29" t="s">
        <v>189</v>
      </c>
    </row>
    <row r="45" spans="3:38">
      <c r="C45" t="s">
        <v>96</v>
      </c>
      <c r="D45" t="s">
        <v>44</v>
      </c>
      <c r="E45" t="s">
        <v>43</v>
      </c>
      <c r="F45" t="s">
        <v>103</v>
      </c>
      <c r="G45">
        <v>0</v>
      </c>
      <c r="H45">
        <v>2.1158585080842101</v>
      </c>
      <c r="I45">
        <v>0</v>
      </c>
      <c r="J45">
        <v>23344.986099999998</v>
      </c>
      <c r="O45" t="s">
        <v>44</v>
      </c>
      <c r="P45" t="s">
        <v>43</v>
      </c>
      <c r="Q45" t="s">
        <v>0</v>
      </c>
      <c r="R45" t="s">
        <v>55</v>
      </c>
      <c r="S45">
        <v>2024.48</v>
      </c>
      <c r="T45">
        <v>78.55</v>
      </c>
      <c r="U45">
        <v>0</v>
      </c>
      <c r="V45">
        <v>78.55</v>
      </c>
      <c r="AA45" s="29" t="s">
        <v>43</v>
      </c>
      <c r="AB45">
        <v>31199</v>
      </c>
      <c r="AC45">
        <v>60</v>
      </c>
      <c r="AD45">
        <v>3</v>
      </c>
      <c r="AE45">
        <v>20808</v>
      </c>
      <c r="AF45">
        <v>20808</v>
      </c>
      <c r="AG45" s="29" t="s">
        <v>188</v>
      </c>
      <c r="AH45" s="29" t="s">
        <v>212</v>
      </c>
      <c r="AI45" s="29" t="s">
        <v>213</v>
      </c>
      <c r="AJ45" s="29"/>
      <c r="AL45" s="29" t="s">
        <v>189</v>
      </c>
    </row>
    <row r="46" spans="3:38">
      <c r="C46" t="s">
        <v>62</v>
      </c>
      <c r="D46" t="s">
        <v>24</v>
      </c>
      <c r="E46" t="s">
        <v>43</v>
      </c>
      <c r="F46" t="s">
        <v>81</v>
      </c>
      <c r="G46">
        <v>166.2</v>
      </c>
      <c r="H46">
        <v>1</v>
      </c>
      <c r="I46">
        <v>0.99939867708959695</v>
      </c>
      <c r="J46">
        <v>0.1</v>
      </c>
      <c r="O46" t="s">
        <v>44</v>
      </c>
      <c r="P46" t="s">
        <v>43</v>
      </c>
      <c r="Q46" t="s">
        <v>0</v>
      </c>
      <c r="R46" t="s">
        <v>55</v>
      </c>
      <c r="S46">
        <v>2024.49</v>
      </c>
      <c r="T46">
        <v>78.55</v>
      </c>
      <c r="U46">
        <v>0</v>
      </c>
      <c r="V46">
        <v>78.55</v>
      </c>
      <c r="AA46" s="29" t="s">
        <v>43</v>
      </c>
      <c r="AB46">
        <v>31199</v>
      </c>
      <c r="AC46">
        <v>60</v>
      </c>
      <c r="AD46">
        <v>3</v>
      </c>
      <c r="AE46">
        <v>20808</v>
      </c>
      <c r="AF46">
        <v>20808</v>
      </c>
      <c r="AG46" s="29" t="s">
        <v>188</v>
      </c>
      <c r="AH46" s="29" t="s">
        <v>212</v>
      </c>
      <c r="AI46" s="29" t="s">
        <v>213</v>
      </c>
      <c r="AJ46" s="29"/>
      <c r="AL46" s="29" t="s">
        <v>189</v>
      </c>
    </row>
    <row r="47" spans="3:38">
      <c r="C47" t="s">
        <v>94</v>
      </c>
      <c r="D47" t="s">
        <v>24</v>
      </c>
      <c r="E47" t="s">
        <v>43</v>
      </c>
      <c r="F47" t="s">
        <v>104</v>
      </c>
      <c r="G47">
        <v>97967.27</v>
      </c>
      <c r="H47">
        <v>0.970323221630636</v>
      </c>
      <c r="I47">
        <v>0.41719370583349003</v>
      </c>
      <c r="J47">
        <v>136857.15</v>
      </c>
      <c r="O47" t="s">
        <v>44</v>
      </c>
      <c r="P47" t="s">
        <v>43</v>
      </c>
      <c r="Q47" t="s">
        <v>0</v>
      </c>
      <c r="R47" t="s">
        <v>55</v>
      </c>
      <c r="S47">
        <v>2023.51</v>
      </c>
      <c r="T47">
        <v>78.55</v>
      </c>
      <c r="U47">
        <v>0</v>
      </c>
      <c r="V47">
        <v>78.55</v>
      </c>
      <c r="AA47" s="29" t="s">
        <v>43</v>
      </c>
      <c r="AB47">
        <v>31199</v>
      </c>
      <c r="AC47">
        <v>60</v>
      </c>
      <c r="AD47">
        <v>3</v>
      </c>
      <c r="AE47">
        <v>20808</v>
      </c>
      <c r="AF47">
        <v>20808</v>
      </c>
      <c r="AG47" s="29" t="s">
        <v>188</v>
      </c>
      <c r="AH47" s="29" t="s">
        <v>212</v>
      </c>
      <c r="AI47" s="29" t="s">
        <v>213</v>
      </c>
      <c r="AJ47" s="29"/>
      <c r="AL47" s="29" t="s">
        <v>189</v>
      </c>
    </row>
    <row r="48" spans="3:38">
      <c r="C48" t="s">
        <v>94</v>
      </c>
      <c r="D48" t="s">
        <v>24</v>
      </c>
      <c r="E48" t="s">
        <v>43</v>
      </c>
      <c r="F48" t="s">
        <v>105</v>
      </c>
      <c r="G48">
        <v>86.78</v>
      </c>
      <c r="H48">
        <v>1</v>
      </c>
      <c r="I48">
        <v>1</v>
      </c>
      <c r="J48">
        <v>0</v>
      </c>
      <c r="O48" t="s">
        <v>44</v>
      </c>
      <c r="P48" t="s">
        <v>43</v>
      </c>
      <c r="Q48" t="s">
        <v>0</v>
      </c>
      <c r="R48" t="s">
        <v>55</v>
      </c>
      <c r="S48">
        <v>2024.52</v>
      </c>
      <c r="T48">
        <v>78.55</v>
      </c>
      <c r="U48">
        <v>0</v>
      </c>
      <c r="V48">
        <v>78.55</v>
      </c>
      <c r="AA48" s="29" t="s">
        <v>43</v>
      </c>
      <c r="AB48">
        <v>31199</v>
      </c>
      <c r="AC48">
        <v>60</v>
      </c>
      <c r="AD48">
        <v>3</v>
      </c>
      <c r="AE48">
        <v>31212</v>
      </c>
      <c r="AF48">
        <v>31212</v>
      </c>
      <c r="AG48" s="29" t="s">
        <v>188</v>
      </c>
      <c r="AH48" s="29" t="s">
        <v>214</v>
      </c>
      <c r="AI48" s="29" t="s">
        <v>215</v>
      </c>
      <c r="AJ48" s="29"/>
      <c r="AL48" s="29" t="s">
        <v>189</v>
      </c>
    </row>
    <row r="49" spans="3:38">
      <c r="C49" t="s">
        <v>53</v>
      </c>
      <c r="D49" t="s">
        <v>24</v>
      </c>
      <c r="E49" t="s">
        <v>43</v>
      </c>
      <c r="F49" t="s">
        <v>105</v>
      </c>
      <c r="G49">
        <v>238075.09</v>
      </c>
      <c r="H49">
        <v>0.60332107363246801</v>
      </c>
      <c r="I49">
        <v>0.86962513939214503</v>
      </c>
      <c r="J49">
        <v>35692.398099999999</v>
      </c>
      <c r="O49" t="s">
        <v>44</v>
      </c>
      <c r="P49" t="s">
        <v>43</v>
      </c>
      <c r="Q49" t="s">
        <v>0</v>
      </c>
      <c r="R49" t="s">
        <v>55</v>
      </c>
      <c r="S49">
        <v>2025.03</v>
      </c>
      <c r="T49">
        <v>78.55</v>
      </c>
      <c r="U49">
        <v>0</v>
      </c>
      <c r="V49">
        <v>78.55</v>
      </c>
      <c r="AA49" s="29" t="s">
        <v>43</v>
      </c>
      <c r="AB49">
        <v>31199</v>
      </c>
      <c r="AC49">
        <v>60</v>
      </c>
      <c r="AD49">
        <v>3</v>
      </c>
      <c r="AE49">
        <v>2524.5</v>
      </c>
      <c r="AF49">
        <v>2524.5</v>
      </c>
      <c r="AG49" s="29" t="s">
        <v>188</v>
      </c>
      <c r="AH49" s="29" t="s">
        <v>202</v>
      </c>
      <c r="AI49" s="29" t="s">
        <v>203</v>
      </c>
      <c r="AJ49" s="29"/>
      <c r="AL49" s="29" t="s">
        <v>189</v>
      </c>
    </row>
    <row r="50" spans="3:38">
      <c r="C50" t="s">
        <v>94</v>
      </c>
      <c r="D50" t="s">
        <v>24</v>
      </c>
      <c r="E50" t="s">
        <v>43</v>
      </c>
      <c r="F50" t="s">
        <v>106</v>
      </c>
      <c r="G50">
        <v>12</v>
      </c>
      <c r="H50">
        <v>0</v>
      </c>
      <c r="I50">
        <v>1</v>
      </c>
      <c r="J50">
        <v>-12</v>
      </c>
      <c r="O50" t="s">
        <v>44</v>
      </c>
      <c r="P50" t="s">
        <v>43</v>
      </c>
      <c r="Q50" t="s">
        <v>0</v>
      </c>
      <c r="R50" t="s">
        <v>55</v>
      </c>
      <c r="S50">
        <v>2025.12</v>
      </c>
      <c r="T50">
        <v>78.55</v>
      </c>
      <c r="U50">
        <v>0</v>
      </c>
      <c r="V50">
        <v>78.55</v>
      </c>
      <c r="AA50" s="29" t="s">
        <v>43</v>
      </c>
      <c r="AB50">
        <v>31199</v>
      </c>
      <c r="AC50">
        <v>70</v>
      </c>
      <c r="AD50">
        <v>1</v>
      </c>
      <c r="AE50">
        <v>0</v>
      </c>
      <c r="AF50">
        <v>0</v>
      </c>
      <c r="AG50" s="29" t="s">
        <v>216</v>
      </c>
      <c r="AH50" s="29"/>
      <c r="AI50" s="29"/>
      <c r="AJ50" s="29"/>
      <c r="AL50" s="29" t="s">
        <v>217</v>
      </c>
    </row>
    <row r="51" spans="3:38">
      <c r="C51" t="s">
        <v>53</v>
      </c>
      <c r="D51" t="s">
        <v>24</v>
      </c>
      <c r="E51" t="s">
        <v>43</v>
      </c>
      <c r="F51" t="s">
        <v>107</v>
      </c>
      <c r="G51">
        <v>98.49</v>
      </c>
      <c r="H51">
        <v>0</v>
      </c>
      <c r="I51">
        <v>1</v>
      </c>
      <c r="J51">
        <v>-98.49</v>
      </c>
      <c r="O51" t="s">
        <v>44</v>
      </c>
      <c r="P51" t="s">
        <v>43</v>
      </c>
      <c r="Q51" t="s">
        <v>0</v>
      </c>
      <c r="R51" t="s">
        <v>55</v>
      </c>
      <c r="S51">
        <v>2024.06</v>
      </c>
      <c r="T51">
        <v>78.55</v>
      </c>
      <c r="U51">
        <v>0</v>
      </c>
      <c r="V51">
        <v>78.55</v>
      </c>
      <c r="AA51" s="29" t="s">
        <v>43</v>
      </c>
      <c r="AB51">
        <v>31199</v>
      </c>
      <c r="AC51">
        <v>70</v>
      </c>
      <c r="AD51">
        <v>3</v>
      </c>
      <c r="AE51">
        <v>0</v>
      </c>
      <c r="AF51">
        <v>0</v>
      </c>
      <c r="AG51" s="29" t="s">
        <v>216</v>
      </c>
      <c r="AH51" s="29" t="s">
        <v>218</v>
      </c>
      <c r="AI51" s="29" t="s">
        <v>219</v>
      </c>
      <c r="AJ51" s="29"/>
      <c r="AL51" s="29" t="s">
        <v>217</v>
      </c>
    </row>
    <row r="52" spans="3:38">
      <c r="C52" t="s">
        <v>92</v>
      </c>
      <c r="D52" t="s">
        <v>24</v>
      </c>
      <c r="E52" t="s">
        <v>43</v>
      </c>
      <c r="F52" t="s">
        <v>108</v>
      </c>
      <c r="G52">
        <v>10452.9</v>
      </c>
      <c r="H52">
        <v>1</v>
      </c>
      <c r="I52">
        <v>1.08245613126705</v>
      </c>
      <c r="J52">
        <v>-796.25</v>
      </c>
      <c r="O52" t="s">
        <v>44</v>
      </c>
      <c r="P52" t="s">
        <v>43</v>
      </c>
      <c r="Q52" t="s">
        <v>0</v>
      </c>
      <c r="R52" t="s">
        <v>55</v>
      </c>
      <c r="S52">
        <v>2024.07</v>
      </c>
      <c r="T52">
        <v>78.55</v>
      </c>
      <c r="U52">
        <v>0</v>
      </c>
      <c r="V52">
        <v>78.55</v>
      </c>
      <c r="AA52" s="29" t="s">
        <v>43</v>
      </c>
      <c r="AB52">
        <v>31199</v>
      </c>
      <c r="AC52">
        <v>70</v>
      </c>
      <c r="AD52">
        <v>3</v>
      </c>
      <c r="AE52">
        <v>26</v>
      </c>
      <c r="AF52">
        <v>26</v>
      </c>
      <c r="AG52" s="29" t="s">
        <v>216</v>
      </c>
      <c r="AH52" s="29" t="s">
        <v>220</v>
      </c>
      <c r="AI52" s="29" t="s">
        <v>221</v>
      </c>
      <c r="AJ52" s="29"/>
      <c r="AL52" s="29" t="s">
        <v>217</v>
      </c>
    </row>
    <row r="53" spans="3:38">
      <c r="C53" t="s">
        <v>53</v>
      </c>
      <c r="D53" t="s">
        <v>24</v>
      </c>
      <c r="E53" t="s">
        <v>43</v>
      </c>
      <c r="F53" t="s">
        <v>109</v>
      </c>
      <c r="G53">
        <v>21700.15</v>
      </c>
      <c r="H53">
        <v>0.31181547661828302</v>
      </c>
      <c r="I53">
        <v>0.87077766440714399</v>
      </c>
      <c r="J53">
        <v>3220.2755999999999</v>
      </c>
      <c r="O53" t="s">
        <v>44</v>
      </c>
      <c r="P53" t="s">
        <v>43</v>
      </c>
      <c r="Q53" t="s">
        <v>0</v>
      </c>
      <c r="R53" t="s">
        <v>55</v>
      </c>
      <c r="S53">
        <v>2024.08</v>
      </c>
      <c r="T53">
        <v>78.55</v>
      </c>
      <c r="U53">
        <v>0</v>
      </c>
      <c r="V53">
        <v>78.55</v>
      </c>
      <c r="AA53" s="29" t="s">
        <v>43</v>
      </c>
      <c r="AB53">
        <v>31199</v>
      </c>
      <c r="AC53">
        <v>70</v>
      </c>
      <c r="AD53">
        <v>3</v>
      </c>
      <c r="AE53">
        <v>56</v>
      </c>
      <c r="AF53">
        <v>56</v>
      </c>
      <c r="AG53" s="29" t="s">
        <v>216</v>
      </c>
      <c r="AH53" s="29" t="s">
        <v>222</v>
      </c>
      <c r="AI53" s="29" t="s">
        <v>223</v>
      </c>
      <c r="AJ53" s="29"/>
      <c r="AL53" s="29" t="s">
        <v>217</v>
      </c>
    </row>
    <row r="54" spans="3:38">
      <c r="C54" t="s">
        <v>92</v>
      </c>
      <c r="D54" t="s">
        <v>24</v>
      </c>
      <c r="E54" t="s">
        <v>43</v>
      </c>
      <c r="F54" t="s">
        <v>110</v>
      </c>
      <c r="G54">
        <v>126308.17</v>
      </c>
      <c r="H54">
        <v>0.67446168911666204</v>
      </c>
      <c r="I54">
        <v>0.87091991766093102</v>
      </c>
      <c r="J54">
        <v>18720.284899999999</v>
      </c>
      <c r="O54" t="s">
        <v>44</v>
      </c>
      <c r="P54" t="s">
        <v>43</v>
      </c>
      <c r="Q54" t="s">
        <v>0</v>
      </c>
      <c r="R54" t="s">
        <v>55</v>
      </c>
      <c r="S54">
        <v>2024.09</v>
      </c>
      <c r="T54">
        <v>78.55</v>
      </c>
      <c r="U54">
        <v>0</v>
      </c>
      <c r="V54">
        <v>78.55</v>
      </c>
      <c r="AA54" s="29" t="s">
        <v>43</v>
      </c>
      <c r="AB54">
        <v>31199</v>
      </c>
      <c r="AC54">
        <v>70</v>
      </c>
      <c r="AD54">
        <v>3</v>
      </c>
      <c r="AE54">
        <v>463.61</v>
      </c>
      <c r="AF54">
        <v>463.61</v>
      </c>
      <c r="AG54" s="29" t="s">
        <v>216</v>
      </c>
      <c r="AH54" s="29" t="s">
        <v>224</v>
      </c>
      <c r="AI54" s="29" t="s">
        <v>225</v>
      </c>
      <c r="AJ54" s="29"/>
      <c r="AL54" s="29" t="s">
        <v>217</v>
      </c>
    </row>
    <row r="55" spans="3:38">
      <c r="C55" t="s">
        <v>92</v>
      </c>
      <c r="D55" t="s">
        <v>24</v>
      </c>
      <c r="E55" t="s">
        <v>43</v>
      </c>
      <c r="F55" t="s">
        <v>104</v>
      </c>
      <c r="G55">
        <v>7328.77</v>
      </c>
      <c r="H55">
        <v>1</v>
      </c>
      <c r="I55">
        <v>1.01917993004999</v>
      </c>
      <c r="J55">
        <v>-137.91999999999999</v>
      </c>
      <c r="O55" t="s">
        <v>44</v>
      </c>
      <c r="P55" t="s">
        <v>43</v>
      </c>
      <c r="Q55" t="s">
        <v>0</v>
      </c>
      <c r="R55" t="s">
        <v>55</v>
      </c>
      <c r="S55">
        <v>2024.1</v>
      </c>
      <c r="T55">
        <v>78.55</v>
      </c>
      <c r="U55">
        <v>0</v>
      </c>
      <c r="V55">
        <v>78.55</v>
      </c>
      <c r="AA55" s="29" t="s">
        <v>43</v>
      </c>
      <c r="AB55">
        <v>31199</v>
      </c>
      <c r="AC55">
        <v>70</v>
      </c>
      <c r="AD55">
        <v>3</v>
      </c>
      <c r="AE55">
        <v>0</v>
      </c>
      <c r="AF55">
        <v>0</v>
      </c>
      <c r="AG55" s="29" t="s">
        <v>216</v>
      </c>
      <c r="AH55" s="29" t="s">
        <v>218</v>
      </c>
      <c r="AI55" s="29" t="s">
        <v>226</v>
      </c>
      <c r="AJ55" s="29"/>
      <c r="AL55" s="29" t="s">
        <v>217</v>
      </c>
    </row>
    <row r="56" spans="3:38">
      <c r="C56" t="s">
        <v>92</v>
      </c>
      <c r="D56" t="s">
        <v>24</v>
      </c>
      <c r="E56" t="s">
        <v>43</v>
      </c>
      <c r="F56" t="s">
        <v>111</v>
      </c>
      <c r="G56">
        <v>53281.54</v>
      </c>
      <c r="H56">
        <v>0.31095776994860502</v>
      </c>
      <c r="I56">
        <v>0.54131881761689304</v>
      </c>
      <c r="J56">
        <v>45147.589500000002</v>
      </c>
      <c r="O56" t="s">
        <v>44</v>
      </c>
      <c r="P56" t="s">
        <v>43</v>
      </c>
      <c r="Q56" t="s">
        <v>0</v>
      </c>
      <c r="R56" t="s">
        <v>55</v>
      </c>
      <c r="S56">
        <v>2024.11</v>
      </c>
      <c r="T56">
        <v>78.55</v>
      </c>
      <c r="U56">
        <v>0</v>
      </c>
      <c r="V56">
        <v>78.55</v>
      </c>
      <c r="AA56" s="29" t="s">
        <v>43</v>
      </c>
      <c r="AB56">
        <v>31199</v>
      </c>
      <c r="AC56">
        <v>70</v>
      </c>
      <c r="AD56">
        <v>3</v>
      </c>
      <c r="AE56">
        <v>38</v>
      </c>
      <c r="AF56">
        <v>38</v>
      </c>
      <c r="AG56" s="29" t="s">
        <v>216</v>
      </c>
      <c r="AH56" s="29" t="s">
        <v>227</v>
      </c>
      <c r="AI56" s="29" t="s">
        <v>228</v>
      </c>
      <c r="AJ56" s="29"/>
      <c r="AL56" s="29" t="s">
        <v>217</v>
      </c>
    </row>
    <row r="57" spans="3:38">
      <c r="C57" t="s">
        <v>92</v>
      </c>
      <c r="D57" t="s">
        <v>24</v>
      </c>
      <c r="E57" t="s">
        <v>43</v>
      </c>
      <c r="F57" t="s">
        <v>102</v>
      </c>
      <c r="G57">
        <v>20.8</v>
      </c>
      <c r="H57">
        <v>1</v>
      </c>
      <c r="I57">
        <v>1</v>
      </c>
      <c r="J57">
        <v>0</v>
      </c>
      <c r="O57" t="s">
        <v>44</v>
      </c>
      <c r="P57" t="s">
        <v>43</v>
      </c>
      <c r="Q57" t="s">
        <v>0</v>
      </c>
      <c r="R57" t="s">
        <v>55</v>
      </c>
      <c r="S57">
        <v>2024.14</v>
      </c>
      <c r="T57">
        <v>78.55</v>
      </c>
      <c r="U57">
        <v>0</v>
      </c>
      <c r="V57">
        <v>78.55</v>
      </c>
      <c r="AA57" s="29" t="s">
        <v>43</v>
      </c>
      <c r="AB57">
        <v>31199</v>
      </c>
      <c r="AC57">
        <v>70</v>
      </c>
      <c r="AD57">
        <v>3</v>
      </c>
      <c r="AE57">
        <v>35</v>
      </c>
      <c r="AF57">
        <v>35</v>
      </c>
      <c r="AG57" s="29" t="s">
        <v>216</v>
      </c>
      <c r="AH57" s="29" t="s">
        <v>229</v>
      </c>
      <c r="AI57" s="29" t="s">
        <v>230</v>
      </c>
      <c r="AJ57" s="29"/>
      <c r="AL57" s="29" t="s">
        <v>217</v>
      </c>
    </row>
    <row r="58" spans="3:38">
      <c r="C58" t="s">
        <v>92</v>
      </c>
      <c r="D58" t="s">
        <v>24</v>
      </c>
      <c r="E58" t="s">
        <v>43</v>
      </c>
      <c r="F58" t="s">
        <v>112</v>
      </c>
      <c r="G58">
        <v>122915.94</v>
      </c>
      <c r="H58">
        <v>1</v>
      </c>
      <c r="I58">
        <v>1.0049400008437499</v>
      </c>
      <c r="J58">
        <v>-604.22</v>
      </c>
      <c r="O58" t="s">
        <v>44</v>
      </c>
      <c r="P58" t="s">
        <v>43</v>
      </c>
      <c r="Q58" t="s">
        <v>0</v>
      </c>
      <c r="R58" t="s">
        <v>55</v>
      </c>
      <c r="S58">
        <v>2024.17</v>
      </c>
      <c r="T58">
        <v>78.55</v>
      </c>
      <c r="U58">
        <v>0</v>
      </c>
      <c r="V58">
        <v>78.55</v>
      </c>
      <c r="AA58" s="29" t="s">
        <v>43</v>
      </c>
      <c r="AB58">
        <v>31199</v>
      </c>
      <c r="AC58">
        <v>70</v>
      </c>
      <c r="AD58">
        <v>3</v>
      </c>
      <c r="AE58">
        <v>26</v>
      </c>
      <c r="AF58">
        <v>26</v>
      </c>
      <c r="AG58" s="29" t="s">
        <v>216</v>
      </c>
      <c r="AH58" s="29" t="s">
        <v>220</v>
      </c>
      <c r="AI58" s="29" t="s">
        <v>221</v>
      </c>
      <c r="AJ58" s="29"/>
      <c r="AL58" s="29" t="s">
        <v>217</v>
      </c>
    </row>
    <row r="59" spans="3:38">
      <c r="C59" t="s">
        <v>92</v>
      </c>
      <c r="D59" t="s">
        <v>24</v>
      </c>
      <c r="E59" t="s">
        <v>43</v>
      </c>
      <c r="F59" t="s">
        <v>113</v>
      </c>
      <c r="G59">
        <v>10403.969999999999</v>
      </c>
      <c r="H59">
        <v>1</v>
      </c>
      <c r="I59">
        <v>1</v>
      </c>
      <c r="J59">
        <v>0</v>
      </c>
      <c r="O59" t="s">
        <v>44</v>
      </c>
      <c r="P59" t="s">
        <v>43</v>
      </c>
      <c r="Q59" t="s">
        <v>0</v>
      </c>
      <c r="R59" t="s">
        <v>55</v>
      </c>
      <c r="S59">
        <v>2024.18</v>
      </c>
      <c r="T59">
        <v>157.1</v>
      </c>
      <c r="U59">
        <v>0</v>
      </c>
      <c r="V59">
        <v>78.55</v>
      </c>
      <c r="AA59" s="29" t="s">
        <v>43</v>
      </c>
      <c r="AB59">
        <v>31199</v>
      </c>
      <c r="AC59">
        <v>70</v>
      </c>
      <c r="AD59">
        <v>3</v>
      </c>
      <c r="AE59">
        <v>14.55</v>
      </c>
      <c r="AF59">
        <v>14.55</v>
      </c>
      <c r="AG59" s="29" t="s">
        <v>216</v>
      </c>
      <c r="AH59" s="29" t="s">
        <v>231</v>
      </c>
      <c r="AI59" s="29" t="s">
        <v>232</v>
      </c>
      <c r="AJ59" s="29"/>
      <c r="AL59" s="29" t="s">
        <v>217</v>
      </c>
    </row>
    <row r="60" spans="3:38">
      <c r="C60" t="s">
        <v>92</v>
      </c>
      <c r="D60" t="s">
        <v>24</v>
      </c>
      <c r="E60" t="s">
        <v>43</v>
      </c>
      <c r="F60" t="s">
        <v>114</v>
      </c>
      <c r="G60">
        <v>157.80000000000001</v>
      </c>
      <c r="H60">
        <v>0</v>
      </c>
      <c r="I60">
        <v>1</v>
      </c>
      <c r="J60">
        <v>-157.80000000000001</v>
      </c>
      <c r="O60" t="s">
        <v>44</v>
      </c>
      <c r="P60" t="s">
        <v>43</v>
      </c>
      <c r="Q60" t="s">
        <v>0</v>
      </c>
      <c r="R60" t="s">
        <v>55</v>
      </c>
      <c r="S60">
        <v>2024.19</v>
      </c>
      <c r="T60">
        <v>78.55</v>
      </c>
      <c r="U60">
        <v>0</v>
      </c>
      <c r="V60">
        <v>78.55</v>
      </c>
      <c r="AA60" s="29" t="s">
        <v>43</v>
      </c>
      <c r="AB60">
        <v>31199</v>
      </c>
      <c r="AC60">
        <v>70</v>
      </c>
      <c r="AD60">
        <v>3</v>
      </c>
      <c r="AE60">
        <v>1.2</v>
      </c>
      <c r="AF60">
        <v>1.2</v>
      </c>
      <c r="AG60" s="29" t="s">
        <v>216</v>
      </c>
      <c r="AH60" s="29" t="s">
        <v>233</v>
      </c>
      <c r="AI60" s="29" t="s">
        <v>234</v>
      </c>
      <c r="AJ60" s="29"/>
      <c r="AL60" s="29" t="s">
        <v>217</v>
      </c>
    </row>
    <row r="61" spans="3:38">
      <c r="C61" t="s">
        <v>54</v>
      </c>
      <c r="D61" t="s">
        <v>24</v>
      </c>
      <c r="E61" t="s">
        <v>43</v>
      </c>
      <c r="F61" t="s">
        <v>113</v>
      </c>
      <c r="G61">
        <v>32354</v>
      </c>
      <c r="H61">
        <v>0</v>
      </c>
      <c r="I61">
        <v>1</v>
      </c>
      <c r="J61">
        <v>-32354</v>
      </c>
      <c r="O61" t="s">
        <v>44</v>
      </c>
      <c r="P61" t="s">
        <v>43</v>
      </c>
      <c r="Q61" t="s">
        <v>0</v>
      </c>
      <c r="R61" t="s">
        <v>55</v>
      </c>
      <c r="S61">
        <v>2024.2</v>
      </c>
      <c r="T61">
        <v>78.55</v>
      </c>
      <c r="U61">
        <v>0</v>
      </c>
      <c r="V61">
        <v>78.55</v>
      </c>
      <c r="AA61" s="29" t="s">
        <v>43</v>
      </c>
      <c r="AB61">
        <v>31199</v>
      </c>
      <c r="AC61">
        <v>70</v>
      </c>
      <c r="AD61">
        <v>3</v>
      </c>
      <c r="AE61">
        <v>1.1000000000000001</v>
      </c>
      <c r="AF61">
        <v>1.1000000000000001</v>
      </c>
      <c r="AG61" s="29" t="s">
        <v>216</v>
      </c>
      <c r="AH61" s="29" t="s">
        <v>235</v>
      </c>
      <c r="AI61" s="29" t="s">
        <v>236</v>
      </c>
      <c r="AJ61" s="29"/>
      <c r="AL61" s="29" t="s">
        <v>217</v>
      </c>
    </row>
    <row r="62" spans="3:38">
      <c r="C62" t="s">
        <v>54</v>
      </c>
      <c r="D62" t="s">
        <v>24</v>
      </c>
      <c r="E62" t="s">
        <v>43</v>
      </c>
      <c r="F62" t="s">
        <v>105</v>
      </c>
      <c r="G62">
        <v>25</v>
      </c>
      <c r="H62">
        <v>1</v>
      </c>
      <c r="I62">
        <v>1</v>
      </c>
      <c r="J62">
        <v>0</v>
      </c>
      <c r="O62" t="s">
        <v>44</v>
      </c>
      <c r="P62" t="s">
        <v>43</v>
      </c>
      <c r="Q62" t="s">
        <v>0</v>
      </c>
      <c r="R62" t="s">
        <v>55</v>
      </c>
      <c r="S62">
        <v>2024.21</v>
      </c>
      <c r="T62">
        <v>78.55</v>
      </c>
      <c r="U62">
        <v>0</v>
      </c>
      <c r="V62">
        <v>78.55</v>
      </c>
      <c r="AA62" s="29" t="s">
        <v>43</v>
      </c>
      <c r="AB62">
        <v>31199</v>
      </c>
      <c r="AC62">
        <v>70</v>
      </c>
      <c r="AD62">
        <v>3</v>
      </c>
      <c r="AE62">
        <v>126.25</v>
      </c>
      <c r="AF62">
        <v>126.25</v>
      </c>
      <c r="AG62" s="29" t="s">
        <v>216</v>
      </c>
      <c r="AH62" s="29" t="s">
        <v>237</v>
      </c>
      <c r="AI62" s="29" t="s">
        <v>238</v>
      </c>
      <c r="AJ62" s="29"/>
      <c r="AL62" s="29" t="s">
        <v>217</v>
      </c>
    </row>
    <row r="63" spans="3:38">
      <c r="C63" t="s">
        <v>92</v>
      </c>
      <c r="D63" t="s">
        <v>24</v>
      </c>
      <c r="E63" t="s">
        <v>43</v>
      </c>
      <c r="F63" t="s">
        <v>115</v>
      </c>
      <c r="G63">
        <v>499104.92</v>
      </c>
      <c r="H63">
        <v>1.0682574715311</v>
      </c>
      <c r="I63">
        <v>0.96805447833375402</v>
      </c>
      <c r="J63">
        <v>16470.32</v>
      </c>
      <c r="O63" t="s">
        <v>44</v>
      </c>
      <c r="P63" t="s">
        <v>43</v>
      </c>
      <c r="Q63" t="s">
        <v>0</v>
      </c>
      <c r="R63" t="s">
        <v>55</v>
      </c>
      <c r="S63">
        <v>2024.28</v>
      </c>
      <c r="T63">
        <v>78.55</v>
      </c>
      <c r="U63">
        <v>0</v>
      </c>
      <c r="V63">
        <v>78.55</v>
      </c>
      <c r="AA63" s="29" t="s">
        <v>43</v>
      </c>
      <c r="AB63">
        <v>31199</v>
      </c>
      <c r="AC63">
        <v>70</v>
      </c>
      <c r="AD63">
        <v>3</v>
      </c>
      <c r="AE63">
        <v>28.5</v>
      </c>
      <c r="AF63">
        <v>28.5</v>
      </c>
      <c r="AG63" s="29" t="s">
        <v>216</v>
      </c>
      <c r="AH63" s="29" t="s">
        <v>239</v>
      </c>
      <c r="AI63" s="29" t="s">
        <v>240</v>
      </c>
      <c r="AJ63" s="29"/>
      <c r="AL63" s="29" t="s">
        <v>217</v>
      </c>
    </row>
    <row r="64" spans="3:38">
      <c r="C64" t="s">
        <v>92</v>
      </c>
      <c r="D64" t="s">
        <v>24</v>
      </c>
      <c r="E64" t="s">
        <v>43</v>
      </c>
      <c r="F64" t="s">
        <v>116</v>
      </c>
      <c r="G64">
        <v>420612.8</v>
      </c>
      <c r="H64">
        <v>0.83367683103832801</v>
      </c>
      <c r="I64">
        <v>0.83914595197171304</v>
      </c>
      <c r="J64">
        <v>80626.345600000001</v>
      </c>
      <c r="O64" t="s">
        <v>44</v>
      </c>
      <c r="P64" t="s">
        <v>43</v>
      </c>
      <c r="Q64" t="s">
        <v>0</v>
      </c>
      <c r="R64" t="s">
        <v>55</v>
      </c>
      <c r="S64">
        <v>2024.38</v>
      </c>
      <c r="T64">
        <v>157.1</v>
      </c>
      <c r="U64">
        <v>0</v>
      </c>
      <c r="V64">
        <v>78.55</v>
      </c>
      <c r="AA64" s="29" t="s">
        <v>43</v>
      </c>
      <c r="AB64">
        <v>31199</v>
      </c>
      <c r="AC64">
        <v>70</v>
      </c>
      <c r="AD64">
        <v>3</v>
      </c>
      <c r="AE64">
        <v>60</v>
      </c>
      <c r="AF64">
        <v>60</v>
      </c>
      <c r="AG64" s="29" t="s">
        <v>216</v>
      </c>
      <c r="AH64" s="29" t="s">
        <v>241</v>
      </c>
      <c r="AI64" s="29" t="s">
        <v>242</v>
      </c>
      <c r="AJ64" s="29"/>
      <c r="AL64" s="29" t="s">
        <v>217</v>
      </c>
    </row>
    <row r="65" spans="3:38">
      <c r="C65" t="s">
        <v>92</v>
      </c>
      <c r="D65" t="s">
        <v>24</v>
      </c>
      <c r="E65" t="s">
        <v>43</v>
      </c>
      <c r="F65" t="s">
        <v>106</v>
      </c>
      <c r="G65">
        <v>3285.71</v>
      </c>
      <c r="H65">
        <v>1</v>
      </c>
      <c r="I65">
        <v>1.02424297212541</v>
      </c>
      <c r="J65">
        <v>-77.77</v>
      </c>
      <c r="O65" t="s">
        <v>44</v>
      </c>
      <c r="P65" t="s">
        <v>43</v>
      </c>
      <c r="Q65" t="s">
        <v>0</v>
      </c>
      <c r="R65" t="s">
        <v>55</v>
      </c>
      <c r="S65">
        <v>2024.39</v>
      </c>
      <c r="T65">
        <v>78.55</v>
      </c>
      <c r="U65">
        <v>0</v>
      </c>
      <c r="V65">
        <v>78.55</v>
      </c>
      <c r="AA65" s="29" t="s">
        <v>43</v>
      </c>
      <c r="AB65">
        <v>31199</v>
      </c>
      <c r="AC65">
        <v>70</v>
      </c>
      <c r="AD65">
        <v>3</v>
      </c>
      <c r="AE65">
        <v>630</v>
      </c>
      <c r="AF65">
        <v>630</v>
      </c>
      <c r="AG65" s="29" t="s">
        <v>216</v>
      </c>
      <c r="AH65" s="29" t="s">
        <v>243</v>
      </c>
      <c r="AI65" s="29" t="s">
        <v>244</v>
      </c>
      <c r="AJ65" s="29"/>
      <c r="AL65" s="29" t="s">
        <v>217</v>
      </c>
    </row>
    <row r="66" spans="3:38">
      <c r="C66" t="s">
        <v>94</v>
      </c>
      <c r="D66" t="s">
        <v>24</v>
      </c>
      <c r="E66" t="s">
        <v>43</v>
      </c>
      <c r="F66" t="s">
        <v>102</v>
      </c>
      <c r="G66">
        <v>26.23</v>
      </c>
      <c r="H66">
        <v>1</v>
      </c>
      <c r="I66">
        <v>1</v>
      </c>
      <c r="J66">
        <v>0</v>
      </c>
      <c r="O66" t="s">
        <v>44</v>
      </c>
      <c r="P66" t="s">
        <v>43</v>
      </c>
      <c r="Q66" t="s">
        <v>0</v>
      </c>
      <c r="R66" t="s">
        <v>56</v>
      </c>
      <c r="S66">
        <v>2023.51</v>
      </c>
      <c r="T66">
        <v>259.75</v>
      </c>
      <c r="U66">
        <v>0</v>
      </c>
      <c r="V66">
        <v>0</v>
      </c>
      <c r="AA66" s="29" t="s">
        <v>43</v>
      </c>
      <c r="AB66">
        <v>31199</v>
      </c>
      <c r="AC66">
        <v>70</v>
      </c>
      <c r="AD66">
        <v>3</v>
      </c>
      <c r="AE66">
        <v>64</v>
      </c>
      <c r="AF66">
        <v>64</v>
      </c>
      <c r="AG66" s="29" t="s">
        <v>216</v>
      </c>
      <c r="AH66" s="29" t="s">
        <v>245</v>
      </c>
      <c r="AI66" s="29" t="s">
        <v>246</v>
      </c>
      <c r="AJ66" s="29"/>
      <c r="AL66" s="29" t="s">
        <v>217</v>
      </c>
    </row>
    <row r="67" spans="3:38">
      <c r="C67" t="s">
        <v>91</v>
      </c>
      <c r="D67" t="s">
        <v>24</v>
      </c>
      <c r="E67" t="s">
        <v>43</v>
      </c>
      <c r="F67" t="s">
        <v>107</v>
      </c>
      <c r="G67">
        <v>1020.4</v>
      </c>
      <c r="H67">
        <v>1</v>
      </c>
      <c r="I67">
        <v>1.00035292733618</v>
      </c>
      <c r="J67">
        <v>-0.36</v>
      </c>
      <c r="O67" t="s">
        <v>44</v>
      </c>
      <c r="P67" t="s">
        <v>43</v>
      </c>
      <c r="Q67" t="s">
        <v>0</v>
      </c>
      <c r="R67" t="s">
        <v>56</v>
      </c>
      <c r="S67">
        <v>2024.06</v>
      </c>
      <c r="T67">
        <v>1014.48</v>
      </c>
      <c r="U67">
        <v>0</v>
      </c>
      <c r="V67">
        <v>0</v>
      </c>
      <c r="AA67" s="29" t="s">
        <v>43</v>
      </c>
      <c r="AB67">
        <v>31199</v>
      </c>
      <c r="AC67">
        <v>70</v>
      </c>
      <c r="AD67">
        <v>3</v>
      </c>
      <c r="AE67">
        <v>0</v>
      </c>
      <c r="AF67">
        <v>0</v>
      </c>
      <c r="AG67" s="29" t="s">
        <v>216</v>
      </c>
      <c r="AH67" s="29" t="s">
        <v>218</v>
      </c>
      <c r="AI67" s="29" t="s">
        <v>247</v>
      </c>
      <c r="AJ67" s="29"/>
      <c r="AL67" s="29" t="s">
        <v>217</v>
      </c>
    </row>
    <row r="68" spans="3:38">
      <c r="C68" t="s">
        <v>94</v>
      </c>
      <c r="D68" t="s">
        <v>24</v>
      </c>
      <c r="E68" t="s">
        <v>43</v>
      </c>
      <c r="F68" t="s">
        <v>113</v>
      </c>
      <c r="G68">
        <v>1015.74</v>
      </c>
      <c r="H68">
        <v>1</v>
      </c>
      <c r="I68">
        <v>1</v>
      </c>
      <c r="J68">
        <v>0</v>
      </c>
      <c r="O68" t="s">
        <v>44</v>
      </c>
      <c r="P68" t="s">
        <v>43</v>
      </c>
      <c r="Q68" t="s">
        <v>0</v>
      </c>
      <c r="R68" t="s">
        <v>56</v>
      </c>
      <c r="S68">
        <v>2024.07</v>
      </c>
      <c r="T68">
        <v>1014.48</v>
      </c>
      <c r="U68">
        <v>0</v>
      </c>
      <c r="V68">
        <v>0</v>
      </c>
      <c r="AA68" s="29" t="s">
        <v>43</v>
      </c>
      <c r="AB68">
        <v>31199</v>
      </c>
      <c r="AC68">
        <v>70</v>
      </c>
      <c r="AD68">
        <v>3</v>
      </c>
      <c r="AE68">
        <v>262.5</v>
      </c>
      <c r="AF68">
        <v>262.5</v>
      </c>
      <c r="AG68" s="29" t="s">
        <v>216</v>
      </c>
      <c r="AH68" s="29" t="s">
        <v>248</v>
      </c>
      <c r="AI68" s="29" t="s">
        <v>249</v>
      </c>
      <c r="AJ68" s="29"/>
      <c r="AL68" s="29" t="s">
        <v>217</v>
      </c>
    </row>
    <row r="69" spans="3:38">
      <c r="C69" t="s">
        <v>94</v>
      </c>
      <c r="D69" t="s">
        <v>24</v>
      </c>
      <c r="E69" t="s">
        <v>43</v>
      </c>
      <c r="F69" t="s">
        <v>112</v>
      </c>
      <c r="G69">
        <v>105681.19</v>
      </c>
      <c r="H69">
        <v>0.44771025739971199</v>
      </c>
      <c r="I69">
        <v>0.96460959536598301</v>
      </c>
      <c r="J69">
        <v>3877.32</v>
      </c>
      <c r="O69" t="s">
        <v>44</v>
      </c>
      <c r="P69" t="s">
        <v>43</v>
      </c>
      <c r="Q69" t="s">
        <v>0</v>
      </c>
      <c r="R69" t="s">
        <v>56</v>
      </c>
      <c r="S69">
        <v>2024.08</v>
      </c>
      <c r="T69">
        <v>1014.48</v>
      </c>
      <c r="U69">
        <v>0</v>
      </c>
      <c r="V69">
        <v>0</v>
      </c>
      <c r="AA69" s="29" t="s">
        <v>43</v>
      </c>
      <c r="AB69">
        <v>31199</v>
      </c>
      <c r="AC69">
        <v>70</v>
      </c>
      <c r="AD69">
        <v>3</v>
      </c>
      <c r="AE69">
        <v>15</v>
      </c>
      <c r="AF69">
        <v>15</v>
      </c>
      <c r="AG69" s="29" t="s">
        <v>216</v>
      </c>
      <c r="AH69" s="29" t="s">
        <v>250</v>
      </c>
      <c r="AI69" s="29" t="s">
        <v>251</v>
      </c>
      <c r="AJ69" s="29"/>
      <c r="AL69" s="29" t="s">
        <v>217</v>
      </c>
    </row>
    <row r="70" spans="3:38">
      <c r="C70" t="s">
        <v>96</v>
      </c>
      <c r="D70" t="s">
        <v>24</v>
      </c>
      <c r="E70" t="s">
        <v>43</v>
      </c>
      <c r="F70" t="s">
        <v>117</v>
      </c>
      <c r="G70">
        <v>0</v>
      </c>
      <c r="H70">
        <v>1</v>
      </c>
      <c r="I70">
        <v>0</v>
      </c>
      <c r="J70">
        <v>-17232.310000000001</v>
      </c>
      <c r="O70" t="s">
        <v>44</v>
      </c>
      <c r="P70" t="s">
        <v>43</v>
      </c>
      <c r="Q70" t="s">
        <v>0</v>
      </c>
      <c r="R70" t="s">
        <v>56</v>
      </c>
      <c r="S70">
        <v>2024.09</v>
      </c>
      <c r="T70">
        <v>1164.48</v>
      </c>
      <c r="U70">
        <v>0</v>
      </c>
      <c r="V70">
        <v>0</v>
      </c>
      <c r="AA70" s="29" t="s">
        <v>43</v>
      </c>
      <c r="AB70">
        <v>31199</v>
      </c>
      <c r="AC70">
        <v>70</v>
      </c>
      <c r="AD70">
        <v>3</v>
      </c>
      <c r="AE70">
        <v>72</v>
      </c>
      <c r="AF70">
        <v>72</v>
      </c>
      <c r="AG70" s="29" t="s">
        <v>216</v>
      </c>
      <c r="AH70" s="29" t="s">
        <v>252</v>
      </c>
      <c r="AI70" s="29" t="s">
        <v>253</v>
      </c>
      <c r="AJ70" s="29"/>
      <c r="AL70" s="29" t="s">
        <v>217</v>
      </c>
    </row>
    <row r="71" spans="3:38">
      <c r="C71" t="s">
        <v>96</v>
      </c>
      <c r="D71" t="s">
        <v>24</v>
      </c>
      <c r="E71" t="s">
        <v>43</v>
      </c>
      <c r="F71" t="s">
        <v>118</v>
      </c>
      <c r="G71">
        <v>0</v>
      </c>
      <c r="H71">
        <v>1</v>
      </c>
      <c r="I71">
        <v>0</v>
      </c>
      <c r="J71">
        <v>58825.09</v>
      </c>
      <c r="O71" t="s">
        <v>44</v>
      </c>
      <c r="P71" t="s">
        <v>43</v>
      </c>
      <c r="Q71" t="s">
        <v>0</v>
      </c>
      <c r="R71" t="s">
        <v>56</v>
      </c>
      <c r="S71">
        <v>2024.1</v>
      </c>
      <c r="T71">
        <v>1164.48</v>
      </c>
      <c r="U71">
        <v>0</v>
      </c>
      <c r="V71">
        <v>0</v>
      </c>
      <c r="AA71" s="29" t="s">
        <v>43</v>
      </c>
      <c r="AB71">
        <v>31199</v>
      </c>
      <c r="AC71">
        <v>70</v>
      </c>
      <c r="AD71">
        <v>3</v>
      </c>
      <c r="AE71">
        <v>116</v>
      </c>
      <c r="AF71">
        <v>116</v>
      </c>
      <c r="AG71" s="29" t="s">
        <v>216</v>
      </c>
      <c r="AH71" s="29" t="s">
        <v>254</v>
      </c>
      <c r="AI71" s="29" t="s">
        <v>255</v>
      </c>
      <c r="AJ71" s="29"/>
      <c r="AL71" s="29" t="s">
        <v>217</v>
      </c>
    </row>
    <row r="72" spans="3:38">
      <c r="C72" t="s">
        <v>96</v>
      </c>
      <c r="D72" t="s">
        <v>24</v>
      </c>
      <c r="E72" t="s">
        <v>43</v>
      </c>
      <c r="F72" t="s">
        <v>97</v>
      </c>
      <c r="G72">
        <v>0</v>
      </c>
      <c r="H72">
        <v>1.21440122174941</v>
      </c>
      <c r="I72">
        <v>0</v>
      </c>
      <c r="J72">
        <v>283207.6263</v>
      </c>
      <c r="O72" t="s">
        <v>44</v>
      </c>
      <c r="P72" t="s">
        <v>43</v>
      </c>
      <c r="Q72" t="s">
        <v>0</v>
      </c>
      <c r="R72" t="s">
        <v>56</v>
      </c>
      <c r="S72">
        <v>2024.11</v>
      </c>
      <c r="T72">
        <v>1458.73</v>
      </c>
      <c r="U72">
        <v>0</v>
      </c>
      <c r="V72">
        <v>0</v>
      </c>
      <c r="AA72" s="29" t="s">
        <v>43</v>
      </c>
      <c r="AB72">
        <v>31199</v>
      </c>
      <c r="AC72">
        <v>70</v>
      </c>
      <c r="AD72">
        <v>3</v>
      </c>
      <c r="AE72">
        <v>10252.64</v>
      </c>
      <c r="AF72">
        <v>10252.64</v>
      </c>
      <c r="AG72" s="29" t="s">
        <v>216</v>
      </c>
      <c r="AH72" s="29" t="s">
        <v>256</v>
      </c>
      <c r="AI72" s="29" t="s">
        <v>257</v>
      </c>
      <c r="AJ72" s="29"/>
      <c r="AL72" s="29" t="s">
        <v>217</v>
      </c>
    </row>
    <row r="73" spans="3:38">
      <c r="C73" t="s">
        <v>96</v>
      </c>
      <c r="D73" t="s">
        <v>24</v>
      </c>
      <c r="E73" t="s">
        <v>43</v>
      </c>
      <c r="F73" t="s">
        <v>103</v>
      </c>
      <c r="G73">
        <v>0</v>
      </c>
      <c r="H73">
        <v>1.59637129959542</v>
      </c>
      <c r="I73">
        <v>0</v>
      </c>
      <c r="J73">
        <v>187376.5405</v>
      </c>
      <c r="O73" t="s">
        <v>44</v>
      </c>
      <c r="P73" t="s">
        <v>43</v>
      </c>
      <c r="Q73" t="s">
        <v>0</v>
      </c>
      <c r="R73" t="s">
        <v>56</v>
      </c>
      <c r="S73">
        <v>2024.14</v>
      </c>
      <c r="T73">
        <v>1530.73</v>
      </c>
      <c r="U73">
        <v>0</v>
      </c>
      <c r="V73">
        <v>0</v>
      </c>
      <c r="AA73" s="29" t="s">
        <v>43</v>
      </c>
      <c r="AB73">
        <v>31199</v>
      </c>
      <c r="AC73">
        <v>70</v>
      </c>
      <c r="AD73">
        <v>3</v>
      </c>
      <c r="AE73">
        <v>581</v>
      </c>
      <c r="AF73">
        <v>581</v>
      </c>
      <c r="AG73" s="29" t="s">
        <v>216</v>
      </c>
      <c r="AH73" s="29" t="s">
        <v>258</v>
      </c>
      <c r="AI73" s="29" t="s">
        <v>259</v>
      </c>
      <c r="AJ73" s="29"/>
      <c r="AL73" s="29" t="s">
        <v>217</v>
      </c>
    </row>
    <row r="74" spans="3:38">
      <c r="C74" t="s">
        <v>67</v>
      </c>
      <c r="D74" t="s">
        <v>24</v>
      </c>
      <c r="E74" t="s">
        <v>43</v>
      </c>
      <c r="F74" t="s">
        <v>81</v>
      </c>
      <c r="G74">
        <v>74664.240000000005</v>
      </c>
      <c r="H74">
        <v>0.86893619508452402</v>
      </c>
      <c r="I74">
        <v>1.25131031111878</v>
      </c>
      <c r="J74">
        <v>-14995.3958</v>
      </c>
      <c r="O74" t="s">
        <v>44</v>
      </c>
      <c r="P74" t="s">
        <v>43</v>
      </c>
      <c r="Q74" t="s">
        <v>0</v>
      </c>
      <c r="R74" t="s">
        <v>56</v>
      </c>
      <c r="S74">
        <v>2024.17</v>
      </c>
      <c r="T74">
        <v>1530.73</v>
      </c>
      <c r="U74">
        <v>0</v>
      </c>
      <c r="V74">
        <v>0</v>
      </c>
      <c r="AA74" s="29" t="s">
        <v>43</v>
      </c>
      <c r="AB74">
        <v>31199</v>
      </c>
      <c r="AC74">
        <v>70</v>
      </c>
      <c r="AD74">
        <v>3</v>
      </c>
      <c r="AE74">
        <v>387</v>
      </c>
      <c r="AF74">
        <v>387</v>
      </c>
      <c r="AG74" s="29" t="s">
        <v>216</v>
      </c>
      <c r="AH74" s="29" t="s">
        <v>260</v>
      </c>
      <c r="AI74" s="29" t="s">
        <v>261</v>
      </c>
      <c r="AJ74" s="29"/>
      <c r="AL74" s="29" t="s">
        <v>217</v>
      </c>
    </row>
    <row r="75" spans="3:38">
      <c r="C75" t="s">
        <v>67</v>
      </c>
      <c r="D75" t="s">
        <v>24</v>
      </c>
      <c r="E75" t="s">
        <v>43</v>
      </c>
      <c r="F75" t="s">
        <v>119</v>
      </c>
      <c r="G75">
        <v>2868.32</v>
      </c>
      <c r="H75">
        <v>0.66052393554411404</v>
      </c>
      <c r="I75">
        <v>7.37086071224647E-2</v>
      </c>
      <c r="J75">
        <v>36045.995600000002</v>
      </c>
      <c r="O75" t="s">
        <v>44</v>
      </c>
      <c r="P75" t="s">
        <v>43</v>
      </c>
      <c r="Q75" t="s">
        <v>0</v>
      </c>
      <c r="R75" t="s">
        <v>56</v>
      </c>
      <c r="S75">
        <v>2024.18</v>
      </c>
      <c r="T75">
        <v>3061.46</v>
      </c>
      <c r="U75">
        <v>0</v>
      </c>
      <c r="V75">
        <v>0</v>
      </c>
      <c r="AA75" s="29" t="s">
        <v>43</v>
      </c>
      <c r="AB75">
        <v>31199</v>
      </c>
      <c r="AC75">
        <v>70</v>
      </c>
      <c r="AD75">
        <v>3</v>
      </c>
      <c r="AE75">
        <v>721</v>
      </c>
      <c r="AF75">
        <v>721</v>
      </c>
      <c r="AG75" s="29" t="s">
        <v>216</v>
      </c>
      <c r="AH75" s="29" t="s">
        <v>262</v>
      </c>
      <c r="AI75" s="29" t="s">
        <v>263</v>
      </c>
      <c r="AJ75" s="29"/>
      <c r="AL75" s="29" t="s">
        <v>217</v>
      </c>
    </row>
    <row r="76" spans="3:38">
      <c r="C76" t="s">
        <v>67</v>
      </c>
      <c r="D76" t="s">
        <v>24</v>
      </c>
      <c r="E76" t="s">
        <v>43</v>
      </c>
      <c r="F76" t="s">
        <v>120</v>
      </c>
      <c r="G76">
        <v>0</v>
      </c>
      <c r="H76">
        <v>1.7289596724930001</v>
      </c>
      <c r="I76">
        <v>0</v>
      </c>
      <c r="J76">
        <v>35577.269999999997</v>
      </c>
      <c r="O76" t="s">
        <v>44</v>
      </c>
      <c r="P76" t="s">
        <v>43</v>
      </c>
      <c r="Q76" t="s">
        <v>0</v>
      </c>
      <c r="R76" t="s">
        <v>56</v>
      </c>
      <c r="S76">
        <v>2024.19</v>
      </c>
      <c r="T76">
        <v>1530.73</v>
      </c>
      <c r="U76">
        <v>0</v>
      </c>
      <c r="V76">
        <v>0</v>
      </c>
      <c r="AA76" s="29" t="s">
        <v>43</v>
      </c>
      <c r="AB76">
        <v>31199</v>
      </c>
      <c r="AC76">
        <v>70</v>
      </c>
      <c r="AD76">
        <v>3</v>
      </c>
      <c r="AE76">
        <v>696</v>
      </c>
      <c r="AF76">
        <v>696</v>
      </c>
      <c r="AG76" s="29" t="s">
        <v>216</v>
      </c>
      <c r="AH76" s="29" t="s">
        <v>264</v>
      </c>
      <c r="AI76" s="29" t="s">
        <v>265</v>
      </c>
      <c r="AJ76" s="29"/>
      <c r="AL76" s="29" t="s">
        <v>217</v>
      </c>
    </row>
    <row r="77" spans="3:38">
      <c r="C77" t="s">
        <v>62</v>
      </c>
      <c r="D77" t="s">
        <v>24</v>
      </c>
      <c r="E77" t="s">
        <v>43</v>
      </c>
      <c r="F77" t="s">
        <v>120</v>
      </c>
      <c r="G77">
        <v>575.74</v>
      </c>
      <c r="H77">
        <v>0.89211894180749496</v>
      </c>
      <c r="I77">
        <v>3.4811188022703999E-3</v>
      </c>
      <c r="J77">
        <v>164813.61689999999</v>
      </c>
      <c r="O77" t="s">
        <v>44</v>
      </c>
      <c r="P77" t="s">
        <v>43</v>
      </c>
      <c r="Q77" t="s">
        <v>0</v>
      </c>
      <c r="R77" t="s">
        <v>56</v>
      </c>
      <c r="S77">
        <v>2024.2</v>
      </c>
      <c r="T77">
        <v>1530.73</v>
      </c>
      <c r="U77">
        <v>0</v>
      </c>
      <c r="V77">
        <v>0</v>
      </c>
      <c r="AA77" s="29" t="s">
        <v>43</v>
      </c>
      <c r="AB77">
        <v>31199</v>
      </c>
      <c r="AC77">
        <v>70</v>
      </c>
      <c r="AD77">
        <v>3</v>
      </c>
      <c r="AE77">
        <v>1974</v>
      </c>
      <c r="AF77">
        <v>1974</v>
      </c>
      <c r="AG77" s="29" t="s">
        <v>216</v>
      </c>
      <c r="AH77" s="29" t="s">
        <v>266</v>
      </c>
      <c r="AI77" s="29" t="s">
        <v>267</v>
      </c>
      <c r="AJ77" s="29"/>
      <c r="AL77" s="29" t="s">
        <v>217</v>
      </c>
    </row>
    <row r="78" spans="3:38">
      <c r="C78" t="s">
        <v>66</v>
      </c>
      <c r="D78" t="s">
        <v>24</v>
      </c>
      <c r="E78" t="s">
        <v>43</v>
      </c>
      <c r="F78" t="s">
        <v>81</v>
      </c>
      <c r="G78">
        <v>104416.4</v>
      </c>
      <c r="H78">
        <v>0.91138106007782005</v>
      </c>
      <c r="I78">
        <v>1.0153020601174501</v>
      </c>
      <c r="J78">
        <v>-1573.7050999999999</v>
      </c>
      <c r="O78" t="s">
        <v>44</v>
      </c>
      <c r="P78" t="s">
        <v>43</v>
      </c>
      <c r="Q78" t="s">
        <v>0</v>
      </c>
      <c r="R78" t="s">
        <v>56</v>
      </c>
      <c r="S78">
        <v>2024.21</v>
      </c>
      <c r="T78">
        <v>1530.73</v>
      </c>
      <c r="U78">
        <v>0</v>
      </c>
      <c r="V78">
        <v>0</v>
      </c>
      <c r="AA78" s="29" t="s">
        <v>43</v>
      </c>
      <c r="AB78">
        <v>31199</v>
      </c>
      <c r="AC78">
        <v>70</v>
      </c>
      <c r="AD78">
        <v>3</v>
      </c>
      <c r="AE78">
        <v>5648</v>
      </c>
      <c r="AF78">
        <v>5648</v>
      </c>
      <c r="AG78" s="29" t="s">
        <v>216</v>
      </c>
      <c r="AH78" s="29" t="s">
        <v>268</v>
      </c>
      <c r="AI78" s="29" t="s">
        <v>269</v>
      </c>
      <c r="AJ78" s="29"/>
      <c r="AL78" s="29" t="s">
        <v>217</v>
      </c>
    </row>
    <row r="79" spans="3:38">
      <c r="C79" t="s">
        <v>95</v>
      </c>
      <c r="D79" t="s">
        <v>24</v>
      </c>
      <c r="E79" t="s">
        <v>43</v>
      </c>
      <c r="F79" t="s">
        <v>106</v>
      </c>
      <c r="G79">
        <v>146.47</v>
      </c>
      <c r="H79">
        <v>1</v>
      </c>
      <c r="I79">
        <v>1.03439265536723</v>
      </c>
      <c r="J79">
        <v>-4.87</v>
      </c>
      <c r="O79" t="s">
        <v>44</v>
      </c>
      <c r="P79" t="s">
        <v>43</v>
      </c>
      <c r="Q79" t="s">
        <v>0</v>
      </c>
      <c r="R79" t="s">
        <v>56</v>
      </c>
      <c r="S79">
        <v>2024.28</v>
      </c>
      <c r="T79">
        <v>1530.73</v>
      </c>
      <c r="U79">
        <v>0</v>
      </c>
      <c r="V79">
        <v>0</v>
      </c>
      <c r="AA79" s="29" t="s">
        <v>43</v>
      </c>
      <c r="AB79">
        <v>31199</v>
      </c>
      <c r="AC79">
        <v>70</v>
      </c>
      <c r="AD79">
        <v>3</v>
      </c>
      <c r="AE79">
        <v>41.9</v>
      </c>
      <c r="AF79">
        <v>41.9</v>
      </c>
      <c r="AG79" s="29" t="s">
        <v>216</v>
      </c>
      <c r="AH79" s="29" t="s">
        <v>270</v>
      </c>
      <c r="AI79" s="29" t="s">
        <v>271</v>
      </c>
      <c r="AJ79" s="29"/>
      <c r="AL79" s="29" t="s">
        <v>217</v>
      </c>
    </row>
    <row r="80" spans="3:38">
      <c r="C80" t="s">
        <v>95</v>
      </c>
      <c r="D80" t="s">
        <v>24</v>
      </c>
      <c r="E80" t="s">
        <v>43</v>
      </c>
      <c r="F80" t="s">
        <v>104</v>
      </c>
      <c r="G80">
        <v>305.83</v>
      </c>
      <c r="H80">
        <v>1</v>
      </c>
      <c r="I80">
        <v>27.552252252252298</v>
      </c>
      <c r="J80">
        <v>-294.73</v>
      </c>
      <c r="O80" t="s">
        <v>44</v>
      </c>
      <c r="P80" t="s">
        <v>43</v>
      </c>
      <c r="Q80" t="s">
        <v>0</v>
      </c>
      <c r="R80" t="s">
        <v>56</v>
      </c>
      <c r="S80">
        <v>2024.38</v>
      </c>
      <c r="T80">
        <v>3061.46</v>
      </c>
      <c r="U80">
        <v>0</v>
      </c>
      <c r="V80">
        <v>0</v>
      </c>
      <c r="AA80" s="29" t="s">
        <v>43</v>
      </c>
      <c r="AB80">
        <v>31199</v>
      </c>
      <c r="AC80">
        <v>70</v>
      </c>
      <c r="AD80">
        <v>3</v>
      </c>
      <c r="AE80">
        <v>2386</v>
      </c>
      <c r="AF80">
        <v>2386</v>
      </c>
      <c r="AG80" s="29" t="s">
        <v>216</v>
      </c>
      <c r="AH80" s="29" t="s">
        <v>272</v>
      </c>
      <c r="AI80" s="29" t="s">
        <v>273</v>
      </c>
      <c r="AJ80" s="29"/>
      <c r="AL80" s="29" t="s">
        <v>217</v>
      </c>
    </row>
    <row r="81" spans="3:38">
      <c r="C81" t="s">
        <v>66</v>
      </c>
      <c r="D81" t="s">
        <v>24</v>
      </c>
      <c r="E81" t="s">
        <v>43</v>
      </c>
      <c r="F81" t="s">
        <v>119</v>
      </c>
      <c r="G81">
        <v>0</v>
      </c>
      <c r="H81">
        <v>1</v>
      </c>
      <c r="I81">
        <v>0</v>
      </c>
      <c r="J81">
        <v>5000</v>
      </c>
      <c r="O81" t="s">
        <v>44</v>
      </c>
      <c r="P81" t="s">
        <v>43</v>
      </c>
      <c r="Q81" t="s">
        <v>0</v>
      </c>
      <c r="R81" t="s">
        <v>56</v>
      </c>
      <c r="S81">
        <v>2024.39</v>
      </c>
      <c r="T81">
        <v>1530.73</v>
      </c>
      <c r="U81">
        <v>0</v>
      </c>
      <c r="V81">
        <v>0</v>
      </c>
      <c r="AA81" s="29" t="s">
        <v>43</v>
      </c>
      <c r="AB81">
        <v>31199</v>
      </c>
      <c r="AC81">
        <v>70</v>
      </c>
      <c r="AD81">
        <v>3</v>
      </c>
      <c r="AE81">
        <v>225</v>
      </c>
      <c r="AF81">
        <v>225</v>
      </c>
      <c r="AG81" s="29" t="s">
        <v>216</v>
      </c>
      <c r="AH81" s="29" t="s">
        <v>274</v>
      </c>
      <c r="AI81" s="29" t="s">
        <v>275</v>
      </c>
      <c r="AJ81" s="29"/>
      <c r="AL81" s="29" t="s">
        <v>217</v>
      </c>
    </row>
    <row r="82" spans="3:38">
      <c r="C82" t="s">
        <v>95</v>
      </c>
      <c r="D82" t="s">
        <v>24</v>
      </c>
      <c r="E82" t="s">
        <v>43</v>
      </c>
      <c r="F82" t="s">
        <v>110</v>
      </c>
      <c r="G82">
        <v>809.14</v>
      </c>
      <c r="H82">
        <v>1</v>
      </c>
      <c r="I82">
        <v>1</v>
      </c>
      <c r="J82">
        <v>0</v>
      </c>
      <c r="O82" t="s">
        <v>44</v>
      </c>
      <c r="P82" t="s">
        <v>43</v>
      </c>
      <c r="Q82" t="s">
        <v>0</v>
      </c>
      <c r="R82" t="s">
        <v>56</v>
      </c>
      <c r="S82">
        <v>2024.41</v>
      </c>
      <c r="T82">
        <v>1530.73</v>
      </c>
      <c r="U82">
        <v>0</v>
      </c>
      <c r="V82">
        <v>0</v>
      </c>
      <c r="AA82" s="29" t="s">
        <v>43</v>
      </c>
      <c r="AB82">
        <v>31199</v>
      </c>
      <c r="AC82">
        <v>70</v>
      </c>
      <c r="AD82">
        <v>3</v>
      </c>
      <c r="AE82">
        <v>0</v>
      </c>
      <c r="AF82">
        <v>0</v>
      </c>
      <c r="AG82" s="29" t="s">
        <v>216</v>
      </c>
      <c r="AH82" s="29" t="s">
        <v>218</v>
      </c>
      <c r="AI82" s="29" t="s">
        <v>276</v>
      </c>
      <c r="AJ82" s="29"/>
      <c r="AL82" s="29" t="s">
        <v>217</v>
      </c>
    </row>
    <row r="83" spans="3:38">
      <c r="C83" t="s">
        <v>95</v>
      </c>
      <c r="D83" t="s">
        <v>24</v>
      </c>
      <c r="E83" t="s">
        <v>43</v>
      </c>
      <c r="F83" t="s">
        <v>108</v>
      </c>
      <c r="G83">
        <v>99610.74</v>
      </c>
      <c r="H83">
        <v>1</v>
      </c>
      <c r="I83">
        <v>0.90611586826241097</v>
      </c>
      <c r="J83">
        <v>10320.83</v>
      </c>
      <c r="O83" t="s">
        <v>44</v>
      </c>
      <c r="P83" t="s">
        <v>43</v>
      </c>
      <c r="Q83" t="s">
        <v>0</v>
      </c>
      <c r="R83" t="s">
        <v>56</v>
      </c>
      <c r="S83">
        <v>2024.43</v>
      </c>
      <c r="T83">
        <v>1530.73</v>
      </c>
      <c r="U83">
        <v>0</v>
      </c>
      <c r="V83">
        <v>0</v>
      </c>
      <c r="AA83" s="29" t="s">
        <v>43</v>
      </c>
      <c r="AB83">
        <v>31199</v>
      </c>
      <c r="AC83">
        <v>70</v>
      </c>
      <c r="AD83">
        <v>3</v>
      </c>
      <c r="AE83">
        <v>40.799999999999997</v>
      </c>
      <c r="AF83">
        <v>40.799999999999997</v>
      </c>
      <c r="AG83" s="29" t="s">
        <v>216</v>
      </c>
      <c r="AH83" s="29" t="s">
        <v>277</v>
      </c>
      <c r="AI83" s="29" t="s">
        <v>278</v>
      </c>
      <c r="AJ83" s="29"/>
      <c r="AL83" s="29" t="s">
        <v>217</v>
      </c>
    </row>
    <row r="84" spans="3:38">
      <c r="C84" t="s">
        <v>95</v>
      </c>
      <c r="D84" t="s">
        <v>24</v>
      </c>
      <c r="E84" t="s">
        <v>43</v>
      </c>
      <c r="F84" t="s">
        <v>112</v>
      </c>
      <c r="G84">
        <v>3744.35</v>
      </c>
      <c r="H84">
        <v>0.99628698032204699</v>
      </c>
      <c r="I84">
        <v>6.9326142159000098E-2</v>
      </c>
      <c r="J84">
        <v>50266.3</v>
      </c>
      <c r="O84" t="s">
        <v>44</v>
      </c>
      <c r="P84" t="s">
        <v>43</v>
      </c>
      <c r="Q84" t="s">
        <v>0</v>
      </c>
      <c r="R84" t="s">
        <v>56</v>
      </c>
      <c r="S84">
        <v>2024.44</v>
      </c>
      <c r="T84">
        <v>1530.73</v>
      </c>
      <c r="U84">
        <v>0</v>
      </c>
      <c r="V84">
        <v>1530.73</v>
      </c>
      <c r="AA84" s="29" t="s">
        <v>43</v>
      </c>
      <c r="AB84">
        <v>31199</v>
      </c>
      <c r="AC84">
        <v>70</v>
      </c>
      <c r="AD84">
        <v>3</v>
      </c>
      <c r="AE84">
        <v>110</v>
      </c>
      <c r="AF84">
        <v>110</v>
      </c>
      <c r="AG84" s="29" t="s">
        <v>216</v>
      </c>
      <c r="AH84" s="29" t="s">
        <v>279</v>
      </c>
      <c r="AI84" s="29" t="s">
        <v>280</v>
      </c>
      <c r="AJ84" s="29"/>
      <c r="AL84" s="29" t="s">
        <v>217</v>
      </c>
    </row>
    <row r="85" spans="3:38">
      <c r="C85" t="s">
        <v>95</v>
      </c>
      <c r="D85" t="s">
        <v>24</v>
      </c>
      <c r="E85" t="s">
        <v>43</v>
      </c>
      <c r="F85" t="s">
        <v>111</v>
      </c>
      <c r="G85">
        <v>201.29</v>
      </c>
      <c r="H85">
        <v>1</v>
      </c>
      <c r="I85">
        <v>1</v>
      </c>
      <c r="J85">
        <v>0</v>
      </c>
      <c r="O85" t="s">
        <v>44</v>
      </c>
      <c r="P85" t="s">
        <v>43</v>
      </c>
      <c r="Q85" t="s">
        <v>0</v>
      </c>
      <c r="R85" t="s">
        <v>56</v>
      </c>
      <c r="S85">
        <v>2024.45</v>
      </c>
      <c r="T85">
        <v>1530.73</v>
      </c>
      <c r="U85">
        <v>0</v>
      </c>
      <c r="V85">
        <v>1530.73</v>
      </c>
      <c r="AA85" s="29" t="s">
        <v>43</v>
      </c>
      <c r="AB85">
        <v>31199</v>
      </c>
      <c r="AC85">
        <v>70</v>
      </c>
      <c r="AD85">
        <v>3</v>
      </c>
      <c r="AE85">
        <v>44</v>
      </c>
      <c r="AF85">
        <v>44</v>
      </c>
      <c r="AG85" s="29" t="s">
        <v>216</v>
      </c>
      <c r="AH85" s="29" t="s">
        <v>281</v>
      </c>
      <c r="AI85" s="29" t="s">
        <v>282</v>
      </c>
      <c r="AJ85" s="29"/>
      <c r="AL85" s="29" t="s">
        <v>217</v>
      </c>
    </row>
    <row r="86" spans="3:38">
      <c r="C86" t="s">
        <v>95</v>
      </c>
      <c r="D86" t="s">
        <v>24</v>
      </c>
      <c r="E86" t="s">
        <v>43</v>
      </c>
      <c r="F86" t="s">
        <v>113</v>
      </c>
      <c r="G86">
        <v>425.56</v>
      </c>
      <c r="H86">
        <v>1</v>
      </c>
      <c r="I86">
        <v>1</v>
      </c>
      <c r="J86">
        <v>0</v>
      </c>
      <c r="O86" t="s">
        <v>44</v>
      </c>
      <c r="P86" t="s">
        <v>43</v>
      </c>
      <c r="Q86" t="s">
        <v>0</v>
      </c>
      <c r="R86" t="s">
        <v>56</v>
      </c>
      <c r="S86">
        <v>2024.47</v>
      </c>
      <c r="T86">
        <v>1530.73</v>
      </c>
      <c r="U86">
        <v>0</v>
      </c>
      <c r="V86">
        <v>1530.73</v>
      </c>
      <c r="AA86" s="29" t="s">
        <v>43</v>
      </c>
      <c r="AB86">
        <v>31199</v>
      </c>
      <c r="AC86">
        <v>70</v>
      </c>
      <c r="AD86">
        <v>3</v>
      </c>
      <c r="AE86">
        <v>1482</v>
      </c>
      <c r="AF86">
        <v>1482</v>
      </c>
      <c r="AG86" s="29" t="s">
        <v>216</v>
      </c>
      <c r="AH86" s="29" t="s">
        <v>283</v>
      </c>
      <c r="AI86" s="29" t="s">
        <v>284</v>
      </c>
      <c r="AJ86" s="29"/>
      <c r="AL86" s="29" t="s">
        <v>217</v>
      </c>
    </row>
    <row r="87" spans="3:38">
      <c r="C87" t="s">
        <v>94</v>
      </c>
      <c r="D87" t="s">
        <v>24</v>
      </c>
      <c r="E87" t="s">
        <v>43</v>
      </c>
      <c r="F87" t="s">
        <v>110</v>
      </c>
      <c r="G87">
        <v>48.56</v>
      </c>
      <c r="H87">
        <v>1</v>
      </c>
      <c r="I87">
        <v>1</v>
      </c>
      <c r="J87">
        <v>0</v>
      </c>
      <c r="O87" t="s">
        <v>44</v>
      </c>
      <c r="P87" t="s">
        <v>43</v>
      </c>
      <c r="Q87" t="s">
        <v>0</v>
      </c>
      <c r="R87" t="s">
        <v>56</v>
      </c>
      <c r="S87">
        <v>2024.48</v>
      </c>
      <c r="T87">
        <v>1530.73</v>
      </c>
      <c r="U87">
        <v>0</v>
      </c>
      <c r="V87">
        <v>1530.73</v>
      </c>
      <c r="AA87" s="29" t="s">
        <v>43</v>
      </c>
      <c r="AB87">
        <v>31199</v>
      </c>
      <c r="AC87">
        <v>70</v>
      </c>
      <c r="AD87">
        <v>3</v>
      </c>
      <c r="AE87">
        <v>1464</v>
      </c>
      <c r="AF87">
        <v>1464</v>
      </c>
      <c r="AG87" s="29" t="s">
        <v>216</v>
      </c>
      <c r="AH87" s="29" t="s">
        <v>285</v>
      </c>
      <c r="AI87" s="29" t="s">
        <v>286</v>
      </c>
      <c r="AJ87" s="29"/>
      <c r="AL87" s="29" t="s">
        <v>217</v>
      </c>
    </row>
    <row r="88" spans="3:38">
      <c r="C88" t="s">
        <v>94</v>
      </c>
      <c r="D88" t="s">
        <v>24</v>
      </c>
      <c r="E88" t="s">
        <v>43</v>
      </c>
      <c r="F88" t="s">
        <v>108</v>
      </c>
      <c r="G88">
        <v>110462.9</v>
      </c>
      <c r="H88">
        <v>1.00090182473592</v>
      </c>
      <c r="I88">
        <v>1.0017958573935799</v>
      </c>
      <c r="J88">
        <v>-198.02</v>
      </c>
      <c r="O88" t="s">
        <v>44</v>
      </c>
      <c r="P88" t="s">
        <v>43</v>
      </c>
      <c r="Q88" t="s">
        <v>0</v>
      </c>
      <c r="R88" t="s">
        <v>56</v>
      </c>
      <c r="S88">
        <v>2024.49</v>
      </c>
      <c r="T88">
        <v>1530.73</v>
      </c>
      <c r="U88">
        <v>0</v>
      </c>
      <c r="V88">
        <v>1530.73</v>
      </c>
      <c r="AA88" s="29" t="s">
        <v>43</v>
      </c>
      <c r="AB88">
        <v>31199</v>
      </c>
      <c r="AC88">
        <v>70</v>
      </c>
      <c r="AD88">
        <v>3</v>
      </c>
      <c r="AE88">
        <v>0</v>
      </c>
      <c r="AF88">
        <v>0</v>
      </c>
      <c r="AG88" s="29" t="s">
        <v>216</v>
      </c>
      <c r="AH88" s="29" t="s">
        <v>218</v>
      </c>
      <c r="AI88" s="29" t="s">
        <v>287</v>
      </c>
      <c r="AJ88" s="29"/>
      <c r="AL88" s="29" t="s">
        <v>217</v>
      </c>
    </row>
    <row r="89" spans="3:38">
      <c r="C89" t="s">
        <v>94</v>
      </c>
      <c r="D89" t="s">
        <v>24</v>
      </c>
      <c r="E89" t="s">
        <v>43</v>
      </c>
      <c r="F89" t="s">
        <v>111</v>
      </c>
      <c r="G89">
        <v>36132.57</v>
      </c>
      <c r="H89">
        <v>1</v>
      </c>
      <c r="I89">
        <v>1</v>
      </c>
      <c r="J89">
        <v>0</v>
      </c>
      <c r="O89" t="s">
        <v>44</v>
      </c>
      <c r="P89" t="s">
        <v>43</v>
      </c>
      <c r="Q89" t="s">
        <v>0</v>
      </c>
      <c r="R89" t="s">
        <v>56</v>
      </c>
      <c r="S89">
        <v>2024.52</v>
      </c>
      <c r="T89">
        <v>1530.73</v>
      </c>
      <c r="U89">
        <v>0</v>
      </c>
      <c r="V89">
        <v>1530.73</v>
      </c>
      <c r="AA89" s="29" t="s">
        <v>43</v>
      </c>
      <c r="AB89">
        <v>31199</v>
      </c>
      <c r="AC89">
        <v>70</v>
      </c>
      <c r="AD89">
        <v>3</v>
      </c>
      <c r="AE89">
        <v>0</v>
      </c>
      <c r="AF89">
        <v>0</v>
      </c>
      <c r="AG89" s="29" t="s">
        <v>216</v>
      </c>
      <c r="AH89" s="29" t="s">
        <v>218</v>
      </c>
      <c r="AI89" s="29" t="s">
        <v>288</v>
      </c>
      <c r="AJ89" s="29"/>
      <c r="AL89" s="29" t="s">
        <v>217</v>
      </c>
    </row>
    <row r="90" spans="3:38">
      <c r="C90" t="s">
        <v>54</v>
      </c>
      <c r="D90" t="s">
        <v>24</v>
      </c>
      <c r="E90" t="s">
        <v>43</v>
      </c>
      <c r="F90" t="s">
        <v>112</v>
      </c>
      <c r="G90">
        <v>302.83</v>
      </c>
      <c r="H90">
        <v>1</v>
      </c>
      <c r="I90">
        <v>1.4496409765438001</v>
      </c>
      <c r="J90">
        <v>-93.93</v>
      </c>
      <c r="O90" t="s">
        <v>44</v>
      </c>
      <c r="P90" t="s">
        <v>43</v>
      </c>
      <c r="Q90" t="s">
        <v>0</v>
      </c>
      <c r="R90" t="s">
        <v>56</v>
      </c>
      <c r="S90">
        <v>2025.03</v>
      </c>
      <c r="T90">
        <v>1530.73</v>
      </c>
      <c r="U90">
        <v>0</v>
      </c>
      <c r="V90">
        <v>1530.73</v>
      </c>
      <c r="AA90" s="29" t="s">
        <v>43</v>
      </c>
      <c r="AB90">
        <v>31199</v>
      </c>
      <c r="AC90">
        <v>70</v>
      </c>
      <c r="AD90">
        <v>3</v>
      </c>
      <c r="AE90">
        <v>0</v>
      </c>
      <c r="AF90">
        <v>0</v>
      </c>
      <c r="AG90" s="29" t="s">
        <v>216</v>
      </c>
      <c r="AH90" s="29" t="s">
        <v>218</v>
      </c>
      <c r="AI90" s="29" t="s">
        <v>289</v>
      </c>
      <c r="AJ90" s="29"/>
      <c r="AL90" s="29" t="s">
        <v>217</v>
      </c>
    </row>
    <row r="91" spans="3:38">
      <c r="C91" t="s">
        <v>91</v>
      </c>
      <c r="D91" t="s">
        <v>24</v>
      </c>
      <c r="E91" t="s">
        <v>43</v>
      </c>
      <c r="F91" t="s">
        <v>114</v>
      </c>
      <c r="G91">
        <v>2222.23</v>
      </c>
      <c r="H91">
        <v>1</v>
      </c>
      <c r="I91">
        <v>3.8125</v>
      </c>
      <c r="J91">
        <v>-1639.35</v>
      </c>
      <c r="O91" t="s">
        <v>44</v>
      </c>
      <c r="P91" t="s">
        <v>43</v>
      </c>
      <c r="Q91" t="s">
        <v>0</v>
      </c>
      <c r="R91" t="s">
        <v>56</v>
      </c>
      <c r="S91">
        <v>2025.12</v>
      </c>
      <c r="T91">
        <v>1530.73</v>
      </c>
      <c r="U91">
        <v>0</v>
      </c>
      <c r="V91">
        <v>1530.73</v>
      </c>
      <c r="AA91" s="29" t="s">
        <v>43</v>
      </c>
      <c r="AB91">
        <v>31199</v>
      </c>
      <c r="AC91">
        <v>70</v>
      </c>
      <c r="AD91">
        <v>3</v>
      </c>
      <c r="AE91">
        <v>0</v>
      </c>
      <c r="AF91">
        <v>0</v>
      </c>
      <c r="AG91" s="29" t="s">
        <v>216</v>
      </c>
      <c r="AH91" s="29" t="s">
        <v>218</v>
      </c>
      <c r="AI91" s="29" t="s">
        <v>290</v>
      </c>
      <c r="AJ91" s="29"/>
      <c r="AL91" s="29" t="s">
        <v>217</v>
      </c>
    </row>
    <row r="92" spans="3:38">
      <c r="C92" t="s">
        <v>91</v>
      </c>
      <c r="D92" t="s">
        <v>24</v>
      </c>
      <c r="E92" t="s">
        <v>43</v>
      </c>
      <c r="F92" t="s">
        <v>81</v>
      </c>
      <c r="G92">
        <v>18321.84</v>
      </c>
      <c r="H92">
        <v>1</v>
      </c>
      <c r="I92">
        <v>1.1103916646566101</v>
      </c>
      <c r="J92">
        <v>-1821.5</v>
      </c>
      <c r="O92" t="s">
        <v>44</v>
      </c>
      <c r="P92" t="s">
        <v>43</v>
      </c>
      <c r="Q92" t="s">
        <v>20</v>
      </c>
      <c r="R92" t="s">
        <v>55</v>
      </c>
      <c r="S92">
        <v>2023.51</v>
      </c>
      <c r="T92">
        <v>137.46</v>
      </c>
      <c r="U92">
        <v>0</v>
      </c>
      <c r="V92">
        <v>0</v>
      </c>
      <c r="AA92" s="29" t="s">
        <v>43</v>
      </c>
      <c r="AB92">
        <v>31199</v>
      </c>
      <c r="AC92">
        <v>70</v>
      </c>
      <c r="AD92">
        <v>3</v>
      </c>
      <c r="AE92">
        <v>0</v>
      </c>
      <c r="AF92">
        <v>0</v>
      </c>
      <c r="AG92" s="29" t="s">
        <v>216</v>
      </c>
      <c r="AH92" s="29" t="s">
        <v>218</v>
      </c>
      <c r="AI92" s="29" t="s">
        <v>291</v>
      </c>
      <c r="AJ92" s="29"/>
      <c r="AL92" s="29" t="s">
        <v>217</v>
      </c>
    </row>
    <row r="93" spans="3:38">
      <c r="C93" t="s">
        <v>60</v>
      </c>
      <c r="D93" t="s">
        <v>24</v>
      </c>
      <c r="E93" t="s">
        <v>43</v>
      </c>
      <c r="F93" t="s">
        <v>121</v>
      </c>
      <c r="G93">
        <v>13613.88</v>
      </c>
      <c r="H93">
        <v>1</v>
      </c>
      <c r="I93">
        <v>1</v>
      </c>
      <c r="J93">
        <v>0</v>
      </c>
      <c r="O93" t="s">
        <v>44</v>
      </c>
      <c r="P93" t="s">
        <v>43</v>
      </c>
      <c r="Q93" t="s">
        <v>20</v>
      </c>
      <c r="R93" t="s">
        <v>55</v>
      </c>
      <c r="S93">
        <v>2024.06</v>
      </c>
      <c r="T93">
        <v>137.46</v>
      </c>
      <c r="U93">
        <v>0</v>
      </c>
      <c r="V93">
        <v>0</v>
      </c>
      <c r="AA93" s="29" t="s">
        <v>43</v>
      </c>
      <c r="AB93">
        <v>31199</v>
      </c>
      <c r="AC93">
        <v>70</v>
      </c>
      <c r="AD93">
        <v>3</v>
      </c>
      <c r="AE93">
        <v>0</v>
      </c>
      <c r="AF93">
        <v>0</v>
      </c>
      <c r="AG93" s="29" t="s">
        <v>216</v>
      </c>
      <c r="AH93" s="29" t="s">
        <v>218</v>
      </c>
      <c r="AI93" s="29" t="s">
        <v>292</v>
      </c>
      <c r="AJ93" s="29"/>
      <c r="AL93" s="29" t="s">
        <v>217</v>
      </c>
    </row>
    <row r="94" spans="3:38">
      <c r="C94" t="s">
        <v>56</v>
      </c>
      <c r="D94" t="s">
        <v>24</v>
      </c>
      <c r="E94" t="s">
        <v>43</v>
      </c>
      <c r="F94" t="s">
        <v>110</v>
      </c>
      <c r="G94">
        <v>7207.43</v>
      </c>
      <c r="H94">
        <v>1</v>
      </c>
      <c r="I94">
        <v>1.5411061860806201</v>
      </c>
      <c r="J94">
        <v>-2530.64</v>
      </c>
      <c r="O94" t="s">
        <v>44</v>
      </c>
      <c r="P94" t="s">
        <v>43</v>
      </c>
      <c r="Q94" t="s">
        <v>20</v>
      </c>
      <c r="R94" t="s">
        <v>55</v>
      </c>
      <c r="S94">
        <v>2024.07</v>
      </c>
      <c r="T94">
        <v>137.46</v>
      </c>
      <c r="U94">
        <v>0</v>
      </c>
      <c r="V94">
        <v>0</v>
      </c>
      <c r="AA94" s="29" t="s">
        <v>43</v>
      </c>
      <c r="AB94">
        <v>31199</v>
      </c>
      <c r="AC94">
        <v>70</v>
      </c>
      <c r="AD94">
        <v>3</v>
      </c>
      <c r="AE94">
        <v>0</v>
      </c>
      <c r="AF94">
        <v>0</v>
      </c>
      <c r="AG94" s="29" t="s">
        <v>216</v>
      </c>
      <c r="AH94" s="29" t="s">
        <v>218</v>
      </c>
      <c r="AI94" s="29" t="s">
        <v>293</v>
      </c>
      <c r="AJ94" s="29"/>
      <c r="AL94" s="29" t="s">
        <v>217</v>
      </c>
    </row>
    <row r="95" spans="3:38">
      <c r="C95" t="s">
        <v>60</v>
      </c>
      <c r="D95" t="s">
        <v>24</v>
      </c>
      <c r="E95" t="s">
        <v>43</v>
      </c>
      <c r="F95" t="s">
        <v>119</v>
      </c>
      <c r="G95">
        <v>40061.360000000001</v>
      </c>
      <c r="H95">
        <v>0.86527444847456603</v>
      </c>
      <c r="I95">
        <v>0.311883058050202</v>
      </c>
      <c r="J95">
        <v>88388.579700000002</v>
      </c>
      <c r="O95" t="s">
        <v>44</v>
      </c>
      <c r="P95" t="s">
        <v>43</v>
      </c>
      <c r="Q95" t="s">
        <v>20</v>
      </c>
      <c r="R95" t="s">
        <v>55</v>
      </c>
      <c r="S95">
        <v>2024.08</v>
      </c>
      <c r="T95">
        <v>137.46</v>
      </c>
      <c r="U95">
        <v>0</v>
      </c>
      <c r="V95">
        <v>0</v>
      </c>
      <c r="AA95" s="29" t="s">
        <v>43</v>
      </c>
      <c r="AB95">
        <v>31199</v>
      </c>
      <c r="AC95">
        <v>70</v>
      </c>
      <c r="AD95">
        <v>3</v>
      </c>
      <c r="AE95">
        <v>0</v>
      </c>
      <c r="AF95">
        <v>0</v>
      </c>
      <c r="AG95" s="29" t="s">
        <v>216</v>
      </c>
      <c r="AH95" s="29" t="s">
        <v>218</v>
      </c>
      <c r="AI95" s="29" t="s">
        <v>294</v>
      </c>
      <c r="AJ95" s="29"/>
      <c r="AL95" s="29" t="s">
        <v>217</v>
      </c>
    </row>
    <row r="96" spans="3:38">
      <c r="C96" t="s">
        <v>54</v>
      </c>
      <c r="D96" t="s">
        <v>24</v>
      </c>
      <c r="E96" t="s">
        <v>43</v>
      </c>
      <c r="F96" t="s">
        <v>110</v>
      </c>
      <c r="G96">
        <v>530457.75</v>
      </c>
      <c r="H96">
        <v>0.79170042943640095</v>
      </c>
      <c r="I96">
        <v>0.78042730474946798</v>
      </c>
      <c r="J96">
        <v>149243.92980000001</v>
      </c>
      <c r="O96" t="s">
        <v>44</v>
      </c>
      <c r="P96" t="s">
        <v>43</v>
      </c>
      <c r="Q96" t="s">
        <v>20</v>
      </c>
      <c r="R96" t="s">
        <v>55</v>
      </c>
      <c r="S96">
        <v>2024.09</v>
      </c>
      <c r="T96">
        <v>137.46</v>
      </c>
      <c r="U96">
        <v>0</v>
      </c>
      <c r="V96">
        <v>0</v>
      </c>
      <c r="AA96" s="29" t="s">
        <v>43</v>
      </c>
      <c r="AB96">
        <v>31199</v>
      </c>
      <c r="AC96">
        <v>70</v>
      </c>
      <c r="AD96">
        <v>3</v>
      </c>
      <c r="AE96">
        <v>0</v>
      </c>
      <c r="AF96">
        <v>0</v>
      </c>
      <c r="AG96" s="29" t="s">
        <v>216</v>
      </c>
      <c r="AH96" s="29" t="s">
        <v>218</v>
      </c>
      <c r="AI96" s="29" t="s">
        <v>295</v>
      </c>
      <c r="AJ96" s="29"/>
      <c r="AL96" s="29" t="s">
        <v>217</v>
      </c>
    </row>
    <row r="97" spans="3:38">
      <c r="C97" t="s">
        <v>56</v>
      </c>
      <c r="D97" t="s">
        <v>24</v>
      </c>
      <c r="E97" t="s">
        <v>43</v>
      </c>
      <c r="F97" t="s">
        <v>112</v>
      </c>
      <c r="G97">
        <v>91026.96</v>
      </c>
      <c r="H97">
        <v>1.09261877816654</v>
      </c>
      <c r="I97">
        <v>0.52146924668439398</v>
      </c>
      <c r="J97">
        <v>83531.675199999998</v>
      </c>
      <c r="O97" t="s">
        <v>44</v>
      </c>
      <c r="P97" t="s">
        <v>43</v>
      </c>
      <c r="Q97" t="s">
        <v>20</v>
      </c>
      <c r="R97" t="s">
        <v>55</v>
      </c>
      <c r="S97">
        <v>2024.1</v>
      </c>
      <c r="T97">
        <v>137.46</v>
      </c>
      <c r="U97">
        <v>0</v>
      </c>
      <c r="V97">
        <v>0</v>
      </c>
      <c r="AA97" s="29" t="s">
        <v>43</v>
      </c>
      <c r="AB97">
        <v>31199</v>
      </c>
      <c r="AC97">
        <v>70</v>
      </c>
      <c r="AD97">
        <v>3</v>
      </c>
      <c r="AE97">
        <v>0</v>
      </c>
      <c r="AF97">
        <v>0</v>
      </c>
      <c r="AG97" s="29" t="s">
        <v>216</v>
      </c>
      <c r="AH97" s="29" t="s">
        <v>218</v>
      </c>
      <c r="AI97" s="29" t="s">
        <v>296</v>
      </c>
      <c r="AJ97" s="29"/>
      <c r="AL97" s="29" t="s">
        <v>217</v>
      </c>
    </row>
    <row r="98" spans="3:38">
      <c r="C98" t="s">
        <v>56</v>
      </c>
      <c r="D98" t="s">
        <v>24</v>
      </c>
      <c r="E98" t="s">
        <v>43</v>
      </c>
      <c r="F98" t="s">
        <v>122</v>
      </c>
      <c r="G98">
        <v>10548</v>
      </c>
      <c r="H98">
        <v>1</v>
      </c>
      <c r="I98">
        <v>0.15213578456274801</v>
      </c>
      <c r="J98">
        <v>58784.800499999998</v>
      </c>
      <c r="O98" t="s">
        <v>44</v>
      </c>
      <c r="P98" t="s">
        <v>43</v>
      </c>
      <c r="Q98" t="s">
        <v>20</v>
      </c>
      <c r="R98" t="s">
        <v>55</v>
      </c>
      <c r="S98">
        <v>2024.11</v>
      </c>
      <c r="T98">
        <v>137.46</v>
      </c>
      <c r="U98">
        <v>0</v>
      </c>
      <c r="V98">
        <v>0</v>
      </c>
      <c r="AA98" s="29" t="s">
        <v>43</v>
      </c>
      <c r="AB98">
        <v>31199</v>
      </c>
      <c r="AC98">
        <v>70</v>
      </c>
      <c r="AD98">
        <v>3</v>
      </c>
      <c r="AE98">
        <v>0</v>
      </c>
      <c r="AF98">
        <v>0</v>
      </c>
      <c r="AG98" s="29" t="s">
        <v>216</v>
      </c>
      <c r="AH98" s="29" t="s">
        <v>218</v>
      </c>
      <c r="AI98" s="29" t="s">
        <v>297</v>
      </c>
      <c r="AJ98" s="29"/>
      <c r="AL98" s="29" t="s">
        <v>217</v>
      </c>
    </row>
    <row r="99" spans="3:38">
      <c r="C99" t="s">
        <v>56</v>
      </c>
      <c r="D99" t="s">
        <v>24</v>
      </c>
      <c r="E99" t="s">
        <v>43</v>
      </c>
      <c r="F99" t="s">
        <v>119</v>
      </c>
      <c r="G99">
        <v>21679.85</v>
      </c>
      <c r="H99">
        <v>0.78306376562063496</v>
      </c>
      <c r="I99">
        <v>0.20020272623996399</v>
      </c>
      <c r="J99">
        <v>86609.634399999995</v>
      </c>
      <c r="O99" t="s">
        <v>44</v>
      </c>
      <c r="P99" t="s">
        <v>43</v>
      </c>
      <c r="Q99" t="s">
        <v>20</v>
      </c>
      <c r="R99" t="s">
        <v>55</v>
      </c>
      <c r="S99">
        <v>2024.14</v>
      </c>
      <c r="T99">
        <v>137.46</v>
      </c>
      <c r="U99">
        <v>0</v>
      </c>
      <c r="V99">
        <v>0</v>
      </c>
      <c r="AA99" s="29" t="s">
        <v>43</v>
      </c>
      <c r="AB99">
        <v>31199</v>
      </c>
      <c r="AC99">
        <v>70</v>
      </c>
      <c r="AD99">
        <v>3</v>
      </c>
      <c r="AE99">
        <v>0</v>
      </c>
      <c r="AF99">
        <v>0</v>
      </c>
      <c r="AG99" s="29" t="s">
        <v>216</v>
      </c>
      <c r="AH99" s="29" t="s">
        <v>218</v>
      </c>
      <c r="AI99" s="29" t="s">
        <v>298</v>
      </c>
      <c r="AJ99" s="29"/>
      <c r="AL99" s="29" t="s">
        <v>217</v>
      </c>
    </row>
    <row r="100" spans="3:38">
      <c r="C100" t="s">
        <v>56</v>
      </c>
      <c r="D100" t="s">
        <v>24</v>
      </c>
      <c r="E100" t="s">
        <v>43</v>
      </c>
      <c r="F100" t="s">
        <v>106</v>
      </c>
      <c r="G100">
        <v>38079.120000000003</v>
      </c>
      <c r="H100">
        <v>1</v>
      </c>
      <c r="I100">
        <v>1.01303871613785</v>
      </c>
      <c r="J100">
        <v>-490.11239999999998</v>
      </c>
      <c r="O100" t="s">
        <v>44</v>
      </c>
      <c r="P100" t="s">
        <v>43</v>
      </c>
      <c r="Q100" t="s">
        <v>20</v>
      </c>
      <c r="R100" t="s">
        <v>55</v>
      </c>
      <c r="S100">
        <v>2024.17</v>
      </c>
      <c r="T100">
        <v>137.46</v>
      </c>
      <c r="U100">
        <v>0</v>
      </c>
      <c r="V100">
        <v>0</v>
      </c>
      <c r="AA100" s="29" t="s">
        <v>43</v>
      </c>
      <c r="AB100">
        <v>31199</v>
      </c>
      <c r="AC100">
        <v>70</v>
      </c>
      <c r="AD100">
        <v>3</v>
      </c>
      <c r="AE100">
        <v>0</v>
      </c>
      <c r="AF100">
        <v>0</v>
      </c>
      <c r="AG100" s="29" t="s">
        <v>216</v>
      </c>
      <c r="AH100" s="29" t="s">
        <v>218</v>
      </c>
      <c r="AI100" s="29" t="s">
        <v>299</v>
      </c>
      <c r="AJ100" s="29"/>
      <c r="AL100" s="29" t="s">
        <v>217</v>
      </c>
    </row>
    <row r="101" spans="3:38">
      <c r="C101" t="s">
        <v>56</v>
      </c>
      <c r="D101" t="s">
        <v>24</v>
      </c>
      <c r="E101" t="s">
        <v>43</v>
      </c>
      <c r="F101" t="s">
        <v>107</v>
      </c>
      <c r="G101">
        <v>1781.95</v>
      </c>
      <c r="H101">
        <v>1</v>
      </c>
      <c r="I101">
        <v>1.7317298347910599</v>
      </c>
      <c r="J101">
        <v>-752.95</v>
      </c>
      <c r="O101" t="s">
        <v>44</v>
      </c>
      <c r="P101" t="s">
        <v>43</v>
      </c>
      <c r="Q101" t="s">
        <v>20</v>
      </c>
      <c r="R101" t="s">
        <v>55</v>
      </c>
      <c r="S101">
        <v>2024.18</v>
      </c>
      <c r="T101">
        <v>274.92</v>
      </c>
      <c r="U101">
        <v>0</v>
      </c>
      <c r="V101">
        <v>0</v>
      </c>
      <c r="AA101" s="29" t="s">
        <v>43</v>
      </c>
      <c r="AB101">
        <v>31199</v>
      </c>
      <c r="AC101">
        <v>70</v>
      </c>
      <c r="AD101">
        <v>3</v>
      </c>
      <c r="AE101">
        <v>0</v>
      </c>
      <c r="AF101">
        <v>0</v>
      </c>
      <c r="AG101" s="29" t="s">
        <v>216</v>
      </c>
      <c r="AH101" s="29" t="s">
        <v>218</v>
      </c>
      <c r="AI101" s="29" t="s">
        <v>300</v>
      </c>
      <c r="AJ101" s="29"/>
      <c r="AL101" s="29" t="s">
        <v>217</v>
      </c>
    </row>
    <row r="102" spans="3:38">
      <c r="C102" t="s">
        <v>56</v>
      </c>
      <c r="D102" t="s">
        <v>24</v>
      </c>
      <c r="E102" t="s">
        <v>43</v>
      </c>
      <c r="F102" t="s">
        <v>114</v>
      </c>
      <c r="G102">
        <v>2295.8000000000002</v>
      </c>
      <c r="H102">
        <v>1</v>
      </c>
      <c r="I102">
        <v>1.2871720116618099</v>
      </c>
      <c r="J102">
        <v>-512.20000000000005</v>
      </c>
      <c r="O102" t="s">
        <v>44</v>
      </c>
      <c r="P102" t="s">
        <v>43</v>
      </c>
      <c r="Q102" t="s">
        <v>20</v>
      </c>
      <c r="R102" t="s">
        <v>55</v>
      </c>
      <c r="S102">
        <v>2024.19</v>
      </c>
      <c r="T102">
        <v>137.46</v>
      </c>
      <c r="U102">
        <v>0</v>
      </c>
      <c r="V102">
        <v>0</v>
      </c>
      <c r="AA102" s="29" t="s">
        <v>43</v>
      </c>
      <c r="AB102">
        <v>31199</v>
      </c>
      <c r="AC102">
        <v>70</v>
      </c>
      <c r="AD102">
        <v>3</v>
      </c>
      <c r="AE102">
        <v>0</v>
      </c>
      <c r="AF102">
        <v>0</v>
      </c>
      <c r="AG102" s="29" t="s">
        <v>216</v>
      </c>
      <c r="AH102" s="29" t="s">
        <v>218</v>
      </c>
      <c r="AI102" s="29" t="s">
        <v>301</v>
      </c>
      <c r="AJ102" s="29"/>
      <c r="AL102" s="29" t="s">
        <v>217</v>
      </c>
    </row>
    <row r="103" spans="3:38">
      <c r="C103" t="s">
        <v>56</v>
      </c>
      <c r="D103" t="s">
        <v>24</v>
      </c>
      <c r="E103" t="s">
        <v>43</v>
      </c>
      <c r="F103" t="s">
        <v>81</v>
      </c>
      <c r="G103">
        <v>8614.5</v>
      </c>
      <c r="H103">
        <v>0.64232507073423495</v>
      </c>
      <c r="I103">
        <v>0.99999998839166604</v>
      </c>
      <c r="J103">
        <v>1E-4</v>
      </c>
      <c r="O103" t="s">
        <v>44</v>
      </c>
      <c r="P103" t="s">
        <v>43</v>
      </c>
      <c r="Q103" t="s">
        <v>20</v>
      </c>
      <c r="R103" t="s">
        <v>55</v>
      </c>
      <c r="S103">
        <v>2024.2</v>
      </c>
      <c r="T103">
        <v>137.46</v>
      </c>
      <c r="U103">
        <v>0</v>
      </c>
      <c r="V103">
        <v>0</v>
      </c>
      <c r="AA103" s="29" t="s">
        <v>43</v>
      </c>
      <c r="AB103">
        <v>31199</v>
      </c>
      <c r="AC103">
        <v>70</v>
      </c>
      <c r="AD103">
        <v>3</v>
      </c>
      <c r="AE103">
        <v>0</v>
      </c>
      <c r="AF103">
        <v>0</v>
      </c>
      <c r="AG103" s="29" t="s">
        <v>216</v>
      </c>
      <c r="AH103" s="29" t="s">
        <v>218</v>
      </c>
      <c r="AI103" s="29" t="s">
        <v>302</v>
      </c>
      <c r="AJ103" s="29"/>
      <c r="AL103" s="29" t="s">
        <v>217</v>
      </c>
    </row>
    <row r="104" spans="3:38">
      <c r="C104" t="s">
        <v>60</v>
      </c>
      <c r="D104" t="s">
        <v>24</v>
      </c>
      <c r="E104" t="s">
        <v>43</v>
      </c>
      <c r="F104" t="s">
        <v>120</v>
      </c>
      <c r="G104">
        <v>219.72</v>
      </c>
      <c r="H104">
        <v>1.2438997055630601</v>
      </c>
      <c r="I104">
        <v>2.1540982390560598E-3</v>
      </c>
      <c r="J104">
        <v>101781.19899999999</v>
      </c>
      <c r="O104" t="s">
        <v>44</v>
      </c>
      <c r="P104" t="s">
        <v>43</v>
      </c>
      <c r="Q104" t="s">
        <v>20</v>
      </c>
      <c r="R104" t="s">
        <v>55</v>
      </c>
      <c r="S104">
        <v>2024.21</v>
      </c>
      <c r="T104">
        <v>137.46</v>
      </c>
      <c r="U104">
        <v>0</v>
      </c>
      <c r="V104">
        <v>0</v>
      </c>
      <c r="AA104" s="29" t="s">
        <v>43</v>
      </c>
      <c r="AB104">
        <v>31199</v>
      </c>
      <c r="AC104">
        <v>70</v>
      </c>
      <c r="AD104">
        <v>3</v>
      </c>
      <c r="AE104">
        <v>0</v>
      </c>
      <c r="AF104">
        <v>0</v>
      </c>
      <c r="AG104" s="29" t="s">
        <v>216</v>
      </c>
      <c r="AH104" s="29" t="s">
        <v>218</v>
      </c>
      <c r="AI104" s="29" t="s">
        <v>303</v>
      </c>
      <c r="AJ104" s="29"/>
      <c r="AL104" s="29" t="s">
        <v>217</v>
      </c>
    </row>
    <row r="105" spans="3:38">
      <c r="C105" t="s">
        <v>61</v>
      </c>
      <c r="D105" t="s">
        <v>24</v>
      </c>
      <c r="E105" t="s">
        <v>43</v>
      </c>
      <c r="F105" t="s">
        <v>102</v>
      </c>
      <c r="G105">
        <v>11020.56</v>
      </c>
      <c r="H105">
        <v>0.81100571193656901</v>
      </c>
      <c r="I105">
        <v>0.51363951217725201</v>
      </c>
      <c r="J105">
        <v>10435.266</v>
      </c>
      <c r="O105" t="s">
        <v>44</v>
      </c>
      <c r="P105" t="s">
        <v>43</v>
      </c>
      <c r="Q105" t="s">
        <v>20</v>
      </c>
      <c r="R105" t="s">
        <v>55</v>
      </c>
      <c r="S105">
        <v>2024.28</v>
      </c>
      <c r="T105">
        <v>137.46</v>
      </c>
      <c r="U105">
        <v>0</v>
      </c>
      <c r="V105">
        <v>0</v>
      </c>
      <c r="AA105" s="29" t="s">
        <v>43</v>
      </c>
      <c r="AB105">
        <v>31199</v>
      </c>
      <c r="AC105">
        <v>70</v>
      </c>
      <c r="AD105">
        <v>3</v>
      </c>
      <c r="AE105">
        <v>0</v>
      </c>
      <c r="AF105">
        <v>0</v>
      </c>
      <c r="AG105" s="29" t="s">
        <v>216</v>
      </c>
      <c r="AH105" s="29" t="s">
        <v>218</v>
      </c>
      <c r="AI105" s="29" t="s">
        <v>304</v>
      </c>
      <c r="AJ105" s="29"/>
      <c r="AL105" s="29" t="s">
        <v>217</v>
      </c>
    </row>
    <row r="106" spans="3:38">
      <c r="C106" t="s">
        <v>54</v>
      </c>
      <c r="D106" t="s">
        <v>24</v>
      </c>
      <c r="E106" t="s">
        <v>43</v>
      </c>
      <c r="F106" t="s">
        <v>107</v>
      </c>
      <c r="G106">
        <v>580</v>
      </c>
      <c r="H106">
        <v>0</v>
      </c>
      <c r="I106">
        <v>1</v>
      </c>
      <c r="J106">
        <v>-580</v>
      </c>
      <c r="O106" t="s">
        <v>44</v>
      </c>
      <c r="P106" t="s">
        <v>43</v>
      </c>
      <c r="Q106" t="s">
        <v>20</v>
      </c>
      <c r="R106" t="s">
        <v>55</v>
      </c>
      <c r="S106">
        <v>2024.38</v>
      </c>
      <c r="T106">
        <v>274.92</v>
      </c>
      <c r="U106">
        <v>0</v>
      </c>
      <c r="V106">
        <v>0</v>
      </c>
      <c r="AA106" s="29" t="s">
        <v>43</v>
      </c>
      <c r="AB106">
        <v>31199</v>
      </c>
      <c r="AC106">
        <v>70</v>
      </c>
      <c r="AD106">
        <v>3</v>
      </c>
      <c r="AE106">
        <v>0</v>
      </c>
      <c r="AF106">
        <v>0</v>
      </c>
      <c r="AG106" s="29" t="s">
        <v>216</v>
      </c>
      <c r="AH106" s="29" t="s">
        <v>218</v>
      </c>
      <c r="AI106" s="29" t="s">
        <v>305</v>
      </c>
      <c r="AJ106" s="29"/>
      <c r="AL106" s="29" t="s">
        <v>217</v>
      </c>
    </row>
    <row r="107" spans="3:38">
      <c r="C107" t="s">
        <v>54</v>
      </c>
      <c r="D107" t="s">
        <v>24</v>
      </c>
      <c r="E107" t="s">
        <v>43</v>
      </c>
      <c r="F107" t="s">
        <v>81</v>
      </c>
      <c r="G107">
        <v>0</v>
      </c>
      <c r="H107">
        <v>1</v>
      </c>
      <c r="I107">
        <v>0</v>
      </c>
      <c r="J107">
        <v>1370.7904000000001</v>
      </c>
      <c r="O107" t="s">
        <v>44</v>
      </c>
      <c r="P107" t="s">
        <v>43</v>
      </c>
      <c r="Q107" t="s">
        <v>20</v>
      </c>
      <c r="R107" t="s">
        <v>55</v>
      </c>
      <c r="S107">
        <v>2024.39</v>
      </c>
      <c r="T107">
        <v>137.46</v>
      </c>
      <c r="U107">
        <v>0</v>
      </c>
      <c r="V107">
        <v>0</v>
      </c>
      <c r="AA107" s="29" t="s">
        <v>43</v>
      </c>
      <c r="AB107">
        <v>31199</v>
      </c>
      <c r="AC107">
        <v>70</v>
      </c>
      <c r="AD107">
        <v>3</v>
      </c>
      <c r="AE107">
        <v>0</v>
      </c>
      <c r="AF107">
        <v>0</v>
      </c>
      <c r="AG107" s="29" t="s">
        <v>216</v>
      </c>
      <c r="AH107" s="29" t="s">
        <v>218</v>
      </c>
      <c r="AI107" s="29" t="s">
        <v>306</v>
      </c>
      <c r="AJ107" s="29"/>
      <c r="AL107" s="29" t="s">
        <v>217</v>
      </c>
    </row>
    <row r="108" spans="3:38">
      <c r="C108" t="s">
        <v>54</v>
      </c>
      <c r="D108" t="s">
        <v>24</v>
      </c>
      <c r="E108" t="s">
        <v>43</v>
      </c>
      <c r="F108" t="s">
        <v>108</v>
      </c>
      <c r="G108">
        <v>6498.8</v>
      </c>
      <c r="H108">
        <v>1</v>
      </c>
      <c r="I108">
        <v>1.1062163818342801</v>
      </c>
      <c r="J108">
        <v>-624</v>
      </c>
      <c r="O108" t="s">
        <v>44</v>
      </c>
      <c r="P108" t="s">
        <v>43</v>
      </c>
      <c r="Q108" t="s">
        <v>20</v>
      </c>
      <c r="R108" t="s">
        <v>55</v>
      </c>
      <c r="S108">
        <v>2024.41</v>
      </c>
      <c r="T108">
        <v>137.46</v>
      </c>
      <c r="U108">
        <v>0</v>
      </c>
      <c r="V108">
        <v>0</v>
      </c>
      <c r="AA108" s="29" t="s">
        <v>43</v>
      </c>
      <c r="AB108">
        <v>31199</v>
      </c>
      <c r="AC108">
        <v>70</v>
      </c>
      <c r="AD108">
        <v>3</v>
      </c>
      <c r="AE108">
        <v>0</v>
      </c>
      <c r="AF108">
        <v>0</v>
      </c>
      <c r="AG108" s="29" t="s">
        <v>216</v>
      </c>
      <c r="AH108" s="29" t="s">
        <v>218</v>
      </c>
      <c r="AI108" s="29" t="s">
        <v>307</v>
      </c>
      <c r="AJ108" s="29"/>
      <c r="AL108" s="29" t="s">
        <v>217</v>
      </c>
    </row>
    <row r="109" spans="3:38">
      <c r="C109" t="s">
        <v>54</v>
      </c>
      <c r="D109" t="s">
        <v>24</v>
      </c>
      <c r="E109" t="s">
        <v>43</v>
      </c>
      <c r="F109" t="s">
        <v>114</v>
      </c>
      <c r="G109">
        <v>4406</v>
      </c>
      <c r="H109">
        <v>1</v>
      </c>
      <c r="I109">
        <v>1.1379132231405</v>
      </c>
      <c r="J109">
        <v>-534</v>
      </c>
      <c r="O109" t="s">
        <v>44</v>
      </c>
      <c r="P109" t="s">
        <v>43</v>
      </c>
      <c r="Q109" t="s">
        <v>20</v>
      </c>
      <c r="R109" t="s">
        <v>55</v>
      </c>
      <c r="S109">
        <v>2024.43</v>
      </c>
      <c r="T109">
        <v>137.46</v>
      </c>
      <c r="U109">
        <v>0</v>
      </c>
      <c r="V109">
        <v>0</v>
      </c>
      <c r="AA109" s="29" t="s">
        <v>43</v>
      </c>
      <c r="AB109">
        <v>31199</v>
      </c>
      <c r="AC109">
        <v>70</v>
      </c>
      <c r="AD109">
        <v>3</v>
      </c>
      <c r="AE109">
        <v>1056.4000000000001</v>
      </c>
      <c r="AF109">
        <v>1056.4000000000001</v>
      </c>
      <c r="AG109" s="29" t="s">
        <v>216</v>
      </c>
      <c r="AH109" s="29" t="s">
        <v>308</v>
      </c>
      <c r="AI109" s="29" t="s">
        <v>309</v>
      </c>
      <c r="AJ109" s="29"/>
      <c r="AL109" s="29" t="s">
        <v>217</v>
      </c>
    </row>
    <row r="110" spans="3:38">
      <c r="C110" t="s">
        <v>54</v>
      </c>
      <c r="D110" t="s">
        <v>24</v>
      </c>
      <c r="E110" t="s">
        <v>43</v>
      </c>
      <c r="F110" t="s">
        <v>106</v>
      </c>
      <c r="G110">
        <v>19.75</v>
      </c>
      <c r="H110">
        <v>1</v>
      </c>
      <c r="I110">
        <v>9.5710006144340103E-3</v>
      </c>
      <c r="J110">
        <v>2043.7751000000001</v>
      </c>
      <c r="O110" t="s">
        <v>44</v>
      </c>
      <c r="P110" t="s">
        <v>43</v>
      </c>
      <c r="Q110" t="s">
        <v>20</v>
      </c>
      <c r="R110" t="s">
        <v>55</v>
      </c>
      <c r="S110">
        <v>2024.44</v>
      </c>
      <c r="T110">
        <v>137.46</v>
      </c>
      <c r="U110">
        <v>0</v>
      </c>
      <c r="V110">
        <v>137.46</v>
      </c>
      <c r="AA110" s="29" t="s">
        <v>43</v>
      </c>
      <c r="AB110">
        <v>31199</v>
      </c>
      <c r="AC110">
        <v>70</v>
      </c>
      <c r="AD110">
        <v>3</v>
      </c>
      <c r="AE110">
        <v>8580</v>
      </c>
      <c r="AF110">
        <v>8580</v>
      </c>
      <c r="AG110" s="29" t="s">
        <v>216</v>
      </c>
      <c r="AH110" s="29" t="s">
        <v>310</v>
      </c>
      <c r="AI110" s="29" t="s">
        <v>311</v>
      </c>
      <c r="AJ110" s="29"/>
      <c r="AL110" s="29" t="s">
        <v>217</v>
      </c>
    </row>
    <row r="111" spans="3:38">
      <c r="C111" t="s">
        <v>54</v>
      </c>
      <c r="D111" t="s">
        <v>24</v>
      </c>
      <c r="E111" t="s">
        <v>43</v>
      </c>
      <c r="F111" t="s">
        <v>119</v>
      </c>
      <c r="G111">
        <v>2671.25</v>
      </c>
      <c r="H111">
        <v>1</v>
      </c>
      <c r="I111">
        <v>2.34063526834611</v>
      </c>
      <c r="J111">
        <v>-1530</v>
      </c>
      <c r="O111" t="s">
        <v>44</v>
      </c>
      <c r="P111" t="s">
        <v>43</v>
      </c>
      <c r="Q111" t="s">
        <v>20</v>
      </c>
      <c r="R111" t="s">
        <v>55</v>
      </c>
      <c r="S111">
        <v>2024.45</v>
      </c>
      <c r="T111">
        <v>137.46</v>
      </c>
      <c r="U111">
        <v>0</v>
      </c>
      <c r="V111">
        <v>137.46</v>
      </c>
      <c r="AA111" s="29" t="s">
        <v>43</v>
      </c>
      <c r="AB111">
        <v>31199</v>
      </c>
      <c r="AC111">
        <v>70</v>
      </c>
      <c r="AD111">
        <v>3</v>
      </c>
      <c r="AE111">
        <v>8580</v>
      </c>
      <c r="AF111">
        <v>8580</v>
      </c>
      <c r="AG111" s="29" t="s">
        <v>216</v>
      </c>
      <c r="AH111" s="29" t="s">
        <v>310</v>
      </c>
      <c r="AI111" s="29" t="s">
        <v>312</v>
      </c>
      <c r="AJ111" s="29"/>
      <c r="AL111" s="29" t="s">
        <v>217</v>
      </c>
    </row>
    <row r="112" spans="3:38">
      <c r="C112" t="s">
        <v>54</v>
      </c>
      <c r="D112" t="s">
        <v>24</v>
      </c>
      <c r="E112" t="s">
        <v>43</v>
      </c>
      <c r="F112" t="s">
        <v>104</v>
      </c>
      <c r="G112">
        <v>57.23</v>
      </c>
      <c r="H112">
        <v>1</v>
      </c>
      <c r="I112">
        <v>2.6156307129798901</v>
      </c>
      <c r="J112">
        <v>-35.35</v>
      </c>
      <c r="O112" t="s">
        <v>44</v>
      </c>
      <c r="P112" t="s">
        <v>43</v>
      </c>
      <c r="Q112" t="s">
        <v>20</v>
      </c>
      <c r="R112" t="s">
        <v>55</v>
      </c>
      <c r="S112">
        <v>2024.47</v>
      </c>
      <c r="T112">
        <v>137.46</v>
      </c>
      <c r="U112">
        <v>0</v>
      </c>
      <c r="V112">
        <v>137.46</v>
      </c>
      <c r="AA112" s="29" t="s">
        <v>43</v>
      </c>
      <c r="AB112">
        <v>31199</v>
      </c>
      <c r="AC112">
        <v>70</v>
      </c>
      <c r="AD112">
        <v>3</v>
      </c>
      <c r="AE112">
        <v>0</v>
      </c>
      <c r="AF112">
        <v>0</v>
      </c>
      <c r="AG112" s="29" t="s">
        <v>216</v>
      </c>
      <c r="AH112" s="29" t="s">
        <v>218</v>
      </c>
      <c r="AI112" s="29" t="s">
        <v>313</v>
      </c>
      <c r="AJ112" s="29"/>
      <c r="AL112" s="29" t="s">
        <v>217</v>
      </c>
    </row>
    <row r="113" spans="3:38">
      <c r="C113" t="s">
        <v>91</v>
      </c>
      <c r="D113" t="s">
        <v>24</v>
      </c>
      <c r="E113" t="s">
        <v>43</v>
      </c>
      <c r="F113" t="s">
        <v>104</v>
      </c>
      <c r="G113">
        <v>2649.84</v>
      </c>
      <c r="H113">
        <v>1</v>
      </c>
      <c r="I113">
        <v>1</v>
      </c>
      <c r="J113">
        <v>0</v>
      </c>
      <c r="O113" t="s">
        <v>44</v>
      </c>
      <c r="P113" t="s">
        <v>43</v>
      </c>
      <c r="Q113" t="s">
        <v>20</v>
      </c>
      <c r="R113" t="s">
        <v>55</v>
      </c>
      <c r="S113">
        <v>2024.48</v>
      </c>
      <c r="T113">
        <v>137.46</v>
      </c>
      <c r="U113">
        <v>0</v>
      </c>
      <c r="V113">
        <v>137.46</v>
      </c>
      <c r="AA113" s="29" t="s">
        <v>43</v>
      </c>
      <c r="AB113">
        <v>31199</v>
      </c>
      <c r="AC113">
        <v>70</v>
      </c>
      <c r="AD113">
        <v>3</v>
      </c>
      <c r="AE113">
        <v>1036</v>
      </c>
      <c r="AF113">
        <v>1036</v>
      </c>
      <c r="AG113" s="29" t="s">
        <v>216</v>
      </c>
      <c r="AH113" s="29" t="s">
        <v>314</v>
      </c>
      <c r="AI113" s="29" t="s">
        <v>315</v>
      </c>
      <c r="AJ113" s="29"/>
      <c r="AL113" s="29" t="s">
        <v>217</v>
      </c>
    </row>
    <row r="114" spans="3:38">
      <c r="C114" t="s">
        <v>56</v>
      </c>
      <c r="D114" t="s">
        <v>24</v>
      </c>
      <c r="E114" t="s">
        <v>43</v>
      </c>
      <c r="F114" t="s">
        <v>120</v>
      </c>
      <c r="G114">
        <v>0</v>
      </c>
      <c r="H114">
        <v>1</v>
      </c>
      <c r="I114">
        <v>0</v>
      </c>
      <c r="J114">
        <v>53523.433599999997</v>
      </c>
      <c r="O114" t="s">
        <v>44</v>
      </c>
      <c r="P114" t="s">
        <v>43</v>
      </c>
      <c r="Q114" t="s">
        <v>20</v>
      </c>
      <c r="R114" t="s">
        <v>55</v>
      </c>
      <c r="S114">
        <v>2024.49</v>
      </c>
      <c r="T114">
        <v>137.46</v>
      </c>
      <c r="U114">
        <v>0</v>
      </c>
      <c r="V114">
        <v>137.46</v>
      </c>
      <c r="AA114" s="29" t="s">
        <v>43</v>
      </c>
      <c r="AB114">
        <v>31199</v>
      </c>
      <c r="AC114">
        <v>70</v>
      </c>
      <c r="AD114">
        <v>3</v>
      </c>
      <c r="AE114">
        <v>0</v>
      </c>
      <c r="AF114">
        <v>0</v>
      </c>
      <c r="AG114" s="29" t="s">
        <v>216</v>
      </c>
      <c r="AH114" s="29" t="s">
        <v>218</v>
      </c>
      <c r="AI114" s="29" t="s">
        <v>316</v>
      </c>
      <c r="AJ114" s="29"/>
      <c r="AL114" s="29" t="s">
        <v>217</v>
      </c>
    </row>
    <row r="115" spans="3:38">
      <c r="C115" t="s">
        <v>54</v>
      </c>
      <c r="D115" t="s">
        <v>24</v>
      </c>
      <c r="E115" t="s">
        <v>43</v>
      </c>
      <c r="F115" t="s">
        <v>111</v>
      </c>
      <c r="G115">
        <v>442406</v>
      </c>
      <c r="H115">
        <v>1.1296084424127399</v>
      </c>
      <c r="I115">
        <v>1.0152111195553499</v>
      </c>
      <c r="J115">
        <v>-6628.6611999999996</v>
      </c>
      <c r="O115" t="s">
        <v>44</v>
      </c>
      <c r="P115" t="s">
        <v>43</v>
      </c>
      <c r="Q115" t="s">
        <v>20</v>
      </c>
      <c r="R115" t="s">
        <v>55</v>
      </c>
      <c r="S115">
        <v>2024.52</v>
      </c>
      <c r="T115">
        <v>137.46</v>
      </c>
      <c r="U115">
        <v>0</v>
      </c>
      <c r="V115">
        <v>137.46</v>
      </c>
      <c r="AA115" s="29" t="s">
        <v>43</v>
      </c>
      <c r="AB115">
        <v>31199</v>
      </c>
      <c r="AC115">
        <v>70</v>
      </c>
      <c r="AD115">
        <v>3</v>
      </c>
      <c r="AE115">
        <v>0</v>
      </c>
      <c r="AF115">
        <v>0</v>
      </c>
      <c r="AG115" s="29" t="s">
        <v>216</v>
      </c>
      <c r="AH115" s="29" t="s">
        <v>218</v>
      </c>
      <c r="AI115" s="29" t="s">
        <v>317</v>
      </c>
      <c r="AJ115" s="29"/>
      <c r="AL115" s="29" t="s">
        <v>217</v>
      </c>
    </row>
    <row r="116" spans="3:38">
      <c r="C116" t="s">
        <v>91</v>
      </c>
      <c r="D116" t="s">
        <v>24</v>
      </c>
      <c r="E116" t="s">
        <v>43</v>
      </c>
      <c r="F116" t="s">
        <v>108</v>
      </c>
      <c r="G116">
        <v>59959.76</v>
      </c>
      <c r="H116">
        <v>0.76895615593836197</v>
      </c>
      <c r="I116">
        <v>0.900788252517984</v>
      </c>
      <c r="J116">
        <v>6603.8967000000002</v>
      </c>
      <c r="O116" t="s">
        <v>44</v>
      </c>
      <c r="P116" t="s">
        <v>43</v>
      </c>
      <c r="Q116" t="s">
        <v>20</v>
      </c>
      <c r="R116" t="s">
        <v>55</v>
      </c>
      <c r="S116">
        <v>2025.03</v>
      </c>
      <c r="T116">
        <v>137.46</v>
      </c>
      <c r="U116">
        <v>0</v>
      </c>
      <c r="V116">
        <v>137.46</v>
      </c>
      <c r="AA116" s="29" t="s">
        <v>43</v>
      </c>
      <c r="AB116">
        <v>31199</v>
      </c>
      <c r="AC116">
        <v>70</v>
      </c>
      <c r="AD116">
        <v>3</v>
      </c>
      <c r="AE116">
        <v>0</v>
      </c>
      <c r="AF116">
        <v>0</v>
      </c>
      <c r="AG116" s="29" t="s">
        <v>216</v>
      </c>
      <c r="AH116" s="29" t="s">
        <v>218</v>
      </c>
      <c r="AI116" s="29" t="s">
        <v>318</v>
      </c>
      <c r="AJ116" s="29"/>
      <c r="AL116" s="29" t="s">
        <v>217</v>
      </c>
    </row>
    <row r="117" spans="3:38">
      <c r="C117" t="s">
        <v>91</v>
      </c>
      <c r="D117" t="s">
        <v>24</v>
      </c>
      <c r="E117" t="s">
        <v>43</v>
      </c>
      <c r="F117" t="s">
        <v>120</v>
      </c>
      <c r="G117">
        <v>10831.96</v>
      </c>
      <c r="H117">
        <v>1</v>
      </c>
      <c r="I117">
        <v>1</v>
      </c>
      <c r="J117">
        <v>0</v>
      </c>
      <c r="O117" t="s">
        <v>44</v>
      </c>
      <c r="P117" t="s">
        <v>43</v>
      </c>
      <c r="Q117" t="s">
        <v>20</v>
      </c>
      <c r="R117" t="s">
        <v>55</v>
      </c>
      <c r="S117">
        <v>2025.12</v>
      </c>
      <c r="T117">
        <v>137.46</v>
      </c>
      <c r="U117">
        <v>0</v>
      </c>
      <c r="V117">
        <v>137.46</v>
      </c>
      <c r="AA117" s="29" t="s">
        <v>43</v>
      </c>
      <c r="AB117">
        <v>31199</v>
      </c>
      <c r="AC117">
        <v>70</v>
      </c>
      <c r="AD117">
        <v>3</v>
      </c>
      <c r="AE117">
        <v>0</v>
      </c>
      <c r="AF117">
        <v>0</v>
      </c>
      <c r="AG117" s="29" t="s">
        <v>216</v>
      </c>
      <c r="AH117" s="29" t="s">
        <v>218</v>
      </c>
      <c r="AI117" s="29" t="s">
        <v>317</v>
      </c>
      <c r="AJ117" s="29"/>
      <c r="AL117" s="29" t="s">
        <v>217</v>
      </c>
    </row>
    <row r="118" spans="3:38">
      <c r="C118" t="s">
        <v>62</v>
      </c>
      <c r="D118" t="s">
        <v>24</v>
      </c>
      <c r="E118" t="s">
        <v>43</v>
      </c>
      <c r="F118" t="s">
        <v>123</v>
      </c>
      <c r="G118">
        <v>0</v>
      </c>
      <c r="H118">
        <v>1</v>
      </c>
      <c r="I118">
        <v>0</v>
      </c>
      <c r="J118">
        <v>20000</v>
      </c>
      <c r="O118" t="s">
        <v>44</v>
      </c>
      <c r="P118" t="s">
        <v>43</v>
      </c>
      <c r="Q118" t="s">
        <v>20</v>
      </c>
      <c r="R118" t="s">
        <v>56</v>
      </c>
      <c r="S118">
        <v>2023.51</v>
      </c>
      <c r="T118">
        <v>302.24</v>
      </c>
      <c r="U118">
        <v>0</v>
      </c>
      <c r="V118">
        <v>0</v>
      </c>
      <c r="AA118" s="29" t="s">
        <v>43</v>
      </c>
      <c r="AB118">
        <v>31199</v>
      </c>
      <c r="AC118">
        <v>70</v>
      </c>
      <c r="AD118">
        <v>3</v>
      </c>
      <c r="AE118">
        <v>42.8</v>
      </c>
      <c r="AF118">
        <v>42.8</v>
      </c>
      <c r="AG118" s="29" t="s">
        <v>216</v>
      </c>
      <c r="AH118" s="29" t="s">
        <v>319</v>
      </c>
      <c r="AI118" s="29" t="s">
        <v>320</v>
      </c>
      <c r="AJ118" s="29"/>
      <c r="AL118" s="29" t="s">
        <v>217</v>
      </c>
    </row>
    <row r="119" spans="3:38">
      <c r="C119" t="s">
        <v>62</v>
      </c>
      <c r="D119" t="s">
        <v>24</v>
      </c>
      <c r="E119" t="s">
        <v>43</v>
      </c>
      <c r="F119" t="s">
        <v>119</v>
      </c>
      <c r="G119">
        <v>49475.35</v>
      </c>
      <c r="H119">
        <v>1.3402635841549499</v>
      </c>
      <c r="I119">
        <v>0.35887737984305601</v>
      </c>
      <c r="J119">
        <v>88386.083400000003</v>
      </c>
      <c r="O119" t="s">
        <v>44</v>
      </c>
      <c r="P119" t="s">
        <v>43</v>
      </c>
      <c r="Q119" t="s">
        <v>20</v>
      </c>
      <c r="R119" t="s">
        <v>56</v>
      </c>
      <c r="S119">
        <v>2024.06</v>
      </c>
      <c r="T119">
        <v>302.24</v>
      </c>
      <c r="U119">
        <v>0</v>
      </c>
      <c r="V119">
        <v>0</v>
      </c>
      <c r="AA119" s="29" t="s">
        <v>43</v>
      </c>
      <c r="AB119">
        <v>31199</v>
      </c>
      <c r="AC119">
        <v>70</v>
      </c>
      <c r="AD119">
        <v>3</v>
      </c>
      <c r="AE119">
        <v>0</v>
      </c>
      <c r="AF119">
        <v>0</v>
      </c>
      <c r="AG119" s="29" t="s">
        <v>216</v>
      </c>
      <c r="AH119" s="29" t="s">
        <v>218</v>
      </c>
      <c r="AI119" s="29" t="s">
        <v>321</v>
      </c>
      <c r="AJ119" s="29"/>
      <c r="AL119" s="29" t="s">
        <v>217</v>
      </c>
    </row>
    <row r="120" spans="3:38">
      <c r="C120" t="s">
        <v>91</v>
      </c>
      <c r="D120" t="s">
        <v>24</v>
      </c>
      <c r="E120" t="s">
        <v>43</v>
      </c>
      <c r="F120" t="s">
        <v>122</v>
      </c>
      <c r="G120">
        <v>1985.44</v>
      </c>
      <c r="H120">
        <v>1</v>
      </c>
      <c r="I120">
        <v>2.9780846514802301E-2</v>
      </c>
      <c r="J120">
        <v>64682.913399999998</v>
      </c>
      <c r="O120" t="s">
        <v>44</v>
      </c>
      <c r="P120" t="s">
        <v>43</v>
      </c>
      <c r="Q120" t="s">
        <v>20</v>
      </c>
      <c r="R120" t="s">
        <v>56</v>
      </c>
      <c r="S120">
        <v>2024.07</v>
      </c>
      <c r="T120">
        <v>302.24</v>
      </c>
      <c r="U120">
        <v>0</v>
      </c>
      <c r="V120">
        <v>0</v>
      </c>
      <c r="AA120" s="29" t="s">
        <v>43</v>
      </c>
      <c r="AB120">
        <v>31199</v>
      </c>
      <c r="AC120">
        <v>70</v>
      </c>
      <c r="AD120">
        <v>3</v>
      </c>
      <c r="AE120">
        <v>10452</v>
      </c>
      <c r="AF120">
        <v>10452</v>
      </c>
      <c r="AG120" s="29" t="s">
        <v>216</v>
      </c>
      <c r="AH120" s="29" t="s">
        <v>322</v>
      </c>
      <c r="AI120" s="29" t="s">
        <v>323</v>
      </c>
      <c r="AJ120" s="29"/>
      <c r="AL120" s="29" t="s">
        <v>217</v>
      </c>
    </row>
    <row r="121" spans="3:38">
      <c r="C121" t="s">
        <v>91</v>
      </c>
      <c r="D121" t="s">
        <v>24</v>
      </c>
      <c r="E121" t="s">
        <v>43</v>
      </c>
      <c r="F121" t="s">
        <v>112</v>
      </c>
      <c r="G121">
        <v>122989.29</v>
      </c>
      <c r="H121">
        <v>1.0858590533264401</v>
      </c>
      <c r="I121">
        <v>0.97247833191077304</v>
      </c>
      <c r="J121">
        <v>3480.6641</v>
      </c>
      <c r="O121" t="s">
        <v>44</v>
      </c>
      <c r="P121" t="s">
        <v>43</v>
      </c>
      <c r="Q121" t="s">
        <v>20</v>
      </c>
      <c r="R121" t="s">
        <v>56</v>
      </c>
      <c r="S121">
        <v>2024.08</v>
      </c>
      <c r="T121">
        <v>302.24</v>
      </c>
      <c r="U121">
        <v>0</v>
      </c>
      <c r="V121">
        <v>0</v>
      </c>
      <c r="AA121" s="29" t="s">
        <v>43</v>
      </c>
      <c r="AB121">
        <v>31199</v>
      </c>
      <c r="AC121">
        <v>70</v>
      </c>
      <c r="AD121">
        <v>3</v>
      </c>
      <c r="AE121">
        <v>0</v>
      </c>
      <c r="AF121">
        <v>0</v>
      </c>
      <c r="AG121" s="29" t="s">
        <v>216</v>
      </c>
      <c r="AH121" s="29" t="s">
        <v>218</v>
      </c>
      <c r="AI121" s="29" t="s">
        <v>324</v>
      </c>
      <c r="AJ121" s="29"/>
      <c r="AL121" s="29" t="s">
        <v>217</v>
      </c>
    </row>
    <row r="122" spans="3:38">
      <c r="C122" t="s">
        <v>124</v>
      </c>
      <c r="D122" t="s">
        <v>24</v>
      </c>
      <c r="E122" t="s">
        <v>43</v>
      </c>
      <c r="F122" t="s">
        <v>112</v>
      </c>
      <c r="G122">
        <v>0</v>
      </c>
      <c r="H122">
        <v>0</v>
      </c>
      <c r="I122">
        <v>0</v>
      </c>
      <c r="J122">
        <v>0</v>
      </c>
      <c r="O122" t="s">
        <v>44</v>
      </c>
      <c r="P122" t="s">
        <v>43</v>
      </c>
      <c r="Q122" t="s">
        <v>20</v>
      </c>
      <c r="R122" t="s">
        <v>56</v>
      </c>
      <c r="S122">
        <v>2024.09</v>
      </c>
      <c r="T122">
        <v>302.24</v>
      </c>
      <c r="U122">
        <v>0</v>
      </c>
      <c r="V122">
        <v>0</v>
      </c>
      <c r="AA122" s="29" t="s">
        <v>43</v>
      </c>
      <c r="AB122">
        <v>31199</v>
      </c>
      <c r="AC122">
        <v>70</v>
      </c>
      <c r="AD122">
        <v>4</v>
      </c>
      <c r="AE122">
        <v>148.44</v>
      </c>
      <c r="AF122">
        <v>148.44</v>
      </c>
      <c r="AG122" s="29" t="s">
        <v>216</v>
      </c>
      <c r="AH122" s="29" t="s">
        <v>325</v>
      </c>
      <c r="AI122" s="29" t="s">
        <v>257</v>
      </c>
      <c r="AJ122" s="29" t="s">
        <v>326</v>
      </c>
      <c r="AL122" s="29" t="s">
        <v>217</v>
      </c>
    </row>
    <row r="123" spans="3:38">
      <c r="C123" t="s">
        <v>124</v>
      </c>
      <c r="D123" t="s">
        <v>24</v>
      </c>
      <c r="E123" t="s">
        <v>43</v>
      </c>
      <c r="F123" t="s">
        <v>104</v>
      </c>
      <c r="G123">
        <v>28903.8</v>
      </c>
      <c r="H123">
        <v>0.83209211308469</v>
      </c>
      <c r="I123">
        <v>0.77766646352509905</v>
      </c>
      <c r="J123">
        <v>8263.5478999999996</v>
      </c>
      <c r="O123" t="s">
        <v>44</v>
      </c>
      <c r="P123" t="s">
        <v>43</v>
      </c>
      <c r="Q123" t="s">
        <v>20</v>
      </c>
      <c r="R123" t="s">
        <v>56</v>
      </c>
      <c r="S123">
        <v>2024.1</v>
      </c>
      <c r="T123">
        <v>302.24</v>
      </c>
      <c r="U123">
        <v>0</v>
      </c>
      <c r="V123">
        <v>0</v>
      </c>
      <c r="AA123" s="29" t="s">
        <v>43</v>
      </c>
      <c r="AB123">
        <v>31199</v>
      </c>
      <c r="AC123">
        <v>70</v>
      </c>
      <c r="AD123">
        <v>4</v>
      </c>
      <c r="AE123">
        <v>6.4</v>
      </c>
      <c r="AF123">
        <v>6.4</v>
      </c>
      <c r="AG123" s="29" t="s">
        <v>216</v>
      </c>
      <c r="AH123" s="29" t="s">
        <v>327</v>
      </c>
      <c r="AI123" s="29" t="s">
        <v>257</v>
      </c>
      <c r="AJ123" s="29" t="s">
        <v>328</v>
      </c>
      <c r="AL123" s="29" t="s">
        <v>217</v>
      </c>
    </row>
    <row r="124" spans="3:38">
      <c r="C124" t="s">
        <v>55</v>
      </c>
      <c r="D124" t="s">
        <v>24</v>
      </c>
      <c r="E124" t="s">
        <v>43</v>
      </c>
      <c r="F124" t="s">
        <v>106</v>
      </c>
      <c r="G124">
        <v>238.48</v>
      </c>
      <c r="H124">
        <v>0</v>
      </c>
      <c r="I124">
        <v>1</v>
      </c>
      <c r="J124">
        <v>-238.48</v>
      </c>
      <c r="O124" t="s">
        <v>44</v>
      </c>
      <c r="P124" t="s">
        <v>43</v>
      </c>
      <c r="Q124" t="s">
        <v>20</v>
      </c>
      <c r="R124" t="s">
        <v>56</v>
      </c>
      <c r="S124">
        <v>2024.11</v>
      </c>
      <c r="T124">
        <v>302.24</v>
      </c>
      <c r="U124">
        <v>0</v>
      </c>
      <c r="V124">
        <v>0</v>
      </c>
      <c r="AA124" s="29" t="s">
        <v>43</v>
      </c>
      <c r="AB124">
        <v>31199</v>
      </c>
      <c r="AC124">
        <v>70</v>
      </c>
      <c r="AD124">
        <v>4</v>
      </c>
      <c r="AE124">
        <v>1187.7</v>
      </c>
      <c r="AF124">
        <v>1187.7</v>
      </c>
      <c r="AG124" s="29" t="s">
        <v>216</v>
      </c>
      <c r="AH124" s="29" t="s">
        <v>329</v>
      </c>
      <c r="AI124" s="29" t="s">
        <v>257</v>
      </c>
      <c r="AJ124" s="29" t="s">
        <v>330</v>
      </c>
      <c r="AL124" s="29" t="s">
        <v>217</v>
      </c>
    </row>
    <row r="125" spans="3:38">
      <c r="C125" t="s">
        <v>55</v>
      </c>
      <c r="D125" t="s">
        <v>24</v>
      </c>
      <c r="E125" t="s">
        <v>43</v>
      </c>
      <c r="F125" t="s">
        <v>114</v>
      </c>
      <c r="G125">
        <v>69.099999999999994</v>
      </c>
      <c r="H125">
        <v>0</v>
      </c>
      <c r="I125">
        <v>1</v>
      </c>
      <c r="J125">
        <v>-69.099999999999994</v>
      </c>
      <c r="O125" t="s">
        <v>44</v>
      </c>
      <c r="P125" t="s">
        <v>43</v>
      </c>
      <c r="Q125" t="s">
        <v>20</v>
      </c>
      <c r="R125" t="s">
        <v>56</v>
      </c>
      <c r="S125">
        <v>2024.14</v>
      </c>
      <c r="T125">
        <v>302.24</v>
      </c>
      <c r="U125">
        <v>0</v>
      </c>
      <c r="V125">
        <v>0</v>
      </c>
      <c r="AA125" s="29" t="s">
        <v>43</v>
      </c>
      <c r="AB125">
        <v>31199</v>
      </c>
      <c r="AC125">
        <v>70</v>
      </c>
      <c r="AD125">
        <v>4</v>
      </c>
      <c r="AE125">
        <v>43.32</v>
      </c>
      <c r="AF125">
        <v>43.32</v>
      </c>
      <c r="AG125" s="29" t="s">
        <v>216</v>
      </c>
      <c r="AH125" s="29" t="s">
        <v>331</v>
      </c>
      <c r="AI125" s="29" t="s">
        <v>257</v>
      </c>
      <c r="AJ125" s="29" t="s">
        <v>332</v>
      </c>
      <c r="AL125" s="29" t="s">
        <v>217</v>
      </c>
    </row>
    <row r="126" spans="3:38">
      <c r="C126" t="s">
        <v>55</v>
      </c>
      <c r="D126" t="s">
        <v>24</v>
      </c>
      <c r="E126" t="s">
        <v>43</v>
      </c>
      <c r="F126" t="s">
        <v>107</v>
      </c>
      <c r="G126">
        <v>78.55</v>
      </c>
      <c r="H126">
        <v>1</v>
      </c>
      <c r="I126">
        <v>1</v>
      </c>
      <c r="J126">
        <v>0</v>
      </c>
      <c r="O126" t="s">
        <v>44</v>
      </c>
      <c r="P126" t="s">
        <v>43</v>
      </c>
      <c r="Q126" t="s">
        <v>20</v>
      </c>
      <c r="R126" t="s">
        <v>56</v>
      </c>
      <c r="S126">
        <v>2024.17</v>
      </c>
      <c r="T126">
        <v>302.24</v>
      </c>
      <c r="U126">
        <v>0</v>
      </c>
      <c r="V126">
        <v>0</v>
      </c>
      <c r="AA126" s="29" t="s">
        <v>43</v>
      </c>
      <c r="AB126">
        <v>31199</v>
      </c>
      <c r="AC126">
        <v>70</v>
      </c>
      <c r="AD126">
        <v>4</v>
      </c>
      <c r="AE126">
        <v>53.5</v>
      </c>
      <c r="AF126">
        <v>53.5</v>
      </c>
      <c r="AG126" s="29" t="s">
        <v>216</v>
      </c>
      <c r="AH126" s="29" t="s">
        <v>333</v>
      </c>
      <c r="AI126" s="29" t="s">
        <v>257</v>
      </c>
      <c r="AJ126" s="29" t="s">
        <v>334</v>
      </c>
      <c r="AL126" s="29" t="s">
        <v>217</v>
      </c>
    </row>
    <row r="127" spans="3:38">
      <c r="C127" t="s">
        <v>55</v>
      </c>
      <c r="D127" t="s">
        <v>24</v>
      </c>
      <c r="E127" t="s">
        <v>43</v>
      </c>
      <c r="F127" t="s">
        <v>81</v>
      </c>
      <c r="G127">
        <v>0</v>
      </c>
      <c r="H127">
        <v>0.90017456584547595</v>
      </c>
      <c r="I127">
        <v>0</v>
      </c>
      <c r="J127">
        <v>23927.361000000001</v>
      </c>
      <c r="O127" t="s">
        <v>44</v>
      </c>
      <c r="P127" t="s">
        <v>43</v>
      </c>
      <c r="Q127" t="s">
        <v>20</v>
      </c>
      <c r="R127" t="s">
        <v>56</v>
      </c>
      <c r="S127">
        <v>2024.18</v>
      </c>
      <c r="T127">
        <v>604.48</v>
      </c>
      <c r="U127">
        <v>0</v>
      </c>
      <c r="V127">
        <v>0</v>
      </c>
      <c r="AA127" s="29" t="s">
        <v>43</v>
      </c>
      <c r="AB127">
        <v>31199</v>
      </c>
      <c r="AC127">
        <v>70</v>
      </c>
      <c r="AD127">
        <v>4</v>
      </c>
      <c r="AE127">
        <v>53.5</v>
      </c>
      <c r="AF127">
        <v>53.5</v>
      </c>
      <c r="AG127" s="29" t="s">
        <v>216</v>
      </c>
      <c r="AH127" s="29" t="s">
        <v>333</v>
      </c>
      <c r="AI127" s="29" t="s">
        <v>257</v>
      </c>
      <c r="AJ127" s="29" t="s">
        <v>335</v>
      </c>
      <c r="AL127" s="29" t="s">
        <v>217</v>
      </c>
    </row>
    <row r="128" spans="3:38">
      <c r="C128" t="s">
        <v>63</v>
      </c>
      <c r="D128" t="s">
        <v>24</v>
      </c>
      <c r="E128" t="s">
        <v>43</v>
      </c>
      <c r="F128" t="s">
        <v>125</v>
      </c>
      <c r="G128">
        <v>46262.93</v>
      </c>
      <c r="H128">
        <v>0.59980948733497497</v>
      </c>
      <c r="I128">
        <v>0.61875200035095201</v>
      </c>
      <c r="J128">
        <v>28505.200000000001</v>
      </c>
      <c r="O128" t="s">
        <v>44</v>
      </c>
      <c r="P128" t="s">
        <v>43</v>
      </c>
      <c r="Q128" t="s">
        <v>20</v>
      </c>
      <c r="R128" t="s">
        <v>56</v>
      </c>
      <c r="S128">
        <v>2024.19</v>
      </c>
      <c r="T128">
        <v>302.24</v>
      </c>
      <c r="U128">
        <v>0</v>
      </c>
      <c r="V128">
        <v>0</v>
      </c>
      <c r="AA128" s="29" t="s">
        <v>43</v>
      </c>
      <c r="AB128">
        <v>31199</v>
      </c>
      <c r="AC128">
        <v>70</v>
      </c>
      <c r="AD128">
        <v>4</v>
      </c>
      <c r="AE128">
        <v>48.08</v>
      </c>
      <c r="AF128">
        <v>48.08</v>
      </c>
      <c r="AG128" s="29" t="s">
        <v>216</v>
      </c>
      <c r="AH128" s="29" t="s">
        <v>336</v>
      </c>
      <c r="AI128" s="29" t="s">
        <v>257</v>
      </c>
      <c r="AJ128" s="29" t="s">
        <v>337</v>
      </c>
      <c r="AL128" s="29" t="s">
        <v>217</v>
      </c>
    </row>
    <row r="129" spans="3:38">
      <c r="C129" t="s">
        <v>60</v>
      </c>
      <c r="D129" t="s">
        <v>24</v>
      </c>
      <c r="E129" t="s">
        <v>43</v>
      </c>
      <c r="F129" t="s">
        <v>102</v>
      </c>
      <c r="G129">
        <v>34337.199999999997</v>
      </c>
      <c r="H129">
        <v>1.17387147156537</v>
      </c>
      <c r="I129">
        <v>1.0171913430135699</v>
      </c>
      <c r="J129">
        <v>-580.32600000000002</v>
      </c>
      <c r="O129" t="s">
        <v>44</v>
      </c>
      <c r="P129" t="s">
        <v>43</v>
      </c>
      <c r="Q129" t="s">
        <v>20</v>
      </c>
      <c r="R129" t="s">
        <v>56</v>
      </c>
      <c r="S129">
        <v>2024.2</v>
      </c>
      <c r="T129">
        <v>302.24</v>
      </c>
      <c r="U129">
        <v>0</v>
      </c>
      <c r="V129">
        <v>0</v>
      </c>
      <c r="AA129" s="29" t="s">
        <v>43</v>
      </c>
      <c r="AB129">
        <v>31199</v>
      </c>
      <c r="AC129">
        <v>70</v>
      </c>
      <c r="AD129">
        <v>4</v>
      </c>
      <c r="AE129">
        <v>0.96</v>
      </c>
      <c r="AF129">
        <v>0.96</v>
      </c>
      <c r="AG129" s="29" t="s">
        <v>216</v>
      </c>
      <c r="AH129" s="29" t="s">
        <v>338</v>
      </c>
      <c r="AI129" s="29" t="s">
        <v>257</v>
      </c>
      <c r="AJ129" s="29" t="s">
        <v>339</v>
      </c>
      <c r="AL129" s="29" t="s">
        <v>217</v>
      </c>
    </row>
    <row r="130" spans="3:38">
      <c r="C130" t="s">
        <v>55</v>
      </c>
      <c r="D130" t="s">
        <v>24</v>
      </c>
      <c r="E130" t="s">
        <v>43</v>
      </c>
      <c r="F130" t="s">
        <v>110</v>
      </c>
      <c r="G130">
        <v>16514.439999999999</v>
      </c>
      <c r="H130">
        <v>1</v>
      </c>
      <c r="I130">
        <v>1.26672066615735</v>
      </c>
      <c r="J130">
        <v>-3477.28</v>
      </c>
      <c r="O130" t="s">
        <v>44</v>
      </c>
      <c r="P130" t="s">
        <v>43</v>
      </c>
      <c r="Q130" t="s">
        <v>20</v>
      </c>
      <c r="R130" t="s">
        <v>56</v>
      </c>
      <c r="S130">
        <v>2024.21</v>
      </c>
      <c r="T130">
        <v>302.24</v>
      </c>
      <c r="U130">
        <v>0</v>
      </c>
      <c r="V130">
        <v>0</v>
      </c>
      <c r="AA130" s="29" t="s">
        <v>43</v>
      </c>
      <c r="AB130">
        <v>31199</v>
      </c>
      <c r="AC130">
        <v>70</v>
      </c>
      <c r="AD130">
        <v>4</v>
      </c>
      <c r="AE130">
        <v>114.84</v>
      </c>
      <c r="AF130">
        <v>114.84</v>
      </c>
      <c r="AG130" s="29" t="s">
        <v>216</v>
      </c>
      <c r="AH130" s="29" t="s">
        <v>340</v>
      </c>
      <c r="AI130" s="29" t="s">
        <v>257</v>
      </c>
      <c r="AJ130" s="29" t="s">
        <v>341</v>
      </c>
      <c r="AL130" s="29" t="s">
        <v>217</v>
      </c>
    </row>
    <row r="131" spans="3:38">
      <c r="C131" t="s">
        <v>60</v>
      </c>
      <c r="D131" t="s">
        <v>24</v>
      </c>
      <c r="E131" t="s">
        <v>43</v>
      </c>
      <c r="F131" t="s">
        <v>81</v>
      </c>
      <c r="G131">
        <v>23665.5</v>
      </c>
      <c r="H131">
        <v>0.75456456004334405</v>
      </c>
      <c r="I131">
        <v>0.51317476876646995</v>
      </c>
      <c r="J131">
        <v>22450.368200000001</v>
      </c>
      <c r="O131" t="s">
        <v>44</v>
      </c>
      <c r="P131" t="s">
        <v>43</v>
      </c>
      <c r="Q131" t="s">
        <v>20</v>
      </c>
      <c r="R131" t="s">
        <v>56</v>
      </c>
      <c r="S131">
        <v>2024.28</v>
      </c>
      <c r="T131">
        <v>302.24</v>
      </c>
      <c r="U131">
        <v>0</v>
      </c>
      <c r="V131">
        <v>0</v>
      </c>
      <c r="AA131" s="29" t="s">
        <v>43</v>
      </c>
      <c r="AB131">
        <v>31199</v>
      </c>
      <c r="AC131">
        <v>70</v>
      </c>
      <c r="AD131">
        <v>4</v>
      </c>
      <c r="AE131">
        <v>6.3</v>
      </c>
      <c r="AF131">
        <v>6.3</v>
      </c>
      <c r="AG131" s="29" t="s">
        <v>216</v>
      </c>
      <c r="AH131" s="29" t="s">
        <v>342</v>
      </c>
      <c r="AI131" s="29" t="s">
        <v>257</v>
      </c>
      <c r="AJ131" s="29" t="s">
        <v>343</v>
      </c>
      <c r="AL131" s="29" t="s">
        <v>217</v>
      </c>
    </row>
    <row r="132" spans="3:38">
      <c r="C132" t="s">
        <v>55</v>
      </c>
      <c r="D132" t="s">
        <v>24</v>
      </c>
      <c r="E132" t="s">
        <v>43</v>
      </c>
      <c r="F132" t="s">
        <v>119</v>
      </c>
      <c r="G132">
        <v>0</v>
      </c>
      <c r="H132">
        <v>1</v>
      </c>
      <c r="I132">
        <v>0</v>
      </c>
      <c r="J132">
        <v>11015.4653</v>
      </c>
      <c r="O132" t="s">
        <v>44</v>
      </c>
      <c r="P132" t="s">
        <v>43</v>
      </c>
      <c r="Q132" t="s">
        <v>20</v>
      </c>
      <c r="R132" t="s">
        <v>56</v>
      </c>
      <c r="S132">
        <v>2024.38</v>
      </c>
      <c r="T132">
        <v>604.48</v>
      </c>
      <c r="U132">
        <v>0</v>
      </c>
      <c r="V132">
        <v>0</v>
      </c>
      <c r="AA132" s="29" t="s">
        <v>43</v>
      </c>
      <c r="AB132">
        <v>31199</v>
      </c>
      <c r="AC132">
        <v>70</v>
      </c>
      <c r="AD132">
        <v>4</v>
      </c>
      <c r="AE132">
        <v>43.32</v>
      </c>
      <c r="AF132">
        <v>43.32</v>
      </c>
      <c r="AG132" s="29" t="s">
        <v>216</v>
      </c>
      <c r="AH132" s="29" t="s">
        <v>331</v>
      </c>
      <c r="AI132" s="29" t="s">
        <v>257</v>
      </c>
      <c r="AJ132" s="29" t="s">
        <v>332</v>
      </c>
      <c r="AL132" s="29" t="s">
        <v>217</v>
      </c>
    </row>
    <row r="133" spans="3:38">
      <c r="C133" t="s">
        <v>60</v>
      </c>
      <c r="D133" t="s">
        <v>24</v>
      </c>
      <c r="E133" t="s">
        <v>43</v>
      </c>
      <c r="F133" t="s">
        <v>90</v>
      </c>
      <c r="G133">
        <v>12758.48</v>
      </c>
      <c r="H133">
        <v>0.31028519461218002</v>
      </c>
      <c r="I133">
        <v>0.58337410503706</v>
      </c>
      <c r="J133">
        <v>9111.6713999999993</v>
      </c>
      <c r="O133" t="s">
        <v>44</v>
      </c>
      <c r="P133" t="s">
        <v>43</v>
      </c>
      <c r="Q133" t="s">
        <v>20</v>
      </c>
      <c r="R133" t="s">
        <v>56</v>
      </c>
      <c r="S133">
        <v>2024.39</v>
      </c>
      <c r="T133">
        <v>302.24</v>
      </c>
      <c r="U133">
        <v>0</v>
      </c>
      <c r="V133">
        <v>0</v>
      </c>
      <c r="AA133" s="29" t="s">
        <v>43</v>
      </c>
      <c r="AB133">
        <v>31199</v>
      </c>
      <c r="AC133">
        <v>70</v>
      </c>
      <c r="AD133">
        <v>4</v>
      </c>
      <c r="AE133">
        <v>85.6</v>
      </c>
      <c r="AF133">
        <v>85.6</v>
      </c>
      <c r="AG133" s="29" t="s">
        <v>216</v>
      </c>
      <c r="AH133" s="29" t="s">
        <v>344</v>
      </c>
      <c r="AI133" s="29" t="s">
        <v>257</v>
      </c>
      <c r="AJ133" s="29" t="s">
        <v>345</v>
      </c>
      <c r="AL133" s="29" t="s">
        <v>217</v>
      </c>
    </row>
    <row r="134" spans="3:38">
      <c r="C134" t="s">
        <v>96</v>
      </c>
      <c r="D134" t="s">
        <v>24</v>
      </c>
      <c r="E134" t="s">
        <v>43</v>
      </c>
      <c r="F134" t="s">
        <v>126</v>
      </c>
      <c r="G134">
        <v>-20428.38</v>
      </c>
      <c r="H134">
        <v>0</v>
      </c>
      <c r="I134">
        <v>1</v>
      </c>
      <c r="J134">
        <v>20428.38</v>
      </c>
      <c r="O134" t="s">
        <v>44</v>
      </c>
      <c r="P134" t="s">
        <v>43</v>
      </c>
      <c r="Q134" t="s">
        <v>20</v>
      </c>
      <c r="R134" t="s">
        <v>56</v>
      </c>
      <c r="S134">
        <v>2024.41</v>
      </c>
      <c r="T134">
        <v>302.24</v>
      </c>
      <c r="U134">
        <v>0</v>
      </c>
      <c r="V134">
        <v>0</v>
      </c>
      <c r="AA134" s="29" t="s">
        <v>43</v>
      </c>
      <c r="AB134">
        <v>31199</v>
      </c>
      <c r="AC134">
        <v>70</v>
      </c>
      <c r="AD134">
        <v>4</v>
      </c>
      <c r="AE134">
        <v>42.8</v>
      </c>
      <c r="AF134">
        <v>42.8</v>
      </c>
      <c r="AG134" s="29" t="s">
        <v>216</v>
      </c>
      <c r="AH134" s="29" t="s">
        <v>319</v>
      </c>
      <c r="AI134" s="29" t="s">
        <v>257</v>
      </c>
      <c r="AJ134" s="29" t="s">
        <v>346</v>
      </c>
      <c r="AL134" s="29" t="s">
        <v>217</v>
      </c>
    </row>
    <row r="135" spans="3:38">
      <c r="C135" t="s">
        <v>60</v>
      </c>
      <c r="D135" t="s">
        <v>24</v>
      </c>
      <c r="E135" t="s">
        <v>43</v>
      </c>
      <c r="F135" t="s">
        <v>123</v>
      </c>
      <c r="G135">
        <v>0</v>
      </c>
      <c r="H135">
        <v>1</v>
      </c>
      <c r="I135">
        <v>0</v>
      </c>
      <c r="J135">
        <v>25000</v>
      </c>
      <c r="O135" t="s">
        <v>44</v>
      </c>
      <c r="P135" t="s">
        <v>43</v>
      </c>
      <c r="Q135" t="s">
        <v>20</v>
      </c>
      <c r="R135" t="s">
        <v>56</v>
      </c>
      <c r="S135">
        <v>2024.43</v>
      </c>
      <c r="T135">
        <v>302.24</v>
      </c>
      <c r="U135">
        <v>0</v>
      </c>
      <c r="V135">
        <v>0</v>
      </c>
      <c r="AA135" s="29" t="s">
        <v>43</v>
      </c>
      <c r="AB135">
        <v>31199</v>
      </c>
      <c r="AC135">
        <v>70</v>
      </c>
      <c r="AD135">
        <v>4</v>
      </c>
      <c r="AE135">
        <v>42.8</v>
      </c>
      <c r="AF135">
        <v>42.8</v>
      </c>
      <c r="AG135" s="29" t="s">
        <v>216</v>
      </c>
      <c r="AH135" s="29" t="s">
        <v>319</v>
      </c>
      <c r="AI135" s="29" t="s">
        <v>257</v>
      </c>
      <c r="AJ135" s="29" t="s">
        <v>346</v>
      </c>
      <c r="AL135" s="29" t="s">
        <v>217</v>
      </c>
    </row>
    <row r="136" spans="3:38">
      <c r="C136" t="s">
        <v>62</v>
      </c>
      <c r="D136" t="s">
        <v>24</v>
      </c>
      <c r="E136" t="s">
        <v>43</v>
      </c>
      <c r="F136" t="s">
        <v>90</v>
      </c>
      <c r="G136">
        <v>47993.68</v>
      </c>
      <c r="H136">
        <v>1.0976421567277701</v>
      </c>
      <c r="I136">
        <v>0.85386779211772701</v>
      </c>
      <c r="J136">
        <v>8213.7099999999991</v>
      </c>
      <c r="O136" t="s">
        <v>44</v>
      </c>
      <c r="P136" t="s">
        <v>43</v>
      </c>
      <c r="Q136" t="s">
        <v>20</v>
      </c>
      <c r="R136" t="s">
        <v>56</v>
      </c>
      <c r="S136">
        <v>2024.44</v>
      </c>
      <c r="T136">
        <v>302.24</v>
      </c>
      <c r="U136">
        <v>0</v>
      </c>
      <c r="V136">
        <v>302.24</v>
      </c>
      <c r="AA136" s="29" t="s">
        <v>43</v>
      </c>
      <c r="AB136">
        <v>31199</v>
      </c>
      <c r="AC136">
        <v>70</v>
      </c>
      <c r="AD136">
        <v>4</v>
      </c>
      <c r="AE136">
        <v>-42.8</v>
      </c>
      <c r="AF136">
        <v>-42.8</v>
      </c>
      <c r="AG136" s="29" t="s">
        <v>216</v>
      </c>
      <c r="AH136" s="29" t="s">
        <v>347</v>
      </c>
      <c r="AI136" s="29" t="s">
        <v>257</v>
      </c>
      <c r="AJ136" s="29" t="s">
        <v>348</v>
      </c>
      <c r="AL136" s="29" t="s">
        <v>217</v>
      </c>
    </row>
    <row r="137" spans="3:38">
      <c r="O137" t="s">
        <v>44</v>
      </c>
      <c r="P137" t="s">
        <v>43</v>
      </c>
      <c r="Q137" t="s">
        <v>20</v>
      </c>
      <c r="R137" t="s">
        <v>56</v>
      </c>
      <c r="S137">
        <v>2024.45</v>
      </c>
      <c r="T137">
        <v>302.24</v>
      </c>
      <c r="U137">
        <v>0</v>
      </c>
      <c r="V137">
        <v>302.24</v>
      </c>
      <c r="AA137" s="29" t="s">
        <v>43</v>
      </c>
      <c r="AB137">
        <v>31199</v>
      </c>
      <c r="AC137">
        <v>70</v>
      </c>
      <c r="AD137">
        <v>4</v>
      </c>
      <c r="AE137">
        <v>42.8</v>
      </c>
      <c r="AF137">
        <v>42.8</v>
      </c>
      <c r="AG137" s="29" t="s">
        <v>216</v>
      </c>
      <c r="AH137" s="29" t="s">
        <v>319</v>
      </c>
      <c r="AI137" s="29" t="s">
        <v>257</v>
      </c>
      <c r="AJ137" s="29" t="s">
        <v>346</v>
      </c>
      <c r="AL137" s="29" t="s">
        <v>217</v>
      </c>
    </row>
    <row r="138" spans="3:38">
      <c r="O138" t="s">
        <v>44</v>
      </c>
      <c r="P138" t="s">
        <v>43</v>
      </c>
      <c r="Q138" t="s">
        <v>20</v>
      </c>
      <c r="R138" t="s">
        <v>56</v>
      </c>
      <c r="S138">
        <v>2024.47</v>
      </c>
      <c r="T138">
        <v>302.24</v>
      </c>
      <c r="U138">
        <v>0</v>
      </c>
      <c r="V138">
        <v>302.24</v>
      </c>
      <c r="AA138" s="29" t="s">
        <v>43</v>
      </c>
      <c r="AB138">
        <v>31199</v>
      </c>
      <c r="AC138">
        <v>70</v>
      </c>
      <c r="AD138">
        <v>4</v>
      </c>
      <c r="AE138">
        <v>43.32</v>
      </c>
      <c r="AF138">
        <v>43.32</v>
      </c>
      <c r="AG138" s="29" t="s">
        <v>216</v>
      </c>
      <c r="AH138" s="29" t="s">
        <v>331</v>
      </c>
      <c r="AI138" s="29" t="s">
        <v>257</v>
      </c>
      <c r="AJ138" s="29" t="s">
        <v>332</v>
      </c>
      <c r="AL138" s="29" t="s">
        <v>217</v>
      </c>
    </row>
    <row r="139" spans="3:38">
      <c r="O139" t="s">
        <v>44</v>
      </c>
      <c r="P139" t="s">
        <v>43</v>
      </c>
      <c r="Q139" t="s">
        <v>20</v>
      </c>
      <c r="R139" t="s">
        <v>56</v>
      </c>
      <c r="S139">
        <v>2024.48</v>
      </c>
      <c r="T139">
        <v>302.24</v>
      </c>
      <c r="U139">
        <v>0</v>
      </c>
      <c r="V139">
        <v>302.24</v>
      </c>
      <c r="AA139" s="29" t="s">
        <v>43</v>
      </c>
      <c r="AB139">
        <v>31199</v>
      </c>
      <c r="AC139">
        <v>70</v>
      </c>
      <c r="AD139">
        <v>4</v>
      </c>
      <c r="AE139">
        <v>892.38</v>
      </c>
      <c r="AF139">
        <v>892.38</v>
      </c>
      <c r="AG139" s="29" t="s">
        <v>216</v>
      </c>
      <c r="AH139" s="29" t="s">
        <v>349</v>
      </c>
      <c r="AI139" s="29" t="s">
        <v>257</v>
      </c>
      <c r="AJ139" s="29" t="s">
        <v>350</v>
      </c>
      <c r="AL139" s="29" t="s">
        <v>217</v>
      </c>
    </row>
    <row r="140" spans="3:38">
      <c r="O140" t="s">
        <v>44</v>
      </c>
      <c r="P140" t="s">
        <v>43</v>
      </c>
      <c r="Q140" t="s">
        <v>20</v>
      </c>
      <c r="R140" t="s">
        <v>56</v>
      </c>
      <c r="S140">
        <v>2024.49</v>
      </c>
      <c r="T140">
        <v>302.24</v>
      </c>
      <c r="U140">
        <v>0</v>
      </c>
      <c r="V140">
        <v>302.24</v>
      </c>
      <c r="AA140" s="29" t="s">
        <v>43</v>
      </c>
      <c r="AB140">
        <v>31199</v>
      </c>
      <c r="AC140">
        <v>70</v>
      </c>
      <c r="AD140">
        <v>4</v>
      </c>
      <c r="AE140">
        <v>297.45999999999998</v>
      </c>
      <c r="AF140">
        <v>297.45999999999998</v>
      </c>
      <c r="AG140" s="29" t="s">
        <v>216</v>
      </c>
      <c r="AH140" s="29" t="s">
        <v>351</v>
      </c>
      <c r="AI140" s="29" t="s">
        <v>257</v>
      </c>
      <c r="AJ140" s="29" t="s">
        <v>352</v>
      </c>
      <c r="AL140" s="29" t="s">
        <v>217</v>
      </c>
    </row>
    <row r="141" spans="3:38">
      <c r="O141" t="s">
        <v>44</v>
      </c>
      <c r="P141" t="s">
        <v>43</v>
      </c>
      <c r="Q141" t="s">
        <v>20</v>
      </c>
      <c r="R141" t="s">
        <v>56</v>
      </c>
      <c r="S141">
        <v>2024.52</v>
      </c>
      <c r="T141">
        <v>302.24</v>
      </c>
      <c r="U141">
        <v>0</v>
      </c>
      <c r="V141">
        <v>302.24</v>
      </c>
      <c r="AA141" s="29" t="s">
        <v>43</v>
      </c>
      <c r="AB141">
        <v>31199</v>
      </c>
      <c r="AC141">
        <v>70</v>
      </c>
      <c r="AD141">
        <v>4</v>
      </c>
      <c r="AE141">
        <v>148.44</v>
      </c>
      <c r="AF141">
        <v>148.44</v>
      </c>
      <c r="AG141" s="29" t="s">
        <v>216</v>
      </c>
      <c r="AH141" s="29" t="s">
        <v>325</v>
      </c>
      <c r="AI141" s="29" t="s">
        <v>257</v>
      </c>
      <c r="AJ141" s="29" t="s">
        <v>326</v>
      </c>
      <c r="AL141" s="29" t="s">
        <v>217</v>
      </c>
    </row>
    <row r="142" spans="3:38">
      <c r="O142" t="s">
        <v>44</v>
      </c>
      <c r="P142" t="s">
        <v>43</v>
      </c>
      <c r="Q142" t="s">
        <v>20</v>
      </c>
      <c r="R142" t="s">
        <v>56</v>
      </c>
      <c r="S142">
        <v>2025.03</v>
      </c>
      <c r="T142">
        <v>302.24</v>
      </c>
      <c r="U142">
        <v>0</v>
      </c>
      <c r="V142">
        <v>302.24</v>
      </c>
      <c r="AA142" s="29" t="s">
        <v>43</v>
      </c>
      <c r="AB142">
        <v>31199</v>
      </c>
      <c r="AC142">
        <v>70</v>
      </c>
      <c r="AD142">
        <v>4</v>
      </c>
      <c r="AE142">
        <v>-297.45999999999998</v>
      </c>
      <c r="AF142">
        <v>-297.45999999999998</v>
      </c>
      <c r="AG142" s="29" t="s">
        <v>216</v>
      </c>
      <c r="AH142" s="29" t="s">
        <v>353</v>
      </c>
      <c r="AI142" s="29" t="s">
        <v>257</v>
      </c>
      <c r="AJ142" s="29" t="s">
        <v>354</v>
      </c>
      <c r="AL142" s="29" t="s">
        <v>217</v>
      </c>
    </row>
    <row r="143" spans="3:38">
      <c r="O143" t="s">
        <v>44</v>
      </c>
      <c r="P143" t="s">
        <v>43</v>
      </c>
      <c r="Q143" t="s">
        <v>20</v>
      </c>
      <c r="R143" t="s">
        <v>56</v>
      </c>
      <c r="S143">
        <v>2025.12</v>
      </c>
      <c r="T143">
        <v>302.24</v>
      </c>
      <c r="U143">
        <v>0</v>
      </c>
      <c r="V143">
        <v>302.24</v>
      </c>
      <c r="AA143" s="29" t="s">
        <v>43</v>
      </c>
      <c r="AB143">
        <v>31199</v>
      </c>
      <c r="AC143">
        <v>70</v>
      </c>
      <c r="AD143">
        <v>4</v>
      </c>
      <c r="AE143">
        <v>6242</v>
      </c>
      <c r="AF143">
        <v>6242</v>
      </c>
      <c r="AG143" s="29" t="s">
        <v>216</v>
      </c>
      <c r="AH143" s="29" t="s">
        <v>355</v>
      </c>
      <c r="AI143" s="29" t="s">
        <v>257</v>
      </c>
      <c r="AJ143" s="29" t="s">
        <v>356</v>
      </c>
      <c r="AL143" s="29" t="s">
        <v>217</v>
      </c>
    </row>
    <row r="144" spans="3:38">
      <c r="O144" t="s">
        <v>44</v>
      </c>
      <c r="P144" t="s">
        <v>43</v>
      </c>
      <c r="Q144" t="s">
        <v>18</v>
      </c>
      <c r="R144" t="s">
        <v>57</v>
      </c>
      <c r="S144">
        <v>2023.51</v>
      </c>
      <c r="T144">
        <v>22.8</v>
      </c>
      <c r="U144">
        <v>0</v>
      </c>
      <c r="V144">
        <v>0</v>
      </c>
      <c r="AA144" s="29" t="s">
        <v>43</v>
      </c>
      <c r="AB144">
        <v>31199</v>
      </c>
      <c r="AC144">
        <v>70</v>
      </c>
      <c r="AD144">
        <v>4</v>
      </c>
      <c r="AE144">
        <v>148.44</v>
      </c>
      <c r="AF144">
        <v>148.44</v>
      </c>
      <c r="AG144" s="29" t="s">
        <v>216</v>
      </c>
      <c r="AH144" s="29" t="s">
        <v>325</v>
      </c>
      <c r="AI144" s="29" t="s">
        <v>257</v>
      </c>
      <c r="AJ144" s="29" t="s">
        <v>326</v>
      </c>
      <c r="AL144" s="29" t="s">
        <v>217</v>
      </c>
    </row>
    <row r="145" spans="15:38">
      <c r="O145" t="s">
        <v>44</v>
      </c>
      <c r="P145" t="s">
        <v>43</v>
      </c>
      <c r="Q145" t="s">
        <v>18</v>
      </c>
      <c r="R145" t="s">
        <v>58</v>
      </c>
      <c r="S145">
        <v>2023.51</v>
      </c>
      <c r="T145">
        <v>7582.55</v>
      </c>
      <c r="U145">
        <v>0</v>
      </c>
      <c r="V145">
        <v>0</v>
      </c>
      <c r="AA145" s="29" t="s">
        <v>43</v>
      </c>
      <c r="AB145">
        <v>31199</v>
      </c>
      <c r="AC145">
        <v>70</v>
      </c>
      <c r="AD145">
        <v>4</v>
      </c>
      <c r="AE145">
        <v>53.5</v>
      </c>
      <c r="AF145">
        <v>53.5</v>
      </c>
      <c r="AG145" s="29" t="s">
        <v>216</v>
      </c>
      <c r="AH145" s="29" t="s">
        <v>333</v>
      </c>
      <c r="AI145" s="29" t="s">
        <v>257</v>
      </c>
      <c r="AJ145" s="29" t="s">
        <v>357</v>
      </c>
      <c r="AL145" s="29" t="s">
        <v>217</v>
      </c>
    </row>
    <row r="146" spans="15:38">
      <c r="O146" t="s">
        <v>44</v>
      </c>
      <c r="P146" t="s">
        <v>43</v>
      </c>
      <c r="Q146" t="s">
        <v>18</v>
      </c>
      <c r="R146" t="s">
        <v>58</v>
      </c>
      <c r="S146">
        <v>2024.06</v>
      </c>
      <c r="T146">
        <v>4727.37</v>
      </c>
      <c r="U146">
        <v>0</v>
      </c>
      <c r="V146">
        <v>0</v>
      </c>
      <c r="AA146" s="29" t="s">
        <v>43</v>
      </c>
      <c r="AB146">
        <v>31199</v>
      </c>
      <c r="AC146">
        <v>70</v>
      </c>
      <c r="AD146">
        <v>4</v>
      </c>
      <c r="AE146">
        <v>9.64</v>
      </c>
      <c r="AF146">
        <v>9.64</v>
      </c>
      <c r="AG146" s="29" t="s">
        <v>216</v>
      </c>
      <c r="AH146" s="29" t="s">
        <v>358</v>
      </c>
      <c r="AI146" s="29" t="s">
        <v>257</v>
      </c>
      <c r="AJ146" s="29" t="s">
        <v>359</v>
      </c>
      <c r="AL146" s="29" t="s">
        <v>217</v>
      </c>
    </row>
    <row r="147" spans="15:38">
      <c r="O147" t="s">
        <v>44</v>
      </c>
      <c r="P147" t="s">
        <v>43</v>
      </c>
      <c r="Q147" t="s">
        <v>18</v>
      </c>
      <c r="R147" t="s">
        <v>58</v>
      </c>
      <c r="S147">
        <v>2024.07</v>
      </c>
      <c r="T147">
        <v>3181.54</v>
      </c>
      <c r="U147">
        <v>0</v>
      </c>
      <c r="V147">
        <v>0</v>
      </c>
      <c r="AA147" s="29" t="s">
        <v>43</v>
      </c>
      <c r="AB147">
        <v>31199</v>
      </c>
      <c r="AC147">
        <v>70</v>
      </c>
      <c r="AD147">
        <v>4</v>
      </c>
      <c r="AE147">
        <v>609.9</v>
      </c>
      <c r="AF147">
        <v>609.9</v>
      </c>
      <c r="AG147" s="29" t="s">
        <v>216</v>
      </c>
      <c r="AH147" s="29" t="s">
        <v>360</v>
      </c>
      <c r="AI147" s="29" t="s">
        <v>257</v>
      </c>
      <c r="AJ147" s="29" t="s">
        <v>361</v>
      </c>
      <c r="AL147" s="29" t="s">
        <v>217</v>
      </c>
    </row>
    <row r="148" spans="15:38">
      <c r="O148" t="s">
        <v>44</v>
      </c>
      <c r="P148" t="s">
        <v>43</v>
      </c>
      <c r="Q148" t="s">
        <v>18</v>
      </c>
      <c r="R148" t="s">
        <v>58</v>
      </c>
      <c r="S148">
        <v>2024.08</v>
      </c>
      <c r="T148">
        <v>3181.54</v>
      </c>
      <c r="U148">
        <v>0</v>
      </c>
      <c r="V148">
        <v>0</v>
      </c>
      <c r="AA148" s="29" t="s">
        <v>43</v>
      </c>
      <c r="AB148">
        <v>31199</v>
      </c>
      <c r="AC148">
        <v>70</v>
      </c>
      <c r="AD148">
        <v>4</v>
      </c>
      <c r="AE148">
        <v>72.760000000000005</v>
      </c>
      <c r="AF148">
        <v>72.760000000000005</v>
      </c>
      <c r="AG148" s="29" t="s">
        <v>216</v>
      </c>
      <c r="AH148" s="29" t="s">
        <v>362</v>
      </c>
      <c r="AI148" s="29" t="s">
        <v>257</v>
      </c>
      <c r="AJ148" s="29" t="s">
        <v>363</v>
      </c>
      <c r="AL148" s="29" t="s">
        <v>217</v>
      </c>
    </row>
    <row r="149" spans="15:38">
      <c r="O149" t="s">
        <v>44</v>
      </c>
      <c r="P149" t="s">
        <v>43</v>
      </c>
      <c r="Q149" t="s">
        <v>18</v>
      </c>
      <c r="R149" t="s">
        <v>58</v>
      </c>
      <c r="S149">
        <v>2024.09</v>
      </c>
      <c r="T149">
        <v>3181.54</v>
      </c>
      <c r="U149">
        <v>0</v>
      </c>
      <c r="V149">
        <v>0</v>
      </c>
      <c r="AA149" s="29" t="s">
        <v>43</v>
      </c>
      <c r="AB149">
        <v>31199</v>
      </c>
      <c r="AC149">
        <v>70</v>
      </c>
      <c r="AD149">
        <v>4</v>
      </c>
      <c r="AE149">
        <v>318.86</v>
      </c>
      <c r="AF149">
        <v>318.86</v>
      </c>
      <c r="AG149" s="29" t="s">
        <v>216</v>
      </c>
      <c r="AH149" s="29" t="s">
        <v>364</v>
      </c>
      <c r="AI149" s="29" t="s">
        <v>257</v>
      </c>
      <c r="AJ149" s="29" t="s">
        <v>365</v>
      </c>
      <c r="AL149" s="29" t="s">
        <v>217</v>
      </c>
    </row>
    <row r="150" spans="15:38">
      <c r="O150" t="s">
        <v>44</v>
      </c>
      <c r="P150" t="s">
        <v>43</v>
      </c>
      <c r="Q150" t="s">
        <v>18</v>
      </c>
      <c r="R150" t="s">
        <v>58</v>
      </c>
      <c r="S150">
        <v>2024.1</v>
      </c>
      <c r="T150">
        <v>3181.54</v>
      </c>
      <c r="U150">
        <v>0</v>
      </c>
      <c r="V150">
        <v>0</v>
      </c>
      <c r="AA150" s="29" t="s">
        <v>43</v>
      </c>
      <c r="AB150">
        <v>31199</v>
      </c>
      <c r="AC150">
        <v>70</v>
      </c>
      <c r="AD150">
        <v>4</v>
      </c>
      <c r="AE150">
        <v>305.01</v>
      </c>
      <c r="AF150">
        <v>305.01</v>
      </c>
      <c r="AG150" s="29" t="s">
        <v>216</v>
      </c>
      <c r="AH150" s="29" t="s">
        <v>366</v>
      </c>
      <c r="AI150" s="29" t="s">
        <v>257</v>
      </c>
      <c r="AJ150" s="29" t="s">
        <v>367</v>
      </c>
      <c r="AL150" s="29" t="s">
        <v>217</v>
      </c>
    </row>
    <row r="151" spans="15:38">
      <c r="O151" t="s">
        <v>44</v>
      </c>
      <c r="P151" t="s">
        <v>43</v>
      </c>
      <c r="Q151" t="s">
        <v>18</v>
      </c>
      <c r="R151" t="s">
        <v>58</v>
      </c>
      <c r="S151">
        <v>2024.11</v>
      </c>
      <c r="T151">
        <v>3181.54</v>
      </c>
      <c r="U151">
        <v>0</v>
      </c>
      <c r="V151">
        <v>0</v>
      </c>
      <c r="AA151" s="29" t="s">
        <v>43</v>
      </c>
      <c r="AB151">
        <v>31199</v>
      </c>
      <c r="AC151">
        <v>70</v>
      </c>
      <c r="AD151">
        <v>4</v>
      </c>
      <c r="AE151">
        <v>7.92</v>
      </c>
      <c r="AF151">
        <v>7.92</v>
      </c>
      <c r="AG151" s="29" t="s">
        <v>216</v>
      </c>
      <c r="AH151" s="29" t="s">
        <v>368</v>
      </c>
      <c r="AI151" s="29" t="s">
        <v>257</v>
      </c>
      <c r="AJ151" s="29" t="s">
        <v>369</v>
      </c>
      <c r="AL151" s="29" t="s">
        <v>217</v>
      </c>
    </row>
    <row r="152" spans="15:38">
      <c r="O152" t="s">
        <v>44</v>
      </c>
      <c r="P152" t="s">
        <v>43</v>
      </c>
      <c r="Q152" t="s">
        <v>18</v>
      </c>
      <c r="R152" t="s">
        <v>58</v>
      </c>
      <c r="S152">
        <v>2024.14</v>
      </c>
      <c r="T152">
        <v>3181.54</v>
      </c>
      <c r="U152">
        <v>0</v>
      </c>
      <c r="V152">
        <v>0</v>
      </c>
      <c r="AA152" s="29" t="s">
        <v>43</v>
      </c>
      <c r="AB152">
        <v>31199</v>
      </c>
      <c r="AC152">
        <v>70</v>
      </c>
      <c r="AD152">
        <v>4</v>
      </c>
      <c r="AE152">
        <v>6</v>
      </c>
      <c r="AF152">
        <v>6</v>
      </c>
      <c r="AG152" s="29" t="s">
        <v>216</v>
      </c>
      <c r="AH152" s="29" t="s">
        <v>370</v>
      </c>
      <c r="AI152" s="29" t="s">
        <v>257</v>
      </c>
      <c r="AJ152" s="29" t="s">
        <v>371</v>
      </c>
      <c r="AL152" s="29" t="s">
        <v>217</v>
      </c>
    </row>
    <row r="153" spans="15:38">
      <c r="O153" t="s">
        <v>44</v>
      </c>
      <c r="P153" t="s">
        <v>43</v>
      </c>
      <c r="Q153" t="s">
        <v>18</v>
      </c>
      <c r="R153" t="s">
        <v>58</v>
      </c>
      <c r="S153">
        <v>2024.17</v>
      </c>
      <c r="T153">
        <v>3181.54</v>
      </c>
      <c r="U153">
        <v>0</v>
      </c>
      <c r="V153">
        <v>0</v>
      </c>
      <c r="AA153" s="29" t="s">
        <v>43</v>
      </c>
      <c r="AB153">
        <v>31199</v>
      </c>
      <c r="AC153">
        <v>70</v>
      </c>
      <c r="AD153">
        <v>4</v>
      </c>
      <c r="AE153">
        <v>24864</v>
      </c>
      <c r="AF153">
        <v>24864</v>
      </c>
      <c r="AG153" s="29" t="s">
        <v>216</v>
      </c>
      <c r="AH153" s="29" t="s">
        <v>372</v>
      </c>
      <c r="AI153" s="29" t="s">
        <v>257</v>
      </c>
      <c r="AJ153" s="29" t="s">
        <v>373</v>
      </c>
      <c r="AL153" s="29" t="s">
        <v>217</v>
      </c>
    </row>
    <row r="154" spans="15:38">
      <c r="O154" t="s">
        <v>44</v>
      </c>
      <c r="P154" t="s">
        <v>43</v>
      </c>
      <c r="Q154" t="s">
        <v>18</v>
      </c>
      <c r="R154" t="s">
        <v>58</v>
      </c>
      <c r="S154">
        <v>2024.18</v>
      </c>
      <c r="T154">
        <v>6363.08</v>
      </c>
      <c r="U154">
        <v>0</v>
      </c>
      <c r="V154">
        <v>0</v>
      </c>
      <c r="AA154" s="29" t="s">
        <v>43</v>
      </c>
      <c r="AB154">
        <v>31199</v>
      </c>
      <c r="AC154">
        <v>70</v>
      </c>
      <c r="AD154">
        <v>4</v>
      </c>
      <c r="AE154">
        <v>53.5</v>
      </c>
      <c r="AF154">
        <v>53.5</v>
      </c>
      <c r="AG154" s="29" t="s">
        <v>216</v>
      </c>
      <c r="AH154" s="29" t="s">
        <v>333</v>
      </c>
      <c r="AI154" s="29" t="s">
        <v>257</v>
      </c>
      <c r="AJ154" s="29" t="s">
        <v>374</v>
      </c>
      <c r="AL154" s="29" t="s">
        <v>217</v>
      </c>
    </row>
    <row r="155" spans="15:38">
      <c r="O155" t="s">
        <v>44</v>
      </c>
      <c r="P155" t="s">
        <v>43</v>
      </c>
      <c r="Q155" t="s">
        <v>18</v>
      </c>
      <c r="R155" t="s">
        <v>58</v>
      </c>
      <c r="S155">
        <v>2024.19</v>
      </c>
      <c r="T155">
        <v>3181.54</v>
      </c>
      <c r="U155">
        <v>0</v>
      </c>
      <c r="V155">
        <v>0</v>
      </c>
      <c r="AA155" s="29" t="s">
        <v>43</v>
      </c>
      <c r="AB155">
        <v>31199</v>
      </c>
      <c r="AC155">
        <v>70</v>
      </c>
      <c r="AD155">
        <v>4</v>
      </c>
      <c r="AE155">
        <v>297.45999999999998</v>
      </c>
      <c r="AF155">
        <v>297.45999999999998</v>
      </c>
      <c r="AG155" s="29" t="s">
        <v>216</v>
      </c>
      <c r="AH155" s="29" t="s">
        <v>351</v>
      </c>
      <c r="AI155" s="29" t="s">
        <v>257</v>
      </c>
      <c r="AJ155" s="29" t="s">
        <v>352</v>
      </c>
      <c r="AL155" s="29" t="s">
        <v>217</v>
      </c>
    </row>
    <row r="156" spans="15:38">
      <c r="O156" t="s">
        <v>44</v>
      </c>
      <c r="P156" t="s">
        <v>43</v>
      </c>
      <c r="Q156" t="s">
        <v>18</v>
      </c>
      <c r="R156" t="s">
        <v>58</v>
      </c>
      <c r="S156">
        <v>2024.2</v>
      </c>
      <c r="T156">
        <v>3181.54</v>
      </c>
      <c r="U156">
        <v>0</v>
      </c>
      <c r="V156">
        <v>0</v>
      </c>
      <c r="AA156" s="29" t="s">
        <v>43</v>
      </c>
      <c r="AB156">
        <v>31199</v>
      </c>
      <c r="AC156">
        <v>70</v>
      </c>
      <c r="AD156">
        <v>4</v>
      </c>
      <c r="AE156">
        <v>85.6</v>
      </c>
      <c r="AF156">
        <v>85.6</v>
      </c>
      <c r="AG156" s="29" t="s">
        <v>216</v>
      </c>
      <c r="AH156" s="29" t="s">
        <v>344</v>
      </c>
      <c r="AI156" s="29" t="s">
        <v>257</v>
      </c>
      <c r="AJ156" s="29" t="s">
        <v>375</v>
      </c>
      <c r="AL156" s="29" t="s">
        <v>217</v>
      </c>
    </row>
    <row r="157" spans="15:38">
      <c r="O157" t="s">
        <v>44</v>
      </c>
      <c r="P157" t="s">
        <v>43</v>
      </c>
      <c r="Q157" t="s">
        <v>18</v>
      </c>
      <c r="R157" t="s">
        <v>58</v>
      </c>
      <c r="S157">
        <v>2024.21</v>
      </c>
      <c r="T157">
        <v>3181.54</v>
      </c>
      <c r="U157">
        <v>0</v>
      </c>
      <c r="V157">
        <v>0</v>
      </c>
      <c r="AA157" s="29" t="s">
        <v>43</v>
      </c>
      <c r="AB157">
        <v>31199</v>
      </c>
      <c r="AC157">
        <v>70</v>
      </c>
      <c r="AD157">
        <v>4</v>
      </c>
      <c r="AE157">
        <v>85.6</v>
      </c>
      <c r="AF157">
        <v>85.6</v>
      </c>
      <c r="AG157" s="29" t="s">
        <v>216</v>
      </c>
      <c r="AH157" s="29" t="s">
        <v>344</v>
      </c>
      <c r="AI157" s="29" t="s">
        <v>257</v>
      </c>
      <c r="AJ157" s="29" t="s">
        <v>376</v>
      </c>
      <c r="AL157" s="29" t="s">
        <v>217</v>
      </c>
    </row>
    <row r="158" spans="15:38">
      <c r="O158" t="s">
        <v>44</v>
      </c>
      <c r="P158" t="s">
        <v>43</v>
      </c>
      <c r="Q158" t="s">
        <v>18</v>
      </c>
      <c r="R158" t="s">
        <v>58</v>
      </c>
      <c r="S158">
        <v>2024.28</v>
      </c>
      <c r="T158">
        <v>3181.54</v>
      </c>
      <c r="U158">
        <v>0</v>
      </c>
      <c r="V158">
        <v>0</v>
      </c>
      <c r="AA158" s="29" t="s">
        <v>43</v>
      </c>
      <c r="AB158">
        <v>31199</v>
      </c>
      <c r="AC158">
        <v>70</v>
      </c>
      <c r="AD158">
        <v>4</v>
      </c>
      <c r="AE158">
        <v>43.32</v>
      </c>
      <c r="AF158">
        <v>43.32</v>
      </c>
      <c r="AG158" s="29" t="s">
        <v>216</v>
      </c>
      <c r="AH158" s="29" t="s">
        <v>331</v>
      </c>
      <c r="AI158" s="29" t="s">
        <v>257</v>
      </c>
      <c r="AJ158" s="29" t="s">
        <v>332</v>
      </c>
      <c r="AL158" s="29" t="s">
        <v>217</v>
      </c>
    </row>
    <row r="159" spans="15:38">
      <c r="O159" t="s">
        <v>44</v>
      </c>
      <c r="P159" t="s">
        <v>43</v>
      </c>
      <c r="Q159" t="s">
        <v>18</v>
      </c>
      <c r="R159" t="s">
        <v>58</v>
      </c>
      <c r="S159">
        <v>2024.38</v>
      </c>
      <c r="T159">
        <v>6363.08</v>
      </c>
      <c r="U159">
        <v>0</v>
      </c>
      <c r="V159">
        <v>0</v>
      </c>
      <c r="AA159" s="29" t="s">
        <v>43</v>
      </c>
      <c r="AB159">
        <v>31199</v>
      </c>
      <c r="AC159">
        <v>70</v>
      </c>
      <c r="AD159">
        <v>4</v>
      </c>
      <c r="AE159">
        <v>43.32</v>
      </c>
      <c r="AF159">
        <v>43.32</v>
      </c>
      <c r="AG159" s="29" t="s">
        <v>216</v>
      </c>
      <c r="AH159" s="29" t="s">
        <v>331</v>
      </c>
      <c r="AI159" s="29" t="s">
        <v>257</v>
      </c>
      <c r="AJ159" s="29" t="s">
        <v>332</v>
      </c>
      <c r="AL159" s="29" t="s">
        <v>217</v>
      </c>
    </row>
    <row r="160" spans="15:38">
      <c r="O160" t="s">
        <v>44</v>
      </c>
      <c r="P160" t="s">
        <v>43</v>
      </c>
      <c r="Q160" t="s">
        <v>18</v>
      </c>
      <c r="R160" t="s">
        <v>58</v>
      </c>
      <c r="S160">
        <v>2024.39</v>
      </c>
      <c r="T160">
        <v>3181.54</v>
      </c>
      <c r="U160">
        <v>0</v>
      </c>
      <c r="V160">
        <v>0</v>
      </c>
      <c r="AA160" s="29" t="s">
        <v>43</v>
      </c>
      <c r="AB160">
        <v>31199</v>
      </c>
      <c r="AC160">
        <v>70</v>
      </c>
      <c r="AD160">
        <v>4</v>
      </c>
      <c r="AE160">
        <v>1275.44</v>
      </c>
      <c r="AF160">
        <v>1275.44</v>
      </c>
      <c r="AG160" s="29" t="s">
        <v>216</v>
      </c>
      <c r="AH160" s="29" t="s">
        <v>377</v>
      </c>
      <c r="AI160" s="29" t="s">
        <v>257</v>
      </c>
      <c r="AJ160" s="29" t="s">
        <v>378</v>
      </c>
      <c r="AL160" s="29" t="s">
        <v>217</v>
      </c>
    </row>
    <row r="161" spans="15:38">
      <c r="O161" t="s">
        <v>44</v>
      </c>
      <c r="P161" t="s">
        <v>43</v>
      </c>
      <c r="Q161" t="s">
        <v>18</v>
      </c>
      <c r="R161" t="s">
        <v>58</v>
      </c>
      <c r="S161">
        <v>2024.41</v>
      </c>
      <c r="T161">
        <v>3181.54</v>
      </c>
      <c r="U161">
        <v>0</v>
      </c>
      <c r="V161">
        <v>0</v>
      </c>
      <c r="AA161" s="29" t="s">
        <v>43</v>
      </c>
      <c r="AB161">
        <v>31199</v>
      </c>
      <c r="AC161">
        <v>70</v>
      </c>
      <c r="AD161">
        <v>4</v>
      </c>
      <c r="AE161">
        <v>610.02</v>
      </c>
      <c r="AF161">
        <v>610.02</v>
      </c>
      <c r="AG161" s="29" t="s">
        <v>216</v>
      </c>
      <c r="AH161" s="29" t="s">
        <v>379</v>
      </c>
      <c r="AI161" s="29" t="s">
        <v>257</v>
      </c>
      <c r="AJ161" s="29" t="s">
        <v>380</v>
      </c>
      <c r="AL161" s="29" t="s">
        <v>217</v>
      </c>
    </row>
    <row r="162" spans="15:38">
      <c r="O162" t="s">
        <v>44</v>
      </c>
      <c r="P162" t="s">
        <v>43</v>
      </c>
      <c r="Q162" t="s">
        <v>18</v>
      </c>
      <c r="R162" t="s">
        <v>58</v>
      </c>
      <c r="S162">
        <v>2024.43</v>
      </c>
      <c r="T162">
        <v>3181.54</v>
      </c>
      <c r="U162">
        <v>0</v>
      </c>
      <c r="V162">
        <v>0</v>
      </c>
      <c r="AA162" s="29" t="s">
        <v>43</v>
      </c>
      <c r="AB162">
        <v>31199</v>
      </c>
      <c r="AC162">
        <v>70</v>
      </c>
      <c r="AD162">
        <v>4</v>
      </c>
      <c r="AE162">
        <v>12.59</v>
      </c>
      <c r="AF162">
        <v>12.59</v>
      </c>
      <c r="AG162" s="29" t="s">
        <v>216</v>
      </c>
      <c r="AH162" s="29" t="s">
        <v>381</v>
      </c>
      <c r="AI162" s="29" t="s">
        <v>257</v>
      </c>
      <c r="AJ162" s="29" t="s">
        <v>382</v>
      </c>
      <c r="AL162" s="29" t="s">
        <v>217</v>
      </c>
    </row>
    <row r="163" spans="15:38">
      <c r="O163" t="s">
        <v>44</v>
      </c>
      <c r="P163" t="s">
        <v>43</v>
      </c>
      <c r="Q163" t="s">
        <v>18</v>
      </c>
      <c r="R163" t="s">
        <v>58</v>
      </c>
      <c r="S163">
        <v>2024.44</v>
      </c>
      <c r="T163">
        <v>3181.54</v>
      </c>
      <c r="U163">
        <v>0</v>
      </c>
      <c r="V163">
        <v>3181.54</v>
      </c>
      <c r="AA163" s="29" t="s">
        <v>43</v>
      </c>
      <c r="AB163">
        <v>31199</v>
      </c>
      <c r="AC163">
        <v>70</v>
      </c>
      <c r="AD163">
        <v>4</v>
      </c>
      <c r="AE163">
        <v>376.72</v>
      </c>
      <c r="AF163">
        <v>376.72</v>
      </c>
      <c r="AG163" s="29" t="s">
        <v>216</v>
      </c>
      <c r="AH163" s="29" t="s">
        <v>383</v>
      </c>
      <c r="AI163" s="29" t="s">
        <v>257</v>
      </c>
      <c r="AJ163" s="29" t="s">
        <v>384</v>
      </c>
      <c r="AL163" s="29" t="s">
        <v>217</v>
      </c>
    </row>
    <row r="164" spans="15:38">
      <c r="O164" t="s">
        <v>44</v>
      </c>
      <c r="P164" t="s">
        <v>43</v>
      </c>
      <c r="Q164" t="s">
        <v>18</v>
      </c>
      <c r="R164" t="s">
        <v>58</v>
      </c>
      <c r="S164">
        <v>2024.45</v>
      </c>
      <c r="T164">
        <v>3181.54</v>
      </c>
      <c r="U164">
        <v>0</v>
      </c>
      <c r="V164">
        <v>3181.54</v>
      </c>
      <c r="AA164" s="29" t="s">
        <v>43</v>
      </c>
      <c r="AB164">
        <v>31199</v>
      </c>
      <c r="AC164">
        <v>70</v>
      </c>
      <c r="AD164">
        <v>4</v>
      </c>
      <c r="AE164">
        <v>145.52000000000001</v>
      </c>
      <c r="AF164">
        <v>145.52000000000001</v>
      </c>
      <c r="AG164" s="29" t="s">
        <v>216</v>
      </c>
      <c r="AH164" s="29" t="s">
        <v>385</v>
      </c>
      <c r="AI164" s="29" t="s">
        <v>257</v>
      </c>
      <c r="AJ164" s="29" t="s">
        <v>386</v>
      </c>
      <c r="AL164" s="29" t="s">
        <v>217</v>
      </c>
    </row>
    <row r="165" spans="15:38">
      <c r="O165" t="s">
        <v>44</v>
      </c>
      <c r="P165" t="s">
        <v>43</v>
      </c>
      <c r="Q165" t="s">
        <v>18</v>
      </c>
      <c r="R165" t="s">
        <v>58</v>
      </c>
      <c r="S165">
        <v>2024.47</v>
      </c>
      <c r="T165">
        <v>3181.54</v>
      </c>
      <c r="U165">
        <v>0</v>
      </c>
      <c r="V165">
        <v>3181.54</v>
      </c>
      <c r="AA165" s="29" t="s">
        <v>43</v>
      </c>
      <c r="AB165">
        <v>31199</v>
      </c>
      <c r="AC165">
        <v>70</v>
      </c>
      <c r="AD165">
        <v>4</v>
      </c>
      <c r="AE165">
        <v>6.4</v>
      </c>
      <c r="AF165">
        <v>6.4</v>
      </c>
      <c r="AG165" s="29" t="s">
        <v>216</v>
      </c>
      <c r="AH165" s="29" t="s">
        <v>327</v>
      </c>
      <c r="AI165" s="29" t="s">
        <v>257</v>
      </c>
      <c r="AJ165" s="29" t="s">
        <v>328</v>
      </c>
      <c r="AL165" s="29" t="s">
        <v>217</v>
      </c>
    </row>
    <row r="166" spans="15:38">
      <c r="O166" t="s">
        <v>44</v>
      </c>
      <c r="P166" t="s">
        <v>43</v>
      </c>
      <c r="Q166" t="s">
        <v>18</v>
      </c>
      <c r="R166" t="s">
        <v>58</v>
      </c>
      <c r="S166">
        <v>2024.48</v>
      </c>
      <c r="T166">
        <v>3181.54</v>
      </c>
      <c r="U166">
        <v>0</v>
      </c>
      <c r="V166">
        <v>3181.54</v>
      </c>
      <c r="AA166" s="29" t="s">
        <v>43</v>
      </c>
      <c r="AB166">
        <v>31199</v>
      </c>
      <c r="AC166">
        <v>70</v>
      </c>
      <c r="AD166">
        <v>4</v>
      </c>
      <c r="AE166">
        <v>12572</v>
      </c>
      <c r="AF166">
        <v>12572</v>
      </c>
      <c r="AG166" s="29" t="s">
        <v>216</v>
      </c>
      <c r="AH166" s="29" t="s">
        <v>387</v>
      </c>
      <c r="AI166" s="29" t="s">
        <v>257</v>
      </c>
      <c r="AJ166" s="29" t="s">
        <v>388</v>
      </c>
      <c r="AL166" s="29" t="s">
        <v>217</v>
      </c>
    </row>
    <row r="167" spans="15:38">
      <c r="O167" t="s">
        <v>44</v>
      </c>
      <c r="P167" t="s">
        <v>43</v>
      </c>
      <c r="Q167" t="s">
        <v>18</v>
      </c>
      <c r="R167" t="s">
        <v>58</v>
      </c>
      <c r="S167">
        <v>2024.49</v>
      </c>
      <c r="T167">
        <v>3181.54</v>
      </c>
      <c r="U167">
        <v>0</v>
      </c>
      <c r="V167">
        <v>3181.54</v>
      </c>
      <c r="AA167" s="29" t="s">
        <v>43</v>
      </c>
      <c r="AB167">
        <v>31199</v>
      </c>
      <c r="AC167">
        <v>70</v>
      </c>
      <c r="AD167">
        <v>4</v>
      </c>
      <c r="AE167">
        <v>94.76</v>
      </c>
      <c r="AF167">
        <v>94.76</v>
      </c>
      <c r="AG167" s="29" t="s">
        <v>216</v>
      </c>
      <c r="AH167" s="29" t="s">
        <v>389</v>
      </c>
      <c r="AI167" s="29" t="s">
        <v>257</v>
      </c>
      <c r="AJ167" s="29" t="s">
        <v>390</v>
      </c>
      <c r="AL167" s="29" t="s">
        <v>217</v>
      </c>
    </row>
    <row r="168" spans="15:38">
      <c r="O168" t="s">
        <v>44</v>
      </c>
      <c r="P168" t="s">
        <v>43</v>
      </c>
      <c r="Q168" t="s">
        <v>18</v>
      </c>
      <c r="R168" t="s">
        <v>58</v>
      </c>
      <c r="S168">
        <v>2024.52</v>
      </c>
      <c r="T168">
        <v>3181.54</v>
      </c>
      <c r="U168">
        <v>0</v>
      </c>
      <c r="V168">
        <v>3181.54</v>
      </c>
      <c r="AA168" s="29" t="s">
        <v>43</v>
      </c>
      <c r="AB168">
        <v>31199</v>
      </c>
      <c r="AC168">
        <v>70</v>
      </c>
      <c r="AD168">
        <v>4</v>
      </c>
      <c r="AE168">
        <v>98.32</v>
      </c>
      <c r="AF168">
        <v>98.32</v>
      </c>
      <c r="AG168" s="29" t="s">
        <v>216</v>
      </c>
      <c r="AH168" s="29" t="s">
        <v>391</v>
      </c>
      <c r="AI168" s="29" t="s">
        <v>257</v>
      </c>
      <c r="AJ168" s="29" t="s">
        <v>392</v>
      </c>
      <c r="AL168" s="29" t="s">
        <v>217</v>
      </c>
    </row>
    <row r="169" spans="15:38">
      <c r="O169" t="s">
        <v>44</v>
      </c>
      <c r="P169" t="s">
        <v>43</v>
      </c>
      <c r="Q169" t="s">
        <v>18</v>
      </c>
      <c r="R169" t="s">
        <v>58</v>
      </c>
      <c r="S169">
        <v>2025.03</v>
      </c>
      <c r="T169">
        <v>3181.54</v>
      </c>
      <c r="U169">
        <v>0</v>
      </c>
      <c r="V169">
        <v>3181.54</v>
      </c>
      <c r="AA169" s="29" t="s">
        <v>43</v>
      </c>
      <c r="AB169">
        <v>31199</v>
      </c>
      <c r="AC169">
        <v>70</v>
      </c>
      <c r="AD169">
        <v>4</v>
      </c>
      <c r="AE169">
        <v>329.08</v>
      </c>
      <c r="AF169">
        <v>329.08</v>
      </c>
      <c r="AG169" s="29" t="s">
        <v>216</v>
      </c>
      <c r="AH169" s="29" t="s">
        <v>393</v>
      </c>
      <c r="AI169" s="29" t="s">
        <v>257</v>
      </c>
      <c r="AJ169" s="29" t="s">
        <v>394</v>
      </c>
      <c r="AL169" s="29" t="s">
        <v>217</v>
      </c>
    </row>
    <row r="170" spans="15:38">
      <c r="O170" t="s">
        <v>44</v>
      </c>
      <c r="P170" t="s">
        <v>43</v>
      </c>
      <c r="Q170" t="s">
        <v>18</v>
      </c>
      <c r="R170" t="s">
        <v>58</v>
      </c>
      <c r="S170">
        <v>2025.12</v>
      </c>
      <c r="T170">
        <v>3181.54</v>
      </c>
      <c r="U170">
        <v>0</v>
      </c>
      <c r="V170">
        <v>3181.54</v>
      </c>
      <c r="AA170" s="29" t="s">
        <v>43</v>
      </c>
      <c r="AB170">
        <v>31199</v>
      </c>
      <c r="AC170">
        <v>70</v>
      </c>
      <c r="AD170">
        <v>4</v>
      </c>
      <c r="AE170">
        <v>41.96</v>
      </c>
      <c r="AF170">
        <v>41.96</v>
      </c>
      <c r="AG170" s="29" t="s">
        <v>216</v>
      </c>
      <c r="AH170" s="29" t="s">
        <v>395</v>
      </c>
      <c r="AI170" s="29" t="s">
        <v>257</v>
      </c>
      <c r="AJ170" s="29" t="s">
        <v>396</v>
      </c>
      <c r="AL170" s="29" t="s">
        <v>217</v>
      </c>
    </row>
    <row r="171" spans="15:38">
      <c r="O171" t="s">
        <v>44</v>
      </c>
      <c r="P171" t="s">
        <v>43</v>
      </c>
      <c r="Q171" t="s">
        <v>17</v>
      </c>
      <c r="R171" t="s">
        <v>59</v>
      </c>
      <c r="S171">
        <v>2023.51</v>
      </c>
      <c r="T171">
        <v>0</v>
      </c>
      <c r="U171">
        <v>0</v>
      </c>
      <c r="V171">
        <v>0</v>
      </c>
      <c r="AA171" s="29" t="s">
        <v>43</v>
      </c>
      <c r="AB171">
        <v>31199</v>
      </c>
      <c r="AC171">
        <v>70</v>
      </c>
      <c r="AD171">
        <v>4</v>
      </c>
      <c r="AE171">
        <v>6.88</v>
      </c>
      <c r="AF171">
        <v>6.88</v>
      </c>
      <c r="AG171" s="29" t="s">
        <v>216</v>
      </c>
      <c r="AH171" s="29" t="s">
        <v>397</v>
      </c>
      <c r="AI171" s="29" t="s">
        <v>257</v>
      </c>
      <c r="AJ171" s="29" t="s">
        <v>398</v>
      </c>
      <c r="AL171" s="29" t="s">
        <v>217</v>
      </c>
    </row>
    <row r="172" spans="15:38">
      <c r="O172" t="s">
        <v>44</v>
      </c>
      <c r="P172" t="s">
        <v>43</v>
      </c>
      <c r="Q172" t="s">
        <v>17</v>
      </c>
      <c r="R172" t="s">
        <v>59</v>
      </c>
      <c r="S172">
        <v>2024.06</v>
      </c>
      <c r="T172">
        <v>0</v>
      </c>
      <c r="U172">
        <v>0</v>
      </c>
      <c r="V172">
        <v>0</v>
      </c>
      <c r="AA172" s="29" t="s">
        <v>43</v>
      </c>
      <c r="AB172">
        <v>31199</v>
      </c>
      <c r="AC172">
        <v>70</v>
      </c>
      <c r="AD172">
        <v>4</v>
      </c>
      <c r="AE172">
        <v>300.56</v>
      </c>
      <c r="AF172">
        <v>300.56</v>
      </c>
      <c r="AG172" s="29" t="s">
        <v>216</v>
      </c>
      <c r="AH172" s="29" t="s">
        <v>399</v>
      </c>
      <c r="AI172" s="29" t="s">
        <v>257</v>
      </c>
      <c r="AJ172" s="29" t="s">
        <v>400</v>
      </c>
      <c r="AL172" s="29" t="s">
        <v>217</v>
      </c>
    </row>
    <row r="173" spans="15:38">
      <c r="O173" t="s">
        <v>44</v>
      </c>
      <c r="P173" t="s">
        <v>43</v>
      </c>
      <c r="Q173" t="s">
        <v>17</v>
      </c>
      <c r="R173" t="s">
        <v>59</v>
      </c>
      <c r="S173">
        <v>2024.07</v>
      </c>
      <c r="T173">
        <v>27449.11</v>
      </c>
      <c r="U173">
        <v>0</v>
      </c>
      <c r="V173">
        <v>0</v>
      </c>
      <c r="AA173" s="29" t="s">
        <v>43</v>
      </c>
      <c r="AB173">
        <v>31199</v>
      </c>
      <c r="AC173">
        <v>70</v>
      </c>
      <c r="AD173">
        <v>4</v>
      </c>
      <c r="AE173">
        <v>42.8</v>
      </c>
      <c r="AF173">
        <v>42.8</v>
      </c>
      <c r="AG173" s="29" t="s">
        <v>216</v>
      </c>
      <c r="AH173" s="29" t="s">
        <v>319</v>
      </c>
      <c r="AI173" s="29" t="s">
        <v>257</v>
      </c>
      <c r="AJ173" s="29" t="s">
        <v>401</v>
      </c>
      <c r="AL173" s="29" t="s">
        <v>217</v>
      </c>
    </row>
    <row r="174" spans="15:38">
      <c r="O174" t="s">
        <v>44</v>
      </c>
      <c r="P174" t="s">
        <v>43</v>
      </c>
      <c r="Q174" t="s">
        <v>17</v>
      </c>
      <c r="R174" t="s">
        <v>59</v>
      </c>
      <c r="S174">
        <v>2024.08</v>
      </c>
      <c r="T174">
        <v>27449.11</v>
      </c>
      <c r="U174">
        <v>0</v>
      </c>
      <c r="V174">
        <v>0</v>
      </c>
      <c r="AA174" s="29" t="s">
        <v>43</v>
      </c>
      <c r="AB174">
        <v>31199</v>
      </c>
      <c r="AC174">
        <v>70</v>
      </c>
      <c r="AD174">
        <v>4</v>
      </c>
      <c r="AE174">
        <v>85.6</v>
      </c>
      <c r="AF174">
        <v>85.6</v>
      </c>
      <c r="AG174" s="29" t="s">
        <v>216</v>
      </c>
      <c r="AH174" s="29" t="s">
        <v>344</v>
      </c>
      <c r="AI174" s="29" t="s">
        <v>257</v>
      </c>
      <c r="AJ174" s="29" t="s">
        <v>345</v>
      </c>
      <c r="AL174" s="29" t="s">
        <v>217</v>
      </c>
    </row>
    <row r="175" spans="15:38">
      <c r="O175" t="s">
        <v>44</v>
      </c>
      <c r="P175" t="s">
        <v>43</v>
      </c>
      <c r="Q175" t="s">
        <v>17</v>
      </c>
      <c r="R175" t="s">
        <v>59</v>
      </c>
      <c r="S175">
        <v>2024.09</v>
      </c>
      <c r="T175">
        <v>28345.5</v>
      </c>
      <c r="U175">
        <v>0</v>
      </c>
      <c r="V175">
        <v>0</v>
      </c>
      <c r="AA175" s="29" t="s">
        <v>43</v>
      </c>
      <c r="AB175">
        <v>31199</v>
      </c>
      <c r="AC175">
        <v>70</v>
      </c>
      <c r="AD175">
        <v>4</v>
      </c>
      <c r="AE175">
        <v>42.8</v>
      </c>
      <c r="AF175">
        <v>42.8</v>
      </c>
      <c r="AG175" s="29" t="s">
        <v>216</v>
      </c>
      <c r="AH175" s="29" t="s">
        <v>319</v>
      </c>
      <c r="AI175" s="29" t="s">
        <v>257</v>
      </c>
      <c r="AJ175" s="29" t="s">
        <v>346</v>
      </c>
      <c r="AL175" s="29" t="s">
        <v>217</v>
      </c>
    </row>
    <row r="176" spans="15:38">
      <c r="O176" t="s">
        <v>44</v>
      </c>
      <c r="P176" t="s">
        <v>43</v>
      </c>
      <c r="Q176" t="s">
        <v>17</v>
      </c>
      <c r="R176" t="s">
        <v>59</v>
      </c>
      <c r="S176">
        <v>2024.1</v>
      </c>
      <c r="T176">
        <v>29172.880000000001</v>
      </c>
      <c r="U176">
        <v>0</v>
      </c>
      <c r="V176">
        <v>0</v>
      </c>
      <c r="AA176" s="29" t="s">
        <v>43</v>
      </c>
      <c r="AB176">
        <v>31199</v>
      </c>
      <c r="AC176">
        <v>70</v>
      </c>
      <c r="AD176">
        <v>4</v>
      </c>
      <c r="AE176">
        <v>42.8</v>
      </c>
      <c r="AF176">
        <v>42.8</v>
      </c>
      <c r="AG176" s="29" t="s">
        <v>216</v>
      </c>
      <c r="AH176" s="29" t="s">
        <v>319</v>
      </c>
      <c r="AI176" s="29" t="s">
        <v>257</v>
      </c>
      <c r="AJ176" s="29" t="s">
        <v>346</v>
      </c>
      <c r="AL176" s="29" t="s">
        <v>217</v>
      </c>
    </row>
    <row r="177" spans="15:38">
      <c r="O177" t="s">
        <v>44</v>
      </c>
      <c r="P177" t="s">
        <v>43</v>
      </c>
      <c r="Q177" t="s">
        <v>17</v>
      </c>
      <c r="R177" t="s">
        <v>59</v>
      </c>
      <c r="S177">
        <v>2024.11</v>
      </c>
      <c r="T177">
        <v>29546.6</v>
      </c>
      <c r="U177">
        <v>0</v>
      </c>
      <c r="V177">
        <v>0</v>
      </c>
      <c r="AA177" s="29" t="s">
        <v>43</v>
      </c>
      <c r="AB177">
        <v>31199</v>
      </c>
      <c r="AC177">
        <v>70</v>
      </c>
      <c r="AD177">
        <v>4</v>
      </c>
      <c r="AE177">
        <v>-42.8</v>
      </c>
      <c r="AF177">
        <v>-42.8</v>
      </c>
      <c r="AG177" s="29" t="s">
        <v>216</v>
      </c>
      <c r="AH177" s="29" t="s">
        <v>347</v>
      </c>
      <c r="AI177" s="29" t="s">
        <v>257</v>
      </c>
      <c r="AJ177" s="29" t="s">
        <v>348</v>
      </c>
      <c r="AL177" s="29" t="s">
        <v>217</v>
      </c>
    </row>
    <row r="178" spans="15:38">
      <c r="O178" t="s">
        <v>44</v>
      </c>
      <c r="P178" t="s">
        <v>43</v>
      </c>
      <c r="Q178" t="s">
        <v>17</v>
      </c>
      <c r="R178" t="s">
        <v>59</v>
      </c>
      <c r="S178">
        <v>2024.14</v>
      </c>
      <c r="T178">
        <v>29675.29</v>
      </c>
      <c r="U178">
        <v>0</v>
      </c>
      <c r="V178">
        <v>0</v>
      </c>
      <c r="AA178" s="29" t="s">
        <v>43</v>
      </c>
      <c r="AB178">
        <v>31199</v>
      </c>
      <c r="AC178">
        <v>70</v>
      </c>
      <c r="AD178">
        <v>4</v>
      </c>
      <c r="AE178">
        <v>42.8</v>
      </c>
      <c r="AF178">
        <v>42.8</v>
      </c>
      <c r="AG178" s="29" t="s">
        <v>216</v>
      </c>
      <c r="AH178" s="29" t="s">
        <v>319</v>
      </c>
      <c r="AI178" s="29" t="s">
        <v>257</v>
      </c>
      <c r="AJ178" s="29" t="s">
        <v>346</v>
      </c>
      <c r="AL178" s="29" t="s">
        <v>217</v>
      </c>
    </row>
    <row r="179" spans="15:38">
      <c r="O179" t="s">
        <v>44</v>
      </c>
      <c r="P179" t="s">
        <v>43</v>
      </c>
      <c r="Q179" t="s">
        <v>17</v>
      </c>
      <c r="R179" t="s">
        <v>59</v>
      </c>
      <c r="S179">
        <v>2024.17</v>
      </c>
      <c r="T179">
        <v>29716.87</v>
      </c>
      <c r="U179">
        <v>0</v>
      </c>
      <c r="V179">
        <v>0</v>
      </c>
      <c r="AA179" s="29" t="s">
        <v>43</v>
      </c>
      <c r="AB179">
        <v>31199</v>
      </c>
      <c r="AC179">
        <v>70</v>
      </c>
      <c r="AD179">
        <v>4</v>
      </c>
      <c r="AE179">
        <v>892.38</v>
      </c>
      <c r="AF179">
        <v>892.38</v>
      </c>
      <c r="AG179" s="29" t="s">
        <v>216</v>
      </c>
      <c r="AH179" s="29" t="s">
        <v>349</v>
      </c>
      <c r="AI179" s="29" t="s">
        <v>257</v>
      </c>
      <c r="AJ179" s="29" t="s">
        <v>350</v>
      </c>
      <c r="AL179" s="29" t="s">
        <v>217</v>
      </c>
    </row>
    <row r="180" spans="15:38">
      <c r="O180" t="s">
        <v>44</v>
      </c>
      <c r="P180" t="s">
        <v>43</v>
      </c>
      <c r="Q180" t="s">
        <v>17</v>
      </c>
      <c r="R180" t="s">
        <v>59</v>
      </c>
      <c r="S180">
        <v>2024.18</v>
      </c>
      <c r="T180">
        <v>43385.120000000003</v>
      </c>
      <c r="U180">
        <v>0</v>
      </c>
      <c r="V180">
        <v>0</v>
      </c>
      <c r="AA180" s="29" t="s">
        <v>43</v>
      </c>
      <c r="AB180">
        <v>31199</v>
      </c>
      <c r="AC180">
        <v>70</v>
      </c>
      <c r="AD180">
        <v>4</v>
      </c>
      <c r="AE180">
        <v>297.45999999999998</v>
      </c>
      <c r="AF180">
        <v>297.45999999999998</v>
      </c>
      <c r="AG180" s="29" t="s">
        <v>216</v>
      </c>
      <c r="AH180" s="29" t="s">
        <v>351</v>
      </c>
      <c r="AI180" s="29" t="s">
        <v>257</v>
      </c>
      <c r="AJ180" s="29" t="s">
        <v>352</v>
      </c>
      <c r="AL180" s="29" t="s">
        <v>217</v>
      </c>
    </row>
    <row r="181" spans="15:38">
      <c r="O181" t="s">
        <v>44</v>
      </c>
      <c r="P181" t="s">
        <v>43</v>
      </c>
      <c r="Q181" t="s">
        <v>17</v>
      </c>
      <c r="R181" t="s">
        <v>59</v>
      </c>
      <c r="S181">
        <v>2024.19</v>
      </c>
      <c r="T181">
        <v>29720.45</v>
      </c>
      <c r="U181">
        <v>0</v>
      </c>
      <c r="V181">
        <v>0</v>
      </c>
      <c r="AA181" s="29" t="s">
        <v>43</v>
      </c>
      <c r="AB181">
        <v>31199</v>
      </c>
      <c r="AC181">
        <v>70</v>
      </c>
      <c r="AD181">
        <v>4</v>
      </c>
      <c r="AE181">
        <v>-297.45999999999998</v>
      </c>
      <c r="AF181">
        <v>-297.45999999999998</v>
      </c>
      <c r="AG181" s="29" t="s">
        <v>216</v>
      </c>
      <c r="AH181" s="29" t="s">
        <v>353</v>
      </c>
      <c r="AI181" s="29" t="s">
        <v>257</v>
      </c>
      <c r="AJ181" s="29" t="s">
        <v>354</v>
      </c>
      <c r="AL181" s="29" t="s">
        <v>217</v>
      </c>
    </row>
    <row r="182" spans="15:38">
      <c r="O182" t="s">
        <v>44</v>
      </c>
      <c r="P182" t="s">
        <v>43</v>
      </c>
      <c r="Q182" t="s">
        <v>17</v>
      </c>
      <c r="R182" t="s">
        <v>59</v>
      </c>
      <c r="S182">
        <v>2024.2</v>
      </c>
      <c r="T182">
        <v>29720.45</v>
      </c>
      <c r="U182">
        <v>0</v>
      </c>
      <c r="V182">
        <v>0</v>
      </c>
      <c r="AA182" s="29" t="s">
        <v>43</v>
      </c>
      <c r="AB182">
        <v>31199</v>
      </c>
      <c r="AC182">
        <v>70</v>
      </c>
      <c r="AD182">
        <v>4</v>
      </c>
      <c r="AE182">
        <v>297.45999999999998</v>
      </c>
      <c r="AF182">
        <v>297.45999999999998</v>
      </c>
      <c r="AG182" s="29" t="s">
        <v>216</v>
      </c>
      <c r="AH182" s="29" t="s">
        <v>351</v>
      </c>
      <c r="AI182" s="29" t="s">
        <v>257</v>
      </c>
      <c r="AJ182" s="29" t="s">
        <v>352</v>
      </c>
      <c r="AL182" s="29" t="s">
        <v>217</v>
      </c>
    </row>
    <row r="183" spans="15:38">
      <c r="O183" t="s">
        <v>44</v>
      </c>
      <c r="P183" t="s">
        <v>43</v>
      </c>
      <c r="Q183" t="s">
        <v>17</v>
      </c>
      <c r="R183" t="s">
        <v>59</v>
      </c>
      <c r="S183">
        <v>2024.21</v>
      </c>
      <c r="T183">
        <v>29720.45</v>
      </c>
      <c r="U183">
        <v>0</v>
      </c>
      <c r="V183">
        <v>0</v>
      </c>
      <c r="AA183" s="29" t="s">
        <v>43</v>
      </c>
      <c r="AB183">
        <v>31199</v>
      </c>
      <c r="AC183">
        <v>70</v>
      </c>
      <c r="AD183">
        <v>4</v>
      </c>
      <c r="AE183">
        <v>114.76</v>
      </c>
      <c r="AF183">
        <v>114.76</v>
      </c>
      <c r="AG183" s="29" t="s">
        <v>216</v>
      </c>
      <c r="AH183" s="29" t="s">
        <v>402</v>
      </c>
      <c r="AI183" s="29" t="s">
        <v>257</v>
      </c>
      <c r="AJ183" s="29" t="s">
        <v>403</v>
      </c>
      <c r="AL183" s="29" t="s">
        <v>217</v>
      </c>
    </row>
    <row r="184" spans="15:38">
      <c r="O184" t="s">
        <v>44</v>
      </c>
      <c r="P184" t="s">
        <v>43</v>
      </c>
      <c r="Q184" t="s">
        <v>17</v>
      </c>
      <c r="R184" t="s">
        <v>59</v>
      </c>
      <c r="S184">
        <v>2024.28</v>
      </c>
      <c r="T184">
        <v>29720.45</v>
      </c>
      <c r="U184">
        <v>0</v>
      </c>
      <c r="V184">
        <v>0</v>
      </c>
      <c r="AA184" s="29" t="s">
        <v>43</v>
      </c>
      <c r="AB184">
        <v>31199</v>
      </c>
      <c r="AC184">
        <v>70</v>
      </c>
      <c r="AD184">
        <v>4</v>
      </c>
      <c r="AE184">
        <v>4871</v>
      </c>
      <c r="AF184">
        <v>4871</v>
      </c>
      <c r="AG184" s="29" t="s">
        <v>216</v>
      </c>
      <c r="AH184" s="29" t="s">
        <v>404</v>
      </c>
      <c r="AI184" s="29" t="s">
        <v>257</v>
      </c>
      <c r="AJ184" s="29" t="s">
        <v>405</v>
      </c>
      <c r="AL184" s="29" t="s">
        <v>217</v>
      </c>
    </row>
    <row r="185" spans="15:38">
      <c r="O185" t="s">
        <v>44</v>
      </c>
      <c r="P185" t="s">
        <v>43</v>
      </c>
      <c r="Q185" t="s">
        <v>17</v>
      </c>
      <c r="R185" t="s">
        <v>59</v>
      </c>
      <c r="S185">
        <v>2024.38</v>
      </c>
      <c r="T185">
        <v>74549.759999999995</v>
      </c>
      <c r="U185">
        <v>0</v>
      </c>
      <c r="V185">
        <v>0</v>
      </c>
      <c r="AA185" s="29" t="s">
        <v>43</v>
      </c>
      <c r="AB185">
        <v>31199</v>
      </c>
      <c r="AC185">
        <v>70</v>
      </c>
      <c r="AD185">
        <v>4</v>
      </c>
      <c r="AE185">
        <v>291.04000000000002</v>
      </c>
      <c r="AF185">
        <v>291.04000000000002</v>
      </c>
      <c r="AG185" s="29" t="s">
        <v>216</v>
      </c>
      <c r="AH185" s="29" t="s">
        <v>406</v>
      </c>
      <c r="AI185" s="29" t="s">
        <v>257</v>
      </c>
      <c r="AJ185" s="29" t="s">
        <v>407</v>
      </c>
      <c r="AL185" s="29" t="s">
        <v>217</v>
      </c>
    </row>
    <row r="186" spans="15:38">
      <c r="O186" t="s">
        <v>44</v>
      </c>
      <c r="P186" t="s">
        <v>43</v>
      </c>
      <c r="Q186" t="s">
        <v>17</v>
      </c>
      <c r="R186" t="s">
        <v>59</v>
      </c>
      <c r="S186">
        <v>2024.39</v>
      </c>
      <c r="T186">
        <v>74549.759999999995</v>
      </c>
      <c r="U186">
        <v>0</v>
      </c>
      <c r="V186">
        <v>0</v>
      </c>
      <c r="AA186" s="29" t="s">
        <v>43</v>
      </c>
      <c r="AB186">
        <v>31199</v>
      </c>
      <c r="AC186">
        <v>70</v>
      </c>
      <c r="AD186">
        <v>4</v>
      </c>
      <c r="AE186">
        <v>6.4</v>
      </c>
      <c r="AF186">
        <v>6.4</v>
      </c>
      <c r="AG186" s="29" t="s">
        <v>216</v>
      </c>
      <c r="AH186" s="29" t="s">
        <v>327</v>
      </c>
      <c r="AI186" s="29" t="s">
        <v>257</v>
      </c>
      <c r="AJ186" s="29" t="s">
        <v>328</v>
      </c>
      <c r="AL186" s="29" t="s">
        <v>217</v>
      </c>
    </row>
    <row r="187" spans="15:38">
      <c r="O187" t="s">
        <v>44</v>
      </c>
      <c r="P187" t="s">
        <v>43</v>
      </c>
      <c r="Q187" t="s">
        <v>17</v>
      </c>
      <c r="R187" t="s">
        <v>59</v>
      </c>
      <c r="S187">
        <v>2024.41</v>
      </c>
      <c r="T187">
        <v>29088.92</v>
      </c>
      <c r="U187">
        <v>0</v>
      </c>
      <c r="V187">
        <v>0</v>
      </c>
      <c r="AA187" s="29" t="s">
        <v>43</v>
      </c>
      <c r="AB187">
        <v>31199</v>
      </c>
      <c r="AC187">
        <v>70</v>
      </c>
      <c r="AD187">
        <v>4</v>
      </c>
      <c r="AE187">
        <v>229.68</v>
      </c>
      <c r="AF187">
        <v>229.68</v>
      </c>
      <c r="AG187" s="29" t="s">
        <v>216</v>
      </c>
      <c r="AH187" s="29" t="s">
        <v>408</v>
      </c>
      <c r="AI187" s="29" t="s">
        <v>257</v>
      </c>
      <c r="AJ187" s="29" t="s">
        <v>409</v>
      </c>
      <c r="AL187" s="29" t="s">
        <v>217</v>
      </c>
    </row>
    <row r="188" spans="15:38">
      <c r="O188" t="s">
        <v>44</v>
      </c>
      <c r="P188" t="s">
        <v>43</v>
      </c>
      <c r="Q188" t="s">
        <v>17</v>
      </c>
      <c r="R188" t="s">
        <v>59</v>
      </c>
      <c r="S188">
        <v>2024.43</v>
      </c>
      <c r="T188">
        <v>29250.41</v>
      </c>
      <c r="U188">
        <v>0</v>
      </c>
      <c r="V188">
        <v>0</v>
      </c>
      <c r="AA188" s="29" t="s">
        <v>43</v>
      </c>
      <c r="AB188">
        <v>31199</v>
      </c>
      <c r="AC188">
        <v>70</v>
      </c>
      <c r="AD188">
        <v>4</v>
      </c>
      <c r="AE188">
        <v>448</v>
      </c>
      <c r="AF188">
        <v>448</v>
      </c>
      <c r="AG188" s="29" t="s">
        <v>216</v>
      </c>
      <c r="AH188" s="29" t="s">
        <v>410</v>
      </c>
      <c r="AI188" s="29" t="s">
        <v>257</v>
      </c>
      <c r="AJ188" s="29" t="s">
        <v>411</v>
      </c>
      <c r="AL188" s="29" t="s">
        <v>217</v>
      </c>
    </row>
    <row r="189" spans="15:38">
      <c r="O189" t="s">
        <v>44</v>
      </c>
      <c r="P189" t="s">
        <v>43</v>
      </c>
      <c r="Q189" t="s">
        <v>17</v>
      </c>
      <c r="R189" t="s">
        <v>59</v>
      </c>
      <c r="S189">
        <v>2024.44</v>
      </c>
      <c r="T189">
        <v>29250.45</v>
      </c>
      <c r="U189">
        <v>0</v>
      </c>
      <c r="V189">
        <v>0</v>
      </c>
      <c r="AA189" s="29" t="s">
        <v>43</v>
      </c>
      <c r="AB189">
        <v>31199</v>
      </c>
      <c r="AC189">
        <v>70</v>
      </c>
      <c r="AD189">
        <v>4</v>
      </c>
      <c r="AE189">
        <v>14835</v>
      </c>
      <c r="AF189">
        <v>14835</v>
      </c>
      <c r="AG189" s="29" t="s">
        <v>216</v>
      </c>
      <c r="AH189" s="29" t="s">
        <v>412</v>
      </c>
      <c r="AI189" s="29" t="s">
        <v>257</v>
      </c>
      <c r="AJ189" s="29" t="s">
        <v>413</v>
      </c>
      <c r="AL189" s="29" t="s">
        <v>217</v>
      </c>
    </row>
    <row r="190" spans="15:38">
      <c r="O190" t="s">
        <v>44</v>
      </c>
      <c r="P190" t="s">
        <v>43</v>
      </c>
      <c r="Q190" t="s">
        <v>17</v>
      </c>
      <c r="R190" t="s">
        <v>59</v>
      </c>
      <c r="S190">
        <v>2024.45</v>
      </c>
      <c r="T190">
        <v>29250.11</v>
      </c>
      <c r="U190">
        <v>0</v>
      </c>
      <c r="V190">
        <v>0</v>
      </c>
      <c r="AA190" s="29" t="s">
        <v>43</v>
      </c>
      <c r="AB190">
        <v>31199</v>
      </c>
      <c r="AC190">
        <v>70</v>
      </c>
      <c r="AD190">
        <v>4</v>
      </c>
      <c r="AE190">
        <v>70</v>
      </c>
      <c r="AF190">
        <v>70</v>
      </c>
      <c r="AG190" s="29" t="s">
        <v>216</v>
      </c>
      <c r="AH190" s="29" t="s">
        <v>414</v>
      </c>
      <c r="AI190" s="29" t="s">
        <v>257</v>
      </c>
      <c r="AJ190" s="29" t="s">
        <v>415</v>
      </c>
      <c r="AL190" s="29" t="s">
        <v>217</v>
      </c>
    </row>
    <row r="191" spans="15:38">
      <c r="O191" t="s">
        <v>44</v>
      </c>
      <c r="P191" t="s">
        <v>43</v>
      </c>
      <c r="Q191" t="s">
        <v>17</v>
      </c>
      <c r="R191" t="s">
        <v>59</v>
      </c>
      <c r="S191">
        <v>2024.47</v>
      </c>
      <c r="T191">
        <v>29250.19</v>
      </c>
      <c r="U191">
        <v>0</v>
      </c>
      <c r="V191">
        <v>0</v>
      </c>
      <c r="AA191" s="29" t="s">
        <v>43</v>
      </c>
      <c r="AB191">
        <v>31199</v>
      </c>
      <c r="AC191">
        <v>70</v>
      </c>
      <c r="AD191">
        <v>4</v>
      </c>
      <c r="AE191">
        <v>98.32</v>
      </c>
      <c r="AF191">
        <v>98.32</v>
      </c>
      <c r="AG191" s="29" t="s">
        <v>216</v>
      </c>
      <c r="AH191" s="29" t="s">
        <v>391</v>
      </c>
      <c r="AI191" s="29" t="s">
        <v>257</v>
      </c>
      <c r="AJ191" s="29" t="s">
        <v>416</v>
      </c>
      <c r="AL191" s="29" t="s">
        <v>217</v>
      </c>
    </row>
    <row r="192" spans="15:38">
      <c r="O192" t="s">
        <v>44</v>
      </c>
      <c r="P192" t="s">
        <v>43</v>
      </c>
      <c r="Q192" t="s">
        <v>17</v>
      </c>
      <c r="R192" t="s">
        <v>59</v>
      </c>
      <c r="S192">
        <v>2024.48</v>
      </c>
      <c r="T192">
        <v>29250.19</v>
      </c>
      <c r="U192">
        <v>0</v>
      </c>
      <c r="V192">
        <v>0</v>
      </c>
      <c r="AA192" s="29" t="s">
        <v>43</v>
      </c>
      <c r="AB192">
        <v>31199</v>
      </c>
      <c r="AC192">
        <v>70</v>
      </c>
      <c r="AD192">
        <v>4</v>
      </c>
      <c r="AE192">
        <v>300</v>
      </c>
      <c r="AF192">
        <v>300</v>
      </c>
      <c r="AG192" s="29" t="s">
        <v>216</v>
      </c>
      <c r="AH192" s="29" t="s">
        <v>417</v>
      </c>
      <c r="AI192" s="29" t="s">
        <v>257</v>
      </c>
      <c r="AJ192" s="29" t="s">
        <v>418</v>
      </c>
      <c r="AL192" s="29" t="s">
        <v>217</v>
      </c>
    </row>
    <row r="193" spans="15:38">
      <c r="O193" t="s">
        <v>44</v>
      </c>
      <c r="P193" t="s">
        <v>43</v>
      </c>
      <c r="Q193" t="s">
        <v>17</v>
      </c>
      <c r="R193" t="s">
        <v>59</v>
      </c>
      <c r="S193">
        <v>2024.49</v>
      </c>
      <c r="T193">
        <v>29250.19</v>
      </c>
      <c r="U193">
        <v>0</v>
      </c>
      <c r="V193">
        <v>0</v>
      </c>
      <c r="AA193" s="29" t="s">
        <v>43</v>
      </c>
      <c r="AB193">
        <v>31199</v>
      </c>
      <c r="AC193">
        <v>70</v>
      </c>
      <c r="AD193">
        <v>4</v>
      </c>
      <c r="AE193">
        <v>41.96</v>
      </c>
      <c r="AF193">
        <v>41.96</v>
      </c>
      <c r="AG193" s="29" t="s">
        <v>216</v>
      </c>
      <c r="AH193" s="29" t="s">
        <v>395</v>
      </c>
      <c r="AI193" s="29" t="s">
        <v>257</v>
      </c>
      <c r="AJ193" s="29" t="s">
        <v>396</v>
      </c>
      <c r="AL193" s="29" t="s">
        <v>217</v>
      </c>
    </row>
    <row r="194" spans="15:38">
      <c r="O194" t="s">
        <v>44</v>
      </c>
      <c r="P194" t="s">
        <v>43</v>
      </c>
      <c r="Q194" t="s">
        <v>17</v>
      </c>
      <c r="R194" t="s">
        <v>59</v>
      </c>
      <c r="S194">
        <v>2024.52</v>
      </c>
      <c r="T194">
        <v>29250.19</v>
      </c>
      <c r="U194">
        <v>0</v>
      </c>
      <c r="V194">
        <v>0</v>
      </c>
      <c r="AA194" s="29" t="s">
        <v>43</v>
      </c>
      <c r="AB194">
        <v>31199</v>
      </c>
      <c r="AC194">
        <v>70</v>
      </c>
      <c r="AD194">
        <v>4</v>
      </c>
      <c r="AE194">
        <v>300</v>
      </c>
      <c r="AF194">
        <v>300</v>
      </c>
      <c r="AG194" s="29" t="s">
        <v>216</v>
      </c>
      <c r="AH194" s="29" t="s">
        <v>417</v>
      </c>
      <c r="AI194" s="29" t="s">
        <v>257</v>
      </c>
      <c r="AJ194" s="29" t="s">
        <v>419</v>
      </c>
      <c r="AL194" s="29" t="s">
        <v>217</v>
      </c>
    </row>
    <row r="195" spans="15:38">
      <c r="O195" t="s">
        <v>44</v>
      </c>
      <c r="P195" t="s">
        <v>43</v>
      </c>
      <c r="Q195" t="s">
        <v>17</v>
      </c>
      <c r="R195" t="s">
        <v>59</v>
      </c>
      <c r="S195">
        <v>2025.03</v>
      </c>
      <c r="T195">
        <v>29250.19</v>
      </c>
      <c r="U195">
        <v>0</v>
      </c>
      <c r="V195">
        <v>0</v>
      </c>
      <c r="AA195" s="29" t="s">
        <v>43</v>
      </c>
      <c r="AB195">
        <v>31199</v>
      </c>
      <c r="AC195">
        <v>70</v>
      </c>
      <c r="AD195">
        <v>4</v>
      </c>
      <c r="AE195">
        <v>43.32</v>
      </c>
      <c r="AF195">
        <v>43.32</v>
      </c>
      <c r="AG195" s="29" t="s">
        <v>216</v>
      </c>
      <c r="AH195" s="29" t="s">
        <v>331</v>
      </c>
      <c r="AI195" s="29" t="s">
        <v>257</v>
      </c>
      <c r="AJ195" s="29" t="s">
        <v>332</v>
      </c>
      <c r="AL195" s="29" t="s">
        <v>217</v>
      </c>
    </row>
    <row r="196" spans="15:38">
      <c r="O196" t="s">
        <v>44</v>
      </c>
      <c r="P196" t="s">
        <v>43</v>
      </c>
      <c r="Q196" t="s">
        <v>17</v>
      </c>
      <c r="R196" t="s">
        <v>59</v>
      </c>
      <c r="S196">
        <v>2025.12</v>
      </c>
      <c r="T196">
        <v>29250.19</v>
      </c>
      <c r="U196">
        <v>0</v>
      </c>
      <c r="V196">
        <v>0</v>
      </c>
      <c r="AA196" s="29" t="s">
        <v>43</v>
      </c>
      <c r="AB196">
        <v>31199</v>
      </c>
      <c r="AC196">
        <v>70</v>
      </c>
      <c r="AD196">
        <v>4</v>
      </c>
      <c r="AE196">
        <v>152</v>
      </c>
      <c r="AF196">
        <v>152</v>
      </c>
      <c r="AG196" s="29" t="s">
        <v>216</v>
      </c>
      <c r="AH196" s="29" t="s">
        <v>420</v>
      </c>
      <c r="AI196" s="29" t="s">
        <v>257</v>
      </c>
      <c r="AJ196" s="29" t="s">
        <v>421</v>
      </c>
      <c r="AL196" s="29" t="s">
        <v>217</v>
      </c>
    </row>
    <row r="197" spans="15:38">
      <c r="O197" t="s">
        <v>44</v>
      </c>
      <c r="P197" t="s">
        <v>43</v>
      </c>
      <c r="Q197" t="s">
        <v>11</v>
      </c>
      <c r="R197" t="s">
        <v>60</v>
      </c>
      <c r="S197">
        <v>2023.44</v>
      </c>
      <c r="T197">
        <v>0</v>
      </c>
      <c r="U197">
        <v>6102.6773999999996</v>
      </c>
      <c r="V197">
        <v>6102.6773999999996</v>
      </c>
      <c r="AA197" s="29" t="s">
        <v>43</v>
      </c>
      <c r="AB197">
        <v>31199</v>
      </c>
      <c r="AC197">
        <v>70</v>
      </c>
      <c r="AD197">
        <v>4</v>
      </c>
      <c r="AE197">
        <v>5319</v>
      </c>
      <c r="AF197">
        <v>5319</v>
      </c>
      <c r="AG197" s="29" t="s">
        <v>216</v>
      </c>
      <c r="AH197" s="29" t="s">
        <v>422</v>
      </c>
      <c r="AI197" s="29" t="s">
        <v>257</v>
      </c>
      <c r="AJ197" s="29" t="s">
        <v>423</v>
      </c>
      <c r="AL197" s="29" t="s">
        <v>217</v>
      </c>
    </row>
    <row r="198" spans="15:38">
      <c r="O198" t="s">
        <v>44</v>
      </c>
      <c r="P198" t="s">
        <v>43</v>
      </c>
      <c r="Q198" t="s">
        <v>11</v>
      </c>
      <c r="R198" t="s">
        <v>60</v>
      </c>
      <c r="S198">
        <v>2023.51</v>
      </c>
      <c r="T198">
        <v>7927.4</v>
      </c>
      <c r="U198">
        <v>6102.6773999999996</v>
      </c>
      <c r="V198">
        <v>6102.6773999999996</v>
      </c>
      <c r="AA198" s="29" t="s">
        <v>43</v>
      </c>
      <c r="AB198">
        <v>31199</v>
      </c>
      <c r="AC198">
        <v>70</v>
      </c>
      <c r="AD198">
        <v>4</v>
      </c>
      <c r="AE198">
        <v>6.88</v>
      </c>
      <c r="AF198">
        <v>6.88</v>
      </c>
      <c r="AG198" s="29" t="s">
        <v>216</v>
      </c>
      <c r="AH198" s="29" t="s">
        <v>397</v>
      </c>
      <c r="AI198" s="29" t="s">
        <v>257</v>
      </c>
      <c r="AJ198" s="29" t="s">
        <v>398</v>
      </c>
      <c r="AL198" s="29" t="s">
        <v>217</v>
      </c>
    </row>
    <row r="199" spans="15:38">
      <c r="O199" t="s">
        <v>44</v>
      </c>
      <c r="P199" t="s">
        <v>43</v>
      </c>
      <c r="Q199" t="s">
        <v>11</v>
      </c>
      <c r="R199" t="s">
        <v>60</v>
      </c>
      <c r="S199">
        <v>2024.06</v>
      </c>
      <c r="T199">
        <v>7927.04</v>
      </c>
      <c r="U199">
        <v>6102.6773999999996</v>
      </c>
      <c r="V199">
        <v>6102.6773999999996</v>
      </c>
      <c r="AA199" s="29" t="s">
        <v>43</v>
      </c>
      <c r="AB199">
        <v>31199</v>
      </c>
      <c r="AC199">
        <v>70</v>
      </c>
      <c r="AD199">
        <v>4</v>
      </c>
      <c r="AE199">
        <v>43.32</v>
      </c>
      <c r="AF199">
        <v>43.32</v>
      </c>
      <c r="AG199" s="29" t="s">
        <v>216</v>
      </c>
      <c r="AH199" s="29" t="s">
        <v>331</v>
      </c>
      <c r="AI199" s="29" t="s">
        <v>257</v>
      </c>
      <c r="AJ199" s="29" t="s">
        <v>332</v>
      </c>
      <c r="AL199" s="29" t="s">
        <v>217</v>
      </c>
    </row>
    <row r="200" spans="15:38">
      <c r="O200" t="s">
        <v>44</v>
      </c>
      <c r="P200" t="s">
        <v>43</v>
      </c>
      <c r="Q200" t="s">
        <v>11</v>
      </c>
      <c r="R200" t="s">
        <v>60</v>
      </c>
      <c r="S200">
        <v>2024.07</v>
      </c>
      <c r="T200">
        <v>7927.04</v>
      </c>
      <c r="U200">
        <v>6102.6773999999996</v>
      </c>
      <c r="V200">
        <v>6102.6773999999996</v>
      </c>
      <c r="AA200" s="29" t="s">
        <v>43</v>
      </c>
      <c r="AB200">
        <v>31199</v>
      </c>
      <c r="AC200">
        <v>70</v>
      </c>
      <c r="AD200">
        <v>4</v>
      </c>
      <c r="AE200">
        <v>105.64</v>
      </c>
      <c r="AF200">
        <v>105.64</v>
      </c>
      <c r="AG200" s="29" t="s">
        <v>216</v>
      </c>
      <c r="AH200" s="29" t="s">
        <v>424</v>
      </c>
      <c r="AI200" s="29" t="s">
        <v>257</v>
      </c>
      <c r="AJ200" s="29" t="s">
        <v>425</v>
      </c>
      <c r="AL200" s="29" t="s">
        <v>217</v>
      </c>
    </row>
    <row r="201" spans="15:38">
      <c r="O201" t="s">
        <v>44</v>
      </c>
      <c r="P201" t="s">
        <v>43</v>
      </c>
      <c r="Q201" t="s">
        <v>11</v>
      </c>
      <c r="R201" t="s">
        <v>60</v>
      </c>
      <c r="S201">
        <v>2024.08</v>
      </c>
      <c r="T201">
        <v>7927.04</v>
      </c>
      <c r="U201">
        <v>6102.6773999999996</v>
      </c>
      <c r="V201">
        <v>6102.6773999999996</v>
      </c>
      <c r="AA201" s="29" t="s">
        <v>43</v>
      </c>
      <c r="AB201">
        <v>31199</v>
      </c>
      <c r="AC201">
        <v>70</v>
      </c>
      <c r="AD201">
        <v>4</v>
      </c>
      <c r="AE201">
        <v>297.45999999999998</v>
      </c>
      <c r="AF201">
        <v>297.45999999999998</v>
      </c>
      <c r="AG201" s="29" t="s">
        <v>216</v>
      </c>
      <c r="AH201" s="29" t="s">
        <v>351</v>
      </c>
      <c r="AI201" s="29" t="s">
        <v>257</v>
      </c>
      <c r="AJ201" s="29" t="s">
        <v>352</v>
      </c>
      <c r="AL201" s="29" t="s">
        <v>217</v>
      </c>
    </row>
    <row r="202" spans="15:38">
      <c r="O202" t="s">
        <v>44</v>
      </c>
      <c r="P202" t="s">
        <v>43</v>
      </c>
      <c r="Q202" t="s">
        <v>11</v>
      </c>
      <c r="R202" t="s">
        <v>60</v>
      </c>
      <c r="S202">
        <v>2024.09</v>
      </c>
      <c r="T202">
        <v>7927.04</v>
      </c>
      <c r="U202">
        <v>6102.6773999999996</v>
      </c>
      <c r="V202">
        <v>6102.6773999999996</v>
      </c>
      <c r="AA202" s="29" t="s">
        <v>43</v>
      </c>
      <c r="AB202">
        <v>31199</v>
      </c>
      <c r="AC202">
        <v>70</v>
      </c>
      <c r="AD202">
        <v>4</v>
      </c>
      <c r="AE202">
        <v>297.45999999999998</v>
      </c>
      <c r="AF202">
        <v>297.45999999999998</v>
      </c>
      <c r="AG202" s="29" t="s">
        <v>216</v>
      </c>
      <c r="AH202" s="29" t="s">
        <v>351</v>
      </c>
      <c r="AI202" s="29" t="s">
        <v>257</v>
      </c>
      <c r="AJ202" s="29" t="s">
        <v>352</v>
      </c>
      <c r="AL202" s="29" t="s">
        <v>217</v>
      </c>
    </row>
    <row r="203" spans="15:38">
      <c r="O203" t="s">
        <v>44</v>
      </c>
      <c r="P203" t="s">
        <v>43</v>
      </c>
      <c r="Q203" t="s">
        <v>11</v>
      </c>
      <c r="R203" t="s">
        <v>60</v>
      </c>
      <c r="S203">
        <v>2024.1</v>
      </c>
      <c r="T203">
        <v>7927.04</v>
      </c>
      <c r="U203">
        <v>6102.6773999999996</v>
      </c>
      <c r="V203">
        <v>6102.6773999999996</v>
      </c>
      <c r="AA203" s="29" t="s">
        <v>43</v>
      </c>
      <c r="AB203">
        <v>31199</v>
      </c>
      <c r="AC203">
        <v>70</v>
      </c>
      <c r="AD203">
        <v>4</v>
      </c>
      <c r="AE203">
        <v>-297.45999999999998</v>
      </c>
      <c r="AF203">
        <v>-297.45999999999998</v>
      </c>
      <c r="AG203" s="29" t="s">
        <v>216</v>
      </c>
      <c r="AH203" s="29" t="s">
        <v>353</v>
      </c>
      <c r="AI203" s="29" t="s">
        <v>257</v>
      </c>
      <c r="AJ203" s="29" t="s">
        <v>354</v>
      </c>
      <c r="AL203" s="29" t="s">
        <v>217</v>
      </c>
    </row>
    <row r="204" spans="15:38">
      <c r="O204" t="s">
        <v>44</v>
      </c>
      <c r="P204" t="s">
        <v>43</v>
      </c>
      <c r="Q204" t="s">
        <v>11</v>
      </c>
      <c r="R204" t="s">
        <v>60</v>
      </c>
      <c r="S204">
        <v>2024.11</v>
      </c>
      <c r="T204">
        <v>7927.04</v>
      </c>
      <c r="U204">
        <v>6102.6773999999996</v>
      </c>
      <c r="V204">
        <v>6102.6773999999996</v>
      </c>
      <c r="AA204" s="29" t="s">
        <v>43</v>
      </c>
      <c r="AB204">
        <v>31199</v>
      </c>
      <c r="AC204">
        <v>70</v>
      </c>
      <c r="AD204">
        <v>4</v>
      </c>
      <c r="AE204">
        <v>297.45999999999998</v>
      </c>
      <c r="AF204">
        <v>297.45999999999998</v>
      </c>
      <c r="AG204" s="29" t="s">
        <v>216</v>
      </c>
      <c r="AH204" s="29" t="s">
        <v>351</v>
      </c>
      <c r="AI204" s="29" t="s">
        <v>257</v>
      </c>
      <c r="AJ204" s="29" t="s">
        <v>352</v>
      </c>
      <c r="AL204" s="29" t="s">
        <v>217</v>
      </c>
    </row>
    <row r="205" spans="15:38">
      <c r="O205" t="s">
        <v>44</v>
      </c>
      <c r="P205" t="s">
        <v>43</v>
      </c>
      <c r="Q205" t="s">
        <v>11</v>
      </c>
      <c r="R205" t="s">
        <v>60</v>
      </c>
      <c r="S205">
        <v>2024.14</v>
      </c>
      <c r="T205">
        <v>8512.9599999999991</v>
      </c>
      <c r="U205">
        <v>6102.6773999999996</v>
      </c>
      <c r="V205">
        <v>6102.6773999999996</v>
      </c>
      <c r="AA205" s="29" t="s">
        <v>43</v>
      </c>
      <c r="AB205">
        <v>31199</v>
      </c>
      <c r="AC205">
        <v>70</v>
      </c>
      <c r="AD205">
        <v>4</v>
      </c>
      <c r="AE205">
        <v>0</v>
      </c>
      <c r="AF205">
        <v>0</v>
      </c>
      <c r="AG205" s="29" t="s">
        <v>216</v>
      </c>
      <c r="AH205" s="29" t="s">
        <v>218</v>
      </c>
      <c r="AI205" s="29" t="s">
        <v>257</v>
      </c>
      <c r="AJ205" s="29" t="s">
        <v>426</v>
      </c>
      <c r="AL205" s="29" t="s">
        <v>217</v>
      </c>
    </row>
    <row r="206" spans="15:38">
      <c r="O206" t="s">
        <v>44</v>
      </c>
      <c r="P206" t="s">
        <v>43</v>
      </c>
      <c r="Q206" t="s">
        <v>11</v>
      </c>
      <c r="R206" t="s">
        <v>60</v>
      </c>
      <c r="S206">
        <v>2024.17</v>
      </c>
      <c r="T206">
        <v>8512.9599999999991</v>
      </c>
      <c r="U206">
        <v>6102.6773999999996</v>
      </c>
      <c r="V206">
        <v>6102.6773999999996</v>
      </c>
      <c r="AA206" s="29" t="s">
        <v>43</v>
      </c>
      <c r="AB206">
        <v>31199</v>
      </c>
      <c r="AC206">
        <v>70</v>
      </c>
      <c r="AD206">
        <v>4</v>
      </c>
      <c r="AE206">
        <v>18.16</v>
      </c>
      <c r="AF206">
        <v>18.16</v>
      </c>
      <c r="AG206" s="29" t="s">
        <v>216</v>
      </c>
      <c r="AH206" s="29" t="s">
        <v>427</v>
      </c>
      <c r="AI206" s="29" t="s">
        <v>257</v>
      </c>
      <c r="AJ206" s="29" t="s">
        <v>428</v>
      </c>
      <c r="AL206" s="29" t="s">
        <v>217</v>
      </c>
    </row>
    <row r="207" spans="15:38">
      <c r="O207" t="s">
        <v>44</v>
      </c>
      <c r="P207" t="s">
        <v>43</v>
      </c>
      <c r="Q207" t="s">
        <v>11</v>
      </c>
      <c r="R207" t="s">
        <v>60</v>
      </c>
      <c r="S207">
        <v>2024.18</v>
      </c>
      <c r="T207">
        <v>18490.72</v>
      </c>
      <c r="U207">
        <v>6102.6773999999996</v>
      </c>
      <c r="V207">
        <v>6102.6773999999996</v>
      </c>
      <c r="AA207" s="29" t="s">
        <v>43</v>
      </c>
      <c r="AB207">
        <v>31199</v>
      </c>
      <c r="AC207">
        <v>70</v>
      </c>
      <c r="AD207">
        <v>4</v>
      </c>
      <c r="AE207">
        <v>1</v>
      </c>
      <c r="AF207">
        <v>1</v>
      </c>
      <c r="AG207" s="29" t="s">
        <v>216</v>
      </c>
      <c r="AH207" s="29" t="s">
        <v>429</v>
      </c>
      <c r="AI207" s="29" t="s">
        <v>257</v>
      </c>
      <c r="AJ207" s="29" t="s">
        <v>430</v>
      </c>
      <c r="AL207" s="29" t="s">
        <v>217</v>
      </c>
    </row>
    <row r="208" spans="15:38">
      <c r="O208" t="s">
        <v>44</v>
      </c>
      <c r="P208" t="s">
        <v>43</v>
      </c>
      <c r="Q208" t="s">
        <v>11</v>
      </c>
      <c r="R208" t="s">
        <v>60</v>
      </c>
      <c r="S208">
        <v>2024.19</v>
      </c>
      <c r="T208">
        <v>8512.9599999999991</v>
      </c>
      <c r="U208">
        <v>6102.6773999999996</v>
      </c>
      <c r="V208">
        <v>6102.6773999999996</v>
      </c>
      <c r="AA208" s="29" t="s">
        <v>43</v>
      </c>
      <c r="AB208">
        <v>31199</v>
      </c>
      <c r="AC208">
        <v>70</v>
      </c>
      <c r="AD208">
        <v>4</v>
      </c>
      <c r="AE208">
        <v>12389</v>
      </c>
      <c r="AF208">
        <v>12389</v>
      </c>
      <c r="AG208" s="29" t="s">
        <v>216</v>
      </c>
      <c r="AH208" s="29" t="s">
        <v>431</v>
      </c>
      <c r="AI208" s="29" t="s">
        <v>257</v>
      </c>
      <c r="AJ208" s="29" t="s">
        <v>432</v>
      </c>
      <c r="AL208" s="29" t="s">
        <v>217</v>
      </c>
    </row>
    <row r="209" spans="15:38">
      <c r="O209" t="s">
        <v>44</v>
      </c>
      <c r="P209" t="s">
        <v>43</v>
      </c>
      <c r="Q209" t="s">
        <v>11</v>
      </c>
      <c r="R209" t="s">
        <v>60</v>
      </c>
      <c r="S209">
        <v>2024.2</v>
      </c>
      <c r="T209">
        <v>8512.9599999999991</v>
      </c>
      <c r="U209">
        <v>6102.6773999999996</v>
      </c>
      <c r="V209">
        <v>6102.6773999999996</v>
      </c>
      <c r="AA209" s="29" t="s">
        <v>43</v>
      </c>
      <c r="AB209">
        <v>31199</v>
      </c>
      <c r="AC209">
        <v>70</v>
      </c>
      <c r="AD209">
        <v>4</v>
      </c>
      <c r="AE209">
        <v>148.44</v>
      </c>
      <c r="AF209">
        <v>148.44</v>
      </c>
      <c r="AG209" s="29" t="s">
        <v>216</v>
      </c>
      <c r="AH209" s="29" t="s">
        <v>325</v>
      </c>
      <c r="AI209" s="29" t="s">
        <v>257</v>
      </c>
      <c r="AJ209" s="29" t="s">
        <v>326</v>
      </c>
      <c r="AL209" s="29" t="s">
        <v>217</v>
      </c>
    </row>
    <row r="210" spans="15:38">
      <c r="O210" t="s">
        <v>44</v>
      </c>
      <c r="P210" t="s">
        <v>43</v>
      </c>
      <c r="Q210" t="s">
        <v>11</v>
      </c>
      <c r="R210" t="s">
        <v>60</v>
      </c>
      <c r="S210">
        <v>2024.21</v>
      </c>
      <c r="T210">
        <v>8512.9599999999991</v>
      </c>
      <c r="U210">
        <v>6102.6773999999996</v>
      </c>
      <c r="V210">
        <v>6102.6773999999996</v>
      </c>
      <c r="AA210" s="29" t="s">
        <v>43</v>
      </c>
      <c r="AB210">
        <v>31199</v>
      </c>
      <c r="AC210">
        <v>70</v>
      </c>
      <c r="AD210">
        <v>4</v>
      </c>
      <c r="AE210">
        <v>43.32</v>
      </c>
      <c r="AF210">
        <v>43.32</v>
      </c>
      <c r="AG210" s="29" t="s">
        <v>216</v>
      </c>
      <c r="AH210" s="29" t="s">
        <v>331</v>
      </c>
      <c r="AI210" s="29" t="s">
        <v>257</v>
      </c>
      <c r="AJ210" s="29" t="s">
        <v>332</v>
      </c>
      <c r="AL210" s="29" t="s">
        <v>217</v>
      </c>
    </row>
    <row r="211" spans="15:38">
      <c r="O211" t="s">
        <v>44</v>
      </c>
      <c r="P211" t="s">
        <v>43</v>
      </c>
      <c r="Q211" t="s">
        <v>11</v>
      </c>
      <c r="R211" t="s">
        <v>60</v>
      </c>
      <c r="S211">
        <v>2024.28</v>
      </c>
      <c r="T211">
        <v>9977.76</v>
      </c>
      <c r="U211">
        <v>6102.6773999999996</v>
      </c>
      <c r="V211">
        <v>6102.6773999999996</v>
      </c>
      <c r="AA211" s="29" t="s">
        <v>43</v>
      </c>
      <c r="AB211">
        <v>31199</v>
      </c>
      <c r="AC211">
        <v>70</v>
      </c>
      <c r="AD211">
        <v>4</v>
      </c>
      <c r="AE211">
        <v>80.25</v>
      </c>
      <c r="AF211">
        <v>80.25</v>
      </c>
      <c r="AG211" s="29" t="s">
        <v>216</v>
      </c>
      <c r="AH211" s="29" t="s">
        <v>433</v>
      </c>
      <c r="AI211" s="29" t="s">
        <v>257</v>
      </c>
      <c r="AJ211" s="29" t="s">
        <v>434</v>
      </c>
      <c r="AL211" s="29" t="s">
        <v>217</v>
      </c>
    </row>
    <row r="212" spans="15:38">
      <c r="O212" t="s">
        <v>44</v>
      </c>
      <c r="P212" t="s">
        <v>43</v>
      </c>
      <c r="Q212" t="s">
        <v>11</v>
      </c>
      <c r="R212" t="s">
        <v>60</v>
      </c>
      <c r="S212">
        <v>2024.38</v>
      </c>
      <c r="T212">
        <v>18490.72</v>
      </c>
      <c r="U212">
        <v>6102.6773999999996</v>
      </c>
      <c r="V212">
        <v>6102.6773999999996</v>
      </c>
      <c r="AA212" s="29" t="s">
        <v>43</v>
      </c>
      <c r="AB212">
        <v>31199</v>
      </c>
      <c r="AC212">
        <v>70</v>
      </c>
      <c r="AD212">
        <v>4</v>
      </c>
      <c r="AE212">
        <v>42.8</v>
      </c>
      <c r="AF212">
        <v>42.8</v>
      </c>
      <c r="AG212" s="29" t="s">
        <v>216</v>
      </c>
      <c r="AH212" s="29" t="s">
        <v>319</v>
      </c>
      <c r="AI212" s="29" t="s">
        <v>257</v>
      </c>
      <c r="AJ212" s="29" t="s">
        <v>435</v>
      </c>
      <c r="AL212" s="29" t="s">
        <v>217</v>
      </c>
    </row>
    <row r="213" spans="15:38">
      <c r="O213" t="s">
        <v>44</v>
      </c>
      <c r="P213" t="s">
        <v>43</v>
      </c>
      <c r="Q213" t="s">
        <v>11</v>
      </c>
      <c r="R213" t="s">
        <v>60</v>
      </c>
      <c r="S213">
        <v>2024.39</v>
      </c>
      <c r="T213">
        <v>9977.76</v>
      </c>
      <c r="U213">
        <v>6102.6773999999996</v>
      </c>
      <c r="V213">
        <v>6102.6773999999996</v>
      </c>
      <c r="AA213" s="29" t="s">
        <v>43</v>
      </c>
      <c r="AB213">
        <v>31199</v>
      </c>
      <c r="AC213">
        <v>70</v>
      </c>
      <c r="AD213">
        <v>4</v>
      </c>
      <c r="AE213">
        <v>21.4</v>
      </c>
      <c r="AF213">
        <v>21.4</v>
      </c>
      <c r="AG213" s="29" t="s">
        <v>216</v>
      </c>
      <c r="AH213" s="29" t="s">
        <v>436</v>
      </c>
      <c r="AI213" s="29" t="s">
        <v>257</v>
      </c>
      <c r="AJ213" s="29" t="s">
        <v>437</v>
      </c>
      <c r="AL213" s="29" t="s">
        <v>217</v>
      </c>
    </row>
    <row r="214" spans="15:38">
      <c r="O214" t="s">
        <v>44</v>
      </c>
      <c r="P214" t="s">
        <v>43</v>
      </c>
      <c r="Q214" t="s">
        <v>11</v>
      </c>
      <c r="R214" t="s">
        <v>60</v>
      </c>
      <c r="S214">
        <v>2024.41</v>
      </c>
      <c r="T214">
        <v>10563.68</v>
      </c>
      <c r="U214">
        <v>6102.6773999999996</v>
      </c>
      <c r="V214">
        <v>6102.6773999999996</v>
      </c>
      <c r="AA214" s="29" t="s">
        <v>43</v>
      </c>
      <c r="AB214">
        <v>31199</v>
      </c>
      <c r="AC214">
        <v>70</v>
      </c>
      <c r="AD214">
        <v>4</v>
      </c>
      <c r="AE214">
        <v>86.64</v>
      </c>
      <c r="AF214">
        <v>86.64</v>
      </c>
      <c r="AG214" s="29" t="s">
        <v>216</v>
      </c>
      <c r="AH214" s="29" t="s">
        <v>438</v>
      </c>
      <c r="AI214" s="29" t="s">
        <v>257</v>
      </c>
      <c r="AJ214" s="29" t="s">
        <v>439</v>
      </c>
      <c r="AL214" s="29" t="s">
        <v>217</v>
      </c>
    </row>
    <row r="215" spans="15:38">
      <c r="O215" t="s">
        <v>44</v>
      </c>
      <c r="P215" t="s">
        <v>43</v>
      </c>
      <c r="Q215" t="s">
        <v>11</v>
      </c>
      <c r="R215" t="s">
        <v>60</v>
      </c>
      <c r="S215">
        <v>2024.43</v>
      </c>
      <c r="T215">
        <v>10563.68</v>
      </c>
      <c r="U215">
        <v>6102.6773999999996</v>
      </c>
      <c r="V215">
        <v>6102.6773999999996</v>
      </c>
      <c r="AA215" s="29" t="s">
        <v>43</v>
      </c>
      <c r="AB215">
        <v>31199</v>
      </c>
      <c r="AC215">
        <v>70</v>
      </c>
      <c r="AD215">
        <v>4</v>
      </c>
      <c r="AE215">
        <v>43.32</v>
      </c>
      <c r="AF215">
        <v>43.32</v>
      </c>
      <c r="AG215" s="29" t="s">
        <v>216</v>
      </c>
      <c r="AH215" s="29" t="s">
        <v>331</v>
      </c>
      <c r="AI215" s="29" t="s">
        <v>257</v>
      </c>
      <c r="AJ215" s="29" t="s">
        <v>332</v>
      </c>
      <c r="AL215" s="29" t="s">
        <v>217</v>
      </c>
    </row>
    <row r="216" spans="15:38">
      <c r="O216" t="s">
        <v>44</v>
      </c>
      <c r="P216" t="s">
        <v>43</v>
      </c>
      <c r="Q216" t="s">
        <v>11</v>
      </c>
      <c r="R216" t="s">
        <v>60</v>
      </c>
      <c r="S216">
        <v>2024.44</v>
      </c>
      <c r="T216">
        <v>10563.68</v>
      </c>
      <c r="U216">
        <v>6102.6773999999996</v>
      </c>
      <c r="V216">
        <v>8121.6592000000001</v>
      </c>
      <c r="AA216" s="29" t="s">
        <v>43</v>
      </c>
      <c r="AB216">
        <v>31199</v>
      </c>
      <c r="AC216">
        <v>70</v>
      </c>
      <c r="AD216">
        <v>4</v>
      </c>
      <c r="AE216">
        <v>813.2</v>
      </c>
      <c r="AF216">
        <v>813.2</v>
      </c>
      <c r="AG216" s="29" t="s">
        <v>216</v>
      </c>
      <c r="AH216" s="29" t="s">
        <v>440</v>
      </c>
      <c r="AI216" s="29" t="s">
        <v>257</v>
      </c>
      <c r="AJ216" s="29" t="s">
        <v>441</v>
      </c>
      <c r="AL216" s="29" t="s">
        <v>217</v>
      </c>
    </row>
    <row r="217" spans="15:38">
      <c r="O217" t="s">
        <v>44</v>
      </c>
      <c r="P217" t="s">
        <v>43</v>
      </c>
      <c r="Q217" t="s">
        <v>11</v>
      </c>
      <c r="R217" t="s">
        <v>60</v>
      </c>
      <c r="S217">
        <v>2024.45</v>
      </c>
      <c r="T217">
        <v>10563.68</v>
      </c>
      <c r="U217">
        <v>6102.6773999999996</v>
      </c>
      <c r="V217">
        <v>8121.6592000000001</v>
      </c>
      <c r="AA217" s="29" t="s">
        <v>43</v>
      </c>
      <c r="AB217">
        <v>31199</v>
      </c>
      <c r="AC217">
        <v>70</v>
      </c>
      <c r="AD217">
        <v>4</v>
      </c>
      <c r="AE217">
        <v>72.760000000000005</v>
      </c>
      <c r="AF217">
        <v>72.760000000000005</v>
      </c>
      <c r="AG217" s="29" t="s">
        <v>216</v>
      </c>
      <c r="AH217" s="29" t="s">
        <v>362</v>
      </c>
      <c r="AI217" s="29" t="s">
        <v>257</v>
      </c>
      <c r="AJ217" s="29" t="s">
        <v>363</v>
      </c>
      <c r="AL217" s="29" t="s">
        <v>217</v>
      </c>
    </row>
    <row r="218" spans="15:38">
      <c r="O218" t="s">
        <v>44</v>
      </c>
      <c r="P218" t="s">
        <v>43</v>
      </c>
      <c r="Q218" t="s">
        <v>11</v>
      </c>
      <c r="R218" t="s">
        <v>60</v>
      </c>
      <c r="S218">
        <v>2024.47</v>
      </c>
      <c r="T218">
        <v>10563.68</v>
      </c>
      <c r="U218">
        <v>6102.6773999999996</v>
      </c>
      <c r="V218">
        <v>8121.6592000000001</v>
      </c>
      <c r="AA218" s="29" t="s">
        <v>43</v>
      </c>
      <c r="AB218">
        <v>31199</v>
      </c>
      <c r="AC218">
        <v>70</v>
      </c>
      <c r="AD218">
        <v>4</v>
      </c>
      <c r="AE218">
        <v>797.15</v>
      </c>
      <c r="AF218">
        <v>797.15</v>
      </c>
      <c r="AG218" s="29" t="s">
        <v>216</v>
      </c>
      <c r="AH218" s="29" t="s">
        <v>442</v>
      </c>
      <c r="AI218" s="29" t="s">
        <v>257</v>
      </c>
      <c r="AJ218" s="29" t="s">
        <v>443</v>
      </c>
      <c r="AL218" s="29" t="s">
        <v>217</v>
      </c>
    </row>
    <row r="219" spans="15:38">
      <c r="O219" t="s">
        <v>44</v>
      </c>
      <c r="P219" t="s">
        <v>43</v>
      </c>
      <c r="Q219" t="s">
        <v>11</v>
      </c>
      <c r="R219" t="s">
        <v>60</v>
      </c>
      <c r="S219">
        <v>2024.48</v>
      </c>
      <c r="T219">
        <v>10563.68</v>
      </c>
      <c r="U219">
        <v>6102.6773999999996</v>
      </c>
      <c r="V219">
        <v>8121.6592000000001</v>
      </c>
      <c r="AA219" s="29" t="s">
        <v>43</v>
      </c>
      <c r="AB219">
        <v>31199</v>
      </c>
      <c r="AC219">
        <v>70</v>
      </c>
      <c r="AD219">
        <v>4</v>
      </c>
      <c r="AE219">
        <v>5.28</v>
      </c>
      <c r="AF219">
        <v>5.28</v>
      </c>
      <c r="AG219" s="29" t="s">
        <v>216</v>
      </c>
      <c r="AH219" s="29" t="s">
        <v>444</v>
      </c>
      <c r="AI219" s="29" t="s">
        <v>257</v>
      </c>
      <c r="AJ219" s="29" t="s">
        <v>445</v>
      </c>
      <c r="AL219" s="29" t="s">
        <v>217</v>
      </c>
    </row>
    <row r="220" spans="15:38">
      <c r="O220" t="s">
        <v>44</v>
      </c>
      <c r="P220" t="s">
        <v>43</v>
      </c>
      <c r="Q220" t="s">
        <v>11</v>
      </c>
      <c r="R220" t="s">
        <v>60</v>
      </c>
      <c r="S220">
        <v>2024.49</v>
      </c>
      <c r="T220">
        <v>10563.68</v>
      </c>
      <c r="U220">
        <v>6102.6773999999996</v>
      </c>
      <c r="V220">
        <v>8121.6592000000001</v>
      </c>
      <c r="AA220" s="29" t="s">
        <v>43</v>
      </c>
      <c r="AB220">
        <v>31199</v>
      </c>
      <c r="AC220">
        <v>70</v>
      </c>
      <c r="AD220">
        <v>4</v>
      </c>
      <c r="AE220">
        <v>46.32</v>
      </c>
      <c r="AF220">
        <v>46.32</v>
      </c>
      <c r="AG220" s="29" t="s">
        <v>216</v>
      </c>
      <c r="AH220" s="29" t="s">
        <v>446</v>
      </c>
      <c r="AI220" s="29" t="s">
        <v>257</v>
      </c>
      <c r="AJ220" s="29" t="s">
        <v>447</v>
      </c>
      <c r="AL220" s="29" t="s">
        <v>217</v>
      </c>
    </row>
    <row r="221" spans="15:38">
      <c r="O221" t="s">
        <v>44</v>
      </c>
      <c r="P221" t="s">
        <v>43</v>
      </c>
      <c r="Q221" t="s">
        <v>11</v>
      </c>
      <c r="R221" t="s">
        <v>60</v>
      </c>
      <c r="S221">
        <v>2024.52</v>
      </c>
      <c r="T221">
        <v>10563.68</v>
      </c>
      <c r="U221">
        <v>6102.6773999999996</v>
      </c>
      <c r="V221">
        <v>8121.6592000000001</v>
      </c>
      <c r="AA221" s="29" t="s">
        <v>43</v>
      </c>
      <c r="AB221">
        <v>31199</v>
      </c>
      <c r="AC221">
        <v>70</v>
      </c>
      <c r="AD221">
        <v>4</v>
      </c>
      <c r="AE221">
        <v>6.3</v>
      </c>
      <c r="AF221">
        <v>6.3</v>
      </c>
      <c r="AG221" s="29" t="s">
        <v>216</v>
      </c>
      <c r="AH221" s="29" t="s">
        <v>342</v>
      </c>
      <c r="AI221" s="29" t="s">
        <v>257</v>
      </c>
      <c r="AJ221" s="29" t="s">
        <v>343</v>
      </c>
      <c r="AL221" s="29" t="s">
        <v>217</v>
      </c>
    </row>
    <row r="222" spans="15:38">
      <c r="O222" t="s">
        <v>44</v>
      </c>
      <c r="P222" t="s">
        <v>43</v>
      </c>
      <c r="Q222" t="s">
        <v>11</v>
      </c>
      <c r="R222" t="s">
        <v>60</v>
      </c>
      <c r="S222">
        <v>2025.03</v>
      </c>
      <c r="T222">
        <v>10563.68</v>
      </c>
      <c r="U222">
        <v>6102.6773999999996</v>
      </c>
      <c r="V222">
        <v>8121.6592000000001</v>
      </c>
      <c r="AA222" s="29" t="s">
        <v>43</v>
      </c>
      <c r="AB222">
        <v>31199</v>
      </c>
      <c r="AC222">
        <v>70</v>
      </c>
      <c r="AD222">
        <v>4</v>
      </c>
      <c r="AE222">
        <v>80.25</v>
      </c>
      <c r="AF222">
        <v>80.25</v>
      </c>
      <c r="AG222" s="29" t="s">
        <v>216</v>
      </c>
      <c r="AH222" s="29" t="s">
        <v>433</v>
      </c>
      <c r="AI222" s="29" t="s">
        <v>257</v>
      </c>
      <c r="AJ222" s="29" t="s">
        <v>448</v>
      </c>
      <c r="AL222" s="29" t="s">
        <v>217</v>
      </c>
    </row>
    <row r="223" spans="15:38">
      <c r="O223" t="s">
        <v>44</v>
      </c>
      <c r="P223" t="s">
        <v>43</v>
      </c>
      <c r="Q223" t="s">
        <v>11</v>
      </c>
      <c r="R223" t="s">
        <v>60</v>
      </c>
      <c r="S223">
        <v>2025.12</v>
      </c>
      <c r="T223">
        <v>10563.68</v>
      </c>
      <c r="U223">
        <v>6102.6773999999996</v>
      </c>
      <c r="V223">
        <v>8121.6592000000001</v>
      </c>
      <c r="AA223" s="29" t="s">
        <v>43</v>
      </c>
      <c r="AB223">
        <v>31199</v>
      </c>
      <c r="AC223">
        <v>70</v>
      </c>
      <c r="AD223">
        <v>4</v>
      </c>
      <c r="AE223">
        <v>42.8</v>
      </c>
      <c r="AF223">
        <v>42.8</v>
      </c>
      <c r="AG223" s="29" t="s">
        <v>216</v>
      </c>
      <c r="AH223" s="29" t="s">
        <v>319</v>
      </c>
      <c r="AI223" s="29" t="s">
        <v>257</v>
      </c>
      <c r="AJ223" s="29" t="s">
        <v>449</v>
      </c>
      <c r="AL223" s="29" t="s">
        <v>217</v>
      </c>
    </row>
    <row r="224" spans="15:38">
      <c r="O224" t="s">
        <v>44</v>
      </c>
      <c r="P224" t="s">
        <v>43</v>
      </c>
      <c r="Q224" t="s">
        <v>11</v>
      </c>
      <c r="R224" t="s">
        <v>61</v>
      </c>
      <c r="S224">
        <v>2023.44</v>
      </c>
      <c r="T224">
        <v>0</v>
      </c>
      <c r="U224">
        <v>5914.1161000000002</v>
      </c>
      <c r="V224">
        <v>5914.1161000000002</v>
      </c>
      <c r="AA224" s="29" t="s">
        <v>43</v>
      </c>
      <c r="AB224">
        <v>31199</v>
      </c>
      <c r="AC224">
        <v>70</v>
      </c>
      <c r="AD224">
        <v>4</v>
      </c>
      <c r="AE224">
        <v>3.84</v>
      </c>
      <c r="AF224">
        <v>3.84</v>
      </c>
      <c r="AG224" s="29" t="s">
        <v>216</v>
      </c>
      <c r="AH224" s="29" t="s">
        <v>450</v>
      </c>
      <c r="AI224" s="29" t="s">
        <v>257</v>
      </c>
      <c r="AJ224" s="29" t="s">
        <v>451</v>
      </c>
      <c r="AL224" s="29" t="s">
        <v>217</v>
      </c>
    </row>
    <row r="225" spans="15:38">
      <c r="O225" t="s">
        <v>44</v>
      </c>
      <c r="P225" t="s">
        <v>43</v>
      </c>
      <c r="Q225" t="s">
        <v>11</v>
      </c>
      <c r="R225" t="s">
        <v>61</v>
      </c>
      <c r="S225">
        <v>2023.51</v>
      </c>
      <c r="T225">
        <v>5213.38</v>
      </c>
      <c r="U225">
        <v>5914.1161000000002</v>
      </c>
      <c r="V225">
        <v>5914.1161000000002</v>
      </c>
      <c r="AA225" s="29" t="s">
        <v>43</v>
      </c>
      <c r="AB225">
        <v>31199</v>
      </c>
      <c r="AC225">
        <v>70</v>
      </c>
      <c r="AD225">
        <v>4</v>
      </c>
      <c r="AE225">
        <v>64.2</v>
      </c>
      <c r="AF225">
        <v>64.2</v>
      </c>
      <c r="AG225" s="29" t="s">
        <v>216</v>
      </c>
      <c r="AH225" s="29" t="s">
        <v>452</v>
      </c>
      <c r="AI225" s="29" t="s">
        <v>257</v>
      </c>
      <c r="AJ225" s="29" t="s">
        <v>453</v>
      </c>
      <c r="AL225" s="29" t="s">
        <v>217</v>
      </c>
    </row>
    <row r="226" spans="15:38">
      <c r="O226" t="s">
        <v>44</v>
      </c>
      <c r="P226" t="s">
        <v>43</v>
      </c>
      <c r="Q226" t="s">
        <v>11</v>
      </c>
      <c r="R226" t="s">
        <v>61</v>
      </c>
      <c r="S226">
        <v>2024.06</v>
      </c>
      <c r="T226">
        <v>6012.84</v>
      </c>
      <c r="U226">
        <v>5914.1161000000002</v>
      </c>
      <c r="V226">
        <v>5914.1161000000002</v>
      </c>
      <c r="AA226" s="29" t="s">
        <v>43</v>
      </c>
      <c r="AB226">
        <v>31199</v>
      </c>
      <c r="AC226">
        <v>70</v>
      </c>
      <c r="AD226">
        <v>4</v>
      </c>
      <c r="AE226">
        <v>5.85</v>
      </c>
      <c r="AF226">
        <v>5.85</v>
      </c>
      <c r="AG226" s="29" t="s">
        <v>216</v>
      </c>
      <c r="AH226" s="29" t="s">
        <v>454</v>
      </c>
      <c r="AI226" s="29" t="s">
        <v>257</v>
      </c>
      <c r="AJ226" s="29" t="s">
        <v>455</v>
      </c>
      <c r="AL226" s="29" t="s">
        <v>217</v>
      </c>
    </row>
    <row r="227" spans="15:38">
      <c r="O227" t="s">
        <v>44</v>
      </c>
      <c r="P227" t="s">
        <v>43</v>
      </c>
      <c r="Q227" t="s">
        <v>11</v>
      </c>
      <c r="R227" t="s">
        <v>61</v>
      </c>
      <c r="S227">
        <v>2024.07</v>
      </c>
      <c r="T227">
        <v>6012.84</v>
      </c>
      <c r="U227">
        <v>5914.1161000000002</v>
      </c>
      <c r="V227">
        <v>5914.1161000000002</v>
      </c>
      <c r="AA227" s="29" t="s">
        <v>43</v>
      </c>
      <c r="AB227">
        <v>31199</v>
      </c>
      <c r="AC227">
        <v>70</v>
      </c>
      <c r="AD227">
        <v>4</v>
      </c>
      <c r="AE227">
        <v>1019</v>
      </c>
      <c r="AF227">
        <v>1019</v>
      </c>
      <c r="AG227" s="29" t="s">
        <v>216</v>
      </c>
      <c r="AH227" s="29" t="s">
        <v>456</v>
      </c>
      <c r="AI227" s="29" t="s">
        <v>257</v>
      </c>
      <c r="AJ227" s="29" t="s">
        <v>457</v>
      </c>
      <c r="AL227" s="29" t="s">
        <v>217</v>
      </c>
    </row>
    <row r="228" spans="15:38">
      <c r="O228" t="s">
        <v>44</v>
      </c>
      <c r="P228" t="s">
        <v>43</v>
      </c>
      <c r="Q228" t="s">
        <v>11</v>
      </c>
      <c r="R228" t="s">
        <v>61</v>
      </c>
      <c r="S228">
        <v>2024.08</v>
      </c>
      <c r="T228">
        <v>6012.84</v>
      </c>
      <c r="U228">
        <v>5914.1161000000002</v>
      </c>
      <c r="V228">
        <v>5914.1161000000002</v>
      </c>
      <c r="AA228" s="29" t="s">
        <v>43</v>
      </c>
      <c r="AB228">
        <v>31199</v>
      </c>
      <c r="AC228">
        <v>70</v>
      </c>
      <c r="AD228">
        <v>4</v>
      </c>
      <c r="AE228">
        <v>21.4</v>
      </c>
      <c r="AF228">
        <v>21.4</v>
      </c>
      <c r="AG228" s="29" t="s">
        <v>216</v>
      </c>
      <c r="AH228" s="29" t="s">
        <v>436</v>
      </c>
      <c r="AI228" s="29" t="s">
        <v>257</v>
      </c>
      <c r="AJ228" s="29" t="s">
        <v>437</v>
      </c>
      <c r="AL228" s="29" t="s">
        <v>217</v>
      </c>
    </row>
    <row r="229" spans="15:38">
      <c r="O229" t="s">
        <v>44</v>
      </c>
      <c r="P229" t="s">
        <v>43</v>
      </c>
      <c r="Q229" t="s">
        <v>11</v>
      </c>
      <c r="R229" t="s">
        <v>61</v>
      </c>
      <c r="S229">
        <v>2024.09</v>
      </c>
      <c r="T229">
        <v>6012.84</v>
      </c>
      <c r="U229">
        <v>5914.1161000000002</v>
      </c>
      <c r="V229">
        <v>5914.1161000000002</v>
      </c>
      <c r="AA229" s="29" t="s">
        <v>43</v>
      </c>
      <c r="AB229">
        <v>31199</v>
      </c>
      <c r="AC229">
        <v>70</v>
      </c>
      <c r="AD229">
        <v>4</v>
      </c>
      <c r="AE229">
        <v>21.66</v>
      </c>
      <c r="AF229">
        <v>21.66</v>
      </c>
      <c r="AG229" s="29" t="s">
        <v>216</v>
      </c>
      <c r="AH229" s="29" t="s">
        <v>458</v>
      </c>
      <c r="AI229" s="29" t="s">
        <v>257</v>
      </c>
      <c r="AJ229" s="29" t="s">
        <v>459</v>
      </c>
      <c r="AL229" s="29" t="s">
        <v>217</v>
      </c>
    </row>
    <row r="230" spans="15:38">
      <c r="O230" t="s">
        <v>44</v>
      </c>
      <c r="P230" t="s">
        <v>43</v>
      </c>
      <c r="Q230" t="s">
        <v>11</v>
      </c>
      <c r="R230" t="s">
        <v>61</v>
      </c>
      <c r="S230">
        <v>2024.1</v>
      </c>
      <c r="T230">
        <v>6012.84</v>
      </c>
      <c r="U230">
        <v>5914.1161000000002</v>
      </c>
      <c r="V230">
        <v>5914.1161000000002</v>
      </c>
      <c r="AA230" s="29" t="s">
        <v>43</v>
      </c>
      <c r="AB230">
        <v>31199</v>
      </c>
      <c r="AC230">
        <v>70</v>
      </c>
      <c r="AD230">
        <v>4</v>
      </c>
      <c r="AE230">
        <v>159.43</v>
      </c>
      <c r="AF230">
        <v>159.43</v>
      </c>
      <c r="AG230" s="29" t="s">
        <v>216</v>
      </c>
      <c r="AH230" s="29" t="s">
        <v>460</v>
      </c>
      <c r="AI230" s="29" t="s">
        <v>257</v>
      </c>
      <c r="AJ230" s="29" t="s">
        <v>461</v>
      </c>
      <c r="AL230" s="29" t="s">
        <v>217</v>
      </c>
    </row>
    <row r="231" spans="15:38">
      <c r="O231" t="s">
        <v>44</v>
      </c>
      <c r="P231" t="s">
        <v>43</v>
      </c>
      <c r="Q231" t="s">
        <v>11</v>
      </c>
      <c r="R231" t="s">
        <v>61</v>
      </c>
      <c r="S231">
        <v>2024.11</v>
      </c>
      <c r="T231">
        <v>6012.84</v>
      </c>
      <c r="U231">
        <v>5914.1161000000002</v>
      </c>
      <c r="V231">
        <v>5914.1161000000002</v>
      </c>
      <c r="AA231" s="29" t="s">
        <v>43</v>
      </c>
      <c r="AB231">
        <v>31199</v>
      </c>
      <c r="AC231">
        <v>70</v>
      </c>
      <c r="AD231">
        <v>4</v>
      </c>
      <c r="AE231">
        <v>612</v>
      </c>
      <c r="AF231">
        <v>612</v>
      </c>
      <c r="AG231" s="29" t="s">
        <v>216</v>
      </c>
      <c r="AH231" s="29" t="s">
        <v>462</v>
      </c>
      <c r="AI231" s="29" t="s">
        <v>257</v>
      </c>
      <c r="AJ231" s="29" t="s">
        <v>463</v>
      </c>
      <c r="AL231" s="29" t="s">
        <v>217</v>
      </c>
    </row>
    <row r="232" spans="15:38">
      <c r="O232" t="s">
        <v>44</v>
      </c>
      <c r="P232" t="s">
        <v>43</v>
      </c>
      <c r="Q232" t="s">
        <v>11</v>
      </c>
      <c r="R232" t="s">
        <v>61</v>
      </c>
      <c r="S232">
        <v>2024.14</v>
      </c>
      <c r="T232">
        <v>6012.84</v>
      </c>
      <c r="U232">
        <v>5914.1161000000002</v>
      </c>
      <c r="V232">
        <v>5914.1161000000002</v>
      </c>
      <c r="AA232" s="29" t="s">
        <v>43</v>
      </c>
      <c r="AB232">
        <v>31199</v>
      </c>
      <c r="AC232">
        <v>70</v>
      </c>
      <c r="AD232">
        <v>4</v>
      </c>
      <c r="AE232">
        <v>21.4</v>
      </c>
      <c r="AF232">
        <v>21.4</v>
      </c>
      <c r="AG232" s="29" t="s">
        <v>216</v>
      </c>
      <c r="AH232" s="29" t="s">
        <v>436</v>
      </c>
      <c r="AI232" s="29" t="s">
        <v>257</v>
      </c>
      <c r="AJ232" s="29" t="s">
        <v>464</v>
      </c>
      <c r="AL232" s="29" t="s">
        <v>217</v>
      </c>
    </row>
    <row r="233" spans="15:38">
      <c r="O233" t="s">
        <v>44</v>
      </c>
      <c r="P233" t="s">
        <v>43</v>
      </c>
      <c r="Q233" t="s">
        <v>11</v>
      </c>
      <c r="R233" t="s">
        <v>61</v>
      </c>
      <c r="S233">
        <v>2024.17</v>
      </c>
      <c r="T233">
        <v>6012.84</v>
      </c>
      <c r="U233">
        <v>5914.1161000000002</v>
      </c>
      <c r="V233">
        <v>5914.1161000000002</v>
      </c>
      <c r="AA233" s="29" t="s">
        <v>43</v>
      </c>
      <c r="AB233">
        <v>31199</v>
      </c>
      <c r="AC233">
        <v>70</v>
      </c>
      <c r="AD233">
        <v>4</v>
      </c>
      <c r="AE233">
        <v>21.66</v>
      </c>
      <c r="AF233">
        <v>21.66</v>
      </c>
      <c r="AG233" s="29" t="s">
        <v>216</v>
      </c>
      <c r="AH233" s="29" t="s">
        <v>458</v>
      </c>
      <c r="AI233" s="29" t="s">
        <v>257</v>
      </c>
      <c r="AJ233" s="29" t="s">
        <v>459</v>
      </c>
      <c r="AL233" s="29" t="s">
        <v>217</v>
      </c>
    </row>
    <row r="234" spans="15:38">
      <c r="O234" t="s">
        <v>44</v>
      </c>
      <c r="P234" t="s">
        <v>43</v>
      </c>
      <c r="Q234" t="s">
        <v>11</v>
      </c>
      <c r="R234" t="s">
        <v>61</v>
      </c>
      <c r="S234">
        <v>2024.18</v>
      </c>
      <c r="T234">
        <v>12025.68</v>
      </c>
      <c r="U234">
        <v>5914.1161000000002</v>
      </c>
      <c r="V234">
        <v>5914.1161000000002</v>
      </c>
      <c r="AA234" s="29" t="s">
        <v>43</v>
      </c>
      <c r="AB234">
        <v>31199</v>
      </c>
      <c r="AC234">
        <v>70</v>
      </c>
      <c r="AD234">
        <v>4</v>
      </c>
      <c r="AE234">
        <v>159.43</v>
      </c>
      <c r="AF234">
        <v>159.43</v>
      </c>
      <c r="AG234" s="29" t="s">
        <v>216</v>
      </c>
      <c r="AH234" s="29" t="s">
        <v>460</v>
      </c>
      <c r="AI234" s="29" t="s">
        <v>257</v>
      </c>
      <c r="AJ234" s="29" t="s">
        <v>461</v>
      </c>
      <c r="AL234" s="29" t="s">
        <v>217</v>
      </c>
    </row>
    <row r="235" spans="15:38">
      <c r="O235" t="s">
        <v>44</v>
      </c>
      <c r="P235" t="s">
        <v>43</v>
      </c>
      <c r="Q235" t="s">
        <v>11</v>
      </c>
      <c r="R235" t="s">
        <v>61</v>
      </c>
      <c r="S235">
        <v>2024.19</v>
      </c>
      <c r="T235">
        <v>6012.84</v>
      </c>
      <c r="U235">
        <v>5914.1161000000002</v>
      </c>
      <c r="V235">
        <v>5914.1161000000002</v>
      </c>
      <c r="AA235" s="29" t="s">
        <v>43</v>
      </c>
      <c r="AB235">
        <v>31199</v>
      </c>
      <c r="AC235">
        <v>70</v>
      </c>
      <c r="AD235">
        <v>4</v>
      </c>
      <c r="AE235">
        <v>1076</v>
      </c>
      <c r="AF235">
        <v>1076</v>
      </c>
      <c r="AG235" s="29" t="s">
        <v>216</v>
      </c>
      <c r="AH235" s="29" t="s">
        <v>465</v>
      </c>
      <c r="AI235" s="29" t="s">
        <v>257</v>
      </c>
      <c r="AJ235" s="29" t="s">
        <v>466</v>
      </c>
      <c r="AL235" s="29" t="s">
        <v>217</v>
      </c>
    </row>
    <row r="236" spans="15:38">
      <c r="O236" t="s">
        <v>44</v>
      </c>
      <c r="P236" t="s">
        <v>43</v>
      </c>
      <c r="Q236" t="s">
        <v>11</v>
      </c>
      <c r="R236" t="s">
        <v>61</v>
      </c>
      <c r="S236">
        <v>2024.2</v>
      </c>
      <c r="T236">
        <v>6012.84</v>
      </c>
      <c r="U236">
        <v>5914.1161000000002</v>
      </c>
      <c r="V236">
        <v>5914.1161000000002</v>
      </c>
      <c r="AA236" s="29" t="s">
        <v>43</v>
      </c>
      <c r="AB236">
        <v>31199</v>
      </c>
      <c r="AC236">
        <v>70</v>
      </c>
      <c r="AD236">
        <v>4</v>
      </c>
      <c r="AE236">
        <v>0</v>
      </c>
      <c r="AF236">
        <v>0</v>
      </c>
      <c r="AG236" s="29" t="s">
        <v>216</v>
      </c>
      <c r="AH236" s="29" t="s">
        <v>218</v>
      </c>
      <c r="AI236" s="29" t="s">
        <v>257</v>
      </c>
      <c r="AJ236" s="29" t="s">
        <v>467</v>
      </c>
      <c r="AL236" s="29" t="s">
        <v>217</v>
      </c>
    </row>
    <row r="237" spans="15:38">
      <c r="O237" t="s">
        <v>44</v>
      </c>
      <c r="P237" t="s">
        <v>43</v>
      </c>
      <c r="Q237" t="s">
        <v>11</v>
      </c>
      <c r="R237" t="s">
        <v>61</v>
      </c>
      <c r="S237">
        <v>2024.21</v>
      </c>
      <c r="T237">
        <v>6012.84</v>
      </c>
      <c r="U237">
        <v>5914.1161000000002</v>
      </c>
      <c r="V237">
        <v>5914.1161000000002</v>
      </c>
      <c r="AA237" s="29" t="s">
        <v>43</v>
      </c>
      <c r="AB237">
        <v>31199</v>
      </c>
      <c r="AC237">
        <v>70</v>
      </c>
      <c r="AD237">
        <v>4</v>
      </c>
      <c r="AE237">
        <v>21.4</v>
      </c>
      <c r="AF237">
        <v>21.4</v>
      </c>
      <c r="AG237" s="29" t="s">
        <v>216</v>
      </c>
      <c r="AH237" s="29" t="s">
        <v>436</v>
      </c>
      <c r="AI237" s="29" t="s">
        <v>257</v>
      </c>
      <c r="AJ237" s="29" t="s">
        <v>437</v>
      </c>
      <c r="AL237" s="29" t="s">
        <v>217</v>
      </c>
    </row>
    <row r="238" spans="15:38">
      <c r="O238" t="s">
        <v>44</v>
      </c>
      <c r="P238" t="s">
        <v>43</v>
      </c>
      <c r="Q238" t="s">
        <v>11</v>
      </c>
      <c r="R238" t="s">
        <v>61</v>
      </c>
      <c r="S238">
        <v>2024.28</v>
      </c>
      <c r="T238">
        <v>6012.84</v>
      </c>
      <c r="U238">
        <v>5914.1161000000002</v>
      </c>
      <c r="V238">
        <v>5914.1161000000002</v>
      </c>
      <c r="AA238" s="29" t="s">
        <v>43</v>
      </c>
      <c r="AB238">
        <v>31199</v>
      </c>
      <c r="AC238">
        <v>70</v>
      </c>
      <c r="AD238">
        <v>4</v>
      </c>
      <c r="AE238">
        <v>159.43</v>
      </c>
      <c r="AF238">
        <v>159.43</v>
      </c>
      <c r="AG238" s="29" t="s">
        <v>216</v>
      </c>
      <c r="AH238" s="29" t="s">
        <v>460</v>
      </c>
      <c r="AI238" s="29" t="s">
        <v>257</v>
      </c>
      <c r="AJ238" s="29" t="s">
        <v>461</v>
      </c>
      <c r="AL238" s="29" t="s">
        <v>217</v>
      </c>
    </row>
    <row r="239" spans="15:38">
      <c r="O239" t="s">
        <v>44</v>
      </c>
      <c r="P239" t="s">
        <v>43</v>
      </c>
      <c r="Q239" t="s">
        <v>11</v>
      </c>
      <c r="R239" t="s">
        <v>61</v>
      </c>
      <c r="S239">
        <v>2024.38</v>
      </c>
      <c r="T239">
        <v>12025.68</v>
      </c>
      <c r="U239">
        <v>5914.1161000000002</v>
      </c>
      <c r="V239">
        <v>5914.1161000000002</v>
      </c>
      <c r="AA239" s="29" t="s">
        <v>43</v>
      </c>
      <c r="AB239">
        <v>31199</v>
      </c>
      <c r="AC239">
        <v>70</v>
      </c>
      <c r="AD239">
        <v>4</v>
      </c>
      <c r="AE239">
        <v>21.66</v>
      </c>
      <c r="AF239">
        <v>21.66</v>
      </c>
      <c r="AG239" s="29" t="s">
        <v>216</v>
      </c>
      <c r="AH239" s="29" t="s">
        <v>458</v>
      </c>
      <c r="AI239" s="29" t="s">
        <v>257</v>
      </c>
      <c r="AJ239" s="29" t="s">
        <v>459</v>
      </c>
      <c r="AL239" s="29" t="s">
        <v>217</v>
      </c>
    </row>
    <row r="240" spans="15:38">
      <c r="O240" t="s">
        <v>44</v>
      </c>
      <c r="P240" t="s">
        <v>43</v>
      </c>
      <c r="Q240" t="s">
        <v>11</v>
      </c>
      <c r="R240" t="s">
        <v>61</v>
      </c>
      <c r="S240">
        <v>2024.39</v>
      </c>
      <c r="T240">
        <v>6012.84</v>
      </c>
      <c r="U240">
        <v>5914.1161000000002</v>
      </c>
      <c r="V240">
        <v>5914.1161000000002</v>
      </c>
      <c r="AA240" s="29" t="s">
        <v>43</v>
      </c>
      <c r="AB240">
        <v>31199</v>
      </c>
      <c r="AC240">
        <v>70</v>
      </c>
      <c r="AD240">
        <v>4</v>
      </c>
      <c r="AE240">
        <v>43.32</v>
      </c>
      <c r="AF240">
        <v>43.32</v>
      </c>
      <c r="AG240" s="29" t="s">
        <v>216</v>
      </c>
      <c r="AH240" s="29" t="s">
        <v>331</v>
      </c>
      <c r="AI240" s="29" t="s">
        <v>257</v>
      </c>
      <c r="AJ240" s="29" t="s">
        <v>332</v>
      </c>
      <c r="AL240" s="29" t="s">
        <v>217</v>
      </c>
    </row>
    <row r="241" spans="15:38">
      <c r="O241" t="s">
        <v>44</v>
      </c>
      <c r="P241" t="s">
        <v>43</v>
      </c>
      <c r="Q241" t="s">
        <v>11</v>
      </c>
      <c r="R241" t="s">
        <v>61</v>
      </c>
      <c r="S241">
        <v>2024.41</v>
      </c>
      <c r="T241">
        <v>6012.84</v>
      </c>
      <c r="U241">
        <v>5914.1161000000002</v>
      </c>
      <c r="V241">
        <v>5914.1161000000002</v>
      </c>
      <c r="AA241" s="29" t="s">
        <v>43</v>
      </c>
      <c r="AB241">
        <v>31199</v>
      </c>
      <c r="AC241">
        <v>70</v>
      </c>
      <c r="AD241">
        <v>4</v>
      </c>
      <c r="AE241">
        <v>2444</v>
      </c>
      <c r="AF241">
        <v>2444</v>
      </c>
      <c r="AG241" s="29" t="s">
        <v>216</v>
      </c>
      <c r="AH241" s="29" t="s">
        <v>468</v>
      </c>
      <c r="AI241" s="29" t="s">
        <v>257</v>
      </c>
      <c r="AJ241" s="29" t="s">
        <v>469</v>
      </c>
      <c r="AL241" s="29" t="s">
        <v>217</v>
      </c>
    </row>
    <row r="242" spans="15:38">
      <c r="O242" t="s">
        <v>44</v>
      </c>
      <c r="P242" t="s">
        <v>43</v>
      </c>
      <c r="Q242" t="s">
        <v>11</v>
      </c>
      <c r="R242" t="s">
        <v>61</v>
      </c>
      <c r="S242">
        <v>2024.43</v>
      </c>
      <c r="T242">
        <v>6012.84</v>
      </c>
      <c r="U242">
        <v>5914.1161000000002</v>
      </c>
      <c r="V242">
        <v>5914.1161000000002</v>
      </c>
      <c r="AA242" s="29" t="s">
        <v>43</v>
      </c>
      <c r="AB242">
        <v>31199</v>
      </c>
      <c r="AC242">
        <v>70</v>
      </c>
      <c r="AD242">
        <v>4</v>
      </c>
      <c r="AE242">
        <v>64.98</v>
      </c>
      <c r="AF242">
        <v>64.98</v>
      </c>
      <c r="AG242" s="29" t="s">
        <v>216</v>
      </c>
      <c r="AH242" s="29" t="s">
        <v>470</v>
      </c>
      <c r="AI242" s="29" t="s">
        <v>257</v>
      </c>
      <c r="AJ242" s="29" t="s">
        <v>471</v>
      </c>
      <c r="AL242" s="29" t="s">
        <v>217</v>
      </c>
    </row>
    <row r="243" spans="15:38">
      <c r="O243" t="s">
        <v>44</v>
      </c>
      <c r="P243" t="s">
        <v>43</v>
      </c>
      <c r="Q243" t="s">
        <v>11</v>
      </c>
      <c r="R243" t="s">
        <v>61</v>
      </c>
      <c r="S243">
        <v>2024.44</v>
      </c>
      <c r="T243">
        <v>6012.84</v>
      </c>
      <c r="U243">
        <v>5914.1161000000002</v>
      </c>
      <c r="V243">
        <v>5914.1161000000002</v>
      </c>
      <c r="AA243" s="29" t="s">
        <v>43</v>
      </c>
      <c r="AB243">
        <v>31199</v>
      </c>
      <c r="AC243">
        <v>70</v>
      </c>
      <c r="AD243">
        <v>4</v>
      </c>
      <c r="AE243">
        <v>43.32</v>
      </c>
      <c r="AF243">
        <v>43.32</v>
      </c>
      <c r="AG243" s="29" t="s">
        <v>216</v>
      </c>
      <c r="AH243" s="29" t="s">
        <v>331</v>
      </c>
      <c r="AI243" s="29" t="s">
        <v>257</v>
      </c>
      <c r="AJ243" s="29" t="s">
        <v>332</v>
      </c>
      <c r="AL243" s="29" t="s">
        <v>217</v>
      </c>
    </row>
    <row r="244" spans="15:38">
      <c r="O244" t="s">
        <v>44</v>
      </c>
      <c r="P244" t="s">
        <v>43</v>
      </c>
      <c r="Q244" t="s">
        <v>11</v>
      </c>
      <c r="R244" t="s">
        <v>61</v>
      </c>
      <c r="S244">
        <v>2024.45</v>
      </c>
      <c r="T244">
        <v>6012.84</v>
      </c>
      <c r="U244">
        <v>5914.1161000000002</v>
      </c>
      <c r="V244">
        <v>5914.1161000000002</v>
      </c>
      <c r="AA244" s="29" t="s">
        <v>43</v>
      </c>
      <c r="AB244">
        <v>31199</v>
      </c>
      <c r="AC244">
        <v>70</v>
      </c>
      <c r="AD244">
        <v>4</v>
      </c>
      <c r="AE244">
        <v>148.44</v>
      </c>
      <c r="AF244">
        <v>148.44</v>
      </c>
      <c r="AG244" s="29" t="s">
        <v>216</v>
      </c>
      <c r="AH244" s="29" t="s">
        <v>325</v>
      </c>
      <c r="AI244" s="29" t="s">
        <v>257</v>
      </c>
      <c r="AJ244" s="29" t="s">
        <v>326</v>
      </c>
      <c r="AL244" s="29" t="s">
        <v>217</v>
      </c>
    </row>
    <row r="245" spans="15:38">
      <c r="O245" t="s">
        <v>44</v>
      </c>
      <c r="P245" t="s">
        <v>43</v>
      </c>
      <c r="Q245" t="s">
        <v>11</v>
      </c>
      <c r="R245" t="s">
        <v>61</v>
      </c>
      <c r="S245">
        <v>2024.47</v>
      </c>
      <c r="T245">
        <v>6012.84</v>
      </c>
      <c r="U245">
        <v>5914.1161000000002</v>
      </c>
      <c r="V245">
        <v>5914.1161000000002</v>
      </c>
      <c r="AA245" s="29" t="s">
        <v>43</v>
      </c>
      <c r="AB245">
        <v>31199</v>
      </c>
      <c r="AC245">
        <v>70</v>
      </c>
      <c r="AD245">
        <v>4</v>
      </c>
      <c r="AE245">
        <v>5839</v>
      </c>
      <c r="AF245">
        <v>5839</v>
      </c>
      <c r="AG245" s="29" t="s">
        <v>216</v>
      </c>
      <c r="AH245" s="29" t="s">
        <v>472</v>
      </c>
      <c r="AI245" s="29" t="s">
        <v>257</v>
      </c>
      <c r="AJ245" s="29" t="s">
        <v>473</v>
      </c>
      <c r="AL245" s="29" t="s">
        <v>217</v>
      </c>
    </row>
    <row r="246" spans="15:38">
      <c r="O246" t="s">
        <v>44</v>
      </c>
      <c r="P246" t="s">
        <v>43</v>
      </c>
      <c r="Q246" t="s">
        <v>11</v>
      </c>
      <c r="R246" t="s">
        <v>61</v>
      </c>
      <c r="S246">
        <v>2024.48</v>
      </c>
      <c r="T246">
        <v>6012.84</v>
      </c>
      <c r="U246">
        <v>5914.1161000000002</v>
      </c>
      <c r="V246">
        <v>5914.1161000000002</v>
      </c>
      <c r="AA246" s="29" t="s">
        <v>43</v>
      </c>
      <c r="AB246">
        <v>31199</v>
      </c>
      <c r="AC246">
        <v>70</v>
      </c>
      <c r="AD246">
        <v>4</v>
      </c>
      <c r="AE246">
        <v>42.8</v>
      </c>
      <c r="AF246">
        <v>42.8</v>
      </c>
      <c r="AG246" s="29" t="s">
        <v>216</v>
      </c>
      <c r="AH246" s="29" t="s">
        <v>319</v>
      </c>
      <c r="AI246" s="29" t="s">
        <v>257</v>
      </c>
      <c r="AJ246" s="29" t="s">
        <v>401</v>
      </c>
      <c r="AL246" s="29" t="s">
        <v>217</v>
      </c>
    </row>
    <row r="247" spans="15:38">
      <c r="O247" t="s">
        <v>44</v>
      </c>
      <c r="P247" t="s">
        <v>43</v>
      </c>
      <c r="Q247" t="s">
        <v>11</v>
      </c>
      <c r="R247" t="s">
        <v>61</v>
      </c>
      <c r="S247">
        <v>2024.49</v>
      </c>
      <c r="T247">
        <v>6012.84</v>
      </c>
      <c r="U247">
        <v>5914.1161000000002</v>
      </c>
      <c r="V247">
        <v>5914.1161000000002</v>
      </c>
      <c r="AA247" s="29" t="s">
        <v>43</v>
      </c>
      <c r="AB247">
        <v>31199</v>
      </c>
      <c r="AC247">
        <v>70</v>
      </c>
      <c r="AD247">
        <v>4</v>
      </c>
      <c r="AE247">
        <v>85.6</v>
      </c>
      <c r="AF247">
        <v>85.6</v>
      </c>
      <c r="AG247" s="29" t="s">
        <v>216</v>
      </c>
      <c r="AH247" s="29" t="s">
        <v>344</v>
      </c>
      <c r="AI247" s="29" t="s">
        <v>257</v>
      </c>
      <c r="AJ247" s="29" t="s">
        <v>345</v>
      </c>
      <c r="AL247" s="29" t="s">
        <v>217</v>
      </c>
    </row>
    <row r="248" spans="15:38">
      <c r="O248" t="s">
        <v>44</v>
      </c>
      <c r="P248" t="s">
        <v>43</v>
      </c>
      <c r="Q248" t="s">
        <v>11</v>
      </c>
      <c r="R248" t="s">
        <v>61</v>
      </c>
      <c r="S248">
        <v>2024.52</v>
      </c>
      <c r="T248">
        <v>6012.84</v>
      </c>
      <c r="U248">
        <v>5914.1161000000002</v>
      </c>
      <c r="V248">
        <v>5914.1161000000002</v>
      </c>
      <c r="AA248" s="29" t="s">
        <v>43</v>
      </c>
      <c r="AB248">
        <v>31199</v>
      </c>
      <c r="AC248">
        <v>70</v>
      </c>
      <c r="AD248">
        <v>4</v>
      </c>
      <c r="AE248">
        <v>21.66</v>
      </c>
      <c r="AF248">
        <v>21.66</v>
      </c>
      <c r="AG248" s="29" t="s">
        <v>216</v>
      </c>
      <c r="AH248" s="29" t="s">
        <v>458</v>
      </c>
      <c r="AI248" s="29" t="s">
        <v>257</v>
      </c>
      <c r="AJ248" s="29" t="s">
        <v>459</v>
      </c>
      <c r="AL248" s="29" t="s">
        <v>217</v>
      </c>
    </row>
    <row r="249" spans="15:38">
      <c r="O249" t="s">
        <v>44</v>
      </c>
      <c r="P249" t="s">
        <v>43</v>
      </c>
      <c r="Q249" t="s">
        <v>11</v>
      </c>
      <c r="R249" t="s">
        <v>61</v>
      </c>
      <c r="S249">
        <v>2025.03</v>
      </c>
      <c r="T249">
        <v>6012.84</v>
      </c>
      <c r="U249">
        <v>5914.1161000000002</v>
      </c>
      <c r="V249">
        <v>5914.1161000000002</v>
      </c>
      <c r="AA249" s="29" t="s">
        <v>43</v>
      </c>
      <c r="AB249">
        <v>31199</v>
      </c>
      <c r="AC249">
        <v>70</v>
      </c>
      <c r="AD249">
        <v>4</v>
      </c>
      <c r="AE249">
        <v>43.32</v>
      </c>
      <c r="AF249">
        <v>43.32</v>
      </c>
      <c r="AG249" s="29" t="s">
        <v>216</v>
      </c>
      <c r="AH249" s="29" t="s">
        <v>331</v>
      </c>
      <c r="AI249" s="29" t="s">
        <v>257</v>
      </c>
      <c r="AJ249" s="29" t="s">
        <v>332</v>
      </c>
      <c r="AL249" s="29" t="s">
        <v>217</v>
      </c>
    </row>
    <row r="250" spans="15:38">
      <c r="O250" t="s">
        <v>44</v>
      </c>
      <c r="P250" t="s">
        <v>43</v>
      </c>
      <c r="Q250" t="s">
        <v>11</v>
      </c>
      <c r="R250" t="s">
        <v>61</v>
      </c>
      <c r="S250">
        <v>2025.12</v>
      </c>
      <c r="T250">
        <v>6012.84</v>
      </c>
      <c r="U250">
        <v>5914.1161000000002</v>
      </c>
      <c r="V250">
        <v>5914.1161000000002</v>
      </c>
      <c r="AA250" s="29" t="s">
        <v>43</v>
      </c>
      <c r="AB250">
        <v>31199</v>
      </c>
      <c r="AC250">
        <v>70</v>
      </c>
      <c r="AD250">
        <v>4</v>
      </c>
      <c r="AE250">
        <v>159.43</v>
      </c>
      <c r="AF250">
        <v>159.43</v>
      </c>
      <c r="AG250" s="29" t="s">
        <v>216</v>
      </c>
      <c r="AH250" s="29" t="s">
        <v>460</v>
      </c>
      <c r="AI250" s="29" t="s">
        <v>257</v>
      </c>
      <c r="AJ250" s="29" t="s">
        <v>461</v>
      </c>
      <c r="AL250" s="29" t="s">
        <v>217</v>
      </c>
    </row>
    <row r="251" spans="15:38">
      <c r="O251" t="s">
        <v>44</v>
      </c>
      <c r="P251" t="s">
        <v>43</v>
      </c>
      <c r="Q251" t="s">
        <v>12</v>
      </c>
      <c r="R251" t="s">
        <v>60</v>
      </c>
      <c r="S251">
        <v>2023.44</v>
      </c>
      <c r="T251">
        <v>0</v>
      </c>
      <c r="U251">
        <v>1731.2560000000001</v>
      </c>
      <c r="V251">
        <v>1731.2560000000001</v>
      </c>
      <c r="AA251" s="29" t="s">
        <v>43</v>
      </c>
      <c r="AB251">
        <v>31199</v>
      </c>
      <c r="AC251">
        <v>70</v>
      </c>
      <c r="AD251">
        <v>4</v>
      </c>
      <c r="AE251">
        <v>21.4</v>
      </c>
      <c r="AF251">
        <v>21.4</v>
      </c>
      <c r="AG251" s="29" t="s">
        <v>216</v>
      </c>
      <c r="AH251" s="29" t="s">
        <v>436</v>
      </c>
      <c r="AI251" s="29" t="s">
        <v>257</v>
      </c>
      <c r="AJ251" s="29" t="s">
        <v>464</v>
      </c>
      <c r="AL251" s="29" t="s">
        <v>217</v>
      </c>
    </row>
    <row r="252" spans="15:38">
      <c r="O252" t="s">
        <v>44</v>
      </c>
      <c r="P252" t="s">
        <v>43</v>
      </c>
      <c r="Q252" t="s">
        <v>12</v>
      </c>
      <c r="R252" t="s">
        <v>60</v>
      </c>
      <c r="S252">
        <v>2024.18</v>
      </c>
      <c r="T252">
        <v>36.619999999999997</v>
      </c>
      <c r="U252">
        <v>1731.2560000000001</v>
      </c>
      <c r="V252">
        <v>1731.2560000000001</v>
      </c>
      <c r="AA252" s="29" t="s">
        <v>43</v>
      </c>
      <c r="AB252">
        <v>31199</v>
      </c>
      <c r="AC252">
        <v>70</v>
      </c>
      <c r="AD252">
        <v>4</v>
      </c>
      <c r="AE252">
        <v>159.43</v>
      </c>
      <c r="AF252">
        <v>159.43</v>
      </c>
      <c r="AG252" s="29" t="s">
        <v>216</v>
      </c>
      <c r="AH252" s="29" t="s">
        <v>460</v>
      </c>
      <c r="AI252" s="29" t="s">
        <v>257</v>
      </c>
      <c r="AJ252" s="29" t="s">
        <v>461</v>
      </c>
      <c r="AL252" s="29" t="s">
        <v>217</v>
      </c>
    </row>
    <row r="253" spans="15:38">
      <c r="O253" t="s">
        <v>44</v>
      </c>
      <c r="P253" t="s">
        <v>43</v>
      </c>
      <c r="Q253" t="s">
        <v>12</v>
      </c>
      <c r="R253" t="s">
        <v>60</v>
      </c>
      <c r="S253">
        <v>2024.38</v>
      </c>
      <c r="T253">
        <v>36.619999999999997</v>
      </c>
      <c r="U253">
        <v>1731.2560000000001</v>
      </c>
      <c r="V253">
        <v>1731.2560000000001</v>
      </c>
      <c r="AA253" s="29" t="s">
        <v>43</v>
      </c>
      <c r="AB253">
        <v>31199</v>
      </c>
      <c r="AC253">
        <v>70</v>
      </c>
      <c r="AD253">
        <v>4</v>
      </c>
      <c r="AE253">
        <v>26.75</v>
      </c>
      <c r="AF253">
        <v>26.75</v>
      </c>
      <c r="AG253" s="29" t="s">
        <v>216</v>
      </c>
      <c r="AH253" s="29" t="s">
        <v>474</v>
      </c>
      <c r="AI253" s="29" t="s">
        <v>257</v>
      </c>
      <c r="AJ253" s="29" t="s">
        <v>475</v>
      </c>
      <c r="AL253" s="29" t="s">
        <v>217</v>
      </c>
    </row>
    <row r="254" spans="15:38">
      <c r="O254" t="s">
        <v>44</v>
      </c>
      <c r="P254" t="s">
        <v>43</v>
      </c>
      <c r="Q254" t="s">
        <v>12</v>
      </c>
      <c r="R254" t="s">
        <v>60</v>
      </c>
      <c r="S254">
        <v>2024.39</v>
      </c>
      <c r="T254">
        <v>36.619999999999997</v>
      </c>
      <c r="U254">
        <v>1731.2560000000001</v>
      </c>
      <c r="V254">
        <v>1731.2560000000001</v>
      </c>
      <c r="AA254" s="29" t="s">
        <v>43</v>
      </c>
      <c r="AB254">
        <v>31199</v>
      </c>
      <c r="AC254">
        <v>70</v>
      </c>
      <c r="AD254">
        <v>4</v>
      </c>
      <c r="AE254">
        <v>21.2</v>
      </c>
      <c r="AF254">
        <v>21.2</v>
      </c>
      <c r="AG254" s="29" t="s">
        <v>216</v>
      </c>
      <c r="AH254" s="29" t="s">
        <v>476</v>
      </c>
      <c r="AI254" s="29" t="s">
        <v>257</v>
      </c>
      <c r="AJ254" s="29" t="s">
        <v>477</v>
      </c>
      <c r="AL254" s="29" t="s">
        <v>217</v>
      </c>
    </row>
    <row r="255" spans="15:38">
      <c r="O255" t="s">
        <v>44</v>
      </c>
      <c r="P255" t="s">
        <v>43</v>
      </c>
      <c r="Q255" t="s">
        <v>12</v>
      </c>
      <c r="R255" t="s">
        <v>60</v>
      </c>
      <c r="S255">
        <v>2024.41</v>
      </c>
      <c r="T255">
        <v>36.619999999999997</v>
      </c>
      <c r="U255">
        <v>1731.2560000000001</v>
      </c>
      <c r="V255">
        <v>1731.2560000000001</v>
      </c>
      <c r="AA255" s="29" t="s">
        <v>43</v>
      </c>
      <c r="AB255">
        <v>31199</v>
      </c>
      <c r="AC255">
        <v>70</v>
      </c>
      <c r="AD255">
        <v>4</v>
      </c>
      <c r="AE255">
        <v>1.6</v>
      </c>
      <c r="AF255">
        <v>1.6</v>
      </c>
      <c r="AG255" s="29" t="s">
        <v>216</v>
      </c>
      <c r="AH255" s="29" t="s">
        <v>478</v>
      </c>
      <c r="AI255" s="29" t="s">
        <v>257</v>
      </c>
      <c r="AJ255" s="29" t="s">
        <v>479</v>
      </c>
      <c r="AL255" s="29" t="s">
        <v>217</v>
      </c>
    </row>
    <row r="256" spans="15:38">
      <c r="O256" t="s">
        <v>44</v>
      </c>
      <c r="P256" t="s">
        <v>43</v>
      </c>
      <c r="Q256" t="s">
        <v>12</v>
      </c>
      <c r="R256" t="s">
        <v>60</v>
      </c>
      <c r="S256">
        <v>2024.43</v>
      </c>
      <c r="T256">
        <v>36.619999999999997</v>
      </c>
      <c r="U256">
        <v>1731.2560000000001</v>
      </c>
      <c r="V256">
        <v>1731.2560000000001</v>
      </c>
      <c r="AA256" s="29" t="s">
        <v>43</v>
      </c>
      <c r="AB256">
        <v>31199</v>
      </c>
      <c r="AC256">
        <v>70</v>
      </c>
      <c r="AD256">
        <v>4</v>
      </c>
      <c r="AE256">
        <v>2667</v>
      </c>
      <c r="AF256">
        <v>2667</v>
      </c>
      <c r="AG256" s="29" t="s">
        <v>216</v>
      </c>
      <c r="AH256" s="29" t="s">
        <v>480</v>
      </c>
      <c r="AI256" s="29" t="s">
        <v>257</v>
      </c>
      <c r="AJ256" s="29" t="s">
        <v>481</v>
      </c>
      <c r="AL256" s="29" t="s">
        <v>217</v>
      </c>
    </row>
    <row r="257" spans="15:38">
      <c r="O257" t="s">
        <v>44</v>
      </c>
      <c r="P257" t="s">
        <v>43</v>
      </c>
      <c r="Q257" t="s">
        <v>12</v>
      </c>
      <c r="R257" t="s">
        <v>60</v>
      </c>
      <c r="S257">
        <v>2024.44</v>
      </c>
      <c r="T257">
        <v>36.619999999999997</v>
      </c>
      <c r="U257">
        <v>1731.2560000000001</v>
      </c>
      <c r="V257">
        <v>36.619999999999997</v>
      </c>
      <c r="AA257" s="29" t="s">
        <v>43</v>
      </c>
      <c r="AB257">
        <v>31199</v>
      </c>
      <c r="AC257">
        <v>70</v>
      </c>
      <c r="AD257">
        <v>4</v>
      </c>
      <c r="AE257">
        <v>15</v>
      </c>
      <c r="AF257">
        <v>15</v>
      </c>
      <c r="AG257" s="29" t="s">
        <v>216</v>
      </c>
      <c r="AH257" s="29" t="s">
        <v>250</v>
      </c>
      <c r="AI257" s="29" t="s">
        <v>257</v>
      </c>
      <c r="AJ257" s="29" t="s">
        <v>482</v>
      </c>
      <c r="AL257" s="29" t="s">
        <v>217</v>
      </c>
    </row>
    <row r="258" spans="15:38">
      <c r="O258" t="s">
        <v>44</v>
      </c>
      <c r="P258" t="s">
        <v>43</v>
      </c>
      <c r="Q258" t="s">
        <v>12</v>
      </c>
      <c r="R258" t="s">
        <v>60</v>
      </c>
      <c r="S258">
        <v>2024.45</v>
      </c>
      <c r="T258">
        <v>36.619999999999997</v>
      </c>
      <c r="U258">
        <v>1731.2560000000001</v>
      </c>
      <c r="V258">
        <v>36.619999999999997</v>
      </c>
      <c r="AA258" s="29" t="s">
        <v>43</v>
      </c>
      <c r="AB258">
        <v>31199</v>
      </c>
      <c r="AC258">
        <v>70</v>
      </c>
      <c r="AD258">
        <v>4</v>
      </c>
      <c r="AE258">
        <v>12.09</v>
      </c>
      <c r="AF258">
        <v>12.09</v>
      </c>
      <c r="AG258" s="29" t="s">
        <v>216</v>
      </c>
      <c r="AH258" s="29" t="s">
        <v>483</v>
      </c>
      <c r="AI258" s="29" t="s">
        <v>257</v>
      </c>
      <c r="AJ258" s="29" t="s">
        <v>484</v>
      </c>
      <c r="AL258" s="29" t="s">
        <v>217</v>
      </c>
    </row>
    <row r="259" spans="15:38">
      <c r="O259" t="s">
        <v>44</v>
      </c>
      <c r="P259" t="s">
        <v>43</v>
      </c>
      <c r="Q259" t="s">
        <v>12</v>
      </c>
      <c r="R259" t="s">
        <v>60</v>
      </c>
      <c r="S259">
        <v>2024.47</v>
      </c>
      <c r="T259">
        <v>36.619999999999997</v>
      </c>
      <c r="U259">
        <v>1731.2560000000001</v>
      </c>
      <c r="V259">
        <v>36.619999999999997</v>
      </c>
      <c r="AA259" s="29" t="s">
        <v>43</v>
      </c>
      <c r="AB259">
        <v>31199</v>
      </c>
      <c r="AC259">
        <v>70</v>
      </c>
      <c r="AD259">
        <v>4</v>
      </c>
      <c r="AE259">
        <v>0</v>
      </c>
      <c r="AF259">
        <v>0</v>
      </c>
      <c r="AG259" s="29" t="s">
        <v>216</v>
      </c>
      <c r="AH259" s="29" t="s">
        <v>218</v>
      </c>
      <c r="AI259" s="29" t="s">
        <v>257</v>
      </c>
      <c r="AJ259" s="29" t="s">
        <v>485</v>
      </c>
      <c r="AL259" s="29" t="s">
        <v>217</v>
      </c>
    </row>
    <row r="260" spans="15:38">
      <c r="O260" t="s">
        <v>44</v>
      </c>
      <c r="P260" t="s">
        <v>43</v>
      </c>
      <c r="Q260" t="s">
        <v>12</v>
      </c>
      <c r="R260" t="s">
        <v>60</v>
      </c>
      <c r="S260">
        <v>2024.48</v>
      </c>
      <c r="T260">
        <v>36.619999999999997</v>
      </c>
      <c r="U260">
        <v>1731.2560000000001</v>
      </c>
      <c r="V260">
        <v>36.619999999999997</v>
      </c>
      <c r="AA260" s="29" t="s">
        <v>43</v>
      </c>
      <c r="AB260">
        <v>31199</v>
      </c>
      <c r="AC260">
        <v>70</v>
      </c>
      <c r="AD260">
        <v>4</v>
      </c>
      <c r="AE260">
        <v>43.32</v>
      </c>
      <c r="AF260">
        <v>43.32</v>
      </c>
      <c r="AG260" s="29" t="s">
        <v>216</v>
      </c>
      <c r="AH260" s="29" t="s">
        <v>331</v>
      </c>
      <c r="AI260" s="29" t="s">
        <v>257</v>
      </c>
      <c r="AJ260" s="29" t="s">
        <v>332</v>
      </c>
      <c r="AL260" s="29" t="s">
        <v>217</v>
      </c>
    </row>
    <row r="261" spans="15:38">
      <c r="O261" t="s">
        <v>44</v>
      </c>
      <c r="P261" t="s">
        <v>43</v>
      </c>
      <c r="Q261" t="s">
        <v>12</v>
      </c>
      <c r="R261" t="s">
        <v>60</v>
      </c>
      <c r="S261">
        <v>2024.49</v>
      </c>
      <c r="T261">
        <v>36.619999999999997</v>
      </c>
      <c r="U261">
        <v>1731.2560000000001</v>
      </c>
      <c r="V261">
        <v>36.619999999999997</v>
      </c>
      <c r="AA261" s="29" t="s">
        <v>43</v>
      </c>
      <c r="AB261">
        <v>31199</v>
      </c>
      <c r="AC261">
        <v>70</v>
      </c>
      <c r="AD261">
        <v>4</v>
      </c>
      <c r="AE261">
        <v>8.6</v>
      </c>
      <c r="AF261">
        <v>8.6</v>
      </c>
      <c r="AG261" s="29" t="s">
        <v>216</v>
      </c>
      <c r="AH261" s="29" t="s">
        <v>486</v>
      </c>
      <c r="AI261" s="29" t="s">
        <v>257</v>
      </c>
      <c r="AJ261" s="29" t="s">
        <v>487</v>
      </c>
      <c r="AL261" s="29" t="s">
        <v>217</v>
      </c>
    </row>
    <row r="262" spans="15:38">
      <c r="O262" t="s">
        <v>44</v>
      </c>
      <c r="P262" t="s">
        <v>43</v>
      </c>
      <c r="Q262" t="s">
        <v>12</v>
      </c>
      <c r="R262" t="s">
        <v>60</v>
      </c>
      <c r="S262">
        <v>2024.52</v>
      </c>
      <c r="T262">
        <v>36.619999999999997</v>
      </c>
      <c r="U262">
        <v>1731.2560000000001</v>
      </c>
      <c r="V262">
        <v>36.619999999999997</v>
      </c>
      <c r="AA262" s="29" t="s">
        <v>43</v>
      </c>
      <c r="AB262">
        <v>31199</v>
      </c>
      <c r="AC262">
        <v>70</v>
      </c>
      <c r="AD262">
        <v>4</v>
      </c>
      <c r="AE262">
        <v>21.66</v>
      </c>
      <c r="AF262">
        <v>21.66</v>
      </c>
      <c r="AG262" s="29" t="s">
        <v>216</v>
      </c>
      <c r="AH262" s="29" t="s">
        <v>458</v>
      </c>
      <c r="AI262" s="29" t="s">
        <v>257</v>
      </c>
      <c r="AJ262" s="29" t="s">
        <v>459</v>
      </c>
      <c r="AL262" s="29" t="s">
        <v>217</v>
      </c>
    </row>
    <row r="263" spans="15:38">
      <c r="O263" t="s">
        <v>44</v>
      </c>
      <c r="P263" t="s">
        <v>43</v>
      </c>
      <c r="Q263" t="s">
        <v>12</v>
      </c>
      <c r="R263" t="s">
        <v>60</v>
      </c>
      <c r="S263">
        <v>2025.03</v>
      </c>
      <c r="T263">
        <v>36.619999999999997</v>
      </c>
      <c r="U263">
        <v>1731.2560000000001</v>
      </c>
      <c r="V263">
        <v>36.619999999999997</v>
      </c>
      <c r="AA263" s="29" t="s">
        <v>43</v>
      </c>
      <c r="AB263">
        <v>31199</v>
      </c>
      <c r="AC263">
        <v>70</v>
      </c>
      <c r="AD263">
        <v>4</v>
      </c>
      <c r="AE263">
        <v>0.84</v>
      </c>
      <c r="AF263">
        <v>0.84</v>
      </c>
      <c r="AG263" s="29" t="s">
        <v>216</v>
      </c>
      <c r="AH263" s="29" t="s">
        <v>488</v>
      </c>
      <c r="AI263" s="29" t="s">
        <v>257</v>
      </c>
      <c r="AJ263" s="29" t="s">
        <v>489</v>
      </c>
      <c r="AL263" s="29" t="s">
        <v>217</v>
      </c>
    </row>
    <row r="264" spans="15:38">
      <c r="O264" t="s">
        <v>44</v>
      </c>
      <c r="P264" t="s">
        <v>43</v>
      </c>
      <c r="Q264" t="s">
        <v>12</v>
      </c>
      <c r="R264" t="s">
        <v>60</v>
      </c>
      <c r="S264">
        <v>2025.12</v>
      </c>
      <c r="T264">
        <v>36.619999999999997</v>
      </c>
      <c r="U264">
        <v>1731.2560000000001</v>
      </c>
      <c r="V264">
        <v>36.619999999999997</v>
      </c>
      <c r="AA264" s="29" t="s">
        <v>43</v>
      </c>
      <c r="AB264">
        <v>31199</v>
      </c>
      <c r="AC264">
        <v>70</v>
      </c>
      <c r="AD264">
        <v>4</v>
      </c>
      <c r="AE264">
        <v>0</v>
      </c>
      <c r="AF264">
        <v>0</v>
      </c>
      <c r="AG264" s="29" t="s">
        <v>216</v>
      </c>
      <c r="AH264" s="29" t="s">
        <v>218</v>
      </c>
      <c r="AI264" s="29" t="s">
        <v>257</v>
      </c>
      <c r="AJ264" s="29" t="s">
        <v>490</v>
      </c>
      <c r="AL264" s="29" t="s">
        <v>217</v>
      </c>
    </row>
    <row r="265" spans="15:38">
      <c r="O265" t="s">
        <v>44</v>
      </c>
      <c r="P265" t="s">
        <v>43</v>
      </c>
      <c r="Q265" t="s">
        <v>12</v>
      </c>
      <c r="R265" t="s">
        <v>62</v>
      </c>
      <c r="S265">
        <v>2023.44</v>
      </c>
      <c r="T265">
        <v>0</v>
      </c>
      <c r="U265">
        <v>21355.489000000001</v>
      </c>
      <c r="V265">
        <v>21355.489000000001</v>
      </c>
      <c r="AA265" s="29" t="s">
        <v>43</v>
      </c>
      <c r="AB265">
        <v>31199</v>
      </c>
      <c r="AC265">
        <v>70</v>
      </c>
      <c r="AD265">
        <v>4</v>
      </c>
      <c r="AE265">
        <v>6.66</v>
      </c>
      <c r="AF265">
        <v>6.66</v>
      </c>
      <c r="AG265" s="29" t="s">
        <v>216</v>
      </c>
      <c r="AH265" s="29" t="s">
        <v>491</v>
      </c>
      <c r="AI265" s="29" t="s">
        <v>257</v>
      </c>
      <c r="AJ265" s="29" t="s">
        <v>492</v>
      </c>
      <c r="AL265" s="29" t="s">
        <v>217</v>
      </c>
    </row>
    <row r="266" spans="15:38">
      <c r="O266" t="s">
        <v>44</v>
      </c>
      <c r="P266" t="s">
        <v>43</v>
      </c>
      <c r="Q266" t="s">
        <v>12</v>
      </c>
      <c r="R266" t="s">
        <v>62</v>
      </c>
      <c r="S266">
        <v>2023.51</v>
      </c>
      <c r="T266">
        <v>14781.52</v>
      </c>
      <c r="U266">
        <v>21355.489000000001</v>
      </c>
      <c r="V266">
        <v>21355.489000000001</v>
      </c>
      <c r="AA266" s="29" t="s">
        <v>43</v>
      </c>
      <c r="AB266">
        <v>31199</v>
      </c>
      <c r="AC266">
        <v>70</v>
      </c>
      <c r="AD266">
        <v>4</v>
      </c>
      <c r="AE266">
        <v>0</v>
      </c>
      <c r="AF266">
        <v>0</v>
      </c>
      <c r="AG266" s="29" t="s">
        <v>216</v>
      </c>
      <c r="AH266" s="29" t="s">
        <v>218</v>
      </c>
      <c r="AI266" s="29" t="s">
        <v>257</v>
      </c>
      <c r="AJ266" s="29" t="s">
        <v>493</v>
      </c>
      <c r="AL266" s="29" t="s">
        <v>217</v>
      </c>
    </row>
    <row r="267" spans="15:38">
      <c r="O267" t="s">
        <v>44</v>
      </c>
      <c r="P267" t="s">
        <v>43</v>
      </c>
      <c r="Q267" t="s">
        <v>12</v>
      </c>
      <c r="R267" t="s">
        <v>62</v>
      </c>
      <c r="S267">
        <v>2024.06</v>
      </c>
      <c r="T267">
        <v>17679.64</v>
      </c>
      <c r="U267">
        <v>21355.489000000001</v>
      </c>
      <c r="V267">
        <v>21355.489000000001</v>
      </c>
      <c r="AA267" s="29" t="s">
        <v>43</v>
      </c>
      <c r="AB267">
        <v>31199</v>
      </c>
      <c r="AC267">
        <v>70</v>
      </c>
      <c r="AD267">
        <v>4</v>
      </c>
      <c r="AE267">
        <v>2300</v>
      </c>
      <c r="AF267">
        <v>2300</v>
      </c>
      <c r="AG267" s="29" t="s">
        <v>216</v>
      </c>
      <c r="AH267" s="29" t="s">
        <v>494</v>
      </c>
      <c r="AI267" s="29" t="s">
        <v>257</v>
      </c>
      <c r="AJ267" s="29" t="s">
        <v>495</v>
      </c>
      <c r="AL267" s="29" t="s">
        <v>217</v>
      </c>
    </row>
    <row r="268" spans="15:38">
      <c r="O268" t="s">
        <v>44</v>
      </c>
      <c r="P268" t="s">
        <v>43</v>
      </c>
      <c r="Q268" t="s">
        <v>12</v>
      </c>
      <c r="R268" t="s">
        <v>62</v>
      </c>
      <c r="S268">
        <v>2024.07</v>
      </c>
      <c r="T268">
        <v>17679.64</v>
      </c>
      <c r="U268">
        <v>21355.489000000001</v>
      </c>
      <c r="V268">
        <v>21355.489000000001</v>
      </c>
      <c r="AA268" s="29" t="s">
        <v>43</v>
      </c>
      <c r="AB268">
        <v>31199</v>
      </c>
      <c r="AC268">
        <v>70</v>
      </c>
      <c r="AD268">
        <v>4</v>
      </c>
      <c r="AE268">
        <v>89.46</v>
      </c>
      <c r="AF268">
        <v>89.46</v>
      </c>
      <c r="AG268" s="29" t="s">
        <v>216</v>
      </c>
      <c r="AH268" s="29" t="s">
        <v>496</v>
      </c>
      <c r="AI268" s="29" t="s">
        <v>257</v>
      </c>
      <c r="AJ268" s="29" t="s">
        <v>497</v>
      </c>
      <c r="AL268" s="29" t="s">
        <v>217</v>
      </c>
    </row>
    <row r="269" spans="15:38">
      <c r="O269" t="s">
        <v>44</v>
      </c>
      <c r="P269" t="s">
        <v>43</v>
      </c>
      <c r="Q269" t="s">
        <v>12</v>
      </c>
      <c r="R269" t="s">
        <v>62</v>
      </c>
      <c r="S269">
        <v>2024.08</v>
      </c>
      <c r="T269">
        <v>17679.64</v>
      </c>
      <c r="U269">
        <v>21355.489000000001</v>
      </c>
      <c r="V269">
        <v>21355.489000000001</v>
      </c>
      <c r="AA269" s="29" t="s">
        <v>43</v>
      </c>
      <c r="AB269">
        <v>31199</v>
      </c>
      <c r="AC269">
        <v>70</v>
      </c>
      <c r="AD269">
        <v>4</v>
      </c>
      <c r="AE269">
        <v>11.54</v>
      </c>
      <c r="AF269">
        <v>11.54</v>
      </c>
      <c r="AG269" s="29" t="s">
        <v>216</v>
      </c>
      <c r="AH269" s="29" t="s">
        <v>498</v>
      </c>
      <c r="AI269" s="29" t="s">
        <v>257</v>
      </c>
      <c r="AJ269" s="29" t="s">
        <v>499</v>
      </c>
      <c r="AL269" s="29" t="s">
        <v>217</v>
      </c>
    </row>
    <row r="270" spans="15:38">
      <c r="O270" t="s">
        <v>44</v>
      </c>
      <c r="P270" t="s">
        <v>43</v>
      </c>
      <c r="Q270" t="s">
        <v>12</v>
      </c>
      <c r="R270" t="s">
        <v>62</v>
      </c>
      <c r="S270">
        <v>2024.09</v>
      </c>
      <c r="T270">
        <v>18147.080000000002</v>
      </c>
      <c r="U270">
        <v>21355.489000000001</v>
      </c>
      <c r="V270">
        <v>21355.489000000001</v>
      </c>
      <c r="AA270" s="29" t="s">
        <v>43</v>
      </c>
      <c r="AB270">
        <v>31199</v>
      </c>
      <c r="AC270">
        <v>70</v>
      </c>
      <c r="AD270">
        <v>4</v>
      </c>
      <c r="AE270">
        <v>2676</v>
      </c>
      <c r="AF270">
        <v>2676</v>
      </c>
      <c r="AG270" s="29" t="s">
        <v>216</v>
      </c>
      <c r="AH270" s="29" t="s">
        <v>500</v>
      </c>
      <c r="AI270" s="29" t="s">
        <v>257</v>
      </c>
      <c r="AJ270" s="29" t="s">
        <v>501</v>
      </c>
      <c r="AL270" s="29" t="s">
        <v>217</v>
      </c>
    </row>
    <row r="271" spans="15:38">
      <c r="O271" t="s">
        <v>44</v>
      </c>
      <c r="P271" t="s">
        <v>43</v>
      </c>
      <c r="Q271" t="s">
        <v>12</v>
      </c>
      <c r="R271" t="s">
        <v>62</v>
      </c>
      <c r="S271">
        <v>2024.1</v>
      </c>
      <c r="T271">
        <v>20214.2</v>
      </c>
      <c r="U271">
        <v>21355.489000000001</v>
      </c>
      <c r="V271">
        <v>21355.489000000001</v>
      </c>
      <c r="AA271" s="29" t="s">
        <v>43</v>
      </c>
      <c r="AB271">
        <v>31199</v>
      </c>
      <c r="AC271">
        <v>70</v>
      </c>
      <c r="AD271">
        <v>4</v>
      </c>
      <c r="AE271">
        <v>39</v>
      </c>
      <c r="AF271">
        <v>39</v>
      </c>
      <c r="AG271" s="29" t="s">
        <v>216</v>
      </c>
      <c r="AH271" s="29" t="s">
        <v>502</v>
      </c>
      <c r="AI271" s="29" t="s">
        <v>257</v>
      </c>
      <c r="AJ271" s="29" t="s">
        <v>503</v>
      </c>
      <c r="AL271" s="29" t="s">
        <v>217</v>
      </c>
    </row>
    <row r="272" spans="15:38">
      <c r="O272" t="s">
        <v>44</v>
      </c>
      <c r="P272" t="s">
        <v>43</v>
      </c>
      <c r="Q272" t="s">
        <v>12</v>
      </c>
      <c r="R272" t="s">
        <v>62</v>
      </c>
      <c r="S272">
        <v>2024.11</v>
      </c>
      <c r="T272">
        <v>20214.2</v>
      </c>
      <c r="U272">
        <v>21355.489000000001</v>
      </c>
      <c r="V272">
        <v>21355.489000000001</v>
      </c>
      <c r="AA272" s="29" t="s">
        <v>43</v>
      </c>
      <c r="AB272">
        <v>31199</v>
      </c>
      <c r="AC272">
        <v>70</v>
      </c>
      <c r="AD272">
        <v>4</v>
      </c>
      <c r="AE272">
        <v>21.66</v>
      </c>
      <c r="AF272">
        <v>21.66</v>
      </c>
      <c r="AG272" s="29" t="s">
        <v>216</v>
      </c>
      <c r="AH272" s="29" t="s">
        <v>458</v>
      </c>
      <c r="AI272" s="29" t="s">
        <v>257</v>
      </c>
      <c r="AJ272" s="29" t="s">
        <v>459</v>
      </c>
      <c r="AL272" s="29" t="s">
        <v>217</v>
      </c>
    </row>
    <row r="273" spans="15:38">
      <c r="O273" t="s">
        <v>44</v>
      </c>
      <c r="P273" t="s">
        <v>43</v>
      </c>
      <c r="Q273" t="s">
        <v>12</v>
      </c>
      <c r="R273" t="s">
        <v>62</v>
      </c>
      <c r="S273">
        <v>2024.14</v>
      </c>
      <c r="T273">
        <v>20869.66</v>
      </c>
      <c r="U273">
        <v>21355.489000000001</v>
      </c>
      <c r="V273">
        <v>21355.489000000001</v>
      </c>
      <c r="AA273" s="29" t="s">
        <v>43</v>
      </c>
      <c r="AB273">
        <v>31199</v>
      </c>
      <c r="AC273">
        <v>70</v>
      </c>
      <c r="AD273">
        <v>4</v>
      </c>
      <c r="AE273">
        <v>622</v>
      </c>
      <c r="AF273">
        <v>622</v>
      </c>
      <c r="AG273" s="29" t="s">
        <v>216</v>
      </c>
      <c r="AH273" s="29" t="s">
        <v>504</v>
      </c>
      <c r="AI273" s="29" t="s">
        <v>257</v>
      </c>
      <c r="AJ273" s="29" t="s">
        <v>505</v>
      </c>
      <c r="AL273" s="29" t="s">
        <v>217</v>
      </c>
    </row>
    <row r="274" spans="15:38">
      <c r="O274" t="s">
        <v>44</v>
      </c>
      <c r="P274" t="s">
        <v>43</v>
      </c>
      <c r="Q274" t="s">
        <v>12</v>
      </c>
      <c r="R274" t="s">
        <v>62</v>
      </c>
      <c r="S274">
        <v>2024.17</v>
      </c>
      <c r="T274">
        <v>20869.66</v>
      </c>
      <c r="U274">
        <v>21355.489000000001</v>
      </c>
      <c r="V274">
        <v>21355.489000000001</v>
      </c>
      <c r="AA274" s="29" t="s">
        <v>43</v>
      </c>
      <c r="AB274">
        <v>31199</v>
      </c>
      <c r="AC274">
        <v>70</v>
      </c>
      <c r="AD274">
        <v>4</v>
      </c>
      <c r="AE274">
        <v>0</v>
      </c>
      <c r="AF274">
        <v>0</v>
      </c>
      <c r="AG274" s="29" t="s">
        <v>216</v>
      </c>
      <c r="AH274" s="29" t="s">
        <v>218</v>
      </c>
      <c r="AI274" s="29" t="s">
        <v>257</v>
      </c>
      <c r="AJ274" s="29" t="s">
        <v>506</v>
      </c>
      <c r="AL274" s="29" t="s">
        <v>217</v>
      </c>
    </row>
    <row r="275" spans="15:38">
      <c r="O275" t="s">
        <v>44</v>
      </c>
      <c r="P275" t="s">
        <v>43</v>
      </c>
      <c r="Q275" t="s">
        <v>12</v>
      </c>
      <c r="R275" t="s">
        <v>62</v>
      </c>
      <c r="S275">
        <v>2024.18</v>
      </c>
      <c r="T275">
        <v>44033.42</v>
      </c>
      <c r="U275">
        <v>21355.489000000001</v>
      </c>
      <c r="V275">
        <v>21355.489000000001</v>
      </c>
      <c r="AA275" s="29" t="s">
        <v>43</v>
      </c>
      <c r="AB275">
        <v>31199</v>
      </c>
      <c r="AC275">
        <v>70</v>
      </c>
      <c r="AD275">
        <v>4</v>
      </c>
      <c r="AE275">
        <v>43.32</v>
      </c>
      <c r="AF275">
        <v>43.32</v>
      </c>
      <c r="AG275" s="29" t="s">
        <v>216</v>
      </c>
      <c r="AH275" s="29" t="s">
        <v>331</v>
      </c>
      <c r="AI275" s="29" t="s">
        <v>257</v>
      </c>
      <c r="AJ275" s="29" t="s">
        <v>332</v>
      </c>
      <c r="AL275" s="29" t="s">
        <v>217</v>
      </c>
    </row>
    <row r="276" spans="15:38">
      <c r="O276" t="s">
        <v>44</v>
      </c>
      <c r="P276" t="s">
        <v>43</v>
      </c>
      <c r="Q276" t="s">
        <v>12</v>
      </c>
      <c r="R276" t="s">
        <v>62</v>
      </c>
      <c r="S276">
        <v>2024.19</v>
      </c>
      <c r="T276">
        <v>20869.66</v>
      </c>
      <c r="U276">
        <v>21355.489000000001</v>
      </c>
      <c r="V276">
        <v>21355.489000000001</v>
      </c>
      <c r="AA276" s="29" t="s">
        <v>43</v>
      </c>
      <c r="AB276">
        <v>31199</v>
      </c>
      <c r="AC276">
        <v>70</v>
      </c>
      <c r="AD276">
        <v>4</v>
      </c>
      <c r="AE276">
        <v>594.91999999999996</v>
      </c>
      <c r="AF276">
        <v>594.91999999999996</v>
      </c>
      <c r="AG276" s="29" t="s">
        <v>216</v>
      </c>
      <c r="AH276" s="29" t="s">
        <v>507</v>
      </c>
      <c r="AI276" s="29" t="s">
        <v>257</v>
      </c>
      <c r="AJ276" s="29" t="s">
        <v>508</v>
      </c>
      <c r="AL276" s="29" t="s">
        <v>217</v>
      </c>
    </row>
    <row r="277" spans="15:38">
      <c r="O277" t="s">
        <v>44</v>
      </c>
      <c r="P277" t="s">
        <v>43</v>
      </c>
      <c r="Q277" t="s">
        <v>12</v>
      </c>
      <c r="R277" t="s">
        <v>62</v>
      </c>
      <c r="S277">
        <v>2024.2</v>
      </c>
      <c r="T277">
        <v>20869.66</v>
      </c>
      <c r="U277">
        <v>21355.489000000001</v>
      </c>
      <c r="V277">
        <v>21355.489000000001</v>
      </c>
      <c r="AA277" s="29" t="s">
        <v>43</v>
      </c>
      <c r="AB277">
        <v>31199</v>
      </c>
      <c r="AC277">
        <v>70</v>
      </c>
      <c r="AD277">
        <v>4</v>
      </c>
      <c r="AE277">
        <v>297.45999999999998</v>
      </c>
      <c r="AF277">
        <v>297.45999999999998</v>
      </c>
      <c r="AG277" s="29" t="s">
        <v>216</v>
      </c>
      <c r="AH277" s="29" t="s">
        <v>351</v>
      </c>
      <c r="AI277" s="29" t="s">
        <v>257</v>
      </c>
      <c r="AJ277" s="29" t="s">
        <v>352</v>
      </c>
      <c r="AL277" s="29" t="s">
        <v>217</v>
      </c>
    </row>
    <row r="278" spans="15:38">
      <c r="O278" t="s">
        <v>44</v>
      </c>
      <c r="P278" t="s">
        <v>43</v>
      </c>
      <c r="Q278" t="s">
        <v>12</v>
      </c>
      <c r="R278" t="s">
        <v>62</v>
      </c>
      <c r="S278">
        <v>2024.21</v>
      </c>
      <c r="T278">
        <v>20869.66</v>
      </c>
      <c r="U278">
        <v>21355.489000000001</v>
      </c>
      <c r="V278">
        <v>21355.489000000001</v>
      </c>
      <c r="AA278" s="29" t="s">
        <v>43</v>
      </c>
      <c r="AB278">
        <v>31199</v>
      </c>
      <c r="AC278">
        <v>70</v>
      </c>
      <c r="AD278">
        <v>4</v>
      </c>
      <c r="AE278">
        <v>105.64</v>
      </c>
      <c r="AF278">
        <v>105.64</v>
      </c>
      <c r="AG278" s="29" t="s">
        <v>216</v>
      </c>
      <c r="AH278" s="29" t="s">
        <v>424</v>
      </c>
      <c r="AI278" s="29" t="s">
        <v>257</v>
      </c>
      <c r="AJ278" s="29" t="s">
        <v>425</v>
      </c>
      <c r="AL278" s="29" t="s">
        <v>217</v>
      </c>
    </row>
    <row r="279" spans="15:38">
      <c r="O279" t="s">
        <v>44</v>
      </c>
      <c r="P279" t="s">
        <v>43</v>
      </c>
      <c r="Q279" t="s">
        <v>12</v>
      </c>
      <c r="R279" t="s">
        <v>62</v>
      </c>
      <c r="S279">
        <v>2024.28</v>
      </c>
      <c r="T279">
        <v>23163.759999999998</v>
      </c>
      <c r="U279">
        <v>21355.489000000001</v>
      </c>
      <c r="V279">
        <v>21355.489000000001</v>
      </c>
      <c r="AA279" s="29" t="s">
        <v>43</v>
      </c>
      <c r="AB279">
        <v>31199</v>
      </c>
      <c r="AC279">
        <v>70</v>
      </c>
      <c r="AD279">
        <v>4</v>
      </c>
      <c r="AE279">
        <v>8</v>
      </c>
      <c r="AF279">
        <v>8</v>
      </c>
      <c r="AG279" s="29" t="s">
        <v>216</v>
      </c>
      <c r="AH279" s="29" t="s">
        <v>509</v>
      </c>
      <c r="AI279" s="29" t="s">
        <v>257</v>
      </c>
      <c r="AJ279" s="29" t="s">
        <v>510</v>
      </c>
      <c r="AL279" s="29" t="s">
        <v>217</v>
      </c>
    </row>
    <row r="280" spans="15:38">
      <c r="O280" t="s">
        <v>44</v>
      </c>
      <c r="P280" t="s">
        <v>43</v>
      </c>
      <c r="Q280" t="s">
        <v>12</v>
      </c>
      <c r="R280" t="s">
        <v>62</v>
      </c>
      <c r="S280">
        <v>2024.38</v>
      </c>
      <c r="T280">
        <v>44033.42</v>
      </c>
      <c r="U280">
        <v>21355.489000000001</v>
      </c>
      <c r="V280">
        <v>21355.489000000001</v>
      </c>
      <c r="AA280" s="29" t="s">
        <v>43</v>
      </c>
      <c r="AB280">
        <v>31199</v>
      </c>
      <c r="AC280">
        <v>70</v>
      </c>
      <c r="AD280">
        <v>4</v>
      </c>
      <c r="AE280">
        <v>10232</v>
      </c>
      <c r="AF280">
        <v>10232</v>
      </c>
      <c r="AG280" s="29" t="s">
        <v>216</v>
      </c>
      <c r="AH280" s="29" t="s">
        <v>511</v>
      </c>
      <c r="AI280" s="29" t="s">
        <v>257</v>
      </c>
      <c r="AJ280" s="29" t="s">
        <v>512</v>
      </c>
      <c r="AL280" s="29" t="s">
        <v>217</v>
      </c>
    </row>
    <row r="281" spans="15:38">
      <c r="O281" t="s">
        <v>44</v>
      </c>
      <c r="P281" t="s">
        <v>43</v>
      </c>
      <c r="Q281" t="s">
        <v>12</v>
      </c>
      <c r="R281" t="s">
        <v>62</v>
      </c>
      <c r="S281">
        <v>2024.39</v>
      </c>
      <c r="T281">
        <v>23163.759999999998</v>
      </c>
      <c r="U281">
        <v>21355.489000000001</v>
      </c>
      <c r="V281">
        <v>21355.489000000001</v>
      </c>
      <c r="AA281" s="29" t="s">
        <v>43</v>
      </c>
      <c r="AB281">
        <v>31199</v>
      </c>
      <c r="AC281">
        <v>70</v>
      </c>
      <c r="AD281">
        <v>4</v>
      </c>
      <c r="AE281">
        <v>55.78</v>
      </c>
      <c r="AF281">
        <v>55.78</v>
      </c>
      <c r="AG281" s="29" t="s">
        <v>216</v>
      </c>
      <c r="AH281" s="29" t="s">
        <v>513</v>
      </c>
      <c r="AI281" s="29" t="s">
        <v>257</v>
      </c>
      <c r="AJ281" s="29" t="s">
        <v>514</v>
      </c>
      <c r="AL281" s="29" t="s">
        <v>217</v>
      </c>
    </row>
    <row r="282" spans="15:38">
      <c r="O282" t="s">
        <v>44</v>
      </c>
      <c r="P282" t="s">
        <v>43</v>
      </c>
      <c r="Q282" t="s">
        <v>12</v>
      </c>
      <c r="R282" t="s">
        <v>62</v>
      </c>
      <c r="S282">
        <v>2024.41</v>
      </c>
      <c r="T282">
        <v>23163.759999999998</v>
      </c>
      <c r="U282">
        <v>21355.489000000001</v>
      </c>
      <c r="V282">
        <v>21355.489000000001</v>
      </c>
      <c r="AA282" s="29" t="s">
        <v>43</v>
      </c>
      <c r="AB282">
        <v>31199</v>
      </c>
      <c r="AC282">
        <v>70</v>
      </c>
      <c r="AD282">
        <v>4</v>
      </c>
      <c r="AE282">
        <v>98.32</v>
      </c>
      <c r="AF282">
        <v>98.32</v>
      </c>
      <c r="AG282" s="29" t="s">
        <v>216</v>
      </c>
      <c r="AH282" s="29" t="s">
        <v>391</v>
      </c>
      <c r="AI282" s="29" t="s">
        <v>257</v>
      </c>
      <c r="AJ282" s="29" t="s">
        <v>515</v>
      </c>
      <c r="AL282" s="29" t="s">
        <v>217</v>
      </c>
    </row>
    <row r="283" spans="15:38">
      <c r="O283" t="s">
        <v>44</v>
      </c>
      <c r="P283" t="s">
        <v>43</v>
      </c>
      <c r="Q283" t="s">
        <v>12</v>
      </c>
      <c r="R283" t="s">
        <v>62</v>
      </c>
      <c r="S283">
        <v>2024.43</v>
      </c>
      <c r="T283">
        <v>23163.759999999998</v>
      </c>
      <c r="U283">
        <v>21355.489000000001</v>
      </c>
      <c r="V283">
        <v>21355.489000000001</v>
      </c>
      <c r="AA283" s="29" t="s">
        <v>43</v>
      </c>
      <c r="AB283">
        <v>31199</v>
      </c>
      <c r="AC283">
        <v>70</v>
      </c>
      <c r="AD283">
        <v>4</v>
      </c>
      <c r="AE283">
        <v>153.44</v>
      </c>
      <c r="AF283">
        <v>153.44</v>
      </c>
      <c r="AG283" s="29" t="s">
        <v>216</v>
      </c>
      <c r="AH283" s="29" t="s">
        <v>516</v>
      </c>
      <c r="AI283" s="29" t="s">
        <v>257</v>
      </c>
      <c r="AJ283" s="29" t="s">
        <v>517</v>
      </c>
      <c r="AL283" s="29" t="s">
        <v>217</v>
      </c>
    </row>
    <row r="284" spans="15:38">
      <c r="O284" t="s">
        <v>44</v>
      </c>
      <c r="P284" t="s">
        <v>43</v>
      </c>
      <c r="Q284" t="s">
        <v>12</v>
      </c>
      <c r="R284" t="s">
        <v>62</v>
      </c>
      <c r="S284">
        <v>2024.44</v>
      </c>
      <c r="T284">
        <v>23163.759999999998</v>
      </c>
      <c r="U284">
        <v>21355.489000000001</v>
      </c>
      <c r="V284">
        <v>21355.489000000001</v>
      </c>
      <c r="AA284" s="29" t="s">
        <v>43</v>
      </c>
      <c r="AB284">
        <v>31199</v>
      </c>
      <c r="AC284">
        <v>70</v>
      </c>
      <c r="AD284">
        <v>4</v>
      </c>
      <c r="AE284">
        <v>55.4</v>
      </c>
      <c r="AF284">
        <v>55.4</v>
      </c>
      <c r="AG284" s="29" t="s">
        <v>216</v>
      </c>
      <c r="AH284" s="29" t="s">
        <v>518</v>
      </c>
      <c r="AI284" s="29" t="s">
        <v>257</v>
      </c>
      <c r="AJ284" s="29" t="s">
        <v>519</v>
      </c>
      <c r="AL284" s="29" t="s">
        <v>217</v>
      </c>
    </row>
    <row r="285" spans="15:38">
      <c r="O285" t="s">
        <v>44</v>
      </c>
      <c r="P285" t="s">
        <v>43</v>
      </c>
      <c r="Q285" t="s">
        <v>12</v>
      </c>
      <c r="R285" t="s">
        <v>62</v>
      </c>
      <c r="S285">
        <v>2024.45</v>
      </c>
      <c r="T285">
        <v>23163.759999999998</v>
      </c>
      <c r="U285">
        <v>21355.489000000001</v>
      </c>
      <c r="V285">
        <v>21355.489000000001</v>
      </c>
      <c r="AA285" s="29" t="s">
        <v>43</v>
      </c>
      <c r="AB285">
        <v>31199</v>
      </c>
      <c r="AC285">
        <v>70</v>
      </c>
      <c r="AD285">
        <v>4</v>
      </c>
      <c r="AE285">
        <v>148.44</v>
      </c>
      <c r="AF285">
        <v>148.44</v>
      </c>
      <c r="AG285" s="29" t="s">
        <v>216</v>
      </c>
      <c r="AH285" s="29" t="s">
        <v>325</v>
      </c>
      <c r="AI285" s="29" t="s">
        <v>257</v>
      </c>
      <c r="AJ285" s="29" t="s">
        <v>326</v>
      </c>
      <c r="AL285" s="29" t="s">
        <v>217</v>
      </c>
    </row>
    <row r="286" spans="15:38">
      <c r="O286" t="s">
        <v>44</v>
      </c>
      <c r="P286" t="s">
        <v>43</v>
      </c>
      <c r="Q286" t="s">
        <v>12</v>
      </c>
      <c r="R286" t="s">
        <v>62</v>
      </c>
      <c r="S286">
        <v>2024.47</v>
      </c>
      <c r="T286">
        <v>23163.759999999998</v>
      </c>
      <c r="U286">
        <v>21355.489000000001</v>
      </c>
      <c r="V286">
        <v>21355.489000000001</v>
      </c>
      <c r="AA286" s="29" t="s">
        <v>43</v>
      </c>
      <c r="AB286">
        <v>31199</v>
      </c>
      <c r="AC286">
        <v>70</v>
      </c>
      <c r="AD286">
        <v>4</v>
      </c>
      <c r="AE286">
        <v>148.44</v>
      </c>
      <c r="AF286">
        <v>148.44</v>
      </c>
      <c r="AG286" s="29" t="s">
        <v>216</v>
      </c>
      <c r="AH286" s="29" t="s">
        <v>325</v>
      </c>
      <c r="AI286" s="29" t="s">
        <v>257</v>
      </c>
      <c r="AJ286" s="29" t="s">
        <v>326</v>
      </c>
      <c r="AL286" s="29" t="s">
        <v>217</v>
      </c>
    </row>
    <row r="287" spans="15:38">
      <c r="O287" t="s">
        <v>44</v>
      </c>
      <c r="P287" t="s">
        <v>43</v>
      </c>
      <c r="Q287" t="s">
        <v>12</v>
      </c>
      <c r="R287" t="s">
        <v>62</v>
      </c>
      <c r="S287">
        <v>2024.48</v>
      </c>
      <c r="T287">
        <v>23163.759999999998</v>
      </c>
      <c r="U287">
        <v>21355.489000000001</v>
      </c>
      <c r="V287">
        <v>21355.489000000001</v>
      </c>
      <c r="AA287" s="29" t="s">
        <v>43</v>
      </c>
      <c r="AB287">
        <v>31199</v>
      </c>
      <c r="AC287">
        <v>70</v>
      </c>
      <c r="AD287">
        <v>4</v>
      </c>
      <c r="AE287">
        <v>0.96</v>
      </c>
      <c r="AF287">
        <v>0.96</v>
      </c>
      <c r="AG287" s="29" t="s">
        <v>216</v>
      </c>
      <c r="AH287" s="29" t="s">
        <v>338</v>
      </c>
      <c r="AI287" s="29" t="s">
        <v>257</v>
      </c>
      <c r="AJ287" s="29" t="s">
        <v>339</v>
      </c>
      <c r="AL287" s="29" t="s">
        <v>217</v>
      </c>
    </row>
    <row r="288" spans="15:38">
      <c r="O288" t="s">
        <v>44</v>
      </c>
      <c r="P288" t="s">
        <v>43</v>
      </c>
      <c r="Q288" t="s">
        <v>12</v>
      </c>
      <c r="R288" t="s">
        <v>62</v>
      </c>
      <c r="S288">
        <v>2024.49</v>
      </c>
      <c r="T288">
        <v>23163.759999999998</v>
      </c>
      <c r="U288">
        <v>21355.489000000001</v>
      </c>
      <c r="V288">
        <v>21355.489000000001</v>
      </c>
      <c r="AA288" s="29" t="s">
        <v>43</v>
      </c>
      <c r="AB288">
        <v>31199</v>
      </c>
      <c r="AC288">
        <v>70</v>
      </c>
      <c r="AD288">
        <v>4</v>
      </c>
      <c r="AE288">
        <v>43</v>
      </c>
      <c r="AF288">
        <v>43</v>
      </c>
      <c r="AG288" s="29" t="s">
        <v>216</v>
      </c>
      <c r="AH288" s="29" t="s">
        <v>520</v>
      </c>
      <c r="AI288" s="29" t="s">
        <v>257</v>
      </c>
      <c r="AJ288" s="29" t="s">
        <v>521</v>
      </c>
      <c r="AL288" s="29" t="s">
        <v>217</v>
      </c>
    </row>
    <row r="289" spans="15:38">
      <c r="O289" t="s">
        <v>44</v>
      </c>
      <c r="P289" t="s">
        <v>43</v>
      </c>
      <c r="Q289" t="s">
        <v>12</v>
      </c>
      <c r="R289" t="s">
        <v>62</v>
      </c>
      <c r="S289">
        <v>2024.52</v>
      </c>
      <c r="T289">
        <v>23163.759999999998</v>
      </c>
      <c r="U289">
        <v>21355.489000000001</v>
      </c>
      <c r="V289">
        <v>21355.489000000001</v>
      </c>
      <c r="AA289" s="29" t="s">
        <v>43</v>
      </c>
      <c r="AB289">
        <v>31199</v>
      </c>
      <c r="AC289">
        <v>70</v>
      </c>
      <c r="AD289">
        <v>4</v>
      </c>
      <c r="AE289">
        <v>52.82</v>
      </c>
      <c r="AF289">
        <v>52.82</v>
      </c>
      <c r="AG289" s="29" t="s">
        <v>216</v>
      </c>
      <c r="AH289" s="29" t="s">
        <v>522</v>
      </c>
      <c r="AI289" s="29" t="s">
        <v>257</v>
      </c>
      <c r="AJ289" s="29" t="s">
        <v>523</v>
      </c>
      <c r="AL289" s="29" t="s">
        <v>217</v>
      </c>
    </row>
    <row r="290" spans="15:38">
      <c r="O290" t="s">
        <v>44</v>
      </c>
      <c r="P290" t="s">
        <v>43</v>
      </c>
      <c r="Q290" t="s">
        <v>12</v>
      </c>
      <c r="R290" t="s">
        <v>62</v>
      </c>
      <c r="S290">
        <v>2025.03</v>
      </c>
      <c r="T290">
        <v>23163.759999999998</v>
      </c>
      <c r="U290">
        <v>21355.489000000001</v>
      </c>
      <c r="V290">
        <v>21355.489000000001</v>
      </c>
      <c r="AA290" s="29" t="s">
        <v>43</v>
      </c>
      <c r="AB290">
        <v>31199</v>
      </c>
      <c r="AC290">
        <v>70</v>
      </c>
      <c r="AD290">
        <v>4</v>
      </c>
      <c r="AE290">
        <v>224</v>
      </c>
      <c r="AF290">
        <v>224</v>
      </c>
      <c r="AG290" s="29" t="s">
        <v>216</v>
      </c>
      <c r="AH290" s="29" t="s">
        <v>524</v>
      </c>
      <c r="AI290" s="29" t="s">
        <v>257</v>
      </c>
      <c r="AJ290" s="29" t="s">
        <v>525</v>
      </c>
      <c r="AL290" s="29" t="s">
        <v>217</v>
      </c>
    </row>
    <row r="291" spans="15:38">
      <c r="O291" t="s">
        <v>44</v>
      </c>
      <c r="P291" t="s">
        <v>43</v>
      </c>
      <c r="Q291" t="s">
        <v>12</v>
      </c>
      <c r="R291" t="s">
        <v>62</v>
      </c>
      <c r="S291">
        <v>2025.12</v>
      </c>
      <c r="T291">
        <v>23163.759999999998</v>
      </c>
      <c r="U291">
        <v>21355.489000000001</v>
      </c>
      <c r="V291">
        <v>21355.489000000001</v>
      </c>
      <c r="AA291" s="29" t="s">
        <v>43</v>
      </c>
      <c r="AB291">
        <v>31199</v>
      </c>
      <c r="AC291">
        <v>70</v>
      </c>
      <c r="AD291">
        <v>4</v>
      </c>
      <c r="AE291">
        <v>791.8</v>
      </c>
      <c r="AF291">
        <v>791.8</v>
      </c>
      <c r="AG291" s="29" t="s">
        <v>216</v>
      </c>
      <c r="AH291" s="29" t="s">
        <v>526</v>
      </c>
      <c r="AI291" s="29" t="s">
        <v>257</v>
      </c>
      <c r="AJ291" s="29" t="s">
        <v>527</v>
      </c>
      <c r="AL291" s="29" t="s">
        <v>217</v>
      </c>
    </row>
    <row r="292" spans="15:38">
      <c r="O292" t="s">
        <v>44</v>
      </c>
      <c r="P292" t="s">
        <v>43</v>
      </c>
      <c r="Q292" t="s">
        <v>26</v>
      </c>
      <c r="R292" t="s">
        <v>53</v>
      </c>
      <c r="S292">
        <v>2023.44</v>
      </c>
      <c r="T292">
        <v>0</v>
      </c>
      <c r="U292">
        <v>130217.7375</v>
      </c>
      <c r="V292">
        <v>130217.7375</v>
      </c>
      <c r="AA292" s="29" t="s">
        <v>43</v>
      </c>
      <c r="AB292">
        <v>31199</v>
      </c>
      <c r="AC292">
        <v>70</v>
      </c>
      <c r="AD292">
        <v>4</v>
      </c>
      <c r="AE292">
        <v>26.75</v>
      </c>
      <c r="AF292">
        <v>26.75</v>
      </c>
      <c r="AG292" s="29" t="s">
        <v>216</v>
      </c>
      <c r="AH292" s="29" t="s">
        <v>474</v>
      </c>
      <c r="AI292" s="29" t="s">
        <v>257</v>
      </c>
      <c r="AJ292" s="29" t="s">
        <v>528</v>
      </c>
      <c r="AL292" s="29" t="s">
        <v>217</v>
      </c>
    </row>
    <row r="293" spans="15:38">
      <c r="O293" t="s">
        <v>44</v>
      </c>
      <c r="P293" t="s">
        <v>43</v>
      </c>
      <c r="Q293" t="s">
        <v>26</v>
      </c>
      <c r="R293" t="s">
        <v>53</v>
      </c>
      <c r="S293">
        <v>2023.51</v>
      </c>
      <c r="T293">
        <v>121381.5</v>
      </c>
      <c r="U293">
        <v>130217.7375</v>
      </c>
      <c r="V293">
        <v>130217.7375</v>
      </c>
      <c r="AA293" s="29" t="s">
        <v>43</v>
      </c>
      <c r="AB293">
        <v>31199</v>
      </c>
      <c r="AC293">
        <v>70</v>
      </c>
      <c r="AD293">
        <v>4</v>
      </c>
      <c r="AE293">
        <v>26.75</v>
      </c>
      <c r="AF293">
        <v>26.75</v>
      </c>
      <c r="AG293" s="29" t="s">
        <v>216</v>
      </c>
      <c r="AH293" s="29" t="s">
        <v>474</v>
      </c>
      <c r="AI293" s="29" t="s">
        <v>257</v>
      </c>
      <c r="AJ293" s="29" t="s">
        <v>529</v>
      </c>
      <c r="AL293" s="29" t="s">
        <v>217</v>
      </c>
    </row>
    <row r="294" spans="15:38">
      <c r="O294" t="s">
        <v>44</v>
      </c>
      <c r="P294" t="s">
        <v>43</v>
      </c>
      <c r="Q294" t="s">
        <v>26</v>
      </c>
      <c r="R294" t="s">
        <v>53</v>
      </c>
      <c r="S294">
        <v>2024.06</v>
      </c>
      <c r="T294">
        <v>125853.85</v>
      </c>
      <c r="U294">
        <v>130217.7375</v>
      </c>
      <c r="V294">
        <v>130217.7375</v>
      </c>
      <c r="AA294" s="29" t="s">
        <v>43</v>
      </c>
      <c r="AB294">
        <v>31199</v>
      </c>
      <c r="AC294">
        <v>70</v>
      </c>
      <c r="AD294">
        <v>4</v>
      </c>
      <c r="AE294">
        <v>42.8</v>
      </c>
      <c r="AF294">
        <v>42.8</v>
      </c>
      <c r="AG294" s="29" t="s">
        <v>216</v>
      </c>
      <c r="AH294" s="29" t="s">
        <v>319</v>
      </c>
      <c r="AI294" s="29" t="s">
        <v>257</v>
      </c>
      <c r="AJ294" s="29" t="s">
        <v>530</v>
      </c>
      <c r="AL294" s="29" t="s">
        <v>217</v>
      </c>
    </row>
    <row r="295" spans="15:38">
      <c r="O295" t="s">
        <v>44</v>
      </c>
      <c r="P295" t="s">
        <v>43</v>
      </c>
      <c r="Q295" t="s">
        <v>26</v>
      </c>
      <c r="R295" t="s">
        <v>53</v>
      </c>
      <c r="S295">
        <v>2024.07</v>
      </c>
      <c r="T295">
        <v>125853.85</v>
      </c>
      <c r="U295">
        <v>130217.7375</v>
      </c>
      <c r="V295">
        <v>130217.7375</v>
      </c>
      <c r="AA295" s="29" t="s">
        <v>43</v>
      </c>
      <c r="AB295">
        <v>31199</v>
      </c>
      <c r="AC295">
        <v>70</v>
      </c>
      <c r="AD295">
        <v>4</v>
      </c>
      <c r="AE295">
        <v>6.3</v>
      </c>
      <c r="AF295">
        <v>6.3</v>
      </c>
      <c r="AG295" s="29" t="s">
        <v>216</v>
      </c>
      <c r="AH295" s="29" t="s">
        <v>342</v>
      </c>
      <c r="AI295" s="29" t="s">
        <v>257</v>
      </c>
      <c r="AJ295" s="29" t="s">
        <v>343</v>
      </c>
      <c r="AL295" s="29" t="s">
        <v>217</v>
      </c>
    </row>
    <row r="296" spans="15:38">
      <c r="O296" t="s">
        <v>44</v>
      </c>
      <c r="P296" t="s">
        <v>43</v>
      </c>
      <c r="Q296" t="s">
        <v>26</v>
      </c>
      <c r="R296" t="s">
        <v>53</v>
      </c>
      <c r="S296">
        <v>2024.08</v>
      </c>
      <c r="T296">
        <v>125853.85</v>
      </c>
      <c r="U296">
        <v>130217.7375</v>
      </c>
      <c r="V296">
        <v>130217.7375</v>
      </c>
      <c r="AA296" s="29" t="s">
        <v>43</v>
      </c>
      <c r="AB296">
        <v>31199</v>
      </c>
      <c r="AC296">
        <v>70</v>
      </c>
      <c r="AD296">
        <v>4</v>
      </c>
      <c r="AE296">
        <v>7694</v>
      </c>
      <c r="AF296">
        <v>7694</v>
      </c>
      <c r="AG296" s="29" t="s">
        <v>216</v>
      </c>
      <c r="AH296" s="29" t="s">
        <v>531</v>
      </c>
      <c r="AI296" s="29" t="s">
        <v>257</v>
      </c>
      <c r="AJ296" s="29" t="s">
        <v>532</v>
      </c>
      <c r="AL296" s="29" t="s">
        <v>217</v>
      </c>
    </row>
    <row r="297" spans="15:38">
      <c r="O297" t="s">
        <v>44</v>
      </c>
      <c r="P297" t="s">
        <v>43</v>
      </c>
      <c r="Q297" t="s">
        <v>26</v>
      </c>
      <c r="R297" t="s">
        <v>53</v>
      </c>
      <c r="S297">
        <v>2024.09</v>
      </c>
      <c r="T297">
        <v>125853.85</v>
      </c>
      <c r="U297">
        <v>130217.7375</v>
      </c>
      <c r="V297">
        <v>130217.7375</v>
      </c>
      <c r="AA297" s="29" t="s">
        <v>43</v>
      </c>
      <c r="AB297">
        <v>31199</v>
      </c>
      <c r="AC297">
        <v>70</v>
      </c>
      <c r="AD297">
        <v>4</v>
      </c>
      <c r="AE297">
        <v>1.39</v>
      </c>
      <c r="AF297">
        <v>1.39</v>
      </c>
      <c r="AG297" s="29" t="s">
        <v>216</v>
      </c>
      <c r="AH297" s="29" t="s">
        <v>533</v>
      </c>
      <c r="AI297" s="29" t="s">
        <v>257</v>
      </c>
      <c r="AJ297" s="29" t="s">
        <v>534</v>
      </c>
      <c r="AL297" s="29" t="s">
        <v>217</v>
      </c>
    </row>
    <row r="298" spans="15:38">
      <c r="O298" t="s">
        <v>44</v>
      </c>
      <c r="P298" t="s">
        <v>43</v>
      </c>
      <c r="Q298" t="s">
        <v>26</v>
      </c>
      <c r="R298" t="s">
        <v>53</v>
      </c>
      <c r="S298">
        <v>2024.1</v>
      </c>
      <c r="T298">
        <v>125853.85</v>
      </c>
      <c r="U298">
        <v>130217.7375</v>
      </c>
      <c r="V298">
        <v>130217.7375</v>
      </c>
      <c r="AA298" s="29" t="s">
        <v>43</v>
      </c>
      <c r="AB298">
        <v>31199</v>
      </c>
      <c r="AC298">
        <v>70</v>
      </c>
      <c r="AD298">
        <v>4</v>
      </c>
      <c r="AE298">
        <v>41.96</v>
      </c>
      <c r="AF298">
        <v>41.96</v>
      </c>
      <c r="AG298" s="29" t="s">
        <v>216</v>
      </c>
      <c r="AH298" s="29" t="s">
        <v>395</v>
      </c>
      <c r="AI298" s="29" t="s">
        <v>257</v>
      </c>
      <c r="AJ298" s="29" t="s">
        <v>396</v>
      </c>
      <c r="AL298" s="29" t="s">
        <v>217</v>
      </c>
    </row>
    <row r="299" spans="15:38">
      <c r="O299" t="s">
        <v>44</v>
      </c>
      <c r="P299" t="s">
        <v>43</v>
      </c>
      <c r="Q299" t="s">
        <v>26</v>
      </c>
      <c r="R299" t="s">
        <v>53</v>
      </c>
      <c r="S299">
        <v>2024.11</v>
      </c>
      <c r="T299">
        <v>125853.85</v>
      </c>
      <c r="U299">
        <v>130217.7375</v>
      </c>
      <c r="V299">
        <v>130217.7375</v>
      </c>
      <c r="AA299" s="29" t="s">
        <v>43</v>
      </c>
      <c r="AB299">
        <v>31199</v>
      </c>
      <c r="AC299">
        <v>70</v>
      </c>
      <c r="AD299">
        <v>4</v>
      </c>
      <c r="AE299">
        <v>52.82</v>
      </c>
      <c r="AF299">
        <v>52.82</v>
      </c>
      <c r="AG299" s="29" t="s">
        <v>216</v>
      </c>
      <c r="AH299" s="29" t="s">
        <v>522</v>
      </c>
      <c r="AI299" s="29" t="s">
        <v>257</v>
      </c>
      <c r="AJ299" s="29" t="s">
        <v>523</v>
      </c>
      <c r="AL299" s="29" t="s">
        <v>217</v>
      </c>
    </row>
    <row r="300" spans="15:38">
      <c r="O300" t="s">
        <v>44</v>
      </c>
      <c r="P300" t="s">
        <v>43</v>
      </c>
      <c r="Q300" t="s">
        <v>26</v>
      </c>
      <c r="R300" t="s">
        <v>53</v>
      </c>
      <c r="S300">
        <v>2024.14</v>
      </c>
      <c r="T300">
        <v>127649.25</v>
      </c>
      <c r="U300">
        <v>130217.7375</v>
      </c>
      <c r="V300">
        <v>130217.7375</v>
      </c>
      <c r="AA300" s="29" t="s">
        <v>43</v>
      </c>
      <c r="AB300">
        <v>31199</v>
      </c>
      <c r="AC300">
        <v>70</v>
      </c>
      <c r="AD300">
        <v>4</v>
      </c>
      <c r="AE300">
        <v>485.94</v>
      </c>
      <c r="AF300">
        <v>485.94</v>
      </c>
      <c r="AG300" s="29" t="s">
        <v>216</v>
      </c>
      <c r="AH300" s="29" t="s">
        <v>535</v>
      </c>
      <c r="AI300" s="29" t="s">
        <v>257</v>
      </c>
      <c r="AJ300" s="29" t="s">
        <v>536</v>
      </c>
      <c r="AL300" s="29" t="s">
        <v>217</v>
      </c>
    </row>
    <row r="301" spans="15:38">
      <c r="O301" t="s">
        <v>44</v>
      </c>
      <c r="P301" t="s">
        <v>43</v>
      </c>
      <c r="Q301" t="s">
        <v>26</v>
      </c>
      <c r="R301" t="s">
        <v>53</v>
      </c>
      <c r="S301">
        <v>2024.17</v>
      </c>
      <c r="T301">
        <v>127649.25</v>
      </c>
      <c r="U301">
        <v>130217.7375</v>
      </c>
      <c r="V301">
        <v>130217.7375</v>
      </c>
      <c r="AA301" s="29" t="s">
        <v>43</v>
      </c>
      <c r="AB301">
        <v>31199</v>
      </c>
      <c r="AC301">
        <v>70</v>
      </c>
      <c r="AD301">
        <v>4</v>
      </c>
      <c r="AE301">
        <v>49</v>
      </c>
      <c r="AF301">
        <v>49</v>
      </c>
      <c r="AG301" s="29" t="s">
        <v>216</v>
      </c>
      <c r="AH301" s="29" t="s">
        <v>537</v>
      </c>
      <c r="AI301" s="29" t="s">
        <v>257</v>
      </c>
      <c r="AJ301" s="29" t="s">
        <v>538</v>
      </c>
      <c r="AL301" s="29" t="s">
        <v>217</v>
      </c>
    </row>
    <row r="302" spans="15:38">
      <c r="O302" t="s">
        <v>44</v>
      </c>
      <c r="P302" t="s">
        <v>43</v>
      </c>
      <c r="Q302" t="s">
        <v>26</v>
      </c>
      <c r="R302" t="s">
        <v>53</v>
      </c>
      <c r="S302">
        <v>2024.18</v>
      </c>
      <c r="T302">
        <v>256544.82</v>
      </c>
      <c r="U302">
        <v>130217.7375</v>
      </c>
      <c r="V302">
        <v>130217.7375</v>
      </c>
      <c r="AA302" s="29" t="s">
        <v>43</v>
      </c>
      <c r="AB302">
        <v>31199</v>
      </c>
      <c r="AC302">
        <v>70</v>
      </c>
      <c r="AD302">
        <v>4</v>
      </c>
      <c r="AE302">
        <v>9.44</v>
      </c>
      <c r="AF302">
        <v>9.44</v>
      </c>
      <c r="AG302" s="29" t="s">
        <v>216</v>
      </c>
      <c r="AH302" s="29" t="s">
        <v>539</v>
      </c>
      <c r="AI302" s="29" t="s">
        <v>257</v>
      </c>
      <c r="AJ302" s="29" t="s">
        <v>540</v>
      </c>
      <c r="AL302" s="29" t="s">
        <v>217</v>
      </c>
    </row>
    <row r="303" spans="15:38">
      <c r="O303" t="s">
        <v>44</v>
      </c>
      <c r="P303" t="s">
        <v>43</v>
      </c>
      <c r="Q303" t="s">
        <v>26</v>
      </c>
      <c r="R303" t="s">
        <v>53</v>
      </c>
      <c r="S303">
        <v>2024.19</v>
      </c>
      <c r="T303">
        <v>127649.25</v>
      </c>
      <c r="U303">
        <v>130217.7375</v>
      </c>
      <c r="V303">
        <v>130217.7375</v>
      </c>
      <c r="AA303" s="29" t="s">
        <v>43</v>
      </c>
      <c r="AB303">
        <v>31199</v>
      </c>
      <c r="AC303">
        <v>70</v>
      </c>
      <c r="AD303">
        <v>4</v>
      </c>
      <c r="AE303">
        <v>297.45999999999998</v>
      </c>
      <c r="AF303">
        <v>297.45999999999998</v>
      </c>
      <c r="AG303" s="29" t="s">
        <v>216</v>
      </c>
      <c r="AH303" s="29" t="s">
        <v>351</v>
      </c>
      <c r="AI303" s="29" t="s">
        <v>257</v>
      </c>
      <c r="AJ303" s="29" t="s">
        <v>352</v>
      </c>
      <c r="AL303" s="29" t="s">
        <v>217</v>
      </c>
    </row>
    <row r="304" spans="15:38">
      <c r="O304" t="s">
        <v>44</v>
      </c>
      <c r="P304" t="s">
        <v>43</v>
      </c>
      <c r="Q304" t="s">
        <v>26</v>
      </c>
      <c r="R304" t="s">
        <v>53</v>
      </c>
      <c r="S304">
        <v>2024.2</v>
      </c>
      <c r="T304">
        <v>127649.25</v>
      </c>
      <c r="U304">
        <v>130217.7375</v>
      </c>
      <c r="V304">
        <v>130217.7375</v>
      </c>
      <c r="AA304" s="29" t="s">
        <v>43</v>
      </c>
      <c r="AB304">
        <v>31199</v>
      </c>
      <c r="AC304">
        <v>70</v>
      </c>
      <c r="AD304">
        <v>4</v>
      </c>
      <c r="AE304">
        <v>-297.45999999999998</v>
      </c>
      <c r="AF304">
        <v>-297.45999999999998</v>
      </c>
      <c r="AG304" s="29" t="s">
        <v>216</v>
      </c>
      <c r="AH304" s="29" t="s">
        <v>353</v>
      </c>
      <c r="AI304" s="29" t="s">
        <v>257</v>
      </c>
      <c r="AJ304" s="29" t="s">
        <v>354</v>
      </c>
      <c r="AL304" s="29" t="s">
        <v>217</v>
      </c>
    </row>
    <row r="305" spans="15:38">
      <c r="O305" t="s">
        <v>44</v>
      </c>
      <c r="P305" t="s">
        <v>43</v>
      </c>
      <c r="Q305" t="s">
        <v>26</v>
      </c>
      <c r="R305" t="s">
        <v>53</v>
      </c>
      <c r="S305">
        <v>2024.21</v>
      </c>
      <c r="T305">
        <v>127649.25</v>
      </c>
      <c r="U305">
        <v>130217.7375</v>
      </c>
      <c r="V305">
        <v>130217.7375</v>
      </c>
      <c r="AA305" s="29" t="s">
        <v>43</v>
      </c>
      <c r="AB305">
        <v>31199</v>
      </c>
      <c r="AC305">
        <v>70</v>
      </c>
      <c r="AD305">
        <v>4</v>
      </c>
      <c r="AE305">
        <v>297.45999999999998</v>
      </c>
      <c r="AF305">
        <v>297.45999999999998</v>
      </c>
      <c r="AG305" s="29" t="s">
        <v>216</v>
      </c>
      <c r="AH305" s="29" t="s">
        <v>351</v>
      </c>
      <c r="AI305" s="29" t="s">
        <v>257</v>
      </c>
      <c r="AJ305" s="29" t="s">
        <v>352</v>
      </c>
      <c r="AL305" s="29" t="s">
        <v>217</v>
      </c>
    </row>
    <row r="306" spans="15:38">
      <c r="O306" t="s">
        <v>44</v>
      </c>
      <c r="P306" t="s">
        <v>43</v>
      </c>
      <c r="Q306" t="s">
        <v>26</v>
      </c>
      <c r="R306" t="s">
        <v>53</v>
      </c>
      <c r="S306">
        <v>2024.28</v>
      </c>
      <c r="T306">
        <v>128107.65</v>
      </c>
      <c r="U306">
        <v>130217.7375</v>
      </c>
      <c r="V306">
        <v>130217.7375</v>
      </c>
      <c r="AA306" s="29" t="s">
        <v>43</v>
      </c>
      <c r="AB306">
        <v>31199</v>
      </c>
      <c r="AC306">
        <v>70</v>
      </c>
      <c r="AD306">
        <v>4</v>
      </c>
      <c r="AE306">
        <v>0</v>
      </c>
      <c r="AF306">
        <v>0</v>
      </c>
      <c r="AG306" s="29" t="s">
        <v>216</v>
      </c>
      <c r="AH306" s="29" t="s">
        <v>218</v>
      </c>
      <c r="AI306" s="29" t="s">
        <v>257</v>
      </c>
      <c r="AJ306" s="29" t="s">
        <v>426</v>
      </c>
      <c r="AL306" s="29" t="s">
        <v>217</v>
      </c>
    </row>
    <row r="307" spans="15:38">
      <c r="O307" t="s">
        <v>44</v>
      </c>
      <c r="P307" t="s">
        <v>43</v>
      </c>
      <c r="Q307" t="s">
        <v>26</v>
      </c>
      <c r="R307" t="s">
        <v>53</v>
      </c>
      <c r="S307">
        <v>2024.38</v>
      </c>
      <c r="T307">
        <v>256544.82</v>
      </c>
      <c r="U307">
        <v>130217.7375</v>
      </c>
      <c r="V307">
        <v>130217.7375</v>
      </c>
      <c r="AA307" s="29" t="s">
        <v>43</v>
      </c>
      <c r="AB307">
        <v>31199</v>
      </c>
      <c r="AC307">
        <v>70</v>
      </c>
      <c r="AD307">
        <v>4</v>
      </c>
      <c r="AE307">
        <v>6.88</v>
      </c>
      <c r="AF307">
        <v>6.88</v>
      </c>
      <c r="AG307" s="29" t="s">
        <v>216</v>
      </c>
      <c r="AH307" s="29" t="s">
        <v>397</v>
      </c>
      <c r="AI307" s="29" t="s">
        <v>257</v>
      </c>
      <c r="AJ307" s="29" t="s">
        <v>398</v>
      </c>
      <c r="AL307" s="29" t="s">
        <v>217</v>
      </c>
    </row>
    <row r="308" spans="15:38">
      <c r="O308" t="s">
        <v>44</v>
      </c>
      <c r="P308" t="s">
        <v>43</v>
      </c>
      <c r="Q308" t="s">
        <v>26</v>
      </c>
      <c r="R308" t="s">
        <v>53</v>
      </c>
      <c r="S308">
        <v>2024.39</v>
      </c>
      <c r="T308">
        <v>128895.57</v>
      </c>
      <c r="U308">
        <v>130217.7375</v>
      </c>
      <c r="V308">
        <v>130217.7375</v>
      </c>
      <c r="AA308" s="29" t="s">
        <v>43</v>
      </c>
      <c r="AB308">
        <v>31199</v>
      </c>
      <c r="AC308">
        <v>70</v>
      </c>
      <c r="AD308">
        <v>4</v>
      </c>
      <c r="AE308">
        <v>5839</v>
      </c>
      <c r="AF308">
        <v>5839</v>
      </c>
      <c r="AG308" s="29" t="s">
        <v>216</v>
      </c>
      <c r="AH308" s="29" t="s">
        <v>472</v>
      </c>
      <c r="AI308" s="29" t="s">
        <v>257</v>
      </c>
      <c r="AJ308" s="29" t="s">
        <v>473</v>
      </c>
      <c r="AL308" s="29" t="s">
        <v>217</v>
      </c>
    </row>
    <row r="309" spans="15:38">
      <c r="O309" t="s">
        <v>44</v>
      </c>
      <c r="P309" t="s">
        <v>43</v>
      </c>
      <c r="Q309" t="s">
        <v>26</v>
      </c>
      <c r="R309" t="s">
        <v>53</v>
      </c>
      <c r="S309">
        <v>2024.41</v>
      </c>
      <c r="T309">
        <v>130323.68</v>
      </c>
      <c r="U309">
        <v>130217.7375</v>
      </c>
      <c r="V309">
        <v>130217.7375</v>
      </c>
      <c r="AA309" s="29" t="s">
        <v>43</v>
      </c>
      <c r="AB309">
        <v>31199</v>
      </c>
      <c r="AC309">
        <v>70</v>
      </c>
      <c r="AD309">
        <v>4</v>
      </c>
      <c r="AE309">
        <v>42.8</v>
      </c>
      <c r="AF309">
        <v>42.8</v>
      </c>
      <c r="AG309" s="29" t="s">
        <v>216</v>
      </c>
      <c r="AH309" s="29" t="s">
        <v>319</v>
      </c>
      <c r="AI309" s="29" t="s">
        <v>257</v>
      </c>
      <c r="AJ309" s="29" t="s">
        <v>401</v>
      </c>
      <c r="AL309" s="29" t="s">
        <v>217</v>
      </c>
    </row>
    <row r="310" spans="15:38">
      <c r="O310" t="s">
        <v>44</v>
      </c>
      <c r="P310" t="s">
        <v>43</v>
      </c>
      <c r="Q310" t="s">
        <v>26</v>
      </c>
      <c r="R310" t="s">
        <v>53</v>
      </c>
      <c r="S310">
        <v>2024.43</v>
      </c>
      <c r="T310">
        <v>130323.68</v>
      </c>
      <c r="U310">
        <v>130217.7375</v>
      </c>
      <c r="V310">
        <v>130217.7375</v>
      </c>
      <c r="AA310" s="29" t="s">
        <v>43</v>
      </c>
      <c r="AB310">
        <v>31199</v>
      </c>
      <c r="AC310">
        <v>70</v>
      </c>
      <c r="AD310">
        <v>4</v>
      </c>
      <c r="AE310">
        <v>85.6</v>
      </c>
      <c r="AF310">
        <v>85.6</v>
      </c>
      <c r="AG310" s="29" t="s">
        <v>216</v>
      </c>
      <c r="AH310" s="29" t="s">
        <v>344</v>
      </c>
      <c r="AI310" s="29" t="s">
        <v>257</v>
      </c>
      <c r="AJ310" s="29" t="s">
        <v>345</v>
      </c>
      <c r="AL310" s="29" t="s">
        <v>217</v>
      </c>
    </row>
    <row r="311" spans="15:38">
      <c r="O311" t="s">
        <v>44</v>
      </c>
      <c r="P311" t="s">
        <v>43</v>
      </c>
      <c r="Q311" t="s">
        <v>26</v>
      </c>
      <c r="R311" t="s">
        <v>53</v>
      </c>
      <c r="S311">
        <v>2024.44</v>
      </c>
      <c r="T311">
        <v>130323.68</v>
      </c>
      <c r="U311">
        <v>130217.7375</v>
      </c>
      <c r="V311">
        <v>127462.3554</v>
      </c>
      <c r="AA311" s="29" t="s">
        <v>43</v>
      </c>
      <c r="AB311">
        <v>31199</v>
      </c>
      <c r="AC311">
        <v>70</v>
      </c>
      <c r="AD311">
        <v>4</v>
      </c>
      <c r="AE311">
        <v>43.32</v>
      </c>
      <c r="AF311">
        <v>43.32</v>
      </c>
      <c r="AG311" s="29" t="s">
        <v>216</v>
      </c>
      <c r="AH311" s="29" t="s">
        <v>331</v>
      </c>
      <c r="AI311" s="29" t="s">
        <v>257</v>
      </c>
      <c r="AJ311" s="29" t="s">
        <v>332</v>
      </c>
      <c r="AL311" s="29" t="s">
        <v>217</v>
      </c>
    </row>
    <row r="312" spans="15:38">
      <c r="O312" t="s">
        <v>44</v>
      </c>
      <c r="P312" t="s">
        <v>43</v>
      </c>
      <c r="Q312" t="s">
        <v>26</v>
      </c>
      <c r="R312" t="s">
        <v>53</v>
      </c>
      <c r="S312">
        <v>2024.45</v>
      </c>
      <c r="T312">
        <v>130323.68</v>
      </c>
      <c r="U312">
        <v>130217.7375</v>
      </c>
      <c r="V312">
        <v>127462.3554</v>
      </c>
      <c r="AA312" s="29" t="s">
        <v>43</v>
      </c>
      <c r="AB312">
        <v>31199</v>
      </c>
      <c r="AC312">
        <v>70</v>
      </c>
      <c r="AD312">
        <v>4</v>
      </c>
      <c r="AE312">
        <v>43.32</v>
      </c>
      <c r="AF312">
        <v>43.32</v>
      </c>
      <c r="AG312" s="29" t="s">
        <v>216</v>
      </c>
      <c r="AH312" s="29" t="s">
        <v>331</v>
      </c>
      <c r="AI312" s="29" t="s">
        <v>257</v>
      </c>
      <c r="AJ312" s="29" t="s">
        <v>332</v>
      </c>
      <c r="AL312" s="29" t="s">
        <v>217</v>
      </c>
    </row>
    <row r="313" spans="15:38">
      <c r="O313" t="s">
        <v>44</v>
      </c>
      <c r="P313" t="s">
        <v>43</v>
      </c>
      <c r="Q313" t="s">
        <v>26</v>
      </c>
      <c r="R313" t="s">
        <v>53</v>
      </c>
      <c r="S313">
        <v>2024.47</v>
      </c>
      <c r="T313">
        <v>130323.68</v>
      </c>
      <c r="U313">
        <v>130217.7375</v>
      </c>
      <c r="V313">
        <v>127462.3554</v>
      </c>
      <c r="AA313" s="29" t="s">
        <v>43</v>
      </c>
      <c r="AB313">
        <v>31199</v>
      </c>
      <c r="AC313">
        <v>70</v>
      </c>
      <c r="AD313">
        <v>4</v>
      </c>
      <c r="AE313">
        <v>594.91999999999996</v>
      </c>
      <c r="AF313">
        <v>594.91999999999996</v>
      </c>
      <c r="AG313" s="29" t="s">
        <v>216</v>
      </c>
      <c r="AH313" s="29" t="s">
        <v>507</v>
      </c>
      <c r="AI313" s="29" t="s">
        <v>257</v>
      </c>
      <c r="AJ313" s="29" t="s">
        <v>508</v>
      </c>
      <c r="AL313" s="29" t="s">
        <v>217</v>
      </c>
    </row>
    <row r="314" spans="15:38">
      <c r="O314" t="s">
        <v>44</v>
      </c>
      <c r="P314" t="s">
        <v>43</v>
      </c>
      <c r="Q314" t="s">
        <v>26</v>
      </c>
      <c r="R314" t="s">
        <v>53</v>
      </c>
      <c r="S314">
        <v>2024.48</v>
      </c>
      <c r="T314">
        <v>130323.68</v>
      </c>
      <c r="U314">
        <v>130217.7375</v>
      </c>
      <c r="V314">
        <v>127462.3554</v>
      </c>
      <c r="AA314" s="29" t="s">
        <v>43</v>
      </c>
      <c r="AB314">
        <v>31199</v>
      </c>
      <c r="AC314">
        <v>70</v>
      </c>
      <c r="AD314">
        <v>4</v>
      </c>
      <c r="AE314">
        <v>297.45999999999998</v>
      </c>
      <c r="AF314">
        <v>297.45999999999998</v>
      </c>
      <c r="AG314" s="29" t="s">
        <v>216</v>
      </c>
      <c r="AH314" s="29" t="s">
        <v>351</v>
      </c>
      <c r="AI314" s="29" t="s">
        <v>257</v>
      </c>
      <c r="AJ314" s="29" t="s">
        <v>352</v>
      </c>
      <c r="AL314" s="29" t="s">
        <v>217</v>
      </c>
    </row>
    <row r="315" spans="15:38">
      <c r="O315" t="s">
        <v>44</v>
      </c>
      <c r="P315" t="s">
        <v>43</v>
      </c>
      <c r="Q315" t="s">
        <v>26</v>
      </c>
      <c r="R315" t="s">
        <v>53</v>
      </c>
      <c r="S315">
        <v>2024.49</v>
      </c>
      <c r="T315">
        <v>130323.68</v>
      </c>
      <c r="U315">
        <v>130217.7375</v>
      </c>
      <c r="V315">
        <v>127462.3554</v>
      </c>
      <c r="AA315" s="29" t="s">
        <v>43</v>
      </c>
      <c r="AB315">
        <v>31199</v>
      </c>
      <c r="AC315">
        <v>70</v>
      </c>
      <c r="AD315">
        <v>4</v>
      </c>
      <c r="AE315">
        <v>-297.45999999999998</v>
      </c>
      <c r="AF315">
        <v>-297.45999999999998</v>
      </c>
      <c r="AG315" s="29" t="s">
        <v>216</v>
      </c>
      <c r="AH315" s="29" t="s">
        <v>353</v>
      </c>
      <c r="AI315" s="29" t="s">
        <v>257</v>
      </c>
      <c r="AJ315" s="29" t="s">
        <v>354</v>
      </c>
      <c r="AL315" s="29" t="s">
        <v>217</v>
      </c>
    </row>
    <row r="316" spans="15:38">
      <c r="O316" t="s">
        <v>44</v>
      </c>
      <c r="P316" t="s">
        <v>43</v>
      </c>
      <c r="Q316" t="s">
        <v>26</v>
      </c>
      <c r="R316" t="s">
        <v>53</v>
      </c>
      <c r="S316">
        <v>2024.52</v>
      </c>
      <c r="T316">
        <v>130323.68</v>
      </c>
      <c r="U316">
        <v>130217.7375</v>
      </c>
      <c r="V316">
        <v>127462.3554</v>
      </c>
      <c r="AA316" s="29" t="s">
        <v>43</v>
      </c>
      <c r="AB316">
        <v>31199</v>
      </c>
      <c r="AC316">
        <v>70</v>
      </c>
      <c r="AD316">
        <v>4</v>
      </c>
      <c r="AE316">
        <v>297.45999999999998</v>
      </c>
      <c r="AF316">
        <v>297.45999999999998</v>
      </c>
      <c r="AG316" s="29" t="s">
        <v>216</v>
      </c>
      <c r="AH316" s="29" t="s">
        <v>351</v>
      </c>
      <c r="AI316" s="29" t="s">
        <v>257</v>
      </c>
      <c r="AJ316" s="29" t="s">
        <v>352</v>
      </c>
      <c r="AL316" s="29" t="s">
        <v>217</v>
      </c>
    </row>
    <row r="317" spans="15:38">
      <c r="O317" t="s">
        <v>44</v>
      </c>
      <c r="P317" t="s">
        <v>43</v>
      </c>
      <c r="Q317" t="s">
        <v>26</v>
      </c>
      <c r="R317" t="s">
        <v>53</v>
      </c>
      <c r="S317">
        <v>2025.03</v>
      </c>
      <c r="T317">
        <v>130323.68</v>
      </c>
      <c r="U317">
        <v>130217.7375</v>
      </c>
      <c r="V317">
        <v>127462.3554</v>
      </c>
      <c r="AA317" s="29" t="s">
        <v>43</v>
      </c>
      <c r="AB317">
        <v>31199</v>
      </c>
      <c r="AC317">
        <v>70</v>
      </c>
      <c r="AD317">
        <v>4</v>
      </c>
      <c r="AE317">
        <v>6.3</v>
      </c>
      <c r="AF317">
        <v>6.3</v>
      </c>
      <c r="AG317" s="29" t="s">
        <v>216</v>
      </c>
      <c r="AH317" s="29" t="s">
        <v>342</v>
      </c>
      <c r="AI317" s="29" t="s">
        <v>257</v>
      </c>
      <c r="AJ317" s="29" t="s">
        <v>343</v>
      </c>
      <c r="AL317" s="29" t="s">
        <v>217</v>
      </c>
    </row>
    <row r="318" spans="15:38">
      <c r="O318" t="s">
        <v>44</v>
      </c>
      <c r="P318" t="s">
        <v>43</v>
      </c>
      <c r="Q318" t="s">
        <v>26</v>
      </c>
      <c r="R318" t="s">
        <v>53</v>
      </c>
      <c r="S318">
        <v>2025.12</v>
      </c>
      <c r="T318">
        <v>130323.95</v>
      </c>
      <c r="U318">
        <v>130217.7375</v>
      </c>
      <c r="V318">
        <v>127462.3554</v>
      </c>
      <c r="AA318" s="29" t="s">
        <v>43</v>
      </c>
      <c r="AB318">
        <v>31199</v>
      </c>
      <c r="AC318">
        <v>70</v>
      </c>
      <c r="AD318">
        <v>4</v>
      </c>
      <c r="AE318">
        <v>6481</v>
      </c>
      <c r="AF318">
        <v>6481</v>
      </c>
      <c r="AG318" s="29" t="s">
        <v>216</v>
      </c>
      <c r="AH318" s="29" t="s">
        <v>541</v>
      </c>
      <c r="AI318" s="29" t="s">
        <v>257</v>
      </c>
      <c r="AJ318" s="29" t="s">
        <v>542</v>
      </c>
      <c r="AL318" s="29" t="s">
        <v>217</v>
      </c>
    </row>
    <row r="319" spans="15:38">
      <c r="O319" t="s">
        <v>44</v>
      </c>
      <c r="P319" t="s">
        <v>43</v>
      </c>
      <c r="Q319" t="s">
        <v>26</v>
      </c>
      <c r="R319" t="s">
        <v>56</v>
      </c>
      <c r="S319">
        <v>2023.51</v>
      </c>
      <c r="T319">
        <v>2736</v>
      </c>
      <c r="U319">
        <v>0</v>
      </c>
      <c r="V319">
        <v>0</v>
      </c>
      <c r="AA319" s="29" t="s">
        <v>43</v>
      </c>
      <c r="AB319">
        <v>31199</v>
      </c>
      <c r="AC319">
        <v>70</v>
      </c>
      <c r="AD319">
        <v>4</v>
      </c>
      <c r="AE319">
        <v>42.8</v>
      </c>
      <c r="AF319">
        <v>42.8</v>
      </c>
      <c r="AG319" s="29" t="s">
        <v>216</v>
      </c>
      <c r="AH319" s="29" t="s">
        <v>319</v>
      </c>
      <c r="AI319" s="29" t="s">
        <v>257</v>
      </c>
      <c r="AJ319" s="29" t="s">
        <v>543</v>
      </c>
      <c r="AL319" s="29" t="s">
        <v>217</v>
      </c>
    </row>
    <row r="320" spans="15:38">
      <c r="O320" t="s">
        <v>44</v>
      </c>
      <c r="P320" t="s">
        <v>43</v>
      </c>
      <c r="Q320" t="s">
        <v>26</v>
      </c>
      <c r="R320" t="s">
        <v>56</v>
      </c>
      <c r="S320">
        <v>2024.06</v>
      </c>
      <c r="T320">
        <v>2736</v>
      </c>
      <c r="U320">
        <v>0</v>
      </c>
      <c r="V320">
        <v>0</v>
      </c>
      <c r="AA320" s="29" t="s">
        <v>43</v>
      </c>
      <c r="AB320">
        <v>31199</v>
      </c>
      <c r="AC320">
        <v>70</v>
      </c>
      <c r="AD320">
        <v>4</v>
      </c>
      <c r="AE320">
        <v>42.8</v>
      </c>
      <c r="AF320">
        <v>42.8</v>
      </c>
      <c r="AG320" s="29" t="s">
        <v>216</v>
      </c>
      <c r="AH320" s="29" t="s">
        <v>319</v>
      </c>
      <c r="AI320" s="29" t="s">
        <v>257</v>
      </c>
      <c r="AJ320" s="29" t="s">
        <v>544</v>
      </c>
      <c r="AL320" s="29" t="s">
        <v>217</v>
      </c>
    </row>
    <row r="321" spans="15:38">
      <c r="O321" t="s">
        <v>44</v>
      </c>
      <c r="P321" t="s">
        <v>43</v>
      </c>
      <c r="Q321" t="s">
        <v>26</v>
      </c>
      <c r="R321" t="s">
        <v>56</v>
      </c>
      <c r="S321">
        <v>2024.07</v>
      </c>
      <c r="T321">
        <v>2736</v>
      </c>
      <c r="U321">
        <v>0</v>
      </c>
      <c r="V321">
        <v>0</v>
      </c>
      <c r="AA321" s="29" t="s">
        <v>43</v>
      </c>
      <c r="AB321">
        <v>31199</v>
      </c>
      <c r="AC321">
        <v>70</v>
      </c>
      <c r="AD321">
        <v>4</v>
      </c>
      <c r="AE321">
        <v>43.32</v>
      </c>
      <c r="AF321">
        <v>43.32</v>
      </c>
      <c r="AG321" s="29" t="s">
        <v>216</v>
      </c>
      <c r="AH321" s="29" t="s">
        <v>331</v>
      </c>
      <c r="AI321" s="29" t="s">
        <v>257</v>
      </c>
      <c r="AJ321" s="29" t="s">
        <v>332</v>
      </c>
      <c r="AL321" s="29" t="s">
        <v>217</v>
      </c>
    </row>
    <row r="322" spans="15:38">
      <c r="O322" t="s">
        <v>44</v>
      </c>
      <c r="P322" t="s">
        <v>43</v>
      </c>
      <c r="Q322" t="s">
        <v>26</v>
      </c>
      <c r="R322" t="s">
        <v>56</v>
      </c>
      <c r="S322">
        <v>2024.08</v>
      </c>
      <c r="T322">
        <v>2736</v>
      </c>
      <c r="U322">
        <v>0</v>
      </c>
      <c r="V322">
        <v>0</v>
      </c>
      <c r="AA322" s="29" t="s">
        <v>43</v>
      </c>
      <c r="AB322">
        <v>31199</v>
      </c>
      <c r="AC322">
        <v>70</v>
      </c>
      <c r="AD322">
        <v>4</v>
      </c>
      <c r="AE322">
        <v>43.32</v>
      </c>
      <c r="AF322">
        <v>43.32</v>
      </c>
      <c r="AG322" s="29" t="s">
        <v>216</v>
      </c>
      <c r="AH322" s="29" t="s">
        <v>331</v>
      </c>
      <c r="AI322" s="29" t="s">
        <v>257</v>
      </c>
      <c r="AJ322" s="29" t="s">
        <v>332</v>
      </c>
      <c r="AL322" s="29" t="s">
        <v>217</v>
      </c>
    </row>
    <row r="323" spans="15:38">
      <c r="O323" t="s">
        <v>44</v>
      </c>
      <c r="P323" t="s">
        <v>43</v>
      </c>
      <c r="Q323" t="s">
        <v>26</v>
      </c>
      <c r="R323" t="s">
        <v>56</v>
      </c>
      <c r="S323">
        <v>2024.09</v>
      </c>
      <c r="T323">
        <v>2736</v>
      </c>
      <c r="U323">
        <v>0</v>
      </c>
      <c r="V323">
        <v>0</v>
      </c>
      <c r="AA323" s="29" t="s">
        <v>43</v>
      </c>
      <c r="AB323">
        <v>31199</v>
      </c>
      <c r="AC323">
        <v>70</v>
      </c>
      <c r="AD323">
        <v>4</v>
      </c>
      <c r="AE323">
        <v>64.2</v>
      </c>
      <c r="AF323">
        <v>64.2</v>
      </c>
      <c r="AG323" s="29" t="s">
        <v>216</v>
      </c>
      <c r="AH323" s="29" t="s">
        <v>452</v>
      </c>
      <c r="AI323" s="29" t="s">
        <v>257</v>
      </c>
      <c r="AJ323" s="29" t="s">
        <v>545</v>
      </c>
      <c r="AL323" s="29" t="s">
        <v>217</v>
      </c>
    </row>
    <row r="324" spans="15:38">
      <c r="O324" t="s">
        <v>44</v>
      </c>
      <c r="P324" t="s">
        <v>43</v>
      </c>
      <c r="Q324" t="s">
        <v>26</v>
      </c>
      <c r="R324" t="s">
        <v>56</v>
      </c>
      <c r="S324">
        <v>2024.1</v>
      </c>
      <c r="T324">
        <v>2736</v>
      </c>
      <c r="U324">
        <v>0</v>
      </c>
      <c r="V324">
        <v>0</v>
      </c>
      <c r="AA324" s="29" t="s">
        <v>43</v>
      </c>
      <c r="AB324">
        <v>31199</v>
      </c>
      <c r="AC324">
        <v>70</v>
      </c>
      <c r="AD324">
        <v>4</v>
      </c>
      <c r="AE324">
        <v>892.38</v>
      </c>
      <c r="AF324">
        <v>892.38</v>
      </c>
      <c r="AG324" s="29" t="s">
        <v>216</v>
      </c>
      <c r="AH324" s="29" t="s">
        <v>349</v>
      </c>
      <c r="AI324" s="29" t="s">
        <v>257</v>
      </c>
      <c r="AJ324" s="29" t="s">
        <v>350</v>
      </c>
      <c r="AL324" s="29" t="s">
        <v>217</v>
      </c>
    </row>
    <row r="325" spans="15:38">
      <c r="O325" t="s">
        <v>44</v>
      </c>
      <c r="P325" t="s">
        <v>43</v>
      </c>
      <c r="Q325" t="s">
        <v>26</v>
      </c>
      <c r="R325" t="s">
        <v>56</v>
      </c>
      <c r="S325">
        <v>2024.11</v>
      </c>
      <c r="T325">
        <v>2736</v>
      </c>
      <c r="U325">
        <v>0</v>
      </c>
      <c r="V325">
        <v>0</v>
      </c>
      <c r="AA325" s="29" t="s">
        <v>43</v>
      </c>
      <c r="AB325">
        <v>31199</v>
      </c>
      <c r="AC325">
        <v>70</v>
      </c>
      <c r="AD325">
        <v>4</v>
      </c>
      <c r="AE325">
        <v>297.45999999999998</v>
      </c>
      <c r="AF325">
        <v>297.45999999999998</v>
      </c>
      <c r="AG325" s="29" t="s">
        <v>216</v>
      </c>
      <c r="AH325" s="29" t="s">
        <v>351</v>
      </c>
      <c r="AI325" s="29" t="s">
        <v>257</v>
      </c>
      <c r="AJ325" s="29" t="s">
        <v>352</v>
      </c>
      <c r="AL325" s="29" t="s">
        <v>217</v>
      </c>
    </row>
    <row r="326" spans="15:38">
      <c r="O326" t="s">
        <v>44</v>
      </c>
      <c r="P326" t="s">
        <v>43</v>
      </c>
      <c r="Q326" t="s">
        <v>26</v>
      </c>
      <c r="R326" t="s">
        <v>56</v>
      </c>
      <c r="S326">
        <v>2024.14</v>
      </c>
      <c r="T326">
        <v>2736</v>
      </c>
      <c r="U326">
        <v>0</v>
      </c>
      <c r="V326">
        <v>0</v>
      </c>
      <c r="AA326" s="29" t="s">
        <v>43</v>
      </c>
      <c r="AB326">
        <v>31199</v>
      </c>
      <c r="AC326">
        <v>70</v>
      </c>
      <c r="AD326">
        <v>4</v>
      </c>
      <c r="AE326">
        <v>-297.45999999999998</v>
      </c>
      <c r="AF326">
        <v>-297.45999999999998</v>
      </c>
      <c r="AG326" s="29" t="s">
        <v>216</v>
      </c>
      <c r="AH326" s="29" t="s">
        <v>353</v>
      </c>
      <c r="AI326" s="29" t="s">
        <v>257</v>
      </c>
      <c r="AJ326" s="29" t="s">
        <v>354</v>
      </c>
      <c r="AL326" s="29" t="s">
        <v>217</v>
      </c>
    </row>
    <row r="327" spans="15:38">
      <c r="O327" t="s">
        <v>44</v>
      </c>
      <c r="P327" t="s">
        <v>43</v>
      </c>
      <c r="Q327" t="s">
        <v>26</v>
      </c>
      <c r="R327" t="s">
        <v>56</v>
      </c>
      <c r="S327">
        <v>2024.17</v>
      </c>
      <c r="T327">
        <v>2736</v>
      </c>
      <c r="U327">
        <v>0</v>
      </c>
      <c r="V327">
        <v>0</v>
      </c>
      <c r="AA327" s="29" t="s">
        <v>43</v>
      </c>
      <c r="AB327">
        <v>31199</v>
      </c>
      <c r="AC327">
        <v>70</v>
      </c>
      <c r="AD327">
        <v>4</v>
      </c>
      <c r="AE327">
        <v>42.8</v>
      </c>
      <c r="AF327">
        <v>42.8</v>
      </c>
      <c r="AG327" s="29" t="s">
        <v>216</v>
      </c>
      <c r="AH327" s="29" t="s">
        <v>319</v>
      </c>
      <c r="AI327" s="29" t="s">
        <v>257</v>
      </c>
      <c r="AJ327" s="29" t="s">
        <v>546</v>
      </c>
      <c r="AL327" s="29" t="s">
        <v>217</v>
      </c>
    </row>
    <row r="328" spans="15:38">
      <c r="O328" t="s">
        <v>44</v>
      </c>
      <c r="P328" t="s">
        <v>43</v>
      </c>
      <c r="Q328" t="s">
        <v>26</v>
      </c>
      <c r="R328" t="s">
        <v>56</v>
      </c>
      <c r="S328">
        <v>2024.18</v>
      </c>
      <c r="T328">
        <v>5472</v>
      </c>
      <c r="U328">
        <v>0</v>
      </c>
      <c r="V328">
        <v>0</v>
      </c>
      <c r="AA328" s="29" t="s">
        <v>43</v>
      </c>
      <c r="AB328">
        <v>31199</v>
      </c>
      <c r="AC328">
        <v>70</v>
      </c>
      <c r="AD328">
        <v>4</v>
      </c>
      <c r="AE328">
        <v>1.92</v>
      </c>
      <c r="AF328">
        <v>1.92</v>
      </c>
      <c r="AG328" s="29" t="s">
        <v>216</v>
      </c>
      <c r="AH328" s="29" t="s">
        <v>547</v>
      </c>
      <c r="AI328" s="29" t="s">
        <v>257</v>
      </c>
      <c r="AJ328" s="29" t="s">
        <v>548</v>
      </c>
      <c r="AL328" s="29" t="s">
        <v>217</v>
      </c>
    </row>
    <row r="329" spans="15:38">
      <c r="O329" t="s">
        <v>44</v>
      </c>
      <c r="P329" t="s">
        <v>43</v>
      </c>
      <c r="Q329" t="s">
        <v>26</v>
      </c>
      <c r="R329" t="s">
        <v>56</v>
      </c>
      <c r="S329">
        <v>2024.19</v>
      </c>
      <c r="T329">
        <v>2736</v>
      </c>
      <c r="U329">
        <v>0</v>
      </c>
      <c r="V329">
        <v>0</v>
      </c>
      <c r="AA329" s="29" t="s">
        <v>43</v>
      </c>
      <c r="AB329">
        <v>31199</v>
      </c>
      <c r="AC329">
        <v>70</v>
      </c>
      <c r="AD329">
        <v>4</v>
      </c>
      <c r="AE329">
        <v>336</v>
      </c>
      <c r="AF329">
        <v>336</v>
      </c>
      <c r="AG329" s="29" t="s">
        <v>216</v>
      </c>
      <c r="AH329" s="29" t="s">
        <v>549</v>
      </c>
      <c r="AI329" s="29" t="s">
        <v>257</v>
      </c>
      <c r="AJ329" s="29" t="s">
        <v>550</v>
      </c>
      <c r="AL329" s="29" t="s">
        <v>217</v>
      </c>
    </row>
    <row r="330" spans="15:38">
      <c r="O330" t="s">
        <v>44</v>
      </c>
      <c r="P330" t="s">
        <v>43</v>
      </c>
      <c r="Q330" t="s">
        <v>26</v>
      </c>
      <c r="R330" t="s">
        <v>56</v>
      </c>
      <c r="S330">
        <v>2024.2</v>
      </c>
      <c r="T330">
        <v>2736</v>
      </c>
      <c r="U330">
        <v>0</v>
      </c>
      <c r="V330">
        <v>0</v>
      </c>
      <c r="AA330" s="29" t="s">
        <v>43</v>
      </c>
      <c r="AB330">
        <v>31199</v>
      </c>
      <c r="AC330">
        <v>70</v>
      </c>
      <c r="AD330">
        <v>4</v>
      </c>
      <c r="AE330">
        <v>26.75</v>
      </c>
      <c r="AF330">
        <v>26.75</v>
      </c>
      <c r="AG330" s="29" t="s">
        <v>216</v>
      </c>
      <c r="AH330" s="29" t="s">
        <v>474</v>
      </c>
      <c r="AI330" s="29" t="s">
        <v>257</v>
      </c>
      <c r="AJ330" s="29" t="s">
        <v>551</v>
      </c>
      <c r="AL330" s="29" t="s">
        <v>217</v>
      </c>
    </row>
    <row r="331" spans="15:38">
      <c r="O331" t="s">
        <v>44</v>
      </c>
      <c r="P331" t="s">
        <v>43</v>
      </c>
      <c r="Q331" t="s">
        <v>26</v>
      </c>
      <c r="R331" t="s">
        <v>56</v>
      </c>
      <c r="S331">
        <v>2024.21</v>
      </c>
      <c r="T331">
        <v>2736</v>
      </c>
      <c r="U331">
        <v>0</v>
      </c>
      <c r="V331">
        <v>0</v>
      </c>
      <c r="AA331" s="29" t="s">
        <v>43</v>
      </c>
      <c r="AB331">
        <v>31199</v>
      </c>
      <c r="AC331">
        <v>70</v>
      </c>
      <c r="AD331">
        <v>4</v>
      </c>
      <c r="AE331">
        <v>42.8</v>
      </c>
      <c r="AF331">
        <v>42.8</v>
      </c>
      <c r="AG331" s="29" t="s">
        <v>216</v>
      </c>
      <c r="AH331" s="29" t="s">
        <v>319</v>
      </c>
      <c r="AI331" s="29" t="s">
        <v>257</v>
      </c>
      <c r="AJ331" s="29" t="s">
        <v>346</v>
      </c>
      <c r="AL331" s="29" t="s">
        <v>217</v>
      </c>
    </row>
    <row r="332" spans="15:38">
      <c r="O332" t="s">
        <v>44</v>
      </c>
      <c r="P332" t="s">
        <v>43</v>
      </c>
      <c r="Q332" t="s">
        <v>26</v>
      </c>
      <c r="R332" t="s">
        <v>56</v>
      </c>
      <c r="S332">
        <v>2024.28</v>
      </c>
      <c r="T332">
        <v>2736</v>
      </c>
      <c r="U332">
        <v>0</v>
      </c>
      <c r="V332">
        <v>0</v>
      </c>
      <c r="AA332" s="29" t="s">
        <v>43</v>
      </c>
      <c r="AB332">
        <v>31199</v>
      </c>
      <c r="AC332">
        <v>70</v>
      </c>
      <c r="AD332">
        <v>4</v>
      </c>
      <c r="AE332">
        <v>129.96</v>
      </c>
      <c r="AF332">
        <v>129.96</v>
      </c>
      <c r="AG332" s="29" t="s">
        <v>216</v>
      </c>
      <c r="AH332" s="29" t="s">
        <v>552</v>
      </c>
      <c r="AI332" s="29" t="s">
        <v>257</v>
      </c>
      <c r="AJ332" s="29" t="s">
        <v>553</v>
      </c>
      <c r="AL332" s="29" t="s">
        <v>217</v>
      </c>
    </row>
    <row r="333" spans="15:38">
      <c r="O333" t="s">
        <v>44</v>
      </c>
      <c r="P333" t="s">
        <v>43</v>
      </c>
      <c r="Q333" t="s">
        <v>26</v>
      </c>
      <c r="R333" t="s">
        <v>56</v>
      </c>
      <c r="S333">
        <v>2024.38</v>
      </c>
      <c r="T333">
        <v>5472</v>
      </c>
      <c r="U333">
        <v>0</v>
      </c>
      <c r="V333">
        <v>0</v>
      </c>
      <c r="AA333" s="29" t="s">
        <v>43</v>
      </c>
      <c r="AB333">
        <v>31199</v>
      </c>
      <c r="AC333">
        <v>70</v>
      </c>
      <c r="AD333">
        <v>4</v>
      </c>
      <c r="AE333">
        <v>43.32</v>
      </c>
      <c r="AF333">
        <v>43.32</v>
      </c>
      <c r="AG333" s="29" t="s">
        <v>216</v>
      </c>
      <c r="AH333" s="29" t="s">
        <v>331</v>
      </c>
      <c r="AI333" s="29" t="s">
        <v>257</v>
      </c>
      <c r="AJ333" s="29" t="s">
        <v>332</v>
      </c>
      <c r="AL333" s="29" t="s">
        <v>217</v>
      </c>
    </row>
    <row r="334" spans="15:38">
      <c r="O334" t="s">
        <v>44</v>
      </c>
      <c r="P334" t="s">
        <v>43</v>
      </c>
      <c r="Q334" t="s">
        <v>26</v>
      </c>
      <c r="R334" t="s">
        <v>56</v>
      </c>
      <c r="S334">
        <v>2024.39</v>
      </c>
      <c r="T334">
        <v>2736</v>
      </c>
      <c r="U334">
        <v>0</v>
      </c>
      <c r="V334">
        <v>0</v>
      </c>
      <c r="AA334" s="29" t="s">
        <v>43</v>
      </c>
      <c r="AB334">
        <v>31199</v>
      </c>
      <c r="AC334">
        <v>70</v>
      </c>
      <c r="AD334">
        <v>4</v>
      </c>
      <c r="AE334">
        <v>892.38</v>
      </c>
      <c r="AF334">
        <v>892.38</v>
      </c>
      <c r="AG334" s="29" t="s">
        <v>216</v>
      </c>
      <c r="AH334" s="29" t="s">
        <v>349</v>
      </c>
      <c r="AI334" s="29" t="s">
        <v>257</v>
      </c>
      <c r="AJ334" s="29" t="s">
        <v>350</v>
      </c>
      <c r="AL334" s="29" t="s">
        <v>217</v>
      </c>
    </row>
    <row r="335" spans="15:38">
      <c r="O335" t="s">
        <v>44</v>
      </c>
      <c r="P335" t="s">
        <v>43</v>
      </c>
      <c r="Q335" t="s">
        <v>26</v>
      </c>
      <c r="R335" t="s">
        <v>56</v>
      </c>
      <c r="S335">
        <v>2024.41</v>
      </c>
      <c r="T335">
        <v>2736</v>
      </c>
      <c r="U335">
        <v>0</v>
      </c>
      <c r="V335">
        <v>0</v>
      </c>
      <c r="AA335" s="29" t="s">
        <v>43</v>
      </c>
      <c r="AB335">
        <v>31199</v>
      </c>
      <c r="AC335">
        <v>70</v>
      </c>
      <c r="AD335">
        <v>4</v>
      </c>
      <c r="AE335">
        <v>297.45999999999998</v>
      </c>
      <c r="AF335">
        <v>297.45999999999998</v>
      </c>
      <c r="AG335" s="29" t="s">
        <v>216</v>
      </c>
      <c r="AH335" s="29" t="s">
        <v>351</v>
      </c>
      <c r="AI335" s="29" t="s">
        <v>257</v>
      </c>
      <c r="AJ335" s="29" t="s">
        <v>352</v>
      </c>
      <c r="AL335" s="29" t="s">
        <v>217</v>
      </c>
    </row>
    <row r="336" spans="15:38">
      <c r="O336" t="s">
        <v>44</v>
      </c>
      <c r="P336" t="s">
        <v>43</v>
      </c>
      <c r="Q336" t="s">
        <v>26</v>
      </c>
      <c r="R336" t="s">
        <v>56</v>
      </c>
      <c r="S336">
        <v>2024.43</v>
      </c>
      <c r="T336">
        <v>2736</v>
      </c>
      <c r="U336">
        <v>0</v>
      </c>
      <c r="V336">
        <v>0</v>
      </c>
      <c r="AA336" s="29" t="s">
        <v>43</v>
      </c>
      <c r="AB336">
        <v>31199</v>
      </c>
      <c r="AC336">
        <v>70</v>
      </c>
      <c r="AD336">
        <v>4</v>
      </c>
      <c r="AE336">
        <v>-297.45999999999998</v>
      </c>
      <c r="AF336">
        <v>-297.45999999999998</v>
      </c>
      <c r="AG336" s="29" t="s">
        <v>216</v>
      </c>
      <c r="AH336" s="29" t="s">
        <v>353</v>
      </c>
      <c r="AI336" s="29" t="s">
        <v>257</v>
      </c>
      <c r="AJ336" s="29" t="s">
        <v>354</v>
      </c>
      <c r="AL336" s="29" t="s">
        <v>217</v>
      </c>
    </row>
    <row r="337" spans="15:38">
      <c r="O337" t="s">
        <v>44</v>
      </c>
      <c r="P337" t="s">
        <v>43</v>
      </c>
      <c r="Q337" t="s">
        <v>26</v>
      </c>
      <c r="R337" t="s">
        <v>56</v>
      </c>
      <c r="S337">
        <v>2024.44</v>
      </c>
      <c r="T337">
        <v>2736</v>
      </c>
      <c r="U337">
        <v>0</v>
      </c>
      <c r="V337">
        <v>2736</v>
      </c>
      <c r="AA337" s="29" t="s">
        <v>43</v>
      </c>
      <c r="AB337">
        <v>31199</v>
      </c>
      <c r="AC337">
        <v>70</v>
      </c>
      <c r="AD337">
        <v>4</v>
      </c>
      <c r="AE337">
        <v>297.45999999999998</v>
      </c>
      <c r="AF337">
        <v>297.45999999999998</v>
      </c>
      <c r="AG337" s="29" t="s">
        <v>216</v>
      </c>
      <c r="AH337" s="29" t="s">
        <v>351</v>
      </c>
      <c r="AI337" s="29" t="s">
        <v>257</v>
      </c>
      <c r="AJ337" s="29" t="s">
        <v>352</v>
      </c>
      <c r="AL337" s="29" t="s">
        <v>217</v>
      </c>
    </row>
    <row r="338" spans="15:38">
      <c r="O338" t="s">
        <v>44</v>
      </c>
      <c r="P338" t="s">
        <v>43</v>
      </c>
      <c r="Q338" t="s">
        <v>26</v>
      </c>
      <c r="R338" t="s">
        <v>56</v>
      </c>
      <c r="S338">
        <v>2024.45</v>
      </c>
      <c r="T338">
        <v>2736</v>
      </c>
      <c r="U338">
        <v>0</v>
      </c>
      <c r="V338">
        <v>2736</v>
      </c>
      <c r="AA338" s="29" t="s">
        <v>43</v>
      </c>
      <c r="AB338">
        <v>31199</v>
      </c>
      <c r="AC338">
        <v>70</v>
      </c>
      <c r="AD338">
        <v>4</v>
      </c>
      <c r="AE338">
        <v>145.52000000000001</v>
      </c>
      <c r="AF338">
        <v>145.52000000000001</v>
      </c>
      <c r="AG338" s="29" t="s">
        <v>216</v>
      </c>
      <c r="AH338" s="29" t="s">
        <v>385</v>
      </c>
      <c r="AI338" s="29" t="s">
        <v>257</v>
      </c>
      <c r="AJ338" s="29" t="s">
        <v>386</v>
      </c>
      <c r="AL338" s="29" t="s">
        <v>217</v>
      </c>
    </row>
    <row r="339" spans="15:38">
      <c r="O339" t="s">
        <v>44</v>
      </c>
      <c r="P339" t="s">
        <v>43</v>
      </c>
      <c r="Q339" t="s">
        <v>26</v>
      </c>
      <c r="R339" t="s">
        <v>56</v>
      </c>
      <c r="S339">
        <v>2024.47</v>
      </c>
      <c r="T339">
        <v>2736</v>
      </c>
      <c r="U339">
        <v>0</v>
      </c>
      <c r="V339">
        <v>2736</v>
      </c>
      <c r="AA339" s="29" t="s">
        <v>43</v>
      </c>
      <c r="AB339">
        <v>31199</v>
      </c>
      <c r="AC339">
        <v>70</v>
      </c>
      <c r="AD339">
        <v>4</v>
      </c>
      <c r="AE339">
        <v>0</v>
      </c>
      <c r="AF339">
        <v>0</v>
      </c>
      <c r="AG339" s="29" t="s">
        <v>216</v>
      </c>
      <c r="AH339" s="29" t="s">
        <v>218</v>
      </c>
      <c r="AI339" s="29" t="s">
        <v>257</v>
      </c>
      <c r="AJ339" s="29" t="s">
        <v>554</v>
      </c>
      <c r="AL339" s="29" t="s">
        <v>217</v>
      </c>
    </row>
    <row r="340" spans="15:38">
      <c r="O340" t="s">
        <v>44</v>
      </c>
      <c r="P340" t="s">
        <v>43</v>
      </c>
      <c r="Q340" t="s">
        <v>26</v>
      </c>
      <c r="R340" t="s">
        <v>56</v>
      </c>
      <c r="S340">
        <v>2024.48</v>
      </c>
      <c r="T340">
        <v>2736</v>
      </c>
      <c r="U340">
        <v>0</v>
      </c>
      <c r="V340">
        <v>2736</v>
      </c>
      <c r="AA340" s="29" t="s">
        <v>43</v>
      </c>
      <c r="AB340">
        <v>31199</v>
      </c>
      <c r="AC340">
        <v>70</v>
      </c>
      <c r="AD340">
        <v>4</v>
      </c>
      <c r="AE340">
        <v>582.08000000000004</v>
      </c>
      <c r="AF340">
        <v>582.08000000000004</v>
      </c>
      <c r="AG340" s="29" t="s">
        <v>216</v>
      </c>
      <c r="AH340" s="29" t="s">
        <v>555</v>
      </c>
      <c r="AI340" s="29" t="s">
        <v>257</v>
      </c>
      <c r="AJ340" s="29" t="s">
        <v>556</v>
      </c>
      <c r="AL340" s="29" t="s">
        <v>217</v>
      </c>
    </row>
    <row r="341" spans="15:38">
      <c r="O341" t="s">
        <v>44</v>
      </c>
      <c r="P341" t="s">
        <v>43</v>
      </c>
      <c r="Q341" t="s">
        <v>26</v>
      </c>
      <c r="R341" t="s">
        <v>56</v>
      </c>
      <c r="S341">
        <v>2024.49</v>
      </c>
      <c r="T341">
        <v>2736</v>
      </c>
      <c r="U341">
        <v>0</v>
      </c>
      <c r="V341">
        <v>2736</v>
      </c>
      <c r="AA341" s="29" t="s">
        <v>43</v>
      </c>
      <c r="AB341">
        <v>31199</v>
      </c>
      <c r="AC341">
        <v>70</v>
      </c>
      <c r="AD341">
        <v>4</v>
      </c>
      <c r="AE341">
        <v>-42.8</v>
      </c>
      <c r="AF341">
        <v>-42.8</v>
      </c>
      <c r="AG341" s="29" t="s">
        <v>216</v>
      </c>
      <c r="AH341" s="29" t="s">
        <v>347</v>
      </c>
      <c r="AI341" s="29" t="s">
        <v>257</v>
      </c>
      <c r="AJ341" s="29" t="s">
        <v>348</v>
      </c>
      <c r="AL341" s="29" t="s">
        <v>217</v>
      </c>
    </row>
    <row r="342" spans="15:38">
      <c r="O342" t="s">
        <v>44</v>
      </c>
      <c r="P342" t="s">
        <v>43</v>
      </c>
      <c r="Q342" t="s">
        <v>26</v>
      </c>
      <c r="R342" t="s">
        <v>56</v>
      </c>
      <c r="S342">
        <v>2024.52</v>
      </c>
      <c r="T342">
        <v>2736</v>
      </c>
      <c r="U342">
        <v>0</v>
      </c>
      <c r="V342">
        <v>2736</v>
      </c>
      <c r="AA342" s="29" t="s">
        <v>43</v>
      </c>
      <c r="AB342">
        <v>31199</v>
      </c>
      <c r="AC342">
        <v>70</v>
      </c>
      <c r="AD342">
        <v>4</v>
      </c>
      <c r="AE342">
        <v>0</v>
      </c>
      <c r="AF342">
        <v>0</v>
      </c>
      <c r="AG342" s="29" t="s">
        <v>216</v>
      </c>
      <c r="AH342" s="29" t="s">
        <v>218</v>
      </c>
      <c r="AI342" s="29" t="s">
        <v>257</v>
      </c>
      <c r="AJ342" s="29" t="s">
        <v>557</v>
      </c>
      <c r="AL342" s="29" t="s">
        <v>217</v>
      </c>
    </row>
    <row r="343" spans="15:38">
      <c r="O343" t="s">
        <v>44</v>
      </c>
      <c r="P343" t="s">
        <v>43</v>
      </c>
      <c r="Q343" t="s">
        <v>26</v>
      </c>
      <c r="R343" t="s">
        <v>56</v>
      </c>
      <c r="S343">
        <v>2025.03</v>
      </c>
      <c r="T343">
        <v>2736</v>
      </c>
      <c r="U343">
        <v>0</v>
      </c>
      <c r="V343">
        <v>2736</v>
      </c>
      <c r="AA343" s="29" t="s">
        <v>43</v>
      </c>
      <c r="AB343">
        <v>31199</v>
      </c>
      <c r="AC343">
        <v>70</v>
      </c>
      <c r="AD343">
        <v>4</v>
      </c>
      <c r="AE343">
        <v>45.26</v>
      </c>
      <c r="AF343">
        <v>45.26</v>
      </c>
      <c r="AG343" s="29" t="s">
        <v>216</v>
      </c>
      <c r="AH343" s="29" t="s">
        <v>558</v>
      </c>
      <c r="AI343" s="29" t="s">
        <v>257</v>
      </c>
      <c r="AJ343" s="29" t="s">
        <v>559</v>
      </c>
      <c r="AL343" s="29" t="s">
        <v>217</v>
      </c>
    </row>
    <row r="344" spans="15:38">
      <c r="O344" t="s">
        <v>44</v>
      </c>
      <c r="P344" t="s">
        <v>43</v>
      </c>
      <c r="Q344" t="s">
        <v>26</v>
      </c>
      <c r="R344" t="s">
        <v>56</v>
      </c>
      <c r="S344">
        <v>2025.12</v>
      </c>
      <c r="T344">
        <v>2736</v>
      </c>
      <c r="U344">
        <v>0</v>
      </c>
      <c r="V344">
        <v>2736</v>
      </c>
      <c r="AA344" s="29" t="s">
        <v>43</v>
      </c>
      <c r="AB344">
        <v>31199</v>
      </c>
      <c r="AC344">
        <v>70</v>
      </c>
      <c r="AD344">
        <v>4</v>
      </c>
      <c r="AE344">
        <v>13892</v>
      </c>
      <c r="AF344">
        <v>13892</v>
      </c>
      <c r="AG344" s="29" t="s">
        <v>216</v>
      </c>
      <c r="AH344" s="29" t="s">
        <v>560</v>
      </c>
      <c r="AI344" s="29" t="s">
        <v>257</v>
      </c>
      <c r="AJ344" s="29" t="s">
        <v>561</v>
      </c>
      <c r="AL344" s="29" t="s">
        <v>217</v>
      </c>
    </row>
    <row r="345" spans="15:38">
      <c r="O345" t="s">
        <v>44</v>
      </c>
      <c r="P345" t="s">
        <v>43</v>
      </c>
      <c r="Q345" t="s">
        <v>26</v>
      </c>
      <c r="R345" t="s">
        <v>63</v>
      </c>
      <c r="S345">
        <v>2024.44</v>
      </c>
      <c r="T345">
        <v>0</v>
      </c>
      <c r="U345">
        <v>0</v>
      </c>
      <c r="V345">
        <v>-99.030799999999999</v>
      </c>
      <c r="AA345" s="29" t="s">
        <v>43</v>
      </c>
      <c r="AB345">
        <v>31199</v>
      </c>
      <c r="AC345">
        <v>70</v>
      </c>
      <c r="AD345">
        <v>4</v>
      </c>
      <c r="AE345">
        <v>13892</v>
      </c>
      <c r="AF345">
        <v>13892</v>
      </c>
      <c r="AG345" s="29" t="s">
        <v>216</v>
      </c>
      <c r="AH345" s="29" t="s">
        <v>560</v>
      </c>
      <c r="AI345" s="29" t="s">
        <v>257</v>
      </c>
      <c r="AJ345" s="29" t="s">
        <v>561</v>
      </c>
      <c r="AL345" s="29" t="s">
        <v>217</v>
      </c>
    </row>
    <row r="346" spans="15:38">
      <c r="O346" t="s">
        <v>44</v>
      </c>
      <c r="P346" t="s">
        <v>43</v>
      </c>
      <c r="Q346" t="s">
        <v>28</v>
      </c>
      <c r="R346" t="s">
        <v>54</v>
      </c>
      <c r="S346">
        <v>2023.51</v>
      </c>
      <c r="T346">
        <v>9700</v>
      </c>
      <c r="U346">
        <v>0</v>
      </c>
      <c r="V346">
        <v>0</v>
      </c>
      <c r="AA346" s="29" t="s">
        <v>43</v>
      </c>
      <c r="AB346">
        <v>31199</v>
      </c>
      <c r="AC346">
        <v>70</v>
      </c>
      <c r="AD346">
        <v>4</v>
      </c>
      <c r="AE346">
        <v>7.32</v>
      </c>
      <c r="AF346">
        <v>7.32</v>
      </c>
      <c r="AG346" s="29" t="s">
        <v>216</v>
      </c>
      <c r="AH346" s="29" t="s">
        <v>562</v>
      </c>
      <c r="AI346" s="29" t="s">
        <v>257</v>
      </c>
      <c r="AJ346" s="29" t="s">
        <v>563</v>
      </c>
      <c r="AL346" s="29" t="s">
        <v>217</v>
      </c>
    </row>
    <row r="347" spans="15:38">
      <c r="O347" t="s">
        <v>44</v>
      </c>
      <c r="P347" t="s">
        <v>43</v>
      </c>
      <c r="Q347" t="s">
        <v>28</v>
      </c>
      <c r="R347" t="s">
        <v>54</v>
      </c>
      <c r="S347">
        <v>2024.06</v>
      </c>
      <c r="T347">
        <v>9750</v>
      </c>
      <c r="U347">
        <v>0</v>
      </c>
      <c r="V347">
        <v>0</v>
      </c>
      <c r="AA347" s="29" t="s">
        <v>43</v>
      </c>
      <c r="AB347">
        <v>31199</v>
      </c>
      <c r="AC347">
        <v>70</v>
      </c>
      <c r="AD347">
        <v>4</v>
      </c>
      <c r="AE347">
        <v>3.96</v>
      </c>
      <c r="AF347">
        <v>3.96</v>
      </c>
      <c r="AG347" s="29" t="s">
        <v>216</v>
      </c>
      <c r="AH347" s="29" t="s">
        <v>564</v>
      </c>
      <c r="AI347" s="29" t="s">
        <v>257</v>
      </c>
      <c r="AJ347" s="29" t="s">
        <v>565</v>
      </c>
      <c r="AL347" s="29" t="s">
        <v>217</v>
      </c>
    </row>
    <row r="348" spans="15:38">
      <c r="O348" t="s">
        <v>44</v>
      </c>
      <c r="P348" t="s">
        <v>43</v>
      </c>
      <c r="Q348" t="s">
        <v>28</v>
      </c>
      <c r="R348" t="s">
        <v>54</v>
      </c>
      <c r="S348">
        <v>2024.07</v>
      </c>
      <c r="T348">
        <v>9750</v>
      </c>
      <c r="U348">
        <v>0</v>
      </c>
      <c r="V348">
        <v>0</v>
      </c>
      <c r="AA348" s="29" t="s">
        <v>43</v>
      </c>
      <c r="AB348">
        <v>31199</v>
      </c>
      <c r="AC348">
        <v>70</v>
      </c>
      <c r="AD348">
        <v>4</v>
      </c>
      <c r="AE348">
        <v>83.92</v>
      </c>
      <c r="AF348">
        <v>83.92</v>
      </c>
      <c r="AG348" s="29" t="s">
        <v>216</v>
      </c>
      <c r="AH348" s="29" t="s">
        <v>566</v>
      </c>
      <c r="AI348" s="29" t="s">
        <v>257</v>
      </c>
      <c r="AJ348" s="29" t="s">
        <v>567</v>
      </c>
      <c r="AL348" s="29" t="s">
        <v>217</v>
      </c>
    </row>
    <row r="349" spans="15:38">
      <c r="O349" t="s">
        <v>44</v>
      </c>
      <c r="P349" t="s">
        <v>43</v>
      </c>
      <c r="Q349" t="s">
        <v>28</v>
      </c>
      <c r="R349" t="s">
        <v>54</v>
      </c>
      <c r="S349">
        <v>2024.08</v>
      </c>
      <c r="T349">
        <v>9750</v>
      </c>
      <c r="U349">
        <v>0</v>
      </c>
      <c r="V349">
        <v>0</v>
      </c>
      <c r="AA349" s="29" t="s">
        <v>43</v>
      </c>
      <c r="AB349">
        <v>31199</v>
      </c>
      <c r="AC349">
        <v>70</v>
      </c>
      <c r="AD349">
        <v>4</v>
      </c>
      <c r="AE349">
        <v>383.8</v>
      </c>
      <c r="AF349">
        <v>383.8</v>
      </c>
      <c r="AG349" s="29" t="s">
        <v>216</v>
      </c>
      <c r="AH349" s="29" t="s">
        <v>568</v>
      </c>
      <c r="AI349" s="29" t="s">
        <v>257</v>
      </c>
      <c r="AJ349" s="29" t="s">
        <v>569</v>
      </c>
      <c r="AL349" s="29" t="s">
        <v>217</v>
      </c>
    </row>
    <row r="350" spans="15:38">
      <c r="O350" t="s">
        <v>44</v>
      </c>
      <c r="P350" t="s">
        <v>43</v>
      </c>
      <c r="Q350" t="s">
        <v>28</v>
      </c>
      <c r="R350" t="s">
        <v>54</v>
      </c>
      <c r="S350">
        <v>2024.09</v>
      </c>
      <c r="T350">
        <v>9750</v>
      </c>
      <c r="U350">
        <v>0</v>
      </c>
      <c r="V350">
        <v>0</v>
      </c>
      <c r="AA350" s="29" t="s">
        <v>43</v>
      </c>
      <c r="AB350">
        <v>31199</v>
      </c>
      <c r="AC350">
        <v>70</v>
      </c>
      <c r="AD350">
        <v>4</v>
      </c>
      <c r="AE350">
        <v>55.4</v>
      </c>
      <c r="AF350">
        <v>55.4</v>
      </c>
      <c r="AG350" s="29" t="s">
        <v>216</v>
      </c>
      <c r="AH350" s="29" t="s">
        <v>518</v>
      </c>
      <c r="AI350" s="29" t="s">
        <v>257</v>
      </c>
      <c r="AJ350" s="29" t="s">
        <v>519</v>
      </c>
      <c r="AL350" s="29" t="s">
        <v>217</v>
      </c>
    </row>
    <row r="351" spans="15:38">
      <c r="O351" t="s">
        <v>44</v>
      </c>
      <c r="P351" t="s">
        <v>43</v>
      </c>
      <c r="Q351" t="s">
        <v>28</v>
      </c>
      <c r="R351" t="s">
        <v>54</v>
      </c>
      <c r="S351">
        <v>2024.1</v>
      </c>
      <c r="T351">
        <v>9750</v>
      </c>
      <c r="U351">
        <v>0</v>
      </c>
      <c r="V351">
        <v>0</v>
      </c>
      <c r="AA351" s="29" t="s">
        <v>43</v>
      </c>
      <c r="AB351">
        <v>31199</v>
      </c>
      <c r="AC351">
        <v>70</v>
      </c>
      <c r="AD351">
        <v>4</v>
      </c>
      <c r="AE351">
        <v>148.44</v>
      </c>
      <c r="AF351">
        <v>148.44</v>
      </c>
      <c r="AG351" s="29" t="s">
        <v>216</v>
      </c>
      <c r="AH351" s="29" t="s">
        <v>325</v>
      </c>
      <c r="AI351" s="29" t="s">
        <v>257</v>
      </c>
      <c r="AJ351" s="29" t="s">
        <v>326</v>
      </c>
      <c r="AL351" s="29" t="s">
        <v>217</v>
      </c>
    </row>
    <row r="352" spans="15:38">
      <c r="O352" t="s">
        <v>44</v>
      </c>
      <c r="P352" t="s">
        <v>43</v>
      </c>
      <c r="Q352" t="s">
        <v>28</v>
      </c>
      <c r="R352" t="s">
        <v>54</v>
      </c>
      <c r="S352">
        <v>2024.11</v>
      </c>
      <c r="T352">
        <v>9750</v>
      </c>
      <c r="U352">
        <v>0</v>
      </c>
      <c r="V352">
        <v>0</v>
      </c>
      <c r="AA352" s="29" t="s">
        <v>43</v>
      </c>
      <c r="AB352">
        <v>31199</v>
      </c>
      <c r="AC352">
        <v>70</v>
      </c>
      <c r="AD352">
        <v>4</v>
      </c>
      <c r="AE352">
        <v>6.14</v>
      </c>
      <c r="AF352">
        <v>6.14</v>
      </c>
      <c r="AG352" s="29" t="s">
        <v>216</v>
      </c>
      <c r="AH352" s="29" t="s">
        <v>570</v>
      </c>
      <c r="AI352" s="29" t="s">
        <v>257</v>
      </c>
      <c r="AJ352" s="29" t="s">
        <v>571</v>
      </c>
      <c r="AL352" s="29" t="s">
        <v>217</v>
      </c>
    </row>
    <row r="353" spans="15:38">
      <c r="O353" t="s">
        <v>44</v>
      </c>
      <c r="P353" t="s">
        <v>43</v>
      </c>
      <c r="Q353" t="s">
        <v>28</v>
      </c>
      <c r="R353" t="s">
        <v>54</v>
      </c>
      <c r="S353">
        <v>2024.14</v>
      </c>
      <c r="T353">
        <v>9750</v>
      </c>
      <c r="U353">
        <v>0</v>
      </c>
      <c r="V353">
        <v>0</v>
      </c>
      <c r="AA353" s="29" t="s">
        <v>43</v>
      </c>
      <c r="AB353">
        <v>31199</v>
      </c>
      <c r="AC353">
        <v>70</v>
      </c>
      <c r="AD353">
        <v>4</v>
      </c>
      <c r="AE353">
        <v>38.549999999999997</v>
      </c>
      <c r="AF353">
        <v>38.549999999999997</v>
      </c>
      <c r="AG353" s="29" t="s">
        <v>216</v>
      </c>
      <c r="AH353" s="29" t="s">
        <v>572</v>
      </c>
      <c r="AI353" s="29" t="s">
        <v>257</v>
      </c>
      <c r="AJ353" s="29" t="s">
        <v>573</v>
      </c>
      <c r="AL353" s="29" t="s">
        <v>217</v>
      </c>
    </row>
    <row r="354" spans="15:38">
      <c r="O354" t="s">
        <v>44</v>
      </c>
      <c r="P354" t="s">
        <v>43</v>
      </c>
      <c r="Q354" t="s">
        <v>28</v>
      </c>
      <c r="R354" t="s">
        <v>54</v>
      </c>
      <c r="S354">
        <v>2024.17</v>
      </c>
      <c r="T354">
        <v>9750</v>
      </c>
      <c r="U354">
        <v>0</v>
      </c>
      <c r="V354">
        <v>0</v>
      </c>
      <c r="AA354" s="29" t="s">
        <v>43</v>
      </c>
      <c r="AB354">
        <v>31199</v>
      </c>
      <c r="AC354">
        <v>70</v>
      </c>
      <c r="AD354">
        <v>4</v>
      </c>
      <c r="AE354">
        <v>1.92</v>
      </c>
      <c r="AF354">
        <v>1.92</v>
      </c>
      <c r="AG354" s="29" t="s">
        <v>216</v>
      </c>
      <c r="AH354" s="29" t="s">
        <v>547</v>
      </c>
      <c r="AI354" s="29" t="s">
        <v>257</v>
      </c>
      <c r="AJ354" s="29" t="s">
        <v>548</v>
      </c>
      <c r="AL354" s="29" t="s">
        <v>217</v>
      </c>
    </row>
    <row r="355" spans="15:38">
      <c r="O355" t="s">
        <v>44</v>
      </c>
      <c r="P355" t="s">
        <v>43</v>
      </c>
      <c r="Q355" t="s">
        <v>28</v>
      </c>
      <c r="R355" t="s">
        <v>54</v>
      </c>
      <c r="S355">
        <v>2024.18</v>
      </c>
      <c r="T355">
        <v>19500</v>
      </c>
      <c r="U355">
        <v>0</v>
      </c>
      <c r="V355">
        <v>0</v>
      </c>
      <c r="AA355" s="29" t="s">
        <v>43</v>
      </c>
      <c r="AB355">
        <v>31199</v>
      </c>
      <c r="AC355">
        <v>70</v>
      </c>
      <c r="AD355">
        <v>4</v>
      </c>
      <c r="AE355">
        <v>42.8</v>
      </c>
      <c r="AF355">
        <v>42.8</v>
      </c>
      <c r="AG355" s="29" t="s">
        <v>216</v>
      </c>
      <c r="AH355" s="29" t="s">
        <v>319</v>
      </c>
      <c r="AI355" s="29" t="s">
        <v>257</v>
      </c>
      <c r="AJ355" s="29" t="s">
        <v>346</v>
      </c>
      <c r="AL355" s="29" t="s">
        <v>217</v>
      </c>
    </row>
    <row r="356" spans="15:38">
      <c r="O356" t="s">
        <v>44</v>
      </c>
      <c r="P356" t="s">
        <v>43</v>
      </c>
      <c r="Q356" t="s">
        <v>28</v>
      </c>
      <c r="R356" t="s">
        <v>54</v>
      </c>
      <c r="S356">
        <v>2024.19</v>
      </c>
      <c r="T356">
        <v>9750</v>
      </c>
      <c r="U356">
        <v>0</v>
      </c>
      <c r="V356">
        <v>0</v>
      </c>
      <c r="AA356" s="29" t="s">
        <v>43</v>
      </c>
      <c r="AB356">
        <v>31199</v>
      </c>
      <c r="AC356">
        <v>70</v>
      </c>
      <c r="AD356">
        <v>4</v>
      </c>
      <c r="AE356">
        <v>21.4</v>
      </c>
      <c r="AF356">
        <v>21.4</v>
      </c>
      <c r="AG356" s="29" t="s">
        <v>216</v>
      </c>
      <c r="AH356" s="29" t="s">
        <v>436</v>
      </c>
      <c r="AI356" s="29" t="s">
        <v>257</v>
      </c>
      <c r="AJ356" s="29" t="s">
        <v>574</v>
      </c>
      <c r="AL356" s="29" t="s">
        <v>217</v>
      </c>
    </row>
    <row r="357" spans="15:38">
      <c r="O357" t="s">
        <v>44</v>
      </c>
      <c r="P357" t="s">
        <v>43</v>
      </c>
      <c r="Q357" t="s">
        <v>28</v>
      </c>
      <c r="R357" t="s">
        <v>54</v>
      </c>
      <c r="S357">
        <v>2024.2</v>
      </c>
      <c r="T357">
        <v>9750</v>
      </c>
      <c r="U357">
        <v>0</v>
      </c>
      <c r="V357">
        <v>0</v>
      </c>
      <c r="AA357" s="29" t="s">
        <v>43</v>
      </c>
      <c r="AB357">
        <v>31199</v>
      </c>
      <c r="AC357">
        <v>70</v>
      </c>
      <c r="AD357">
        <v>4</v>
      </c>
      <c r="AE357">
        <v>1067.54</v>
      </c>
      <c r="AF357">
        <v>1067.54</v>
      </c>
      <c r="AG357" s="29" t="s">
        <v>216</v>
      </c>
      <c r="AH357" s="29" t="s">
        <v>575</v>
      </c>
      <c r="AI357" s="29" t="s">
        <v>257</v>
      </c>
      <c r="AJ357" s="29" t="s">
        <v>576</v>
      </c>
      <c r="AL357" s="29" t="s">
        <v>217</v>
      </c>
    </row>
    <row r="358" spans="15:38">
      <c r="O358" t="s">
        <v>44</v>
      </c>
      <c r="P358" t="s">
        <v>43</v>
      </c>
      <c r="Q358" t="s">
        <v>28</v>
      </c>
      <c r="R358" t="s">
        <v>54</v>
      </c>
      <c r="S358">
        <v>2024.21</v>
      </c>
      <c r="T358">
        <v>9750</v>
      </c>
      <c r="U358">
        <v>0</v>
      </c>
      <c r="V358">
        <v>0</v>
      </c>
      <c r="AA358" s="29" t="s">
        <v>43</v>
      </c>
      <c r="AB358">
        <v>31199</v>
      </c>
      <c r="AC358">
        <v>70</v>
      </c>
      <c r="AD358">
        <v>4</v>
      </c>
      <c r="AE358">
        <v>6.54</v>
      </c>
      <c r="AF358">
        <v>6.54</v>
      </c>
      <c r="AG358" s="29" t="s">
        <v>216</v>
      </c>
      <c r="AH358" s="29" t="s">
        <v>577</v>
      </c>
      <c r="AI358" s="29" t="s">
        <v>257</v>
      </c>
      <c r="AJ358" s="29" t="s">
        <v>578</v>
      </c>
      <c r="AL358" s="29" t="s">
        <v>217</v>
      </c>
    </row>
    <row r="359" spans="15:38">
      <c r="O359" t="s">
        <v>44</v>
      </c>
      <c r="P359" t="s">
        <v>43</v>
      </c>
      <c r="Q359" t="s">
        <v>28</v>
      </c>
      <c r="R359" t="s">
        <v>54</v>
      </c>
      <c r="S359">
        <v>2024.28</v>
      </c>
      <c r="T359">
        <v>9750</v>
      </c>
      <c r="U359">
        <v>0</v>
      </c>
      <c r="V359">
        <v>0</v>
      </c>
      <c r="AA359" s="29" t="s">
        <v>43</v>
      </c>
      <c r="AB359">
        <v>31199</v>
      </c>
      <c r="AC359">
        <v>70</v>
      </c>
      <c r="AD359">
        <v>4</v>
      </c>
      <c r="AE359">
        <v>5474</v>
      </c>
      <c r="AF359">
        <v>5474</v>
      </c>
      <c r="AG359" s="29" t="s">
        <v>216</v>
      </c>
      <c r="AH359" s="29" t="s">
        <v>579</v>
      </c>
      <c r="AI359" s="29" t="s">
        <v>257</v>
      </c>
      <c r="AJ359" s="29" t="s">
        <v>580</v>
      </c>
      <c r="AL359" s="29" t="s">
        <v>217</v>
      </c>
    </row>
    <row r="360" spans="15:38">
      <c r="O360" t="s">
        <v>44</v>
      </c>
      <c r="P360" t="s">
        <v>43</v>
      </c>
      <c r="Q360" t="s">
        <v>28</v>
      </c>
      <c r="R360" t="s">
        <v>54</v>
      </c>
      <c r="S360">
        <v>2024.38</v>
      </c>
      <c r="T360">
        <v>19500</v>
      </c>
      <c r="U360">
        <v>0</v>
      </c>
      <c r="V360">
        <v>0</v>
      </c>
      <c r="AA360" s="29" t="s">
        <v>43</v>
      </c>
      <c r="AB360">
        <v>31199</v>
      </c>
      <c r="AC360">
        <v>70</v>
      </c>
      <c r="AD360">
        <v>4</v>
      </c>
      <c r="AE360">
        <v>26.75</v>
      </c>
      <c r="AF360">
        <v>26.75</v>
      </c>
      <c r="AG360" s="29" t="s">
        <v>216</v>
      </c>
      <c r="AH360" s="29" t="s">
        <v>474</v>
      </c>
      <c r="AI360" s="29" t="s">
        <v>257</v>
      </c>
      <c r="AJ360" s="29" t="s">
        <v>581</v>
      </c>
      <c r="AL360" s="29" t="s">
        <v>217</v>
      </c>
    </row>
    <row r="361" spans="15:38">
      <c r="O361" t="s">
        <v>44</v>
      </c>
      <c r="P361" t="s">
        <v>43</v>
      </c>
      <c r="Q361" t="s">
        <v>28</v>
      </c>
      <c r="R361" t="s">
        <v>54</v>
      </c>
      <c r="S361">
        <v>2024.39</v>
      </c>
      <c r="T361">
        <v>9750</v>
      </c>
      <c r="U361">
        <v>0</v>
      </c>
      <c r="V361">
        <v>0</v>
      </c>
      <c r="AA361" s="29" t="s">
        <v>43</v>
      </c>
      <c r="AB361">
        <v>31199</v>
      </c>
      <c r="AC361">
        <v>70</v>
      </c>
      <c r="AD361">
        <v>4</v>
      </c>
      <c r="AE361">
        <v>26.75</v>
      </c>
      <c r="AF361">
        <v>26.75</v>
      </c>
      <c r="AG361" s="29" t="s">
        <v>216</v>
      </c>
      <c r="AH361" s="29" t="s">
        <v>474</v>
      </c>
      <c r="AI361" s="29" t="s">
        <v>257</v>
      </c>
      <c r="AJ361" s="29" t="s">
        <v>551</v>
      </c>
      <c r="AL361" s="29" t="s">
        <v>217</v>
      </c>
    </row>
    <row r="362" spans="15:38">
      <c r="O362" t="s">
        <v>44</v>
      </c>
      <c r="P362" t="s">
        <v>43</v>
      </c>
      <c r="Q362" t="s">
        <v>28</v>
      </c>
      <c r="R362" t="s">
        <v>54</v>
      </c>
      <c r="S362">
        <v>2024.41</v>
      </c>
      <c r="T362">
        <v>9750</v>
      </c>
      <c r="U362">
        <v>0</v>
      </c>
      <c r="V362">
        <v>0</v>
      </c>
      <c r="AA362" s="29" t="s">
        <v>43</v>
      </c>
      <c r="AB362">
        <v>31199</v>
      </c>
      <c r="AC362">
        <v>70</v>
      </c>
      <c r="AD362">
        <v>4</v>
      </c>
      <c r="AE362">
        <v>42.8</v>
      </c>
      <c r="AF362">
        <v>42.8</v>
      </c>
      <c r="AG362" s="29" t="s">
        <v>216</v>
      </c>
      <c r="AH362" s="29" t="s">
        <v>319</v>
      </c>
      <c r="AI362" s="29" t="s">
        <v>257</v>
      </c>
      <c r="AJ362" s="29" t="s">
        <v>546</v>
      </c>
      <c r="AL362" s="29" t="s">
        <v>217</v>
      </c>
    </row>
    <row r="363" spans="15:38">
      <c r="O363" t="s">
        <v>44</v>
      </c>
      <c r="P363" t="s">
        <v>43</v>
      </c>
      <c r="Q363" t="s">
        <v>28</v>
      </c>
      <c r="R363" t="s">
        <v>54</v>
      </c>
      <c r="S363">
        <v>2024.43</v>
      </c>
      <c r="T363">
        <v>9750</v>
      </c>
      <c r="U363">
        <v>0</v>
      </c>
      <c r="V363">
        <v>0</v>
      </c>
      <c r="AA363" s="29" t="s">
        <v>43</v>
      </c>
      <c r="AB363">
        <v>31199</v>
      </c>
      <c r="AC363">
        <v>70</v>
      </c>
      <c r="AD363">
        <v>4</v>
      </c>
      <c r="AE363">
        <v>21.4</v>
      </c>
      <c r="AF363">
        <v>21.4</v>
      </c>
      <c r="AG363" s="29" t="s">
        <v>216</v>
      </c>
      <c r="AH363" s="29" t="s">
        <v>436</v>
      </c>
      <c r="AI363" s="29" t="s">
        <v>257</v>
      </c>
      <c r="AJ363" s="29" t="s">
        <v>582</v>
      </c>
      <c r="AL363" s="29" t="s">
        <v>217</v>
      </c>
    </row>
    <row r="364" spans="15:38">
      <c r="O364" t="s">
        <v>44</v>
      </c>
      <c r="P364" t="s">
        <v>43</v>
      </c>
      <c r="Q364" t="s">
        <v>28</v>
      </c>
      <c r="R364" t="s">
        <v>54</v>
      </c>
      <c r="S364">
        <v>2024.44</v>
      </c>
      <c r="T364">
        <v>9750</v>
      </c>
      <c r="U364">
        <v>0</v>
      </c>
      <c r="V364">
        <v>9750</v>
      </c>
      <c r="AA364" s="29" t="s">
        <v>43</v>
      </c>
      <c r="AB364">
        <v>31199</v>
      </c>
      <c r="AC364">
        <v>70</v>
      </c>
      <c r="AD364">
        <v>4</v>
      </c>
      <c r="AE364">
        <v>43.32</v>
      </c>
      <c r="AF364">
        <v>43.32</v>
      </c>
      <c r="AG364" s="29" t="s">
        <v>216</v>
      </c>
      <c r="AH364" s="29" t="s">
        <v>331</v>
      </c>
      <c r="AI364" s="29" t="s">
        <v>257</v>
      </c>
      <c r="AJ364" s="29" t="s">
        <v>332</v>
      </c>
      <c r="AL364" s="29" t="s">
        <v>217</v>
      </c>
    </row>
    <row r="365" spans="15:38">
      <c r="O365" t="s">
        <v>44</v>
      </c>
      <c r="P365" t="s">
        <v>43</v>
      </c>
      <c r="Q365" t="s">
        <v>28</v>
      </c>
      <c r="R365" t="s">
        <v>54</v>
      </c>
      <c r="S365">
        <v>2024.45</v>
      </c>
      <c r="T365">
        <v>9750</v>
      </c>
      <c r="U365">
        <v>0</v>
      </c>
      <c r="V365">
        <v>9750</v>
      </c>
      <c r="AA365" s="29" t="s">
        <v>43</v>
      </c>
      <c r="AB365">
        <v>31199</v>
      </c>
      <c r="AC365">
        <v>70</v>
      </c>
      <c r="AD365">
        <v>4</v>
      </c>
      <c r="AE365">
        <v>637.72</v>
      </c>
      <c r="AF365">
        <v>637.72</v>
      </c>
      <c r="AG365" s="29" t="s">
        <v>216</v>
      </c>
      <c r="AH365" s="29" t="s">
        <v>583</v>
      </c>
      <c r="AI365" s="29" t="s">
        <v>257</v>
      </c>
      <c r="AJ365" s="29" t="s">
        <v>584</v>
      </c>
      <c r="AL365" s="29" t="s">
        <v>217</v>
      </c>
    </row>
    <row r="366" spans="15:38">
      <c r="O366" t="s">
        <v>44</v>
      </c>
      <c r="P366" t="s">
        <v>43</v>
      </c>
      <c r="Q366" t="s">
        <v>28</v>
      </c>
      <c r="R366" t="s">
        <v>54</v>
      </c>
      <c r="S366">
        <v>2024.47</v>
      </c>
      <c r="T366">
        <v>9750</v>
      </c>
      <c r="U366">
        <v>0</v>
      </c>
      <c r="V366">
        <v>9750</v>
      </c>
      <c r="AA366" s="29" t="s">
        <v>43</v>
      </c>
      <c r="AB366">
        <v>31199</v>
      </c>
      <c r="AC366">
        <v>70</v>
      </c>
      <c r="AD366">
        <v>4</v>
      </c>
      <c r="AE366">
        <v>152.51</v>
      </c>
      <c r="AF366">
        <v>152.51</v>
      </c>
      <c r="AG366" s="29" t="s">
        <v>216</v>
      </c>
      <c r="AH366" s="29" t="s">
        <v>585</v>
      </c>
      <c r="AI366" s="29" t="s">
        <v>257</v>
      </c>
      <c r="AJ366" s="29" t="s">
        <v>586</v>
      </c>
      <c r="AL366" s="29" t="s">
        <v>217</v>
      </c>
    </row>
    <row r="367" spans="15:38">
      <c r="O367" t="s">
        <v>44</v>
      </c>
      <c r="P367" t="s">
        <v>43</v>
      </c>
      <c r="Q367" t="s">
        <v>28</v>
      </c>
      <c r="R367" t="s">
        <v>54</v>
      </c>
      <c r="S367">
        <v>2024.48</v>
      </c>
      <c r="T367">
        <v>9750</v>
      </c>
      <c r="U367">
        <v>0</v>
      </c>
      <c r="V367">
        <v>9750</v>
      </c>
      <c r="AA367" s="29" t="s">
        <v>43</v>
      </c>
      <c r="AB367">
        <v>31199</v>
      </c>
      <c r="AC367">
        <v>70</v>
      </c>
      <c r="AD367">
        <v>4</v>
      </c>
      <c r="AE367">
        <v>42.8</v>
      </c>
      <c r="AF367">
        <v>42.8</v>
      </c>
      <c r="AG367" s="29" t="s">
        <v>216</v>
      </c>
      <c r="AH367" s="29" t="s">
        <v>319</v>
      </c>
      <c r="AI367" s="29" t="s">
        <v>257</v>
      </c>
      <c r="AJ367" s="29" t="s">
        <v>346</v>
      </c>
      <c r="AL367" s="29" t="s">
        <v>217</v>
      </c>
    </row>
    <row r="368" spans="15:38">
      <c r="O368" t="s">
        <v>44</v>
      </c>
      <c r="P368" t="s">
        <v>43</v>
      </c>
      <c r="Q368" t="s">
        <v>28</v>
      </c>
      <c r="R368" t="s">
        <v>54</v>
      </c>
      <c r="S368">
        <v>2024.49</v>
      </c>
      <c r="T368">
        <v>9750</v>
      </c>
      <c r="U368">
        <v>0</v>
      </c>
      <c r="V368">
        <v>9750</v>
      </c>
      <c r="AA368" s="29" t="s">
        <v>43</v>
      </c>
      <c r="AB368">
        <v>31199</v>
      </c>
      <c r="AC368">
        <v>70</v>
      </c>
      <c r="AD368">
        <v>4</v>
      </c>
      <c r="AE368">
        <v>6.88</v>
      </c>
      <c r="AF368">
        <v>6.88</v>
      </c>
      <c r="AG368" s="29" t="s">
        <v>216</v>
      </c>
      <c r="AH368" s="29" t="s">
        <v>397</v>
      </c>
      <c r="AI368" s="29" t="s">
        <v>257</v>
      </c>
      <c r="AJ368" s="29" t="s">
        <v>398</v>
      </c>
      <c r="AL368" s="29" t="s">
        <v>217</v>
      </c>
    </row>
    <row r="369" spans="15:38">
      <c r="O369" t="s">
        <v>44</v>
      </c>
      <c r="P369" t="s">
        <v>43</v>
      </c>
      <c r="Q369" t="s">
        <v>28</v>
      </c>
      <c r="R369" t="s">
        <v>54</v>
      </c>
      <c r="S369">
        <v>2024.52</v>
      </c>
      <c r="T369">
        <v>9750</v>
      </c>
      <c r="U369">
        <v>0</v>
      </c>
      <c r="V369">
        <v>9750</v>
      </c>
      <c r="AA369" s="29" t="s">
        <v>43</v>
      </c>
      <c r="AB369">
        <v>31199</v>
      </c>
      <c r="AC369">
        <v>70</v>
      </c>
      <c r="AD369">
        <v>4</v>
      </c>
      <c r="AE369">
        <v>148.44</v>
      </c>
      <c r="AF369">
        <v>148.44</v>
      </c>
      <c r="AG369" s="29" t="s">
        <v>216</v>
      </c>
      <c r="AH369" s="29" t="s">
        <v>325</v>
      </c>
      <c r="AI369" s="29" t="s">
        <v>257</v>
      </c>
      <c r="AJ369" s="29" t="s">
        <v>326</v>
      </c>
      <c r="AL369" s="29" t="s">
        <v>217</v>
      </c>
    </row>
    <row r="370" spans="15:38">
      <c r="O370" t="s">
        <v>44</v>
      </c>
      <c r="P370" t="s">
        <v>43</v>
      </c>
      <c r="Q370" t="s">
        <v>28</v>
      </c>
      <c r="R370" t="s">
        <v>54</v>
      </c>
      <c r="S370">
        <v>2025.03</v>
      </c>
      <c r="T370">
        <v>9750</v>
      </c>
      <c r="U370">
        <v>0</v>
      </c>
      <c r="V370">
        <v>9750</v>
      </c>
      <c r="AA370" s="29" t="s">
        <v>43</v>
      </c>
      <c r="AB370">
        <v>31199</v>
      </c>
      <c r="AC370">
        <v>70</v>
      </c>
      <c r="AD370">
        <v>4</v>
      </c>
      <c r="AE370">
        <v>13.07</v>
      </c>
      <c r="AF370">
        <v>13.07</v>
      </c>
      <c r="AG370" s="29" t="s">
        <v>216</v>
      </c>
      <c r="AH370" s="29" t="s">
        <v>587</v>
      </c>
      <c r="AI370" s="29" t="s">
        <v>257</v>
      </c>
      <c r="AJ370" s="29" t="s">
        <v>588</v>
      </c>
      <c r="AL370" s="29" t="s">
        <v>217</v>
      </c>
    </row>
    <row r="371" spans="15:38">
      <c r="O371" t="s">
        <v>44</v>
      </c>
      <c r="P371" t="s">
        <v>43</v>
      </c>
      <c r="Q371" t="s">
        <v>28</v>
      </c>
      <c r="R371" t="s">
        <v>54</v>
      </c>
      <c r="S371">
        <v>2025.12</v>
      </c>
      <c r="T371">
        <v>9750</v>
      </c>
      <c r="U371">
        <v>0</v>
      </c>
      <c r="V371">
        <v>9750</v>
      </c>
      <c r="AA371" s="29" t="s">
        <v>43</v>
      </c>
      <c r="AB371">
        <v>31199</v>
      </c>
      <c r="AC371">
        <v>70</v>
      </c>
      <c r="AD371">
        <v>4</v>
      </c>
      <c r="AE371">
        <v>4564</v>
      </c>
      <c r="AF371">
        <v>4564</v>
      </c>
      <c r="AG371" s="29" t="s">
        <v>216</v>
      </c>
      <c r="AH371" s="29" t="s">
        <v>589</v>
      </c>
      <c r="AI371" s="29" t="s">
        <v>257</v>
      </c>
      <c r="AJ371" s="29" t="s">
        <v>590</v>
      </c>
      <c r="AL371" s="29" t="s">
        <v>217</v>
      </c>
    </row>
    <row r="372" spans="15:38">
      <c r="O372" t="s">
        <v>44</v>
      </c>
      <c r="P372" t="s">
        <v>43</v>
      </c>
      <c r="Q372" t="s">
        <v>28</v>
      </c>
      <c r="R372" t="s">
        <v>64</v>
      </c>
      <c r="S372">
        <v>2023.44</v>
      </c>
      <c r="T372">
        <v>0</v>
      </c>
      <c r="U372">
        <v>45383.689899999998</v>
      </c>
      <c r="V372">
        <v>45383.689899999998</v>
      </c>
      <c r="AA372" s="29" t="s">
        <v>43</v>
      </c>
      <c r="AB372">
        <v>31199</v>
      </c>
      <c r="AC372">
        <v>70</v>
      </c>
      <c r="AD372">
        <v>4</v>
      </c>
      <c r="AE372">
        <v>4564</v>
      </c>
      <c r="AF372">
        <v>4564</v>
      </c>
      <c r="AG372" s="29" t="s">
        <v>216</v>
      </c>
      <c r="AH372" s="29" t="s">
        <v>589</v>
      </c>
      <c r="AI372" s="29" t="s">
        <v>257</v>
      </c>
      <c r="AJ372" s="29" t="s">
        <v>591</v>
      </c>
      <c r="AL372" s="29" t="s">
        <v>217</v>
      </c>
    </row>
    <row r="373" spans="15:38">
      <c r="O373" t="s">
        <v>44</v>
      </c>
      <c r="P373" t="s">
        <v>43</v>
      </c>
      <c r="Q373" t="s">
        <v>28</v>
      </c>
      <c r="R373" t="s">
        <v>64</v>
      </c>
      <c r="S373">
        <v>2023.51</v>
      </c>
      <c r="T373">
        <v>31159.48</v>
      </c>
      <c r="U373">
        <v>45383.689899999998</v>
      </c>
      <c r="V373">
        <v>45383.689899999998</v>
      </c>
      <c r="AA373" s="29" t="s">
        <v>43</v>
      </c>
      <c r="AB373">
        <v>31199</v>
      </c>
      <c r="AC373">
        <v>70</v>
      </c>
      <c r="AD373">
        <v>4</v>
      </c>
      <c r="AE373">
        <v>21.4</v>
      </c>
      <c r="AF373">
        <v>21.4</v>
      </c>
      <c r="AG373" s="29" t="s">
        <v>216</v>
      </c>
      <c r="AH373" s="29" t="s">
        <v>436</v>
      </c>
      <c r="AI373" s="29" t="s">
        <v>257</v>
      </c>
      <c r="AJ373" s="29" t="s">
        <v>592</v>
      </c>
      <c r="AL373" s="29" t="s">
        <v>217</v>
      </c>
    </row>
    <row r="374" spans="15:38">
      <c r="O374" t="s">
        <v>44</v>
      </c>
      <c r="P374" t="s">
        <v>43</v>
      </c>
      <c r="Q374" t="s">
        <v>28</v>
      </c>
      <c r="R374" t="s">
        <v>64</v>
      </c>
      <c r="S374">
        <v>2024.06</v>
      </c>
      <c r="T374">
        <v>31240.48</v>
      </c>
      <c r="U374">
        <v>45383.689899999998</v>
      </c>
      <c r="V374">
        <v>45383.689899999998</v>
      </c>
      <c r="AA374" s="29" t="s">
        <v>43</v>
      </c>
      <c r="AB374">
        <v>31199</v>
      </c>
      <c r="AC374">
        <v>70</v>
      </c>
      <c r="AD374">
        <v>4</v>
      </c>
      <c r="AE374">
        <v>-21.4</v>
      </c>
      <c r="AF374">
        <v>-21.4</v>
      </c>
      <c r="AG374" s="29" t="s">
        <v>216</v>
      </c>
      <c r="AH374" s="29" t="s">
        <v>593</v>
      </c>
      <c r="AI374" s="29" t="s">
        <v>257</v>
      </c>
      <c r="AJ374" s="29" t="s">
        <v>594</v>
      </c>
      <c r="AL374" s="29" t="s">
        <v>217</v>
      </c>
    </row>
    <row r="375" spans="15:38">
      <c r="O375" t="s">
        <v>44</v>
      </c>
      <c r="P375" t="s">
        <v>43</v>
      </c>
      <c r="Q375" t="s">
        <v>28</v>
      </c>
      <c r="R375" t="s">
        <v>64</v>
      </c>
      <c r="S375">
        <v>2024.07</v>
      </c>
      <c r="T375">
        <v>31240.48</v>
      </c>
      <c r="U375">
        <v>45383.689899999998</v>
      </c>
      <c r="V375">
        <v>45383.689899999998</v>
      </c>
      <c r="AA375" s="29" t="s">
        <v>43</v>
      </c>
      <c r="AB375">
        <v>31199</v>
      </c>
      <c r="AC375">
        <v>70</v>
      </c>
      <c r="AD375">
        <v>4</v>
      </c>
      <c r="AE375">
        <v>21.4</v>
      </c>
      <c r="AF375">
        <v>21.4</v>
      </c>
      <c r="AG375" s="29" t="s">
        <v>216</v>
      </c>
      <c r="AH375" s="29" t="s">
        <v>436</v>
      </c>
      <c r="AI375" s="29" t="s">
        <v>257</v>
      </c>
      <c r="AJ375" s="29" t="s">
        <v>592</v>
      </c>
      <c r="AL375" s="29" t="s">
        <v>217</v>
      </c>
    </row>
    <row r="376" spans="15:38">
      <c r="O376" t="s">
        <v>44</v>
      </c>
      <c r="P376" t="s">
        <v>43</v>
      </c>
      <c r="Q376" t="s">
        <v>28</v>
      </c>
      <c r="R376" t="s">
        <v>64</v>
      </c>
      <c r="S376">
        <v>2024.08</v>
      </c>
      <c r="T376">
        <v>31240.48</v>
      </c>
      <c r="U376">
        <v>45383.689899999998</v>
      </c>
      <c r="V376">
        <v>45383.689899999998</v>
      </c>
      <c r="AA376" s="29" t="s">
        <v>43</v>
      </c>
      <c r="AB376">
        <v>31199</v>
      </c>
      <c r="AC376">
        <v>70</v>
      </c>
      <c r="AD376">
        <v>4</v>
      </c>
      <c r="AE376">
        <v>21.4</v>
      </c>
      <c r="AF376">
        <v>21.4</v>
      </c>
      <c r="AG376" s="29" t="s">
        <v>216</v>
      </c>
      <c r="AH376" s="29" t="s">
        <v>436</v>
      </c>
      <c r="AI376" s="29" t="s">
        <v>257</v>
      </c>
      <c r="AJ376" s="29" t="s">
        <v>574</v>
      </c>
      <c r="AL376" s="29" t="s">
        <v>217</v>
      </c>
    </row>
    <row r="377" spans="15:38">
      <c r="O377" t="s">
        <v>44</v>
      </c>
      <c r="P377" t="s">
        <v>43</v>
      </c>
      <c r="Q377" t="s">
        <v>28</v>
      </c>
      <c r="R377" t="s">
        <v>64</v>
      </c>
      <c r="S377">
        <v>2024.09</v>
      </c>
      <c r="T377">
        <v>31240.48</v>
      </c>
      <c r="U377">
        <v>45383.689899999998</v>
      </c>
      <c r="V377">
        <v>45383.689899999998</v>
      </c>
      <c r="AA377" s="29" t="s">
        <v>43</v>
      </c>
      <c r="AB377">
        <v>31199</v>
      </c>
      <c r="AC377">
        <v>70</v>
      </c>
      <c r="AD377">
        <v>4</v>
      </c>
      <c r="AE377">
        <v>21.4</v>
      </c>
      <c r="AF377">
        <v>21.4</v>
      </c>
      <c r="AG377" s="29" t="s">
        <v>216</v>
      </c>
      <c r="AH377" s="29" t="s">
        <v>436</v>
      </c>
      <c r="AI377" s="29" t="s">
        <v>257</v>
      </c>
      <c r="AJ377" s="29" t="s">
        <v>574</v>
      </c>
      <c r="AL377" s="29" t="s">
        <v>217</v>
      </c>
    </row>
    <row r="378" spans="15:38">
      <c r="O378" t="s">
        <v>44</v>
      </c>
      <c r="P378" t="s">
        <v>43</v>
      </c>
      <c r="Q378" t="s">
        <v>28</v>
      </c>
      <c r="R378" t="s">
        <v>64</v>
      </c>
      <c r="S378">
        <v>2024.1</v>
      </c>
      <c r="T378">
        <v>31240.48</v>
      </c>
      <c r="U378">
        <v>45383.689899999998</v>
      </c>
      <c r="V378">
        <v>45383.689899999998</v>
      </c>
      <c r="AA378" s="29" t="s">
        <v>43</v>
      </c>
      <c r="AB378">
        <v>31199</v>
      </c>
      <c r="AC378">
        <v>70</v>
      </c>
      <c r="AD378">
        <v>4</v>
      </c>
      <c r="AE378">
        <v>-21.4</v>
      </c>
      <c r="AF378">
        <v>-21.4</v>
      </c>
      <c r="AG378" s="29" t="s">
        <v>216</v>
      </c>
      <c r="AH378" s="29" t="s">
        <v>593</v>
      </c>
      <c r="AI378" s="29" t="s">
        <v>257</v>
      </c>
      <c r="AJ378" s="29" t="s">
        <v>595</v>
      </c>
      <c r="AL378" s="29" t="s">
        <v>217</v>
      </c>
    </row>
    <row r="379" spans="15:38">
      <c r="O379" t="s">
        <v>44</v>
      </c>
      <c r="P379" t="s">
        <v>43</v>
      </c>
      <c r="Q379" t="s">
        <v>28</v>
      </c>
      <c r="R379" t="s">
        <v>64</v>
      </c>
      <c r="S379">
        <v>2024.11</v>
      </c>
      <c r="T379">
        <v>31240.48</v>
      </c>
      <c r="U379">
        <v>45383.689899999998</v>
      </c>
      <c r="V379">
        <v>45383.689899999998</v>
      </c>
      <c r="AA379" s="29" t="s">
        <v>43</v>
      </c>
      <c r="AB379">
        <v>31199</v>
      </c>
      <c r="AC379">
        <v>70</v>
      </c>
      <c r="AD379">
        <v>4</v>
      </c>
      <c r="AE379">
        <v>6.88</v>
      </c>
      <c r="AF379">
        <v>6.88</v>
      </c>
      <c r="AG379" s="29" t="s">
        <v>216</v>
      </c>
      <c r="AH379" s="29" t="s">
        <v>397</v>
      </c>
      <c r="AI379" s="29" t="s">
        <v>257</v>
      </c>
      <c r="AJ379" s="29" t="s">
        <v>398</v>
      </c>
      <c r="AL379" s="29" t="s">
        <v>217</v>
      </c>
    </row>
    <row r="380" spans="15:38">
      <c r="O380" t="s">
        <v>44</v>
      </c>
      <c r="P380" t="s">
        <v>43</v>
      </c>
      <c r="Q380" t="s">
        <v>28</v>
      </c>
      <c r="R380" t="s">
        <v>64</v>
      </c>
      <c r="S380">
        <v>2024.14</v>
      </c>
      <c r="T380">
        <v>31240.48</v>
      </c>
      <c r="U380">
        <v>45383.689899999998</v>
      </c>
      <c r="V380">
        <v>45383.689899999998</v>
      </c>
      <c r="AA380" s="29" t="s">
        <v>43</v>
      </c>
      <c r="AB380">
        <v>31199</v>
      </c>
      <c r="AC380">
        <v>70</v>
      </c>
      <c r="AD380">
        <v>4</v>
      </c>
      <c r="AE380">
        <v>637.72</v>
      </c>
      <c r="AF380">
        <v>637.72</v>
      </c>
      <c r="AG380" s="29" t="s">
        <v>216</v>
      </c>
      <c r="AH380" s="29" t="s">
        <v>583</v>
      </c>
      <c r="AI380" s="29" t="s">
        <v>257</v>
      </c>
      <c r="AJ380" s="29" t="s">
        <v>584</v>
      </c>
      <c r="AL380" s="29" t="s">
        <v>217</v>
      </c>
    </row>
    <row r="381" spans="15:38">
      <c r="O381" t="s">
        <v>44</v>
      </c>
      <c r="P381" t="s">
        <v>43</v>
      </c>
      <c r="Q381" t="s">
        <v>28</v>
      </c>
      <c r="R381" t="s">
        <v>64</v>
      </c>
      <c r="S381">
        <v>2024.17</v>
      </c>
      <c r="T381">
        <v>31240.48</v>
      </c>
      <c r="U381">
        <v>45383.689899999998</v>
      </c>
      <c r="V381">
        <v>45383.689899999998</v>
      </c>
      <c r="AA381" s="29" t="s">
        <v>43</v>
      </c>
      <c r="AB381">
        <v>31199</v>
      </c>
      <c r="AC381">
        <v>70</v>
      </c>
      <c r="AD381">
        <v>4</v>
      </c>
      <c r="AE381">
        <v>264.10000000000002</v>
      </c>
      <c r="AF381">
        <v>264.10000000000002</v>
      </c>
      <c r="AG381" s="29" t="s">
        <v>216</v>
      </c>
      <c r="AH381" s="29" t="s">
        <v>596</v>
      </c>
      <c r="AI381" s="29" t="s">
        <v>257</v>
      </c>
      <c r="AJ381" s="29" t="s">
        <v>597</v>
      </c>
      <c r="AL381" s="29" t="s">
        <v>217</v>
      </c>
    </row>
    <row r="382" spans="15:38">
      <c r="O382" t="s">
        <v>44</v>
      </c>
      <c r="P382" t="s">
        <v>43</v>
      </c>
      <c r="Q382" t="s">
        <v>28</v>
      </c>
      <c r="R382" t="s">
        <v>64</v>
      </c>
      <c r="S382">
        <v>2024.18</v>
      </c>
      <c r="T382">
        <v>62480.959999999999</v>
      </c>
      <c r="U382">
        <v>45383.689899999998</v>
      </c>
      <c r="V382">
        <v>45383.689899999998</v>
      </c>
      <c r="AA382" s="29" t="s">
        <v>43</v>
      </c>
      <c r="AB382">
        <v>31199</v>
      </c>
      <c r="AC382">
        <v>70</v>
      </c>
      <c r="AD382">
        <v>4</v>
      </c>
      <c r="AE382">
        <v>42.8</v>
      </c>
      <c r="AF382">
        <v>42.8</v>
      </c>
      <c r="AG382" s="29" t="s">
        <v>216</v>
      </c>
      <c r="AH382" s="29" t="s">
        <v>319</v>
      </c>
      <c r="AI382" s="29" t="s">
        <v>257</v>
      </c>
      <c r="AJ382" s="29" t="s">
        <v>546</v>
      </c>
      <c r="AL382" s="29" t="s">
        <v>217</v>
      </c>
    </row>
    <row r="383" spans="15:38">
      <c r="O383" t="s">
        <v>44</v>
      </c>
      <c r="P383" t="s">
        <v>43</v>
      </c>
      <c r="Q383" t="s">
        <v>28</v>
      </c>
      <c r="R383" t="s">
        <v>64</v>
      </c>
      <c r="S383">
        <v>2024.19</v>
      </c>
      <c r="T383">
        <v>31240.48</v>
      </c>
      <c r="U383">
        <v>45383.689899999998</v>
      </c>
      <c r="V383">
        <v>45383.689899999998</v>
      </c>
      <c r="AA383" s="29" t="s">
        <v>43</v>
      </c>
      <c r="AB383">
        <v>31199</v>
      </c>
      <c r="AC383">
        <v>70</v>
      </c>
      <c r="AD383">
        <v>4</v>
      </c>
      <c r="AE383">
        <v>13.07</v>
      </c>
      <c r="AF383">
        <v>13.07</v>
      </c>
      <c r="AG383" s="29" t="s">
        <v>216</v>
      </c>
      <c r="AH383" s="29" t="s">
        <v>587</v>
      </c>
      <c r="AI383" s="29" t="s">
        <v>257</v>
      </c>
      <c r="AJ383" s="29" t="s">
        <v>588</v>
      </c>
      <c r="AL383" s="29" t="s">
        <v>217</v>
      </c>
    </row>
    <row r="384" spans="15:38">
      <c r="O384" t="s">
        <v>44</v>
      </c>
      <c r="P384" t="s">
        <v>43</v>
      </c>
      <c r="Q384" t="s">
        <v>28</v>
      </c>
      <c r="R384" t="s">
        <v>64</v>
      </c>
      <c r="S384">
        <v>2024.2</v>
      </c>
      <c r="T384">
        <v>31240.48</v>
      </c>
      <c r="U384">
        <v>45383.689899999998</v>
      </c>
      <c r="V384">
        <v>45383.689899999998</v>
      </c>
      <c r="AA384" s="29" t="s">
        <v>43</v>
      </c>
      <c r="AB384">
        <v>31199</v>
      </c>
      <c r="AC384">
        <v>70</v>
      </c>
      <c r="AD384">
        <v>4</v>
      </c>
      <c r="AE384">
        <v>145.52000000000001</v>
      </c>
      <c r="AF384">
        <v>145.52000000000001</v>
      </c>
      <c r="AG384" s="29" t="s">
        <v>216</v>
      </c>
      <c r="AH384" s="29" t="s">
        <v>385</v>
      </c>
      <c r="AI384" s="29" t="s">
        <v>257</v>
      </c>
      <c r="AJ384" s="29" t="s">
        <v>386</v>
      </c>
      <c r="AL384" s="29" t="s">
        <v>217</v>
      </c>
    </row>
    <row r="385" spans="15:38">
      <c r="O385" t="s">
        <v>44</v>
      </c>
      <c r="P385" t="s">
        <v>43</v>
      </c>
      <c r="Q385" t="s">
        <v>28</v>
      </c>
      <c r="R385" t="s">
        <v>64</v>
      </c>
      <c r="S385">
        <v>2024.21</v>
      </c>
      <c r="T385">
        <v>31240.48</v>
      </c>
      <c r="U385">
        <v>45383.689899999998</v>
      </c>
      <c r="V385">
        <v>45383.689899999998</v>
      </c>
      <c r="AA385" s="29" t="s">
        <v>43</v>
      </c>
      <c r="AB385">
        <v>31199</v>
      </c>
      <c r="AC385">
        <v>70</v>
      </c>
      <c r="AD385">
        <v>4</v>
      </c>
      <c r="AE385">
        <v>52.82</v>
      </c>
      <c r="AF385">
        <v>52.82</v>
      </c>
      <c r="AG385" s="29" t="s">
        <v>216</v>
      </c>
      <c r="AH385" s="29" t="s">
        <v>522</v>
      </c>
      <c r="AI385" s="29" t="s">
        <v>257</v>
      </c>
      <c r="AJ385" s="29" t="s">
        <v>523</v>
      </c>
      <c r="AL385" s="29" t="s">
        <v>217</v>
      </c>
    </row>
    <row r="386" spans="15:38">
      <c r="O386" t="s">
        <v>44</v>
      </c>
      <c r="P386" t="s">
        <v>43</v>
      </c>
      <c r="Q386" t="s">
        <v>28</v>
      </c>
      <c r="R386" t="s">
        <v>64</v>
      </c>
      <c r="S386">
        <v>2024.28</v>
      </c>
      <c r="T386">
        <v>31240.48</v>
      </c>
      <c r="U386">
        <v>45383.689899999998</v>
      </c>
      <c r="V386">
        <v>45383.689899999998</v>
      </c>
      <c r="AA386" s="29" t="s">
        <v>43</v>
      </c>
      <c r="AB386">
        <v>31199</v>
      </c>
      <c r="AC386">
        <v>70</v>
      </c>
      <c r="AD386">
        <v>4</v>
      </c>
      <c r="AE386">
        <v>42.8</v>
      </c>
      <c r="AF386">
        <v>42.8</v>
      </c>
      <c r="AG386" s="29" t="s">
        <v>216</v>
      </c>
      <c r="AH386" s="29" t="s">
        <v>319</v>
      </c>
      <c r="AI386" s="29" t="s">
        <v>257</v>
      </c>
      <c r="AJ386" s="29" t="s">
        <v>449</v>
      </c>
      <c r="AL386" s="29" t="s">
        <v>217</v>
      </c>
    </row>
    <row r="387" spans="15:38">
      <c r="O387" t="s">
        <v>44</v>
      </c>
      <c r="P387" t="s">
        <v>43</v>
      </c>
      <c r="Q387" t="s">
        <v>28</v>
      </c>
      <c r="R387" t="s">
        <v>64</v>
      </c>
      <c r="S387">
        <v>2024.38</v>
      </c>
      <c r="T387">
        <v>62480.959999999999</v>
      </c>
      <c r="U387">
        <v>45383.689899999998</v>
      </c>
      <c r="V387">
        <v>45383.689899999998</v>
      </c>
      <c r="AA387" s="29" t="s">
        <v>43</v>
      </c>
      <c r="AB387">
        <v>31199</v>
      </c>
      <c r="AC387">
        <v>70</v>
      </c>
      <c r="AD387">
        <v>4</v>
      </c>
      <c r="AE387">
        <v>4386.8</v>
      </c>
      <c r="AF387">
        <v>4386.8</v>
      </c>
      <c r="AG387" s="29" t="s">
        <v>216</v>
      </c>
      <c r="AH387" s="29" t="s">
        <v>598</v>
      </c>
      <c r="AI387" s="29" t="s">
        <v>257</v>
      </c>
      <c r="AJ387" s="29" t="s">
        <v>599</v>
      </c>
      <c r="AL387" s="29" t="s">
        <v>217</v>
      </c>
    </row>
    <row r="388" spans="15:38">
      <c r="O388" t="s">
        <v>44</v>
      </c>
      <c r="P388" t="s">
        <v>43</v>
      </c>
      <c r="Q388" t="s">
        <v>28</v>
      </c>
      <c r="R388" t="s">
        <v>64</v>
      </c>
      <c r="S388">
        <v>2024.39</v>
      </c>
      <c r="T388">
        <v>31240.48</v>
      </c>
      <c r="U388">
        <v>45383.689899999998</v>
      </c>
      <c r="V388">
        <v>45383.689899999998</v>
      </c>
      <c r="AA388" s="29" t="s">
        <v>43</v>
      </c>
      <c r="AB388">
        <v>31199</v>
      </c>
      <c r="AC388">
        <v>70</v>
      </c>
      <c r="AD388">
        <v>4</v>
      </c>
      <c r="AE388">
        <v>8086</v>
      </c>
      <c r="AF388">
        <v>8086</v>
      </c>
      <c r="AG388" s="29" t="s">
        <v>216</v>
      </c>
      <c r="AH388" s="29" t="s">
        <v>600</v>
      </c>
      <c r="AI388" s="29" t="s">
        <v>257</v>
      </c>
      <c r="AJ388" s="29" t="s">
        <v>601</v>
      </c>
      <c r="AL388" s="29" t="s">
        <v>217</v>
      </c>
    </row>
    <row r="389" spans="15:38">
      <c r="O389" t="s">
        <v>44</v>
      </c>
      <c r="P389" t="s">
        <v>43</v>
      </c>
      <c r="Q389" t="s">
        <v>28</v>
      </c>
      <c r="R389" t="s">
        <v>64</v>
      </c>
      <c r="S389">
        <v>2024.41</v>
      </c>
      <c r="T389">
        <v>31240.48</v>
      </c>
      <c r="U389">
        <v>45383.689899999998</v>
      </c>
      <c r="V389">
        <v>45383.689899999998</v>
      </c>
      <c r="AA389" s="29" t="s">
        <v>43</v>
      </c>
      <c r="AB389">
        <v>31199</v>
      </c>
      <c r="AC389">
        <v>70</v>
      </c>
      <c r="AD389">
        <v>4</v>
      </c>
      <c r="AE389">
        <v>8086</v>
      </c>
      <c r="AF389">
        <v>8086</v>
      </c>
      <c r="AG389" s="29" t="s">
        <v>216</v>
      </c>
      <c r="AH389" s="29" t="s">
        <v>600</v>
      </c>
      <c r="AI389" s="29" t="s">
        <v>257</v>
      </c>
      <c r="AJ389" s="29" t="s">
        <v>601</v>
      </c>
      <c r="AL389" s="29" t="s">
        <v>217</v>
      </c>
    </row>
    <row r="390" spans="15:38">
      <c r="O390" t="s">
        <v>44</v>
      </c>
      <c r="P390" t="s">
        <v>43</v>
      </c>
      <c r="Q390" t="s">
        <v>28</v>
      </c>
      <c r="R390" t="s">
        <v>64</v>
      </c>
      <c r="S390">
        <v>2024.43</v>
      </c>
      <c r="T390">
        <v>31240.48</v>
      </c>
      <c r="U390">
        <v>45383.689899999998</v>
      </c>
      <c r="V390">
        <v>45383.689899999998</v>
      </c>
      <c r="AA390" s="29" t="s">
        <v>43</v>
      </c>
      <c r="AB390">
        <v>31199</v>
      </c>
      <c r="AC390">
        <v>70</v>
      </c>
      <c r="AD390">
        <v>4</v>
      </c>
      <c r="AE390">
        <v>211.28</v>
      </c>
      <c r="AF390">
        <v>211.28</v>
      </c>
      <c r="AG390" s="29" t="s">
        <v>216</v>
      </c>
      <c r="AH390" s="29" t="s">
        <v>602</v>
      </c>
      <c r="AI390" s="29" t="s">
        <v>257</v>
      </c>
      <c r="AJ390" s="29" t="s">
        <v>603</v>
      </c>
      <c r="AL390" s="29" t="s">
        <v>217</v>
      </c>
    </row>
    <row r="391" spans="15:38">
      <c r="O391" t="s">
        <v>44</v>
      </c>
      <c r="P391" t="s">
        <v>43</v>
      </c>
      <c r="Q391" t="s">
        <v>28</v>
      </c>
      <c r="R391" t="s">
        <v>64</v>
      </c>
      <c r="S391">
        <v>2024.44</v>
      </c>
      <c r="T391">
        <v>31240.48</v>
      </c>
      <c r="U391">
        <v>45383.689899999998</v>
      </c>
      <c r="V391">
        <v>30864.297900000001</v>
      </c>
      <c r="AA391" s="29" t="s">
        <v>43</v>
      </c>
      <c r="AB391">
        <v>31199</v>
      </c>
      <c r="AC391">
        <v>70</v>
      </c>
      <c r="AD391">
        <v>4</v>
      </c>
      <c r="AE391">
        <v>26.75</v>
      </c>
      <c r="AF391">
        <v>26.75</v>
      </c>
      <c r="AG391" s="29" t="s">
        <v>216</v>
      </c>
      <c r="AH391" s="29" t="s">
        <v>474</v>
      </c>
      <c r="AI391" s="29" t="s">
        <v>257</v>
      </c>
      <c r="AJ391" s="29" t="s">
        <v>581</v>
      </c>
      <c r="AL391" s="29" t="s">
        <v>217</v>
      </c>
    </row>
    <row r="392" spans="15:38">
      <c r="O392" t="s">
        <v>44</v>
      </c>
      <c r="P392" t="s">
        <v>43</v>
      </c>
      <c r="Q392" t="s">
        <v>28</v>
      </c>
      <c r="R392" t="s">
        <v>64</v>
      </c>
      <c r="S392">
        <v>2024.45</v>
      </c>
      <c r="T392">
        <v>31240.48</v>
      </c>
      <c r="U392">
        <v>45383.689899999998</v>
      </c>
      <c r="V392">
        <v>30864.297900000001</v>
      </c>
      <c r="AA392" s="29" t="s">
        <v>43</v>
      </c>
      <c r="AB392">
        <v>31199</v>
      </c>
      <c r="AC392">
        <v>70</v>
      </c>
      <c r="AD392">
        <v>4</v>
      </c>
      <c r="AE392">
        <v>26.75</v>
      </c>
      <c r="AF392">
        <v>26.75</v>
      </c>
      <c r="AG392" s="29" t="s">
        <v>216</v>
      </c>
      <c r="AH392" s="29" t="s">
        <v>474</v>
      </c>
      <c r="AI392" s="29" t="s">
        <v>257</v>
      </c>
      <c r="AJ392" s="29" t="s">
        <v>551</v>
      </c>
      <c r="AL392" s="29" t="s">
        <v>217</v>
      </c>
    </row>
    <row r="393" spans="15:38">
      <c r="O393" t="s">
        <v>44</v>
      </c>
      <c r="P393" t="s">
        <v>43</v>
      </c>
      <c r="Q393" t="s">
        <v>28</v>
      </c>
      <c r="R393" t="s">
        <v>64</v>
      </c>
      <c r="S393">
        <v>2024.47</v>
      </c>
      <c r="T393">
        <v>31240.48</v>
      </c>
      <c r="U393">
        <v>45383.689899999998</v>
      </c>
      <c r="V393">
        <v>30864.297900000001</v>
      </c>
      <c r="AA393" s="29" t="s">
        <v>43</v>
      </c>
      <c r="AB393">
        <v>31199</v>
      </c>
      <c r="AC393">
        <v>70</v>
      </c>
      <c r="AD393">
        <v>4</v>
      </c>
      <c r="AE393">
        <v>1220.04</v>
      </c>
      <c r="AF393">
        <v>1220.04</v>
      </c>
      <c r="AG393" s="29" t="s">
        <v>216</v>
      </c>
      <c r="AH393" s="29" t="s">
        <v>604</v>
      </c>
      <c r="AI393" s="29" t="s">
        <v>257</v>
      </c>
      <c r="AJ393" s="29" t="s">
        <v>605</v>
      </c>
      <c r="AL393" s="29" t="s">
        <v>217</v>
      </c>
    </row>
    <row r="394" spans="15:38">
      <c r="O394" t="s">
        <v>44</v>
      </c>
      <c r="P394" t="s">
        <v>43</v>
      </c>
      <c r="Q394" t="s">
        <v>28</v>
      </c>
      <c r="R394" t="s">
        <v>64</v>
      </c>
      <c r="S394">
        <v>2024.48</v>
      </c>
      <c r="T394">
        <v>31240.48</v>
      </c>
      <c r="U394">
        <v>45383.689899999998</v>
      </c>
      <c r="V394">
        <v>30864.297900000001</v>
      </c>
      <c r="AA394" s="29" t="s">
        <v>43</v>
      </c>
      <c r="AB394">
        <v>31199</v>
      </c>
      <c r="AC394">
        <v>70</v>
      </c>
      <c r="AD394">
        <v>4</v>
      </c>
      <c r="AE394">
        <v>42.8</v>
      </c>
      <c r="AF394">
        <v>42.8</v>
      </c>
      <c r="AG394" s="29" t="s">
        <v>216</v>
      </c>
      <c r="AH394" s="29" t="s">
        <v>319</v>
      </c>
      <c r="AI394" s="29" t="s">
        <v>257</v>
      </c>
      <c r="AJ394" s="29" t="s">
        <v>449</v>
      </c>
      <c r="AL394" s="29" t="s">
        <v>217</v>
      </c>
    </row>
    <row r="395" spans="15:38">
      <c r="O395" t="s">
        <v>44</v>
      </c>
      <c r="P395" t="s">
        <v>43</v>
      </c>
      <c r="Q395" t="s">
        <v>28</v>
      </c>
      <c r="R395" t="s">
        <v>64</v>
      </c>
      <c r="S395">
        <v>2024.49</v>
      </c>
      <c r="T395">
        <v>31240.48</v>
      </c>
      <c r="U395">
        <v>45383.689899999998</v>
      </c>
      <c r="V395">
        <v>30864.297900000001</v>
      </c>
      <c r="AA395" s="29" t="s">
        <v>43</v>
      </c>
      <c r="AB395">
        <v>31199</v>
      </c>
      <c r="AC395">
        <v>70</v>
      </c>
      <c r="AD395">
        <v>4</v>
      </c>
      <c r="AE395">
        <v>80.25</v>
      </c>
      <c r="AF395">
        <v>80.25</v>
      </c>
      <c r="AG395" s="29" t="s">
        <v>216</v>
      </c>
      <c r="AH395" s="29" t="s">
        <v>433</v>
      </c>
      <c r="AI395" s="29" t="s">
        <v>257</v>
      </c>
      <c r="AJ395" s="29" t="s">
        <v>606</v>
      </c>
      <c r="AL395" s="29" t="s">
        <v>217</v>
      </c>
    </row>
    <row r="396" spans="15:38">
      <c r="O396" t="s">
        <v>44</v>
      </c>
      <c r="P396" t="s">
        <v>43</v>
      </c>
      <c r="Q396" t="s">
        <v>28</v>
      </c>
      <c r="R396" t="s">
        <v>64</v>
      </c>
      <c r="S396">
        <v>2024.52</v>
      </c>
      <c r="T396">
        <v>31240.48</v>
      </c>
      <c r="U396">
        <v>45383.689899999998</v>
      </c>
      <c r="V396">
        <v>30864.297900000001</v>
      </c>
      <c r="AA396" s="29" t="s">
        <v>43</v>
      </c>
      <c r="AB396">
        <v>31199</v>
      </c>
      <c r="AC396">
        <v>70</v>
      </c>
      <c r="AD396">
        <v>4</v>
      </c>
      <c r="AE396">
        <v>524.29999999999995</v>
      </c>
      <c r="AF396">
        <v>524.29999999999995</v>
      </c>
      <c r="AG396" s="29" t="s">
        <v>216</v>
      </c>
      <c r="AH396" s="29" t="s">
        <v>607</v>
      </c>
      <c r="AI396" s="29" t="s">
        <v>257</v>
      </c>
      <c r="AJ396" s="29" t="s">
        <v>608</v>
      </c>
      <c r="AL396" s="29" t="s">
        <v>217</v>
      </c>
    </row>
    <row r="397" spans="15:38">
      <c r="O397" t="s">
        <v>44</v>
      </c>
      <c r="P397" t="s">
        <v>43</v>
      </c>
      <c r="Q397" t="s">
        <v>28</v>
      </c>
      <c r="R397" t="s">
        <v>64</v>
      </c>
      <c r="S397">
        <v>2025.03</v>
      </c>
      <c r="T397">
        <v>31240.48</v>
      </c>
      <c r="U397">
        <v>45383.689899999998</v>
      </c>
      <c r="V397">
        <v>30864.297900000001</v>
      </c>
      <c r="AA397" s="29" t="s">
        <v>43</v>
      </c>
      <c r="AB397">
        <v>31199</v>
      </c>
      <c r="AC397">
        <v>70</v>
      </c>
      <c r="AD397">
        <v>4</v>
      </c>
      <c r="AE397">
        <v>4386.8</v>
      </c>
      <c r="AF397">
        <v>4386.8</v>
      </c>
      <c r="AG397" s="29" t="s">
        <v>216</v>
      </c>
      <c r="AH397" s="29" t="s">
        <v>598</v>
      </c>
      <c r="AI397" s="29" t="s">
        <v>257</v>
      </c>
      <c r="AJ397" s="29" t="s">
        <v>609</v>
      </c>
      <c r="AL397" s="29" t="s">
        <v>217</v>
      </c>
    </row>
    <row r="398" spans="15:38">
      <c r="O398" t="s">
        <v>44</v>
      </c>
      <c r="P398" t="s">
        <v>43</v>
      </c>
      <c r="Q398" t="s">
        <v>28</v>
      </c>
      <c r="R398" t="s">
        <v>64</v>
      </c>
      <c r="S398">
        <v>2025.12</v>
      </c>
      <c r="T398">
        <v>31240.48</v>
      </c>
      <c r="U398">
        <v>45383.689899999998</v>
      </c>
      <c r="V398">
        <v>30864.297900000001</v>
      </c>
      <c r="AA398" s="29" t="s">
        <v>43</v>
      </c>
      <c r="AB398">
        <v>31199</v>
      </c>
      <c r="AC398">
        <v>70</v>
      </c>
      <c r="AD398">
        <v>4</v>
      </c>
      <c r="AE398">
        <v>129.96</v>
      </c>
      <c r="AF398">
        <v>129.96</v>
      </c>
      <c r="AG398" s="29" t="s">
        <v>216</v>
      </c>
      <c r="AH398" s="29" t="s">
        <v>552</v>
      </c>
      <c r="AI398" s="29" t="s">
        <v>257</v>
      </c>
      <c r="AJ398" s="29" t="s">
        <v>553</v>
      </c>
      <c r="AL398" s="29" t="s">
        <v>217</v>
      </c>
    </row>
    <row r="399" spans="15:38">
      <c r="O399" t="s">
        <v>44</v>
      </c>
      <c r="P399" t="s">
        <v>43</v>
      </c>
      <c r="Q399" t="s">
        <v>28</v>
      </c>
      <c r="R399" t="s">
        <v>65</v>
      </c>
      <c r="S399">
        <v>2023.44</v>
      </c>
      <c r="T399">
        <v>0</v>
      </c>
      <c r="U399">
        <v>67852.7834</v>
      </c>
      <c r="V399">
        <v>67852.7834</v>
      </c>
      <c r="AA399" s="29" t="s">
        <v>43</v>
      </c>
      <c r="AB399">
        <v>31199</v>
      </c>
      <c r="AC399">
        <v>70</v>
      </c>
      <c r="AD399">
        <v>4</v>
      </c>
      <c r="AE399">
        <v>43.32</v>
      </c>
      <c r="AF399">
        <v>43.32</v>
      </c>
      <c r="AG399" s="29" t="s">
        <v>216</v>
      </c>
      <c r="AH399" s="29" t="s">
        <v>331</v>
      </c>
      <c r="AI399" s="29" t="s">
        <v>257</v>
      </c>
      <c r="AJ399" s="29" t="s">
        <v>332</v>
      </c>
      <c r="AL399" s="29" t="s">
        <v>217</v>
      </c>
    </row>
    <row r="400" spans="15:38">
      <c r="O400" t="s">
        <v>44</v>
      </c>
      <c r="P400" t="s">
        <v>43</v>
      </c>
      <c r="Q400" t="s">
        <v>28</v>
      </c>
      <c r="R400" t="s">
        <v>65</v>
      </c>
      <c r="S400">
        <v>2023.51</v>
      </c>
      <c r="T400">
        <v>22425.73</v>
      </c>
      <c r="U400">
        <v>67852.7834</v>
      </c>
      <c r="V400">
        <v>67852.7834</v>
      </c>
      <c r="AA400" s="29" t="s">
        <v>43</v>
      </c>
      <c r="AB400">
        <v>31199</v>
      </c>
      <c r="AC400">
        <v>70</v>
      </c>
      <c r="AD400">
        <v>4</v>
      </c>
      <c r="AE400">
        <v>406.6</v>
      </c>
      <c r="AF400">
        <v>406.6</v>
      </c>
      <c r="AG400" s="29" t="s">
        <v>216</v>
      </c>
      <c r="AH400" s="29" t="s">
        <v>610</v>
      </c>
      <c r="AI400" s="29" t="s">
        <v>257</v>
      </c>
      <c r="AJ400" s="29" t="s">
        <v>611</v>
      </c>
      <c r="AL400" s="29" t="s">
        <v>217</v>
      </c>
    </row>
    <row r="401" spans="15:38">
      <c r="O401" t="s">
        <v>44</v>
      </c>
      <c r="P401" t="s">
        <v>43</v>
      </c>
      <c r="Q401" t="s">
        <v>28</v>
      </c>
      <c r="R401" t="s">
        <v>65</v>
      </c>
      <c r="S401">
        <v>2024.06</v>
      </c>
      <c r="T401">
        <v>22668.77</v>
      </c>
      <c r="U401">
        <v>67852.7834</v>
      </c>
      <c r="V401">
        <v>67852.7834</v>
      </c>
      <c r="AA401" s="29" t="s">
        <v>43</v>
      </c>
      <c r="AB401">
        <v>31199</v>
      </c>
      <c r="AC401">
        <v>70</v>
      </c>
      <c r="AD401">
        <v>4</v>
      </c>
      <c r="AE401">
        <v>684.8</v>
      </c>
      <c r="AF401">
        <v>684.8</v>
      </c>
      <c r="AG401" s="29" t="s">
        <v>216</v>
      </c>
      <c r="AH401" s="29" t="s">
        <v>612</v>
      </c>
      <c r="AI401" s="29" t="s">
        <v>257</v>
      </c>
      <c r="AJ401" s="29" t="s">
        <v>613</v>
      </c>
      <c r="AL401" s="29" t="s">
        <v>217</v>
      </c>
    </row>
    <row r="402" spans="15:38">
      <c r="O402" t="s">
        <v>44</v>
      </c>
      <c r="P402" t="s">
        <v>43</v>
      </c>
      <c r="Q402" t="s">
        <v>28</v>
      </c>
      <c r="R402" t="s">
        <v>65</v>
      </c>
      <c r="S402">
        <v>2024.07</v>
      </c>
      <c r="T402">
        <v>22673.67</v>
      </c>
      <c r="U402">
        <v>67852.7834</v>
      </c>
      <c r="V402">
        <v>67852.7834</v>
      </c>
      <c r="AA402" s="29" t="s">
        <v>43</v>
      </c>
      <c r="AB402">
        <v>31199</v>
      </c>
      <c r="AC402">
        <v>70</v>
      </c>
      <c r="AD402">
        <v>4</v>
      </c>
      <c r="AE402">
        <v>1220.04</v>
      </c>
      <c r="AF402">
        <v>1220.04</v>
      </c>
      <c r="AG402" s="29" t="s">
        <v>216</v>
      </c>
      <c r="AH402" s="29" t="s">
        <v>604</v>
      </c>
      <c r="AI402" s="29" t="s">
        <v>257</v>
      </c>
      <c r="AJ402" s="29" t="s">
        <v>605</v>
      </c>
      <c r="AL402" s="29" t="s">
        <v>217</v>
      </c>
    </row>
    <row r="403" spans="15:38">
      <c r="O403" t="s">
        <v>44</v>
      </c>
      <c r="P403" t="s">
        <v>43</v>
      </c>
      <c r="Q403" t="s">
        <v>28</v>
      </c>
      <c r="R403" t="s">
        <v>65</v>
      </c>
      <c r="S403">
        <v>2024.08</v>
      </c>
      <c r="T403">
        <v>22673.67</v>
      </c>
      <c r="U403">
        <v>67852.7834</v>
      </c>
      <c r="V403">
        <v>67852.7834</v>
      </c>
      <c r="AA403" s="29" t="s">
        <v>43</v>
      </c>
      <c r="AB403">
        <v>31199</v>
      </c>
      <c r="AC403">
        <v>70</v>
      </c>
      <c r="AD403">
        <v>4</v>
      </c>
      <c r="AE403">
        <v>13.07</v>
      </c>
      <c r="AF403">
        <v>13.07</v>
      </c>
      <c r="AG403" s="29" t="s">
        <v>216</v>
      </c>
      <c r="AH403" s="29" t="s">
        <v>587</v>
      </c>
      <c r="AI403" s="29" t="s">
        <v>257</v>
      </c>
      <c r="AJ403" s="29" t="s">
        <v>588</v>
      </c>
      <c r="AL403" s="29" t="s">
        <v>217</v>
      </c>
    </row>
    <row r="404" spans="15:38">
      <c r="O404" t="s">
        <v>44</v>
      </c>
      <c r="P404" t="s">
        <v>43</v>
      </c>
      <c r="Q404" t="s">
        <v>28</v>
      </c>
      <c r="R404" t="s">
        <v>65</v>
      </c>
      <c r="S404">
        <v>2024.09</v>
      </c>
      <c r="T404">
        <v>22673.67</v>
      </c>
      <c r="U404">
        <v>67852.7834</v>
      </c>
      <c r="V404">
        <v>67852.7834</v>
      </c>
      <c r="AA404" s="29" t="s">
        <v>43</v>
      </c>
      <c r="AB404">
        <v>31199</v>
      </c>
      <c r="AC404">
        <v>70</v>
      </c>
      <c r="AD404">
        <v>4</v>
      </c>
      <c r="AE404">
        <v>26.75</v>
      </c>
      <c r="AF404">
        <v>26.75</v>
      </c>
      <c r="AG404" s="29" t="s">
        <v>216</v>
      </c>
      <c r="AH404" s="29" t="s">
        <v>474</v>
      </c>
      <c r="AI404" s="29" t="s">
        <v>257</v>
      </c>
      <c r="AJ404" s="29" t="s">
        <v>581</v>
      </c>
      <c r="AL404" s="29" t="s">
        <v>217</v>
      </c>
    </row>
    <row r="405" spans="15:38">
      <c r="O405" t="s">
        <v>44</v>
      </c>
      <c r="P405" t="s">
        <v>43</v>
      </c>
      <c r="Q405" t="s">
        <v>28</v>
      </c>
      <c r="R405" t="s">
        <v>65</v>
      </c>
      <c r="S405">
        <v>2024.1</v>
      </c>
      <c r="T405">
        <v>22673.67</v>
      </c>
      <c r="U405">
        <v>67852.7834</v>
      </c>
      <c r="V405">
        <v>67852.7834</v>
      </c>
      <c r="AA405" s="29" t="s">
        <v>43</v>
      </c>
      <c r="AB405">
        <v>31199</v>
      </c>
      <c r="AC405">
        <v>70</v>
      </c>
      <c r="AD405">
        <v>4</v>
      </c>
      <c r="AE405">
        <v>53.5</v>
      </c>
      <c r="AF405">
        <v>53.5</v>
      </c>
      <c r="AG405" s="29" t="s">
        <v>216</v>
      </c>
      <c r="AH405" s="29" t="s">
        <v>333</v>
      </c>
      <c r="AI405" s="29" t="s">
        <v>257</v>
      </c>
      <c r="AJ405" s="29" t="s">
        <v>335</v>
      </c>
      <c r="AL405" s="29" t="s">
        <v>217</v>
      </c>
    </row>
    <row r="406" spans="15:38">
      <c r="O406" t="s">
        <v>44</v>
      </c>
      <c r="P406" t="s">
        <v>43</v>
      </c>
      <c r="Q406" t="s">
        <v>28</v>
      </c>
      <c r="R406" t="s">
        <v>65</v>
      </c>
      <c r="S406">
        <v>2024.11</v>
      </c>
      <c r="T406">
        <v>22673.67</v>
      </c>
      <c r="U406">
        <v>67852.7834</v>
      </c>
      <c r="V406">
        <v>67852.7834</v>
      </c>
      <c r="AA406" s="29" t="s">
        <v>43</v>
      </c>
      <c r="AB406">
        <v>31199</v>
      </c>
      <c r="AC406">
        <v>70</v>
      </c>
      <c r="AD406">
        <v>4</v>
      </c>
      <c r="AE406">
        <v>211.28</v>
      </c>
      <c r="AF406">
        <v>211.28</v>
      </c>
      <c r="AG406" s="29" t="s">
        <v>216</v>
      </c>
      <c r="AH406" s="29" t="s">
        <v>602</v>
      </c>
      <c r="AI406" s="29" t="s">
        <v>257</v>
      </c>
      <c r="AJ406" s="29" t="s">
        <v>603</v>
      </c>
      <c r="AL406" s="29" t="s">
        <v>217</v>
      </c>
    </row>
    <row r="407" spans="15:38">
      <c r="O407" t="s">
        <v>44</v>
      </c>
      <c r="P407" t="s">
        <v>43</v>
      </c>
      <c r="Q407" t="s">
        <v>28</v>
      </c>
      <c r="R407" t="s">
        <v>65</v>
      </c>
      <c r="S407">
        <v>2024.14</v>
      </c>
      <c r="T407">
        <v>22673.67</v>
      </c>
      <c r="U407">
        <v>67852.7834</v>
      </c>
      <c r="V407">
        <v>67852.7834</v>
      </c>
      <c r="AA407" s="29" t="s">
        <v>43</v>
      </c>
      <c r="AB407">
        <v>31199</v>
      </c>
      <c r="AC407">
        <v>70</v>
      </c>
      <c r="AD407">
        <v>4</v>
      </c>
      <c r="AE407">
        <v>342.4</v>
      </c>
      <c r="AF407">
        <v>342.4</v>
      </c>
      <c r="AG407" s="29" t="s">
        <v>216</v>
      </c>
      <c r="AH407" s="29" t="s">
        <v>614</v>
      </c>
      <c r="AI407" s="29" t="s">
        <v>257</v>
      </c>
      <c r="AJ407" s="29" t="s">
        <v>615</v>
      </c>
      <c r="AL407" s="29" t="s">
        <v>217</v>
      </c>
    </row>
    <row r="408" spans="15:38">
      <c r="O408" t="s">
        <v>44</v>
      </c>
      <c r="P408" t="s">
        <v>43</v>
      </c>
      <c r="Q408" t="s">
        <v>28</v>
      </c>
      <c r="R408" t="s">
        <v>65</v>
      </c>
      <c r="S408">
        <v>2024.17</v>
      </c>
      <c r="T408">
        <v>22758.91</v>
      </c>
      <c r="U408">
        <v>67852.7834</v>
      </c>
      <c r="V408">
        <v>67852.7834</v>
      </c>
      <c r="AA408" s="29" t="s">
        <v>43</v>
      </c>
      <c r="AB408">
        <v>31199</v>
      </c>
      <c r="AC408">
        <v>70</v>
      </c>
      <c r="AD408">
        <v>4</v>
      </c>
      <c r="AE408">
        <v>43.32</v>
      </c>
      <c r="AF408">
        <v>43.32</v>
      </c>
      <c r="AG408" s="29" t="s">
        <v>216</v>
      </c>
      <c r="AH408" s="29" t="s">
        <v>331</v>
      </c>
      <c r="AI408" s="29" t="s">
        <v>257</v>
      </c>
      <c r="AJ408" s="29" t="s">
        <v>332</v>
      </c>
      <c r="AL408" s="29" t="s">
        <v>217</v>
      </c>
    </row>
    <row r="409" spans="15:38">
      <c r="O409" t="s">
        <v>44</v>
      </c>
      <c r="P409" t="s">
        <v>43</v>
      </c>
      <c r="Q409" t="s">
        <v>28</v>
      </c>
      <c r="R409" t="s">
        <v>65</v>
      </c>
      <c r="S409">
        <v>2024.18</v>
      </c>
      <c r="T409">
        <v>45572.26</v>
      </c>
      <c r="U409">
        <v>67852.7834</v>
      </c>
      <c r="V409">
        <v>67852.7834</v>
      </c>
      <c r="AA409" s="29" t="s">
        <v>43</v>
      </c>
      <c r="AB409">
        <v>31199</v>
      </c>
      <c r="AC409">
        <v>70</v>
      </c>
      <c r="AD409">
        <v>4</v>
      </c>
      <c r="AE409">
        <v>42.8</v>
      </c>
      <c r="AF409">
        <v>42.8</v>
      </c>
      <c r="AG409" s="29" t="s">
        <v>216</v>
      </c>
      <c r="AH409" s="29" t="s">
        <v>319</v>
      </c>
      <c r="AI409" s="29" t="s">
        <v>257</v>
      </c>
      <c r="AJ409" s="29" t="s">
        <v>449</v>
      </c>
      <c r="AL409" s="29" t="s">
        <v>217</v>
      </c>
    </row>
    <row r="410" spans="15:38">
      <c r="O410" t="s">
        <v>44</v>
      </c>
      <c r="P410" t="s">
        <v>43</v>
      </c>
      <c r="Q410" t="s">
        <v>28</v>
      </c>
      <c r="R410" t="s">
        <v>65</v>
      </c>
      <c r="S410">
        <v>2024.19</v>
      </c>
      <c r="T410">
        <v>22758.91</v>
      </c>
      <c r="U410">
        <v>67852.7834</v>
      </c>
      <c r="V410">
        <v>67852.7834</v>
      </c>
      <c r="AA410" s="29" t="s">
        <v>43</v>
      </c>
      <c r="AB410">
        <v>31199</v>
      </c>
      <c r="AC410">
        <v>70</v>
      </c>
      <c r="AD410">
        <v>4</v>
      </c>
      <c r="AE410">
        <v>107</v>
      </c>
      <c r="AF410">
        <v>107</v>
      </c>
      <c r="AG410" s="29" t="s">
        <v>216</v>
      </c>
      <c r="AH410" s="29" t="s">
        <v>616</v>
      </c>
      <c r="AI410" s="29" t="s">
        <v>257</v>
      </c>
      <c r="AJ410" s="29" t="s">
        <v>617</v>
      </c>
      <c r="AL410" s="29" t="s">
        <v>217</v>
      </c>
    </row>
    <row r="411" spans="15:38">
      <c r="O411" t="s">
        <v>44</v>
      </c>
      <c r="P411" t="s">
        <v>43</v>
      </c>
      <c r="Q411" t="s">
        <v>28</v>
      </c>
      <c r="R411" t="s">
        <v>65</v>
      </c>
      <c r="S411">
        <v>2024.2</v>
      </c>
      <c r="T411">
        <v>22758.91</v>
      </c>
      <c r="U411">
        <v>67852.7834</v>
      </c>
      <c r="V411">
        <v>67852.7834</v>
      </c>
      <c r="AA411" s="29" t="s">
        <v>43</v>
      </c>
      <c r="AB411">
        <v>31199</v>
      </c>
      <c r="AC411">
        <v>70</v>
      </c>
      <c r="AD411">
        <v>4</v>
      </c>
      <c r="AE411">
        <v>107</v>
      </c>
      <c r="AF411">
        <v>107</v>
      </c>
      <c r="AG411" s="29" t="s">
        <v>216</v>
      </c>
      <c r="AH411" s="29" t="s">
        <v>616</v>
      </c>
      <c r="AI411" s="29" t="s">
        <v>257</v>
      </c>
      <c r="AJ411" s="29" t="s">
        <v>618</v>
      </c>
      <c r="AL411" s="29" t="s">
        <v>217</v>
      </c>
    </row>
    <row r="412" spans="15:38">
      <c r="O412" t="s">
        <v>44</v>
      </c>
      <c r="P412" t="s">
        <v>43</v>
      </c>
      <c r="Q412" t="s">
        <v>28</v>
      </c>
      <c r="R412" t="s">
        <v>65</v>
      </c>
      <c r="S412">
        <v>2024.21</v>
      </c>
      <c r="T412">
        <v>22758.91</v>
      </c>
      <c r="U412">
        <v>67852.7834</v>
      </c>
      <c r="V412">
        <v>67852.7834</v>
      </c>
      <c r="AA412" s="29" t="s">
        <v>43</v>
      </c>
      <c r="AB412">
        <v>31199</v>
      </c>
      <c r="AC412">
        <v>70</v>
      </c>
      <c r="AD412">
        <v>4</v>
      </c>
      <c r="AE412">
        <v>42.8</v>
      </c>
      <c r="AF412">
        <v>42.8</v>
      </c>
      <c r="AG412" s="29" t="s">
        <v>216</v>
      </c>
      <c r="AH412" s="29" t="s">
        <v>319</v>
      </c>
      <c r="AI412" s="29" t="s">
        <v>257</v>
      </c>
      <c r="AJ412" s="29" t="s">
        <v>346</v>
      </c>
      <c r="AL412" s="29" t="s">
        <v>217</v>
      </c>
    </row>
    <row r="413" spans="15:38">
      <c r="O413" t="s">
        <v>44</v>
      </c>
      <c r="P413" t="s">
        <v>43</v>
      </c>
      <c r="Q413" t="s">
        <v>28</v>
      </c>
      <c r="R413" t="s">
        <v>65</v>
      </c>
      <c r="S413">
        <v>2024.28</v>
      </c>
      <c r="T413">
        <v>22802.3</v>
      </c>
      <c r="U413">
        <v>67852.7834</v>
      </c>
      <c r="V413">
        <v>67852.7834</v>
      </c>
      <c r="AA413" s="29" t="s">
        <v>43</v>
      </c>
      <c r="AB413">
        <v>31199</v>
      </c>
      <c r="AC413">
        <v>70</v>
      </c>
      <c r="AD413">
        <v>4</v>
      </c>
      <c r="AE413">
        <v>108.7</v>
      </c>
      <c r="AF413">
        <v>108.7</v>
      </c>
      <c r="AG413" s="29" t="s">
        <v>216</v>
      </c>
      <c r="AH413" s="29" t="s">
        <v>619</v>
      </c>
      <c r="AI413" s="29" t="s">
        <v>257</v>
      </c>
      <c r="AJ413" s="29" t="s">
        <v>620</v>
      </c>
      <c r="AL413" s="29" t="s">
        <v>217</v>
      </c>
    </row>
    <row r="414" spans="15:38">
      <c r="O414" t="s">
        <v>44</v>
      </c>
      <c r="P414" t="s">
        <v>43</v>
      </c>
      <c r="Q414" t="s">
        <v>28</v>
      </c>
      <c r="R414" t="s">
        <v>65</v>
      </c>
      <c r="S414">
        <v>2024.38</v>
      </c>
      <c r="T414">
        <v>45572.26</v>
      </c>
      <c r="U414">
        <v>67852.7834</v>
      </c>
      <c r="V414">
        <v>67852.7834</v>
      </c>
      <c r="AA414" s="29" t="s">
        <v>43</v>
      </c>
      <c r="AB414">
        <v>31199</v>
      </c>
      <c r="AC414">
        <v>70</v>
      </c>
      <c r="AD414">
        <v>4</v>
      </c>
      <c r="AE414">
        <v>425.98</v>
      </c>
      <c r="AF414">
        <v>425.98</v>
      </c>
      <c r="AG414" s="29" t="s">
        <v>216</v>
      </c>
      <c r="AH414" s="29" t="s">
        <v>621</v>
      </c>
      <c r="AI414" s="29" t="s">
        <v>257</v>
      </c>
      <c r="AJ414" s="29" t="s">
        <v>622</v>
      </c>
      <c r="AL414" s="29" t="s">
        <v>217</v>
      </c>
    </row>
    <row r="415" spans="15:38">
      <c r="O415" t="s">
        <v>44</v>
      </c>
      <c r="P415" t="s">
        <v>43</v>
      </c>
      <c r="Q415" t="s">
        <v>28</v>
      </c>
      <c r="R415" t="s">
        <v>65</v>
      </c>
      <c r="S415">
        <v>2024.39</v>
      </c>
      <c r="T415">
        <v>22813.35</v>
      </c>
      <c r="U415">
        <v>67852.7834</v>
      </c>
      <c r="V415">
        <v>67852.7834</v>
      </c>
      <c r="AA415" s="29" t="s">
        <v>43</v>
      </c>
      <c r="AB415">
        <v>31199</v>
      </c>
      <c r="AC415">
        <v>70</v>
      </c>
      <c r="AD415">
        <v>4</v>
      </c>
      <c r="AE415">
        <v>0</v>
      </c>
      <c r="AF415">
        <v>0</v>
      </c>
      <c r="AG415" s="29" t="s">
        <v>216</v>
      </c>
      <c r="AH415" s="29" t="s">
        <v>218</v>
      </c>
      <c r="AI415" s="29" t="s">
        <v>257</v>
      </c>
      <c r="AJ415" s="29" t="s">
        <v>623</v>
      </c>
      <c r="AL415" s="29" t="s">
        <v>217</v>
      </c>
    </row>
    <row r="416" spans="15:38">
      <c r="O416" t="s">
        <v>44</v>
      </c>
      <c r="P416" t="s">
        <v>43</v>
      </c>
      <c r="Q416" t="s">
        <v>28</v>
      </c>
      <c r="R416" t="s">
        <v>65</v>
      </c>
      <c r="S416">
        <v>2024.41</v>
      </c>
      <c r="T416">
        <v>22813.35</v>
      </c>
      <c r="U416">
        <v>67852.7834</v>
      </c>
      <c r="V416">
        <v>67852.7834</v>
      </c>
      <c r="AA416" s="29" t="s">
        <v>43</v>
      </c>
      <c r="AB416">
        <v>31199</v>
      </c>
      <c r="AC416">
        <v>70</v>
      </c>
      <c r="AD416">
        <v>4</v>
      </c>
      <c r="AE416">
        <v>372.36</v>
      </c>
      <c r="AF416">
        <v>372.36</v>
      </c>
      <c r="AG416" s="29" t="s">
        <v>216</v>
      </c>
      <c r="AH416" s="29" t="s">
        <v>624</v>
      </c>
      <c r="AI416" s="29" t="s">
        <v>257</v>
      </c>
      <c r="AJ416" s="29" t="s">
        <v>625</v>
      </c>
      <c r="AL416" s="29" t="s">
        <v>217</v>
      </c>
    </row>
    <row r="417" spans="15:38">
      <c r="O417" t="s">
        <v>44</v>
      </c>
      <c r="P417" t="s">
        <v>43</v>
      </c>
      <c r="Q417" t="s">
        <v>28</v>
      </c>
      <c r="R417" t="s">
        <v>65</v>
      </c>
      <c r="S417">
        <v>2024.43</v>
      </c>
      <c r="T417">
        <v>22813.35</v>
      </c>
      <c r="U417">
        <v>67852.7834</v>
      </c>
      <c r="V417">
        <v>67852.7834</v>
      </c>
      <c r="AA417" s="29" t="s">
        <v>43</v>
      </c>
      <c r="AB417">
        <v>31199</v>
      </c>
      <c r="AC417">
        <v>70</v>
      </c>
      <c r="AD417">
        <v>4</v>
      </c>
      <c r="AE417">
        <v>406.6</v>
      </c>
      <c r="AF417">
        <v>406.6</v>
      </c>
      <c r="AG417" s="29" t="s">
        <v>216</v>
      </c>
      <c r="AH417" s="29" t="s">
        <v>610</v>
      </c>
      <c r="AI417" s="29" t="s">
        <v>257</v>
      </c>
      <c r="AJ417" s="29" t="s">
        <v>611</v>
      </c>
      <c r="AL417" s="29" t="s">
        <v>217</v>
      </c>
    </row>
    <row r="418" spans="15:38">
      <c r="O418" t="s">
        <v>44</v>
      </c>
      <c r="P418" t="s">
        <v>43</v>
      </c>
      <c r="Q418" t="s">
        <v>28</v>
      </c>
      <c r="R418" t="s">
        <v>65</v>
      </c>
      <c r="S418">
        <v>2024.44</v>
      </c>
      <c r="T418">
        <v>22813.35</v>
      </c>
      <c r="U418">
        <v>67852.7834</v>
      </c>
      <c r="V418">
        <v>22813.35</v>
      </c>
      <c r="AA418" s="29" t="s">
        <v>43</v>
      </c>
      <c r="AB418">
        <v>31199</v>
      </c>
      <c r="AC418">
        <v>70</v>
      </c>
      <c r="AD418">
        <v>4</v>
      </c>
      <c r="AE418">
        <v>684.8</v>
      </c>
      <c r="AF418">
        <v>684.8</v>
      </c>
      <c r="AG418" s="29" t="s">
        <v>216</v>
      </c>
      <c r="AH418" s="29" t="s">
        <v>612</v>
      </c>
      <c r="AI418" s="29" t="s">
        <v>257</v>
      </c>
      <c r="AJ418" s="29" t="s">
        <v>613</v>
      </c>
      <c r="AL418" s="29" t="s">
        <v>217</v>
      </c>
    </row>
    <row r="419" spans="15:38">
      <c r="O419" t="s">
        <v>44</v>
      </c>
      <c r="P419" t="s">
        <v>43</v>
      </c>
      <c r="Q419" t="s">
        <v>28</v>
      </c>
      <c r="R419" t="s">
        <v>65</v>
      </c>
      <c r="S419">
        <v>2024.45</v>
      </c>
      <c r="T419">
        <v>22813.35</v>
      </c>
      <c r="U419">
        <v>67852.7834</v>
      </c>
      <c r="V419">
        <v>22813.35</v>
      </c>
      <c r="AA419" s="29" t="s">
        <v>43</v>
      </c>
      <c r="AB419">
        <v>31199</v>
      </c>
      <c r="AC419">
        <v>70</v>
      </c>
      <c r="AD419">
        <v>4</v>
      </c>
      <c r="AE419">
        <v>43.32</v>
      </c>
      <c r="AF419">
        <v>43.32</v>
      </c>
      <c r="AG419" s="29" t="s">
        <v>216</v>
      </c>
      <c r="AH419" s="29" t="s">
        <v>331</v>
      </c>
      <c r="AI419" s="29" t="s">
        <v>257</v>
      </c>
      <c r="AJ419" s="29" t="s">
        <v>332</v>
      </c>
      <c r="AL419" s="29" t="s">
        <v>217</v>
      </c>
    </row>
    <row r="420" spans="15:38">
      <c r="O420" t="s">
        <v>44</v>
      </c>
      <c r="P420" t="s">
        <v>43</v>
      </c>
      <c r="Q420" t="s">
        <v>28</v>
      </c>
      <c r="R420" t="s">
        <v>65</v>
      </c>
      <c r="S420">
        <v>2024.47</v>
      </c>
      <c r="T420">
        <v>22813.35</v>
      </c>
      <c r="U420">
        <v>67852.7834</v>
      </c>
      <c r="V420">
        <v>22813.35</v>
      </c>
      <c r="AA420" s="29" t="s">
        <v>43</v>
      </c>
      <c r="AB420">
        <v>31199</v>
      </c>
      <c r="AC420">
        <v>70</v>
      </c>
      <c r="AD420">
        <v>4</v>
      </c>
      <c r="AE420">
        <v>582.08000000000004</v>
      </c>
      <c r="AF420">
        <v>582.08000000000004</v>
      </c>
      <c r="AG420" s="29" t="s">
        <v>216</v>
      </c>
      <c r="AH420" s="29" t="s">
        <v>555</v>
      </c>
      <c r="AI420" s="29" t="s">
        <v>257</v>
      </c>
      <c r="AJ420" s="29" t="s">
        <v>626</v>
      </c>
      <c r="AL420" s="29" t="s">
        <v>217</v>
      </c>
    </row>
    <row r="421" spans="15:38">
      <c r="O421" t="s">
        <v>44</v>
      </c>
      <c r="P421" t="s">
        <v>43</v>
      </c>
      <c r="Q421" t="s">
        <v>28</v>
      </c>
      <c r="R421" t="s">
        <v>65</v>
      </c>
      <c r="S421">
        <v>2024.48</v>
      </c>
      <c r="T421">
        <v>22813.35</v>
      </c>
      <c r="U421">
        <v>67852.7834</v>
      </c>
      <c r="V421">
        <v>22813.35</v>
      </c>
      <c r="AA421" s="29" t="s">
        <v>43</v>
      </c>
      <c r="AB421">
        <v>31199</v>
      </c>
      <c r="AC421">
        <v>70</v>
      </c>
      <c r="AD421">
        <v>4</v>
      </c>
      <c r="AE421">
        <v>13.07</v>
      </c>
      <c r="AF421">
        <v>13.07</v>
      </c>
      <c r="AG421" s="29" t="s">
        <v>216</v>
      </c>
      <c r="AH421" s="29" t="s">
        <v>587</v>
      </c>
      <c r="AI421" s="29" t="s">
        <v>257</v>
      </c>
      <c r="AJ421" s="29" t="s">
        <v>588</v>
      </c>
      <c r="AL421" s="29" t="s">
        <v>217</v>
      </c>
    </row>
    <row r="422" spans="15:38">
      <c r="O422" t="s">
        <v>44</v>
      </c>
      <c r="P422" t="s">
        <v>43</v>
      </c>
      <c r="Q422" t="s">
        <v>28</v>
      </c>
      <c r="R422" t="s">
        <v>65</v>
      </c>
      <c r="S422">
        <v>2024.49</v>
      </c>
      <c r="T422">
        <v>22813.35</v>
      </c>
      <c r="U422">
        <v>67852.7834</v>
      </c>
      <c r="V422">
        <v>22813.35</v>
      </c>
      <c r="AA422" s="29" t="s">
        <v>43</v>
      </c>
      <c r="AB422">
        <v>31199</v>
      </c>
      <c r="AC422">
        <v>70</v>
      </c>
      <c r="AD422">
        <v>4</v>
      </c>
      <c r="AE422">
        <v>1078</v>
      </c>
      <c r="AF422">
        <v>1078</v>
      </c>
      <c r="AG422" s="29" t="s">
        <v>216</v>
      </c>
      <c r="AH422" s="29" t="s">
        <v>627</v>
      </c>
      <c r="AI422" s="29" t="s">
        <v>257</v>
      </c>
      <c r="AJ422" s="29" t="s">
        <v>628</v>
      </c>
      <c r="AL422" s="29" t="s">
        <v>217</v>
      </c>
    </row>
    <row r="423" spans="15:38">
      <c r="O423" t="s">
        <v>44</v>
      </c>
      <c r="P423" t="s">
        <v>43</v>
      </c>
      <c r="Q423" t="s">
        <v>28</v>
      </c>
      <c r="R423" t="s">
        <v>65</v>
      </c>
      <c r="S423">
        <v>2024.52</v>
      </c>
      <c r="T423">
        <v>22813.35</v>
      </c>
      <c r="U423">
        <v>67852.7834</v>
      </c>
      <c r="V423">
        <v>22813.35</v>
      </c>
      <c r="AA423" s="29" t="s">
        <v>43</v>
      </c>
      <c r="AB423">
        <v>31199</v>
      </c>
      <c r="AC423">
        <v>70</v>
      </c>
      <c r="AD423">
        <v>4</v>
      </c>
      <c r="AE423">
        <v>0</v>
      </c>
      <c r="AF423">
        <v>0</v>
      </c>
      <c r="AG423" s="29" t="s">
        <v>216</v>
      </c>
      <c r="AH423" s="29" t="s">
        <v>218</v>
      </c>
      <c r="AI423" s="29" t="s">
        <v>257</v>
      </c>
      <c r="AJ423" s="29" t="s">
        <v>557</v>
      </c>
      <c r="AL423" s="29" t="s">
        <v>217</v>
      </c>
    </row>
    <row r="424" spans="15:38">
      <c r="O424" t="s">
        <v>44</v>
      </c>
      <c r="P424" t="s">
        <v>43</v>
      </c>
      <c r="Q424" t="s">
        <v>28</v>
      </c>
      <c r="R424" t="s">
        <v>65</v>
      </c>
      <c r="S424">
        <v>2025.03</v>
      </c>
      <c r="T424">
        <v>22813.35</v>
      </c>
      <c r="U424">
        <v>67852.7834</v>
      </c>
      <c r="V424">
        <v>22813.35</v>
      </c>
      <c r="AA424" s="29" t="s">
        <v>43</v>
      </c>
      <c r="AB424">
        <v>31199</v>
      </c>
      <c r="AC424">
        <v>70</v>
      </c>
      <c r="AD424">
        <v>4</v>
      </c>
      <c r="AE424">
        <v>0</v>
      </c>
      <c r="AF424">
        <v>0</v>
      </c>
      <c r="AG424" s="29" t="s">
        <v>216</v>
      </c>
      <c r="AH424" s="29" t="s">
        <v>218</v>
      </c>
      <c r="AI424" s="29" t="s">
        <v>257</v>
      </c>
      <c r="AJ424" s="29" t="s">
        <v>623</v>
      </c>
      <c r="AL424" s="29" t="s">
        <v>217</v>
      </c>
    </row>
    <row r="425" spans="15:38">
      <c r="O425" t="s">
        <v>44</v>
      </c>
      <c r="P425" t="s">
        <v>43</v>
      </c>
      <c r="Q425" t="s">
        <v>28</v>
      </c>
      <c r="R425" t="s">
        <v>65</v>
      </c>
      <c r="S425">
        <v>2025.12</v>
      </c>
      <c r="T425">
        <v>22813.35</v>
      </c>
      <c r="U425">
        <v>67852.7834</v>
      </c>
      <c r="V425">
        <v>22813.35</v>
      </c>
      <c r="AA425" s="29" t="s">
        <v>43</v>
      </c>
      <c r="AB425">
        <v>31199</v>
      </c>
      <c r="AC425">
        <v>70</v>
      </c>
      <c r="AD425">
        <v>4</v>
      </c>
      <c r="AE425">
        <v>4469</v>
      </c>
      <c r="AF425">
        <v>4469</v>
      </c>
      <c r="AG425" s="29" t="s">
        <v>216</v>
      </c>
      <c r="AH425" s="29" t="s">
        <v>629</v>
      </c>
      <c r="AI425" s="29" t="s">
        <v>257</v>
      </c>
      <c r="AJ425" s="29" t="s">
        <v>630</v>
      </c>
      <c r="AL425" s="29" t="s">
        <v>217</v>
      </c>
    </row>
    <row r="426" spans="15:38">
      <c r="O426" t="s">
        <v>44</v>
      </c>
      <c r="P426" t="s">
        <v>43</v>
      </c>
      <c r="Q426" t="s">
        <v>28</v>
      </c>
      <c r="R426" t="s">
        <v>57</v>
      </c>
      <c r="S426">
        <v>2023.44</v>
      </c>
      <c r="T426">
        <v>0</v>
      </c>
      <c r="U426">
        <v>58971.636599999998</v>
      </c>
      <c r="V426">
        <v>58971.636599999998</v>
      </c>
      <c r="AA426" s="29" t="s">
        <v>43</v>
      </c>
      <c r="AB426">
        <v>31199</v>
      </c>
      <c r="AC426">
        <v>70</v>
      </c>
      <c r="AD426">
        <v>4</v>
      </c>
      <c r="AE426">
        <v>4469</v>
      </c>
      <c r="AF426">
        <v>4469</v>
      </c>
      <c r="AG426" s="29" t="s">
        <v>216</v>
      </c>
      <c r="AH426" s="29" t="s">
        <v>629</v>
      </c>
      <c r="AI426" s="29" t="s">
        <v>257</v>
      </c>
      <c r="AJ426" s="29" t="s">
        <v>630</v>
      </c>
      <c r="AL426" s="29" t="s">
        <v>217</v>
      </c>
    </row>
    <row r="427" spans="15:38">
      <c r="O427" t="s">
        <v>44</v>
      </c>
      <c r="P427" t="s">
        <v>43</v>
      </c>
      <c r="Q427" t="s">
        <v>28</v>
      </c>
      <c r="R427" t="s">
        <v>57</v>
      </c>
      <c r="S427">
        <v>2023.51</v>
      </c>
      <c r="T427">
        <v>22882.63</v>
      </c>
      <c r="U427">
        <v>58971.636599999998</v>
      </c>
      <c r="V427">
        <v>58971.636599999998</v>
      </c>
      <c r="AA427" s="29" t="s">
        <v>43</v>
      </c>
      <c r="AB427">
        <v>31199</v>
      </c>
      <c r="AC427">
        <v>70</v>
      </c>
      <c r="AD427">
        <v>4</v>
      </c>
      <c r="AE427">
        <v>128.4</v>
      </c>
      <c r="AF427">
        <v>128.4</v>
      </c>
      <c r="AG427" s="29" t="s">
        <v>216</v>
      </c>
      <c r="AH427" s="29" t="s">
        <v>631</v>
      </c>
      <c r="AI427" s="29" t="s">
        <v>257</v>
      </c>
      <c r="AJ427" s="29" t="s">
        <v>632</v>
      </c>
      <c r="AL427" s="29" t="s">
        <v>217</v>
      </c>
    </row>
    <row r="428" spans="15:38">
      <c r="O428" t="s">
        <v>44</v>
      </c>
      <c r="P428" t="s">
        <v>43</v>
      </c>
      <c r="Q428" t="s">
        <v>28</v>
      </c>
      <c r="R428" t="s">
        <v>57</v>
      </c>
      <c r="S428">
        <v>2024.06</v>
      </c>
      <c r="T428">
        <v>22999.52</v>
      </c>
      <c r="U428">
        <v>58971.636599999998</v>
      </c>
      <c r="V428">
        <v>58971.636599999998</v>
      </c>
      <c r="AA428" s="29" t="s">
        <v>43</v>
      </c>
      <c r="AB428">
        <v>31199</v>
      </c>
      <c r="AC428">
        <v>70</v>
      </c>
      <c r="AD428">
        <v>4</v>
      </c>
      <c r="AE428">
        <v>26.75</v>
      </c>
      <c r="AF428">
        <v>26.75</v>
      </c>
      <c r="AG428" s="29" t="s">
        <v>216</v>
      </c>
      <c r="AH428" s="29" t="s">
        <v>474</v>
      </c>
      <c r="AI428" s="29" t="s">
        <v>257</v>
      </c>
      <c r="AJ428" s="29" t="s">
        <v>633</v>
      </c>
      <c r="AL428" s="29" t="s">
        <v>217</v>
      </c>
    </row>
    <row r="429" spans="15:38">
      <c r="O429" t="s">
        <v>44</v>
      </c>
      <c r="P429" t="s">
        <v>43</v>
      </c>
      <c r="Q429" t="s">
        <v>28</v>
      </c>
      <c r="R429" t="s">
        <v>57</v>
      </c>
      <c r="S429">
        <v>2024.07</v>
      </c>
      <c r="T429">
        <v>22999.52</v>
      </c>
      <c r="U429">
        <v>58971.636599999998</v>
      </c>
      <c r="V429">
        <v>58971.636599999998</v>
      </c>
      <c r="AA429" s="29" t="s">
        <v>43</v>
      </c>
      <c r="AB429">
        <v>31199</v>
      </c>
      <c r="AC429">
        <v>70</v>
      </c>
      <c r="AD429">
        <v>4</v>
      </c>
      <c r="AE429">
        <v>26.75</v>
      </c>
      <c r="AF429">
        <v>26.75</v>
      </c>
      <c r="AG429" s="29" t="s">
        <v>216</v>
      </c>
      <c r="AH429" s="29" t="s">
        <v>474</v>
      </c>
      <c r="AI429" s="29" t="s">
        <v>257</v>
      </c>
      <c r="AJ429" s="29" t="s">
        <v>634</v>
      </c>
      <c r="AL429" s="29" t="s">
        <v>217</v>
      </c>
    </row>
    <row r="430" spans="15:38">
      <c r="O430" t="s">
        <v>44</v>
      </c>
      <c r="P430" t="s">
        <v>43</v>
      </c>
      <c r="Q430" t="s">
        <v>28</v>
      </c>
      <c r="R430" t="s">
        <v>57</v>
      </c>
      <c r="S430">
        <v>2024.08</v>
      </c>
      <c r="T430">
        <v>23483.86</v>
      </c>
      <c r="U430">
        <v>58971.636599999998</v>
      </c>
      <c r="V430">
        <v>58971.636599999998</v>
      </c>
      <c r="AA430" s="29" t="s">
        <v>43</v>
      </c>
      <c r="AB430">
        <v>31199</v>
      </c>
      <c r="AC430">
        <v>70</v>
      </c>
      <c r="AD430">
        <v>4</v>
      </c>
      <c r="AE430">
        <v>590</v>
      </c>
      <c r="AF430">
        <v>590</v>
      </c>
      <c r="AG430" s="29" t="s">
        <v>216</v>
      </c>
      <c r="AH430" s="29" t="s">
        <v>635</v>
      </c>
      <c r="AI430" s="29" t="s">
        <v>257</v>
      </c>
      <c r="AJ430" s="29" t="s">
        <v>636</v>
      </c>
      <c r="AL430" s="29" t="s">
        <v>217</v>
      </c>
    </row>
    <row r="431" spans="15:38">
      <c r="O431" t="s">
        <v>44</v>
      </c>
      <c r="P431" t="s">
        <v>43</v>
      </c>
      <c r="Q431" t="s">
        <v>28</v>
      </c>
      <c r="R431" t="s">
        <v>57</v>
      </c>
      <c r="S431">
        <v>2024.09</v>
      </c>
      <c r="T431">
        <v>23483.86</v>
      </c>
      <c r="U431">
        <v>58971.636599999998</v>
      </c>
      <c r="V431">
        <v>58971.636599999998</v>
      </c>
      <c r="AA431" s="29" t="s">
        <v>43</v>
      </c>
      <c r="AB431">
        <v>31199</v>
      </c>
      <c r="AC431">
        <v>70</v>
      </c>
      <c r="AD431">
        <v>4</v>
      </c>
      <c r="AE431">
        <v>1525.05</v>
      </c>
      <c r="AF431">
        <v>1525.05</v>
      </c>
      <c r="AG431" s="29" t="s">
        <v>216</v>
      </c>
      <c r="AH431" s="29" t="s">
        <v>637</v>
      </c>
      <c r="AI431" s="29" t="s">
        <v>257</v>
      </c>
      <c r="AJ431" s="29" t="s">
        <v>638</v>
      </c>
      <c r="AL431" s="29" t="s">
        <v>217</v>
      </c>
    </row>
    <row r="432" spans="15:38">
      <c r="O432" t="s">
        <v>44</v>
      </c>
      <c r="P432" t="s">
        <v>43</v>
      </c>
      <c r="Q432" t="s">
        <v>28</v>
      </c>
      <c r="R432" t="s">
        <v>57</v>
      </c>
      <c r="S432">
        <v>2024.1</v>
      </c>
      <c r="T432">
        <v>23483.86</v>
      </c>
      <c r="U432">
        <v>58971.636599999998</v>
      </c>
      <c r="V432">
        <v>58971.636599999998</v>
      </c>
      <c r="AA432" s="29" t="s">
        <v>43</v>
      </c>
      <c r="AB432">
        <v>31199</v>
      </c>
      <c r="AC432">
        <v>70</v>
      </c>
      <c r="AD432">
        <v>4</v>
      </c>
      <c r="AE432">
        <v>684.8</v>
      </c>
      <c r="AF432">
        <v>684.8</v>
      </c>
      <c r="AG432" s="29" t="s">
        <v>216</v>
      </c>
      <c r="AH432" s="29" t="s">
        <v>612</v>
      </c>
      <c r="AI432" s="29" t="s">
        <v>257</v>
      </c>
      <c r="AJ432" s="29" t="s">
        <v>613</v>
      </c>
      <c r="AL432" s="29" t="s">
        <v>217</v>
      </c>
    </row>
    <row r="433" spans="15:38">
      <c r="O433" t="s">
        <v>44</v>
      </c>
      <c r="P433" t="s">
        <v>43</v>
      </c>
      <c r="Q433" t="s">
        <v>28</v>
      </c>
      <c r="R433" t="s">
        <v>57</v>
      </c>
      <c r="S433">
        <v>2024.11</v>
      </c>
      <c r="T433">
        <v>23483.86</v>
      </c>
      <c r="U433">
        <v>58971.636599999998</v>
      </c>
      <c r="V433">
        <v>58971.636599999998</v>
      </c>
      <c r="AA433" s="29" t="s">
        <v>43</v>
      </c>
      <c r="AB433">
        <v>31199</v>
      </c>
      <c r="AC433">
        <v>70</v>
      </c>
      <c r="AD433">
        <v>4</v>
      </c>
      <c r="AE433">
        <v>21.4</v>
      </c>
      <c r="AF433">
        <v>21.4</v>
      </c>
      <c r="AG433" s="29" t="s">
        <v>216</v>
      </c>
      <c r="AH433" s="29" t="s">
        <v>436</v>
      </c>
      <c r="AI433" s="29" t="s">
        <v>257</v>
      </c>
      <c r="AJ433" s="29" t="s">
        <v>592</v>
      </c>
      <c r="AL433" s="29" t="s">
        <v>217</v>
      </c>
    </row>
    <row r="434" spans="15:38">
      <c r="O434" t="s">
        <v>44</v>
      </c>
      <c r="P434" t="s">
        <v>43</v>
      </c>
      <c r="Q434" t="s">
        <v>28</v>
      </c>
      <c r="R434" t="s">
        <v>57</v>
      </c>
      <c r="S434">
        <v>2024.14</v>
      </c>
      <c r="T434">
        <v>23483.86</v>
      </c>
      <c r="U434">
        <v>58971.636599999998</v>
      </c>
      <c r="V434">
        <v>58971.636599999998</v>
      </c>
      <c r="AA434" s="29" t="s">
        <v>43</v>
      </c>
      <c r="AB434">
        <v>31199</v>
      </c>
      <c r="AC434">
        <v>70</v>
      </c>
      <c r="AD434">
        <v>4</v>
      </c>
      <c r="AE434">
        <v>86.64</v>
      </c>
      <c r="AF434">
        <v>86.64</v>
      </c>
      <c r="AG434" s="29" t="s">
        <v>216</v>
      </c>
      <c r="AH434" s="29" t="s">
        <v>438</v>
      </c>
      <c r="AI434" s="29" t="s">
        <v>257</v>
      </c>
      <c r="AJ434" s="29" t="s">
        <v>439</v>
      </c>
      <c r="AL434" s="29" t="s">
        <v>217</v>
      </c>
    </row>
    <row r="435" spans="15:38">
      <c r="O435" t="s">
        <v>44</v>
      </c>
      <c r="P435" t="s">
        <v>43</v>
      </c>
      <c r="Q435" t="s">
        <v>28</v>
      </c>
      <c r="R435" t="s">
        <v>57</v>
      </c>
      <c r="S435">
        <v>2024.17</v>
      </c>
      <c r="T435">
        <v>23483.86</v>
      </c>
      <c r="U435">
        <v>58971.636599999998</v>
      </c>
      <c r="V435">
        <v>58971.636599999998</v>
      </c>
      <c r="AA435" s="29" t="s">
        <v>43</v>
      </c>
      <c r="AB435">
        <v>31199</v>
      </c>
      <c r="AC435">
        <v>70</v>
      </c>
      <c r="AD435">
        <v>4</v>
      </c>
      <c r="AE435">
        <v>229.68</v>
      </c>
      <c r="AF435">
        <v>229.68</v>
      </c>
      <c r="AG435" s="29" t="s">
        <v>216</v>
      </c>
      <c r="AH435" s="29" t="s">
        <v>408</v>
      </c>
      <c r="AI435" s="29" t="s">
        <v>257</v>
      </c>
      <c r="AJ435" s="29" t="s">
        <v>409</v>
      </c>
      <c r="AL435" s="29" t="s">
        <v>217</v>
      </c>
    </row>
    <row r="436" spans="15:38">
      <c r="O436" t="s">
        <v>44</v>
      </c>
      <c r="P436" t="s">
        <v>43</v>
      </c>
      <c r="Q436" t="s">
        <v>28</v>
      </c>
      <c r="R436" t="s">
        <v>57</v>
      </c>
      <c r="S436">
        <v>2024.18</v>
      </c>
      <c r="T436">
        <v>46967.72</v>
      </c>
      <c r="U436">
        <v>58971.636599999998</v>
      </c>
      <c r="V436">
        <v>58971.636599999998</v>
      </c>
      <c r="AA436" s="29" t="s">
        <v>43</v>
      </c>
      <c r="AB436">
        <v>31199</v>
      </c>
      <c r="AC436">
        <v>70</v>
      </c>
      <c r="AD436">
        <v>4</v>
      </c>
      <c r="AE436">
        <v>448</v>
      </c>
      <c r="AF436">
        <v>448</v>
      </c>
      <c r="AG436" s="29" t="s">
        <v>216</v>
      </c>
      <c r="AH436" s="29" t="s">
        <v>410</v>
      </c>
      <c r="AI436" s="29" t="s">
        <v>257</v>
      </c>
      <c r="AJ436" s="29" t="s">
        <v>411</v>
      </c>
      <c r="AL436" s="29" t="s">
        <v>217</v>
      </c>
    </row>
    <row r="437" spans="15:38">
      <c r="O437" t="s">
        <v>44</v>
      </c>
      <c r="P437" t="s">
        <v>43</v>
      </c>
      <c r="Q437" t="s">
        <v>28</v>
      </c>
      <c r="R437" t="s">
        <v>57</v>
      </c>
      <c r="S437">
        <v>2024.19</v>
      </c>
      <c r="T437">
        <v>23483.86</v>
      </c>
      <c r="U437">
        <v>58971.636599999998</v>
      </c>
      <c r="V437">
        <v>58971.636599999998</v>
      </c>
      <c r="AA437" s="29" t="s">
        <v>43</v>
      </c>
      <c r="AB437">
        <v>31199</v>
      </c>
      <c r="AC437">
        <v>70</v>
      </c>
      <c r="AD437">
        <v>4</v>
      </c>
      <c r="AE437">
        <v>110.8</v>
      </c>
      <c r="AF437">
        <v>110.8</v>
      </c>
      <c r="AG437" s="29" t="s">
        <v>216</v>
      </c>
      <c r="AH437" s="29" t="s">
        <v>639</v>
      </c>
      <c r="AI437" s="29" t="s">
        <v>257</v>
      </c>
      <c r="AJ437" s="29" t="s">
        <v>640</v>
      </c>
      <c r="AL437" s="29" t="s">
        <v>217</v>
      </c>
    </row>
    <row r="438" spans="15:38">
      <c r="O438" t="s">
        <v>44</v>
      </c>
      <c r="P438" t="s">
        <v>43</v>
      </c>
      <c r="Q438" t="s">
        <v>28</v>
      </c>
      <c r="R438" t="s">
        <v>57</v>
      </c>
      <c r="S438">
        <v>2024.2</v>
      </c>
      <c r="T438">
        <v>23483.86</v>
      </c>
      <c r="U438">
        <v>58971.636599999998</v>
      </c>
      <c r="V438">
        <v>58971.636599999998</v>
      </c>
      <c r="AA438" s="29" t="s">
        <v>43</v>
      </c>
      <c r="AB438">
        <v>31199</v>
      </c>
      <c r="AC438">
        <v>70</v>
      </c>
      <c r="AD438">
        <v>4</v>
      </c>
      <c r="AE438">
        <v>55.4</v>
      </c>
      <c r="AF438">
        <v>55.4</v>
      </c>
      <c r="AG438" s="29" t="s">
        <v>216</v>
      </c>
      <c r="AH438" s="29" t="s">
        <v>518</v>
      </c>
      <c r="AI438" s="29" t="s">
        <v>257</v>
      </c>
      <c r="AJ438" s="29" t="s">
        <v>519</v>
      </c>
      <c r="AL438" s="29" t="s">
        <v>217</v>
      </c>
    </row>
    <row r="439" spans="15:38">
      <c r="O439" t="s">
        <v>44</v>
      </c>
      <c r="P439" t="s">
        <v>43</v>
      </c>
      <c r="Q439" t="s">
        <v>28</v>
      </c>
      <c r="R439" t="s">
        <v>57</v>
      </c>
      <c r="S439">
        <v>2024.21</v>
      </c>
      <c r="T439">
        <v>23483.86</v>
      </c>
      <c r="U439">
        <v>58971.636599999998</v>
      </c>
      <c r="V439">
        <v>58971.636599999998</v>
      </c>
      <c r="AA439" s="29" t="s">
        <v>43</v>
      </c>
      <c r="AB439">
        <v>31199</v>
      </c>
      <c r="AC439">
        <v>70</v>
      </c>
      <c r="AD439">
        <v>4</v>
      </c>
      <c r="AE439">
        <v>43.32</v>
      </c>
      <c r="AF439">
        <v>43.32</v>
      </c>
      <c r="AG439" s="29" t="s">
        <v>216</v>
      </c>
      <c r="AH439" s="29" t="s">
        <v>331</v>
      </c>
      <c r="AI439" s="29" t="s">
        <v>257</v>
      </c>
      <c r="AJ439" s="29" t="s">
        <v>332</v>
      </c>
      <c r="AL439" s="29" t="s">
        <v>217</v>
      </c>
    </row>
    <row r="440" spans="15:38">
      <c r="O440" t="s">
        <v>44</v>
      </c>
      <c r="P440" t="s">
        <v>43</v>
      </c>
      <c r="Q440" t="s">
        <v>28</v>
      </c>
      <c r="R440" t="s">
        <v>57</v>
      </c>
      <c r="S440">
        <v>2024.28</v>
      </c>
      <c r="T440">
        <v>23483.86</v>
      </c>
      <c r="U440">
        <v>58971.636599999998</v>
      </c>
      <c r="V440">
        <v>58971.636599999998</v>
      </c>
      <c r="AA440" s="29" t="s">
        <v>43</v>
      </c>
      <c r="AB440">
        <v>31199</v>
      </c>
      <c r="AC440">
        <v>70</v>
      </c>
      <c r="AD440">
        <v>4</v>
      </c>
      <c r="AE440">
        <v>148.44</v>
      </c>
      <c r="AF440">
        <v>148.44</v>
      </c>
      <c r="AG440" s="29" t="s">
        <v>216</v>
      </c>
      <c r="AH440" s="29" t="s">
        <v>325</v>
      </c>
      <c r="AI440" s="29" t="s">
        <v>257</v>
      </c>
      <c r="AJ440" s="29" t="s">
        <v>326</v>
      </c>
      <c r="AL440" s="29" t="s">
        <v>217</v>
      </c>
    </row>
    <row r="441" spans="15:38">
      <c r="O441" t="s">
        <v>44</v>
      </c>
      <c r="P441" t="s">
        <v>43</v>
      </c>
      <c r="Q441" t="s">
        <v>28</v>
      </c>
      <c r="R441" t="s">
        <v>57</v>
      </c>
      <c r="S441">
        <v>2024.38</v>
      </c>
      <c r="T441">
        <v>46967.72</v>
      </c>
      <c r="U441">
        <v>58971.636599999998</v>
      </c>
      <c r="V441">
        <v>58971.636599999998</v>
      </c>
      <c r="AA441" s="29" t="s">
        <v>43</v>
      </c>
      <c r="AB441">
        <v>31199</v>
      </c>
      <c r="AC441">
        <v>70</v>
      </c>
      <c r="AD441">
        <v>4</v>
      </c>
      <c r="AE441">
        <v>148.44</v>
      </c>
      <c r="AF441">
        <v>148.44</v>
      </c>
      <c r="AG441" s="29" t="s">
        <v>216</v>
      </c>
      <c r="AH441" s="29" t="s">
        <v>325</v>
      </c>
      <c r="AI441" s="29" t="s">
        <v>257</v>
      </c>
      <c r="AJ441" s="29" t="s">
        <v>326</v>
      </c>
      <c r="AL441" s="29" t="s">
        <v>217</v>
      </c>
    </row>
    <row r="442" spans="15:38">
      <c r="O442" t="s">
        <v>44</v>
      </c>
      <c r="P442" t="s">
        <v>43</v>
      </c>
      <c r="Q442" t="s">
        <v>28</v>
      </c>
      <c r="R442" t="s">
        <v>57</v>
      </c>
      <c r="S442">
        <v>2024.39</v>
      </c>
      <c r="T442">
        <v>23483.86</v>
      </c>
      <c r="U442">
        <v>58971.636599999998</v>
      </c>
      <c r="V442">
        <v>58971.636599999998</v>
      </c>
      <c r="AA442" s="29" t="s">
        <v>43</v>
      </c>
      <c r="AB442">
        <v>31199</v>
      </c>
      <c r="AC442">
        <v>70</v>
      </c>
      <c r="AD442">
        <v>4</v>
      </c>
      <c r="AE442">
        <v>43.32</v>
      </c>
      <c r="AF442">
        <v>43.32</v>
      </c>
      <c r="AG442" s="29" t="s">
        <v>216</v>
      </c>
      <c r="AH442" s="29" t="s">
        <v>331</v>
      </c>
      <c r="AI442" s="29" t="s">
        <v>257</v>
      </c>
      <c r="AJ442" s="29" t="s">
        <v>332</v>
      </c>
      <c r="AL442" s="29" t="s">
        <v>217</v>
      </c>
    </row>
    <row r="443" spans="15:38">
      <c r="O443" t="s">
        <v>44</v>
      </c>
      <c r="P443" t="s">
        <v>43</v>
      </c>
      <c r="Q443" t="s">
        <v>28</v>
      </c>
      <c r="R443" t="s">
        <v>57</v>
      </c>
      <c r="S443">
        <v>2024.41</v>
      </c>
      <c r="T443">
        <v>23483.86</v>
      </c>
      <c r="U443">
        <v>58971.636599999998</v>
      </c>
      <c r="V443">
        <v>58971.636599999998</v>
      </c>
      <c r="AA443" s="29" t="s">
        <v>43</v>
      </c>
      <c r="AB443">
        <v>31199</v>
      </c>
      <c r="AC443">
        <v>70</v>
      </c>
      <c r="AD443">
        <v>4</v>
      </c>
      <c r="AE443">
        <v>12866</v>
      </c>
      <c r="AF443">
        <v>12866</v>
      </c>
      <c r="AG443" s="29" t="s">
        <v>216</v>
      </c>
      <c r="AH443" s="29" t="s">
        <v>641</v>
      </c>
      <c r="AI443" s="29" t="s">
        <v>257</v>
      </c>
      <c r="AJ443" s="29" t="s">
        <v>642</v>
      </c>
      <c r="AL443" s="29" t="s">
        <v>217</v>
      </c>
    </row>
    <row r="444" spans="15:38">
      <c r="O444" t="s">
        <v>44</v>
      </c>
      <c r="P444" t="s">
        <v>43</v>
      </c>
      <c r="Q444" t="s">
        <v>28</v>
      </c>
      <c r="R444" t="s">
        <v>57</v>
      </c>
      <c r="S444">
        <v>2024.43</v>
      </c>
      <c r="T444">
        <v>23483.86</v>
      </c>
      <c r="U444">
        <v>58971.636599999998</v>
      </c>
      <c r="V444">
        <v>58971.636599999998</v>
      </c>
      <c r="AA444" s="29" t="s">
        <v>43</v>
      </c>
      <c r="AB444">
        <v>31199</v>
      </c>
      <c r="AC444">
        <v>70</v>
      </c>
      <c r="AD444">
        <v>4</v>
      </c>
      <c r="AE444">
        <v>52.82</v>
      </c>
      <c r="AF444">
        <v>52.82</v>
      </c>
      <c r="AG444" s="29" t="s">
        <v>216</v>
      </c>
      <c r="AH444" s="29" t="s">
        <v>522</v>
      </c>
      <c r="AI444" s="29" t="s">
        <v>257</v>
      </c>
      <c r="AJ444" s="29" t="s">
        <v>523</v>
      </c>
      <c r="AL444" s="29" t="s">
        <v>217</v>
      </c>
    </row>
    <row r="445" spans="15:38">
      <c r="O445" t="s">
        <v>44</v>
      </c>
      <c r="P445" t="s">
        <v>43</v>
      </c>
      <c r="Q445" t="s">
        <v>28</v>
      </c>
      <c r="R445" t="s">
        <v>57</v>
      </c>
      <c r="S445">
        <v>2024.44</v>
      </c>
      <c r="T445">
        <v>23483.86</v>
      </c>
      <c r="U445">
        <v>58971.636599999998</v>
      </c>
      <c r="V445">
        <v>23483.86</v>
      </c>
      <c r="AA445" s="29" t="s">
        <v>43</v>
      </c>
      <c r="AB445">
        <v>31199</v>
      </c>
      <c r="AC445">
        <v>70</v>
      </c>
      <c r="AD445">
        <v>4</v>
      </c>
      <c r="AE445">
        <v>27.53</v>
      </c>
      <c r="AF445">
        <v>27.53</v>
      </c>
      <c r="AG445" s="29" t="s">
        <v>216</v>
      </c>
      <c r="AH445" s="29" t="s">
        <v>643</v>
      </c>
      <c r="AI445" s="29" t="s">
        <v>257</v>
      </c>
      <c r="AJ445" s="29" t="s">
        <v>644</v>
      </c>
      <c r="AL445" s="29" t="s">
        <v>217</v>
      </c>
    </row>
    <row r="446" spans="15:38">
      <c r="O446" t="s">
        <v>44</v>
      </c>
      <c r="P446" t="s">
        <v>43</v>
      </c>
      <c r="Q446" t="s">
        <v>28</v>
      </c>
      <c r="R446" t="s">
        <v>57</v>
      </c>
      <c r="S446">
        <v>2024.45</v>
      </c>
      <c r="T446">
        <v>23483.86</v>
      </c>
      <c r="U446">
        <v>58971.636599999998</v>
      </c>
      <c r="V446">
        <v>23483.86</v>
      </c>
      <c r="AA446" s="29" t="s">
        <v>43</v>
      </c>
      <c r="AB446">
        <v>31199</v>
      </c>
      <c r="AC446">
        <v>70</v>
      </c>
      <c r="AD446">
        <v>4</v>
      </c>
      <c r="AE446">
        <v>53.5</v>
      </c>
      <c r="AF446">
        <v>53.5</v>
      </c>
      <c r="AG446" s="29" t="s">
        <v>216</v>
      </c>
      <c r="AH446" s="29" t="s">
        <v>333</v>
      </c>
      <c r="AI446" s="29" t="s">
        <v>257</v>
      </c>
      <c r="AJ446" s="29" t="s">
        <v>374</v>
      </c>
      <c r="AL446" s="29" t="s">
        <v>217</v>
      </c>
    </row>
    <row r="447" spans="15:38">
      <c r="O447" t="s">
        <v>44</v>
      </c>
      <c r="P447" t="s">
        <v>43</v>
      </c>
      <c r="Q447" t="s">
        <v>28</v>
      </c>
      <c r="R447" t="s">
        <v>57</v>
      </c>
      <c r="S447">
        <v>2024.47</v>
      </c>
      <c r="T447">
        <v>23483.86</v>
      </c>
      <c r="U447">
        <v>58971.636599999998</v>
      </c>
      <c r="V447">
        <v>23483.86</v>
      </c>
      <c r="AA447" s="29" t="s">
        <v>43</v>
      </c>
      <c r="AB447">
        <v>31199</v>
      </c>
      <c r="AC447">
        <v>70</v>
      </c>
      <c r="AD447">
        <v>4</v>
      </c>
      <c r="AE447">
        <v>42.8</v>
      </c>
      <c r="AF447">
        <v>42.8</v>
      </c>
      <c r="AG447" s="29" t="s">
        <v>216</v>
      </c>
      <c r="AH447" s="29" t="s">
        <v>319</v>
      </c>
      <c r="AI447" s="29" t="s">
        <v>257</v>
      </c>
      <c r="AJ447" s="29" t="s">
        <v>546</v>
      </c>
      <c r="AL447" s="29" t="s">
        <v>217</v>
      </c>
    </row>
    <row r="448" spans="15:38">
      <c r="O448" t="s">
        <v>44</v>
      </c>
      <c r="P448" t="s">
        <v>43</v>
      </c>
      <c r="Q448" t="s">
        <v>28</v>
      </c>
      <c r="R448" t="s">
        <v>57</v>
      </c>
      <c r="S448">
        <v>2024.48</v>
      </c>
      <c r="T448">
        <v>23483.86</v>
      </c>
      <c r="U448">
        <v>58971.636599999998</v>
      </c>
      <c r="V448">
        <v>23483.86</v>
      </c>
      <c r="AA448" s="29" t="s">
        <v>43</v>
      </c>
      <c r="AB448">
        <v>31199</v>
      </c>
      <c r="AC448">
        <v>70</v>
      </c>
      <c r="AD448">
        <v>4</v>
      </c>
      <c r="AE448">
        <v>21.4</v>
      </c>
      <c r="AF448">
        <v>21.4</v>
      </c>
      <c r="AG448" s="29" t="s">
        <v>216</v>
      </c>
      <c r="AH448" s="29" t="s">
        <v>436</v>
      </c>
      <c r="AI448" s="29" t="s">
        <v>257</v>
      </c>
      <c r="AJ448" s="29" t="s">
        <v>582</v>
      </c>
      <c r="AL448" s="29" t="s">
        <v>217</v>
      </c>
    </row>
    <row r="449" spans="15:38">
      <c r="O449" t="s">
        <v>44</v>
      </c>
      <c r="P449" t="s">
        <v>43</v>
      </c>
      <c r="Q449" t="s">
        <v>28</v>
      </c>
      <c r="R449" t="s">
        <v>57</v>
      </c>
      <c r="S449">
        <v>2024.49</v>
      </c>
      <c r="T449">
        <v>23483.86</v>
      </c>
      <c r="U449">
        <v>58971.636599999998</v>
      </c>
      <c r="V449">
        <v>23483.86</v>
      </c>
      <c r="AA449" s="29" t="s">
        <v>43</v>
      </c>
      <c r="AB449">
        <v>31199</v>
      </c>
      <c r="AC449">
        <v>70</v>
      </c>
      <c r="AD449">
        <v>4</v>
      </c>
      <c r="AE449">
        <v>43.32</v>
      </c>
      <c r="AF449">
        <v>43.32</v>
      </c>
      <c r="AG449" s="29" t="s">
        <v>216</v>
      </c>
      <c r="AH449" s="29" t="s">
        <v>331</v>
      </c>
      <c r="AI449" s="29" t="s">
        <v>257</v>
      </c>
      <c r="AJ449" s="29" t="s">
        <v>332</v>
      </c>
      <c r="AL449" s="29" t="s">
        <v>217</v>
      </c>
    </row>
    <row r="450" spans="15:38">
      <c r="O450" t="s">
        <v>44</v>
      </c>
      <c r="P450" t="s">
        <v>43</v>
      </c>
      <c r="Q450" t="s">
        <v>28</v>
      </c>
      <c r="R450" t="s">
        <v>57</v>
      </c>
      <c r="S450">
        <v>2024.52</v>
      </c>
      <c r="T450">
        <v>23483.86</v>
      </c>
      <c r="U450">
        <v>58971.636599999998</v>
      </c>
      <c r="V450">
        <v>23483.86</v>
      </c>
      <c r="AA450" s="29" t="s">
        <v>43</v>
      </c>
      <c r="AB450">
        <v>31199</v>
      </c>
      <c r="AC450">
        <v>70</v>
      </c>
      <c r="AD450">
        <v>4</v>
      </c>
      <c r="AE450">
        <v>406.6</v>
      </c>
      <c r="AF450">
        <v>406.6</v>
      </c>
      <c r="AG450" s="29" t="s">
        <v>216</v>
      </c>
      <c r="AH450" s="29" t="s">
        <v>610</v>
      </c>
      <c r="AI450" s="29" t="s">
        <v>257</v>
      </c>
      <c r="AJ450" s="29" t="s">
        <v>611</v>
      </c>
      <c r="AL450" s="29" t="s">
        <v>217</v>
      </c>
    </row>
    <row r="451" spans="15:38">
      <c r="O451" t="s">
        <v>44</v>
      </c>
      <c r="P451" t="s">
        <v>43</v>
      </c>
      <c r="Q451" t="s">
        <v>28</v>
      </c>
      <c r="R451" t="s">
        <v>57</v>
      </c>
      <c r="S451">
        <v>2025.03</v>
      </c>
      <c r="T451">
        <v>23483.86</v>
      </c>
      <c r="U451">
        <v>58971.636599999998</v>
      </c>
      <c r="V451">
        <v>23483.86</v>
      </c>
      <c r="AA451" s="29" t="s">
        <v>43</v>
      </c>
      <c r="AB451">
        <v>31199</v>
      </c>
      <c r="AC451">
        <v>70</v>
      </c>
      <c r="AD451">
        <v>4</v>
      </c>
      <c r="AE451">
        <v>637.72</v>
      </c>
      <c r="AF451">
        <v>637.72</v>
      </c>
      <c r="AG451" s="29" t="s">
        <v>216</v>
      </c>
      <c r="AH451" s="29" t="s">
        <v>583</v>
      </c>
      <c r="AI451" s="29" t="s">
        <v>257</v>
      </c>
      <c r="AJ451" s="29" t="s">
        <v>584</v>
      </c>
      <c r="AL451" s="29" t="s">
        <v>217</v>
      </c>
    </row>
    <row r="452" spans="15:38">
      <c r="O452" t="s">
        <v>44</v>
      </c>
      <c r="P452" t="s">
        <v>43</v>
      </c>
      <c r="Q452" t="s">
        <v>28</v>
      </c>
      <c r="R452" t="s">
        <v>57</v>
      </c>
      <c r="S452">
        <v>2025.12</v>
      </c>
      <c r="T452">
        <v>23483.86</v>
      </c>
      <c r="U452">
        <v>58971.636599999998</v>
      </c>
      <c r="V452">
        <v>23483.86</v>
      </c>
      <c r="AA452" s="29" t="s">
        <v>43</v>
      </c>
      <c r="AB452">
        <v>31199</v>
      </c>
      <c r="AC452">
        <v>70</v>
      </c>
      <c r="AD452">
        <v>4</v>
      </c>
      <c r="AE452">
        <v>152.51</v>
      </c>
      <c r="AF452">
        <v>152.51</v>
      </c>
      <c r="AG452" s="29" t="s">
        <v>216</v>
      </c>
      <c r="AH452" s="29" t="s">
        <v>585</v>
      </c>
      <c r="AI452" s="29" t="s">
        <v>257</v>
      </c>
      <c r="AJ452" s="29" t="s">
        <v>586</v>
      </c>
      <c r="AL452" s="29" t="s">
        <v>217</v>
      </c>
    </row>
    <row r="453" spans="15:38">
      <c r="O453" t="s">
        <v>44</v>
      </c>
      <c r="P453" t="s">
        <v>43</v>
      </c>
      <c r="Q453" t="s">
        <v>28</v>
      </c>
      <c r="R453" t="s">
        <v>58</v>
      </c>
      <c r="S453">
        <v>2023.51</v>
      </c>
      <c r="T453">
        <v>218.63</v>
      </c>
      <c r="U453">
        <v>0</v>
      </c>
      <c r="V453">
        <v>0</v>
      </c>
      <c r="AA453" s="29" t="s">
        <v>43</v>
      </c>
      <c r="AB453">
        <v>31199</v>
      </c>
      <c r="AC453">
        <v>70</v>
      </c>
      <c r="AD453">
        <v>4</v>
      </c>
      <c r="AE453">
        <v>152.51</v>
      </c>
      <c r="AF453">
        <v>152.51</v>
      </c>
      <c r="AG453" s="29" t="s">
        <v>216</v>
      </c>
      <c r="AH453" s="29" t="s">
        <v>585</v>
      </c>
      <c r="AI453" s="29" t="s">
        <v>257</v>
      </c>
      <c r="AJ453" s="29" t="s">
        <v>586</v>
      </c>
      <c r="AL453" s="29" t="s">
        <v>217</v>
      </c>
    </row>
    <row r="454" spans="15:38">
      <c r="O454" t="s">
        <v>44</v>
      </c>
      <c r="P454" t="s">
        <v>43</v>
      </c>
      <c r="Q454" t="s">
        <v>28</v>
      </c>
      <c r="R454" t="s">
        <v>58</v>
      </c>
      <c r="S454">
        <v>2024.06</v>
      </c>
      <c r="T454">
        <v>269.70999999999998</v>
      </c>
      <c r="U454">
        <v>0</v>
      </c>
      <c r="V454">
        <v>0</v>
      </c>
      <c r="AA454" s="29" t="s">
        <v>43</v>
      </c>
      <c r="AB454">
        <v>31199</v>
      </c>
      <c r="AC454">
        <v>70</v>
      </c>
      <c r="AD454">
        <v>4</v>
      </c>
      <c r="AE454">
        <v>5466</v>
      </c>
      <c r="AF454">
        <v>5466</v>
      </c>
      <c r="AG454" s="29" t="s">
        <v>216</v>
      </c>
      <c r="AH454" s="29" t="s">
        <v>645</v>
      </c>
      <c r="AI454" s="29" t="s">
        <v>257</v>
      </c>
      <c r="AJ454" s="29" t="s">
        <v>646</v>
      </c>
      <c r="AL454" s="29" t="s">
        <v>217</v>
      </c>
    </row>
    <row r="455" spans="15:38">
      <c r="O455" t="s">
        <v>44</v>
      </c>
      <c r="P455" t="s">
        <v>43</v>
      </c>
      <c r="Q455" t="s">
        <v>28</v>
      </c>
      <c r="R455" t="s">
        <v>58</v>
      </c>
      <c r="S455">
        <v>2024.07</v>
      </c>
      <c r="T455">
        <v>269.70999999999998</v>
      </c>
      <c r="U455">
        <v>0</v>
      </c>
      <c r="V455">
        <v>0</v>
      </c>
      <c r="AA455" s="29" t="s">
        <v>43</v>
      </c>
      <c r="AB455">
        <v>31199</v>
      </c>
      <c r="AC455">
        <v>70</v>
      </c>
      <c r="AD455">
        <v>4</v>
      </c>
      <c r="AE455">
        <v>26.75</v>
      </c>
      <c r="AF455">
        <v>26.75</v>
      </c>
      <c r="AG455" s="29" t="s">
        <v>216</v>
      </c>
      <c r="AH455" s="29" t="s">
        <v>474</v>
      </c>
      <c r="AI455" s="29" t="s">
        <v>257</v>
      </c>
      <c r="AJ455" s="29" t="s">
        <v>581</v>
      </c>
      <c r="AL455" s="29" t="s">
        <v>217</v>
      </c>
    </row>
    <row r="456" spans="15:38">
      <c r="O456" t="s">
        <v>44</v>
      </c>
      <c r="P456" t="s">
        <v>43</v>
      </c>
      <c r="Q456" t="s">
        <v>28</v>
      </c>
      <c r="R456" t="s">
        <v>58</v>
      </c>
      <c r="S456">
        <v>2024.08</v>
      </c>
      <c r="T456">
        <v>269.70999999999998</v>
      </c>
      <c r="U456">
        <v>0</v>
      </c>
      <c r="V456">
        <v>0</v>
      </c>
      <c r="AA456" s="29" t="s">
        <v>43</v>
      </c>
      <c r="AB456">
        <v>31199</v>
      </c>
      <c r="AC456">
        <v>70</v>
      </c>
      <c r="AD456">
        <v>4</v>
      </c>
      <c r="AE456">
        <v>26.75</v>
      </c>
      <c r="AF456">
        <v>26.75</v>
      </c>
      <c r="AG456" s="29" t="s">
        <v>216</v>
      </c>
      <c r="AH456" s="29" t="s">
        <v>474</v>
      </c>
      <c r="AI456" s="29" t="s">
        <v>257</v>
      </c>
      <c r="AJ456" s="29" t="s">
        <v>551</v>
      </c>
      <c r="AL456" s="29" t="s">
        <v>217</v>
      </c>
    </row>
    <row r="457" spans="15:38">
      <c r="O457" t="s">
        <v>44</v>
      </c>
      <c r="P457" t="s">
        <v>43</v>
      </c>
      <c r="Q457" t="s">
        <v>28</v>
      </c>
      <c r="R457" t="s">
        <v>58</v>
      </c>
      <c r="S457">
        <v>2024.09</v>
      </c>
      <c r="T457">
        <v>269.70999999999998</v>
      </c>
      <c r="U457">
        <v>0</v>
      </c>
      <c r="V457">
        <v>0</v>
      </c>
      <c r="AA457" s="29" t="s">
        <v>43</v>
      </c>
      <c r="AB457">
        <v>31199</v>
      </c>
      <c r="AC457">
        <v>70</v>
      </c>
      <c r="AD457">
        <v>4</v>
      </c>
      <c r="AE457">
        <v>53.5</v>
      </c>
      <c r="AF457">
        <v>53.5</v>
      </c>
      <c r="AG457" s="29" t="s">
        <v>216</v>
      </c>
      <c r="AH457" s="29" t="s">
        <v>333</v>
      </c>
      <c r="AI457" s="29" t="s">
        <v>257</v>
      </c>
      <c r="AJ457" s="29" t="s">
        <v>357</v>
      </c>
      <c r="AL457" s="29" t="s">
        <v>217</v>
      </c>
    </row>
    <row r="458" spans="15:38">
      <c r="O458" t="s">
        <v>44</v>
      </c>
      <c r="P458" t="s">
        <v>43</v>
      </c>
      <c r="Q458" t="s">
        <v>28</v>
      </c>
      <c r="R458" t="s">
        <v>58</v>
      </c>
      <c r="S458">
        <v>2024.1</v>
      </c>
      <c r="T458">
        <v>269.70999999999998</v>
      </c>
      <c r="U458">
        <v>0</v>
      </c>
      <c r="V458">
        <v>0</v>
      </c>
      <c r="AA458" s="29" t="s">
        <v>43</v>
      </c>
      <c r="AB458">
        <v>31199</v>
      </c>
      <c r="AC458">
        <v>70</v>
      </c>
      <c r="AD458">
        <v>4</v>
      </c>
      <c r="AE458">
        <v>99.92</v>
      </c>
      <c r="AF458">
        <v>99.92</v>
      </c>
      <c r="AG458" s="29" t="s">
        <v>216</v>
      </c>
      <c r="AH458" s="29" t="s">
        <v>647</v>
      </c>
      <c r="AI458" s="29" t="s">
        <v>257</v>
      </c>
      <c r="AJ458" s="29" t="s">
        <v>648</v>
      </c>
      <c r="AL458" s="29" t="s">
        <v>217</v>
      </c>
    </row>
    <row r="459" spans="15:38">
      <c r="O459" t="s">
        <v>44</v>
      </c>
      <c r="P459" t="s">
        <v>43</v>
      </c>
      <c r="Q459" t="s">
        <v>28</v>
      </c>
      <c r="R459" t="s">
        <v>58</v>
      </c>
      <c r="S459">
        <v>2024.11</v>
      </c>
      <c r="T459">
        <v>269.70999999999998</v>
      </c>
      <c r="U459">
        <v>0</v>
      </c>
      <c r="V459">
        <v>0</v>
      </c>
      <c r="AA459" s="29" t="s">
        <v>43</v>
      </c>
      <c r="AB459">
        <v>31199</v>
      </c>
      <c r="AC459">
        <v>70</v>
      </c>
      <c r="AD459">
        <v>4</v>
      </c>
      <c r="AE459">
        <v>118.82</v>
      </c>
      <c r="AF459">
        <v>118.82</v>
      </c>
      <c r="AG459" s="29" t="s">
        <v>216</v>
      </c>
      <c r="AH459" s="29" t="s">
        <v>649</v>
      </c>
      <c r="AI459" s="29" t="s">
        <v>257</v>
      </c>
      <c r="AJ459" s="29" t="s">
        <v>650</v>
      </c>
      <c r="AL459" s="29" t="s">
        <v>217</v>
      </c>
    </row>
    <row r="460" spans="15:38">
      <c r="O460" t="s">
        <v>44</v>
      </c>
      <c r="P460" t="s">
        <v>43</v>
      </c>
      <c r="Q460" t="s">
        <v>28</v>
      </c>
      <c r="R460" t="s">
        <v>58</v>
      </c>
      <c r="S460">
        <v>2024.14</v>
      </c>
      <c r="T460">
        <v>269.70999999999998</v>
      </c>
      <c r="U460">
        <v>0</v>
      </c>
      <c r="V460">
        <v>0</v>
      </c>
      <c r="AA460" s="29" t="s">
        <v>43</v>
      </c>
      <c r="AB460">
        <v>31199</v>
      </c>
      <c r="AC460">
        <v>70</v>
      </c>
      <c r="AD460">
        <v>4</v>
      </c>
      <c r="AE460">
        <v>0.96</v>
      </c>
      <c r="AF460">
        <v>0.96</v>
      </c>
      <c r="AG460" s="29" t="s">
        <v>216</v>
      </c>
      <c r="AH460" s="29" t="s">
        <v>338</v>
      </c>
      <c r="AI460" s="29" t="s">
        <v>257</v>
      </c>
      <c r="AJ460" s="29" t="s">
        <v>339</v>
      </c>
      <c r="AL460" s="29" t="s">
        <v>217</v>
      </c>
    </row>
    <row r="461" spans="15:38">
      <c r="O461" t="s">
        <v>44</v>
      </c>
      <c r="P461" t="s">
        <v>43</v>
      </c>
      <c r="Q461" t="s">
        <v>28</v>
      </c>
      <c r="R461" t="s">
        <v>58</v>
      </c>
      <c r="S461">
        <v>2024.17</v>
      </c>
      <c r="T461">
        <v>269.70999999999998</v>
      </c>
      <c r="U461">
        <v>0</v>
      </c>
      <c r="V461">
        <v>0</v>
      </c>
      <c r="AA461" s="29" t="s">
        <v>43</v>
      </c>
      <c r="AB461">
        <v>31199</v>
      </c>
      <c r="AC461">
        <v>70</v>
      </c>
      <c r="AD461">
        <v>4</v>
      </c>
      <c r="AE461">
        <v>42.8</v>
      </c>
      <c r="AF461">
        <v>42.8</v>
      </c>
      <c r="AG461" s="29" t="s">
        <v>216</v>
      </c>
      <c r="AH461" s="29" t="s">
        <v>319</v>
      </c>
      <c r="AI461" s="29" t="s">
        <v>257</v>
      </c>
      <c r="AJ461" s="29" t="s">
        <v>546</v>
      </c>
      <c r="AL461" s="29" t="s">
        <v>217</v>
      </c>
    </row>
    <row r="462" spans="15:38">
      <c r="O462" t="s">
        <v>44</v>
      </c>
      <c r="P462" t="s">
        <v>43</v>
      </c>
      <c r="Q462" t="s">
        <v>28</v>
      </c>
      <c r="R462" t="s">
        <v>58</v>
      </c>
      <c r="S462">
        <v>2024.18</v>
      </c>
      <c r="T462">
        <v>539.41999999999996</v>
      </c>
      <c r="U462">
        <v>0</v>
      </c>
      <c r="V462">
        <v>0</v>
      </c>
      <c r="AA462" s="29" t="s">
        <v>43</v>
      </c>
      <c r="AB462">
        <v>31199</v>
      </c>
      <c r="AC462">
        <v>70</v>
      </c>
      <c r="AD462">
        <v>4</v>
      </c>
      <c r="AE462">
        <v>21.4</v>
      </c>
      <c r="AF462">
        <v>21.4</v>
      </c>
      <c r="AG462" s="29" t="s">
        <v>216</v>
      </c>
      <c r="AH462" s="29" t="s">
        <v>436</v>
      </c>
      <c r="AI462" s="29" t="s">
        <v>257</v>
      </c>
      <c r="AJ462" s="29" t="s">
        <v>582</v>
      </c>
      <c r="AL462" s="29" t="s">
        <v>217</v>
      </c>
    </row>
    <row r="463" spans="15:38">
      <c r="O463" t="s">
        <v>44</v>
      </c>
      <c r="P463" t="s">
        <v>43</v>
      </c>
      <c r="Q463" t="s">
        <v>28</v>
      </c>
      <c r="R463" t="s">
        <v>58</v>
      </c>
      <c r="S463">
        <v>2024.19</v>
      </c>
      <c r="T463">
        <v>269.70999999999998</v>
      </c>
      <c r="U463">
        <v>0</v>
      </c>
      <c r="V463">
        <v>0</v>
      </c>
      <c r="AA463" s="29" t="s">
        <v>43</v>
      </c>
      <c r="AB463">
        <v>31199</v>
      </c>
      <c r="AC463">
        <v>70</v>
      </c>
      <c r="AD463">
        <v>4</v>
      </c>
      <c r="AE463">
        <v>43.32</v>
      </c>
      <c r="AF463">
        <v>43.32</v>
      </c>
      <c r="AG463" s="29" t="s">
        <v>216</v>
      </c>
      <c r="AH463" s="29" t="s">
        <v>331</v>
      </c>
      <c r="AI463" s="29" t="s">
        <v>257</v>
      </c>
      <c r="AJ463" s="29" t="s">
        <v>332</v>
      </c>
      <c r="AL463" s="29" t="s">
        <v>217</v>
      </c>
    </row>
    <row r="464" spans="15:38">
      <c r="O464" t="s">
        <v>44</v>
      </c>
      <c r="P464" t="s">
        <v>43</v>
      </c>
      <c r="Q464" t="s">
        <v>28</v>
      </c>
      <c r="R464" t="s">
        <v>58</v>
      </c>
      <c r="S464">
        <v>2024.2</v>
      </c>
      <c r="T464">
        <v>269.70999999999998</v>
      </c>
      <c r="U464">
        <v>0</v>
      </c>
      <c r="V464">
        <v>0</v>
      </c>
      <c r="AA464" s="29" t="s">
        <v>43</v>
      </c>
      <c r="AB464">
        <v>31199</v>
      </c>
      <c r="AC464">
        <v>70</v>
      </c>
      <c r="AD464">
        <v>4</v>
      </c>
      <c r="AE464">
        <v>372.36</v>
      </c>
      <c r="AF464">
        <v>372.36</v>
      </c>
      <c r="AG464" s="29" t="s">
        <v>216</v>
      </c>
      <c r="AH464" s="29" t="s">
        <v>624</v>
      </c>
      <c r="AI464" s="29" t="s">
        <v>257</v>
      </c>
      <c r="AJ464" s="29" t="s">
        <v>625</v>
      </c>
      <c r="AL464" s="29" t="s">
        <v>217</v>
      </c>
    </row>
    <row r="465" spans="15:38">
      <c r="O465" t="s">
        <v>44</v>
      </c>
      <c r="P465" t="s">
        <v>43</v>
      </c>
      <c r="Q465" t="s">
        <v>28</v>
      </c>
      <c r="R465" t="s">
        <v>58</v>
      </c>
      <c r="S465">
        <v>2024.21</v>
      </c>
      <c r="T465">
        <v>269.70999999999998</v>
      </c>
      <c r="U465">
        <v>0</v>
      </c>
      <c r="V465">
        <v>0</v>
      </c>
      <c r="AA465" s="29" t="s">
        <v>43</v>
      </c>
      <c r="AB465">
        <v>31199</v>
      </c>
      <c r="AC465">
        <v>70</v>
      </c>
      <c r="AD465">
        <v>4</v>
      </c>
      <c r="AE465">
        <v>0</v>
      </c>
      <c r="AF465">
        <v>0</v>
      </c>
      <c r="AG465" s="29" t="s">
        <v>216</v>
      </c>
      <c r="AH465" s="29" t="s">
        <v>218</v>
      </c>
      <c r="AI465" s="29" t="s">
        <v>257</v>
      </c>
      <c r="AJ465" s="29" t="s">
        <v>651</v>
      </c>
      <c r="AL465" s="29" t="s">
        <v>217</v>
      </c>
    </row>
    <row r="466" spans="15:38">
      <c r="O466" t="s">
        <v>44</v>
      </c>
      <c r="P466" t="s">
        <v>43</v>
      </c>
      <c r="Q466" t="s">
        <v>28</v>
      </c>
      <c r="R466" t="s">
        <v>58</v>
      </c>
      <c r="S466">
        <v>2024.28</v>
      </c>
      <c r="T466">
        <v>269.70999999999998</v>
      </c>
      <c r="U466">
        <v>0</v>
      </c>
      <c r="V466">
        <v>0</v>
      </c>
      <c r="AA466" s="29" t="s">
        <v>43</v>
      </c>
      <c r="AB466">
        <v>31199</v>
      </c>
      <c r="AC466">
        <v>70</v>
      </c>
      <c r="AD466">
        <v>4</v>
      </c>
      <c r="AE466">
        <v>7.32</v>
      </c>
      <c r="AF466">
        <v>7.32</v>
      </c>
      <c r="AG466" s="29" t="s">
        <v>216</v>
      </c>
      <c r="AH466" s="29" t="s">
        <v>562</v>
      </c>
      <c r="AI466" s="29" t="s">
        <v>257</v>
      </c>
      <c r="AJ466" s="29" t="s">
        <v>652</v>
      </c>
      <c r="AL466" s="29" t="s">
        <v>217</v>
      </c>
    </row>
    <row r="467" spans="15:38">
      <c r="O467" t="s">
        <v>44</v>
      </c>
      <c r="P467" t="s">
        <v>43</v>
      </c>
      <c r="Q467" t="s">
        <v>28</v>
      </c>
      <c r="R467" t="s">
        <v>58</v>
      </c>
      <c r="S467">
        <v>2024.38</v>
      </c>
      <c r="T467">
        <v>539.41999999999996</v>
      </c>
      <c r="U467">
        <v>0</v>
      </c>
      <c r="V467">
        <v>0</v>
      </c>
      <c r="AA467" s="29" t="s">
        <v>43</v>
      </c>
      <c r="AB467">
        <v>31199</v>
      </c>
      <c r="AC467">
        <v>70</v>
      </c>
      <c r="AD467">
        <v>4</v>
      </c>
      <c r="AE467">
        <v>637.72</v>
      </c>
      <c r="AF467">
        <v>637.72</v>
      </c>
      <c r="AG467" s="29" t="s">
        <v>216</v>
      </c>
      <c r="AH467" s="29" t="s">
        <v>583</v>
      </c>
      <c r="AI467" s="29" t="s">
        <v>257</v>
      </c>
      <c r="AJ467" s="29" t="s">
        <v>584</v>
      </c>
      <c r="AL467" s="29" t="s">
        <v>217</v>
      </c>
    </row>
    <row r="468" spans="15:38">
      <c r="O468" t="s">
        <v>44</v>
      </c>
      <c r="P468" t="s">
        <v>43</v>
      </c>
      <c r="Q468" t="s">
        <v>28</v>
      </c>
      <c r="R468" t="s">
        <v>58</v>
      </c>
      <c r="S468">
        <v>2024.39</v>
      </c>
      <c r="T468">
        <v>269.70999999999998</v>
      </c>
      <c r="U468">
        <v>0</v>
      </c>
      <c r="V468">
        <v>0</v>
      </c>
      <c r="AA468" s="29" t="s">
        <v>43</v>
      </c>
      <c r="AB468">
        <v>31199</v>
      </c>
      <c r="AC468">
        <v>70</v>
      </c>
      <c r="AD468">
        <v>4</v>
      </c>
      <c r="AE468">
        <v>152.51</v>
      </c>
      <c r="AF468">
        <v>152.51</v>
      </c>
      <c r="AG468" s="29" t="s">
        <v>216</v>
      </c>
      <c r="AH468" s="29" t="s">
        <v>585</v>
      </c>
      <c r="AI468" s="29" t="s">
        <v>257</v>
      </c>
      <c r="AJ468" s="29" t="s">
        <v>586</v>
      </c>
      <c r="AL468" s="29" t="s">
        <v>217</v>
      </c>
    </row>
    <row r="469" spans="15:38">
      <c r="O469" t="s">
        <v>44</v>
      </c>
      <c r="P469" t="s">
        <v>43</v>
      </c>
      <c r="Q469" t="s">
        <v>28</v>
      </c>
      <c r="R469" t="s">
        <v>58</v>
      </c>
      <c r="S469">
        <v>2024.41</v>
      </c>
      <c r="T469">
        <v>269.70999999999998</v>
      </c>
      <c r="U469">
        <v>0</v>
      </c>
      <c r="V469">
        <v>0</v>
      </c>
      <c r="AA469" s="29" t="s">
        <v>43</v>
      </c>
      <c r="AB469">
        <v>31199</v>
      </c>
      <c r="AC469">
        <v>70</v>
      </c>
      <c r="AD469">
        <v>4</v>
      </c>
      <c r="AE469">
        <v>6.54</v>
      </c>
      <c r="AF469">
        <v>6.54</v>
      </c>
      <c r="AG469" s="29" t="s">
        <v>216</v>
      </c>
      <c r="AH469" s="29" t="s">
        <v>577</v>
      </c>
      <c r="AI469" s="29" t="s">
        <v>257</v>
      </c>
      <c r="AJ469" s="29" t="s">
        <v>578</v>
      </c>
      <c r="AL469" s="29" t="s">
        <v>217</v>
      </c>
    </row>
    <row r="470" spans="15:38">
      <c r="O470" t="s">
        <v>44</v>
      </c>
      <c r="P470" t="s">
        <v>43</v>
      </c>
      <c r="Q470" t="s">
        <v>28</v>
      </c>
      <c r="R470" t="s">
        <v>58</v>
      </c>
      <c r="S470">
        <v>2024.43</v>
      </c>
      <c r="T470">
        <v>269.70999999999998</v>
      </c>
      <c r="U470">
        <v>0</v>
      </c>
      <c r="V470">
        <v>0</v>
      </c>
      <c r="AA470" s="29" t="s">
        <v>43</v>
      </c>
      <c r="AB470">
        <v>31199</v>
      </c>
      <c r="AC470">
        <v>70</v>
      </c>
      <c r="AD470">
        <v>4</v>
      </c>
      <c r="AE470">
        <v>123</v>
      </c>
      <c r="AF470">
        <v>123</v>
      </c>
      <c r="AG470" s="29" t="s">
        <v>216</v>
      </c>
      <c r="AH470" s="29" t="s">
        <v>653</v>
      </c>
      <c r="AI470" s="29" t="s">
        <v>257</v>
      </c>
      <c r="AJ470" s="29" t="s">
        <v>654</v>
      </c>
      <c r="AL470" s="29" t="s">
        <v>217</v>
      </c>
    </row>
    <row r="471" spans="15:38">
      <c r="O471" t="s">
        <v>44</v>
      </c>
      <c r="P471" t="s">
        <v>43</v>
      </c>
      <c r="Q471" t="s">
        <v>28</v>
      </c>
      <c r="R471" t="s">
        <v>58</v>
      </c>
      <c r="S471">
        <v>2024.44</v>
      </c>
      <c r="T471">
        <v>269.70999999999998</v>
      </c>
      <c r="U471">
        <v>0</v>
      </c>
      <c r="V471">
        <v>269.70999999999998</v>
      </c>
      <c r="AA471" s="29" t="s">
        <v>43</v>
      </c>
      <c r="AB471">
        <v>31199</v>
      </c>
      <c r="AC471">
        <v>70</v>
      </c>
      <c r="AD471">
        <v>4</v>
      </c>
      <c r="AE471">
        <v>0.77</v>
      </c>
      <c r="AF471">
        <v>0.77</v>
      </c>
      <c r="AG471" s="29" t="s">
        <v>216</v>
      </c>
      <c r="AH471" s="29" t="s">
        <v>655</v>
      </c>
      <c r="AI471" s="29" t="s">
        <v>257</v>
      </c>
      <c r="AJ471" s="29" t="s">
        <v>656</v>
      </c>
      <c r="AL471" s="29" t="s">
        <v>217</v>
      </c>
    </row>
    <row r="472" spans="15:38">
      <c r="O472" t="s">
        <v>44</v>
      </c>
      <c r="P472" t="s">
        <v>43</v>
      </c>
      <c r="Q472" t="s">
        <v>28</v>
      </c>
      <c r="R472" t="s">
        <v>58</v>
      </c>
      <c r="S472">
        <v>2024.45</v>
      </c>
      <c r="T472">
        <v>269.70999999999998</v>
      </c>
      <c r="U472">
        <v>0</v>
      </c>
      <c r="V472">
        <v>269.70999999999998</v>
      </c>
      <c r="AA472" s="29" t="s">
        <v>43</v>
      </c>
      <c r="AB472">
        <v>31199</v>
      </c>
      <c r="AC472">
        <v>70</v>
      </c>
      <c r="AD472">
        <v>4</v>
      </c>
      <c r="AE472">
        <v>6.3</v>
      </c>
      <c r="AF472">
        <v>6.3</v>
      </c>
      <c r="AG472" s="29" t="s">
        <v>216</v>
      </c>
      <c r="AH472" s="29" t="s">
        <v>342</v>
      </c>
      <c r="AI472" s="29" t="s">
        <v>257</v>
      </c>
      <c r="AJ472" s="29" t="s">
        <v>343</v>
      </c>
      <c r="AL472" s="29" t="s">
        <v>217</v>
      </c>
    </row>
    <row r="473" spans="15:38">
      <c r="O473" t="s">
        <v>44</v>
      </c>
      <c r="P473" t="s">
        <v>43</v>
      </c>
      <c r="Q473" t="s">
        <v>28</v>
      </c>
      <c r="R473" t="s">
        <v>58</v>
      </c>
      <c r="S473">
        <v>2024.47</v>
      </c>
      <c r="T473">
        <v>269.70999999999998</v>
      </c>
      <c r="U473">
        <v>0</v>
      </c>
      <c r="V473">
        <v>269.70999999999998</v>
      </c>
      <c r="AA473" s="29" t="s">
        <v>43</v>
      </c>
      <c r="AB473">
        <v>31199</v>
      </c>
      <c r="AC473">
        <v>70</v>
      </c>
      <c r="AD473">
        <v>4</v>
      </c>
      <c r="AE473">
        <v>7126</v>
      </c>
      <c r="AF473">
        <v>7126</v>
      </c>
      <c r="AG473" s="29" t="s">
        <v>216</v>
      </c>
      <c r="AH473" s="29" t="s">
        <v>657</v>
      </c>
      <c r="AI473" s="29" t="s">
        <v>257</v>
      </c>
      <c r="AJ473" s="29" t="s">
        <v>658</v>
      </c>
      <c r="AL473" s="29" t="s">
        <v>217</v>
      </c>
    </row>
    <row r="474" spans="15:38">
      <c r="O474" t="s">
        <v>44</v>
      </c>
      <c r="P474" t="s">
        <v>43</v>
      </c>
      <c r="Q474" t="s">
        <v>28</v>
      </c>
      <c r="R474" t="s">
        <v>58</v>
      </c>
      <c r="S474">
        <v>2024.48</v>
      </c>
      <c r="T474">
        <v>269.70999999999998</v>
      </c>
      <c r="U474">
        <v>0</v>
      </c>
      <c r="V474">
        <v>269.70999999999998</v>
      </c>
      <c r="AA474" s="29" t="s">
        <v>43</v>
      </c>
      <c r="AB474">
        <v>31199</v>
      </c>
      <c r="AC474">
        <v>70</v>
      </c>
      <c r="AD474">
        <v>4</v>
      </c>
      <c r="AE474">
        <v>30</v>
      </c>
      <c r="AF474">
        <v>30</v>
      </c>
      <c r="AG474" s="29" t="s">
        <v>216</v>
      </c>
      <c r="AH474" s="29" t="s">
        <v>659</v>
      </c>
      <c r="AI474" s="29" t="s">
        <v>257</v>
      </c>
      <c r="AJ474" s="29" t="s">
        <v>660</v>
      </c>
      <c r="AL474" s="29" t="s">
        <v>217</v>
      </c>
    </row>
    <row r="475" spans="15:38">
      <c r="O475" t="s">
        <v>44</v>
      </c>
      <c r="P475" t="s">
        <v>43</v>
      </c>
      <c r="Q475" t="s">
        <v>28</v>
      </c>
      <c r="R475" t="s">
        <v>58</v>
      </c>
      <c r="S475">
        <v>2024.49</v>
      </c>
      <c r="T475">
        <v>269.70999999999998</v>
      </c>
      <c r="U475">
        <v>0</v>
      </c>
      <c r="V475">
        <v>269.70999999999998</v>
      </c>
      <c r="AA475" s="29" t="s">
        <v>43</v>
      </c>
      <c r="AB475">
        <v>31199</v>
      </c>
      <c r="AC475">
        <v>70</v>
      </c>
      <c r="AD475">
        <v>4</v>
      </c>
      <c r="AE475">
        <v>30</v>
      </c>
      <c r="AF475">
        <v>30</v>
      </c>
      <c r="AG475" s="29" t="s">
        <v>216</v>
      </c>
      <c r="AH475" s="29" t="s">
        <v>659</v>
      </c>
      <c r="AI475" s="29" t="s">
        <v>257</v>
      </c>
      <c r="AJ475" s="29" t="s">
        <v>661</v>
      </c>
      <c r="AL475" s="29" t="s">
        <v>217</v>
      </c>
    </row>
    <row r="476" spans="15:38">
      <c r="O476" t="s">
        <v>44</v>
      </c>
      <c r="P476" t="s">
        <v>43</v>
      </c>
      <c r="Q476" t="s">
        <v>28</v>
      </c>
      <c r="R476" t="s">
        <v>58</v>
      </c>
      <c r="S476">
        <v>2024.52</v>
      </c>
      <c r="T476">
        <v>269.70999999999998</v>
      </c>
      <c r="U476">
        <v>0</v>
      </c>
      <c r="V476">
        <v>269.70999999999998</v>
      </c>
      <c r="AA476" s="29" t="s">
        <v>43</v>
      </c>
      <c r="AB476">
        <v>31199</v>
      </c>
      <c r="AC476">
        <v>70</v>
      </c>
      <c r="AD476">
        <v>4</v>
      </c>
      <c r="AE476">
        <v>26.75</v>
      </c>
      <c r="AF476">
        <v>26.75</v>
      </c>
      <c r="AG476" s="29" t="s">
        <v>216</v>
      </c>
      <c r="AH476" s="29" t="s">
        <v>474</v>
      </c>
      <c r="AI476" s="29" t="s">
        <v>257</v>
      </c>
      <c r="AJ476" s="29" t="s">
        <v>581</v>
      </c>
      <c r="AL476" s="29" t="s">
        <v>217</v>
      </c>
    </row>
    <row r="477" spans="15:38">
      <c r="O477" t="s">
        <v>44</v>
      </c>
      <c r="P477" t="s">
        <v>43</v>
      </c>
      <c r="Q477" t="s">
        <v>28</v>
      </c>
      <c r="R477" t="s">
        <v>58</v>
      </c>
      <c r="S477">
        <v>2025.03</v>
      </c>
      <c r="T477">
        <v>269.70999999999998</v>
      </c>
      <c r="U477">
        <v>0</v>
      </c>
      <c r="V477">
        <v>269.70999999999998</v>
      </c>
      <c r="AA477" s="29" t="s">
        <v>43</v>
      </c>
      <c r="AB477">
        <v>31199</v>
      </c>
      <c r="AC477">
        <v>70</v>
      </c>
      <c r="AD477">
        <v>4</v>
      </c>
      <c r="AE477">
        <v>26.75</v>
      </c>
      <c r="AF477">
        <v>26.75</v>
      </c>
      <c r="AG477" s="29" t="s">
        <v>216</v>
      </c>
      <c r="AH477" s="29" t="s">
        <v>474</v>
      </c>
      <c r="AI477" s="29" t="s">
        <v>257</v>
      </c>
      <c r="AJ477" s="29" t="s">
        <v>551</v>
      </c>
      <c r="AL477" s="29" t="s">
        <v>217</v>
      </c>
    </row>
    <row r="478" spans="15:38">
      <c r="O478" t="s">
        <v>44</v>
      </c>
      <c r="P478" t="s">
        <v>43</v>
      </c>
      <c r="Q478" t="s">
        <v>28</v>
      </c>
      <c r="R478" t="s">
        <v>58</v>
      </c>
      <c r="S478">
        <v>2025.12</v>
      </c>
      <c r="T478">
        <v>269.70999999999998</v>
      </c>
      <c r="U478">
        <v>0</v>
      </c>
      <c r="V478">
        <v>269.70999999999998</v>
      </c>
      <c r="AA478" s="29" t="s">
        <v>43</v>
      </c>
      <c r="AB478">
        <v>31199</v>
      </c>
      <c r="AC478">
        <v>70</v>
      </c>
      <c r="AD478">
        <v>4</v>
      </c>
      <c r="AE478">
        <v>42.8</v>
      </c>
      <c r="AF478">
        <v>42.8</v>
      </c>
      <c r="AG478" s="29" t="s">
        <v>216</v>
      </c>
      <c r="AH478" s="29" t="s">
        <v>319</v>
      </c>
      <c r="AI478" s="29" t="s">
        <v>257</v>
      </c>
      <c r="AJ478" s="29" t="s">
        <v>546</v>
      </c>
      <c r="AL478" s="29" t="s">
        <v>217</v>
      </c>
    </row>
    <row r="479" spans="15:38">
      <c r="O479" t="s">
        <v>44</v>
      </c>
      <c r="P479" t="s">
        <v>43</v>
      </c>
      <c r="Q479" t="s">
        <v>28</v>
      </c>
      <c r="R479" t="s">
        <v>56</v>
      </c>
      <c r="S479">
        <v>2024.06</v>
      </c>
      <c r="T479">
        <v>403.75</v>
      </c>
      <c r="U479">
        <v>0</v>
      </c>
      <c r="V479">
        <v>0</v>
      </c>
      <c r="AA479" s="29" t="s">
        <v>43</v>
      </c>
      <c r="AB479">
        <v>31199</v>
      </c>
      <c r="AC479">
        <v>70</v>
      </c>
      <c r="AD479">
        <v>4</v>
      </c>
      <c r="AE479">
        <v>21.4</v>
      </c>
      <c r="AF479">
        <v>21.4</v>
      </c>
      <c r="AG479" s="29" t="s">
        <v>216</v>
      </c>
      <c r="AH479" s="29" t="s">
        <v>436</v>
      </c>
      <c r="AI479" s="29" t="s">
        <v>257</v>
      </c>
      <c r="AJ479" s="29" t="s">
        <v>582</v>
      </c>
      <c r="AL479" s="29" t="s">
        <v>217</v>
      </c>
    </row>
    <row r="480" spans="15:38">
      <c r="O480" t="s">
        <v>44</v>
      </c>
      <c r="P480" t="s">
        <v>43</v>
      </c>
      <c r="Q480" t="s">
        <v>28</v>
      </c>
      <c r="R480" t="s">
        <v>56</v>
      </c>
      <c r="S480">
        <v>2024.07</v>
      </c>
      <c r="T480">
        <v>403.75</v>
      </c>
      <c r="U480">
        <v>0</v>
      </c>
      <c r="V480">
        <v>0</v>
      </c>
      <c r="AA480" s="29" t="s">
        <v>43</v>
      </c>
      <c r="AB480">
        <v>31199</v>
      </c>
      <c r="AC480">
        <v>70</v>
      </c>
      <c r="AD480">
        <v>4</v>
      </c>
      <c r="AE480">
        <v>21.66</v>
      </c>
      <c r="AF480">
        <v>21.66</v>
      </c>
      <c r="AG480" s="29" t="s">
        <v>216</v>
      </c>
      <c r="AH480" s="29" t="s">
        <v>458</v>
      </c>
      <c r="AI480" s="29" t="s">
        <v>257</v>
      </c>
      <c r="AJ480" s="29" t="s">
        <v>459</v>
      </c>
      <c r="AL480" s="29" t="s">
        <v>217</v>
      </c>
    </row>
    <row r="481" spans="15:38">
      <c r="O481" t="s">
        <v>44</v>
      </c>
      <c r="P481" t="s">
        <v>43</v>
      </c>
      <c r="Q481" t="s">
        <v>28</v>
      </c>
      <c r="R481" t="s">
        <v>56</v>
      </c>
      <c r="S481">
        <v>2024.08</v>
      </c>
      <c r="T481">
        <v>403.75</v>
      </c>
      <c r="U481">
        <v>0</v>
      </c>
      <c r="V481">
        <v>0</v>
      </c>
      <c r="AA481" s="29" t="s">
        <v>43</v>
      </c>
      <c r="AB481">
        <v>31199</v>
      </c>
      <c r="AC481">
        <v>70</v>
      </c>
      <c r="AD481">
        <v>4</v>
      </c>
      <c r="AE481">
        <v>43.32</v>
      </c>
      <c r="AF481">
        <v>43.32</v>
      </c>
      <c r="AG481" s="29" t="s">
        <v>216</v>
      </c>
      <c r="AH481" s="29" t="s">
        <v>331</v>
      </c>
      <c r="AI481" s="29" t="s">
        <v>257</v>
      </c>
      <c r="AJ481" s="29" t="s">
        <v>332</v>
      </c>
      <c r="AL481" s="29" t="s">
        <v>217</v>
      </c>
    </row>
    <row r="482" spans="15:38">
      <c r="O482" t="s">
        <v>44</v>
      </c>
      <c r="P482" t="s">
        <v>43</v>
      </c>
      <c r="Q482" t="s">
        <v>28</v>
      </c>
      <c r="R482" t="s">
        <v>56</v>
      </c>
      <c r="S482">
        <v>2024.09</v>
      </c>
      <c r="T482">
        <v>403.75</v>
      </c>
      <c r="U482">
        <v>0</v>
      </c>
      <c r="V482">
        <v>0</v>
      </c>
      <c r="AA482" s="29" t="s">
        <v>43</v>
      </c>
      <c r="AB482">
        <v>31199</v>
      </c>
      <c r="AC482">
        <v>70</v>
      </c>
      <c r="AD482">
        <v>4</v>
      </c>
      <c r="AE482">
        <v>956.58</v>
      </c>
      <c r="AF482">
        <v>956.58</v>
      </c>
      <c r="AG482" s="29" t="s">
        <v>216</v>
      </c>
      <c r="AH482" s="29" t="s">
        <v>662</v>
      </c>
      <c r="AI482" s="29" t="s">
        <v>257</v>
      </c>
      <c r="AJ482" s="29" t="s">
        <v>663</v>
      </c>
      <c r="AL482" s="29" t="s">
        <v>217</v>
      </c>
    </row>
    <row r="483" spans="15:38">
      <c r="O483" t="s">
        <v>44</v>
      </c>
      <c r="P483" t="s">
        <v>43</v>
      </c>
      <c r="Q483" t="s">
        <v>28</v>
      </c>
      <c r="R483" t="s">
        <v>56</v>
      </c>
      <c r="S483">
        <v>2024.1</v>
      </c>
      <c r="T483">
        <v>403.75</v>
      </c>
      <c r="U483">
        <v>0</v>
      </c>
      <c r="V483">
        <v>0</v>
      </c>
      <c r="AA483" s="29" t="s">
        <v>43</v>
      </c>
      <c r="AB483">
        <v>31199</v>
      </c>
      <c r="AC483">
        <v>70</v>
      </c>
      <c r="AD483">
        <v>4</v>
      </c>
      <c r="AE483">
        <v>152.51</v>
      </c>
      <c r="AF483">
        <v>152.51</v>
      </c>
      <c r="AG483" s="29" t="s">
        <v>216</v>
      </c>
      <c r="AH483" s="29" t="s">
        <v>585</v>
      </c>
      <c r="AI483" s="29" t="s">
        <v>257</v>
      </c>
      <c r="AJ483" s="29" t="s">
        <v>586</v>
      </c>
      <c r="AL483" s="29" t="s">
        <v>217</v>
      </c>
    </row>
    <row r="484" spans="15:38">
      <c r="O484" t="s">
        <v>44</v>
      </c>
      <c r="P484" t="s">
        <v>43</v>
      </c>
      <c r="Q484" t="s">
        <v>28</v>
      </c>
      <c r="R484" t="s">
        <v>56</v>
      </c>
      <c r="S484">
        <v>2024.11</v>
      </c>
      <c r="T484">
        <v>403.75</v>
      </c>
      <c r="U484">
        <v>0</v>
      </c>
      <c r="V484">
        <v>0</v>
      </c>
      <c r="AA484" s="29" t="s">
        <v>43</v>
      </c>
      <c r="AB484">
        <v>31199</v>
      </c>
      <c r="AC484">
        <v>70</v>
      </c>
      <c r="AD484">
        <v>4</v>
      </c>
      <c r="AE484">
        <v>42.8</v>
      </c>
      <c r="AF484">
        <v>42.8</v>
      </c>
      <c r="AG484" s="29" t="s">
        <v>216</v>
      </c>
      <c r="AH484" s="29" t="s">
        <v>319</v>
      </c>
      <c r="AI484" s="29" t="s">
        <v>257</v>
      </c>
      <c r="AJ484" s="29" t="s">
        <v>546</v>
      </c>
      <c r="AL484" s="29" t="s">
        <v>217</v>
      </c>
    </row>
    <row r="485" spans="15:38">
      <c r="O485" t="s">
        <v>44</v>
      </c>
      <c r="P485" t="s">
        <v>43</v>
      </c>
      <c r="Q485" t="s">
        <v>28</v>
      </c>
      <c r="R485" t="s">
        <v>56</v>
      </c>
      <c r="S485">
        <v>2024.14</v>
      </c>
      <c r="T485">
        <v>403.75</v>
      </c>
      <c r="U485">
        <v>0</v>
      </c>
      <c r="V485">
        <v>0</v>
      </c>
      <c r="AA485" s="29" t="s">
        <v>43</v>
      </c>
      <c r="AB485">
        <v>31199</v>
      </c>
      <c r="AC485">
        <v>70</v>
      </c>
      <c r="AD485">
        <v>4</v>
      </c>
      <c r="AE485">
        <v>21.4</v>
      </c>
      <c r="AF485">
        <v>21.4</v>
      </c>
      <c r="AG485" s="29" t="s">
        <v>216</v>
      </c>
      <c r="AH485" s="29" t="s">
        <v>436</v>
      </c>
      <c r="AI485" s="29" t="s">
        <v>257</v>
      </c>
      <c r="AJ485" s="29" t="s">
        <v>582</v>
      </c>
      <c r="AL485" s="29" t="s">
        <v>217</v>
      </c>
    </row>
    <row r="486" spans="15:38">
      <c r="O486" t="s">
        <v>44</v>
      </c>
      <c r="P486" t="s">
        <v>43</v>
      </c>
      <c r="Q486" t="s">
        <v>28</v>
      </c>
      <c r="R486" t="s">
        <v>56</v>
      </c>
      <c r="S486">
        <v>2024.17</v>
      </c>
      <c r="T486">
        <v>403.75</v>
      </c>
      <c r="U486">
        <v>0</v>
      </c>
      <c r="V486">
        <v>0</v>
      </c>
      <c r="AA486" s="29" t="s">
        <v>43</v>
      </c>
      <c r="AB486">
        <v>31199</v>
      </c>
      <c r="AC486">
        <v>70</v>
      </c>
      <c r="AD486">
        <v>4</v>
      </c>
      <c r="AE486">
        <v>5.28</v>
      </c>
      <c r="AF486">
        <v>5.28</v>
      </c>
      <c r="AG486" s="29" t="s">
        <v>216</v>
      </c>
      <c r="AH486" s="29" t="s">
        <v>444</v>
      </c>
      <c r="AI486" s="29" t="s">
        <v>257</v>
      </c>
      <c r="AJ486" s="29" t="s">
        <v>445</v>
      </c>
      <c r="AL486" s="29" t="s">
        <v>217</v>
      </c>
    </row>
    <row r="487" spans="15:38">
      <c r="O487" t="s">
        <v>44</v>
      </c>
      <c r="P487" t="s">
        <v>43</v>
      </c>
      <c r="Q487" t="s">
        <v>28</v>
      </c>
      <c r="R487" t="s">
        <v>56</v>
      </c>
      <c r="S487">
        <v>2024.18</v>
      </c>
      <c r="T487">
        <v>807.5</v>
      </c>
      <c r="U487">
        <v>0</v>
      </c>
      <c r="V487">
        <v>0</v>
      </c>
      <c r="AA487" s="29" t="s">
        <v>43</v>
      </c>
      <c r="AB487">
        <v>31199</v>
      </c>
      <c r="AC487">
        <v>70</v>
      </c>
      <c r="AD487">
        <v>4</v>
      </c>
      <c r="AE487">
        <v>797.15</v>
      </c>
      <c r="AF487">
        <v>797.15</v>
      </c>
      <c r="AG487" s="29" t="s">
        <v>216</v>
      </c>
      <c r="AH487" s="29" t="s">
        <v>442</v>
      </c>
      <c r="AI487" s="29" t="s">
        <v>257</v>
      </c>
      <c r="AJ487" s="29" t="s">
        <v>443</v>
      </c>
      <c r="AL487" s="29" t="s">
        <v>217</v>
      </c>
    </row>
    <row r="488" spans="15:38">
      <c r="O488" t="s">
        <v>44</v>
      </c>
      <c r="P488" t="s">
        <v>43</v>
      </c>
      <c r="Q488" t="s">
        <v>28</v>
      </c>
      <c r="R488" t="s">
        <v>56</v>
      </c>
      <c r="S488">
        <v>2024.19</v>
      </c>
      <c r="T488">
        <v>403.75</v>
      </c>
      <c r="U488">
        <v>0</v>
      </c>
      <c r="V488">
        <v>0</v>
      </c>
      <c r="AA488" s="29" t="s">
        <v>43</v>
      </c>
      <c r="AB488">
        <v>31199</v>
      </c>
      <c r="AC488">
        <v>70</v>
      </c>
      <c r="AD488">
        <v>4</v>
      </c>
      <c r="AE488">
        <v>21.4</v>
      </c>
      <c r="AF488">
        <v>21.4</v>
      </c>
      <c r="AG488" s="29" t="s">
        <v>216</v>
      </c>
      <c r="AH488" s="29" t="s">
        <v>436</v>
      </c>
      <c r="AI488" s="29" t="s">
        <v>257</v>
      </c>
      <c r="AJ488" s="29" t="s">
        <v>592</v>
      </c>
      <c r="AL488" s="29" t="s">
        <v>217</v>
      </c>
    </row>
    <row r="489" spans="15:38">
      <c r="O489" t="s">
        <v>44</v>
      </c>
      <c r="P489" t="s">
        <v>43</v>
      </c>
      <c r="Q489" t="s">
        <v>28</v>
      </c>
      <c r="R489" t="s">
        <v>56</v>
      </c>
      <c r="S489">
        <v>2024.2</v>
      </c>
      <c r="T489">
        <v>403.75</v>
      </c>
      <c r="U489">
        <v>0</v>
      </c>
      <c r="V489">
        <v>0</v>
      </c>
      <c r="AA489" s="29" t="s">
        <v>43</v>
      </c>
      <c r="AB489">
        <v>31199</v>
      </c>
      <c r="AC489">
        <v>70</v>
      </c>
      <c r="AD489">
        <v>4</v>
      </c>
      <c r="AE489">
        <v>21.4</v>
      </c>
      <c r="AF489">
        <v>21.4</v>
      </c>
      <c r="AG489" s="29" t="s">
        <v>216</v>
      </c>
      <c r="AH489" s="29" t="s">
        <v>436</v>
      </c>
      <c r="AI489" s="29" t="s">
        <v>257</v>
      </c>
      <c r="AJ489" s="29" t="s">
        <v>574</v>
      </c>
      <c r="AL489" s="29" t="s">
        <v>217</v>
      </c>
    </row>
    <row r="490" spans="15:38">
      <c r="O490" t="s">
        <v>44</v>
      </c>
      <c r="P490" t="s">
        <v>43</v>
      </c>
      <c r="Q490" t="s">
        <v>28</v>
      </c>
      <c r="R490" t="s">
        <v>56</v>
      </c>
      <c r="S490">
        <v>2024.21</v>
      </c>
      <c r="T490">
        <v>403.75</v>
      </c>
      <c r="U490">
        <v>0</v>
      </c>
      <c r="V490">
        <v>0</v>
      </c>
      <c r="AA490" s="29" t="s">
        <v>43</v>
      </c>
      <c r="AB490">
        <v>31199</v>
      </c>
      <c r="AC490">
        <v>70</v>
      </c>
      <c r="AD490">
        <v>4</v>
      </c>
      <c r="AE490">
        <v>448</v>
      </c>
      <c r="AF490">
        <v>448</v>
      </c>
      <c r="AG490" s="29" t="s">
        <v>216</v>
      </c>
      <c r="AH490" s="29" t="s">
        <v>410</v>
      </c>
      <c r="AI490" s="29" t="s">
        <v>257</v>
      </c>
      <c r="AJ490" s="29" t="s">
        <v>411</v>
      </c>
      <c r="AL490" s="29" t="s">
        <v>217</v>
      </c>
    </row>
    <row r="491" spans="15:38">
      <c r="O491" t="s">
        <v>44</v>
      </c>
      <c r="P491" t="s">
        <v>43</v>
      </c>
      <c r="Q491" t="s">
        <v>28</v>
      </c>
      <c r="R491" t="s">
        <v>56</v>
      </c>
      <c r="S491">
        <v>2024.28</v>
      </c>
      <c r="T491">
        <v>403.75</v>
      </c>
      <c r="U491">
        <v>0</v>
      </c>
      <c r="V491">
        <v>0</v>
      </c>
      <c r="AA491" s="29" t="s">
        <v>43</v>
      </c>
      <c r="AB491">
        <v>31199</v>
      </c>
      <c r="AC491">
        <v>70</v>
      </c>
      <c r="AD491">
        <v>4</v>
      </c>
      <c r="AE491">
        <v>43.32</v>
      </c>
      <c r="AF491">
        <v>43.32</v>
      </c>
      <c r="AG491" s="29" t="s">
        <v>216</v>
      </c>
      <c r="AH491" s="29" t="s">
        <v>331</v>
      </c>
      <c r="AI491" s="29" t="s">
        <v>257</v>
      </c>
      <c r="AJ491" s="29" t="s">
        <v>332</v>
      </c>
      <c r="AL491" s="29" t="s">
        <v>217</v>
      </c>
    </row>
    <row r="492" spans="15:38">
      <c r="O492" t="s">
        <v>44</v>
      </c>
      <c r="P492" t="s">
        <v>43</v>
      </c>
      <c r="Q492" t="s">
        <v>28</v>
      </c>
      <c r="R492" t="s">
        <v>56</v>
      </c>
      <c r="S492">
        <v>2024.38</v>
      </c>
      <c r="T492">
        <v>807.5</v>
      </c>
      <c r="U492">
        <v>0</v>
      </c>
      <c r="V492">
        <v>0</v>
      </c>
      <c r="AA492" s="29" t="s">
        <v>43</v>
      </c>
      <c r="AB492">
        <v>31199</v>
      </c>
      <c r="AC492">
        <v>70</v>
      </c>
      <c r="AD492">
        <v>4</v>
      </c>
      <c r="AE492">
        <v>395.9</v>
      </c>
      <c r="AF492">
        <v>395.9</v>
      </c>
      <c r="AG492" s="29" t="s">
        <v>216</v>
      </c>
      <c r="AH492" s="29" t="s">
        <v>664</v>
      </c>
      <c r="AI492" s="29" t="s">
        <v>257</v>
      </c>
      <c r="AJ492" s="29" t="s">
        <v>665</v>
      </c>
      <c r="AL492" s="29" t="s">
        <v>217</v>
      </c>
    </row>
    <row r="493" spans="15:38">
      <c r="O493" t="s">
        <v>44</v>
      </c>
      <c r="P493" t="s">
        <v>43</v>
      </c>
      <c r="Q493" t="s">
        <v>28</v>
      </c>
      <c r="R493" t="s">
        <v>56</v>
      </c>
      <c r="S493">
        <v>2024.39</v>
      </c>
      <c r="T493">
        <v>403.75</v>
      </c>
      <c r="U493">
        <v>0</v>
      </c>
      <c r="V493">
        <v>0</v>
      </c>
      <c r="AA493" s="29" t="s">
        <v>43</v>
      </c>
      <c r="AB493">
        <v>31199</v>
      </c>
      <c r="AC493">
        <v>70</v>
      </c>
      <c r="AD493">
        <v>4</v>
      </c>
      <c r="AE493">
        <v>637.72</v>
      </c>
      <c r="AF493">
        <v>637.72</v>
      </c>
      <c r="AG493" s="29" t="s">
        <v>216</v>
      </c>
      <c r="AH493" s="29" t="s">
        <v>583</v>
      </c>
      <c r="AI493" s="29" t="s">
        <v>257</v>
      </c>
      <c r="AJ493" s="29" t="s">
        <v>584</v>
      </c>
      <c r="AL493" s="29" t="s">
        <v>217</v>
      </c>
    </row>
    <row r="494" spans="15:38">
      <c r="O494" t="s">
        <v>44</v>
      </c>
      <c r="P494" t="s">
        <v>43</v>
      </c>
      <c r="Q494" t="s">
        <v>28</v>
      </c>
      <c r="R494" t="s">
        <v>56</v>
      </c>
      <c r="S494">
        <v>2024.41</v>
      </c>
      <c r="T494">
        <v>403.75</v>
      </c>
      <c r="U494">
        <v>0</v>
      </c>
      <c r="V494">
        <v>0</v>
      </c>
      <c r="AA494" s="29" t="s">
        <v>43</v>
      </c>
      <c r="AB494">
        <v>31199</v>
      </c>
      <c r="AC494">
        <v>70</v>
      </c>
      <c r="AD494">
        <v>4</v>
      </c>
      <c r="AE494">
        <v>152.51</v>
      </c>
      <c r="AF494">
        <v>152.51</v>
      </c>
      <c r="AG494" s="29" t="s">
        <v>216</v>
      </c>
      <c r="AH494" s="29" t="s">
        <v>585</v>
      </c>
      <c r="AI494" s="29" t="s">
        <v>257</v>
      </c>
      <c r="AJ494" s="29" t="s">
        <v>586</v>
      </c>
      <c r="AL494" s="29" t="s">
        <v>217</v>
      </c>
    </row>
    <row r="495" spans="15:38">
      <c r="O495" t="s">
        <v>44</v>
      </c>
      <c r="P495" t="s">
        <v>43</v>
      </c>
      <c r="Q495" t="s">
        <v>28</v>
      </c>
      <c r="R495" t="s">
        <v>56</v>
      </c>
      <c r="S495">
        <v>2024.43</v>
      </c>
      <c r="T495">
        <v>403.75</v>
      </c>
      <c r="U495">
        <v>0</v>
      </c>
      <c r="V495">
        <v>0</v>
      </c>
      <c r="AA495" s="29" t="s">
        <v>43</v>
      </c>
      <c r="AB495">
        <v>31199</v>
      </c>
      <c r="AC495">
        <v>70</v>
      </c>
      <c r="AD495">
        <v>4</v>
      </c>
      <c r="AE495">
        <v>297.45999999999998</v>
      </c>
      <c r="AF495">
        <v>297.45999999999998</v>
      </c>
      <c r="AG495" s="29" t="s">
        <v>216</v>
      </c>
      <c r="AH495" s="29" t="s">
        <v>351</v>
      </c>
      <c r="AI495" s="29" t="s">
        <v>257</v>
      </c>
      <c r="AJ495" s="29" t="s">
        <v>352</v>
      </c>
      <c r="AL495" s="29" t="s">
        <v>217</v>
      </c>
    </row>
    <row r="496" spans="15:38">
      <c r="O496" t="s">
        <v>44</v>
      </c>
      <c r="P496" t="s">
        <v>43</v>
      </c>
      <c r="Q496" t="s">
        <v>28</v>
      </c>
      <c r="R496" t="s">
        <v>56</v>
      </c>
      <c r="S496">
        <v>2024.44</v>
      </c>
      <c r="T496">
        <v>403.75</v>
      </c>
      <c r="U496">
        <v>0</v>
      </c>
      <c r="V496">
        <v>403.75</v>
      </c>
      <c r="AA496" s="29" t="s">
        <v>43</v>
      </c>
      <c r="AB496">
        <v>31199</v>
      </c>
      <c r="AC496">
        <v>70</v>
      </c>
      <c r="AD496">
        <v>4</v>
      </c>
      <c r="AE496">
        <v>363.8</v>
      </c>
      <c r="AF496">
        <v>363.8</v>
      </c>
      <c r="AG496" s="29" t="s">
        <v>216</v>
      </c>
      <c r="AH496" s="29" t="s">
        <v>666</v>
      </c>
      <c r="AI496" s="29" t="s">
        <v>257</v>
      </c>
      <c r="AJ496" s="29" t="s">
        <v>667</v>
      </c>
      <c r="AL496" s="29" t="s">
        <v>217</v>
      </c>
    </row>
    <row r="497" spans="15:38">
      <c r="O497" t="s">
        <v>44</v>
      </c>
      <c r="P497" t="s">
        <v>43</v>
      </c>
      <c r="Q497" t="s">
        <v>28</v>
      </c>
      <c r="R497" t="s">
        <v>56</v>
      </c>
      <c r="S497">
        <v>2024.45</v>
      </c>
      <c r="T497">
        <v>403.75</v>
      </c>
      <c r="U497">
        <v>0</v>
      </c>
      <c r="V497">
        <v>403.75</v>
      </c>
      <c r="AA497" s="29" t="s">
        <v>43</v>
      </c>
      <c r="AB497">
        <v>31199</v>
      </c>
      <c r="AC497">
        <v>70</v>
      </c>
      <c r="AD497">
        <v>4</v>
      </c>
      <c r="AE497">
        <v>6.54</v>
      </c>
      <c r="AF497">
        <v>6.54</v>
      </c>
      <c r="AG497" s="29" t="s">
        <v>216</v>
      </c>
      <c r="AH497" s="29" t="s">
        <v>577</v>
      </c>
      <c r="AI497" s="29" t="s">
        <v>257</v>
      </c>
      <c r="AJ497" s="29" t="s">
        <v>578</v>
      </c>
      <c r="AL497" s="29" t="s">
        <v>217</v>
      </c>
    </row>
    <row r="498" spans="15:38">
      <c r="O498" t="s">
        <v>44</v>
      </c>
      <c r="P498" t="s">
        <v>43</v>
      </c>
      <c r="Q498" t="s">
        <v>28</v>
      </c>
      <c r="R498" t="s">
        <v>56</v>
      </c>
      <c r="S498">
        <v>2024.47</v>
      </c>
      <c r="T498">
        <v>403.75</v>
      </c>
      <c r="U498">
        <v>0</v>
      </c>
      <c r="V498">
        <v>403.75</v>
      </c>
      <c r="AA498" s="29" t="s">
        <v>43</v>
      </c>
      <c r="AB498">
        <v>31199</v>
      </c>
      <c r="AC498">
        <v>70</v>
      </c>
      <c r="AD498">
        <v>4</v>
      </c>
      <c r="AE498">
        <v>21.4</v>
      </c>
      <c r="AF498">
        <v>21.4</v>
      </c>
      <c r="AG498" s="29" t="s">
        <v>216</v>
      </c>
      <c r="AH498" s="29" t="s">
        <v>436</v>
      </c>
      <c r="AI498" s="29" t="s">
        <v>257</v>
      </c>
      <c r="AJ498" s="29" t="s">
        <v>582</v>
      </c>
      <c r="AL498" s="29" t="s">
        <v>217</v>
      </c>
    </row>
    <row r="499" spans="15:38">
      <c r="O499" t="s">
        <v>44</v>
      </c>
      <c r="P499" t="s">
        <v>43</v>
      </c>
      <c r="Q499" t="s">
        <v>28</v>
      </c>
      <c r="R499" t="s">
        <v>56</v>
      </c>
      <c r="S499">
        <v>2024.48</v>
      </c>
      <c r="T499">
        <v>403.75</v>
      </c>
      <c r="U499">
        <v>0</v>
      </c>
      <c r="V499">
        <v>403.75</v>
      </c>
      <c r="AA499" s="29" t="s">
        <v>43</v>
      </c>
      <c r="AB499">
        <v>31199</v>
      </c>
      <c r="AC499">
        <v>70</v>
      </c>
      <c r="AD499">
        <v>4</v>
      </c>
      <c r="AE499">
        <v>448</v>
      </c>
      <c r="AF499">
        <v>448</v>
      </c>
      <c r="AG499" s="29" t="s">
        <v>216</v>
      </c>
      <c r="AH499" s="29" t="s">
        <v>410</v>
      </c>
      <c r="AI499" s="29" t="s">
        <v>257</v>
      </c>
      <c r="AJ499" s="29" t="s">
        <v>411</v>
      </c>
      <c r="AL499" s="29" t="s">
        <v>217</v>
      </c>
    </row>
    <row r="500" spans="15:38">
      <c r="O500" t="s">
        <v>44</v>
      </c>
      <c r="P500" t="s">
        <v>43</v>
      </c>
      <c r="Q500" t="s">
        <v>28</v>
      </c>
      <c r="R500" t="s">
        <v>56</v>
      </c>
      <c r="S500">
        <v>2024.49</v>
      </c>
      <c r="T500">
        <v>403.75</v>
      </c>
      <c r="U500">
        <v>0</v>
      </c>
      <c r="V500">
        <v>403.75</v>
      </c>
      <c r="AA500" s="29" t="s">
        <v>43</v>
      </c>
      <c r="AB500">
        <v>31199</v>
      </c>
      <c r="AC500">
        <v>70</v>
      </c>
      <c r="AD500">
        <v>4</v>
      </c>
      <c r="AE500">
        <v>12099</v>
      </c>
      <c r="AF500">
        <v>12099</v>
      </c>
      <c r="AG500" s="29" t="s">
        <v>216</v>
      </c>
      <c r="AH500" s="29" t="s">
        <v>668</v>
      </c>
      <c r="AI500" s="29" t="s">
        <v>257</v>
      </c>
      <c r="AJ500" s="29" t="s">
        <v>669</v>
      </c>
      <c r="AL500" s="29" t="s">
        <v>217</v>
      </c>
    </row>
    <row r="501" spans="15:38">
      <c r="O501" t="s">
        <v>44</v>
      </c>
      <c r="P501" t="s">
        <v>43</v>
      </c>
      <c r="Q501" t="s">
        <v>28</v>
      </c>
      <c r="R501" t="s">
        <v>56</v>
      </c>
      <c r="S501">
        <v>2024.52</v>
      </c>
      <c r="T501">
        <v>403.75</v>
      </c>
      <c r="U501">
        <v>0</v>
      </c>
      <c r="V501">
        <v>403.75</v>
      </c>
      <c r="AA501" s="29" t="s">
        <v>43</v>
      </c>
      <c r="AB501">
        <v>31199</v>
      </c>
      <c r="AC501">
        <v>70</v>
      </c>
      <c r="AD501">
        <v>4</v>
      </c>
      <c r="AE501">
        <v>110.8</v>
      </c>
      <c r="AF501">
        <v>110.8</v>
      </c>
      <c r="AG501" s="29" t="s">
        <v>216</v>
      </c>
      <c r="AH501" s="29" t="s">
        <v>639</v>
      </c>
      <c r="AI501" s="29" t="s">
        <v>257</v>
      </c>
      <c r="AJ501" s="29" t="s">
        <v>640</v>
      </c>
      <c r="AL501" s="29" t="s">
        <v>217</v>
      </c>
    </row>
    <row r="502" spans="15:38">
      <c r="O502" t="s">
        <v>44</v>
      </c>
      <c r="P502" t="s">
        <v>43</v>
      </c>
      <c r="Q502" t="s">
        <v>28</v>
      </c>
      <c r="R502" t="s">
        <v>56</v>
      </c>
      <c r="S502">
        <v>2025.03</v>
      </c>
      <c r="T502">
        <v>403.75</v>
      </c>
      <c r="U502">
        <v>0</v>
      </c>
      <c r="V502">
        <v>403.75</v>
      </c>
      <c r="AA502" s="29" t="s">
        <v>43</v>
      </c>
      <c r="AB502">
        <v>31199</v>
      </c>
      <c r="AC502">
        <v>70</v>
      </c>
      <c r="AD502">
        <v>4</v>
      </c>
      <c r="AE502">
        <v>55.4</v>
      </c>
      <c r="AF502">
        <v>55.4</v>
      </c>
      <c r="AG502" s="29" t="s">
        <v>216</v>
      </c>
      <c r="AH502" s="29" t="s">
        <v>518</v>
      </c>
      <c r="AI502" s="29" t="s">
        <v>257</v>
      </c>
      <c r="AJ502" s="29" t="s">
        <v>519</v>
      </c>
      <c r="AL502" s="29" t="s">
        <v>217</v>
      </c>
    </row>
    <row r="503" spans="15:38">
      <c r="O503" t="s">
        <v>44</v>
      </c>
      <c r="P503" t="s">
        <v>43</v>
      </c>
      <c r="Q503" t="s">
        <v>28</v>
      </c>
      <c r="R503" t="s">
        <v>56</v>
      </c>
      <c r="S503">
        <v>2025.12</v>
      </c>
      <c r="T503">
        <v>403.75</v>
      </c>
      <c r="U503">
        <v>0</v>
      </c>
      <c r="V503">
        <v>403.75</v>
      </c>
      <c r="AA503" s="29" t="s">
        <v>43</v>
      </c>
      <c r="AB503">
        <v>31199</v>
      </c>
      <c r="AC503">
        <v>70</v>
      </c>
      <c r="AD503">
        <v>4</v>
      </c>
      <c r="AE503">
        <v>148.44</v>
      </c>
      <c r="AF503">
        <v>148.44</v>
      </c>
      <c r="AG503" s="29" t="s">
        <v>216</v>
      </c>
      <c r="AH503" s="29" t="s">
        <v>325</v>
      </c>
      <c r="AI503" s="29" t="s">
        <v>257</v>
      </c>
      <c r="AJ503" s="29" t="s">
        <v>326</v>
      </c>
      <c r="AL503" s="29" t="s">
        <v>217</v>
      </c>
    </row>
    <row r="504" spans="15:38">
      <c r="O504" t="s">
        <v>44</v>
      </c>
      <c r="P504" t="s">
        <v>43</v>
      </c>
      <c r="Q504" t="s">
        <v>6</v>
      </c>
      <c r="R504" t="s">
        <v>54</v>
      </c>
      <c r="S504">
        <v>2024.44</v>
      </c>
      <c r="T504">
        <v>0</v>
      </c>
      <c r="U504">
        <v>0</v>
      </c>
      <c r="V504">
        <v>-6208.0285999999996</v>
      </c>
      <c r="AA504" s="29" t="s">
        <v>43</v>
      </c>
      <c r="AB504">
        <v>31199</v>
      </c>
      <c r="AC504">
        <v>70</v>
      </c>
      <c r="AD504">
        <v>4</v>
      </c>
      <c r="AE504">
        <v>43.32</v>
      </c>
      <c r="AF504">
        <v>43.32</v>
      </c>
      <c r="AG504" s="29" t="s">
        <v>216</v>
      </c>
      <c r="AH504" s="29" t="s">
        <v>331</v>
      </c>
      <c r="AI504" s="29" t="s">
        <v>257</v>
      </c>
      <c r="AJ504" s="29" t="s">
        <v>332</v>
      </c>
      <c r="AL504" s="29" t="s">
        <v>217</v>
      </c>
    </row>
    <row r="505" spans="15:38">
      <c r="O505" t="s">
        <v>44</v>
      </c>
      <c r="P505" t="s">
        <v>43</v>
      </c>
      <c r="Q505" t="s">
        <v>27</v>
      </c>
      <c r="R505" t="s">
        <v>54</v>
      </c>
      <c r="S505">
        <v>2023.44</v>
      </c>
      <c r="T505">
        <v>0</v>
      </c>
      <c r="U505">
        <v>290811.23</v>
      </c>
      <c r="V505">
        <v>290811.23</v>
      </c>
      <c r="AA505" s="29" t="s">
        <v>43</v>
      </c>
      <c r="AB505">
        <v>31199</v>
      </c>
      <c r="AC505">
        <v>70</v>
      </c>
      <c r="AD505">
        <v>4</v>
      </c>
      <c r="AE505">
        <v>0</v>
      </c>
      <c r="AF505">
        <v>0</v>
      </c>
      <c r="AG505" s="29" t="s">
        <v>216</v>
      </c>
      <c r="AH505" s="29" t="s">
        <v>218</v>
      </c>
      <c r="AI505" s="29" t="s">
        <v>257</v>
      </c>
      <c r="AJ505" s="29" t="s">
        <v>670</v>
      </c>
      <c r="AL505" s="29" t="s">
        <v>217</v>
      </c>
    </row>
    <row r="506" spans="15:38">
      <c r="O506" t="s">
        <v>44</v>
      </c>
      <c r="P506" t="s">
        <v>43</v>
      </c>
      <c r="Q506" t="s">
        <v>27</v>
      </c>
      <c r="R506" t="s">
        <v>54</v>
      </c>
      <c r="S506">
        <v>2023.51</v>
      </c>
      <c r="T506">
        <v>273791</v>
      </c>
      <c r="U506">
        <v>290811.23</v>
      </c>
      <c r="V506">
        <v>290811.23</v>
      </c>
      <c r="AA506" s="29" t="s">
        <v>43</v>
      </c>
      <c r="AB506">
        <v>31199</v>
      </c>
      <c r="AC506">
        <v>70</v>
      </c>
      <c r="AD506">
        <v>4</v>
      </c>
      <c r="AE506">
        <v>64.2</v>
      </c>
      <c r="AF506">
        <v>64.2</v>
      </c>
      <c r="AG506" s="29" t="s">
        <v>216</v>
      </c>
      <c r="AH506" s="29" t="s">
        <v>452</v>
      </c>
      <c r="AI506" s="29" t="s">
        <v>257</v>
      </c>
      <c r="AJ506" s="29" t="s">
        <v>671</v>
      </c>
      <c r="AL506" s="29" t="s">
        <v>217</v>
      </c>
    </row>
    <row r="507" spans="15:38">
      <c r="O507" t="s">
        <v>44</v>
      </c>
      <c r="P507" t="s">
        <v>43</v>
      </c>
      <c r="Q507" t="s">
        <v>27</v>
      </c>
      <c r="R507" t="s">
        <v>54</v>
      </c>
      <c r="S507">
        <v>2024.06</v>
      </c>
      <c r="T507">
        <v>279253.5</v>
      </c>
      <c r="U507">
        <v>290811.23</v>
      </c>
      <c r="V507">
        <v>290811.23</v>
      </c>
      <c r="AA507" s="29" t="s">
        <v>43</v>
      </c>
      <c r="AB507">
        <v>31199</v>
      </c>
      <c r="AC507">
        <v>70</v>
      </c>
      <c r="AD507">
        <v>4</v>
      </c>
      <c r="AE507">
        <v>26.75</v>
      </c>
      <c r="AF507">
        <v>26.75</v>
      </c>
      <c r="AG507" s="29" t="s">
        <v>216</v>
      </c>
      <c r="AH507" s="29" t="s">
        <v>474</v>
      </c>
      <c r="AI507" s="29" t="s">
        <v>257</v>
      </c>
      <c r="AJ507" s="29" t="s">
        <v>633</v>
      </c>
      <c r="AL507" s="29" t="s">
        <v>217</v>
      </c>
    </row>
    <row r="508" spans="15:38">
      <c r="O508" t="s">
        <v>44</v>
      </c>
      <c r="P508" t="s">
        <v>43</v>
      </c>
      <c r="Q508" t="s">
        <v>27</v>
      </c>
      <c r="R508" t="s">
        <v>54</v>
      </c>
      <c r="S508">
        <v>2024.07</v>
      </c>
      <c r="T508">
        <v>279253.5</v>
      </c>
      <c r="U508">
        <v>290811.23</v>
      </c>
      <c r="V508">
        <v>290811.23</v>
      </c>
      <c r="AA508" s="29" t="s">
        <v>43</v>
      </c>
      <c r="AB508">
        <v>31199</v>
      </c>
      <c r="AC508">
        <v>70</v>
      </c>
      <c r="AD508">
        <v>4</v>
      </c>
      <c r="AE508">
        <v>53.5</v>
      </c>
      <c r="AF508">
        <v>53.5</v>
      </c>
      <c r="AG508" s="29" t="s">
        <v>216</v>
      </c>
      <c r="AH508" s="29" t="s">
        <v>333</v>
      </c>
      <c r="AI508" s="29" t="s">
        <v>257</v>
      </c>
      <c r="AJ508" s="29" t="s">
        <v>334</v>
      </c>
      <c r="AL508" s="29" t="s">
        <v>217</v>
      </c>
    </row>
    <row r="509" spans="15:38">
      <c r="O509" t="s">
        <v>44</v>
      </c>
      <c r="P509" t="s">
        <v>43</v>
      </c>
      <c r="Q509" t="s">
        <v>27</v>
      </c>
      <c r="R509" t="s">
        <v>54</v>
      </c>
      <c r="S509">
        <v>2024.08</v>
      </c>
      <c r="T509">
        <v>285092.5</v>
      </c>
      <c r="U509">
        <v>290811.23</v>
      </c>
      <c r="V509">
        <v>290811.23</v>
      </c>
      <c r="AA509" s="29" t="s">
        <v>43</v>
      </c>
      <c r="AB509">
        <v>31199</v>
      </c>
      <c r="AC509">
        <v>70</v>
      </c>
      <c r="AD509">
        <v>4</v>
      </c>
      <c r="AE509">
        <v>138.04</v>
      </c>
      <c r="AF509">
        <v>138.04</v>
      </c>
      <c r="AG509" s="29" t="s">
        <v>216</v>
      </c>
      <c r="AH509" s="29" t="s">
        <v>672</v>
      </c>
      <c r="AI509" s="29" t="s">
        <v>257</v>
      </c>
      <c r="AJ509" s="29" t="s">
        <v>673</v>
      </c>
      <c r="AL509" s="29" t="s">
        <v>217</v>
      </c>
    </row>
    <row r="510" spans="15:38">
      <c r="O510" t="s">
        <v>44</v>
      </c>
      <c r="P510" t="s">
        <v>43</v>
      </c>
      <c r="Q510" t="s">
        <v>27</v>
      </c>
      <c r="R510" t="s">
        <v>54</v>
      </c>
      <c r="S510">
        <v>2024.09</v>
      </c>
      <c r="T510">
        <v>287759.5</v>
      </c>
      <c r="U510">
        <v>290811.23</v>
      </c>
      <c r="V510">
        <v>290811.23</v>
      </c>
      <c r="AA510" s="29" t="s">
        <v>43</v>
      </c>
      <c r="AB510">
        <v>31199</v>
      </c>
      <c r="AC510">
        <v>70</v>
      </c>
      <c r="AD510">
        <v>4</v>
      </c>
      <c r="AE510">
        <v>252.84</v>
      </c>
      <c r="AF510">
        <v>252.84</v>
      </c>
      <c r="AG510" s="29" t="s">
        <v>216</v>
      </c>
      <c r="AH510" s="29" t="s">
        <v>674</v>
      </c>
      <c r="AI510" s="29" t="s">
        <v>257</v>
      </c>
      <c r="AJ510" s="29" t="s">
        <v>675</v>
      </c>
      <c r="AL510" s="29" t="s">
        <v>217</v>
      </c>
    </row>
    <row r="511" spans="15:38">
      <c r="O511" t="s">
        <v>44</v>
      </c>
      <c r="P511" t="s">
        <v>43</v>
      </c>
      <c r="Q511" t="s">
        <v>27</v>
      </c>
      <c r="R511" t="s">
        <v>54</v>
      </c>
      <c r="S511">
        <v>2024.1</v>
      </c>
      <c r="T511">
        <v>287759.5</v>
      </c>
      <c r="U511">
        <v>290811.23</v>
      </c>
      <c r="V511">
        <v>290811.23</v>
      </c>
      <c r="AA511" s="29" t="s">
        <v>43</v>
      </c>
      <c r="AB511">
        <v>31199</v>
      </c>
      <c r="AC511">
        <v>70</v>
      </c>
      <c r="AD511">
        <v>4</v>
      </c>
      <c r="AE511">
        <v>42.8</v>
      </c>
      <c r="AF511">
        <v>42.8</v>
      </c>
      <c r="AG511" s="29" t="s">
        <v>216</v>
      </c>
      <c r="AH511" s="29" t="s">
        <v>319</v>
      </c>
      <c r="AI511" s="29" t="s">
        <v>257</v>
      </c>
      <c r="AJ511" s="29" t="s">
        <v>676</v>
      </c>
      <c r="AL511" s="29" t="s">
        <v>217</v>
      </c>
    </row>
    <row r="512" spans="15:38">
      <c r="O512" t="s">
        <v>44</v>
      </c>
      <c r="P512" t="s">
        <v>43</v>
      </c>
      <c r="Q512" t="s">
        <v>27</v>
      </c>
      <c r="R512" t="s">
        <v>54</v>
      </c>
      <c r="S512">
        <v>2024.11</v>
      </c>
      <c r="T512">
        <v>291609.5</v>
      </c>
      <c r="U512">
        <v>290811.23</v>
      </c>
      <c r="V512">
        <v>290811.23</v>
      </c>
      <c r="AA512" s="29" t="s">
        <v>43</v>
      </c>
      <c r="AB512">
        <v>31199</v>
      </c>
      <c r="AC512">
        <v>70</v>
      </c>
      <c r="AD512">
        <v>4</v>
      </c>
      <c r="AE512">
        <v>64.2</v>
      </c>
      <c r="AF512">
        <v>64.2</v>
      </c>
      <c r="AG512" s="29" t="s">
        <v>216</v>
      </c>
      <c r="AH512" s="29" t="s">
        <v>452</v>
      </c>
      <c r="AI512" s="29" t="s">
        <v>257</v>
      </c>
      <c r="AJ512" s="29" t="s">
        <v>677</v>
      </c>
      <c r="AL512" s="29" t="s">
        <v>217</v>
      </c>
    </row>
    <row r="513" spans="15:38">
      <c r="O513" t="s">
        <v>44</v>
      </c>
      <c r="P513" t="s">
        <v>43</v>
      </c>
      <c r="Q513" t="s">
        <v>27</v>
      </c>
      <c r="R513" t="s">
        <v>54</v>
      </c>
      <c r="S513">
        <v>2024.14</v>
      </c>
      <c r="T513">
        <v>291609.5</v>
      </c>
      <c r="U513">
        <v>290811.23</v>
      </c>
      <c r="V513">
        <v>290811.23</v>
      </c>
      <c r="AA513" s="29" t="s">
        <v>43</v>
      </c>
      <c r="AB513">
        <v>31199</v>
      </c>
      <c r="AC513">
        <v>70</v>
      </c>
      <c r="AD513">
        <v>4</v>
      </c>
      <c r="AE513">
        <v>26.75</v>
      </c>
      <c r="AF513">
        <v>26.75</v>
      </c>
      <c r="AG513" s="29" t="s">
        <v>216</v>
      </c>
      <c r="AH513" s="29" t="s">
        <v>474</v>
      </c>
      <c r="AI513" s="29" t="s">
        <v>257</v>
      </c>
      <c r="AJ513" s="29" t="s">
        <v>551</v>
      </c>
      <c r="AL513" s="29" t="s">
        <v>217</v>
      </c>
    </row>
    <row r="514" spans="15:38">
      <c r="O514" t="s">
        <v>44</v>
      </c>
      <c r="P514" t="s">
        <v>43</v>
      </c>
      <c r="Q514" t="s">
        <v>27</v>
      </c>
      <c r="R514" t="s">
        <v>54</v>
      </c>
      <c r="S514">
        <v>2024.17</v>
      </c>
      <c r="T514">
        <v>291609.5</v>
      </c>
      <c r="U514">
        <v>290811.23</v>
      </c>
      <c r="V514">
        <v>290811.23</v>
      </c>
      <c r="AA514" s="29" t="s">
        <v>43</v>
      </c>
      <c r="AB514">
        <v>31199</v>
      </c>
      <c r="AC514">
        <v>70</v>
      </c>
      <c r="AD514">
        <v>4</v>
      </c>
      <c r="AE514">
        <v>6.54</v>
      </c>
      <c r="AF514">
        <v>6.54</v>
      </c>
      <c r="AG514" s="29" t="s">
        <v>216</v>
      </c>
      <c r="AH514" s="29" t="s">
        <v>577</v>
      </c>
      <c r="AI514" s="29" t="s">
        <v>257</v>
      </c>
      <c r="AJ514" s="29" t="s">
        <v>578</v>
      </c>
      <c r="AL514" s="29" t="s">
        <v>217</v>
      </c>
    </row>
    <row r="515" spans="15:38">
      <c r="O515" t="s">
        <v>44</v>
      </c>
      <c r="P515" t="s">
        <v>43</v>
      </c>
      <c r="Q515" t="s">
        <v>27</v>
      </c>
      <c r="R515" t="s">
        <v>54</v>
      </c>
      <c r="S515">
        <v>2024.18</v>
      </c>
      <c r="T515">
        <v>588867</v>
      </c>
      <c r="U515">
        <v>290811.23</v>
      </c>
      <c r="V515">
        <v>290811.23</v>
      </c>
      <c r="AA515" s="29" t="s">
        <v>43</v>
      </c>
      <c r="AB515">
        <v>31199</v>
      </c>
      <c r="AC515">
        <v>70</v>
      </c>
      <c r="AD515">
        <v>4</v>
      </c>
      <c r="AE515">
        <v>42.8</v>
      </c>
      <c r="AF515">
        <v>42.8</v>
      </c>
      <c r="AG515" s="29" t="s">
        <v>216</v>
      </c>
      <c r="AH515" s="29" t="s">
        <v>319</v>
      </c>
      <c r="AI515" s="29" t="s">
        <v>257</v>
      </c>
      <c r="AJ515" s="29" t="s">
        <v>546</v>
      </c>
      <c r="AL515" s="29" t="s">
        <v>217</v>
      </c>
    </row>
    <row r="516" spans="15:38">
      <c r="O516" t="s">
        <v>44</v>
      </c>
      <c r="P516" t="s">
        <v>43</v>
      </c>
      <c r="Q516" t="s">
        <v>27</v>
      </c>
      <c r="R516" t="s">
        <v>54</v>
      </c>
      <c r="S516">
        <v>2024.19</v>
      </c>
      <c r="T516">
        <v>291609.5</v>
      </c>
      <c r="U516">
        <v>290811.23</v>
      </c>
      <c r="V516">
        <v>290811.23</v>
      </c>
      <c r="AA516" s="29" t="s">
        <v>43</v>
      </c>
      <c r="AB516">
        <v>31199</v>
      </c>
      <c r="AC516">
        <v>70</v>
      </c>
      <c r="AD516">
        <v>4</v>
      </c>
      <c r="AE516">
        <v>6.88</v>
      </c>
      <c r="AF516">
        <v>6.88</v>
      </c>
      <c r="AG516" s="29" t="s">
        <v>216</v>
      </c>
      <c r="AH516" s="29" t="s">
        <v>397</v>
      </c>
      <c r="AI516" s="29" t="s">
        <v>257</v>
      </c>
      <c r="AJ516" s="29" t="s">
        <v>398</v>
      </c>
      <c r="AL516" s="29" t="s">
        <v>217</v>
      </c>
    </row>
    <row r="517" spans="15:38">
      <c r="O517" t="s">
        <v>44</v>
      </c>
      <c r="P517" t="s">
        <v>43</v>
      </c>
      <c r="Q517" t="s">
        <v>27</v>
      </c>
      <c r="R517" t="s">
        <v>54</v>
      </c>
      <c r="S517">
        <v>2024.2</v>
      </c>
      <c r="T517">
        <v>291609.5</v>
      </c>
      <c r="U517">
        <v>290811.23</v>
      </c>
      <c r="V517">
        <v>290811.23</v>
      </c>
      <c r="AA517" s="29" t="s">
        <v>43</v>
      </c>
      <c r="AB517">
        <v>31199</v>
      </c>
      <c r="AC517">
        <v>70</v>
      </c>
      <c r="AD517">
        <v>4</v>
      </c>
      <c r="AE517">
        <v>4871</v>
      </c>
      <c r="AF517">
        <v>4871</v>
      </c>
      <c r="AG517" s="29" t="s">
        <v>216</v>
      </c>
      <c r="AH517" s="29" t="s">
        <v>404</v>
      </c>
      <c r="AI517" s="29" t="s">
        <v>257</v>
      </c>
      <c r="AJ517" s="29" t="s">
        <v>678</v>
      </c>
      <c r="AL517" s="29" t="s">
        <v>217</v>
      </c>
    </row>
    <row r="518" spans="15:38">
      <c r="O518" t="s">
        <v>44</v>
      </c>
      <c r="P518" t="s">
        <v>43</v>
      </c>
      <c r="Q518" t="s">
        <v>27</v>
      </c>
      <c r="R518" t="s">
        <v>54</v>
      </c>
      <c r="S518">
        <v>2024.21</v>
      </c>
      <c r="T518">
        <v>291609.5</v>
      </c>
      <c r="U518">
        <v>290811.23</v>
      </c>
      <c r="V518">
        <v>290811.23</v>
      </c>
      <c r="AA518" s="29" t="s">
        <v>43</v>
      </c>
      <c r="AB518">
        <v>31199</v>
      </c>
      <c r="AC518">
        <v>70</v>
      </c>
      <c r="AD518">
        <v>4</v>
      </c>
      <c r="AE518">
        <v>42.8</v>
      </c>
      <c r="AF518">
        <v>42.8</v>
      </c>
      <c r="AG518" s="29" t="s">
        <v>216</v>
      </c>
      <c r="AH518" s="29" t="s">
        <v>319</v>
      </c>
      <c r="AI518" s="29" t="s">
        <v>257</v>
      </c>
      <c r="AJ518" s="29" t="s">
        <v>346</v>
      </c>
      <c r="AL518" s="29" t="s">
        <v>217</v>
      </c>
    </row>
    <row r="519" spans="15:38">
      <c r="O519" t="s">
        <v>44</v>
      </c>
      <c r="P519" t="s">
        <v>43</v>
      </c>
      <c r="Q519" t="s">
        <v>27</v>
      </c>
      <c r="R519" t="s">
        <v>54</v>
      </c>
      <c r="S519">
        <v>2024.28</v>
      </c>
      <c r="T519">
        <v>297257.5</v>
      </c>
      <c r="U519">
        <v>290811.23</v>
      </c>
      <c r="V519">
        <v>290811.23</v>
      </c>
      <c r="AA519" s="29" t="s">
        <v>43</v>
      </c>
      <c r="AB519">
        <v>31199</v>
      </c>
      <c r="AC519">
        <v>70</v>
      </c>
      <c r="AD519">
        <v>4</v>
      </c>
      <c r="AE519">
        <v>42.8</v>
      </c>
      <c r="AF519">
        <v>42.8</v>
      </c>
      <c r="AG519" s="29" t="s">
        <v>216</v>
      </c>
      <c r="AH519" s="29" t="s">
        <v>319</v>
      </c>
      <c r="AI519" s="29" t="s">
        <v>257</v>
      </c>
      <c r="AJ519" s="29" t="s">
        <v>346</v>
      </c>
      <c r="AL519" s="29" t="s">
        <v>217</v>
      </c>
    </row>
    <row r="520" spans="15:38">
      <c r="O520" t="s">
        <v>44</v>
      </c>
      <c r="P520" t="s">
        <v>43</v>
      </c>
      <c r="Q520" t="s">
        <v>27</v>
      </c>
      <c r="R520" t="s">
        <v>54</v>
      </c>
      <c r="S520">
        <v>2024.38</v>
      </c>
      <c r="T520">
        <v>588867</v>
      </c>
      <c r="U520">
        <v>290811.23</v>
      </c>
      <c r="V520">
        <v>290811.23</v>
      </c>
      <c r="AA520" s="29" t="s">
        <v>43</v>
      </c>
      <c r="AB520">
        <v>31199</v>
      </c>
      <c r="AC520">
        <v>70</v>
      </c>
      <c r="AD520">
        <v>4</v>
      </c>
      <c r="AE520">
        <v>-42.8</v>
      </c>
      <c r="AF520">
        <v>-42.8</v>
      </c>
      <c r="AG520" s="29" t="s">
        <v>216</v>
      </c>
      <c r="AH520" s="29" t="s">
        <v>347</v>
      </c>
      <c r="AI520" s="29" t="s">
        <v>257</v>
      </c>
      <c r="AJ520" s="29" t="s">
        <v>348</v>
      </c>
      <c r="AL520" s="29" t="s">
        <v>217</v>
      </c>
    </row>
    <row r="521" spans="15:38">
      <c r="O521" t="s">
        <v>44</v>
      </c>
      <c r="P521" t="s">
        <v>43</v>
      </c>
      <c r="Q521" t="s">
        <v>27</v>
      </c>
      <c r="R521" t="s">
        <v>54</v>
      </c>
      <c r="S521">
        <v>2024.39</v>
      </c>
      <c r="T521">
        <v>297257.5</v>
      </c>
      <c r="U521">
        <v>290811.23</v>
      </c>
      <c r="V521">
        <v>290811.23</v>
      </c>
      <c r="AA521" s="29" t="s">
        <v>43</v>
      </c>
      <c r="AB521">
        <v>31199</v>
      </c>
      <c r="AC521">
        <v>70</v>
      </c>
      <c r="AD521">
        <v>4</v>
      </c>
      <c r="AE521">
        <v>42.8</v>
      </c>
      <c r="AF521">
        <v>42.8</v>
      </c>
      <c r="AG521" s="29" t="s">
        <v>216</v>
      </c>
      <c r="AH521" s="29" t="s">
        <v>319</v>
      </c>
      <c r="AI521" s="29" t="s">
        <v>257</v>
      </c>
      <c r="AJ521" s="29" t="s">
        <v>346</v>
      </c>
      <c r="AL521" s="29" t="s">
        <v>217</v>
      </c>
    </row>
    <row r="522" spans="15:38">
      <c r="O522" t="s">
        <v>44</v>
      </c>
      <c r="P522" t="s">
        <v>43</v>
      </c>
      <c r="Q522" t="s">
        <v>27</v>
      </c>
      <c r="R522" t="s">
        <v>54</v>
      </c>
      <c r="S522">
        <v>2024.41</v>
      </c>
      <c r="T522">
        <v>301732.5</v>
      </c>
      <c r="U522">
        <v>290811.23</v>
      </c>
      <c r="V522">
        <v>290811.23</v>
      </c>
      <c r="AA522" s="29" t="s">
        <v>43</v>
      </c>
      <c r="AB522">
        <v>31199</v>
      </c>
      <c r="AC522">
        <v>70</v>
      </c>
      <c r="AD522">
        <v>4</v>
      </c>
      <c r="AE522">
        <v>43.32</v>
      </c>
      <c r="AF522">
        <v>43.32</v>
      </c>
      <c r="AG522" s="29" t="s">
        <v>216</v>
      </c>
      <c r="AH522" s="29" t="s">
        <v>331</v>
      </c>
      <c r="AI522" s="29" t="s">
        <v>257</v>
      </c>
      <c r="AJ522" s="29" t="s">
        <v>332</v>
      </c>
      <c r="AL522" s="29" t="s">
        <v>217</v>
      </c>
    </row>
    <row r="523" spans="15:38">
      <c r="O523" t="s">
        <v>44</v>
      </c>
      <c r="P523" t="s">
        <v>43</v>
      </c>
      <c r="Q523" t="s">
        <v>27</v>
      </c>
      <c r="R523" t="s">
        <v>54</v>
      </c>
      <c r="S523">
        <v>2024.43</v>
      </c>
      <c r="T523">
        <v>301732.5</v>
      </c>
      <c r="U523">
        <v>290811.23</v>
      </c>
      <c r="V523">
        <v>290811.23</v>
      </c>
      <c r="AA523" s="29" t="s">
        <v>43</v>
      </c>
      <c r="AB523">
        <v>31199</v>
      </c>
      <c r="AC523">
        <v>70</v>
      </c>
      <c r="AD523">
        <v>4</v>
      </c>
      <c r="AE523">
        <v>43.32</v>
      </c>
      <c r="AF523">
        <v>43.32</v>
      </c>
      <c r="AG523" s="29" t="s">
        <v>216</v>
      </c>
      <c r="AH523" s="29" t="s">
        <v>331</v>
      </c>
      <c r="AI523" s="29" t="s">
        <v>257</v>
      </c>
      <c r="AJ523" s="29" t="s">
        <v>332</v>
      </c>
      <c r="AL523" s="29" t="s">
        <v>217</v>
      </c>
    </row>
    <row r="524" spans="15:38">
      <c r="O524" t="s">
        <v>44</v>
      </c>
      <c r="P524" t="s">
        <v>43</v>
      </c>
      <c r="Q524" t="s">
        <v>27</v>
      </c>
      <c r="R524" t="s">
        <v>54</v>
      </c>
      <c r="S524">
        <v>2024.44</v>
      </c>
      <c r="T524">
        <v>301732.5</v>
      </c>
      <c r="U524">
        <v>290811.23</v>
      </c>
      <c r="V524">
        <v>290811.23</v>
      </c>
      <c r="AA524" s="29" t="s">
        <v>43</v>
      </c>
      <c r="AB524">
        <v>31199</v>
      </c>
      <c r="AC524">
        <v>70</v>
      </c>
      <c r="AD524">
        <v>4</v>
      </c>
      <c r="AE524">
        <v>892.38</v>
      </c>
      <c r="AF524">
        <v>892.38</v>
      </c>
      <c r="AG524" s="29" t="s">
        <v>216</v>
      </c>
      <c r="AH524" s="29" t="s">
        <v>349</v>
      </c>
      <c r="AI524" s="29" t="s">
        <v>257</v>
      </c>
      <c r="AJ524" s="29" t="s">
        <v>350</v>
      </c>
      <c r="AL524" s="29" t="s">
        <v>217</v>
      </c>
    </row>
    <row r="525" spans="15:38">
      <c r="O525" t="s">
        <v>44</v>
      </c>
      <c r="P525" t="s">
        <v>43</v>
      </c>
      <c r="Q525" t="s">
        <v>27</v>
      </c>
      <c r="R525" t="s">
        <v>54</v>
      </c>
      <c r="S525">
        <v>2024.45</v>
      </c>
      <c r="T525">
        <v>301732.5</v>
      </c>
      <c r="U525">
        <v>290811.23</v>
      </c>
      <c r="V525">
        <v>290811.23</v>
      </c>
      <c r="AA525" s="29" t="s">
        <v>43</v>
      </c>
      <c r="AB525">
        <v>31199</v>
      </c>
      <c r="AC525">
        <v>70</v>
      </c>
      <c r="AD525">
        <v>4</v>
      </c>
      <c r="AE525">
        <v>85.6</v>
      </c>
      <c r="AF525">
        <v>85.6</v>
      </c>
      <c r="AG525" s="29" t="s">
        <v>216</v>
      </c>
      <c r="AH525" s="29" t="s">
        <v>344</v>
      </c>
      <c r="AI525" s="29" t="s">
        <v>257</v>
      </c>
      <c r="AJ525" s="29" t="s">
        <v>345</v>
      </c>
      <c r="AL525" s="29" t="s">
        <v>217</v>
      </c>
    </row>
    <row r="526" spans="15:38">
      <c r="O526" t="s">
        <v>44</v>
      </c>
      <c r="P526" t="s">
        <v>43</v>
      </c>
      <c r="Q526" t="s">
        <v>27</v>
      </c>
      <c r="R526" t="s">
        <v>54</v>
      </c>
      <c r="S526">
        <v>2024.47</v>
      </c>
      <c r="T526">
        <v>301732.5</v>
      </c>
      <c r="U526">
        <v>290811.23</v>
      </c>
      <c r="V526">
        <v>290811.23</v>
      </c>
      <c r="AA526" s="29" t="s">
        <v>43</v>
      </c>
      <c r="AB526">
        <v>31199</v>
      </c>
      <c r="AC526">
        <v>70</v>
      </c>
      <c r="AD526">
        <v>4</v>
      </c>
      <c r="AE526">
        <v>-297.45999999999998</v>
      </c>
      <c r="AF526">
        <v>-297.45999999999998</v>
      </c>
      <c r="AG526" s="29" t="s">
        <v>216</v>
      </c>
      <c r="AH526" s="29" t="s">
        <v>353</v>
      </c>
      <c r="AI526" s="29" t="s">
        <v>257</v>
      </c>
      <c r="AJ526" s="29" t="s">
        <v>354</v>
      </c>
      <c r="AL526" s="29" t="s">
        <v>217</v>
      </c>
    </row>
    <row r="527" spans="15:38">
      <c r="O527" t="s">
        <v>44</v>
      </c>
      <c r="P527" t="s">
        <v>43</v>
      </c>
      <c r="Q527" t="s">
        <v>27</v>
      </c>
      <c r="R527" t="s">
        <v>54</v>
      </c>
      <c r="S527">
        <v>2024.48</v>
      </c>
      <c r="T527">
        <v>301732.5</v>
      </c>
      <c r="U527">
        <v>290811.23</v>
      </c>
      <c r="V527">
        <v>290811.23</v>
      </c>
      <c r="AA527" s="29" t="s">
        <v>43</v>
      </c>
      <c r="AB527">
        <v>31199</v>
      </c>
      <c r="AC527">
        <v>70</v>
      </c>
      <c r="AD527">
        <v>4</v>
      </c>
      <c r="AE527">
        <v>297.45999999999998</v>
      </c>
      <c r="AF527">
        <v>297.45999999999998</v>
      </c>
      <c r="AG527" s="29" t="s">
        <v>216</v>
      </c>
      <c r="AH527" s="29" t="s">
        <v>351</v>
      </c>
      <c r="AI527" s="29" t="s">
        <v>257</v>
      </c>
      <c r="AJ527" s="29" t="s">
        <v>352</v>
      </c>
      <c r="AL527" s="29" t="s">
        <v>217</v>
      </c>
    </row>
    <row r="528" spans="15:38">
      <c r="O528" t="s">
        <v>44</v>
      </c>
      <c r="P528" t="s">
        <v>43</v>
      </c>
      <c r="Q528" t="s">
        <v>27</v>
      </c>
      <c r="R528" t="s">
        <v>54</v>
      </c>
      <c r="S528">
        <v>2024.49</v>
      </c>
      <c r="T528">
        <v>301732.5</v>
      </c>
      <c r="U528">
        <v>290811.23</v>
      </c>
      <c r="V528">
        <v>290811.23</v>
      </c>
      <c r="AA528" s="29" t="s">
        <v>43</v>
      </c>
      <c r="AB528">
        <v>31199</v>
      </c>
      <c r="AC528">
        <v>70</v>
      </c>
      <c r="AD528">
        <v>4</v>
      </c>
      <c r="AE528">
        <v>26.75</v>
      </c>
      <c r="AF528">
        <v>26.75</v>
      </c>
      <c r="AG528" s="29" t="s">
        <v>216</v>
      </c>
      <c r="AH528" s="29" t="s">
        <v>474</v>
      </c>
      <c r="AI528" s="29" t="s">
        <v>257</v>
      </c>
      <c r="AJ528" s="29" t="s">
        <v>581</v>
      </c>
      <c r="AL528" s="29" t="s">
        <v>217</v>
      </c>
    </row>
    <row r="529" spans="15:38">
      <c r="O529" t="s">
        <v>44</v>
      </c>
      <c r="P529" t="s">
        <v>43</v>
      </c>
      <c r="Q529" t="s">
        <v>27</v>
      </c>
      <c r="R529" t="s">
        <v>54</v>
      </c>
      <c r="S529">
        <v>2024.52</v>
      </c>
      <c r="T529">
        <v>301732.5</v>
      </c>
      <c r="U529">
        <v>290811.23</v>
      </c>
      <c r="V529">
        <v>290811.23</v>
      </c>
      <c r="AA529" s="29" t="s">
        <v>43</v>
      </c>
      <c r="AB529">
        <v>31199</v>
      </c>
      <c r="AC529">
        <v>70</v>
      </c>
      <c r="AD529">
        <v>4</v>
      </c>
      <c r="AE529">
        <v>148.44</v>
      </c>
      <c r="AF529">
        <v>148.44</v>
      </c>
      <c r="AG529" s="29" t="s">
        <v>216</v>
      </c>
      <c r="AH529" s="29" t="s">
        <v>325</v>
      </c>
      <c r="AI529" s="29" t="s">
        <v>257</v>
      </c>
      <c r="AJ529" s="29" t="s">
        <v>326</v>
      </c>
      <c r="AL529" s="29" t="s">
        <v>217</v>
      </c>
    </row>
    <row r="530" spans="15:38">
      <c r="O530" t="s">
        <v>44</v>
      </c>
      <c r="P530" t="s">
        <v>43</v>
      </c>
      <c r="Q530" t="s">
        <v>27</v>
      </c>
      <c r="R530" t="s">
        <v>54</v>
      </c>
      <c r="S530">
        <v>2025.03</v>
      </c>
      <c r="T530">
        <v>301732.5</v>
      </c>
      <c r="U530">
        <v>290811.23</v>
      </c>
      <c r="V530">
        <v>290811.23</v>
      </c>
      <c r="AA530" s="29" t="s">
        <v>43</v>
      </c>
      <c r="AB530">
        <v>31199</v>
      </c>
      <c r="AC530">
        <v>70</v>
      </c>
      <c r="AD530">
        <v>4</v>
      </c>
      <c r="AE530">
        <v>144.19999999999999</v>
      </c>
      <c r="AF530">
        <v>144.19999999999999</v>
      </c>
      <c r="AG530" s="29" t="s">
        <v>216</v>
      </c>
      <c r="AH530" s="29" t="s">
        <v>679</v>
      </c>
      <c r="AI530" s="29" t="s">
        <v>257</v>
      </c>
      <c r="AJ530" s="29" t="s">
        <v>680</v>
      </c>
      <c r="AL530" s="29" t="s">
        <v>217</v>
      </c>
    </row>
    <row r="531" spans="15:38">
      <c r="O531" t="s">
        <v>44</v>
      </c>
      <c r="P531" t="s">
        <v>43</v>
      </c>
      <c r="Q531" t="s">
        <v>27</v>
      </c>
      <c r="R531" t="s">
        <v>54</v>
      </c>
      <c r="S531">
        <v>2025.12</v>
      </c>
      <c r="T531">
        <v>301732.5</v>
      </c>
      <c r="U531">
        <v>290811.23</v>
      </c>
      <c r="V531">
        <v>290811.23</v>
      </c>
      <c r="AA531" s="29" t="s">
        <v>43</v>
      </c>
      <c r="AB531">
        <v>31199</v>
      </c>
      <c r="AC531">
        <v>70</v>
      </c>
      <c r="AD531">
        <v>4</v>
      </c>
      <c r="AE531">
        <v>278.39999999999998</v>
      </c>
      <c r="AF531">
        <v>278.39999999999998</v>
      </c>
      <c r="AG531" s="29" t="s">
        <v>216</v>
      </c>
      <c r="AH531" s="29" t="s">
        <v>681</v>
      </c>
      <c r="AI531" s="29" t="s">
        <v>257</v>
      </c>
      <c r="AJ531" s="29" t="s">
        <v>682</v>
      </c>
      <c r="AL531" s="29" t="s">
        <v>217</v>
      </c>
    </row>
    <row r="532" spans="15:38">
      <c r="O532" t="s">
        <v>44</v>
      </c>
      <c r="P532" t="s">
        <v>43</v>
      </c>
      <c r="Q532" t="s">
        <v>27</v>
      </c>
      <c r="R532" t="s">
        <v>58</v>
      </c>
      <c r="S532">
        <v>2023.44</v>
      </c>
      <c r="T532">
        <v>0</v>
      </c>
      <c r="U532">
        <v>134649.53690000001</v>
      </c>
      <c r="V532">
        <v>134649.53690000001</v>
      </c>
      <c r="AA532" s="29" t="s">
        <v>43</v>
      </c>
      <c r="AB532">
        <v>31199</v>
      </c>
      <c r="AC532">
        <v>70</v>
      </c>
      <c r="AD532">
        <v>4</v>
      </c>
      <c r="AE532">
        <v>14786</v>
      </c>
      <c r="AF532">
        <v>14786</v>
      </c>
      <c r="AG532" s="29" t="s">
        <v>216</v>
      </c>
      <c r="AH532" s="29" t="s">
        <v>683</v>
      </c>
      <c r="AI532" s="29" t="s">
        <v>257</v>
      </c>
      <c r="AJ532" s="29" t="s">
        <v>684</v>
      </c>
      <c r="AL532" s="29" t="s">
        <v>217</v>
      </c>
    </row>
    <row r="533" spans="15:38">
      <c r="O533" t="s">
        <v>44</v>
      </c>
      <c r="P533" t="s">
        <v>43</v>
      </c>
      <c r="Q533" t="s">
        <v>27</v>
      </c>
      <c r="R533" t="s">
        <v>58</v>
      </c>
      <c r="S533">
        <v>2023.51</v>
      </c>
      <c r="T533">
        <v>63172.33</v>
      </c>
      <c r="U533">
        <v>134649.53690000001</v>
      </c>
      <c r="V533">
        <v>134649.53690000001</v>
      </c>
      <c r="AA533" s="29" t="s">
        <v>43</v>
      </c>
      <c r="AB533">
        <v>31199</v>
      </c>
      <c r="AC533">
        <v>70</v>
      </c>
      <c r="AD533">
        <v>4</v>
      </c>
      <c r="AE533">
        <v>6.54</v>
      </c>
      <c r="AF533">
        <v>6.54</v>
      </c>
      <c r="AG533" s="29" t="s">
        <v>216</v>
      </c>
      <c r="AH533" s="29" t="s">
        <v>577</v>
      </c>
      <c r="AI533" s="29" t="s">
        <v>257</v>
      </c>
      <c r="AJ533" s="29" t="s">
        <v>578</v>
      </c>
      <c r="AL533" s="29" t="s">
        <v>217</v>
      </c>
    </row>
    <row r="534" spans="15:38">
      <c r="O534" t="s">
        <v>44</v>
      </c>
      <c r="P534" t="s">
        <v>43</v>
      </c>
      <c r="Q534" t="s">
        <v>27</v>
      </c>
      <c r="R534" t="s">
        <v>58</v>
      </c>
      <c r="S534">
        <v>2024.06</v>
      </c>
      <c r="T534">
        <v>63776.84</v>
      </c>
      <c r="U534">
        <v>134649.53690000001</v>
      </c>
      <c r="V534">
        <v>134649.53690000001</v>
      </c>
      <c r="AA534" s="29" t="s">
        <v>43</v>
      </c>
      <c r="AB534">
        <v>31199</v>
      </c>
      <c r="AC534">
        <v>70</v>
      </c>
      <c r="AD534">
        <v>4</v>
      </c>
      <c r="AE534">
        <v>297.45999999999998</v>
      </c>
      <c r="AF534">
        <v>297.45999999999998</v>
      </c>
      <c r="AG534" s="29" t="s">
        <v>216</v>
      </c>
      <c r="AH534" s="29" t="s">
        <v>351</v>
      </c>
      <c r="AI534" s="29" t="s">
        <v>257</v>
      </c>
      <c r="AJ534" s="29" t="s">
        <v>352</v>
      </c>
      <c r="AL534" s="29" t="s">
        <v>217</v>
      </c>
    </row>
    <row r="535" spans="15:38">
      <c r="O535" t="s">
        <v>44</v>
      </c>
      <c r="P535" t="s">
        <v>43</v>
      </c>
      <c r="Q535" t="s">
        <v>27</v>
      </c>
      <c r="R535" t="s">
        <v>58</v>
      </c>
      <c r="S535">
        <v>2024.07</v>
      </c>
      <c r="T535">
        <v>63796.24</v>
      </c>
      <c r="U535">
        <v>134649.53690000001</v>
      </c>
      <c r="V535">
        <v>134649.53690000001</v>
      </c>
      <c r="AA535" s="29" t="s">
        <v>43</v>
      </c>
      <c r="AB535">
        <v>31199</v>
      </c>
      <c r="AC535">
        <v>70</v>
      </c>
      <c r="AD535">
        <v>4</v>
      </c>
      <c r="AE535">
        <v>52.82</v>
      </c>
      <c r="AF535">
        <v>52.82</v>
      </c>
      <c r="AG535" s="29" t="s">
        <v>216</v>
      </c>
      <c r="AH535" s="29" t="s">
        <v>522</v>
      </c>
      <c r="AI535" s="29" t="s">
        <v>257</v>
      </c>
      <c r="AJ535" s="29" t="s">
        <v>523</v>
      </c>
      <c r="AL535" s="29" t="s">
        <v>217</v>
      </c>
    </row>
    <row r="536" spans="15:38">
      <c r="O536" t="s">
        <v>44</v>
      </c>
      <c r="P536" t="s">
        <v>43</v>
      </c>
      <c r="Q536" t="s">
        <v>27</v>
      </c>
      <c r="R536" t="s">
        <v>58</v>
      </c>
      <c r="S536">
        <v>2024.08</v>
      </c>
      <c r="T536">
        <v>64946.98</v>
      </c>
      <c r="U536">
        <v>134649.53690000001</v>
      </c>
      <c r="V536">
        <v>134649.53690000001</v>
      </c>
      <c r="AA536" s="29" t="s">
        <v>43</v>
      </c>
      <c r="AB536">
        <v>31199</v>
      </c>
      <c r="AC536">
        <v>80</v>
      </c>
      <c r="AD536">
        <v>1</v>
      </c>
      <c r="AE536">
        <v>0</v>
      </c>
      <c r="AF536">
        <v>0</v>
      </c>
      <c r="AG536" s="29" t="s">
        <v>685</v>
      </c>
      <c r="AH536" s="29"/>
      <c r="AI536" s="29"/>
      <c r="AJ536" s="29"/>
      <c r="AL536" s="29" t="s">
        <v>686</v>
      </c>
    </row>
    <row r="537" spans="15:38">
      <c r="O537" t="s">
        <v>44</v>
      </c>
      <c r="P537" t="s">
        <v>43</v>
      </c>
      <c r="Q537" t="s">
        <v>27</v>
      </c>
      <c r="R537" t="s">
        <v>58</v>
      </c>
      <c r="S537">
        <v>2024.09</v>
      </c>
      <c r="T537">
        <v>64946.98</v>
      </c>
      <c r="U537">
        <v>134649.53690000001</v>
      </c>
      <c r="V537">
        <v>134649.53690000001</v>
      </c>
      <c r="AA537" s="29" t="s">
        <v>43</v>
      </c>
      <c r="AB537">
        <v>31199</v>
      </c>
      <c r="AC537">
        <v>80</v>
      </c>
      <c r="AD537">
        <v>3</v>
      </c>
      <c r="AE537">
        <v>48</v>
      </c>
      <c r="AF537">
        <v>48</v>
      </c>
      <c r="AG537" s="29" t="s">
        <v>685</v>
      </c>
      <c r="AH537" s="29" t="s">
        <v>687</v>
      </c>
      <c r="AI537" s="29" t="s">
        <v>688</v>
      </c>
      <c r="AJ537" s="29"/>
      <c r="AL537" s="29" t="s">
        <v>686</v>
      </c>
    </row>
    <row r="538" spans="15:38">
      <c r="O538" t="s">
        <v>44</v>
      </c>
      <c r="P538" t="s">
        <v>43</v>
      </c>
      <c r="Q538" t="s">
        <v>27</v>
      </c>
      <c r="R538" t="s">
        <v>58</v>
      </c>
      <c r="S538">
        <v>2024.1</v>
      </c>
      <c r="T538">
        <v>64991.77</v>
      </c>
      <c r="U538">
        <v>134649.53690000001</v>
      </c>
      <c r="V538">
        <v>134649.53690000001</v>
      </c>
      <c r="AA538" s="29" t="s">
        <v>43</v>
      </c>
      <c r="AB538">
        <v>31199</v>
      </c>
      <c r="AC538">
        <v>80</v>
      </c>
      <c r="AD538">
        <v>3</v>
      </c>
      <c r="AE538">
        <v>247.23</v>
      </c>
      <c r="AF538">
        <v>247.23</v>
      </c>
      <c r="AG538" s="29" t="s">
        <v>685</v>
      </c>
      <c r="AH538" s="29" t="s">
        <v>689</v>
      </c>
      <c r="AI538" s="29" t="s">
        <v>690</v>
      </c>
      <c r="AJ538" s="29"/>
      <c r="AL538" s="29" t="s">
        <v>686</v>
      </c>
    </row>
    <row r="539" spans="15:38">
      <c r="O539" t="s">
        <v>44</v>
      </c>
      <c r="P539" t="s">
        <v>43</v>
      </c>
      <c r="Q539" t="s">
        <v>27</v>
      </c>
      <c r="R539" t="s">
        <v>58</v>
      </c>
      <c r="S539">
        <v>2024.11</v>
      </c>
      <c r="T539">
        <v>65033.67</v>
      </c>
      <c r="U539">
        <v>134649.53690000001</v>
      </c>
      <c r="V539">
        <v>134649.53690000001</v>
      </c>
      <c r="AA539" s="29" t="s">
        <v>43</v>
      </c>
      <c r="AB539">
        <v>31199</v>
      </c>
      <c r="AC539">
        <v>80</v>
      </c>
      <c r="AD539">
        <v>3</v>
      </c>
      <c r="AE539">
        <v>5.44</v>
      </c>
      <c r="AF539">
        <v>5.44</v>
      </c>
      <c r="AG539" s="29" t="s">
        <v>685</v>
      </c>
      <c r="AH539" s="29" t="s">
        <v>691</v>
      </c>
      <c r="AI539" s="29" t="s">
        <v>692</v>
      </c>
      <c r="AJ539" s="29"/>
      <c r="AL539" s="29" t="s">
        <v>686</v>
      </c>
    </row>
    <row r="540" spans="15:38">
      <c r="O540" t="s">
        <v>44</v>
      </c>
      <c r="P540" t="s">
        <v>43</v>
      </c>
      <c r="Q540" t="s">
        <v>27</v>
      </c>
      <c r="R540" t="s">
        <v>58</v>
      </c>
      <c r="S540">
        <v>2024.14</v>
      </c>
      <c r="T540">
        <v>65040.33</v>
      </c>
      <c r="U540">
        <v>134649.53690000001</v>
      </c>
      <c r="V540">
        <v>134649.53690000001</v>
      </c>
      <c r="AA540" s="29" t="s">
        <v>43</v>
      </c>
      <c r="AB540">
        <v>31199</v>
      </c>
      <c r="AC540">
        <v>80</v>
      </c>
      <c r="AD540">
        <v>3</v>
      </c>
      <c r="AE540">
        <v>0</v>
      </c>
      <c r="AF540">
        <v>0</v>
      </c>
      <c r="AG540" s="29" t="s">
        <v>685</v>
      </c>
      <c r="AH540" s="29" t="s">
        <v>693</v>
      </c>
      <c r="AI540" s="29" t="s">
        <v>694</v>
      </c>
      <c r="AJ540" s="29"/>
      <c r="AL540" s="29" t="s">
        <v>686</v>
      </c>
    </row>
    <row r="541" spans="15:38">
      <c r="O541" t="s">
        <v>44</v>
      </c>
      <c r="P541" t="s">
        <v>43</v>
      </c>
      <c r="Q541" t="s">
        <v>27</v>
      </c>
      <c r="R541" t="s">
        <v>58</v>
      </c>
      <c r="S541">
        <v>2024.17</v>
      </c>
      <c r="T541">
        <v>65037.51</v>
      </c>
      <c r="U541">
        <v>134649.53690000001</v>
      </c>
      <c r="V541">
        <v>134649.53690000001</v>
      </c>
      <c r="AA541" s="29" t="s">
        <v>43</v>
      </c>
      <c r="AB541">
        <v>31199</v>
      </c>
      <c r="AC541">
        <v>80</v>
      </c>
      <c r="AD541">
        <v>3</v>
      </c>
      <c r="AE541">
        <v>0.95</v>
      </c>
      <c r="AF541">
        <v>0.95</v>
      </c>
      <c r="AG541" s="29" t="s">
        <v>685</v>
      </c>
      <c r="AH541" s="29" t="s">
        <v>695</v>
      </c>
      <c r="AI541" s="29" t="s">
        <v>696</v>
      </c>
      <c r="AJ541" s="29"/>
      <c r="AL541" s="29" t="s">
        <v>686</v>
      </c>
    </row>
    <row r="542" spans="15:38">
      <c r="O542" t="s">
        <v>44</v>
      </c>
      <c r="P542" t="s">
        <v>43</v>
      </c>
      <c r="Q542" t="s">
        <v>27</v>
      </c>
      <c r="R542" t="s">
        <v>58</v>
      </c>
      <c r="S542">
        <v>2024.18</v>
      </c>
      <c r="T542">
        <v>130261.2</v>
      </c>
      <c r="U542">
        <v>134649.53690000001</v>
      </c>
      <c r="V542">
        <v>134649.53690000001</v>
      </c>
      <c r="AA542" s="29" t="s">
        <v>43</v>
      </c>
      <c r="AB542">
        <v>31199</v>
      </c>
      <c r="AC542">
        <v>80</v>
      </c>
      <c r="AD542">
        <v>3</v>
      </c>
      <c r="AE542">
        <v>2.4</v>
      </c>
      <c r="AF542">
        <v>2.4</v>
      </c>
      <c r="AG542" s="29" t="s">
        <v>685</v>
      </c>
      <c r="AH542" s="29" t="s">
        <v>697</v>
      </c>
      <c r="AI542" s="29" t="s">
        <v>698</v>
      </c>
      <c r="AJ542" s="29"/>
      <c r="AL542" s="29" t="s">
        <v>686</v>
      </c>
    </row>
    <row r="543" spans="15:38">
      <c r="O543" t="s">
        <v>44</v>
      </c>
      <c r="P543" t="s">
        <v>43</v>
      </c>
      <c r="Q543" t="s">
        <v>27</v>
      </c>
      <c r="R543" t="s">
        <v>58</v>
      </c>
      <c r="S543">
        <v>2024.19</v>
      </c>
      <c r="T543">
        <v>65037.51</v>
      </c>
      <c r="U543">
        <v>134649.53690000001</v>
      </c>
      <c r="V543">
        <v>134649.53690000001</v>
      </c>
      <c r="AA543" s="29" t="s">
        <v>43</v>
      </c>
      <c r="AB543">
        <v>31199</v>
      </c>
      <c r="AC543">
        <v>80</v>
      </c>
      <c r="AD543">
        <v>3</v>
      </c>
      <c r="AE543">
        <v>163.75</v>
      </c>
      <c r="AF543">
        <v>163.75</v>
      </c>
      <c r="AG543" s="29" t="s">
        <v>685</v>
      </c>
      <c r="AH543" s="29" t="s">
        <v>699</v>
      </c>
      <c r="AI543" s="29" t="s">
        <v>700</v>
      </c>
      <c r="AJ543" s="29"/>
      <c r="AL543" s="29" t="s">
        <v>686</v>
      </c>
    </row>
    <row r="544" spans="15:38">
      <c r="O544" t="s">
        <v>44</v>
      </c>
      <c r="P544" t="s">
        <v>43</v>
      </c>
      <c r="Q544" t="s">
        <v>27</v>
      </c>
      <c r="R544" t="s">
        <v>58</v>
      </c>
      <c r="S544">
        <v>2024.2</v>
      </c>
      <c r="T544">
        <v>65037.51</v>
      </c>
      <c r="U544">
        <v>134649.53690000001</v>
      </c>
      <c r="V544">
        <v>134649.53690000001</v>
      </c>
      <c r="AA544" s="29" t="s">
        <v>43</v>
      </c>
      <c r="AB544">
        <v>31199</v>
      </c>
      <c r="AC544">
        <v>80</v>
      </c>
      <c r="AD544">
        <v>3</v>
      </c>
      <c r="AE544">
        <v>162.4</v>
      </c>
      <c r="AF544">
        <v>162.4</v>
      </c>
      <c r="AG544" s="29" t="s">
        <v>685</v>
      </c>
      <c r="AH544" s="29" t="s">
        <v>701</v>
      </c>
      <c r="AI544" s="29" t="s">
        <v>702</v>
      </c>
      <c r="AJ544" s="29"/>
      <c r="AL544" s="29" t="s">
        <v>686</v>
      </c>
    </row>
    <row r="545" spans="15:38">
      <c r="O545" t="s">
        <v>44</v>
      </c>
      <c r="P545" t="s">
        <v>43</v>
      </c>
      <c r="Q545" t="s">
        <v>27</v>
      </c>
      <c r="R545" t="s">
        <v>58</v>
      </c>
      <c r="S545">
        <v>2024.21</v>
      </c>
      <c r="T545">
        <v>65037.51</v>
      </c>
      <c r="U545">
        <v>134649.53690000001</v>
      </c>
      <c r="V545">
        <v>134649.53690000001</v>
      </c>
      <c r="AA545" s="29" t="s">
        <v>43</v>
      </c>
      <c r="AB545">
        <v>31199</v>
      </c>
      <c r="AC545">
        <v>80</v>
      </c>
      <c r="AD545">
        <v>3</v>
      </c>
      <c r="AE545">
        <v>0.11</v>
      </c>
      <c r="AF545">
        <v>0.11</v>
      </c>
      <c r="AG545" s="29" t="s">
        <v>685</v>
      </c>
      <c r="AH545" s="29" t="s">
        <v>703</v>
      </c>
      <c r="AI545" s="29" t="s">
        <v>704</v>
      </c>
      <c r="AJ545" s="29"/>
      <c r="AL545" s="29" t="s">
        <v>686</v>
      </c>
    </row>
    <row r="546" spans="15:38">
      <c r="O546" t="s">
        <v>44</v>
      </c>
      <c r="P546" t="s">
        <v>43</v>
      </c>
      <c r="Q546" t="s">
        <v>27</v>
      </c>
      <c r="R546" t="s">
        <v>58</v>
      </c>
      <c r="S546">
        <v>2024.28</v>
      </c>
      <c r="T546">
        <v>65037.51</v>
      </c>
      <c r="U546">
        <v>134649.53690000001</v>
      </c>
      <c r="V546">
        <v>134649.53690000001</v>
      </c>
      <c r="AA546" s="29" t="s">
        <v>43</v>
      </c>
      <c r="AB546">
        <v>31199</v>
      </c>
      <c r="AC546">
        <v>80</v>
      </c>
      <c r="AD546">
        <v>3</v>
      </c>
      <c r="AE546">
        <v>243.6</v>
      </c>
      <c r="AF546">
        <v>243.6</v>
      </c>
      <c r="AG546" s="29" t="s">
        <v>685</v>
      </c>
      <c r="AH546" s="29" t="s">
        <v>705</v>
      </c>
      <c r="AI546" s="29" t="s">
        <v>706</v>
      </c>
      <c r="AJ546" s="29"/>
      <c r="AL546" s="29" t="s">
        <v>686</v>
      </c>
    </row>
    <row r="547" spans="15:38">
      <c r="O547" t="s">
        <v>44</v>
      </c>
      <c r="P547" t="s">
        <v>43</v>
      </c>
      <c r="Q547" t="s">
        <v>27</v>
      </c>
      <c r="R547" t="s">
        <v>58</v>
      </c>
      <c r="S547">
        <v>2024.38</v>
      </c>
      <c r="T547">
        <v>130261.2</v>
      </c>
      <c r="U547">
        <v>134649.53690000001</v>
      </c>
      <c r="V547">
        <v>134649.53690000001</v>
      </c>
      <c r="AA547" s="29" t="s">
        <v>43</v>
      </c>
      <c r="AB547">
        <v>31199</v>
      </c>
      <c r="AC547">
        <v>80</v>
      </c>
      <c r="AD547">
        <v>3</v>
      </c>
      <c r="AE547">
        <v>22.5</v>
      </c>
      <c r="AF547">
        <v>22.5</v>
      </c>
      <c r="AG547" s="29" t="s">
        <v>685</v>
      </c>
      <c r="AH547" s="29" t="s">
        <v>707</v>
      </c>
      <c r="AI547" s="29" t="s">
        <v>708</v>
      </c>
      <c r="AJ547" s="29"/>
      <c r="AL547" s="29" t="s">
        <v>686</v>
      </c>
    </row>
    <row r="548" spans="15:38">
      <c r="O548" t="s">
        <v>44</v>
      </c>
      <c r="P548" t="s">
        <v>43</v>
      </c>
      <c r="Q548" t="s">
        <v>27</v>
      </c>
      <c r="R548" t="s">
        <v>58</v>
      </c>
      <c r="S548">
        <v>2024.39</v>
      </c>
      <c r="T548">
        <v>65244.89</v>
      </c>
      <c r="U548">
        <v>134649.53690000001</v>
      </c>
      <c r="V548">
        <v>134649.53690000001</v>
      </c>
      <c r="AA548" s="29" t="s">
        <v>43</v>
      </c>
      <c r="AB548">
        <v>31199</v>
      </c>
      <c r="AC548">
        <v>80</v>
      </c>
      <c r="AD548">
        <v>3</v>
      </c>
      <c r="AE548">
        <v>60</v>
      </c>
      <c r="AF548">
        <v>60</v>
      </c>
      <c r="AG548" s="29" t="s">
        <v>685</v>
      </c>
      <c r="AH548" s="29" t="s">
        <v>709</v>
      </c>
      <c r="AI548" s="29" t="s">
        <v>710</v>
      </c>
      <c r="AJ548" s="29"/>
      <c r="AL548" s="29" t="s">
        <v>686</v>
      </c>
    </row>
    <row r="549" spans="15:38">
      <c r="O549" t="s">
        <v>44</v>
      </c>
      <c r="P549" t="s">
        <v>43</v>
      </c>
      <c r="Q549" t="s">
        <v>27</v>
      </c>
      <c r="R549" t="s">
        <v>58</v>
      </c>
      <c r="S549">
        <v>2024.41</v>
      </c>
      <c r="T549">
        <v>65504.05</v>
      </c>
      <c r="U549">
        <v>134649.53690000001</v>
      </c>
      <c r="V549">
        <v>134649.53690000001</v>
      </c>
      <c r="AA549" s="29" t="s">
        <v>43</v>
      </c>
      <c r="AB549">
        <v>31199</v>
      </c>
      <c r="AC549">
        <v>80</v>
      </c>
      <c r="AD549">
        <v>3</v>
      </c>
      <c r="AE549">
        <v>1520</v>
      </c>
      <c r="AF549">
        <v>1520</v>
      </c>
      <c r="AG549" s="29" t="s">
        <v>685</v>
      </c>
      <c r="AH549" s="29" t="s">
        <v>711</v>
      </c>
      <c r="AI549" s="29" t="s">
        <v>712</v>
      </c>
      <c r="AJ549" s="29"/>
      <c r="AL549" s="29" t="s">
        <v>686</v>
      </c>
    </row>
    <row r="550" spans="15:38">
      <c r="O550" t="s">
        <v>44</v>
      </c>
      <c r="P550" t="s">
        <v>43</v>
      </c>
      <c r="Q550" t="s">
        <v>27</v>
      </c>
      <c r="R550" t="s">
        <v>58</v>
      </c>
      <c r="S550">
        <v>2024.43</v>
      </c>
      <c r="T550">
        <v>65504.05</v>
      </c>
      <c r="U550">
        <v>134649.53690000001</v>
      </c>
      <c r="V550">
        <v>134649.53690000001</v>
      </c>
      <c r="AA550" s="29" t="s">
        <v>43</v>
      </c>
      <c r="AB550">
        <v>31199</v>
      </c>
      <c r="AC550">
        <v>80</v>
      </c>
      <c r="AD550">
        <v>3</v>
      </c>
      <c r="AE550">
        <v>1</v>
      </c>
      <c r="AF550">
        <v>1</v>
      </c>
      <c r="AG550" s="29" t="s">
        <v>685</v>
      </c>
      <c r="AH550" s="29" t="s">
        <v>713</v>
      </c>
      <c r="AI550" s="29" t="s">
        <v>714</v>
      </c>
      <c r="AJ550" s="29"/>
      <c r="AL550" s="29" t="s">
        <v>686</v>
      </c>
    </row>
    <row r="551" spans="15:38">
      <c r="O551" t="s">
        <v>44</v>
      </c>
      <c r="P551" t="s">
        <v>43</v>
      </c>
      <c r="Q551" t="s">
        <v>27</v>
      </c>
      <c r="R551" t="s">
        <v>58</v>
      </c>
      <c r="S551">
        <v>2024.44</v>
      </c>
      <c r="T551">
        <v>65504.05</v>
      </c>
      <c r="U551">
        <v>134649.53690000001</v>
      </c>
      <c r="V551">
        <v>58708.695399999997</v>
      </c>
      <c r="AA551" s="29" t="s">
        <v>43</v>
      </c>
      <c r="AB551">
        <v>31199</v>
      </c>
      <c r="AC551">
        <v>80</v>
      </c>
      <c r="AD551">
        <v>3</v>
      </c>
      <c r="AE551">
        <v>2.58</v>
      </c>
      <c r="AF551">
        <v>2.58</v>
      </c>
      <c r="AG551" s="29" t="s">
        <v>685</v>
      </c>
      <c r="AH551" s="29" t="s">
        <v>715</v>
      </c>
      <c r="AI551" s="29" t="s">
        <v>716</v>
      </c>
      <c r="AJ551" s="29"/>
      <c r="AL551" s="29" t="s">
        <v>686</v>
      </c>
    </row>
    <row r="552" spans="15:38">
      <c r="O552" t="s">
        <v>44</v>
      </c>
      <c r="P552" t="s">
        <v>43</v>
      </c>
      <c r="Q552" t="s">
        <v>27</v>
      </c>
      <c r="R552" t="s">
        <v>58</v>
      </c>
      <c r="S552">
        <v>2024.45</v>
      </c>
      <c r="T552">
        <v>65596.05</v>
      </c>
      <c r="U552">
        <v>134649.53690000001</v>
      </c>
      <c r="V552">
        <v>58708.695399999997</v>
      </c>
      <c r="AA552" s="29" t="s">
        <v>43</v>
      </c>
      <c r="AB552">
        <v>31199</v>
      </c>
      <c r="AC552">
        <v>80</v>
      </c>
      <c r="AD552">
        <v>3</v>
      </c>
      <c r="AE552">
        <v>0</v>
      </c>
      <c r="AF552">
        <v>0</v>
      </c>
      <c r="AG552" s="29" t="s">
        <v>685</v>
      </c>
      <c r="AH552" s="29" t="s">
        <v>693</v>
      </c>
      <c r="AI552" s="29" t="s">
        <v>717</v>
      </c>
      <c r="AJ552" s="29"/>
      <c r="AL552" s="29" t="s">
        <v>686</v>
      </c>
    </row>
    <row r="553" spans="15:38">
      <c r="O553" t="s">
        <v>44</v>
      </c>
      <c r="P553" t="s">
        <v>43</v>
      </c>
      <c r="Q553" t="s">
        <v>27</v>
      </c>
      <c r="R553" t="s">
        <v>58</v>
      </c>
      <c r="S553">
        <v>2024.47</v>
      </c>
      <c r="T553">
        <v>65596.05</v>
      </c>
      <c r="U553">
        <v>134649.53690000001</v>
      </c>
      <c r="V553">
        <v>58708.695399999997</v>
      </c>
      <c r="AA553" s="29" t="s">
        <v>43</v>
      </c>
      <c r="AB553">
        <v>31199</v>
      </c>
      <c r="AC553">
        <v>80</v>
      </c>
      <c r="AD553">
        <v>3</v>
      </c>
      <c r="AE553">
        <v>0</v>
      </c>
      <c r="AF553">
        <v>0</v>
      </c>
      <c r="AG553" s="29" t="s">
        <v>685</v>
      </c>
      <c r="AH553" s="29" t="s">
        <v>693</v>
      </c>
      <c r="AI553" s="29" t="s">
        <v>718</v>
      </c>
      <c r="AJ553" s="29"/>
      <c r="AL553" s="29" t="s">
        <v>686</v>
      </c>
    </row>
    <row r="554" spans="15:38">
      <c r="O554" t="s">
        <v>44</v>
      </c>
      <c r="P554" t="s">
        <v>43</v>
      </c>
      <c r="Q554" t="s">
        <v>27</v>
      </c>
      <c r="R554" t="s">
        <v>58</v>
      </c>
      <c r="S554">
        <v>2024.48</v>
      </c>
      <c r="T554">
        <v>65596.05</v>
      </c>
      <c r="U554">
        <v>134649.53690000001</v>
      </c>
      <c r="V554">
        <v>58708.695399999997</v>
      </c>
      <c r="AA554" s="29" t="s">
        <v>43</v>
      </c>
      <c r="AB554">
        <v>31199</v>
      </c>
      <c r="AC554">
        <v>80</v>
      </c>
      <c r="AD554">
        <v>3</v>
      </c>
      <c r="AE554">
        <v>20.98</v>
      </c>
      <c r="AF554">
        <v>20.98</v>
      </c>
      <c r="AG554" s="29" t="s">
        <v>685</v>
      </c>
      <c r="AH554" s="29" t="s">
        <v>719</v>
      </c>
      <c r="AI554" s="29" t="s">
        <v>720</v>
      </c>
      <c r="AJ554" s="29"/>
      <c r="AL554" s="29" t="s">
        <v>686</v>
      </c>
    </row>
    <row r="555" spans="15:38">
      <c r="O555" t="s">
        <v>44</v>
      </c>
      <c r="P555" t="s">
        <v>43</v>
      </c>
      <c r="Q555" t="s">
        <v>27</v>
      </c>
      <c r="R555" t="s">
        <v>58</v>
      </c>
      <c r="S555">
        <v>2024.49</v>
      </c>
      <c r="T555">
        <v>65596.05</v>
      </c>
      <c r="U555">
        <v>134649.53690000001</v>
      </c>
      <c r="V555">
        <v>58708.695399999997</v>
      </c>
      <c r="AA555" s="29" t="s">
        <v>43</v>
      </c>
      <c r="AB555">
        <v>31199</v>
      </c>
      <c r="AC555">
        <v>80</v>
      </c>
      <c r="AD555">
        <v>3</v>
      </c>
      <c r="AE555">
        <v>8.2200000000000006</v>
      </c>
      <c r="AF555">
        <v>8.2200000000000006</v>
      </c>
      <c r="AG555" s="29" t="s">
        <v>685</v>
      </c>
      <c r="AH555" s="29" t="s">
        <v>721</v>
      </c>
      <c r="AI555" s="29" t="s">
        <v>722</v>
      </c>
      <c r="AJ555" s="29"/>
      <c r="AL555" s="29" t="s">
        <v>686</v>
      </c>
    </row>
    <row r="556" spans="15:38">
      <c r="O556" t="s">
        <v>44</v>
      </c>
      <c r="P556" t="s">
        <v>43</v>
      </c>
      <c r="Q556" t="s">
        <v>27</v>
      </c>
      <c r="R556" t="s">
        <v>58</v>
      </c>
      <c r="S556">
        <v>2024.52</v>
      </c>
      <c r="T556">
        <v>65596.05</v>
      </c>
      <c r="U556">
        <v>134649.53690000001</v>
      </c>
      <c r="V556">
        <v>58708.695399999997</v>
      </c>
      <c r="AA556" s="29" t="s">
        <v>43</v>
      </c>
      <c r="AB556">
        <v>31199</v>
      </c>
      <c r="AC556">
        <v>80</v>
      </c>
      <c r="AD556">
        <v>3</v>
      </c>
      <c r="AE556">
        <v>3.78</v>
      </c>
      <c r="AF556">
        <v>3.78</v>
      </c>
      <c r="AG556" s="29" t="s">
        <v>685</v>
      </c>
      <c r="AH556" s="29" t="s">
        <v>723</v>
      </c>
      <c r="AI556" s="29" t="s">
        <v>724</v>
      </c>
      <c r="AJ556" s="29"/>
      <c r="AL556" s="29" t="s">
        <v>686</v>
      </c>
    </row>
    <row r="557" spans="15:38">
      <c r="O557" t="s">
        <v>44</v>
      </c>
      <c r="P557" t="s">
        <v>43</v>
      </c>
      <c r="Q557" t="s">
        <v>27</v>
      </c>
      <c r="R557" t="s">
        <v>58</v>
      </c>
      <c r="S557">
        <v>2025.03</v>
      </c>
      <c r="T557">
        <v>65596.05</v>
      </c>
      <c r="U557">
        <v>134649.53690000001</v>
      </c>
      <c r="V557">
        <v>58708.695399999997</v>
      </c>
      <c r="AA557" s="29" t="s">
        <v>43</v>
      </c>
      <c r="AB557">
        <v>31199</v>
      </c>
      <c r="AC557">
        <v>80</v>
      </c>
      <c r="AD557">
        <v>3</v>
      </c>
      <c r="AE557">
        <v>0</v>
      </c>
      <c r="AF557">
        <v>0</v>
      </c>
      <c r="AG557" s="29" t="s">
        <v>685</v>
      </c>
      <c r="AH557" s="29" t="s">
        <v>693</v>
      </c>
      <c r="AI557" s="29" t="s">
        <v>725</v>
      </c>
      <c r="AJ557" s="29"/>
      <c r="AL557" s="29" t="s">
        <v>686</v>
      </c>
    </row>
    <row r="558" spans="15:38">
      <c r="O558" t="s">
        <v>44</v>
      </c>
      <c r="P558" t="s">
        <v>43</v>
      </c>
      <c r="Q558" t="s">
        <v>27</v>
      </c>
      <c r="R558" t="s">
        <v>58</v>
      </c>
      <c r="S558">
        <v>2025.12</v>
      </c>
      <c r="T558">
        <v>65596.86</v>
      </c>
      <c r="U558">
        <v>134649.53690000001</v>
      </c>
      <c r="V558">
        <v>58708.695399999997</v>
      </c>
      <c r="AA558" s="29" t="s">
        <v>43</v>
      </c>
      <c r="AB558">
        <v>31199</v>
      </c>
      <c r="AC558">
        <v>80</v>
      </c>
      <c r="AD558">
        <v>3</v>
      </c>
      <c r="AE558">
        <v>159.47999999999999</v>
      </c>
      <c r="AF558">
        <v>159.47999999999999</v>
      </c>
      <c r="AG558" s="29" t="s">
        <v>685</v>
      </c>
      <c r="AH558" s="29" t="s">
        <v>726</v>
      </c>
      <c r="AI558" s="29" t="s">
        <v>727</v>
      </c>
      <c r="AJ558" s="29"/>
      <c r="AL558" s="29" t="s">
        <v>686</v>
      </c>
    </row>
    <row r="559" spans="15:38">
      <c r="O559" t="s">
        <v>44</v>
      </c>
      <c r="P559" t="s">
        <v>43</v>
      </c>
      <c r="Q559" t="s">
        <v>27</v>
      </c>
      <c r="R559" t="s">
        <v>55</v>
      </c>
      <c r="S559">
        <v>2023.51</v>
      </c>
      <c r="T559">
        <v>8168.16</v>
      </c>
      <c r="U559">
        <v>0</v>
      </c>
      <c r="V559">
        <v>0</v>
      </c>
      <c r="AA559" s="29" t="s">
        <v>43</v>
      </c>
      <c r="AB559">
        <v>31199</v>
      </c>
      <c r="AC559">
        <v>80</v>
      </c>
      <c r="AD559">
        <v>3</v>
      </c>
      <c r="AE559">
        <v>55.8</v>
      </c>
      <c r="AF559">
        <v>55.8</v>
      </c>
      <c r="AG559" s="29" t="s">
        <v>685</v>
      </c>
      <c r="AH559" s="29" t="s">
        <v>728</v>
      </c>
      <c r="AI559" s="29" t="s">
        <v>729</v>
      </c>
      <c r="AJ559" s="29"/>
      <c r="AL559" s="29" t="s">
        <v>686</v>
      </c>
    </row>
    <row r="560" spans="15:38">
      <c r="O560" t="s">
        <v>44</v>
      </c>
      <c r="P560" t="s">
        <v>43</v>
      </c>
      <c r="Q560" t="s">
        <v>27</v>
      </c>
      <c r="R560" t="s">
        <v>55</v>
      </c>
      <c r="S560">
        <v>2024.06</v>
      </c>
      <c r="T560">
        <v>8560.86</v>
      </c>
      <c r="U560">
        <v>0</v>
      </c>
      <c r="V560">
        <v>0</v>
      </c>
      <c r="AA560" s="29" t="s">
        <v>43</v>
      </c>
      <c r="AB560">
        <v>31199</v>
      </c>
      <c r="AC560">
        <v>80</v>
      </c>
      <c r="AD560">
        <v>3</v>
      </c>
      <c r="AE560">
        <v>6</v>
      </c>
      <c r="AF560">
        <v>6</v>
      </c>
      <c r="AG560" s="29" t="s">
        <v>685</v>
      </c>
      <c r="AH560" s="29" t="s">
        <v>730</v>
      </c>
      <c r="AI560" s="29" t="s">
        <v>731</v>
      </c>
      <c r="AJ560" s="29"/>
      <c r="AL560" s="29" t="s">
        <v>686</v>
      </c>
    </row>
    <row r="561" spans="15:38">
      <c r="O561" t="s">
        <v>44</v>
      </c>
      <c r="P561" t="s">
        <v>43</v>
      </c>
      <c r="Q561" t="s">
        <v>27</v>
      </c>
      <c r="R561" t="s">
        <v>55</v>
      </c>
      <c r="S561">
        <v>2024.07</v>
      </c>
      <c r="T561">
        <v>8560.86</v>
      </c>
      <c r="U561">
        <v>0</v>
      </c>
      <c r="V561">
        <v>0</v>
      </c>
      <c r="AA561" s="29" t="s">
        <v>43</v>
      </c>
      <c r="AB561">
        <v>31199</v>
      </c>
      <c r="AC561">
        <v>80</v>
      </c>
      <c r="AD561">
        <v>3</v>
      </c>
      <c r="AE561">
        <v>9.3000000000000007</v>
      </c>
      <c r="AF561">
        <v>9.3000000000000007</v>
      </c>
      <c r="AG561" s="29" t="s">
        <v>685</v>
      </c>
      <c r="AH561" s="29" t="s">
        <v>732</v>
      </c>
      <c r="AI561" s="29" t="s">
        <v>733</v>
      </c>
      <c r="AJ561" s="29"/>
      <c r="AL561" s="29" t="s">
        <v>686</v>
      </c>
    </row>
    <row r="562" spans="15:38">
      <c r="O562" t="s">
        <v>44</v>
      </c>
      <c r="P562" t="s">
        <v>43</v>
      </c>
      <c r="Q562" t="s">
        <v>27</v>
      </c>
      <c r="R562" t="s">
        <v>55</v>
      </c>
      <c r="S562">
        <v>2024.08</v>
      </c>
      <c r="T562">
        <v>8560.86</v>
      </c>
      <c r="U562">
        <v>0</v>
      </c>
      <c r="V562">
        <v>0</v>
      </c>
      <c r="AA562" s="29" t="s">
        <v>43</v>
      </c>
      <c r="AB562">
        <v>31199</v>
      </c>
      <c r="AC562">
        <v>80</v>
      </c>
      <c r="AD562">
        <v>3</v>
      </c>
      <c r="AE562">
        <v>14.14</v>
      </c>
      <c r="AF562">
        <v>14.14</v>
      </c>
      <c r="AG562" s="29" t="s">
        <v>685</v>
      </c>
      <c r="AH562" s="29" t="s">
        <v>734</v>
      </c>
      <c r="AI562" s="29" t="s">
        <v>735</v>
      </c>
      <c r="AJ562" s="29"/>
      <c r="AL562" s="29" t="s">
        <v>686</v>
      </c>
    </row>
    <row r="563" spans="15:38">
      <c r="O563" t="s">
        <v>44</v>
      </c>
      <c r="P563" t="s">
        <v>43</v>
      </c>
      <c r="Q563" t="s">
        <v>27</v>
      </c>
      <c r="R563" t="s">
        <v>55</v>
      </c>
      <c r="S563">
        <v>2024.09</v>
      </c>
      <c r="T563">
        <v>8560.86</v>
      </c>
      <c r="U563">
        <v>0</v>
      </c>
      <c r="V563">
        <v>0</v>
      </c>
      <c r="AA563" s="29" t="s">
        <v>43</v>
      </c>
      <c r="AB563">
        <v>31199</v>
      </c>
      <c r="AC563">
        <v>80</v>
      </c>
      <c r="AD563">
        <v>3</v>
      </c>
      <c r="AE563">
        <v>0</v>
      </c>
      <c r="AF563">
        <v>0</v>
      </c>
      <c r="AG563" s="29" t="s">
        <v>685</v>
      </c>
      <c r="AH563" s="29" t="s">
        <v>693</v>
      </c>
      <c r="AI563" s="29" t="s">
        <v>736</v>
      </c>
      <c r="AJ563" s="29"/>
      <c r="AL563" s="29" t="s">
        <v>686</v>
      </c>
    </row>
    <row r="564" spans="15:38">
      <c r="O564" t="s">
        <v>44</v>
      </c>
      <c r="P564" t="s">
        <v>43</v>
      </c>
      <c r="Q564" t="s">
        <v>27</v>
      </c>
      <c r="R564" t="s">
        <v>55</v>
      </c>
      <c r="S564">
        <v>2024.1</v>
      </c>
      <c r="T564">
        <v>8953.56</v>
      </c>
      <c r="U564">
        <v>0</v>
      </c>
      <c r="V564">
        <v>0</v>
      </c>
      <c r="AA564" s="29" t="s">
        <v>43</v>
      </c>
      <c r="AB564">
        <v>31199</v>
      </c>
      <c r="AC564">
        <v>80</v>
      </c>
      <c r="AD564">
        <v>3</v>
      </c>
      <c r="AE564">
        <v>81</v>
      </c>
      <c r="AF564">
        <v>81</v>
      </c>
      <c r="AG564" s="29" t="s">
        <v>685</v>
      </c>
      <c r="AH564" s="29" t="s">
        <v>737</v>
      </c>
      <c r="AI564" s="29" t="s">
        <v>738</v>
      </c>
      <c r="AJ564" s="29"/>
      <c r="AL564" s="29" t="s">
        <v>686</v>
      </c>
    </row>
    <row r="565" spans="15:38">
      <c r="O565" t="s">
        <v>44</v>
      </c>
      <c r="P565" t="s">
        <v>43</v>
      </c>
      <c r="Q565" t="s">
        <v>27</v>
      </c>
      <c r="R565" t="s">
        <v>55</v>
      </c>
      <c r="S565">
        <v>2024.11</v>
      </c>
      <c r="T565">
        <v>8953.56</v>
      </c>
      <c r="U565">
        <v>0</v>
      </c>
      <c r="V565">
        <v>0</v>
      </c>
      <c r="AA565" s="29" t="s">
        <v>43</v>
      </c>
      <c r="AB565">
        <v>31199</v>
      </c>
      <c r="AC565">
        <v>80</v>
      </c>
      <c r="AD565">
        <v>3</v>
      </c>
      <c r="AE565">
        <v>33.6</v>
      </c>
      <c r="AF565">
        <v>33.6</v>
      </c>
      <c r="AG565" s="29" t="s">
        <v>685</v>
      </c>
      <c r="AH565" s="29" t="s">
        <v>739</v>
      </c>
      <c r="AI565" s="29" t="s">
        <v>740</v>
      </c>
      <c r="AJ565" s="29"/>
      <c r="AL565" s="29" t="s">
        <v>686</v>
      </c>
    </row>
    <row r="566" spans="15:38">
      <c r="O566" t="s">
        <v>44</v>
      </c>
      <c r="P566" t="s">
        <v>43</v>
      </c>
      <c r="Q566" t="s">
        <v>27</v>
      </c>
      <c r="R566" t="s">
        <v>55</v>
      </c>
      <c r="S566">
        <v>2024.14</v>
      </c>
      <c r="T566">
        <v>9008.84</v>
      </c>
      <c r="U566">
        <v>0</v>
      </c>
      <c r="V566">
        <v>0</v>
      </c>
      <c r="AA566" s="29" t="s">
        <v>43</v>
      </c>
      <c r="AB566">
        <v>31199</v>
      </c>
      <c r="AC566">
        <v>80</v>
      </c>
      <c r="AD566">
        <v>3</v>
      </c>
      <c r="AE566">
        <v>14.3</v>
      </c>
      <c r="AF566">
        <v>14.3</v>
      </c>
      <c r="AG566" s="29" t="s">
        <v>685</v>
      </c>
      <c r="AH566" s="29" t="s">
        <v>741</v>
      </c>
      <c r="AI566" s="29" t="s">
        <v>742</v>
      </c>
      <c r="AJ566" s="29"/>
      <c r="AL566" s="29" t="s">
        <v>686</v>
      </c>
    </row>
    <row r="567" spans="15:38">
      <c r="O567" t="s">
        <v>44</v>
      </c>
      <c r="P567" t="s">
        <v>43</v>
      </c>
      <c r="Q567" t="s">
        <v>27</v>
      </c>
      <c r="R567" t="s">
        <v>55</v>
      </c>
      <c r="S567">
        <v>2024.17</v>
      </c>
      <c r="T567">
        <v>9008.84</v>
      </c>
      <c r="U567">
        <v>0</v>
      </c>
      <c r="V567">
        <v>0</v>
      </c>
      <c r="AA567" s="29" t="s">
        <v>43</v>
      </c>
      <c r="AB567">
        <v>31199</v>
      </c>
      <c r="AC567">
        <v>80</v>
      </c>
      <c r="AD567">
        <v>3</v>
      </c>
      <c r="AE567">
        <v>0.74</v>
      </c>
      <c r="AF567">
        <v>0.74</v>
      </c>
      <c r="AG567" s="29" t="s">
        <v>685</v>
      </c>
      <c r="AH567" s="29" t="s">
        <v>743</v>
      </c>
      <c r="AI567" s="29" t="s">
        <v>744</v>
      </c>
      <c r="AJ567" s="29"/>
      <c r="AL567" s="29" t="s">
        <v>686</v>
      </c>
    </row>
    <row r="568" spans="15:38">
      <c r="O568" t="s">
        <v>44</v>
      </c>
      <c r="P568" t="s">
        <v>43</v>
      </c>
      <c r="Q568" t="s">
        <v>27</v>
      </c>
      <c r="R568" t="s">
        <v>55</v>
      </c>
      <c r="S568">
        <v>2024.18</v>
      </c>
      <c r="T568">
        <v>18238.8</v>
      </c>
      <c r="U568">
        <v>0</v>
      </c>
      <c r="V568">
        <v>0</v>
      </c>
      <c r="AA568" s="29" t="s">
        <v>43</v>
      </c>
      <c r="AB568">
        <v>31199</v>
      </c>
      <c r="AC568">
        <v>80</v>
      </c>
      <c r="AD568">
        <v>3</v>
      </c>
      <c r="AE568">
        <v>0.55000000000000004</v>
      </c>
      <c r="AF568">
        <v>0.55000000000000004</v>
      </c>
      <c r="AG568" s="29" t="s">
        <v>685</v>
      </c>
      <c r="AH568" s="29" t="s">
        <v>745</v>
      </c>
      <c r="AI568" s="29" t="s">
        <v>746</v>
      </c>
      <c r="AJ568" s="29"/>
      <c r="AL568" s="29" t="s">
        <v>686</v>
      </c>
    </row>
    <row r="569" spans="15:38">
      <c r="O569" t="s">
        <v>44</v>
      </c>
      <c r="P569" t="s">
        <v>43</v>
      </c>
      <c r="Q569" t="s">
        <v>27</v>
      </c>
      <c r="R569" t="s">
        <v>55</v>
      </c>
      <c r="S569">
        <v>2024.19</v>
      </c>
      <c r="T569">
        <v>9008.84</v>
      </c>
      <c r="U569">
        <v>0</v>
      </c>
      <c r="V569">
        <v>0</v>
      </c>
      <c r="AA569" s="29" t="s">
        <v>43</v>
      </c>
      <c r="AB569">
        <v>31199</v>
      </c>
      <c r="AC569">
        <v>80</v>
      </c>
      <c r="AD569">
        <v>3</v>
      </c>
      <c r="AE569">
        <v>26.9</v>
      </c>
      <c r="AF569">
        <v>26.9</v>
      </c>
      <c r="AG569" s="29" t="s">
        <v>685</v>
      </c>
      <c r="AH569" s="29" t="s">
        <v>747</v>
      </c>
      <c r="AI569" s="29" t="s">
        <v>748</v>
      </c>
      <c r="AJ569" s="29"/>
      <c r="AL569" s="29" t="s">
        <v>686</v>
      </c>
    </row>
    <row r="570" spans="15:38">
      <c r="O570" t="s">
        <v>44</v>
      </c>
      <c r="P570" t="s">
        <v>43</v>
      </c>
      <c r="Q570" t="s">
        <v>27</v>
      </c>
      <c r="R570" t="s">
        <v>55</v>
      </c>
      <c r="S570">
        <v>2024.2</v>
      </c>
      <c r="T570">
        <v>9008.84</v>
      </c>
      <c r="U570">
        <v>0</v>
      </c>
      <c r="V570">
        <v>0</v>
      </c>
      <c r="AA570" s="29" t="s">
        <v>43</v>
      </c>
      <c r="AB570">
        <v>31199</v>
      </c>
      <c r="AC570">
        <v>80</v>
      </c>
      <c r="AD570">
        <v>3</v>
      </c>
      <c r="AE570">
        <v>50</v>
      </c>
      <c r="AF570">
        <v>50</v>
      </c>
      <c r="AG570" s="29" t="s">
        <v>685</v>
      </c>
      <c r="AH570" s="29" t="s">
        <v>749</v>
      </c>
      <c r="AI570" s="29" t="s">
        <v>750</v>
      </c>
      <c r="AJ570" s="29"/>
      <c r="AL570" s="29" t="s">
        <v>686</v>
      </c>
    </row>
    <row r="571" spans="15:38">
      <c r="O571" t="s">
        <v>44</v>
      </c>
      <c r="P571" t="s">
        <v>43</v>
      </c>
      <c r="Q571" t="s">
        <v>27</v>
      </c>
      <c r="R571" t="s">
        <v>55</v>
      </c>
      <c r="S571">
        <v>2024.21</v>
      </c>
      <c r="T571">
        <v>9008.84</v>
      </c>
      <c r="U571">
        <v>0</v>
      </c>
      <c r="V571">
        <v>0</v>
      </c>
      <c r="AA571" s="29" t="s">
        <v>43</v>
      </c>
      <c r="AB571">
        <v>31199</v>
      </c>
      <c r="AC571">
        <v>80</v>
      </c>
      <c r="AD571">
        <v>3</v>
      </c>
      <c r="AE571">
        <v>0.35</v>
      </c>
      <c r="AF571">
        <v>0.35</v>
      </c>
      <c r="AG571" s="29" t="s">
        <v>685</v>
      </c>
      <c r="AH571" s="29" t="s">
        <v>751</v>
      </c>
      <c r="AI571" s="29" t="s">
        <v>752</v>
      </c>
      <c r="AJ571" s="29"/>
      <c r="AL571" s="29" t="s">
        <v>686</v>
      </c>
    </row>
    <row r="572" spans="15:38">
      <c r="O572" t="s">
        <v>44</v>
      </c>
      <c r="P572" t="s">
        <v>43</v>
      </c>
      <c r="Q572" t="s">
        <v>27</v>
      </c>
      <c r="R572" t="s">
        <v>55</v>
      </c>
      <c r="S572">
        <v>2024.28</v>
      </c>
      <c r="T572">
        <v>9202.32</v>
      </c>
      <c r="U572">
        <v>0</v>
      </c>
      <c r="V572">
        <v>0</v>
      </c>
      <c r="AA572" s="29" t="s">
        <v>43</v>
      </c>
      <c r="AB572">
        <v>31199</v>
      </c>
      <c r="AC572">
        <v>80</v>
      </c>
      <c r="AD572">
        <v>3</v>
      </c>
      <c r="AE572">
        <v>0</v>
      </c>
      <c r="AF572">
        <v>0</v>
      </c>
      <c r="AG572" s="29" t="s">
        <v>685</v>
      </c>
      <c r="AH572" s="29" t="s">
        <v>693</v>
      </c>
      <c r="AI572" s="29" t="s">
        <v>753</v>
      </c>
      <c r="AJ572" s="29"/>
      <c r="AL572" s="29" t="s">
        <v>686</v>
      </c>
    </row>
    <row r="573" spans="15:38">
      <c r="O573" t="s">
        <v>44</v>
      </c>
      <c r="P573" t="s">
        <v>43</v>
      </c>
      <c r="Q573" t="s">
        <v>27</v>
      </c>
      <c r="R573" t="s">
        <v>55</v>
      </c>
      <c r="S573">
        <v>2024.38</v>
      </c>
      <c r="T573">
        <v>18238.8</v>
      </c>
      <c r="U573">
        <v>0</v>
      </c>
      <c r="V573">
        <v>0</v>
      </c>
      <c r="AA573" s="29" t="s">
        <v>43</v>
      </c>
      <c r="AB573">
        <v>31199</v>
      </c>
      <c r="AC573">
        <v>80</v>
      </c>
      <c r="AD573">
        <v>3</v>
      </c>
      <c r="AE573">
        <v>17.46</v>
      </c>
      <c r="AF573">
        <v>17.46</v>
      </c>
      <c r="AG573" s="29" t="s">
        <v>685</v>
      </c>
      <c r="AH573" s="29" t="s">
        <v>754</v>
      </c>
      <c r="AI573" s="29" t="s">
        <v>755</v>
      </c>
      <c r="AJ573" s="29"/>
      <c r="AL573" s="29" t="s">
        <v>686</v>
      </c>
    </row>
    <row r="574" spans="15:38">
      <c r="O574" t="s">
        <v>44</v>
      </c>
      <c r="P574" t="s">
        <v>43</v>
      </c>
      <c r="Q574" t="s">
        <v>27</v>
      </c>
      <c r="R574" t="s">
        <v>55</v>
      </c>
      <c r="S574">
        <v>2024.39</v>
      </c>
      <c r="T574">
        <v>9229.9599999999991</v>
      </c>
      <c r="U574">
        <v>0</v>
      </c>
      <c r="V574">
        <v>0</v>
      </c>
      <c r="AA574" s="29" t="s">
        <v>43</v>
      </c>
      <c r="AB574">
        <v>31199</v>
      </c>
      <c r="AC574">
        <v>80</v>
      </c>
      <c r="AD574">
        <v>3</v>
      </c>
      <c r="AE574">
        <v>192</v>
      </c>
      <c r="AF574">
        <v>192</v>
      </c>
      <c r="AG574" s="29" t="s">
        <v>685</v>
      </c>
      <c r="AH574" s="29" t="s">
        <v>756</v>
      </c>
      <c r="AI574" s="29" t="s">
        <v>757</v>
      </c>
      <c r="AJ574" s="29"/>
      <c r="AL574" s="29" t="s">
        <v>686</v>
      </c>
    </row>
    <row r="575" spans="15:38">
      <c r="O575" t="s">
        <v>44</v>
      </c>
      <c r="P575" t="s">
        <v>43</v>
      </c>
      <c r="Q575" t="s">
        <v>27</v>
      </c>
      <c r="R575" t="s">
        <v>55</v>
      </c>
      <c r="S575">
        <v>2024.41</v>
      </c>
      <c r="T575">
        <v>9229.9599999999991</v>
      </c>
      <c r="U575">
        <v>0</v>
      </c>
      <c r="V575">
        <v>0</v>
      </c>
      <c r="AA575" s="29" t="s">
        <v>43</v>
      </c>
      <c r="AB575">
        <v>31199</v>
      </c>
      <c r="AC575">
        <v>80</v>
      </c>
      <c r="AD575">
        <v>3</v>
      </c>
      <c r="AE575">
        <v>4.8</v>
      </c>
      <c r="AF575">
        <v>4.8</v>
      </c>
      <c r="AG575" s="29" t="s">
        <v>685</v>
      </c>
      <c r="AH575" s="29" t="s">
        <v>758</v>
      </c>
      <c r="AI575" s="29" t="s">
        <v>759</v>
      </c>
      <c r="AJ575" s="29"/>
      <c r="AL575" s="29" t="s">
        <v>686</v>
      </c>
    </row>
    <row r="576" spans="15:38">
      <c r="O576" t="s">
        <v>44</v>
      </c>
      <c r="P576" t="s">
        <v>43</v>
      </c>
      <c r="Q576" t="s">
        <v>27</v>
      </c>
      <c r="R576" t="s">
        <v>55</v>
      </c>
      <c r="S576">
        <v>2024.43</v>
      </c>
      <c r="T576">
        <v>9616.92</v>
      </c>
      <c r="U576">
        <v>0</v>
      </c>
      <c r="V576">
        <v>0</v>
      </c>
      <c r="AA576" s="29" t="s">
        <v>43</v>
      </c>
      <c r="AB576">
        <v>31199</v>
      </c>
      <c r="AC576">
        <v>80</v>
      </c>
      <c r="AD576">
        <v>3</v>
      </c>
      <c r="AE576">
        <v>1.3</v>
      </c>
      <c r="AF576">
        <v>1.3</v>
      </c>
      <c r="AG576" s="29" t="s">
        <v>685</v>
      </c>
      <c r="AH576" s="29" t="s">
        <v>760</v>
      </c>
      <c r="AI576" s="29" t="s">
        <v>761</v>
      </c>
      <c r="AJ576" s="29"/>
      <c r="AL576" s="29" t="s">
        <v>686</v>
      </c>
    </row>
    <row r="577" spans="15:38">
      <c r="O577" t="s">
        <v>44</v>
      </c>
      <c r="P577" t="s">
        <v>43</v>
      </c>
      <c r="Q577" t="s">
        <v>27</v>
      </c>
      <c r="R577" t="s">
        <v>55</v>
      </c>
      <c r="S577">
        <v>2024.44</v>
      </c>
      <c r="T577">
        <v>10003.879999999999</v>
      </c>
      <c r="U577">
        <v>0</v>
      </c>
      <c r="V577">
        <v>9229.9599999999991</v>
      </c>
      <c r="AA577" s="29" t="s">
        <v>43</v>
      </c>
      <c r="AB577">
        <v>31199</v>
      </c>
      <c r="AC577">
        <v>80</v>
      </c>
      <c r="AD577">
        <v>3</v>
      </c>
      <c r="AE577">
        <v>54.5</v>
      </c>
      <c r="AF577">
        <v>54.5</v>
      </c>
      <c r="AG577" s="29" t="s">
        <v>685</v>
      </c>
      <c r="AH577" s="29" t="s">
        <v>762</v>
      </c>
      <c r="AI577" s="29" t="s">
        <v>763</v>
      </c>
      <c r="AJ577" s="29"/>
      <c r="AL577" s="29" t="s">
        <v>686</v>
      </c>
    </row>
    <row r="578" spans="15:38">
      <c r="O578" t="s">
        <v>44</v>
      </c>
      <c r="P578" t="s">
        <v>43</v>
      </c>
      <c r="Q578" t="s">
        <v>27</v>
      </c>
      <c r="R578" t="s">
        <v>55</v>
      </c>
      <c r="S578">
        <v>2024.45</v>
      </c>
      <c r="T578">
        <v>10252.64</v>
      </c>
      <c r="U578">
        <v>0</v>
      </c>
      <c r="V578">
        <v>9229.9599999999991</v>
      </c>
      <c r="AA578" s="29" t="s">
        <v>43</v>
      </c>
      <c r="AB578">
        <v>31199</v>
      </c>
      <c r="AC578">
        <v>80</v>
      </c>
      <c r="AD578">
        <v>3</v>
      </c>
      <c r="AE578">
        <v>0.72</v>
      </c>
      <c r="AF578">
        <v>0.72</v>
      </c>
      <c r="AG578" s="29" t="s">
        <v>685</v>
      </c>
      <c r="AH578" s="29" t="s">
        <v>764</v>
      </c>
      <c r="AI578" s="29" t="s">
        <v>765</v>
      </c>
      <c r="AJ578" s="29"/>
      <c r="AL578" s="29" t="s">
        <v>686</v>
      </c>
    </row>
    <row r="579" spans="15:38">
      <c r="O579" t="s">
        <v>44</v>
      </c>
      <c r="P579" t="s">
        <v>43</v>
      </c>
      <c r="Q579" t="s">
        <v>27</v>
      </c>
      <c r="R579" t="s">
        <v>55</v>
      </c>
      <c r="S579">
        <v>2024.47</v>
      </c>
      <c r="T579">
        <v>10252.64</v>
      </c>
      <c r="U579">
        <v>0</v>
      </c>
      <c r="V579">
        <v>9229.9599999999991</v>
      </c>
      <c r="AA579" s="29" t="s">
        <v>43</v>
      </c>
      <c r="AB579">
        <v>31199</v>
      </c>
      <c r="AC579">
        <v>80</v>
      </c>
      <c r="AD579">
        <v>3</v>
      </c>
      <c r="AE579">
        <v>0</v>
      </c>
      <c r="AF579">
        <v>0</v>
      </c>
      <c r="AG579" s="29" t="s">
        <v>685</v>
      </c>
      <c r="AH579" s="29" t="s">
        <v>693</v>
      </c>
      <c r="AI579" s="29" t="s">
        <v>766</v>
      </c>
      <c r="AJ579" s="29"/>
      <c r="AL579" s="29" t="s">
        <v>686</v>
      </c>
    </row>
    <row r="580" spans="15:38">
      <c r="O580" t="s">
        <v>44</v>
      </c>
      <c r="P580" t="s">
        <v>43</v>
      </c>
      <c r="Q580" t="s">
        <v>27</v>
      </c>
      <c r="R580" t="s">
        <v>55</v>
      </c>
      <c r="S580">
        <v>2024.48</v>
      </c>
      <c r="T580">
        <v>10252.64</v>
      </c>
      <c r="U580">
        <v>0</v>
      </c>
      <c r="V580">
        <v>9229.9599999999991</v>
      </c>
      <c r="AA580" s="29" t="s">
        <v>43</v>
      </c>
      <c r="AB580">
        <v>31199</v>
      </c>
      <c r="AC580">
        <v>80</v>
      </c>
      <c r="AD580">
        <v>3</v>
      </c>
      <c r="AE580">
        <v>0</v>
      </c>
      <c r="AF580">
        <v>0</v>
      </c>
      <c r="AG580" s="29" t="s">
        <v>685</v>
      </c>
      <c r="AH580" s="29" t="s">
        <v>693</v>
      </c>
      <c r="AI580" s="29" t="s">
        <v>767</v>
      </c>
      <c r="AJ580" s="29"/>
      <c r="AL580" s="29" t="s">
        <v>686</v>
      </c>
    </row>
    <row r="581" spans="15:38">
      <c r="O581" t="s">
        <v>44</v>
      </c>
      <c r="P581" t="s">
        <v>43</v>
      </c>
      <c r="Q581" t="s">
        <v>27</v>
      </c>
      <c r="R581" t="s">
        <v>55</v>
      </c>
      <c r="S581">
        <v>2024.49</v>
      </c>
      <c r="T581">
        <v>10252.64</v>
      </c>
      <c r="U581">
        <v>0</v>
      </c>
      <c r="V581">
        <v>9229.9599999999991</v>
      </c>
      <c r="AA581" s="29" t="s">
        <v>43</v>
      </c>
      <c r="AB581">
        <v>31199</v>
      </c>
      <c r="AC581">
        <v>80</v>
      </c>
      <c r="AD581">
        <v>3</v>
      </c>
      <c r="AE581">
        <v>0</v>
      </c>
      <c r="AF581">
        <v>0</v>
      </c>
      <c r="AG581" s="29" t="s">
        <v>685</v>
      </c>
      <c r="AH581" s="29" t="s">
        <v>693</v>
      </c>
      <c r="AI581" s="29" t="s">
        <v>768</v>
      </c>
      <c r="AJ581" s="29"/>
      <c r="AL581" s="29" t="s">
        <v>686</v>
      </c>
    </row>
    <row r="582" spans="15:38">
      <c r="O582" t="s">
        <v>44</v>
      </c>
      <c r="P582" t="s">
        <v>43</v>
      </c>
      <c r="Q582" t="s">
        <v>27</v>
      </c>
      <c r="R582" t="s">
        <v>55</v>
      </c>
      <c r="S582">
        <v>2024.52</v>
      </c>
      <c r="T582">
        <v>10252.64</v>
      </c>
      <c r="U582">
        <v>0</v>
      </c>
      <c r="V582">
        <v>9229.9599999999991</v>
      </c>
      <c r="AA582" s="29" t="s">
        <v>43</v>
      </c>
      <c r="AB582">
        <v>31199</v>
      </c>
      <c r="AC582">
        <v>80</v>
      </c>
      <c r="AD582">
        <v>3</v>
      </c>
      <c r="AE582">
        <v>0</v>
      </c>
      <c r="AF582">
        <v>0</v>
      </c>
      <c r="AG582" s="29" t="s">
        <v>685</v>
      </c>
      <c r="AH582" s="29" t="s">
        <v>693</v>
      </c>
      <c r="AI582" s="29" t="s">
        <v>769</v>
      </c>
      <c r="AJ582" s="29"/>
      <c r="AL582" s="29" t="s">
        <v>686</v>
      </c>
    </row>
    <row r="583" spans="15:38">
      <c r="O583" t="s">
        <v>44</v>
      </c>
      <c r="P583" t="s">
        <v>43</v>
      </c>
      <c r="Q583" t="s">
        <v>27</v>
      </c>
      <c r="R583" t="s">
        <v>55</v>
      </c>
      <c r="S583">
        <v>2025.03</v>
      </c>
      <c r="T583">
        <v>10252.64</v>
      </c>
      <c r="U583">
        <v>0</v>
      </c>
      <c r="V583">
        <v>9229.9599999999991</v>
      </c>
      <c r="AA583" s="29" t="s">
        <v>43</v>
      </c>
      <c r="AB583">
        <v>31199</v>
      </c>
      <c r="AC583">
        <v>80</v>
      </c>
      <c r="AD583">
        <v>3</v>
      </c>
      <c r="AE583">
        <v>0</v>
      </c>
      <c r="AF583">
        <v>0</v>
      </c>
      <c r="AG583" s="29" t="s">
        <v>685</v>
      </c>
      <c r="AH583" s="29" t="s">
        <v>693</v>
      </c>
      <c r="AI583" s="29" t="s">
        <v>770</v>
      </c>
      <c r="AJ583" s="29"/>
      <c r="AL583" s="29" t="s">
        <v>686</v>
      </c>
    </row>
    <row r="584" spans="15:38">
      <c r="O584" t="s">
        <v>44</v>
      </c>
      <c r="P584" t="s">
        <v>43</v>
      </c>
      <c r="Q584" t="s">
        <v>27</v>
      </c>
      <c r="R584" t="s">
        <v>55</v>
      </c>
      <c r="S584">
        <v>2025.12</v>
      </c>
      <c r="T584">
        <v>10252.64</v>
      </c>
      <c r="U584">
        <v>0</v>
      </c>
      <c r="V584">
        <v>9229.9599999999991</v>
      </c>
      <c r="AA584" s="29" t="s">
        <v>43</v>
      </c>
      <c r="AB584">
        <v>31199</v>
      </c>
      <c r="AC584">
        <v>80</v>
      </c>
      <c r="AD584">
        <v>3</v>
      </c>
      <c r="AE584">
        <v>0</v>
      </c>
      <c r="AF584">
        <v>0</v>
      </c>
      <c r="AG584" s="29" t="s">
        <v>685</v>
      </c>
      <c r="AH584" s="29" t="s">
        <v>693</v>
      </c>
      <c r="AI584" s="29" t="s">
        <v>771</v>
      </c>
      <c r="AJ584" s="29"/>
      <c r="AL584" s="29" t="s">
        <v>686</v>
      </c>
    </row>
    <row r="585" spans="15:38">
      <c r="O585" t="s">
        <v>44</v>
      </c>
      <c r="P585" t="s">
        <v>43</v>
      </c>
      <c r="Q585" t="s">
        <v>27</v>
      </c>
      <c r="R585" t="s">
        <v>56</v>
      </c>
      <c r="S585">
        <v>2024.06</v>
      </c>
      <c r="T585">
        <v>126.25</v>
      </c>
      <c r="U585">
        <v>0</v>
      </c>
      <c r="V585">
        <v>0</v>
      </c>
      <c r="AA585" s="29" t="s">
        <v>43</v>
      </c>
      <c r="AB585">
        <v>31199</v>
      </c>
      <c r="AC585">
        <v>80</v>
      </c>
      <c r="AD585">
        <v>3</v>
      </c>
      <c r="AE585">
        <v>0</v>
      </c>
      <c r="AF585">
        <v>0</v>
      </c>
      <c r="AG585" s="29" t="s">
        <v>685</v>
      </c>
      <c r="AH585" s="29" t="s">
        <v>693</v>
      </c>
      <c r="AI585" s="29" t="s">
        <v>772</v>
      </c>
      <c r="AJ585" s="29"/>
      <c r="AL585" s="29" t="s">
        <v>686</v>
      </c>
    </row>
    <row r="586" spans="15:38">
      <c r="O586" t="s">
        <v>44</v>
      </c>
      <c r="P586" t="s">
        <v>43</v>
      </c>
      <c r="Q586" t="s">
        <v>27</v>
      </c>
      <c r="R586" t="s">
        <v>56</v>
      </c>
      <c r="S586">
        <v>2024.07</v>
      </c>
      <c r="T586">
        <v>388.75</v>
      </c>
      <c r="U586">
        <v>0</v>
      </c>
      <c r="V586">
        <v>0</v>
      </c>
      <c r="AA586" s="29" t="s">
        <v>43</v>
      </c>
      <c r="AB586">
        <v>31199</v>
      </c>
      <c r="AC586">
        <v>80</v>
      </c>
      <c r="AD586">
        <v>3</v>
      </c>
      <c r="AE586">
        <v>0</v>
      </c>
      <c r="AF586">
        <v>0</v>
      </c>
      <c r="AG586" s="29" t="s">
        <v>685</v>
      </c>
      <c r="AH586" s="29" t="s">
        <v>693</v>
      </c>
      <c r="AI586" s="29" t="s">
        <v>773</v>
      </c>
      <c r="AJ586" s="29"/>
      <c r="AL586" s="29" t="s">
        <v>686</v>
      </c>
    </row>
    <row r="587" spans="15:38">
      <c r="O587" t="s">
        <v>44</v>
      </c>
      <c r="P587" t="s">
        <v>43</v>
      </c>
      <c r="Q587" t="s">
        <v>27</v>
      </c>
      <c r="R587" t="s">
        <v>56</v>
      </c>
      <c r="S587">
        <v>2024.08</v>
      </c>
      <c r="T587">
        <v>388.75</v>
      </c>
      <c r="U587">
        <v>0</v>
      </c>
      <c r="V587">
        <v>0</v>
      </c>
      <c r="AA587" s="29" t="s">
        <v>43</v>
      </c>
      <c r="AB587">
        <v>31199</v>
      </c>
      <c r="AC587">
        <v>80</v>
      </c>
      <c r="AD587">
        <v>3</v>
      </c>
      <c r="AE587">
        <v>0</v>
      </c>
      <c r="AF587">
        <v>0</v>
      </c>
      <c r="AG587" s="29" t="s">
        <v>685</v>
      </c>
      <c r="AH587" s="29" t="s">
        <v>693</v>
      </c>
      <c r="AI587" s="29" t="s">
        <v>774</v>
      </c>
      <c r="AJ587" s="29"/>
      <c r="AL587" s="29" t="s">
        <v>686</v>
      </c>
    </row>
    <row r="588" spans="15:38">
      <c r="O588" t="s">
        <v>44</v>
      </c>
      <c r="P588" t="s">
        <v>43</v>
      </c>
      <c r="Q588" t="s">
        <v>27</v>
      </c>
      <c r="R588" t="s">
        <v>56</v>
      </c>
      <c r="S588">
        <v>2024.09</v>
      </c>
      <c r="T588">
        <v>613.75</v>
      </c>
      <c r="U588">
        <v>0</v>
      </c>
      <c r="V588">
        <v>0</v>
      </c>
      <c r="AA588" s="29" t="s">
        <v>43</v>
      </c>
      <c r="AB588">
        <v>31199</v>
      </c>
      <c r="AC588">
        <v>80</v>
      </c>
      <c r="AD588">
        <v>3</v>
      </c>
      <c r="AE588">
        <v>0</v>
      </c>
      <c r="AF588">
        <v>0</v>
      </c>
      <c r="AG588" s="29" t="s">
        <v>685</v>
      </c>
      <c r="AH588" s="29" t="s">
        <v>693</v>
      </c>
      <c r="AI588" s="29" t="s">
        <v>775</v>
      </c>
      <c r="AJ588" s="29"/>
      <c r="AL588" s="29" t="s">
        <v>686</v>
      </c>
    </row>
    <row r="589" spans="15:38">
      <c r="O589" t="s">
        <v>44</v>
      </c>
      <c r="P589" t="s">
        <v>43</v>
      </c>
      <c r="Q589" t="s">
        <v>27</v>
      </c>
      <c r="R589" t="s">
        <v>56</v>
      </c>
      <c r="S589">
        <v>2024.1</v>
      </c>
      <c r="T589">
        <v>613.75</v>
      </c>
      <c r="U589">
        <v>0</v>
      </c>
      <c r="V589">
        <v>0</v>
      </c>
      <c r="AA589" s="29" t="s">
        <v>43</v>
      </c>
      <c r="AB589">
        <v>31199</v>
      </c>
      <c r="AC589">
        <v>80</v>
      </c>
      <c r="AD589">
        <v>3</v>
      </c>
      <c r="AE589">
        <v>6200</v>
      </c>
      <c r="AF589">
        <v>6200</v>
      </c>
      <c r="AG589" s="29" t="s">
        <v>685</v>
      </c>
      <c r="AH589" s="29" t="s">
        <v>776</v>
      </c>
      <c r="AI589" s="29" t="s">
        <v>777</v>
      </c>
      <c r="AJ589" s="29"/>
      <c r="AL589" s="29" t="s">
        <v>686</v>
      </c>
    </row>
    <row r="590" spans="15:38">
      <c r="O590" t="s">
        <v>44</v>
      </c>
      <c r="P590" t="s">
        <v>43</v>
      </c>
      <c r="Q590" t="s">
        <v>27</v>
      </c>
      <c r="R590" t="s">
        <v>56</v>
      </c>
      <c r="S590">
        <v>2024.11</v>
      </c>
      <c r="T590">
        <v>613.75</v>
      </c>
      <c r="U590">
        <v>0</v>
      </c>
      <c r="V590">
        <v>0</v>
      </c>
      <c r="AA590" s="29" t="s">
        <v>43</v>
      </c>
      <c r="AB590">
        <v>31199</v>
      </c>
      <c r="AC590">
        <v>80</v>
      </c>
      <c r="AD590">
        <v>3</v>
      </c>
      <c r="AE590">
        <v>12400</v>
      </c>
      <c r="AF590">
        <v>12400</v>
      </c>
      <c r="AG590" s="29" t="s">
        <v>685</v>
      </c>
      <c r="AH590" s="29" t="s">
        <v>778</v>
      </c>
      <c r="AI590" s="29" t="s">
        <v>779</v>
      </c>
      <c r="AJ590" s="29"/>
      <c r="AL590" s="29" t="s">
        <v>686</v>
      </c>
    </row>
    <row r="591" spans="15:38">
      <c r="O591" t="s">
        <v>44</v>
      </c>
      <c r="P591" t="s">
        <v>43</v>
      </c>
      <c r="Q591" t="s">
        <v>27</v>
      </c>
      <c r="R591" t="s">
        <v>56</v>
      </c>
      <c r="S591">
        <v>2024.14</v>
      </c>
      <c r="T591">
        <v>613.75</v>
      </c>
      <c r="U591">
        <v>0</v>
      </c>
      <c r="V591">
        <v>0</v>
      </c>
      <c r="AA591" s="29" t="s">
        <v>43</v>
      </c>
      <c r="AB591">
        <v>31199</v>
      </c>
      <c r="AC591">
        <v>80</v>
      </c>
      <c r="AD591">
        <v>3</v>
      </c>
      <c r="AE591">
        <v>12400</v>
      </c>
      <c r="AF591">
        <v>12400</v>
      </c>
      <c r="AG591" s="29" t="s">
        <v>685</v>
      </c>
      <c r="AH591" s="29" t="s">
        <v>778</v>
      </c>
      <c r="AI591" s="29" t="s">
        <v>779</v>
      </c>
      <c r="AJ591" s="29"/>
      <c r="AL591" s="29" t="s">
        <v>686</v>
      </c>
    </row>
    <row r="592" spans="15:38">
      <c r="O592" t="s">
        <v>44</v>
      </c>
      <c r="P592" t="s">
        <v>43</v>
      </c>
      <c r="Q592" t="s">
        <v>27</v>
      </c>
      <c r="R592" t="s">
        <v>56</v>
      </c>
      <c r="S592">
        <v>2024.17</v>
      </c>
      <c r="T592">
        <v>613.75</v>
      </c>
      <c r="U592">
        <v>0</v>
      </c>
      <c r="V592">
        <v>0</v>
      </c>
      <c r="AA592" s="29" t="s">
        <v>43</v>
      </c>
      <c r="AB592">
        <v>31199</v>
      </c>
      <c r="AC592">
        <v>80</v>
      </c>
      <c r="AD592">
        <v>3</v>
      </c>
      <c r="AE592">
        <v>11919</v>
      </c>
      <c r="AF592">
        <v>11919</v>
      </c>
      <c r="AG592" s="29" t="s">
        <v>685</v>
      </c>
      <c r="AH592" s="29" t="s">
        <v>780</v>
      </c>
      <c r="AI592" s="29" t="s">
        <v>781</v>
      </c>
      <c r="AJ592" s="29"/>
      <c r="AL592" s="29" t="s">
        <v>686</v>
      </c>
    </row>
    <row r="593" spans="15:38">
      <c r="O593" t="s">
        <v>44</v>
      </c>
      <c r="P593" t="s">
        <v>43</v>
      </c>
      <c r="Q593" t="s">
        <v>27</v>
      </c>
      <c r="R593" t="s">
        <v>56</v>
      </c>
      <c r="S593">
        <v>2024.18</v>
      </c>
      <c r="T593">
        <v>1227.5</v>
      </c>
      <c r="U593">
        <v>0</v>
      </c>
      <c r="V593">
        <v>0</v>
      </c>
      <c r="AA593" s="29" t="s">
        <v>43</v>
      </c>
      <c r="AB593">
        <v>31199</v>
      </c>
      <c r="AC593">
        <v>80</v>
      </c>
      <c r="AD593">
        <v>3</v>
      </c>
      <c r="AE593">
        <v>411</v>
      </c>
      <c r="AF593">
        <v>411</v>
      </c>
      <c r="AG593" s="29" t="s">
        <v>685</v>
      </c>
      <c r="AH593" s="29" t="s">
        <v>782</v>
      </c>
      <c r="AI593" s="29" t="s">
        <v>783</v>
      </c>
      <c r="AJ593" s="29"/>
      <c r="AL593" s="29" t="s">
        <v>686</v>
      </c>
    </row>
    <row r="594" spans="15:38">
      <c r="O594" t="s">
        <v>44</v>
      </c>
      <c r="P594" t="s">
        <v>43</v>
      </c>
      <c r="Q594" t="s">
        <v>27</v>
      </c>
      <c r="R594" t="s">
        <v>56</v>
      </c>
      <c r="S594">
        <v>2024.19</v>
      </c>
      <c r="T594">
        <v>613.75</v>
      </c>
      <c r="U594">
        <v>0</v>
      </c>
      <c r="V594">
        <v>0</v>
      </c>
      <c r="AA594" s="29" t="s">
        <v>43</v>
      </c>
      <c r="AB594">
        <v>31199</v>
      </c>
      <c r="AC594">
        <v>80</v>
      </c>
      <c r="AD594">
        <v>3</v>
      </c>
      <c r="AE594">
        <v>2.78</v>
      </c>
      <c r="AF594">
        <v>2.78</v>
      </c>
      <c r="AG594" s="29" t="s">
        <v>685</v>
      </c>
      <c r="AH594" s="29" t="s">
        <v>784</v>
      </c>
      <c r="AI594" s="29" t="s">
        <v>785</v>
      </c>
      <c r="AJ594" s="29"/>
      <c r="AL594" s="29" t="s">
        <v>686</v>
      </c>
    </row>
    <row r="595" spans="15:38">
      <c r="O595" t="s">
        <v>44</v>
      </c>
      <c r="P595" t="s">
        <v>43</v>
      </c>
      <c r="Q595" t="s">
        <v>27</v>
      </c>
      <c r="R595" t="s">
        <v>56</v>
      </c>
      <c r="S595">
        <v>2024.2</v>
      </c>
      <c r="T595">
        <v>613.75</v>
      </c>
      <c r="U595">
        <v>0</v>
      </c>
      <c r="V595">
        <v>0</v>
      </c>
      <c r="AA595" s="29" t="s">
        <v>43</v>
      </c>
      <c r="AB595">
        <v>31199</v>
      </c>
      <c r="AC595">
        <v>80</v>
      </c>
      <c r="AD595">
        <v>3</v>
      </c>
      <c r="AE595">
        <v>0</v>
      </c>
      <c r="AF595">
        <v>0</v>
      </c>
      <c r="AG595" s="29" t="s">
        <v>685</v>
      </c>
      <c r="AH595" s="29" t="s">
        <v>693</v>
      </c>
      <c r="AI595" s="29" t="s">
        <v>786</v>
      </c>
      <c r="AJ595" s="29"/>
      <c r="AL595" s="29" t="s">
        <v>686</v>
      </c>
    </row>
    <row r="596" spans="15:38">
      <c r="O596" t="s">
        <v>44</v>
      </c>
      <c r="P596" t="s">
        <v>43</v>
      </c>
      <c r="Q596" t="s">
        <v>27</v>
      </c>
      <c r="R596" t="s">
        <v>56</v>
      </c>
      <c r="S596">
        <v>2024.21</v>
      </c>
      <c r="T596">
        <v>613.75</v>
      </c>
      <c r="U596">
        <v>0</v>
      </c>
      <c r="V596">
        <v>0</v>
      </c>
      <c r="AA596" s="29" t="s">
        <v>43</v>
      </c>
      <c r="AB596">
        <v>31199</v>
      </c>
      <c r="AC596">
        <v>80</v>
      </c>
      <c r="AD596">
        <v>3</v>
      </c>
      <c r="AE596">
        <v>0</v>
      </c>
      <c r="AF596">
        <v>0</v>
      </c>
      <c r="AG596" s="29" t="s">
        <v>685</v>
      </c>
      <c r="AH596" s="29" t="s">
        <v>693</v>
      </c>
      <c r="AI596" s="29" t="s">
        <v>787</v>
      </c>
      <c r="AJ596" s="29"/>
      <c r="AL596" s="29" t="s">
        <v>686</v>
      </c>
    </row>
    <row r="597" spans="15:38">
      <c r="O597" t="s">
        <v>44</v>
      </c>
      <c r="P597" t="s">
        <v>43</v>
      </c>
      <c r="Q597" t="s">
        <v>27</v>
      </c>
      <c r="R597" t="s">
        <v>56</v>
      </c>
      <c r="S597">
        <v>2024.28</v>
      </c>
      <c r="T597">
        <v>613.75</v>
      </c>
      <c r="U597">
        <v>0</v>
      </c>
      <c r="V597">
        <v>0</v>
      </c>
      <c r="AA597" s="29" t="s">
        <v>43</v>
      </c>
      <c r="AB597">
        <v>31199</v>
      </c>
      <c r="AC597">
        <v>80</v>
      </c>
      <c r="AD597">
        <v>3</v>
      </c>
      <c r="AE597">
        <v>3900</v>
      </c>
      <c r="AF597">
        <v>3900</v>
      </c>
      <c r="AG597" s="29" t="s">
        <v>685</v>
      </c>
      <c r="AH597" s="29" t="s">
        <v>788</v>
      </c>
      <c r="AI597" s="29" t="s">
        <v>789</v>
      </c>
      <c r="AJ597" s="29"/>
      <c r="AL597" s="29" t="s">
        <v>686</v>
      </c>
    </row>
    <row r="598" spans="15:38">
      <c r="O598" t="s">
        <v>44</v>
      </c>
      <c r="P598" t="s">
        <v>43</v>
      </c>
      <c r="Q598" t="s">
        <v>27</v>
      </c>
      <c r="R598" t="s">
        <v>56</v>
      </c>
      <c r="S598">
        <v>2024.38</v>
      </c>
      <c r="T598">
        <v>1227.5</v>
      </c>
      <c r="U598">
        <v>0</v>
      </c>
      <c r="V598">
        <v>0</v>
      </c>
      <c r="AA598" s="29" t="s">
        <v>43</v>
      </c>
      <c r="AB598">
        <v>31199</v>
      </c>
      <c r="AC598">
        <v>80</v>
      </c>
      <c r="AD598">
        <v>3</v>
      </c>
      <c r="AE598">
        <v>8.52</v>
      </c>
      <c r="AF598">
        <v>8.52</v>
      </c>
      <c r="AG598" s="29" t="s">
        <v>685</v>
      </c>
      <c r="AH598" s="29" t="s">
        <v>790</v>
      </c>
      <c r="AI598" s="29" t="s">
        <v>791</v>
      </c>
      <c r="AJ598" s="29"/>
      <c r="AL598" s="29" t="s">
        <v>686</v>
      </c>
    </row>
    <row r="599" spans="15:38">
      <c r="O599" t="s">
        <v>44</v>
      </c>
      <c r="P599" t="s">
        <v>43</v>
      </c>
      <c r="Q599" t="s">
        <v>27</v>
      </c>
      <c r="R599" t="s">
        <v>56</v>
      </c>
      <c r="S599">
        <v>2024.39</v>
      </c>
      <c r="T599">
        <v>613.75</v>
      </c>
      <c r="U599">
        <v>0</v>
      </c>
      <c r="V599">
        <v>0</v>
      </c>
      <c r="AA599" s="29" t="s">
        <v>43</v>
      </c>
      <c r="AB599">
        <v>31199</v>
      </c>
      <c r="AC599">
        <v>80</v>
      </c>
      <c r="AD599">
        <v>3</v>
      </c>
      <c r="AE599">
        <v>0.09</v>
      </c>
      <c r="AF599">
        <v>0.09</v>
      </c>
      <c r="AG599" s="29" t="s">
        <v>685</v>
      </c>
      <c r="AH599" s="29" t="s">
        <v>792</v>
      </c>
      <c r="AI599" s="29" t="s">
        <v>793</v>
      </c>
      <c r="AJ599" s="29"/>
      <c r="AL599" s="29" t="s">
        <v>686</v>
      </c>
    </row>
    <row r="600" spans="15:38">
      <c r="O600" t="s">
        <v>44</v>
      </c>
      <c r="P600" t="s">
        <v>43</v>
      </c>
      <c r="Q600" t="s">
        <v>27</v>
      </c>
      <c r="R600" t="s">
        <v>56</v>
      </c>
      <c r="S600">
        <v>2024.41</v>
      </c>
      <c r="T600">
        <v>613.75</v>
      </c>
      <c r="U600">
        <v>0</v>
      </c>
      <c r="V600">
        <v>0</v>
      </c>
      <c r="AA600" s="29" t="s">
        <v>43</v>
      </c>
      <c r="AB600">
        <v>31199</v>
      </c>
      <c r="AC600">
        <v>80</v>
      </c>
      <c r="AD600">
        <v>3</v>
      </c>
      <c r="AE600">
        <v>60.45</v>
      </c>
      <c r="AF600">
        <v>60.45</v>
      </c>
      <c r="AG600" s="29" t="s">
        <v>685</v>
      </c>
      <c r="AH600" s="29" t="s">
        <v>794</v>
      </c>
      <c r="AI600" s="29" t="s">
        <v>795</v>
      </c>
      <c r="AJ600" s="29"/>
      <c r="AL600" s="29" t="s">
        <v>686</v>
      </c>
    </row>
    <row r="601" spans="15:38">
      <c r="O601" t="s">
        <v>44</v>
      </c>
      <c r="P601" t="s">
        <v>43</v>
      </c>
      <c r="Q601" t="s">
        <v>27</v>
      </c>
      <c r="R601" t="s">
        <v>56</v>
      </c>
      <c r="S601">
        <v>2024.43</v>
      </c>
      <c r="T601">
        <v>613.75</v>
      </c>
      <c r="U601">
        <v>0</v>
      </c>
      <c r="V601">
        <v>0</v>
      </c>
      <c r="AA601" s="29" t="s">
        <v>43</v>
      </c>
      <c r="AB601">
        <v>31199</v>
      </c>
      <c r="AC601">
        <v>80</v>
      </c>
      <c r="AD601">
        <v>3</v>
      </c>
      <c r="AE601">
        <v>12.12</v>
      </c>
      <c r="AF601">
        <v>12.12</v>
      </c>
      <c r="AG601" s="29" t="s">
        <v>685</v>
      </c>
      <c r="AH601" s="29" t="s">
        <v>796</v>
      </c>
      <c r="AI601" s="29" t="s">
        <v>797</v>
      </c>
      <c r="AJ601" s="29"/>
      <c r="AL601" s="29" t="s">
        <v>686</v>
      </c>
    </row>
    <row r="602" spans="15:38">
      <c r="O602" t="s">
        <v>44</v>
      </c>
      <c r="P602" t="s">
        <v>43</v>
      </c>
      <c r="Q602" t="s">
        <v>27</v>
      </c>
      <c r="R602" t="s">
        <v>56</v>
      </c>
      <c r="S602">
        <v>2024.44</v>
      </c>
      <c r="T602">
        <v>613.75</v>
      </c>
      <c r="U602">
        <v>0</v>
      </c>
      <c r="V602">
        <v>613.75</v>
      </c>
      <c r="AA602" s="29" t="s">
        <v>43</v>
      </c>
      <c r="AB602">
        <v>31199</v>
      </c>
      <c r="AC602">
        <v>80</v>
      </c>
      <c r="AD602">
        <v>3</v>
      </c>
      <c r="AE602">
        <v>4.5</v>
      </c>
      <c r="AF602">
        <v>4.5</v>
      </c>
      <c r="AG602" s="29" t="s">
        <v>685</v>
      </c>
      <c r="AH602" s="29" t="s">
        <v>798</v>
      </c>
      <c r="AI602" s="29" t="s">
        <v>799</v>
      </c>
      <c r="AJ602" s="29"/>
      <c r="AL602" s="29" t="s">
        <v>686</v>
      </c>
    </row>
    <row r="603" spans="15:38">
      <c r="O603" t="s">
        <v>44</v>
      </c>
      <c r="P603" t="s">
        <v>43</v>
      </c>
      <c r="Q603" t="s">
        <v>27</v>
      </c>
      <c r="R603" t="s">
        <v>56</v>
      </c>
      <c r="S603">
        <v>2024.45</v>
      </c>
      <c r="T603">
        <v>613.75</v>
      </c>
      <c r="U603">
        <v>0</v>
      </c>
      <c r="V603">
        <v>613.75</v>
      </c>
      <c r="AA603" s="29" t="s">
        <v>43</v>
      </c>
      <c r="AB603">
        <v>31199</v>
      </c>
      <c r="AC603">
        <v>80</v>
      </c>
      <c r="AD603">
        <v>3</v>
      </c>
      <c r="AE603">
        <v>0</v>
      </c>
      <c r="AF603">
        <v>0</v>
      </c>
      <c r="AG603" s="29" t="s">
        <v>685</v>
      </c>
      <c r="AH603" s="29" t="s">
        <v>693</v>
      </c>
      <c r="AI603" s="29" t="s">
        <v>800</v>
      </c>
      <c r="AJ603" s="29"/>
      <c r="AL603" s="29" t="s">
        <v>686</v>
      </c>
    </row>
    <row r="604" spans="15:38">
      <c r="O604" t="s">
        <v>44</v>
      </c>
      <c r="P604" t="s">
        <v>43</v>
      </c>
      <c r="Q604" t="s">
        <v>27</v>
      </c>
      <c r="R604" t="s">
        <v>56</v>
      </c>
      <c r="S604">
        <v>2024.47</v>
      </c>
      <c r="T604">
        <v>613.75</v>
      </c>
      <c r="U604">
        <v>0</v>
      </c>
      <c r="V604">
        <v>613.75</v>
      </c>
      <c r="AA604" s="29" t="s">
        <v>43</v>
      </c>
      <c r="AB604">
        <v>31199</v>
      </c>
      <c r="AC604">
        <v>80</v>
      </c>
      <c r="AD604">
        <v>3</v>
      </c>
      <c r="AE604">
        <v>0</v>
      </c>
      <c r="AF604">
        <v>0</v>
      </c>
      <c r="AG604" s="29" t="s">
        <v>685</v>
      </c>
      <c r="AH604" s="29" t="s">
        <v>693</v>
      </c>
      <c r="AI604" s="29" t="s">
        <v>801</v>
      </c>
      <c r="AJ604" s="29"/>
      <c r="AL604" s="29" t="s">
        <v>686</v>
      </c>
    </row>
    <row r="605" spans="15:38">
      <c r="O605" t="s">
        <v>44</v>
      </c>
      <c r="P605" t="s">
        <v>43</v>
      </c>
      <c r="Q605" t="s">
        <v>27</v>
      </c>
      <c r="R605" t="s">
        <v>56</v>
      </c>
      <c r="S605">
        <v>2024.48</v>
      </c>
      <c r="T605">
        <v>613.75</v>
      </c>
      <c r="U605">
        <v>0</v>
      </c>
      <c r="V605">
        <v>613.75</v>
      </c>
      <c r="AA605" s="29" t="s">
        <v>43</v>
      </c>
      <c r="AB605">
        <v>31199</v>
      </c>
      <c r="AC605">
        <v>80</v>
      </c>
      <c r="AD605">
        <v>3</v>
      </c>
      <c r="AE605">
        <v>27.31</v>
      </c>
      <c r="AF605">
        <v>27.31</v>
      </c>
      <c r="AG605" s="29" t="s">
        <v>685</v>
      </c>
      <c r="AH605" s="29" t="s">
        <v>802</v>
      </c>
      <c r="AI605" s="29" t="s">
        <v>803</v>
      </c>
      <c r="AJ605" s="29"/>
      <c r="AL605" s="29" t="s">
        <v>686</v>
      </c>
    </row>
    <row r="606" spans="15:38">
      <c r="O606" t="s">
        <v>44</v>
      </c>
      <c r="P606" t="s">
        <v>43</v>
      </c>
      <c r="Q606" t="s">
        <v>27</v>
      </c>
      <c r="R606" t="s">
        <v>56</v>
      </c>
      <c r="S606">
        <v>2024.49</v>
      </c>
      <c r="T606">
        <v>613.75</v>
      </c>
      <c r="U606">
        <v>0</v>
      </c>
      <c r="V606">
        <v>613.75</v>
      </c>
      <c r="AA606" s="29" t="s">
        <v>43</v>
      </c>
      <c r="AB606">
        <v>31199</v>
      </c>
      <c r="AC606">
        <v>80</v>
      </c>
      <c r="AD606">
        <v>3</v>
      </c>
      <c r="AE606">
        <v>20</v>
      </c>
      <c r="AF606">
        <v>20</v>
      </c>
      <c r="AG606" s="29" t="s">
        <v>685</v>
      </c>
      <c r="AH606" s="29" t="s">
        <v>804</v>
      </c>
      <c r="AI606" s="29" t="s">
        <v>805</v>
      </c>
      <c r="AJ606" s="29"/>
      <c r="AL606" s="29" t="s">
        <v>686</v>
      </c>
    </row>
    <row r="607" spans="15:38">
      <c r="O607" t="s">
        <v>44</v>
      </c>
      <c r="P607" t="s">
        <v>43</v>
      </c>
      <c r="Q607" t="s">
        <v>27</v>
      </c>
      <c r="R607" t="s">
        <v>56</v>
      </c>
      <c r="S607">
        <v>2024.52</v>
      </c>
      <c r="T607">
        <v>613.75</v>
      </c>
      <c r="U607">
        <v>0</v>
      </c>
      <c r="V607">
        <v>613.75</v>
      </c>
      <c r="AA607" s="29" t="s">
        <v>43</v>
      </c>
      <c r="AB607">
        <v>31199</v>
      </c>
      <c r="AC607">
        <v>80</v>
      </c>
      <c r="AD607">
        <v>3</v>
      </c>
      <c r="AE607">
        <v>0</v>
      </c>
      <c r="AF607">
        <v>0</v>
      </c>
      <c r="AG607" s="29" t="s">
        <v>685</v>
      </c>
      <c r="AH607" s="29" t="s">
        <v>693</v>
      </c>
      <c r="AI607" s="29" t="s">
        <v>806</v>
      </c>
      <c r="AJ607" s="29"/>
      <c r="AL607" s="29" t="s">
        <v>686</v>
      </c>
    </row>
    <row r="608" spans="15:38">
      <c r="O608" t="s">
        <v>44</v>
      </c>
      <c r="P608" t="s">
        <v>43</v>
      </c>
      <c r="Q608" t="s">
        <v>27</v>
      </c>
      <c r="R608" t="s">
        <v>56</v>
      </c>
      <c r="S608">
        <v>2025.03</v>
      </c>
      <c r="T608">
        <v>613.75</v>
      </c>
      <c r="U608">
        <v>0</v>
      </c>
      <c r="V608">
        <v>613.75</v>
      </c>
      <c r="AA608" s="29" t="s">
        <v>43</v>
      </c>
      <c r="AB608">
        <v>31199</v>
      </c>
      <c r="AC608">
        <v>80</v>
      </c>
      <c r="AD608">
        <v>3</v>
      </c>
      <c r="AE608">
        <v>1340</v>
      </c>
      <c r="AF608">
        <v>1340</v>
      </c>
      <c r="AG608" s="29" t="s">
        <v>685</v>
      </c>
      <c r="AH608" s="29" t="s">
        <v>807</v>
      </c>
      <c r="AI608" s="29" t="s">
        <v>808</v>
      </c>
      <c r="AJ608" s="29"/>
      <c r="AL608" s="29" t="s">
        <v>686</v>
      </c>
    </row>
    <row r="609" spans="15:38">
      <c r="O609" t="s">
        <v>44</v>
      </c>
      <c r="P609" t="s">
        <v>43</v>
      </c>
      <c r="Q609" t="s">
        <v>27</v>
      </c>
      <c r="R609" t="s">
        <v>56</v>
      </c>
      <c r="S609">
        <v>2025.12</v>
      </c>
      <c r="T609">
        <v>613.75</v>
      </c>
      <c r="U609">
        <v>0</v>
      </c>
      <c r="V609">
        <v>613.75</v>
      </c>
      <c r="AA609" s="29" t="s">
        <v>43</v>
      </c>
      <c r="AB609">
        <v>31199</v>
      </c>
      <c r="AC609">
        <v>80</v>
      </c>
      <c r="AD609">
        <v>3</v>
      </c>
      <c r="AE609">
        <v>6840</v>
      </c>
      <c r="AF609">
        <v>6840</v>
      </c>
      <c r="AG609" s="29" t="s">
        <v>685</v>
      </c>
      <c r="AH609" s="29" t="s">
        <v>809</v>
      </c>
      <c r="AI609" s="29" t="s">
        <v>810</v>
      </c>
      <c r="AJ609" s="29"/>
      <c r="AL609" s="29" t="s">
        <v>686</v>
      </c>
    </row>
    <row r="610" spans="15:38">
      <c r="O610" t="s">
        <v>44</v>
      </c>
      <c r="P610" t="s">
        <v>43</v>
      </c>
      <c r="Q610" t="s">
        <v>48</v>
      </c>
      <c r="R610" t="s">
        <v>59</v>
      </c>
      <c r="S610">
        <v>2024.44</v>
      </c>
      <c r="T610">
        <v>0</v>
      </c>
      <c r="U610">
        <v>0</v>
      </c>
      <c r="V610">
        <v>2332.1867000000002</v>
      </c>
      <c r="AA610" s="29" t="s">
        <v>43</v>
      </c>
      <c r="AB610">
        <v>31199</v>
      </c>
      <c r="AC610">
        <v>80</v>
      </c>
      <c r="AD610">
        <v>3</v>
      </c>
      <c r="AE610">
        <v>20.94</v>
      </c>
      <c r="AF610">
        <v>20.94</v>
      </c>
      <c r="AG610" s="29" t="s">
        <v>685</v>
      </c>
      <c r="AH610" s="29" t="s">
        <v>811</v>
      </c>
      <c r="AI610" s="29" t="s">
        <v>812</v>
      </c>
      <c r="AJ610" s="29"/>
      <c r="AL610" s="29" t="s">
        <v>686</v>
      </c>
    </row>
    <row r="611" spans="15:38">
      <c r="O611" t="s">
        <v>44</v>
      </c>
      <c r="P611" t="s">
        <v>43</v>
      </c>
      <c r="Q611" t="s">
        <v>47</v>
      </c>
      <c r="R611" t="s">
        <v>59</v>
      </c>
      <c r="S611">
        <v>2023.44</v>
      </c>
      <c r="T611">
        <v>0</v>
      </c>
      <c r="U611">
        <v>7019.4058999999997</v>
      </c>
      <c r="V611">
        <v>7019.4058999999997</v>
      </c>
      <c r="AA611" s="29" t="s">
        <v>43</v>
      </c>
      <c r="AB611">
        <v>31199</v>
      </c>
      <c r="AC611">
        <v>80</v>
      </c>
      <c r="AD611">
        <v>3</v>
      </c>
      <c r="AE611">
        <v>0</v>
      </c>
      <c r="AF611">
        <v>0</v>
      </c>
      <c r="AG611" s="29" t="s">
        <v>685</v>
      </c>
      <c r="AH611" s="29" t="s">
        <v>693</v>
      </c>
      <c r="AI611" s="29" t="s">
        <v>717</v>
      </c>
      <c r="AJ611" s="29"/>
      <c r="AL611" s="29" t="s">
        <v>686</v>
      </c>
    </row>
    <row r="612" spans="15:38">
      <c r="O612" t="s">
        <v>44</v>
      </c>
      <c r="P612" t="s">
        <v>43</v>
      </c>
      <c r="Q612" t="s">
        <v>47</v>
      </c>
      <c r="R612" t="s">
        <v>59</v>
      </c>
      <c r="S612">
        <v>2024.44</v>
      </c>
      <c r="T612">
        <v>0</v>
      </c>
      <c r="U612">
        <v>7019.4058999999997</v>
      </c>
      <c r="V612">
        <v>911.9</v>
      </c>
      <c r="AA612" s="29" t="s">
        <v>43</v>
      </c>
      <c r="AB612">
        <v>31199</v>
      </c>
      <c r="AC612">
        <v>80</v>
      </c>
      <c r="AD612">
        <v>3</v>
      </c>
      <c r="AE612">
        <v>0</v>
      </c>
      <c r="AF612">
        <v>0</v>
      </c>
      <c r="AG612" s="29" t="s">
        <v>685</v>
      </c>
      <c r="AH612" s="29" t="s">
        <v>693</v>
      </c>
      <c r="AI612" s="29" t="s">
        <v>813</v>
      </c>
      <c r="AJ612" s="29"/>
      <c r="AL612" s="29" t="s">
        <v>686</v>
      </c>
    </row>
    <row r="613" spans="15:38">
      <c r="O613" t="s">
        <v>44</v>
      </c>
      <c r="P613" t="s">
        <v>43</v>
      </c>
      <c r="Q613" t="s">
        <v>45</v>
      </c>
      <c r="R613" t="s">
        <v>59</v>
      </c>
      <c r="S613">
        <v>2024.44</v>
      </c>
      <c r="T613">
        <v>0</v>
      </c>
      <c r="U613">
        <v>0</v>
      </c>
      <c r="V613">
        <v>770.2</v>
      </c>
      <c r="AA613" s="29" t="s">
        <v>43</v>
      </c>
      <c r="AB613">
        <v>31199</v>
      </c>
      <c r="AC613">
        <v>80</v>
      </c>
      <c r="AD613">
        <v>3</v>
      </c>
      <c r="AE613">
        <v>36.9</v>
      </c>
      <c r="AF613">
        <v>36.9</v>
      </c>
      <c r="AG613" s="29" t="s">
        <v>685</v>
      </c>
      <c r="AH613" s="29" t="s">
        <v>814</v>
      </c>
      <c r="AI613" s="29" t="s">
        <v>815</v>
      </c>
      <c r="AJ613" s="29"/>
      <c r="AL613" s="29" t="s">
        <v>686</v>
      </c>
    </row>
    <row r="614" spans="15:38">
      <c r="O614" t="s">
        <v>44</v>
      </c>
      <c r="P614" t="s">
        <v>43</v>
      </c>
      <c r="Q614" t="s">
        <v>3</v>
      </c>
      <c r="R614" t="s">
        <v>60</v>
      </c>
      <c r="S614">
        <v>2023.44</v>
      </c>
      <c r="T614">
        <v>0</v>
      </c>
      <c r="U614">
        <v>2622.8528999999999</v>
      </c>
      <c r="V614">
        <v>2622.8528999999999</v>
      </c>
      <c r="AA614" s="29" t="s">
        <v>43</v>
      </c>
      <c r="AB614">
        <v>31199</v>
      </c>
      <c r="AC614">
        <v>80</v>
      </c>
      <c r="AD614">
        <v>3</v>
      </c>
      <c r="AE614">
        <v>0</v>
      </c>
      <c r="AF614">
        <v>0</v>
      </c>
      <c r="AG614" s="29" t="s">
        <v>685</v>
      </c>
      <c r="AH614" s="29" t="s">
        <v>693</v>
      </c>
      <c r="AI614" s="29" t="s">
        <v>816</v>
      </c>
      <c r="AJ614" s="29"/>
      <c r="AL614" s="29" t="s">
        <v>686</v>
      </c>
    </row>
    <row r="615" spans="15:38">
      <c r="O615" t="s">
        <v>44</v>
      </c>
      <c r="P615" t="s">
        <v>43</v>
      </c>
      <c r="Q615" t="s">
        <v>3</v>
      </c>
      <c r="R615" t="s">
        <v>60</v>
      </c>
      <c r="S615">
        <v>2024.06</v>
      </c>
      <c r="T615">
        <v>360.32</v>
      </c>
      <c r="U615">
        <v>2622.8528999999999</v>
      </c>
      <c r="V615">
        <v>2622.8528999999999</v>
      </c>
      <c r="AA615" s="29" t="s">
        <v>43</v>
      </c>
      <c r="AB615">
        <v>31199</v>
      </c>
      <c r="AC615">
        <v>80</v>
      </c>
      <c r="AD615">
        <v>3</v>
      </c>
      <c r="AE615">
        <v>35.04</v>
      </c>
      <c r="AF615">
        <v>35.04</v>
      </c>
      <c r="AG615" s="29" t="s">
        <v>685</v>
      </c>
      <c r="AH615" s="29" t="s">
        <v>817</v>
      </c>
      <c r="AI615" s="29" t="s">
        <v>818</v>
      </c>
      <c r="AJ615" s="29"/>
      <c r="AL615" s="29" t="s">
        <v>686</v>
      </c>
    </row>
    <row r="616" spans="15:38">
      <c r="O616" t="s">
        <v>44</v>
      </c>
      <c r="P616" t="s">
        <v>43</v>
      </c>
      <c r="Q616" t="s">
        <v>3</v>
      </c>
      <c r="R616" t="s">
        <v>60</v>
      </c>
      <c r="S616">
        <v>2024.07</v>
      </c>
      <c r="T616">
        <v>360.32</v>
      </c>
      <c r="U616">
        <v>2622.8528999999999</v>
      </c>
      <c r="V616">
        <v>2622.8528999999999</v>
      </c>
      <c r="AA616" s="29" t="s">
        <v>43</v>
      </c>
      <c r="AB616">
        <v>31199</v>
      </c>
      <c r="AC616">
        <v>80</v>
      </c>
      <c r="AD616">
        <v>4</v>
      </c>
      <c r="AE616">
        <v>55.8</v>
      </c>
      <c r="AF616">
        <v>55.8</v>
      </c>
      <c r="AG616" s="29" t="s">
        <v>685</v>
      </c>
      <c r="AH616" s="29" t="s">
        <v>728</v>
      </c>
      <c r="AI616" s="29" t="s">
        <v>727</v>
      </c>
      <c r="AJ616" s="29" t="s">
        <v>819</v>
      </c>
      <c r="AL616" s="29" t="s">
        <v>686</v>
      </c>
    </row>
    <row r="617" spans="15:38">
      <c r="O617" t="s">
        <v>44</v>
      </c>
      <c r="P617" t="s">
        <v>43</v>
      </c>
      <c r="Q617" t="s">
        <v>3</v>
      </c>
      <c r="R617" t="s">
        <v>60</v>
      </c>
      <c r="S617">
        <v>2024.08</v>
      </c>
      <c r="T617">
        <v>360.32</v>
      </c>
      <c r="U617">
        <v>2622.8528999999999</v>
      </c>
      <c r="V617">
        <v>2622.8528999999999</v>
      </c>
      <c r="AA617" s="29" t="s">
        <v>43</v>
      </c>
      <c r="AB617">
        <v>31199</v>
      </c>
      <c r="AC617">
        <v>80</v>
      </c>
      <c r="AD617">
        <v>4</v>
      </c>
      <c r="AE617">
        <v>1.1000000000000001</v>
      </c>
      <c r="AF617">
        <v>1.1000000000000001</v>
      </c>
      <c r="AG617" s="29" t="s">
        <v>685</v>
      </c>
      <c r="AH617" s="29" t="s">
        <v>820</v>
      </c>
      <c r="AI617" s="29" t="s">
        <v>727</v>
      </c>
      <c r="AJ617" s="29" t="s">
        <v>821</v>
      </c>
      <c r="AL617" s="29" t="s">
        <v>686</v>
      </c>
    </row>
    <row r="618" spans="15:38">
      <c r="O618" t="s">
        <v>44</v>
      </c>
      <c r="P618" t="s">
        <v>43</v>
      </c>
      <c r="Q618" t="s">
        <v>3</v>
      </c>
      <c r="R618" t="s">
        <v>60</v>
      </c>
      <c r="S618">
        <v>2024.09</v>
      </c>
      <c r="T618">
        <v>360.32</v>
      </c>
      <c r="U618">
        <v>2622.8528999999999</v>
      </c>
      <c r="V618">
        <v>2622.8528999999999</v>
      </c>
      <c r="AA618" s="29" t="s">
        <v>43</v>
      </c>
      <c r="AB618">
        <v>31199</v>
      </c>
      <c r="AC618">
        <v>80</v>
      </c>
      <c r="AD618">
        <v>4</v>
      </c>
      <c r="AE618">
        <v>52.38</v>
      </c>
      <c r="AF618">
        <v>52.38</v>
      </c>
      <c r="AG618" s="29" t="s">
        <v>685</v>
      </c>
      <c r="AH618" s="29" t="s">
        <v>822</v>
      </c>
      <c r="AI618" s="29" t="s">
        <v>727</v>
      </c>
      <c r="AJ618" s="29" t="s">
        <v>823</v>
      </c>
      <c r="AL618" s="29" t="s">
        <v>686</v>
      </c>
    </row>
    <row r="619" spans="15:38">
      <c r="O619" t="s">
        <v>44</v>
      </c>
      <c r="P619" t="s">
        <v>43</v>
      </c>
      <c r="Q619" t="s">
        <v>3</v>
      </c>
      <c r="R619" t="s">
        <v>60</v>
      </c>
      <c r="S619">
        <v>2024.1</v>
      </c>
      <c r="T619">
        <v>1441.28</v>
      </c>
      <c r="U619">
        <v>2622.8528999999999</v>
      </c>
      <c r="V619">
        <v>2622.8528999999999</v>
      </c>
      <c r="AA619" s="29" t="s">
        <v>43</v>
      </c>
      <c r="AB619">
        <v>31199</v>
      </c>
      <c r="AC619">
        <v>80</v>
      </c>
      <c r="AD619">
        <v>4</v>
      </c>
      <c r="AE619">
        <v>0</v>
      </c>
      <c r="AF619">
        <v>0</v>
      </c>
      <c r="AG619" s="29" t="s">
        <v>685</v>
      </c>
      <c r="AH619" s="29" t="s">
        <v>693</v>
      </c>
      <c r="AI619" s="29" t="s">
        <v>727</v>
      </c>
      <c r="AJ619" s="29" t="s">
        <v>824</v>
      </c>
      <c r="AL619" s="29" t="s">
        <v>686</v>
      </c>
    </row>
    <row r="620" spans="15:38">
      <c r="O620" t="s">
        <v>44</v>
      </c>
      <c r="P620" t="s">
        <v>43</v>
      </c>
      <c r="Q620" t="s">
        <v>3</v>
      </c>
      <c r="R620" t="s">
        <v>60</v>
      </c>
      <c r="S620">
        <v>2024.11</v>
      </c>
      <c r="T620">
        <v>1441.28</v>
      </c>
      <c r="U620">
        <v>2622.8528999999999</v>
      </c>
      <c r="V620">
        <v>2622.8528999999999</v>
      </c>
      <c r="AA620" s="29" t="s">
        <v>43</v>
      </c>
      <c r="AB620">
        <v>31199</v>
      </c>
      <c r="AC620">
        <v>80</v>
      </c>
      <c r="AD620">
        <v>4</v>
      </c>
      <c r="AE620">
        <v>91.85</v>
      </c>
      <c r="AF620">
        <v>91.85</v>
      </c>
      <c r="AG620" s="29" t="s">
        <v>685</v>
      </c>
      <c r="AH620" s="29" t="s">
        <v>825</v>
      </c>
      <c r="AI620" s="29" t="s">
        <v>727</v>
      </c>
      <c r="AJ620" s="29" t="s">
        <v>826</v>
      </c>
      <c r="AL620" s="29" t="s">
        <v>686</v>
      </c>
    </row>
    <row r="621" spans="15:38">
      <c r="O621" t="s">
        <v>44</v>
      </c>
      <c r="P621" t="s">
        <v>43</v>
      </c>
      <c r="Q621" t="s">
        <v>3</v>
      </c>
      <c r="R621" t="s">
        <v>60</v>
      </c>
      <c r="S621">
        <v>2024.14</v>
      </c>
      <c r="T621">
        <v>1441.28</v>
      </c>
      <c r="U621">
        <v>2622.8528999999999</v>
      </c>
      <c r="V621">
        <v>2622.8528999999999</v>
      </c>
      <c r="AA621" s="29" t="s">
        <v>43</v>
      </c>
      <c r="AB621">
        <v>31199</v>
      </c>
      <c r="AC621">
        <v>80</v>
      </c>
      <c r="AD621">
        <v>4</v>
      </c>
      <c r="AE621">
        <v>20</v>
      </c>
      <c r="AF621">
        <v>20</v>
      </c>
      <c r="AG621" s="29" t="s">
        <v>685</v>
      </c>
      <c r="AH621" s="29" t="s">
        <v>804</v>
      </c>
      <c r="AI621" s="29" t="s">
        <v>727</v>
      </c>
      <c r="AJ621" s="29" t="s">
        <v>827</v>
      </c>
      <c r="AL621" s="29" t="s">
        <v>686</v>
      </c>
    </row>
    <row r="622" spans="15:38">
      <c r="O622" t="s">
        <v>44</v>
      </c>
      <c r="P622" t="s">
        <v>43</v>
      </c>
      <c r="Q622" t="s">
        <v>3</v>
      </c>
      <c r="R622" t="s">
        <v>60</v>
      </c>
      <c r="S622">
        <v>2024.17</v>
      </c>
      <c r="T622">
        <v>1441.28</v>
      </c>
      <c r="U622">
        <v>2622.8528999999999</v>
      </c>
      <c r="V622">
        <v>2622.8528999999999</v>
      </c>
      <c r="AA622" s="29" t="s">
        <v>43</v>
      </c>
      <c r="AB622">
        <v>31199</v>
      </c>
      <c r="AC622">
        <v>80</v>
      </c>
      <c r="AD622">
        <v>4</v>
      </c>
      <c r="AE622">
        <v>38.880000000000003</v>
      </c>
      <c r="AF622">
        <v>38.880000000000003</v>
      </c>
      <c r="AG622" s="29" t="s">
        <v>685</v>
      </c>
      <c r="AH622" s="29" t="s">
        <v>828</v>
      </c>
      <c r="AI622" s="29" t="s">
        <v>727</v>
      </c>
      <c r="AJ622" s="29" t="s">
        <v>829</v>
      </c>
      <c r="AL622" s="29" t="s">
        <v>686</v>
      </c>
    </row>
    <row r="623" spans="15:38">
      <c r="O623" t="s">
        <v>44</v>
      </c>
      <c r="P623" t="s">
        <v>43</v>
      </c>
      <c r="Q623" t="s">
        <v>3</v>
      </c>
      <c r="R623" t="s">
        <v>60</v>
      </c>
      <c r="S623">
        <v>2024.18</v>
      </c>
      <c r="T623">
        <v>6105.12</v>
      </c>
      <c r="U623">
        <v>2622.8528999999999</v>
      </c>
      <c r="V623">
        <v>2622.8528999999999</v>
      </c>
      <c r="AA623" s="29" t="s">
        <v>43</v>
      </c>
      <c r="AB623">
        <v>31199</v>
      </c>
      <c r="AC623">
        <v>80</v>
      </c>
      <c r="AD623">
        <v>4</v>
      </c>
      <c r="AE623">
        <v>27.9</v>
      </c>
      <c r="AF623">
        <v>27.9</v>
      </c>
      <c r="AG623" s="29" t="s">
        <v>685</v>
      </c>
      <c r="AH623" s="29" t="s">
        <v>830</v>
      </c>
      <c r="AI623" s="29" t="s">
        <v>727</v>
      </c>
      <c r="AJ623" s="29" t="s">
        <v>831</v>
      </c>
      <c r="AL623" s="29" t="s">
        <v>686</v>
      </c>
    </row>
    <row r="624" spans="15:38">
      <c r="O624" t="s">
        <v>44</v>
      </c>
      <c r="P624" t="s">
        <v>43</v>
      </c>
      <c r="Q624" t="s">
        <v>3</v>
      </c>
      <c r="R624" t="s">
        <v>60</v>
      </c>
      <c r="S624">
        <v>2024.19</v>
      </c>
      <c r="T624">
        <v>2027.2</v>
      </c>
      <c r="U624">
        <v>2622.8528999999999</v>
      </c>
      <c r="V624">
        <v>2622.8528999999999</v>
      </c>
      <c r="AA624" s="29" t="s">
        <v>43</v>
      </c>
      <c r="AB624">
        <v>31199</v>
      </c>
      <c r="AC624">
        <v>80</v>
      </c>
      <c r="AD624">
        <v>4</v>
      </c>
      <c r="AE624">
        <v>105</v>
      </c>
      <c r="AF624">
        <v>105</v>
      </c>
      <c r="AG624" s="29" t="s">
        <v>685</v>
      </c>
      <c r="AH624" s="29" t="s">
        <v>832</v>
      </c>
      <c r="AI624" s="29" t="s">
        <v>727</v>
      </c>
      <c r="AJ624" s="29" t="s">
        <v>833</v>
      </c>
      <c r="AL624" s="29" t="s">
        <v>686</v>
      </c>
    </row>
    <row r="625" spans="15:38">
      <c r="O625" t="s">
        <v>44</v>
      </c>
      <c r="P625" t="s">
        <v>43</v>
      </c>
      <c r="Q625" t="s">
        <v>3</v>
      </c>
      <c r="R625" t="s">
        <v>60</v>
      </c>
      <c r="S625">
        <v>2024.2</v>
      </c>
      <c r="T625">
        <v>2027.2</v>
      </c>
      <c r="U625">
        <v>2622.8528999999999</v>
      </c>
      <c r="V625">
        <v>2622.8528999999999</v>
      </c>
      <c r="AA625" s="29" t="s">
        <v>43</v>
      </c>
      <c r="AB625">
        <v>31199</v>
      </c>
      <c r="AC625">
        <v>80</v>
      </c>
      <c r="AD625">
        <v>4</v>
      </c>
      <c r="AE625">
        <v>0</v>
      </c>
      <c r="AF625">
        <v>0</v>
      </c>
      <c r="AG625" s="29" t="s">
        <v>685</v>
      </c>
      <c r="AH625" s="29" t="s">
        <v>693</v>
      </c>
      <c r="AI625" s="29" t="s">
        <v>727</v>
      </c>
      <c r="AJ625" s="29" t="s">
        <v>824</v>
      </c>
      <c r="AL625" s="29" t="s">
        <v>686</v>
      </c>
    </row>
    <row r="626" spans="15:38">
      <c r="O626" t="s">
        <v>44</v>
      </c>
      <c r="P626" t="s">
        <v>43</v>
      </c>
      <c r="Q626" t="s">
        <v>3</v>
      </c>
      <c r="R626" t="s">
        <v>60</v>
      </c>
      <c r="S626">
        <v>2024.21</v>
      </c>
      <c r="T626">
        <v>2027.2</v>
      </c>
      <c r="U626">
        <v>2622.8528999999999</v>
      </c>
      <c r="V626">
        <v>2622.8528999999999</v>
      </c>
      <c r="AA626" s="29" t="s">
        <v>43</v>
      </c>
      <c r="AB626">
        <v>31199</v>
      </c>
      <c r="AC626">
        <v>80</v>
      </c>
      <c r="AD626">
        <v>4</v>
      </c>
      <c r="AE626">
        <v>52.49</v>
      </c>
      <c r="AF626">
        <v>52.49</v>
      </c>
      <c r="AG626" s="29" t="s">
        <v>685</v>
      </c>
      <c r="AH626" s="29" t="s">
        <v>834</v>
      </c>
      <c r="AI626" s="29" t="s">
        <v>727</v>
      </c>
      <c r="AJ626" s="29" t="s">
        <v>835</v>
      </c>
      <c r="AL626" s="29" t="s">
        <v>686</v>
      </c>
    </row>
    <row r="627" spans="15:38">
      <c r="O627" t="s">
        <v>44</v>
      </c>
      <c r="P627" t="s">
        <v>43</v>
      </c>
      <c r="Q627" t="s">
        <v>3</v>
      </c>
      <c r="R627" t="s">
        <v>60</v>
      </c>
      <c r="S627">
        <v>2024.28</v>
      </c>
      <c r="T627">
        <v>2320.16</v>
      </c>
      <c r="U627">
        <v>2622.8528999999999</v>
      </c>
      <c r="V627">
        <v>2622.8528999999999</v>
      </c>
      <c r="AA627" s="29" t="s">
        <v>43</v>
      </c>
      <c r="AB627">
        <v>31199</v>
      </c>
      <c r="AC627">
        <v>80</v>
      </c>
      <c r="AD627">
        <v>4</v>
      </c>
      <c r="AE627">
        <v>287.8</v>
      </c>
      <c r="AF627">
        <v>287.8</v>
      </c>
      <c r="AG627" s="29" t="s">
        <v>685</v>
      </c>
      <c r="AH627" s="29" t="s">
        <v>836</v>
      </c>
      <c r="AI627" s="29" t="s">
        <v>727</v>
      </c>
      <c r="AJ627" s="29" t="s">
        <v>837</v>
      </c>
      <c r="AL627" s="29" t="s">
        <v>686</v>
      </c>
    </row>
    <row r="628" spans="15:38">
      <c r="O628" t="s">
        <v>44</v>
      </c>
      <c r="P628" t="s">
        <v>43</v>
      </c>
      <c r="Q628" t="s">
        <v>3</v>
      </c>
      <c r="R628" t="s">
        <v>60</v>
      </c>
      <c r="S628">
        <v>2024.38</v>
      </c>
      <c r="T628">
        <v>6105.12</v>
      </c>
      <c r="U628">
        <v>2622.8528999999999</v>
      </c>
      <c r="V628">
        <v>2622.8528999999999</v>
      </c>
      <c r="AA628" s="29" t="s">
        <v>43</v>
      </c>
      <c r="AB628">
        <v>31199</v>
      </c>
      <c r="AC628">
        <v>80</v>
      </c>
      <c r="AD628">
        <v>4</v>
      </c>
      <c r="AE628">
        <v>33.6</v>
      </c>
      <c r="AF628">
        <v>33.6</v>
      </c>
      <c r="AG628" s="29" t="s">
        <v>685</v>
      </c>
      <c r="AH628" s="29" t="s">
        <v>739</v>
      </c>
      <c r="AI628" s="29" t="s">
        <v>727</v>
      </c>
      <c r="AJ628" s="29" t="s">
        <v>838</v>
      </c>
      <c r="AL628" s="29" t="s">
        <v>686</v>
      </c>
    </row>
    <row r="629" spans="15:38">
      <c r="O629" t="s">
        <v>44</v>
      </c>
      <c r="P629" t="s">
        <v>43</v>
      </c>
      <c r="Q629" t="s">
        <v>3</v>
      </c>
      <c r="R629" t="s">
        <v>60</v>
      </c>
      <c r="S629">
        <v>2024.39</v>
      </c>
      <c r="T629">
        <v>4663.84</v>
      </c>
      <c r="U629">
        <v>2622.8528999999999</v>
      </c>
      <c r="V629">
        <v>2622.8528999999999</v>
      </c>
      <c r="AA629" s="29" t="s">
        <v>43</v>
      </c>
      <c r="AB629">
        <v>31199</v>
      </c>
      <c r="AC629">
        <v>80</v>
      </c>
      <c r="AD629">
        <v>4</v>
      </c>
      <c r="AE629">
        <v>274</v>
      </c>
      <c r="AF629">
        <v>274</v>
      </c>
      <c r="AG629" s="29" t="s">
        <v>685</v>
      </c>
      <c r="AH629" s="29" t="s">
        <v>839</v>
      </c>
      <c r="AI629" s="29" t="s">
        <v>727</v>
      </c>
      <c r="AJ629" s="29" t="s">
        <v>840</v>
      </c>
      <c r="AL629" s="29" t="s">
        <v>686</v>
      </c>
    </row>
    <row r="630" spans="15:38">
      <c r="O630" t="s">
        <v>44</v>
      </c>
      <c r="P630" t="s">
        <v>43</v>
      </c>
      <c r="Q630" t="s">
        <v>3</v>
      </c>
      <c r="R630" t="s">
        <v>60</v>
      </c>
      <c r="S630">
        <v>2024.41</v>
      </c>
      <c r="T630">
        <v>4663.84</v>
      </c>
      <c r="U630">
        <v>2622.8528999999999</v>
      </c>
      <c r="V630">
        <v>2622.8528999999999</v>
      </c>
      <c r="AA630" s="29" t="s">
        <v>43</v>
      </c>
      <c r="AB630">
        <v>31199</v>
      </c>
      <c r="AC630">
        <v>80</v>
      </c>
      <c r="AD630">
        <v>4</v>
      </c>
      <c r="AE630">
        <v>10</v>
      </c>
      <c r="AF630">
        <v>10</v>
      </c>
      <c r="AG630" s="29" t="s">
        <v>685</v>
      </c>
      <c r="AH630" s="29" t="s">
        <v>841</v>
      </c>
      <c r="AI630" s="29" t="s">
        <v>727</v>
      </c>
      <c r="AJ630" s="29" t="s">
        <v>842</v>
      </c>
      <c r="AL630" s="29" t="s">
        <v>686</v>
      </c>
    </row>
    <row r="631" spans="15:38">
      <c r="O631" t="s">
        <v>44</v>
      </c>
      <c r="P631" t="s">
        <v>43</v>
      </c>
      <c r="Q631" t="s">
        <v>3</v>
      </c>
      <c r="R631" t="s">
        <v>60</v>
      </c>
      <c r="S631">
        <v>2024.43</v>
      </c>
      <c r="T631">
        <v>4663.84</v>
      </c>
      <c r="U631">
        <v>2622.8528999999999</v>
      </c>
      <c r="V631">
        <v>2622.8528999999999</v>
      </c>
      <c r="AA631" s="29" t="s">
        <v>43</v>
      </c>
      <c r="AB631">
        <v>31199</v>
      </c>
      <c r="AC631">
        <v>80</v>
      </c>
      <c r="AD631">
        <v>4</v>
      </c>
      <c r="AE631">
        <v>185</v>
      </c>
      <c r="AF631">
        <v>185</v>
      </c>
      <c r="AG631" s="29" t="s">
        <v>685</v>
      </c>
      <c r="AH631" s="29" t="s">
        <v>843</v>
      </c>
      <c r="AI631" s="29" t="s">
        <v>727</v>
      </c>
      <c r="AJ631" s="29" t="s">
        <v>844</v>
      </c>
      <c r="AL631" s="29" t="s">
        <v>686</v>
      </c>
    </row>
    <row r="632" spans="15:38">
      <c r="O632" t="s">
        <v>44</v>
      </c>
      <c r="P632" t="s">
        <v>43</v>
      </c>
      <c r="Q632" t="s">
        <v>3</v>
      </c>
      <c r="R632" t="s">
        <v>60</v>
      </c>
      <c r="S632">
        <v>2024.44</v>
      </c>
      <c r="T632">
        <v>4663.84</v>
      </c>
      <c r="U632">
        <v>2622.8528999999999</v>
      </c>
      <c r="V632">
        <v>4663.8401000000003</v>
      </c>
      <c r="AA632" s="29" t="s">
        <v>43</v>
      </c>
      <c r="AB632">
        <v>31199</v>
      </c>
      <c r="AC632">
        <v>80</v>
      </c>
      <c r="AD632">
        <v>4</v>
      </c>
      <c r="AE632">
        <v>52.8</v>
      </c>
      <c r="AF632">
        <v>52.8</v>
      </c>
      <c r="AG632" s="29" t="s">
        <v>685</v>
      </c>
      <c r="AH632" s="29" t="s">
        <v>845</v>
      </c>
      <c r="AI632" s="29" t="s">
        <v>727</v>
      </c>
      <c r="AJ632" s="29" t="s">
        <v>846</v>
      </c>
      <c r="AL632" s="29" t="s">
        <v>686</v>
      </c>
    </row>
    <row r="633" spans="15:38">
      <c r="O633" t="s">
        <v>44</v>
      </c>
      <c r="P633" t="s">
        <v>43</v>
      </c>
      <c r="Q633" t="s">
        <v>3</v>
      </c>
      <c r="R633" t="s">
        <v>60</v>
      </c>
      <c r="S633">
        <v>2024.45</v>
      </c>
      <c r="T633">
        <v>4663.84</v>
      </c>
      <c r="U633">
        <v>2622.8528999999999</v>
      </c>
      <c r="V633">
        <v>4663.8401000000003</v>
      </c>
      <c r="AA633" s="29" t="s">
        <v>43</v>
      </c>
      <c r="AB633">
        <v>31199</v>
      </c>
      <c r="AC633">
        <v>80</v>
      </c>
      <c r="AD633">
        <v>4</v>
      </c>
      <c r="AE633">
        <v>204.48</v>
      </c>
      <c r="AF633">
        <v>204.48</v>
      </c>
      <c r="AG633" s="29" t="s">
        <v>685</v>
      </c>
      <c r="AH633" s="29" t="s">
        <v>847</v>
      </c>
      <c r="AI633" s="29" t="s">
        <v>727</v>
      </c>
      <c r="AJ633" s="29" t="s">
        <v>848</v>
      </c>
      <c r="AL633" s="29" t="s">
        <v>686</v>
      </c>
    </row>
    <row r="634" spans="15:38">
      <c r="O634" t="s">
        <v>44</v>
      </c>
      <c r="P634" t="s">
        <v>43</v>
      </c>
      <c r="Q634" t="s">
        <v>3</v>
      </c>
      <c r="R634" t="s">
        <v>60</v>
      </c>
      <c r="S634">
        <v>2024.47</v>
      </c>
      <c r="T634">
        <v>4663.84</v>
      </c>
      <c r="U634">
        <v>2622.8528999999999</v>
      </c>
      <c r="V634">
        <v>4663.8401000000003</v>
      </c>
      <c r="AA634" s="29" t="s">
        <v>43</v>
      </c>
      <c r="AB634">
        <v>31199</v>
      </c>
      <c r="AC634">
        <v>80</v>
      </c>
      <c r="AD634">
        <v>4</v>
      </c>
      <c r="AE634">
        <v>118.72</v>
      </c>
      <c r="AF634">
        <v>118.72</v>
      </c>
      <c r="AG634" s="29" t="s">
        <v>685</v>
      </c>
      <c r="AH634" s="29" t="s">
        <v>849</v>
      </c>
      <c r="AI634" s="29" t="s">
        <v>727</v>
      </c>
      <c r="AJ634" s="29" t="s">
        <v>850</v>
      </c>
      <c r="AL634" s="29" t="s">
        <v>686</v>
      </c>
    </row>
    <row r="635" spans="15:38">
      <c r="O635" t="s">
        <v>44</v>
      </c>
      <c r="P635" t="s">
        <v>43</v>
      </c>
      <c r="Q635" t="s">
        <v>3</v>
      </c>
      <c r="R635" t="s">
        <v>60</v>
      </c>
      <c r="S635">
        <v>2024.48</v>
      </c>
      <c r="T635">
        <v>4663.84</v>
      </c>
      <c r="U635">
        <v>2622.8528999999999</v>
      </c>
      <c r="V635">
        <v>4663.8401000000003</v>
      </c>
      <c r="AA635" s="29" t="s">
        <v>43</v>
      </c>
      <c r="AB635">
        <v>31199</v>
      </c>
      <c r="AC635">
        <v>80</v>
      </c>
      <c r="AD635">
        <v>4</v>
      </c>
      <c r="AE635">
        <v>204.48</v>
      </c>
      <c r="AF635">
        <v>204.48</v>
      </c>
      <c r="AG635" s="29" t="s">
        <v>685</v>
      </c>
      <c r="AH635" s="29" t="s">
        <v>847</v>
      </c>
      <c r="AI635" s="29" t="s">
        <v>727</v>
      </c>
      <c r="AJ635" s="29" t="s">
        <v>851</v>
      </c>
      <c r="AL635" s="29" t="s">
        <v>686</v>
      </c>
    </row>
    <row r="636" spans="15:38">
      <c r="O636" t="s">
        <v>44</v>
      </c>
      <c r="P636" t="s">
        <v>43</v>
      </c>
      <c r="Q636" t="s">
        <v>3</v>
      </c>
      <c r="R636" t="s">
        <v>60</v>
      </c>
      <c r="S636">
        <v>2024.49</v>
      </c>
      <c r="T636">
        <v>4663.84</v>
      </c>
      <c r="U636">
        <v>2622.8528999999999</v>
      </c>
      <c r="V636">
        <v>4663.8401000000003</v>
      </c>
      <c r="AA636" s="29" t="s">
        <v>43</v>
      </c>
      <c r="AB636">
        <v>31199</v>
      </c>
      <c r="AC636">
        <v>80</v>
      </c>
      <c r="AD636">
        <v>4</v>
      </c>
      <c r="AE636">
        <v>484.34</v>
      </c>
      <c r="AF636">
        <v>484.34</v>
      </c>
      <c r="AG636" s="29" t="s">
        <v>685</v>
      </c>
      <c r="AH636" s="29" t="s">
        <v>852</v>
      </c>
      <c r="AI636" s="29" t="s">
        <v>727</v>
      </c>
      <c r="AJ636" s="29" t="s">
        <v>853</v>
      </c>
      <c r="AL636" s="29" t="s">
        <v>686</v>
      </c>
    </row>
    <row r="637" spans="15:38">
      <c r="O637" t="s">
        <v>44</v>
      </c>
      <c r="P637" t="s">
        <v>43</v>
      </c>
      <c r="Q637" t="s">
        <v>3</v>
      </c>
      <c r="R637" t="s">
        <v>60</v>
      </c>
      <c r="S637">
        <v>2024.52</v>
      </c>
      <c r="T637">
        <v>4663.84</v>
      </c>
      <c r="U637">
        <v>2622.8528999999999</v>
      </c>
      <c r="V637">
        <v>4663.8401000000003</v>
      </c>
      <c r="AA637" s="29" t="s">
        <v>43</v>
      </c>
      <c r="AB637">
        <v>31199</v>
      </c>
      <c r="AC637">
        <v>80</v>
      </c>
      <c r="AD637">
        <v>4</v>
      </c>
      <c r="AE637">
        <v>496.92</v>
      </c>
      <c r="AF637">
        <v>496.92</v>
      </c>
      <c r="AG637" s="29" t="s">
        <v>685</v>
      </c>
      <c r="AH637" s="29" t="s">
        <v>854</v>
      </c>
      <c r="AI637" s="29" t="s">
        <v>727</v>
      </c>
      <c r="AJ637" s="29" t="s">
        <v>855</v>
      </c>
      <c r="AL637" s="29" t="s">
        <v>686</v>
      </c>
    </row>
    <row r="638" spans="15:38">
      <c r="O638" t="s">
        <v>44</v>
      </c>
      <c r="P638" t="s">
        <v>43</v>
      </c>
      <c r="Q638" t="s">
        <v>3</v>
      </c>
      <c r="R638" t="s">
        <v>60</v>
      </c>
      <c r="S638">
        <v>2025.03</v>
      </c>
      <c r="T638">
        <v>4663.84</v>
      </c>
      <c r="U638">
        <v>2622.8528999999999</v>
      </c>
      <c r="V638">
        <v>4663.8401000000003</v>
      </c>
      <c r="AA638" s="29" t="s">
        <v>43</v>
      </c>
      <c r="AB638">
        <v>31199</v>
      </c>
      <c r="AC638">
        <v>80</v>
      </c>
      <c r="AD638">
        <v>4</v>
      </c>
      <c r="AE638">
        <v>684.15</v>
      </c>
      <c r="AF638">
        <v>684.15</v>
      </c>
      <c r="AG638" s="29" t="s">
        <v>685</v>
      </c>
      <c r="AH638" s="29" t="s">
        <v>856</v>
      </c>
      <c r="AI638" s="29" t="s">
        <v>727</v>
      </c>
      <c r="AJ638" s="29" t="s">
        <v>857</v>
      </c>
      <c r="AL638" s="29" t="s">
        <v>686</v>
      </c>
    </row>
    <row r="639" spans="15:38">
      <c r="O639" t="s">
        <v>44</v>
      </c>
      <c r="P639" t="s">
        <v>43</v>
      </c>
      <c r="Q639" t="s">
        <v>3</v>
      </c>
      <c r="R639" t="s">
        <v>60</v>
      </c>
      <c r="S639">
        <v>2025.12</v>
      </c>
      <c r="T639">
        <v>4663.84</v>
      </c>
      <c r="U639">
        <v>2622.8528999999999</v>
      </c>
      <c r="V639">
        <v>4663.8401000000003</v>
      </c>
      <c r="AA639" s="29" t="s">
        <v>43</v>
      </c>
      <c r="AB639">
        <v>31199</v>
      </c>
      <c r="AC639">
        <v>80</v>
      </c>
      <c r="AD639">
        <v>4</v>
      </c>
      <c r="AE639">
        <v>32.700000000000003</v>
      </c>
      <c r="AF639">
        <v>32.700000000000003</v>
      </c>
      <c r="AG639" s="29" t="s">
        <v>685</v>
      </c>
      <c r="AH639" s="29" t="s">
        <v>858</v>
      </c>
      <c r="AI639" s="29" t="s">
        <v>727</v>
      </c>
      <c r="AJ639" s="29" t="s">
        <v>859</v>
      </c>
      <c r="AL639" s="29" t="s">
        <v>686</v>
      </c>
    </row>
    <row r="640" spans="15:38">
      <c r="O640" t="s">
        <v>44</v>
      </c>
      <c r="P640" t="s">
        <v>43</v>
      </c>
      <c r="Q640" t="s">
        <v>3</v>
      </c>
      <c r="R640" t="s">
        <v>54</v>
      </c>
      <c r="S640">
        <v>2023.44</v>
      </c>
      <c r="T640">
        <v>0</v>
      </c>
      <c r="U640">
        <v>3593.9441000000002</v>
      </c>
      <c r="V640">
        <v>3593.9441000000002</v>
      </c>
      <c r="AA640" s="29" t="s">
        <v>43</v>
      </c>
      <c r="AB640">
        <v>31199</v>
      </c>
      <c r="AC640">
        <v>80</v>
      </c>
      <c r="AD640">
        <v>4</v>
      </c>
      <c r="AE640">
        <v>7.02</v>
      </c>
      <c r="AF640">
        <v>7.02</v>
      </c>
      <c r="AG640" s="29" t="s">
        <v>685</v>
      </c>
      <c r="AH640" s="29" t="s">
        <v>860</v>
      </c>
      <c r="AI640" s="29" t="s">
        <v>727</v>
      </c>
      <c r="AJ640" s="29" t="s">
        <v>861</v>
      </c>
      <c r="AL640" s="29" t="s">
        <v>686</v>
      </c>
    </row>
    <row r="641" spans="15:38">
      <c r="O641" t="s">
        <v>44</v>
      </c>
      <c r="P641" t="s">
        <v>43</v>
      </c>
      <c r="Q641" t="s">
        <v>3</v>
      </c>
      <c r="R641" t="s">
        <v>54</v>
      </c>
      <c r="S641">
        <v>2024.44</v>
      </c>
      <c r="T641">
        <v>0</v>
      </c>
      <c r="U641">
        <v>3593.9441000000002</v>
      </c>
      <c r="V641">
        <v>0</v>
      </c>
      <c r="AA641" s="29" t="s">
        <v>43</v>
      </c>
      <c r="AB641">
        <v>31199</v>
      </c>
      <c r="AC641">
        <v>80</v>
      </c>
      <c r="AD641">
        <v>4</v>
      </c>
      <c r="AE641">
        <v>4.9000000000000004</v>
      </c>
      <c r="AF641">
        <v>4.9000000000000004</v>
      </c>
      <c r="AG641" s="29" t="s">
        <v>685</v>
      </c>
      <c r="AH641" s="29" t="s">
        <v>862</v>
      </c>
      <c r="AI641" s="29" t="s">
        <v>727</v>
      </c>
      <c r="AJ641" s="29" t="s">
        <v>863</v>
      </c>
      <c r="AL641" s="29" t="s">
        <v>686</v>
      </c>
    </row>
    <row r="642" spans="15:38">
      <c r="O642" t="s">
        <v>44</v>
      </c>
      <c r="P642" t="s">
        <v>43</v>
      </c>
      <c r="Q642" t="s">
        <v>3</v>
      </c>
      <c r="R642" t="s">
        <v>66</v>
      </c>
      <c r="S642">
        <v>2023.44</v>
      </c>
      <c r="T642">
        <v>0</v>
      </c>
      <c r="U642">
        <v>41305.073499999999</v>
      </c>
      <c r="V642">
        <v>41305.073499999999</v>
      </c>
      <c r="AA642" s="29" t="s">
        <v>43</v>
      </c>
      <c r="AB642">
        <v>31199</v>
      </c>
      <c r="AC642">
        <v>80</v>
      </c>
      <c r="AD642">
        <v>4</v>
      </c>
      <c r="AE642">
        <v>3</v>
      </c>
      <c r="AF642">
        <v>3</v>
      </c>
      <c r="AG642" s="29" t="s">
        <v>685</v>
      </c>
      <c r="AH642" s="29" t="s">
        <v>864</v>
      </c>
      <c r="AI642" s="29" t="s">
        <v>727</v>
      </c>
      <c r="AJ642" s="29" t="s">
        <v>865</v>
      </c>
      <c r="AL642" s="29" t="s">
        <v>686</v>
      </c>
    </row>
    <row r="643" spans="15:38">
      <c r="O643" t="s">
        <v>44</v>
      </c>
      <c r="P643" t="s">
        <v>43</v>
      </c>
      <c r="Q643" t="s">
        <v>3</v>
      </c>
      <c r="R643" t="s">
        <v>66</v>
      </c>
      <c r="S643">
        <v>2023.51</v>
      </c>
      <c r="T643">
        <v>24441.78</v>
      </c>
      <c r="U643">
        <v>41305.073499999999</v>
      </c>
      <c r="V643">
        <v>41305.073499999999</v>
      </c>
      <c r="AA643" s="29" t="s">
        <v>43</v>
      </c>
      <c r="AB643">
        <v>31199</v>
      </c>
      <c r="AC643">
        <v>80</v>
      </c>
      <c r="AD643">
        <v>4</v>
      </c>
      <c r="AE643">
        <v>966.42</v>
      </c>
      <c r="AF643">
        <v>966.42</v>
      </c>
      <c r="AG643" s="29" t="s">
        <v>685</v>
      </c>
      <c r="AH643" s="29" t="s">
        <v>866</v>
      </c>
      <c r="AI643" s="29" t="s">
        <v>727</v>
      </c>
      <c r="AJ643" s="29" t="s">
        <v>867</v>
      </c>
      <c r="AL643" s="29" t="s">
        <v>686</v>
      </c>
    </row>
    <row r="644" spans="15:38">
      <c r="O644" t="s">
        <v>44</v>
      </c>
      <c r="P644" t="s">
        <v>43</v>
      </c>
      <c r="Q644" t="s">
        <v>3</v>
      </c>
      <c r="R644" t="s">
        <v>66</v>
      </c>
      <c r="S644">
        <v>2024.06</v>
      </c>
      <c r="T644">
        <v>24560.400000000001</v>
      </c>
      <c r="U644">
        <v>41305.073499999999</v>
      </c>
      <c r="V644">
        <v>41305.073499999999</v>
      </c>
      <c r="AA644" s="29" t="s">
        <v>43</v>
      </c>
      <c r="AB644">
        <v>31199</v>
      </c>
      <c r="AC644">
        <v>80</v>
      </c>
      <c r="AD644">
        <v>4</v>
      </c>
      <c r="AE644">
        <v>484.34</v>
      </c>
      <c r="AF644">
        <v>484.34</v>
      </c>
      <c r="AG644" s="29" t="s">
        <v>685</v>
      </c>
      <c r="AH644" s="29" t="s">
        <v>852</v>
      </c>
      <c r="AI644" s="29" t="s">
        <v>727</v>
      </c>
      <c r="AJ644" s="29" t="s">
        <v>853</v>
      </c>
      <c r="AL644" s="29" t="s">
        <v>686</v>
      </c>
    </row>
    <row r="645" spans="15:38">
      <c r="O645" t="s">
        <v>44</v>
      </c>
      <c r="P645" t="s">
        <v>43</v>
      </c>
      <c r="Q645" t="s">
        <v>3</v>
      </c>
      <c r="R645" t="s">
        <v>66</v>
      </c>
      <c r="S645">
        <v>2024.07</v>
      </c>
      <c r="T645">
        <v>24560.400000000001</v>
      </c>
      <c r="U645">
        <v>41305.073499999999</v>
      </c>
      <c r="V645">
        <v>41305.073499999999</v>
      </c>
      <c r="AA645" s="29" t="s">
        <v>43</v>
      </c>
      <c r="AB645">
        <v>31199</v>
      </c>
      <c r="AC645">
        <v>80</v>
      </c>
      <c r="AD645">
        <v>4</v>
      </c>
      <c r="AE645">
        <v>25.92</v>
      </c>
      <c r="AF645">
        <v>25.92</v>
      </c>
      <c r="AG645" s="29" t="s">
        <v>685</v>
      </c>
      <c r="AH645" s="29" t="s">
        <v>868</v>
      </c>
      <c r="AI645" s="29" t="s">
        <v>727</v>
      </c>
      <c r="AJ645" s="29" t="s">
        <v>869</v>
      </c>
      <c r="AL645" s="29" t="s">
        <v>686</v>
      </c>
    </row>
    <row r="646" spans="15:38">
      <c r="O646" t="s">
        <v>44</v>
      </c>
      <c r="P646" t="s">
        <v>43</v>
      </c>
      <c r="Q646" t="s">
        <v>3</v>
      </c>
      <c r="R646" t="s">
        <v>66</v>
      </c>
      <c r="S646">
        <v>2024.08</v>
      </c>
      <c r="T646">
        <v>24560.400000000001</v>
      </c>
      <c r="U646">
        <v>41305.073499999999</v>
      </c>
      <c r="V646">
        <v>41305.073499999999</v>
      </c>
      <c r="AA646" s="29" t="s">
        <v>43</v>
      </c>
      <c r="AB646">
        <v>31199</v>
      </c>
      <c r="AC646">
        <v>80</v>
      </c>
      <c r="AD646">
        <v>4</v>
      </c>
      <c r="AE646">
        <v>28.5</v>
      </c>
      <c r="AF646">
        <v>28.5</v>
      </c>
      <c r="AG646" s="29" t="s">
        <v>685</v>
      </c>
      <c r="AH646" s="29" t="s">
        <v>870</v>
      </c>
      <c r="AI646" s="29" t="s">
        <v>727</v>
      </c>
      <c r="AJ646" s="29" t="s">
        <v>871</v>
      </c>
      <c r="AL646" s="29" t="s">
        <v>686</v>
      </c>
    </row>
    <row r="647" spans="15:38">
      <c r="O647" t="s">
        <v>44</v>
      </c>
      <c r="P647" t="s">
        <v>43</v>
      </c>
      <c r="Q647" t="s">
        <v>3</v>
      </c>
      <c r="R647" t="s">
        <v>66</v>
      </c>
      <c r="S647">
        <v>2024.09</v>
      </c>
      <c r="T647">
        <v>24718.560000000001</v>
      </c>
      <c r="U647">
        <v>41305.073499999999</v>
      </c>
      <c r="V647">
        <v>41305.073499999999</v>
      </c>
      <c r="AA647" s="29" t="s">
        <v>43</v>
      </c>
      <c r="AB647">
        <v>31199</v>
      </c>
      <c r="AC647">
        <v>80</v>
      </c>
      <c r="AD647">
        <v>4</v>
      </c>
      <c r="AE647">
        <v>28.5</v>
      </c>
      <c r="AF647">
        <v>28.5</v>
      </c>
      <c r="AG647" s="29" t="s">
        <v>685</v>
      </c>
      <c r="AH647" s="29" t="s">
        <v>870</v>
      </c>
      <c r="AI647" s="29" t="s">
        <v>727</v>
      </c>
      <c r="AJ647" s="29" t="s">
        <v>871</v>
      </c>
      <c r="AL647" s="29" t="s">
        <v>686</v>
      </c>
    </row>
    <row r="648" spans="15:38">
      <c r="O648" t="s">
        <v>44</v>
      </c>
      <c r="P648" t="s">
        <v>43</v>
      </c>
      <c r="Q648" t="s">
        <v>3</v>
      </c>
      <c r="R648" t="s">
        <v>66</v>
      </c>
      <c r="S648">
        <v>2024.1</v>
      </c>
      <c r="T648">
        <v>25054.65</v>
      </c>
      <c r="U648">
        <v>41305.073499999999</v>
      </c>
      <c r="V648">
        <v>41305.073499999999</v>
      </c>
      <c r="AA648" s="29" t="s">
        <v>43</v>
      </c>
      <c r="AB648">
        <v>31199</v>
      </c>
      <c r="AC648">
        <v>80</v>
      </c>
      <c r="AD648">
        <v>4</v>
      </c>
      <c r="AE648">
        <v>-22.8</v>
      </c>
      <c r="AF648">
        <v>-22.8</v>
      </c>
      <c r="AG648" s="29" t="s">
        <v>685</v>
      </c>
      <c r="AH648" s="29" t="s">
        <v>872</v>
      </c>
      <c r="AI648" s="29" t="s">
        <v>727</v>
      </c>
      <c r="AJ648" s="29" t="s">
        <v>873</v>
      </c>
      <c r="AL648" s="29" t="s">
        <v>686</v>
      </c>
    </row>
    <row r="649" spans="15:38">
      <c r="O649" t="s">
        <v>44</v>
      </c>
      <c r="P649" t="s">
        <v>43</v>
      </c>
      <c r="Q649" t="s">
        <v>3</v>
      </c>
      <c r="R649" t="s">
        <v>66</v>
      </c>
      <c r="S649">
        <v>2024.11</v>
      </c>
      <c r="T649">
        <v>25113.96</v>
      </c>
      <c r="U649">
        <v>41305.073499999999</v>
      </c>
      <c r="V649">
        <v>41305.073499999999</v>
      </c>
      <c r="AA649" s="29" t="s">
        <v>43</v>
      </c>
      <c r="AB649">
        <v>31199</v>
      </c>
      <c r="AC649">
        <v>80</v>
      </c>
      <c r="AD649">
        <v>4</v>
      </c>
      <c r="AE649">
        <v>22.8</v>
      </c>
      <c r="AF649">
        <v>22.8</v>
      </c>
      <c r="AG649" s="29" t="s">
        <v>685</v>
      </c>
      <c r="AH649" s="29" t="s">
        <v>874</v>
      </c>
      <c r="AI649" s="29" t="s">
        <v>727</v>
      </c>
      <c r="AJ649" s="29" t="s">
        <v>875</v>
      </c>
      <c r="AL649" s="29" t="s">
        <v>686</v>
      </c>
    </row>
    <row r="650" spans="15:38">
      <c r="O650" t="s">
        <v>44</v>
      </c>
      <c r="P650" t="s">
        <v>43</v>
      </c>
      <c r="Q650" t="s">
        <v>3</v>
      </c>
      <c r="R650" t="s">
        <v>66</v>
      </c>
      <c r="S650">
        <v>2024.14</v>
      </c>
      <c r="T650">
        <v>25131.31</v>
      </c>
      <c r="U650">
        <v>41305.073499999999</v>
      </c>
      <c r="V650">
        <v>41305.073499999999</v>
      </c>
      <c r="AA650" s="29" t="s">
        <v>43</v>
      </c>
      <c r="AB650">
        <v>31199</v>
      </c>
      <c r="AC650">
        <v>80</v>
      </c>
      <c r="AD650">
        <v>4</v>
      </c>
      <c r="AE650">
        <v>6.03</v>
      </c>
      <c r="AF650">
        <v>6.03</v>
      </c>
      <c r="AG650" s="29" t="s">
        <v>685</v>
      </c>
      <c r="AH650" s="29" t="s">
        <v>876</v>
      </c>
      <c r="AI650" s="29" t="s">
        <v>727</v>
      </c>
      <c r="AJ650" s="29" t="s">
        <v>877</v>
      </c>
      <c r="AL650" s="29" t="s">
        <v>686</v>
      </c>
    </row>
    <row r="651" spans="15:38">
      <c r="O651" t="s">
        <v>44</v>
      </c>
      <c r="P651" t="s">
        <v>43</v>
      </c>
      <c r="Q651" t="s">
        <v>3</v>
      </c>
      <c r="R651" t="s">
        <v>66</v>
      </c>
      <c r="S651">
        <v>2024.17</v>
      </c>
      <c r="T651">
        <v>25131.31</v>
      </c>
      <c r="U651">
        <v>41305.073499999999</v>
      </c>
      <c r="V651">
        <v>41305.073499999999</v>
      </c>
      <c r="AA651" s="29" t="s">
        <v>43</v>
      </c>
      <c r="AB651">
        <v>31199</v>
      </c>
      <c r="AC651">
        <v>80</v>
      </c>
      <c r="AD651">
        <v>4</v>
      </c>
      <c r="AE651">
        <v>12.46</v>
      </c>
      <c r="AF651">
        <v>12.46</v>
      </c>
      <c r="AG651" s="29" t="s">
        <v>685</v>
      </c>
      <c r="AH651" s="29" t="s">
        <v>878</v>
      </c>
      <c r="AI651" s="29" t="s">
        <v>727</v>
      </c>
      <c r="AJ651" s="29" t="s">
        <v>879</v>
      </c>
      <c r="AL651" s="29" t="s">
        <v>686</v>
      </c>
    </row>
    <row r="652" spans="15:38">
      <c r="O652" t="s">
        <v>44</v>
      </c>
      <c r="P652" t="s">
        <v>43</v>
      </c>
      <c r="Q652" t="s">
        <v>3</v>
      </c>
      <c r="R652" t="s">
        <v>66</v>
      </c>
      <c r="S652">
        <v>2024.18</v>
      </c>
      <c r="T652">
        <v>52466.07</v>
      </c>
      <c r="U652">
        <v>41305.073499999999</v>
      </c>
      <c r="V652">
        <v>41305.073499999999</v>
      </c>
      <c r="AA652" s="29" t="s">
        <v>43</v>
      </c>
      <c r="AB652">
        <v>31199</v>
      </c>
      <c r="AC652">
        <v>80</v>
      </c>
      <c r="AD652">
        <v>4</v>
      </c>
      <c r="AE652">
        <v>484.34</v>
      </c>
      <c r="AF652">
        <v>484.34</v>
      </c>
      <c r="AG652" s="29" t="s">
        <v>685</v>
      </c>
      <c r="AH652" s="29" t="s">
        <v>852</v>
      </c>
      <c r="AI652" s="29" t="s">
        <v>727</v>
      </c>
      <c r="AJ652" s="29" t="s">
        <v>853</v>
      </c>
      <c r="AL652" s="29" t="s">
        <v>686</v>
      </c>
    </row>
    <row r="653" spans="15:38">
      <c r="O653" t="s">
        <v>44</v>
      </c>
      <c r="P653" t="s">
        <v>43</v>
      </c>
      <c r="Q653" t="s">
        <v>3</v>
      </c>
      <c r="R653" t="s">
        <v>66</v>
      </c>
      <c r="S653">
        <v>2024.19</v>
      </c>
      <c r="T653">
        <v>25755.91</v>
      </c>
      <c r="U653">
        <v>41305.073499999999</v>
      </c>
      <c r="V653">
        <v>41305.073499999999</v>
      </c>
      <c r="AA653" s="29" t="s">
        <v>43</v>
      </c>
      <c r="AB653">
        <v>31199</v>
      </c>
      <c r="AC653">
        <v>80</v>
      </c>
      <c r="AD653">
        <v>4</v>
      </c>
      <c r="AE653">
        <v>637.72</v>
      </c>
      <c r="AF653">
        <v>637.72</v>
      </c>
      <c r="AG653" s="29" t="s">
        <v>685</v>
      </c>
      <c r="AH653" s="29" t="s">
        <v>880</v>
      </c>
      <c r="AI653" s="29" t="s">
        <v>727</v>
      </c>
      <c r="AJ653" s="29" t="s">
        <v>881</v>
      </c>
      <c r="AL653" s="29" t="s">
        <v>686</v>
      </c>
    </row>
    <row r="654" spans="15:38">
      <c r="O654" t="s">
        <v>44</v>
      </c>
      <c r="P654" t="s">
        <v>43</v>
      </c>
      <c r="Q654" t="s">
        <v>3</v>
      </c>
      <c r="R654" t="s">
        <v>66</v>
      </c>
      <c r="S654">
        <v>2024.2</v>
      </c>
      <c r="T654">
        <v>25755.91</v>
      </c>
      <c r="U654">
        <v>41305.073499999999</v>
      </c>
      <c r="V654">
        <v>41305.073499999999</v>
      </c>
      <c r="AA654" s="29" t="s">
        <v>43</v>
      </c>
      <c r="AB654">
        <v>31199</v>
      </c>
      <c r="AC654">
        <v>80</v>
      </c>
      <c r="AD654">
        <v>4</v>
      </c>
      <c r="AE654">
        <v>4.97</v>
      </c>
      <c r="AF654">
        <v>4.97</v>
      </c>
      <c r="AG654" s="29" t="s">
        <v>685</v>
      </c>
      <c r="AH654" s="29" t="s">
        <v>882</v>
      </c>
      <c r="AI654" s="29" t="s">
        <v>727</v>
      </c>
      <c r="AJ654" s="29" t="s">
        <v>883</v>
      </c>
      <c r="AL654" s="29" t="s">
        <v>686</v>
      </c>
    </row>
    <row r="655" spans="15:38">
      <c r="O655" t="s">
        <v>44</v>
      </c>
      <c r="P655" t="s">
        <v>43</v>
      </c>
      <c r="Q655" t="s">
        <v>3</v>
      </c>
      <c r="R655" t="s">
        <v>66</v>
      </c>
      <c r="S655">
        <v>2024.21</v>
      </c>
      <c r="T655">
        <v>25755.91</v>
      </c>
      <c r="U655">
        <v>41305.073499999999</v>
      </c>
      <c r="V655">
        <v>41305.073499999999</v>
      </c>
      <c r="AA655" s="29" t="s">
        <v>43</v>
      </c>
      <c r="AB655">
        <v>31199</v>
      </c>
      <c r="AC655">
        <v>80</v>
      </c>
      <c r="AD655">
        <v>4</v>
      </c>
      <c r="AE655">
        <v>3.08</v>
      </c>
      <c r="AF655">
        <v>3.08</v>
      </c>
      <c r="AG655" s="29" t="s">
        <v>685</v>
      </c>
      <c r="AH655" s="29" t="s">
        <v>884</v>
      </c>
      <c r="AI655" s="29" t="s">
        <v>727</v>
      </c>
      <c r="AJ655" s="29" t="s">
        <v>885</v>
      </c>
      <c r="AL655" s="29" t="s">
        <v>686</v>
      </c>
    </row>
    <row r="656" spans="15:38">
      <c r="O656" t="s">
        <v>44</v>
      </c>
      <c r="P656" t="s">
        <v>43</v>
      </c>
      <c r="Q656" t="s">
        <v>3</v>
      </c>
      <c r="R656" t="s">
        <v>66</v>
      </c>
      <c r="S656">
        <v>2024.28</v>
      </c>
      <c r="T656">
        <v>26692.81</v>
      </c>
      <c r="U656">
        <v>41305.073499999999</v>
      </c>
      <c r="V656">
        <v>41305.073499999999</v>
      </c>
      <c r="AA656" s="29" t="s">
        <v>43</v>
      </c>
      <c r="AB656">
        <v>31199</v>
      </c>
      <c r="AC656">
        <v>80</v>
      </c>
      <c r="AD656">
        <v>4</v>
      </c>
      <c r="AE656">
        <v>43.39</v>
      </c>
      <c r="AF656">
        <v>43.39</v>
      </c>
      <c r="AG656" s="29" t="s">
        <v>685</v>
      </c>
      <c r="AH656" s="29" t="s">
        <v>886</v>
      </c>
      <c r="AI656" s="29" t="s">
        <v>727</v>
      </c>
      <c r="AJ656" s="29" t="s">
        <v>887</v>
      </c>
      <c r="AL656" s="29" t="s">
        <v>686</v>
      </c>
    </row>
    <row r="657" spans="15:38">
      <c r="O657" t="s">
        <v>44</v>
      </c>
      <c r="P657" t="s">
        <v>43</v>
      </c>
      <c r="Q657" t="s">
        <v>3</v>
      </c>
      <c r="R657" t="s">
        <v>66</v>
      </c>
      <c r="S657">
        <v>2024.38</v>
      </c>
      <c r="T657">
        <v>52466.07</v>
      </c>
      <c r="U657">
        <v>41305.073499999999</v>
      </c>
      <c r="V657">
        <v>41305.073499999999</v>
      </c>
      <c r="AA657" s="29" t="s">
        <v>43</v>
      </c>
      <c r="AB657">
        <v>31199</v>
      </c>
      <c r="AC657">
        <v>80</v>
      </c>
      <c r="AD657">
        <v>4</v>
      </c>
      <c r="AE657">
        <v>0</v>
      </c>
      <c r="AF657">
        <v>0</v>
      </c>
      <c r="AG657" s="29" t="s">
        <v>685</v>
      </c>
      <c r="AH657" s="29" t="s">
        <v>693</v>
      </c>
      <c r="AI657" s="29" t="s">
        <v>727</v>
      </c>
      <c r="AJ657" s="29" t="s">
        <v>888</v>
      </c>
      <c r="AL657" s="29" t="s">
        <v>686</v>
      </c>
    </row>
    <row r="658" spans="15:38">
      <c r="O658" t="s">
        <v>44</v>
      </c>
      <c r="P658" t="s">
        <v>43</v>
      </c>
      <c r="Q658" t="s">
        <v>3</v>
      </c>
      <c r="R658" t="s">
        <v>66</v>
      </c>
      <c r="S658">
        <v>2024.39</v>
      </c>
      <c r="T658">
        <v>26987.759999999998</v>
      </c>
      <c r="U658">
        <v>41305.073499999999</v>
      </c>
      <c r="V658">
        <v>41305.073499999999</v>
      </c>
      <c r="AA658" s="29" t="s">
        <v>43</v>
      </c>
      <c r="AB658">
        <v>31199</v>
      </c>
      <c r="AC658">
        <v>80</v>
      </c>
      <c r="AD658">
        <v>4</v>
      </c>
      <c r="AE658">
        <v>0</v>
      </c>
      <c r="AF658">
        <v>0</v>
      </c>
      <c r="AG658" s="29" t="s">
        <v>685</v>
      </c>
      <c r="AH658" s="29" t="s">
        <v>693</v>
      </c>
      <c r="AI658" s="29" t="s">
        <v>727</v>
      </c>
      <c r="AJ658" s="29" t="s">
        <v>889</v>
      </c>
      <c r="AL658" s="29" t="s">
        <v>686</v>
      </c>
    </row>
    <row r="659" spans="15:38">
      <c r="O659" t="s">
        <v>44</v>
      </c>
      <c r="P659" t="s">
        <v>43</v>
      </c>
      <c r="Q659" t="s">
        <v>3</v>
      </c>
      <c r="R659" t="s">
        <v>66</v>
      </c>
      <c r="S659">
        <v>2024.41</v>
      </c>
      <c r="T659">
        <v>27265.360000000001</v>
      </c>
      <c r="U659">
        <v>41305.073499999999</v>
      </c>
      <c r="V659">
        <v>41305.073499999999</v>
      </c>
      <c r="AA659" s="29" t="s">
        <v>43</v>
      </c>
      <c r="AB659">
        <v>31199</v>
      </c>
      <c r="AC659">
        <v>80</v>
      </c>
      <c r="AD659">
        <v>4</v>
      </c>
      <c r="AE659">
        <v>0</v>
      </c>
      <c r="AF659">
        <v>0</v>
      </c>
      <c r="AG659" s="29" t="s">
        <v>685</v>
      </c>
      <c r="AH659" s="29" t="s">
        <v>693</v>
      </c>
      <c r="AI659" s="29" t="s">
        <v>727</v>
      </c>
      <c r="AJ659" s="29" t="s">
        <v>890</v>
      </c>
      <c r="AL659" s="29" t="s">
        <v>686</v>
      </c>
    </row>
    <row r="660" spans="15:38">
      <c r="O660" t="s">
        <v>44</v>
      </c>
      <c r="P660" t="s">
        <v>43</v>
      </c>
      <c r="Q660" t="s">
        <v>3</v>
      </c>
      <c r="R660" t="s">
        <v>66</v>
      </c>
      <c r="S660">
        <v>2024.43</v>
      </c>
      <c r="T660">
        <v>27265.360000000001</v>
      </c>
      <c r="U660">
        <v>41305.073499999999</v>
      </c>
      <c r="V660">
        <v>41305.073499999999</v>
      </c>
      <c r="AA660" s="29" t="s">
        <v>43</v>
      </c>
      <c r="AB660">
        <v>31199</v>
      </c>
      <c r="AC660">
        <v>80</v>
      </c>
      <c r="AD660">
        <v>4</v>
      </c>
      <c r="AE660">
        <v>41.06</v>
      </c>
      <c r="AF660">
        <v>41.06</v>
      </c>
      <c r="AG660" s="29" t="s">
        <v>685</v>
      </c>
      <c r="AH660" s="29" t="s">
        <v>891</v>
      </c>
      <c r="AI660" s="29" t="s">
        <v>727</v>
      </c>
      <c r="AJ660" s="29" t="s">
        <v>892</v>
      </c>
      <c r="AL660" s="29" t="s">
        <v>686</v>
      </c>
    </row>
    <row r="661" spans="15:38">
      <c r="O661" t="s">
        <v>44</v>
      </c>
      <c r="P661" t="s">
        <v>43</v>
      </c>
      <c r="Q661" t="s">
        <v>3</v>
      </c>
      <c r="R661" t="s">
        <v>66</v>
      </c>
      <c r="S661">
        <v>2024.44</v>
      </c>
      <c r="T661">
        <v>27265.360000000001</v>
      </c>
      <c r="U661">
        <v>41305.073499999999</v>
      </c>
      <c r="V661">
        <v>27265.360000000001</v>
      </c>
      <c r="AA661" s="29" t="s">
        <v>43</v>
      </c>
      <c r="AB661">
        <v>31199</v>
      </c>
      <c r="AC661">
        <v>80</v>
      </c>
      <c r="AD661">
        <v>4</v>
      </c>
      <c r="AE661">
        <v>206.5</v>
      </c>
      <c r="AF661">
        <v>206.5</v>
      </c>
      <c r="AG661" s="29" t="s">
        <v>685</v>
      </c>
      <c r="AH661" s="29" t="s">
        <v>893</v>
      </c>
      <c r="AI661" s="29" t="s">
        <v>727</v>
      </c>
      <c r="AJ661" s="29" t="s">
        <v>894</v>
      </c>
      <c r="AL661" s="29" t="s">
        <v>686</v>
      </c>
    </row>
    <row r="662" spans="15:38">
      <c r="O662" t="s">
        <v>44</v>
      </c>
      <c r="P662" t="s">
        <v>43</v>
      </c>
      <c r="Q662" t="s">
        <v>3</v>
      </c>
      <c r="R662" t="s">
        <v>66</v>
      </c>
      <c r="S662">
        <v>2024.45</v>
      </c>
      <c r="T662">
        <v>27265.360000000001</v>
      </c>
      <c r="U662">
        <v>41305.073499999999</v>
      </c>
      <c r="V662">
        <v>27265.360000000001</v>
      </c>
      <c r="AA662" s="29" t="s">
        <v>43</v>
      </c>
      <c r="AB662">
        <v>31199</v>
      </c>
      <c r="AC662">
        <v>80</v>
      </c>
      <c r="AD662">
        <v>4</v>
      </c>
      <c r="AE662">
        <v>99</v>
      </c>
      <c r="AF662">
        <v>99</v>
      </c>
      <c r="AG662" s="29" t="s">
        <v>685</v>
      </c>
      <c r="AH662" s="29" t="s">
        <v>895</v>
      </c>
      <c r="AI662" s="29" t="s">
        <v>727</v>
      </c>
      <c r="AJ662" s="29" t="s">
        <v>896</v>
      </c>
      <c r="AL662" s="29" t="s">
        <v>686</v>
      </c>
    </row>
    <row r="663" spans="15:38">
      <c r="O663" t="s">
        <v>44</v>
      </c>
      <c r="P663" t="s">
        <v>43</v>
      </c>
      <c r="Q663" t="s">
        <v>3</v>
      </c>
      <c r="R663" t="s">
        <v>66</v>
      </c>
      <c r="S663">
        <v>2024.47</v>
      </c>
      <c r="T663">
        <v>27265.360000000001</v>
      </c>
      <c r="U663">
        <v>41305.073499999999</v>
      </c>
      <c r="V663">
        <v>27265.360000000001</v>
      </c>
      <c r="AA663" s="29" t="s">
        <v>43</v>
      </c>
      <c r="AB663">
        <v>31199</v>
      </c>
      <c r="AC663">
        <v>80</v>
      </c>
      <c r="AD663">
        <v>4</v>
      </c>
      <c r="AE663">
        <v>484.34</v>
      </c>
      <c r="AF663">
        <v>484.34</v>
      </c>
      <c r="AG663" s="29" t="s">
        <v>685</v>
      </c>
      <c r="AH663" s="29" t="s">
        <v>852</v>
      </c>
      <c r="AI663" s="29" t="s">
        <v>727</v>
      </c>
      <c r="AJ663" s="29" t="s">
        <v>853</v>
      </c>
      <c r="AL663" s="29" t="s">
        <v>686</v>
      </c>
    </row>
    <row r="664" spans="15:38">
      <c r="O664" t="s">
        <v>44</v>
      </c>
      <c r="P664" t="s">
        <v>43</v>
      </c>
      <c r="Q664" t="s">
        <v>3</v>
      </c>
      <c r="R664" t="s">
        <v>66</v>
      </c>
      <c r="S664">
        <v>2024.48</v>
      </c>
      <c r="T664">
        <v>27265.360000000001</v>
      </c>
      <c r="U664">
        <v>41305.073499999999</v>
      </c>
      <c r="V664">
        <v>27265.360000000001</v>
      </c>
      <c r="AA664" s="29" t="s">
        <v>43</v>
      </c>
      <c r="AB664">
        <v>31199</v>
      </c>
      <c r="AC664">
        <v>80</v>
      </c>
      <c r="AD664">
        <v>4</v>
      </c>
      <c r="AE664">
        <v>377.57</v>
      </c>
      <c r="AF664">
        <v>377.57</v>
      </c>
      <c r="AG664" s="29" t="s">
        <v>685</v>
      </c>
      <c r="AH664" s="29" t="s">
        <v>897</v>
      </c>
      <c r="AI664" s="29" t="s">
        <v>727</v>
      </c>
      <c r="AJ664" s="29" t="s">
        <v>898</v>
      </c>
      <c r="AL664" s="29" t="s">
        <v>686</v>
      </c>
    </row>
    <row r="665" spans="15:38">
      <c r="O665" t="s">
        <v>44</v>
      </c>
      <c r="P665" t="s">
        <v>43</v>
      </c>
      <c r="Q665" t="s">
        <v>3</v>
      </c>
      <c r="R665" t="s">
        <v>66</v>
      </c>
      <c r="S665">
        <v>2024.49</v>
      </c>
      <c r="T665">
        <v>27265.360000000001</v>
      </c>
      <c r="U665">
        <v>41305.073499999999</v>
      </c>
      <c r="V665">
        <v>27265.360000000001</v>
      </c>
      <c r="AA665" s="29" t="s">
        <v>43</v>
      </c>
      <c r="AB665">
        <v>31199</v>
      </c>
      <c r="AC665">
        <v>80</v>
      </c>
      <c r="AD665">
        <v>4</v>
      </c>
      <c r="AE665">
        <v>447.35</v>
      </c>
      <c r="AF665">
        <v>447.35</v>
      </c>
      <c r="AG665" s="29" t="s">
        <v>685</v>
      </c>
      <c r="AH665" s="29" t="s">
        <v>899</v>
      </c>
      <c r="AI665" s="29" t="s">
        <v>727</v>
      </c>
      <c r="AJ665" s="29" t="s">
        <v>900</v>
      </c>
      <c r="AL665" s="29" t="s">
        <v>686</v>
      </c>
    </row>
    <row r="666" spans="15:38">
      <c r="O666" t="s">
        <v>44</v>
      </c>
      <c r="P666" t="s">
        <v>43</v>
      </c>
      <c r="Q666" t="s">
        <v>3</v>
      </c>
      <c r="R666" t="s">
        <v>66</v>
      </c>
      <c r="S666">
        <v>2024.52</v>
      </c>
      <c r="T666">
        <v>27265.360000000001</v>
      </c>
      <c r="U666">
        <v>41305.073499999999</v>
      </c>
      <c r="V666">
        <v>27265.360000000001</v>
      </c>
      <c r="AA666" s="29" t="s">
        <v>43</v>
      </c>
      <c r="AB666">
        <v>31199</v>
      </c>
      <c r="AC666">
        <v>80</v>
      </c>
      <c r="AD666">
        <v>4</v>
      </c>
      <c r="AE666">
        <v>45.09</v>
      </c>
      <c r="AF666">
        <v>45.09</v>
      </c>
      <c r="AG666" s="29" t="s">
        <v>685</v>
      </c>
      <c r="AH666" s="29" t="s">
        <v>901</v>
      </c>
      <c r="AI666" s="29" t="s">
        <v>727</v>
      </c>
      <c r="AJ666" s="29" t="s">
        <v>902</v>
      </c>
      <c r="AL666" s="29" t="s">
        <v>686</v>
      </c>
    </row>
    <row r="667" spans="15:38">
      <c r="O667" t="s">
        <v>44</v>
      </c>
      <c r="P667" t="s">
        <v>43</v>
      </c>
      <c r="Q667" t="s">
        <v>3</v>
      </c>
      <c r="R667" t="s">
        <v>66</v>
      </c>
      <c r="S667">
        <v>2025.03</v>
      </c>
      <c r="T667">
        <v>27265.360000000001</v>
      </c>
      <c r="U667">
        <v>41305.073499999999</v>
      </c>
      <c r="V667">
        <v>27265.360000000001</v>
      </c>
      <c r="AA667" s="29" t="s">
        <v>43</v>
      </c>
      <c r="AB667">
        <v>31199</v>
      </c>
      <c r="AC667">
        <v>80</v>
      </c>
      <c r="AD667">
        <v>4</v>
      </c>
      <c r="AE667">
        <v>32.270000000000003</v>
      </c>
      <c r="AF667">
        <v>32.270000000000003</v>
      </c>
      <c r="AG667" s="29" t="s">
        <v>685</v>
      </c>
      <c r="AH667" s="29" t="s">
        <v>903</v>
      </c>
      <c r="AI667" s="29" t="s">
        <v>727</v>
      </c>
      <c r="AJ667" s="29" t="s">
        <v>904</v>
      </c>
      <c r="AL667" s="29" t="s">
        <v>686</v>
      </c>
    </row>
    <row r="668" spans="15:38">
      <c r="O668" t="s">
        <v>44</v>
      </c>
      <c r="P668" t="s">
        <v>43</v>
      </c>
      <c r="Q668" t="s">
        <v>3</v>
      </c>
      <c r="R668" t="s">
        <v>66</v>
      </c>
      <c r="S668">
        <v>2025.12</v>
      </c>
      <c r="T668">
        <v>27265.360000000001</v>
      </c>
      <c r="U668">
        <v>41305.073499999999</v>
      </c>
      <c r="V668">
        <v>27265.360000000001</v>
      </c>
      <c r="AA668" s="29" t="s">
        <v>43</v>
      </c>
      <c r="AB668">
        <v>31199</v>
      </c>
      <c r="AC668">
        <v>80</v>
      </c>
      <c r="AD668">
        <v>4</v>
      </c>
      <c r="AE668">
        <v>16.010000000000002</v>
      </c>
      <c r="AF668">
        <v>16.010000000000002</v>
      </c>
      <c r="AG668" s="29" t="s">
        <v>685</v>
      </c>
      <c r="AH668" s="29" t="s">
        <v>905</v>
      </c>
      <c r="AI668" s="29" t="s">
        <v>727</v>
      </c>
      <c r="AJ668" s="29" t="s">
        <v>906</v>
      </c>
      <c r="AL668" s="29" t="s">
        <v>686</v>
      </c>
    </row>
    <row r="669" spans="15:38">
      <c r="O669" t="s">
        <v>44</v>
      </c>
      <c r="P669" t="s">
        <v>43</v>
      </c>
      <c r="Q669" t="s">
        <v>3</v>
      </c>
      <c r="R669" t="s">
        <v>67</v>
      </c>
      <c r="S669">
        <v>2023.44</v>
      </c>
      <c r="T669">
        <v>0</v>
      </c>
      <c r="U669">
        <v>29510.494299999998</v>
      </c>
      <c r="V669">
        <v>29510.494299999998</v>
      </c>
      <c r="AA669" s="29" t="s">
        <v>43</v>
      </c>
      <c r="AB669">
        <v>31199</v>
      </c>
      <c r="AC669">
        <v>80</v>
      </c>
      <c r="AD669">
        <v>4</v>
      </c>
      <c r="AE669">
        <v>172.8</v>
      </c>
      <c r="AF669">
        <v>172.8</v>
      </c>
      <c r="AG669" s="29" t="s">
        <v>685</v>
      </c>
      <c r="AH669" s="29" t="s">
        <v>907</v>
      </c>
      <c r="AI669" s="29" t="s">
        <v>727</v>
      </c>
      <c r="AJ669" s="29" t="s">
        <v>908</v>
      </c>
      <c r="AL669" s="29" t="s">
        <v>686</v>
      </c>
    </row>
    <row r="670" spans="15:38">
      <c r="O670" t="s">
        <v>44</v>
      </c>
      <c r="P670" t="s">
        <v>43</v>
      </c>
      <c r="Q670" t="s">
        <v>3</v>
      </c>
      <c r="R670" t="s">
        <v>67</v>
      </c>
      <c r="S670">
        <v>2023.51</v>
      </c>
      <c r="T670">
        <v>24312.959999999999</v>
      </c>
      <c r="U670">
        <v>29510.494299999998</v>
      </c>
      <c r="V670">
        <v>29510.494299999998</v>
      </c>
      <c r="AA670" s="29" t="s">
        <v>43</v>
      </c>
      <c r="AB670">
        <v>31199</v>
      </c>
      <c r="AC670">
        <v>80</v>
      </c>
      <c r="AD670">
        <v>4</v>
      </c>
      <c r="AE670">
        <v>447.35</v>
      </c>
      <c r="AF670">
        <v>447.35</v>
      </c>
      <c r="AG670" s="29" t="s">
        <v>685</v>
      </c>
      <c r="AH670" s="29" t="s">
        <v>899</v>
      </c>
      <c r="AI670" s="29" t="s">
        <v>727</v>
      </c>
      <c r="AJ670" s="29" t="s">
        <v>900</v>
      </c>
      <c r="AL670" s="29" t="s">
        <v>686</v>
      </c>
    </row>
    <row r="671" spans="15:38">
      <c r="O671" t="s">
        <v>44</v>
      </c>
      <c r="P671" t="s">
        <v>43</v>
      </c>
      <c r="Q671" t="s">
        <v>3</v>
      </c>
      <c r="R671" t="s">
        <v>67</v>
      </c>
      <c r="S671">
        <v>2024.06</v>
      </c>
      <c r="T671">
        <v>30391.200000000001</v>
      </c>
      <c r="U671">
        <v>29510.494299999998</v>
      </c>
      <c r="V671">
        <v>29510.494299999998</v>
      </c>
      <c r="AA671" s="29" t="s">
        <v>43</v>
      </c>
      <c r="AB671">
        <v>31199</v>
      </c>
      <c r="AC671">
        <v>80</v>
      </c>
      <c r="AD671">
        <v>4</v>
      </c>
      <c r="AE671">
        <v>64.8</v>
      </c>
      <c r="AF671">
        <v>64.8</v>
      </c>
      <c r="AG671" s="29" t="s">
        <v>685</v>
      </c>
      <c r="AH671" s="29" t="s">
        <v>909</v>
      </c>
      <c r="AI671" s="29" t="s">
        <v>727</v>
      </c>
      <c r="AJ671" s="29" t="s">
        <v>910</v>
      </c>
      <c r="AL671" s="29" t="s">
        <v>686</v>
      </c>
    </row>
    <row r="672" spans="15:38">
      <c r="O672" t="s">
        <v>44</v>
      </c>
      <c r="P672" t="s">
        <v>43</v>
      </c>
      <c r="Q672" t="s">
        <v>3</v>
      </c>
      <c r="R672" t="s">
        <v>67</v>
      </c>
      <c r="S672">
        <v>2024.07</v>
      </c>
      <c r="T672">
        <v>30391.200000000001</v>
      </c>
      <c r="U672">
        <v>29510.494299999998</v>
      </c>
      <c r="V672">
        <v>29510.494299999998</v>
      </c>
      <c r="AA672" s="29" t="s">
        <v>43</v>
      </c>
      <c r="AB672">
        <v>31199</v>
      </c>
      <c r="AC672">
        <v>80</v>
      </c>
      <c r="AD672">
        <v>4</v>
      </c>
      <c r="AE672">
        <v>383.89</v>
      </c>
      <c r="AF672">
        <v>383.89</v>
      </c>
      <c r="AG672" s="29" t="s">
        <v>685</v>
      </c>
      <c r="AH672" s="29" t="s">
        <v>911</v>
      </c>
      <c r="AI672" s="29" t="s">
        <v>727</v>
      </c>
      <c r="AJ672" s="29" t="s">
        <v>912</v>
      </c>
      <c r="AL672" s="29" t="s">
        <v>686</v>
      </c>
    </row>
    <row r="673" spans="15:38">
      <c r="O673" t="s">
        <v>44</v>
      </c>
      <c r="P673" t="s">
        <v>43</v>
      </c>
      <c r="Q673" t="s">
        <v>3</v>
      </c>
      <c r="R673" t="s">
        <v>67</v>
      </c>
      <c r="S673">
        <v>2024.08</v>
      </c>
      <c r="T673">
        <v>30391.200000000001</v>
      </c>
      <c r="U673">
        <v>29510.494299999998</v>
      </c>
      <c r="V673">
        <v>29510.494299999998</v>
      </c>
      <c r="AA673" s="29" t="s">
        <v>43</v>
      </c>
      <c r="AB673">
        <v>31199</v>
      </c>
      <c r="AC673">
        <v>80</v>
      </c>
      <c r="AD673">
        <v>4</v>
      </c>
      <c r="AE673">
        <v>109.3</v>
      </c>
      <c r="AF673">
        <v>109.3</v>
      </c>
      <c r="AG673" s="29" t="s">
        <v>685</v>
      </c>
      <c r="AH673" s="29" t="s">
        <v>913</v>
      </c>
      <c r="AI673" s="29" t="s">
        <v>727</v>
      </c>
      <c r="AJ673" s="29" t="s">
        <v>914</v>
      </c>
      <c r="AL673" s="29" t="s">
        <v>686</v>
      </c>
    </row>
    <row r="674" spans="15:38">
      <c r="O674" t="s">
        <v>44</v>
      </c>
      <c r="P674" t="s">
        <v>43</v>
      </c>
      <c r="Q674" t="s">
        <v>3</v>
      </c>
      <c r="R674" t="s">
        <v>67</v>
      </c>
      <c r="S674">
        <v>2024.09</v>
      </c>
      <c r="T674">
        <v>30391.200000000001</v>
      </c>
      <c r="U674">
        <v>29510.494299999998</v>
      </c>
      <c r="V674">
        <v>29510.494299999998</v>
      </c>
      <c r="AA674" s="29" t="s">
        <v>43</v>
      </c>
      <c r="AB674">
        <v>31199</v>
      </c>
      <c r="AC674">
        <v>80</v>
      </c>
      <c r="AD674">
        <v>4</v>
      </c>
      <c r="AE674">
        <v>135.27000000000001</v>
      </c>
      <c r="AF674">
        <v>135.27000000000001</v>
      </c>
      <c r="AG674" s="29" t="s">
        <v>685</v>
      </c>
      <c r="AH674" s="29" t="s">
        <v>915</v>
      </c>
      <c r="AI674" s="29" t="s">
        <v>727</v>
      </c>
      <c r="AJ674" s="29" t="s">
        <v>916</v>
      </c>
      <c r="AL674" s="29" t="s">
        <v>686</v>
      </c>
    </row>
    <row r="675" spans="15:38">
      <c r="O675" t="s">
        <v>44</v>
      </c>
      <c r="P675" t="s">
        <v>43</v>
      </c>
      <c r="Q675" t="s">
        <v>3</v>
      </c>
      <c r="R675" t="s">
        <v>67</v>
      </c>
      <c r="S675">
        <v>2024.1</v>
      </c>
      <c r="T675">
        <v>31741.919999999998</v>
      </c>
      <c r="U675">
        <v>29510.494299999998</v>
      </c>
      <c r="V675">
        <v>29510.494299999998</v>
      </c>
      <c r="AA675" s="29" t="s">
        <v>43</v>
      </c>
      <c r="AB675">
        <v>31199</v>
      </c>
      <c r="AC675">
        <v>80</v>
      </c>
      <c r="AD675">
        <v>4</v>
      </c>
      <c r="AE675">
        <v>117.9</v>
      </c>
      <c r="AF675">
        <v>117.9</v>
      </c>
      <c r="AG675" s="29" t="s">
        <v>685</v>
      </c>
      <c r="AH675" s="29" t="s">
        <v>917</v>
      </c>
      <c r="AI675" s="29" t="s">
        <v>727</v>
      </c>
      <c r="AJ675" s="29" t="s">
        <v>918</v>
      </c>
      <c r="AL675" s="29" t="s">
        <v>686</v>
      </c>
    </row>
    <row r="676" spans="15:38">
      <c r="O676" t="s">
        <v>44</v>
      </c>
      <c r="P676" t="s">
        <v>43</v>
      </c>
      <c r="Q676" t="s">
        <v>3</v>
      </c>
      <c r="R676" t="s">
        <v>67</v>
      </c>
      <c r="S676">
        <v>2024.11</v>
      </c>
      <c r="T676">
        <v>31741.919999999998</v>
      </c>
      <c r="U676">
        <v>29510.494299999998</v>
      </c>
      <c r="V676">
        <v>29510.494299999998</v>
      </c>
      <c r="AA676" s="29" t="s">
        <v>43</v>
      </c>
      <c r="AB676">
        <v>31199</v>
      </c>
      <c r="AC676">
        <v>80</v>
      </c>
      <c r="AD676">
        <v>4</v>
      </c>
      <c r="AE676">
        <v>113.6</v>
      </c>
      <c r="AF676">
        <v>113.6</v>
      </c>
      <c r="AG676" s="29" t="s">
        <v>685</v>
      </c>
      <c r="AH676" s="29" t="s">
        <v>919</v>
      </c>
      <c r="AI676" s="29" t="s">
        <v>727</v>
      </c>
      <c r="AJ676" s="29" t="s">
        <v>920</v>
      </c>
      <c r="AL676" s="29" t="s">
        <v>686</v>
      </c>
    </row>
    <row r="677" spans="15:38">
      <c r="O677" t="s">
        <v>44</v>
      </c>
      <c r="P677" t="s">
        <v>43</v>
      </c>
      <c r="Q677" t="s">
        <v>3</v>
      </c>
      <c r="R677" t="s">
        <v>67</v>
      </c>
      <c r="S677">
        <v>2024.14</v>
      </c>
      <c r="T677">
        <v>32417.279999999999</v>
      </c>
      <c r="U677">
        <v>29510.494299999998</v>
      </c>
      <c r="V677">
        <v>29510.494299999998</v>
      </c>
      <c r="AA677" s="29" t="s">
        <v>43</v>
      </c>
      <c r="AB677">
        <v>31199</v>
      </c>
      <c r="AC677">
        <v>80</v>
      </c>
      <c r="AD677">
        <v>4</v>
      </c>
      <c r="AE677">
        <v>406.56</v>
      </c>
      <c r="AF677">
        <v>406.56</v>
      </c>
      <c r="AG677" s="29" t="s">
        <v>685</v>
      </c>
      <c r="AH677" s="29" t="s">
        <v>921</v>
      </c>
      <c r="AI677" s="29" t="s">
        <v>727</v>
      </c>
      <c r="AJ677" s="29" t="s">
        <v>922</v>
      </c>
      <c r="AL677" s="29" t="s">
        <v>686</v>
      </c>
    </row>
    <row r="678" spans="15:38">
      <c r="O678" t="s">
        <v>44</v>
      </c>
      <c r="P678" t="s">
        <v>43</v>
      </c>
      <c r="Q678" t="s">
        <v>3</v>
      </c>
      <c r="R678" t="s">
        <v>67</v>
      </c>
      <c r="S678">
        <v>2024.17</v>
      </c>
      <c r="T678">
        <v>32417.279999999999</v>
      </c>
      <c r="U678">
        <v>29510.494299999998</v>
      </c>
      <c r="V678">
        <v>29510.494299999998</v>
      </c>
      <c r="AA678" s="29" t="s">
        <v>43</v>
      </c>
      <c r="AB678">
        <v>31199</v>
      </c>
      <c r="AC678">
        <v>80</v>
      </c>
      <c r="AD678">
        <v>4</v>
      </c>
      <c r="AE678">
        <v>392</v>
      </c>
      <c r="AF678">
        <v>392</v>
      </c>
      <c r="AG678" s="29" t="s">
        <v>685</v>
      </c>
      <c r="AH678" s="29" t="s">
        <v>923</v>
      </c>
      <c r="AI678" s="29" t="s">
        <v>727</v>
      </c>
      <c r="AJ678" s="29" t="s">
        <v>924</v>
      </c>
      <c r="AL678" s="29" t="s">
        <v>686</v>
      </c>
    </row>
    <row r="679" spans="15:38">
      <c r="O679" t="s">
        <v>44</v>
      </c>
      <c r="P679" t="s">
        <v>43</v>
      </c>
      <c r="Q679" t="s">
        <v>3</v>
      </c>
      <c r="R679" t="s">
        <v>67</v>
      </c>
      <c r="S679">
        <v>2024.18</v>
      </c>
      <c r="T679">
        <v>65678.759999999995</v>
      </c>
      <c r="U679">
        <v>29510.494299999998</v>
      </c>
      <c r="V679">
        <v>29510.494299999998</v>
      </c>
      <c r="AA679" s="29" t="s">
        <v>43</v>
      </c>
      <c r="AB679">
        <v>31199</v>
      </c>
      <c r="AC679">
        <v>80</v>
      </c>
      <c r="AD679">
        <v>4</v>
      </c>
      <c r="AE679">
        <v>273.02999999999997</v>
      </c>
      <c r="AF679">
        <v>273.02999999999997</v>
      </c>
      <c r="AG679" s="29" t="s">
        <v>685</v>
      </c>
      <c r="AH679" s="29" t="s">
        <v>925</v>
      </c>
      <c r="AI679" s="29" t="s">
        <v>727</v>
      </c>
      <c r="AJ679" s="29" t="s">
        <v>926</v>
      </c>
      <c r="AL679" s="29" t="s">
        <v>686</v>
      </c>
    </row>
    <row r="680" spans="15:38">
      <c r="O680" t="s">
        <v>44</v>
      </c>
      <c r="P680" t="s">
        <v>43</v>
      </c>
      <c r="Q680" t="s">
        <v>3</v>
      </c>
      <c r="R680" t="s">
        <v>67</v>
      </c>
      <c r="S680">
        <v>2024.19</v>
      </c>
      <c r="T680">
        <v>32839.379999999997</v>
      </c>
      <c r="U680">
        <v>29510.494299999998</v>
      </c>
      <c r="V680">
        <v>29510.494299999998</v>
      </c>
      <c r="AA680" s="29" t="s">
        <v>43</v>
      </c>
      <c r="AB680">
        <v>31199</v>
      </c>
      <c r="AC680">
        <v>80</v>
      </c>
      <c r="AD680">
        <v>4</v>
      </c>
      <c r="AE680">
        <v>303.37</v>
      </c>
      <c r="AF680">
        <v>303.37</v>
      </c>
      <c r="AG680" s="29" t="s">
        <v>685</v>
      </c>
      <c r="AH680" s="29" t="s">
        <v>927</v>
      </c>
      <c r="AI680" s="29" t="s">
        <v>727</v>
      </c>
      <c r="AJ680" s="29" t="s">
        <v>928</v>
      </c>
      <c r="AL680" s="29" t="s">
        <v>686</v>
      </c>
    </row>
    <row r="681" spans="15:38">
      <c r="O681" t="s">
        <v>44</v>
      </c>
      <c r="P681" t="s">
        <v>43</v>
      </c>
      <c r="Q681" t="s">
        <v>3</v>
      </c>
      <c r="R681" t="s">
        <v>67</v>
      </c>
      <c r="S681">
        <v>2024.2</v>
      </c>
      <c r="T681">
        <v>32839.379999999997</v>
      </c>
      <c r="U681">
        <v>29510.494299999998</v>
      </c>
      <c r="V681">
        <v>29510.494299999998</v>
      </c>
      <c r="AA681" s="29" t="s">
        <v>43</v>
      </c>
      <c r="AB681">
        <v>31199</v>
      </c>
      <c r="AC681">
        <v>80</v>
      </c>
      <c r="AD681">
        <v>4</v>
      </c>
      <c r="AE681">
        <v>-303.37</v>
      </c>
      <c r="AF681">
        <v>-303.37</v>
      </c>
      <c r="AG681" s="29" t="s">
        <v>685</v>
      </c>
      <c r="AH681" s="29" t="s">
        <v>929</v>
      </c>
      <c r="AI681" s="29" t="s">
        <v>727</v>
      </c>
      <c r="AJ681" s="29" t="s">
        <v>930</v>
      </c>
      <c r="AL681" s="29" t="s">
        <v>686</v>
      </c>
    </row>
    <row r="682" spans="15:38">
      <c r="O682" t="s">
        <v>44</v>
      </c>
      <c r="P682" t="s">
        <v>43</v>
      </c>
      <c r="Q682" t="s">
        <v>3</v>
      </c>
      <c r="R682" t="s">
        <v>67</v>
      </c>
      <c r="S682">
        <v>2024.21</v>
      </c>
      <c r="T682">
        <v>32839.379999999997</v>
      </c>
      <c r="U682">
        <v>29510.494299999998</v>
      </c>
      <c r="V682">
        <v>29510.494299999998</v>
      </c>
      <c r="AA682" s="29" t="s">
        <v>43</v>
      </c>
      <c r="AB682">
        <v>31199</v>
      </c>
      <c r="AC682">
        <v>80</v>
      </c>
      <c r="AD682">
        <v>4</v>
      </c>
      <c r="AE682">
        <v>303.37</v>
      </c>
      <c r="AF682">
        <v>303.37</v>
      </c>
      <c r="AG682" s="29" t="s">
        <v>685</v>
      </c>
      <c r="AH682" s="29" t="s">
        <v>927</v>
      </c>
      <c r="AI682" s="29" t="s">
        <v>727</v>
      </c>
      <c r="AJ682" s="29" t="s">
        <v>928</v>
      </c>
      <c r="AL682" s="29" t="s">
        <v>686</v>
      </c>
    </row>
    <row r="683" spans="15:38">
      <c r="O683" t="s">
        <v>44</v>
      </c>
      <c r="P683" t="s">
        <v>43</v>
      </c>
      <c r="Q683" t="s">
        <v>3</v>
      </c>
      <c r="R683" t="s">
        <v>67</v>
      </c>
      <c r="S683">
        <v>2024.28</v>
      </c>
      <c r="T683">
        <v>32839.379999999997</v>
      </c>
      <c r="U683">
        <v>29510.494299999998</v>
      </c>
      <c r="V683">
        <v>29510.494299999998</v>
      </c>
      <c r="AA683" s="29" t="s">
        <v>43</v>
      </c>
      <c r="AB683">
        <v>31199</v>
      </c>
      <c r="AC683">
        <v>80</v>
      </c>
      <c r="AD683">
        <v>4</v>
      </c>
      <c r="AE683">
        <v>163.95</v>
      </c>
      <c r="AF683">
        <v>163.95</v>
      </c>
      <c r="AG683" s="29" t="s">
        <v>685</v>
      </c>
      <c r="AH683" s="29" t="s">
        <v>931</v>
      </c>
      <c r="AI683" s="29" t="s">
        <v>727</v>
      </c>
      <c r="AJ683" s="29" t="s">
        <v>932</v>
      </c>
      <c r="AL683" s="29" t="s">
        <v>686</v>
      </c>
    </row>
    <row r="684" spans="15:38">
      <c r="O684" t="s">
        <v>44</v>
      </c>
      <c r="P684" t="s">
        <v>43</v>
      </c>
      <c r="Q684" t="s">
        <v>3</v>
      </c>
      <c r="R684" t="s">
        <v>67</v>
      </c>
      <c r="S684">
        <v>2024.38</v>
      </c>
      <c r="T684">
        <v>65678.759999999995</v>
      </c>
      <c r="U684">
        <v>29510.494299999998</v>
      </c>
      <c r="V684">
        <v>29510.494299999998</v>
      </c>
      <c r="AA684" s="29" t="s">
        <v>43</v>
      </c>
      <c r="AB684">
        <v>31199</v>
      </c>
      <c r="AC684">
        <v>80</v>
      </c>
      <c r="AD684">
        <v>4</v>
      </c>
      <c r="AE684">
        <v>109.3</v>
      </c>
      <c r="AF684">
        <v>109.3</v>
      </c>
      <c r="AG684" s="29" t="s">
        <v>685</v>
      </c>
      <c r="AH684" s="29" t="s">
        <v>913</v>
      </c>
      <c r="AI684" s="29" t="s">
        <v>727</v>
      </c>
      <c r="AJ684" s="29" t="s">
        <v>914</v>
      </c>
      <c r="AL684" s="29" t="s">
        <v>686</v>
      </c>
    </row>
    <row r="685" spans="15:38">
      <c r="O685" t="s">
        <v>44</v>
      </c>
      <c r="P685" t="s">
        <v>43</v>
      </c>
      <c r="Q685" t="s">
        <v>3</v>
      </c>
      <c r="R685" t="s">
        <v>67</v>
      </c>
      <c r="S685">
        <v>2024.39</v>
      </c>
      <c r="T685">
        <v>32839.379999999997</v>
      </c>
      <c r="U685">
        <v>29510.494299999998</v>
      </c>
      <c r="V685">
        <v>29510.494299999998</v>
      </c>
      <c r="AA685" s="29" t="s">
        <v>43</v>
      </c>
      <c r="AB685">
        <v>31199</v>
      </c>
      <c r="AC685">
        <v>80</v>
      </c>
      <c r="AD685">
        <v>4</v>
      </c>
      <c r="AE685">
        <v>109.3</v>
      </c>
      <c r="AF685">
        <v>109.3</v>
      </c>
      <c r="AG685" s="29" t="s">
        <v>685</v>
      </c>
      <c r="AH685" s="29" t="s">
        <v>913</v>
      </c>
      <c r="AI685" s="29" t="s">
        <v>727</v>
      </c>
      <c r="AJ685" s="29" t="s">
        <v>914</v>
      </c>
      <c r="AL685" s="29" t="s">
        <v>686</v>
      </c>
    </row>
    <row r="686" spans="15:38">
      <c r="O686" t="s">
        <v>44</v>
      </c>
      <c r="P686" t="s">
        <v>43</v>
      </c>
      <c r="Q686" t="s">
        <v>3</v>
      </c>
      <c r="R686" t="s">
        <v>67</v>
      </c>
      <c r="S686">
        <v>2024.41</v>
      </c>
      <c r="T686">
        <v>32839.379999999997</v>
      </c>
      <c r="U686">
        <v>29510.494299999998</v>
      </c>
      <c r="V686">
        <v>29510.494299999998</v>
      </c>
      <c r="AA686" s="29" t="s">
        <v>43</v>
      </c>
      <c r="AB686">
        <v>31199</v>
      </c>
      <c r="AC686">
        <v>80</v>
      </c>
      <c r="AD686">
        <v>4</v>
      </c>
      <c r="AE686">
        <v>-109.3</v>
      </c>
      <c r="AF686">
        <v>-109.3</v>
      </c>
      <c r="AG686" s="29" t="s">
        <v>685</v>
      </c>
      <c r="AH686" s="29" t="s">
        <v>933</v>
      </c>
      <c r="AI686" s="29" t="s">
        <v>727</v>
      </c>
      <c r="AJ686" s="29" t="s">
        <v>934</v>
      </c>
      <c r="AL686" s="29" t="s">
        <v>686</v>
      </c>
    </row>
    <row r="687" spans="15:38">
      <c r="O687" t="s">
        <v>44</v>
      </c>
      <c r="P687" t="s">
        <v>43</v>
      </c>
      <c r="Q687" t="s">
        <v>3</v>
      </c>
      <c r="R687" t="s">
        <v>67</v>
      </c>
      <c r="S687">
        <v>2024.43</v>
      </c>
      <c r="T687">
        <v>32839.379999999997</v>
      </c>
      <c r="U687">
        <v>29510.494299999998</v>
      </c>
      <c r="V687">
        <v>29510.494299999998</v>
      </c>
      <c r="AA687" s="29" t="s">
        <v>43</v>
      </c>
      <c r="AB687">
        <v>31199</v>
      </c>
      <c r="AC687">
        <v>80</v>
      </c>
      <c r="AD687">
        <v>4</v>
      </c>
      <c r="AE687">
        <v>109.3</v>
      </c>
      <c r="AF687">
        <v>109.3</v>
      </c>
      <c r="AG687" s="29" t="s">
        <v>685</v>
      </c>
      <c r="AH687" s="29" t="s">
        <v>913</v>
      </c>
      <c r="AI687" s="29" t="s">
        <v>727</v>
      </c>
      <c r="AJ687" s="29" t="s">
        <v>914</v>
      </c>
      <c r="AL687" s="29" t="s">
        <v>686</v>
      </c>
    </row>
    <row r="688" spans="15:38">
      <c r="O688" t="s">
        <v>44</v>
      </c>
      <c r="P688" t="s">
        <v>43</v>
      </c>
      <c r="Q688" t="s">
        <v>3</v>
      </c>
      <c r="R688" t="s">
        <v>67</v>
      </c>
      <c r="S688">
        <v>2024.44</v>
      </c>
      <c r="T688">
        <v>32839.379999999997</v>
      </c>
      <c r="U688">
        <v>29510.494299999998</v>
      </c>
      <c r="V688">
        <v>32839.379999999997</v>
      </c>
      <c r="AA688" s="29" t="s">
        <v>43</v>
      </c>
      <c r="AB688">
        <v>31199</v>
      </c>
      <c r="AC688">
        <v>80</v>
      </c>
      <c r="AD688">
        <v>4</v>
      </c>
      <c r="AE688">
        <v>4200.37</v>
      </c>
      <c r="AF688">
        <v>4200.37</v>
      </c>
      <c r="AG688" s="29" t="s">
        <v>685</v>
      </c>
      <c r="AH688" s="29" t="s">
        <v>935</v>
      </c>
      <c r="AI688" s="29" t="s">
        <v>727</v>
      </c>
      <c r="AJ688" s="29" t="s">
        <v>936</v>
      </c>
      <c r="AL688" s="29" t="s">
        <v>686</v>
      </c>
    </row>
    <row r="689" spans="15:38">
      <c r="O689" t="s">
        <v>44</v>
      </c>
      <c r="P689" t="s">
        <v>43</v>
      </c>
      <c r="Q689" t="s">
        <v>3</v>
      </c>
      <c r="R689" t="s">
        <v>67</v>
      </c>
      <c r="S689">
        <v>2024.45</v>
      </c>
      <c r="T689">
        <v>32839.379999999997</v>
      </c>
      <c r="U689">
        <v>29510.494299999998</v>
      </c>
      <c r="V689">
        <v>32839.379999999997</v>
      </c>
      <c r="AA689" s="29" t="s">
        <v>43</v>
      </c>
      <c r="AB689">
        <v>31199</v>
      </c>
      <c r="AC689">
        <v>80</v>
      </c>
      <c r="AD689">
        <v>4</v>
      </c>
      <c r="AE689">
        <v>10.11</v>
      </c>
      <c r="AF689">
        <v>10.11</v>
      </c>
      <c r="AG689" s="29" t="s">
        <v>685</v>
      </c>
      <c r="AH689" s="29" t="s">
        <v>937</v>
      </c>
      <c r="AI689" s="29" t="s">
        <v>727</v>
      </c>
      <c r="AJ689" s="29" t="s">
        <v>938</v>
      </c>
      <c r="AL689" s="29" t="s">
        <v>686</v>
      </c>
    </row>
    <row r="690" spans="15:38">
      <c r="O690" t="s">
        <v>44</v>
      </c>
      <c r="P690" t="s">
        <v>43</v>
      </c>
      <c r="Q690" t="s">
        <v>3</v>
      </c>
      <c r="R690" t="s">
        <v>67</v>
      </c>
      <c r="S690">
        <v>2024.47</v>
      </c>
      <c r="T690">
        <v>32839.379999999997</v>
      </c>
      <c r="U690">
        <v>29510.494299999998</v>
      </c>
      <c r="V690">
        <v>32839.379999999997</v>
      </c>
      <c r="AA690" s="29" t="s">
        <v>43</v>
      </c>
      <c r="AB690">
        <v>31199</v>
      </c>
      <c r="AC690">
        <v>80</v>
      </c>
      <c r="AD690">
        <v>4</v>
      </c>
      <c r="AE690">
        <v>50.54</v>
      </c>
      <c r="AF690">
        <v>50.54</v>
      </c>
      <c r="AG690" s="29" t="s">
        <v>685</v>
      </c>
      <c r="AH690" s="29" t="s">
        <v>939</v>
      </c>
      <c r="AI690" s="29" t="s">
        <v>727</v>
      </c>
      <c r="AJ690" s="29" t="s">
        <v>940</v>
      </c>
      <c r="AL690" s="29" t="s">
        <v>686</v>
      </c>
    </row>
    <row r="691" spans="15:38">
      <c r="O691" t="s">
        <v>44</v>
      </c>
      <c r="P691" t="s">
        <v>43</v>
      </c>
      <c r="Q691" t="s">
        <v>3</v>
      </c>
      <c r="R691" t="s">
        <v>67</v>
      </c>
      <c r="S691">
        <v>2024.48</v>
      </c>
      <c r="T691">
        <v>32839.379999999997</v>
      </c>
      <c r="U691">
        <v>29510.494299999998</v>
      </c>
      <c r="V691">
        <v>32839.379999999997</v>
      </c>
      <c r="AA691" s="29" t="s">
        <v>43</v>
      </c>
      <c r="AB691">
        <v>31199</v>
      </c>
      <c r="AC691">
        <v>80</v>
      </c>
      <c r="AD691">
        <v>4</v>
      </c>
      <c r="AE691">
        <v>-50.54</v>
      </c>
      <c r="AF691">
        <v>-50.54</v>
      </c>
      <c r="AG691" s="29" t="s">
        <v>685</v>
      </c>
      <c r="AH691" s="29" t="s">
        <v>941</v>
      </c>
      <c r="AI691" s="29" t="s">
        <v>727</v>
      </c>
      <c r="AJ691" s="29" t="s">
        <v>942</v>
      </c>
      <c r="AL691" s="29" t="s">
        <v>686</v>
      </c>
    </row>
    <row r="692" spans="15:38">
      <c r="O692" t="s">
        <v>44</v>
      </c>
      <c r="P692" t="s">
        <v>43</v>
      </c>
      <c r="Q692" t="s">
        <v>3</v>
      </c>
      <c r="R692" t="s">
        <v>67</v>
      </c>
      <c r="S692">
        <v>2024.49</v>
      </c>
      <c r="T692">
        <v>32839.379999999997</v>
      </c>
      <c r="U692">
        <v>29510.494299999998</v>
      </c>
      <c r="V692">
        <v>32839.379999999997</v>
      </c>
      <c r="AA692" s="29" t="s">
        <v>43</v>
      </c>
      <c r="AB692">
        <v>31199</v>
      </c>
      <c r="AC692">
        <v>80</v>
      </c>
      <c r="AD692">
        <v>4</v>
      </c>
      <c r="AE692">
        <v>50.54</v>
      </c>
      <c r="AF692">
        <v>50.54</v>
      </c>
      <c r="AG692" s="29" t="s">
        <v>685</v>
      </c>
      <c r="AH692" s="29" t="s">
        <v>939</v>
      </c>
      <c r="AI692" s="29" t="s">
        <v>727</v>
      </c>
      <c r="AJ692" s="29" t="s">
        <v>940</v>
      </c>
      <c r="AL692" s="29" t="s">
        <v>686</v>
      </c>
    </row>
    <row r="693" spans="15:38">
      <c r="O693" t="s">
        <v>44</v>
      </c>
      <c r="P693" t="s">
        <v>43</v>
      </c>
      <c r="Q693" t="s">
        <v>3</v>
      </c>
      <c r="R693" t="s">
        <v>67</v>
      </c>
      <c r="S693">
        <v>2024.52</v>
      </c>
      <c r="T693">
        <v>32839.379999999997</v>
      </c>
      <c r="U693">
        <v>29510.494299999998</v>
      </c>
      <c r="V693">
        <v>32839.379999999997</v>
      </c>
      <c r="AA693" s="29" t="s">
        <v>43</v>
      </c>
      <c r="AB693">
        <v>31199</v>
      </c>
      <c r="AC693">
        <v>80</v>
      </c>
      <c r="AD693">
        <v>4</v>
      </c>
      <c r="AE693">
        <v>137</v>
      </c>
      <c r="AF693">
        <v>137</v>
      </c>
      <c r="AG693" s="29" t="s">
        <v>685</v>
      </c>
      <c r="AH693" s="29" t="s">
        <v>943</v>
      </c>
      <c r="AI693" s="29" t="s">
        <v>727</v>
      </c>
      <c r="AJ693" s="29" t="s">
        <v>944</v>
      </c>
      <c r="AL693" s="29" t="s">
        <v>686</v>
      </c>
    </row>
    <row r="694" spans="15:38">
      <c r="O694" t="s">
        <v>44</v>
      </c>
      <c r="P694" t="s">
        <v>43</v>
      </c>
      <c r="Q694" t="s">
        <v>3</v>
      </c>
      <c r="R694" t="s">
        <v>67</v>
      </c>
      <c r="S694">
        <v>2025.03</v>
      </c>
      <c r="T694">
        <v>32839.379999999997</v>
      </c>
      <c r="U694">
        <v>29510.494299999998</v>
      </c>
      <c r="V694">
        <v>32839.379999999997</v>
      </c>
      <c r="AA694" s="29" t="s">
        <v>43</v>
      </c>
      <c r="AB694">
        <v>31199</v>
      </c>
      <c r="AC694">
        <v>80</v>
      </c>
      <c r="AD694">
        <v>4</v>
      </c>
      <c r="AE694">
        <v>147.74</v>
      </c>
      <c r="AF694">
        <v>147.74</v>
      </c>
      <c r="AG694" s="29" t="s">
        <v>685</v>
      </c>
      <c r="AH694" s="29" t="s">
        <v>945</v>
      </c>
      <c r="AI694" s="29" t="s">
        <v>727</v>
      </c>
      <c r="AJ694" s="29" t="s">
        <v>946</v>
      </c>
      <c r="AL694" s="29" t="s">
        <v>686</v>
      </c>
    </row>
    <row r="695" spans="15:38">
      <c r="O695" t="s">
        <v>44</v>
      </c>
      <c r="P695" t="s">
        <v>43</v>
      </c>
      <c r="Q695" t="s">
        <v>3</v>
      </c>
      <c r="R695" t="s">
        <v>67</v>
      </c>
      <c r="S695">
        <v>2025.12</v>
      </c>
      <c r="T695">
        <v>32839.379999999997</v>
      </c>
      <c r="U695">
        <v>29510.494299999998</v>
      </c>
      <c r="V695">
        <v>32839.379999999997</v>
      </c>
      <c r="AA695" s="29" t="s">
        <v>43</v>
      </c>
      <c r="AB695">
        <v>31199</v>
      </c>
      <c r="AC695">
        <v>80</v>
      </c>
      <c r="AD695">
        <v>4</v>
      </c>
      <c r="AE695">
        <v>447.35</v>
      </c>
      <c r="AF695">
        <v>447.35</v>
      </c>
      <c r="AG695" s="29" t="s">
        <v>685</v>
      </c>
      <c r="AH695" s="29" t="s">
        <v>899</v>
      </c>
      <c r="AI695" s="29" t="s">
        <v>727</v>
      </c>
      <c r="AJ695" s="29" t="s">
        <v>900</v>
      </c>
      <c r="AL695" s="29" t="s">
        <v>686</v>
      </c>
    </row>
    <row r="696" spans="15:38">
      <c r="O696" t="s">
        <v>44</v>
      </c>
      <c r="P696" t="s">
        <v>43</v>
      </c>
      <c r="Q696" t="s">
        <v>3</v>
      </c>
      <c r="R696" t="s">
        <v>64</v>
      </c>
      <c r="S696">
        <v>2023.51</v>
      </c>
      <c r="T696">
        <v>4106.6099999999997</v>
      </c>
      <c r="U696">
        <v>0</v>
      </c>
      <c r="V696">
        <v>0</v>
      </c>
      <c r="AA696" s="29" t="s">
        <v>43</v>
      </c>
      <c r="AB696">
        <v>31199</v>
      </c>
      <c r="AC696">
        <v>80</v>
      </c>
      <c r="AD696">
        <v>4</v>
      </c>
      <c r="AE696">
        <v>-109.3</v>
      </c>
      <c r="AF696">
        <v>-109.3</v>
      </c>
      <c r="AG696" s="29" t="s">
        <v>685</v>
      </c>
      <c r="AH696" s="29" t="s">
        <v>933</v>
      </c>
      <c r="AI696" s="29" t="s">
        <v>727</v>
      </c>
      <c r="AJ696" s="29" t="s">
        <v>934</v>
      </c>
      <c r="AL696" s="29" t="s">
        <v>686</v>
      </c>
    </row>
    <row r="697" spans="15:38">
      <c r="O697" t="s">
        <v>44</v>
      </c>
      <c r="P697" t="s">
        <v>43</v>
      </c>
      <c r="Q697" t="s">
        <v>3</v>
      </c>
      <c r="R697" t="s">
        <v>64</v>
      </c>
      <c r="S697">
        <v>2024.06</v>
      </c>
      <c r="T697">
        <v>5063.49</v>
      </c>
      <c r="U697">
        <v>0</v>
      </c>
      <c r="V697">
        <v>0</v>
      </c>
      <c r="AA697" s="29" t="s">
        <v>43</v>
      </c>
      <c r="AB697">
        <v>31199</v>
      </c>
      <c r="AC697">
        <v>80</v>
      </c>
      <c r="AD697">
        <v>4</v>
      </c>
      <c r="AE697">
        <v>109.3</v>
      </c>
      <c r="AF697">
        <v>109.3</v>
      </c>
      <c r="AG697" s="29" t="s">
        <v>685</v>
      </c>
      <c r="AH697" s="29" t="s">
        <v>913</v>
      </c>
      <c r="AI697" s="29" t="s">
        <v>727</v>
      </c>
      <c r="AJ697" s="29" t="s">
        <v>914</v>
      </c>
      <c r="AL697" s="29" t="s">
        <v>686</v>
      </c>
    </row>
    <row r="698" spans="15:38">
      <c r="O698" t="s">
        <v>44</v>
      </c>
      <c r="P698" t="s">
        <v>43</v>
      </c>
      <c r="Q698" t="s">
        <v>3</v>
      </c>
      <c r="R698" t="s">
        <v>64</v>
      </c>
      <c r="S698">
        <v>2024.07</v>
      </c>
      <c r="T698">
        <v>5063.49</v>
      </c>
      <c r="U698">
        <v>0</v>
      </c>
      <c r="V698">
        <v>0</v>
      </c>
      <c r="AA698" s="29" t="s">
        <v>43</v>
      </c>
      <c r="AB698">
        <v>31199</v>
      </c>
      <c r="AC698">
        <v>80</v>
      </c>
      <c r="AD698">
        <v>4</v>
      </c>
      <c r="AE698">
        <v>-109.3</v>
      </c>
      <c r="AF698">
        <v>-109.3</v>
      </c>
      <c r="AG698" s="29" t="s">
        <v>685</v>
      </c>
      <c r="AH698" s="29" t="s">
        <v>933</v>
      </c>
      <c r="AI698" s="29" t="s">
        <v>727</v>
      </c>
      <c r="AJ698" s="29" t="s">
        <v>934</v>
      </c>
      <c r="AL698" s="29" t="s">
        <v>686</v>
      </c>
    </row>
    <row r="699" spans="15:38">
      <c r="O699" t="s">
        <v>44</v>
      </c>
      <c r="P699" t="s">
        <v>43</v>
      </c>
      <c r="Q699" t="s">
        <v>3</v>
      </c>
      <c r="R699" t="s">
        <v>64</v>
      </c>
      <c r="S699">
        <v>2024.08</v>
      </c>
      <c r="T699">
        <v>5063.49</v>
      </c>
      <c r="U699">
        <v>0</v>
      </c>
      <c r="V699">
        <v>0</v>
      </c>
      <c r="AA699" s="29" t="s">
        <v>43</v>
      </c>
      <c r="AB699">
        <v>31199</v>
      </c>
      <c r="AC699">
        <v>80</v>
      </c>
      <c r="AD699">
        <v>4</v>
      </c>
      <c r="AE699">
        <v>109.3</v>
      </c>
      <c r="AF699">
        <v>109.3</v>
      </c>
      <c r="AG699" s="29" t="s">
        <v>685</v>
      </c>
      <c r="AH699" s="29" t="s">
        <v>913</v>
      </c>
      <c r="AI699" s="29" t="s">
        <v>727</v>
      </c>
      <c r="AJ699" s="29" t="s">
        <v>914</v>
      </c>
      <c r="AL699" s="29" t="s">
        <v>686</v>
      </c>
    </row>
    <row r="700" spans="15:38">
      <c r="O700" t="s">
        <v>44</v>
      </c>
      <c r="P700" t="s">
        <v>43</v>
      </c>
      <c r="Q700" t="s">
        <v>3</v>
      </c>
      <c r="R700" t="s">
        <v>64</v>
      </c>
      <c r="S700">
        <v>2024.09</v>
      </c>
      <c r="T700">
        <v>5063.49</v>
      </c>
      <c r="U700">
        <v>0</v>
      </c>
      <c r="V700">
        <v>0</v>
      </c>
      <c r="AA700" s="29" t="s">
        <v>43</v>
      </c>
      <c r="AB700">
        <v>31199</v>
      </c>
      <c r="AC700">
        <v>80</v>
      </c>
      <c r="AD700">
        <v>4</v>
      </c>
      <c r="AE700">
        <v>1453.02</v>
      </c>
      <c r="AF700">
        <v>1453.02</v>
      </c>
      <c r="AG700" s="29" t="s">
        <v>685</v>
      </c>
      <c r="AH700" s="29" t="s">
        <v>947</v>
      </c>
      <c r="AI700" s="29" t="s">
        <v>727</v>
      </c>
      <c r="AJ700" s="29" t="s">
        <v>948</v>
      </c>
      <c r="AL700" s="29" t="s">
        <v>686</v>
      </c>
    </row>
    <row r="701" spans="15:38">
      <c r="O701" t="s">
        <v>44</v>
      </c>
      <c r="P701" t="s">
        <v>43</v>
      </c>
      <c r="Q701" t="s">
        <v>3</v>
      </c>
      <c r="R701" t="s">
        <v>64</v>
      </c>
      <c r="S701">
        <v>2024.1</v>
      </c>
      <c r="T701">
        <v>5063.49</v>
      </c>
      <c r="U701">
        <v>0</v>
      </c>
      <c r="V701">
        <v>0</v>
      </c>
      <c r="AA701" s="29" t="s">
        <v>43</v>
      </c>
      <c r="AB701">
        <v>31199</v>
      </c>
      <c r="AC701">
        <v>80</v>
      </c>
      <c r="AD701">
        <v>4</v>
      </c>
      <c r="AE701">
        <v>-109.3</v>
      </c>
      <c r="AF701">
        <v>-109.3</v>
      </c>
      <c r="AG701" s="29" t="s">
        <v>685</v>
      </c>
      <c r="AH701" s="29" t="s">
        <v>933</v>
      </c>
      <c r="AI701" s="29" t="s">
        <v>727</v>
      </c>
      <c r="AJ701" s="29" t="s">
        <v>934</v>
      </c>
      <c r="AL701" s="29" t="s">
        <v>686</v>
      </c>
    </row>
    <row r="702" spans="15:38">
      <c r="O702" t="s">
        <v>44</v>
      </c>
      <c r="P702" t="s">
        <v>43</v>
      </c>
      <c r="Q702" t="s">
        <v>3</v>
      </c>
      <c r="R702" t="s">
        <v>64</v>
      </c>
      <c r="S702">
        <v>2024.11</v>
      </c>
      <c r="T702">
        <v>5063.49</v>
      </c>
      <c r="U702">
        <v>0</v>
      </c>
      <c r="V702">
        <v>0</v>
      </c>
      <c r="AA702" s="29" t="s">
        <v>43</v>
      </c>
      <c r="AB702">
        <v>31199</v>
      </c>
      <c r="AC702">
        <v>80</v>
      </c>
      <c r="AD702">
        <v>4</v>
      </c>
      <c r="AE702">
        <v>496.92</v>
      </c>
      <c r="AF702">
        <v>496.92</v>
      </c>
      <c r="AG702" s="29" t="s">
        <v>685</v>
      </c>
      <c r="AH702" s="29" t="s">
        <v>854</v>
      </c>
      <c r="AI702" s="29" t="s">
        <v>727</v>
      </c>
      <c r="AJ702" s="29" t="s">
        <v>855</v>
      </c>
      <c r="AL702" s="29" t="s">
        <v>686</v>
      </c>
    </row>
    <row r="703" spans="15:38">
      <c r="O703" t="s">
        <v>44</v>
      </c>
      <c r="P703" t="s">
        <v>43</v>
      </c>
      <c r="Q703" t="s">
        <v>3</v>
      </c>
      <c r="R703" t="s">
        <v>64</v>
      </c>
      <c r="S703">
        <v>2024.14</v>
      </c>
      <c r="T703">
        <v>5063.49</v>
      </c>
      <c r="U703">
        <v>0</v>
      </c>
      <c r="V703">
        <v>0</v>
      </c>
      <c r="AA703" s="29" t="s">
        <v>43</v>
      </c>
      <c r="AB703">
        <v>31199</v>
      </c>
      <c r="AC703">
        <v>80</v>
      </c>
      <c r="AD703">
        <v>4</v>
      </c>
      <c r="AE703">
        <v>684.15</v>
      </c>
      <c r="AF703">
        <v>684.15</v>
      </c>
      <c r="AG703" s="29" t="s">
        <v>685</v>
      </c>
      <c r="AH703" s="29" t="s">
        <v>856</v>
      </c>
      <c r="AI703" s="29" t="s">
        <v>727</v>
      </c>
      <c r="AJ703" s="29" t="s">
        <v>857</v>
      </c>
      <c r="AL703" s="29" t="s">
        <v>686</v>
      </c>
    </row>
    <row r="704" spans="15:38">
      <c r="O704" t="s">
        <v>44</v>
      </c>
      <c r="P704" t="s">
        <v>43</v>
      </c>
      <c r="Q704" t="s">
        <v>3</v>
      </c>
      <c r="R704" t="s">
        <v>64</v>
      </c>
      <c r="S704">
        <v>2024.17</v>
      </c>
      <c r="T704">
        <v>5063.49</v>
      </c>
      <c r="U704">
        <v>0</v>
      </c>
      <c r="V704">
        <v>0</v>
      </c>
      <c r="AA704" s="29" t="s">
        <v>43</v>
      </c>
      <c r="AB704">
        <v>31199</v>
      </c>
      <c r="AC704">
        <v>80</v>
      </c>
      <c r="AD704">
        <v>4</v>
      </c>
      <c r="AE704">
        <v>1275.44</v>
      </c>
      <c r="AF704">
        <v>1275.44</v>
      </c>
      <c r="AG704" s="29" t="s">
        <v>685</v>
      </c>
      <c r="AH704" s="29" t="s">
        <v>949</v>
      </c>
      <c r="AI704" s="29" t="s">
        <v>727</v>
      </c>
      <c r="AJ704" s="29" t="s">
        <v>950</v>
      </c>
      <c r="AL704" s="29" t="s">
        <v>686</v>
      </c>
    </row>
    <row r="705" spans="15:38">
      <c r="O705" t="s">
        <v>44</v>
      </c>
      <c r="P705" t="s">
        <v>43</v>
      </c>
      <c r="Q705" t="s">
        <v>3</v>
      </c>
      <c r="R705" t="s">
        <v>64</v>
      </c>
      <c r="S705">
        <v>2024.18</v>
      </c>
      <c r="T705">
        <v>10163.41</v>
      </c>
      <c r="U705">
        <v>0</v>
      </c>
      <c r="V705">
        <v>0</v>
      </c>
      <c r="AA705" s="29" t="s">
        <v>43</v>
      </c>
      <c r="AB705">
        <v>31199</v>
      </c>
      <c r="AC705">
        <v>80</v>
      </c>
      <c r="AD705">
        <v>4</v>
      </c>
      <c r="AE705">
        <v>447.35</v>
      </c>
      <c r="AF705">
        <v>447.35</v>
      </c>
      <c r="AG705" s="29" t="s">
        <v>685</v>
      </c>
      <c r="AH705" s="29" t="s">
        <v>899</v>
      </c>
      <c r="AI705" s="29" t="s">
        <v>727</v>
      </c>
      <c r="AJ705" s="29" t="s">
        <v>900</v>
      </c>
      <c r="AL705" s="29" t="s">
        <v>686</v>
      </c>
    </row>
    <row r="706" spans="15:38">
      <c r="O706" t="s">
        <v>44</v>
      </c>
      <c r="P706" t="s">
        <v>43</v>
      </c>
      <c r="Q706" t="s">
        <v>3</v>
      </c>
      <c r="R706" t="s">
        <v>64</v>
      </c>
      <c r="S706">
        <v>2024.19</v>
      </c>
      <c r="T706">
        <v>5063.49</v>
      </c>
      <c r="U706">
        <v>0</v>
      </c>
      <c r="V706">
        <v>0</v>
      </c>
      <c r="AA706" s="29" t="s">
        <v>43</v>
      </c>
      <c r="AB706">
        <v>31199</v>
      </c>
      <c r="AC706">
        <v>80</v>
      </c>
      <c r="AD706">
        <v>4</v>
      </c>
      <c r="AE706">
        <v>755.14</v>
      </c>
      <c r="AF706">
        <v>755.14</v>
      </c>
      <c r="AG706" s="29" t="s">
        <v>685</v>
      </c>
      <c r="AH706" s="29" t="s">
        <v>951</v>
      </c>
      <c r="AI706" s="29" t="s">
        <v>727</v>
      </c>
      <c r="AJ706" s="29" t="s">
        <v>952</v>
      </c>
      <c r="AL706" s="29" t="s">
        <v>686</v>
      </c>
    </row>
    <row r="707" spans="15:38">
      <c r="O707" t="s">
        <v>44</v>
      </c>
      <c r="P707" t="s">
        <v>43</v>
      </c>
      <c r="Q707" t="s">
        <v>3</v>
      </c>
      <c r="R707" t="s">
        <v>64</v>
      </c>
      <c r="S707">
        <v>2024.2</v>
      </c>
      <c r="T707">
        <v>5063.49</v>
      </c>
      <c r="U707">
        <v>0</v>
      </c>
      <c r="V707">
        <v>0</v>
      </c>
      <c r="AA707" s="29" t="s">
        <v>43</v>
      </c>
      <c r="AB707">
        <v>31199</v>
      </c>
      <c r="AC707">
        <v>80</v>
      </c>
      <c r="AD707">
        <v>4</v>
      </c>
      <c r="AE707">
        <v>1275.44</v>
      </c>
      <c r="AF707">
        <v>1275.44</v>
      </c>
      <c r="AG707" s="29" t="s">
        <v>685</v>
      </c>
      <c r="AH707" s="29" t="s">
        <v>949</v>
      </c>
      <c r="AI707" s="29" t="s">
        <v>727</v>
      </c>
      <c r="AJ707" s="29" t="s">
        <v>950</v>
      </c>
      <c r="AL707" s="29" t="s">
        <v>686</v>
      </c>
    </row>
    <row r="708" spans="15:38">
      <c r="O708" t="s">
        <v>44</v>
      </c>
      <c r="P708" t="s">
        <v>43</v>
      </c>
      <c r="Q708" t="s">
        <v>3</v>
      </c>
      <c r="R708" t="s">
        <v>64</v>
      </c>
      <c r="S708">
        <v>2024.21</v>
      </c>
      <c r="T708">
        <v>5063.49</v>
      </c>
      <c r="U708">
        <v>0</v>
      </c>
      <c r="V708">
        <v>0</v>
      </c>
      <c r="AA708" s="29" t="s">
        <v>43</v>
      </c>
      <c r="AB708">
        <v>31199</v>
      </c>
      <c r="AC708">
        <v>80</v>
      </c>
      <c r="AD708">
        <v>4</v>
      </c>
      <c r="AE708">
        <v>2871.3</v>
      </c>
      <c r="AF708">
        <v>2871.3</v>
      </c>
      <c r="AG708" s="29" t="s">
        <v>685</v>
      </c>
      <c r="AH708" s="29" t="s">
        <v>953</v>
      </c>
      <c r="AI708" s="29" t="s">
        <v>727</v>
      </c>
      <c r="AJ708" s="29" t="s">
        <v>954</v>
      </c>
      <c r="AL708" s="29" t="s">
        <v>686</v>
      </c>
    </row>
    <row r="709" spans="15:38">
      <c r="O709" t="s">
        <v>44</v>
      </c>
      <c r="P709" t="s">
        <v>43</v>
      </c>
      <c r="Q709" t="s">
        <v>3</v>
      </c>
      <c r="R709" t="s">
        <v>64</v>
      </c>
      <c r="S709">
        <v>2024.28</v>
      </c>
      <c r="T709">
        <v>5099.92</v>
      </c>
      <c r="U709">
        <v>0</v>
      </c>
      <c r="V709">
        <v>0</v>
      </c>
      <c r="AA709" s="29" t="s">
        <v>43</v>
      </c>
      <c r="AB709">
        <v>31199</v>
      </c>
      <c r="AC709">
        <v>80</v>
      </c>
      <c r="AD709">
        <v>4</v>
      </c>
      <c r="AE709">
        <v>447.35</v>
      </c>
      <c r="AF709">
        <v>447.35</v>
      </c>
      <c r="AG709" s="29" t="s">
        <v>685</v>
      </c>
      <c r="AH709" s="29" t="s">
        <v>899</v>
      </c>
      <c r="AI709" s="29" t="s">
        <v>727</v>
      </c>
      <c r="AJ709" s="29" t="s">
        <v>900</v>
      </c>
      <c r="AL709" s="29" t="s">
        <v>686</v>
      </c>
    </row>
    <row r="710" spans="15:38">
      <c r="O710" t="s">
        <v>44</v>
      </c>
      <c r="P710" t="s">
        <v>43</v>
      </c>
      <c r="Q710" t="s">
        <v>3</v>
      </c>
      <c r="R710" t="s">
        <v>64</v>
      </c>
      <c r="S710">
        <v>2024.38</v>
      </c>
      <c r="T710">
        <v>10163.41</v>
      </c>
      <c r="U710">
        <v>0</v>
      </c>
      <c r="V710">
        <v>0</v>
      </c>
      <c r="AA710" s="29" t="s">
        <v>43</v>
      </c>
      <c r="AB710">
        <v>31199</v>
      </c>
      <c r="AC710">
        <v>80</v>
      </c>
      <c r="AD710">
        <v>4</v>
      </c>
      <c r="AE710">
        <v>767.78</v>
      </c>
      <c r="AF710">
        <v>767.78</v>
      </c>
      <c r="AG710" s="29" t="s">
        <v>685</v>
      </c>
      <c r="AH710" s="29" t="s">
        <v>955</v>
      </c>
      <c r="AI710" s="29" t="s">
        <v>727</v>
      </c>
      <c r="AJ710" s="29" t="s">
        <v>956</v>
      </c>
      <c r="AL710" s="29" t="s">
        <v>686</v>
      </c>
    </row>
    <row r="711" spans="15:38">
      <c r="O711" t="s">
        <v>44</v>
      </c>
      <c r="P711" t="s">
        <v>43</v>
      </c>
      <c r="Q711" t="s">
        <v>3</v>
      </c>
      <c r="R711" t="s">
        <v>64</v>
      </c>
      <c r="S711">
        <v>2024.39</v>
      </c>
      <c r="T711">
        <v>5099.92</v>
      </c>
      <c r="U711">
        <v>0</v>
      </c>
      <c r="V711">
        <v>0</v>
      </c>
      <c r="AA711" s="29" t="s">
        <v>43</v>
      </c>
      <c r="AB711">
        <v>31199</v>
      </c>
      <c r="AC711">
        <v>80</v>
      </c>
      <c r="AD711">
        <v>4</v>
      </c>
      <c r="AE711">
        <v>0</v>
      </c>
      <c r="AF711">
        <v>0</v>
      </c>
      <c r="AG711" s="29" t="s">
        <v>685</v>
      </c>
      <c r="AH711" s="29" t="s">
        <v>693</v>
      </c>
      <c r="AI711" s="29" t="s">
        <v>727</v>
      </c>
      <c r="AJ711" s="29" t="s">
        <v>957</v>
      </c>
      <c r="AL711" s="29" t="s">
        <v>686</v>
      </c>
    </row>
    <row r="712" spans="15:38">
      <c r="O712" t="s">
        <v>44</v>
      </c>
      <c r="P712" t="s">
        <v>43</v>
      </c>
      <c r="Q712" t="s">
        <v>3</v>
      </c>
      <c r="R712" t="s">
        <v>64</v>
      </c>
      <c r="S712">
        <v>2024.41</v>
      </c>
      <c r="T712">
        <v>5099.92</v>
      </c>
      <c r="U712">
        <v>0</v>
      </c>
      <c r="V712">
        <v>0</v>
      </c>
      <c r="AA712" s="29" t="s">
        <v>43</v>
      </c>
      <c r="AB712">
        <v>31199</v>
      </c>
      <c r="AC712">
        <v>80</v>
      </c>
      <c r="AD712">
        <v>4</v>
      </c>
      <c r="AE712">
        <v>1368.3</v>
      </c>
      <c r="AF712">
        <v>1368.3</v>
      </c>
      <c r="AG712" s="29" t="s">
        <v>685</v>
      </c>
      <c r="AH712" s="29" t="s">
        <v>958</v>
      </c>
      <c r="AI712" s="29" t="s">
        <v>727</v>
      </c>
      <c r="AJ712" s="29" t="s">
        <v>959</v>
      </c>
      <c r="AL712" s="29" t="s">
        <v>686</v>
      </c>
    </row>
    <row r="713" spans="15:38">
      <c r="O713" t="s">
        <v>44</v>
      </c>
      <c r="P713" t="s">
        <v>43</v>
      </c>
      <c r="Q713" t="s">
        <v>3</v>
      </c>
      <c r="R713" t="s">
        <v>64</v>
      </c>
      <c r="S713">
        <v>2024.43</v>
      </c>
      <c r="T713">
        <v>5099.92</v>
      </c>
      <c r="U713">
        <v>0</v>
      </c>
      <c r="V713">
        <v>0</v>
      </c>
      <c r="AA713" s="29" t="s">
        <v>43</v>
      </c>
      <c r="AB713">
        <v>31199</v>
      </c>
      <c r="AC713">
        <v>80</v>
      </c>
      <c r="AD713">
        <v>4</v>
      </c>
      <c r="AE713">
        <v>169.4</v>
      </c>
      <c r="AF713">
        <v>169.4</v>
      </c>
      <c r="AG713" s="29" t="s">
        <v>685</v>
      </c>
      <c r="AH713" s="29" t="s">
        <v>960</v>
      </c>
      <c r="AI713" s="29" t="s">
        <v>727</v>
      </c>
      <c r="AJ713" s="29" t="s">
        <v>961</v>
      </c>
      <c r="AL713" s="29" t="s">
        <v>686</v>
      </c>
    </row>
    <row r="714" spans="15:38">
      <c r="O714" t="s">
        <v>44</v>
      </c>
      <c r="P714" t="s">
        <v>43</v>
      </c>
      <c r="Q714" t="s">
        <v>3</v>
      </c>
      <c r="R714" t="s">
        <v>64</v>
      </c>
      <c r="S714">
        <v>2024.44</v>
      </c>
      <c r="T714">
        <v>5099.92</v>
      </c>
      <c r="U714">
        <v>0</v>
      </c>
      <c r="V714">
        <v>5099.92</v>
      </c>
      <c r="AA714" s="29" t="s">
        <v>43</v>
      </c>
      <c r="AB714">
        <v>31199</v>
      </c>
      <c r="AC714">
        <v>80</v>
      </c>
      <c r="AD714">
        <v>4</v>
      </c>
      <c r="AE714">
        <v>273.02999999999997</v>
      </c>
      <c r="AF714">
        <v>273.02999999999997</v>
      </c>
      <c r="AG714" s="29" t="s">
        <v>685</v>
      </c>
      <c r="AH714" s="29" t="s">
        <v>925</v>
      </c>
      <c r="AI714" s="29" t="s">
        <v>727</v>
      </c>
      <c r="AJ714" s="29" t="s">
        <v>926</v>
      </c>
      <c r="AL714" s="29" t="s">
        <v>686</v>
      </c>
    </row>
    <row r="715" spans="15:38">
      <c r="O715" t="s">
        <v>44</v>
      </c>
      <c r="P715" t="s">
        <v>43</v>
      </c>
      <c r="Q715" t="s">
        <v>3</v>
      </c>
      <c r="R715" t="s">
        <v>64</v>
      </c>
      <c r="S715">
        <v>2024.45</v>
      </c>
      <c r="T715">
        <v>5099.92</v>
      </c>
      <c r="U715">
        <v>0</v>
      </c>
      <c r="V715">
        <v>5099.92</v>
      </c>
      <c r="AA715" s="29" t="s">
        <v>43</v>
      </c>
      <c r="AB715">
        <v>31199</v>
      </c>
      <c r="AC715">
        <v>80</v>
      </c>
      <c r="AD715">
        <v>4</v>
      </c>
      <c r="AE715">
        <v>-273.02999999999997</v>
      </c>
      <c r="AF715">
        <v>-273.02999999999997</v>
      </c>
      <c r="AG715" s="29" t="s">
        <v>685</v>
      </c>
      <c r="AH715" s="29" t="s">
        <v>962</v>
      </c>
      <c r="AI715" s="29" t="s">
        <v>727</v>
      </c>
      <c r="AJ715" s="29" t="s">
        <v>963</v>
      </c>
      <c r="AL715" s="29" t="s">
        <v>686</v>
      </c>
    </row>
    <row r="716" spans="15:38">
      <c r="O716" t="s">
        <v>44</v>
      </c>
      <c r="P716" t="s">
        <v>43</v>
      </c>
      <c r="Q716" t="s">
        <v>3</v>
      </c>
      <c r="R716" t="s">
        <v>64</v>
      </c>
      <c r="S716">
        <v>2024.47</v>
      </c>
      <c r="T716">
        <v>5099.92</v>
      </c>
      <c r="U716">
        <v>0</v>
      </c>
      <c r="V716">
        <v>5099.92</v>
      </c>
      <c r="AA716" s="29" t="s">
        <v>43</v>
      </c>
      <c r="AB716">
        <v>31199</v>
      </c>
      <c r="AC716">
        <v>80</v>
      </c>
      <c r="AD716">
        <v>4</v>
      </c>
      <c r="AE716">
        <v>273.02999999999997</v>
      </c>
      <c r="AF716">
        <v>273.02999999999997</v>
      </c>
      <c r="AG716" s="29" t="s">
        <v>685</v>
      </c>
      <c r="AH716" s="29" t="s">
        <v>925</v>
      </c>
      <c r="AI716" s="29" t="s">
        <v>727</v>
      </c>
      <c r="AJ716" s="29" t="s">
        <v>926</v>
      </c>
      <c r="AL716" s="29" t="s">
        <v>686</v>
      </c>
    </row>
    <row r="717" spans="15:38">
      <c r="O717" t="s">
        <v>44</v>
      </c>
      <c r="P717" t="s">
        <v>43</v>
      </c>
      <c r="Q717" t="s">
        <v>3</v>
      </c>
      <c r="R717" t="s">
        <v>64</v>
      </c>
      <c r="S717">
        <v>2024.48</v>
      </c>
      <c r="T717">
        <v>5099.92</v>
      </c>
      <c r="U717">
        <v>0</v>
      </c>
      <c r="V717">
        <v>5099.92</v>
      </c>
      <c r="AA717" s="29" t="s">
        <v>43</v>
      </c>
      <c r="AB717">
        <v>31199</v>
      </c>
      <c r="AC717">
        <v>80</v>
      </c>
      <c r="AD717">
        <v>4</v>
      </c>
      <c r="AE717">
        <v>303.37</v>
      </c>
      <c r="AF717">
        <v>303.37</v>
      </c>
      <c r="AG717" s="29" t="s">
        <v>685</v>
      </c>
      <c r="AH717" s="29" t="s">
        <v>927</v>
      </c>
      <c r="AI717" s="29" t="s">
        <v>727</v>
      </c>
      <c r="AJ717" s="29" t="s">
        <v>928</v>
      </c>
      <c r="AL717" s="29" t="s">
        <v>686</v>
      </c>
    </row>
    <row r="718" spans="15:38">
      <c r="O718" t="s">
        <v>44</v>
      </c>
      <c r="P718" t="s">
        <v>43</v>
      </c>
      <c r="Q718" t="s">
        <v>3</v>
      </c>
      <c r="R718" t="s">
        <v>64</v>
      </c>
      <c r="S718">
        <v>2024.49</v>
      </c>
      <c r="T718">
        <v>5099.92</v>
      </c>
      <c r="U718">
        <v>0</v>
      </c>
      <c r="V718">
        <v>5099.92</v>
      </c>
      <c r="AA718" s="29" t="s">
        <v>43</v>
      </c>
      <c r="AB718">
        <v>31199</v>
      </c>
      <c r="AC718">
        <v>80</v>
      </c>
      <c r="AD718">
        <v>4</v>
      </c>
      <c r="AE718">
        <v>163.95</v>
      </c>
      <c r="AF718">
        <v>163.95</v>
      </c>
      <c r="AG718" s="29" t="s">
        <v>685</v>
      </c>
      <c r="AH718" s="29" t="s">
        <v>931</v>
      </c>
      <c r="AI718" s="29" t="s">
        <v>727</v>
      </c>
      <c r="AJ718" s="29" t="s">
        <v>932</v>
      </c>
      <c r="AL718" s="29" t="s">
        <v>686</v>
      </c>
    </row>
    <row r="719" spans="15:38">
      <c r="O719" t="s">
        <v>44</v>
      </c>
      <c r="P719" t="s">
        <v>43</v>
      </c>
      <c r="Q719" t="s">
        <v>3</v>
      </c>
      <c r="R719" t="s">
        <v>64</v>
      </c>
      <c r="S719">
        <v>2024.52</v>
      </c>
      <c r="T719">
        <v>5099.92</v>
      </c>
      <c r="U719">
        <v>0</v>
      </c>
      <c r="V719">
        <v>5099.92</v>
      </c>
      <c r="AA719" s="29" t="s">
        <v>43</v>
      </c>
      <c r="AB719">
        <v>31199</v>
      </c>
      <c r="AC719">
        <v>80</v>
      </c>
      <c r="AD719">
        <v>4</v>
      </c>
      <c r="AE719">
        <v>-303.37</v>
      </c>
      <c r="AF719">
        <v>-303.37</v>
      </c>
      <c r="AG719" s="29" t="s">
        <v>685</v>
      </c>
      <c r="AH719" s="29" t="s">
        <v>929</v>
      </c>
      <c r="AI719" s="29" t="s">
        <v>727</v>
      </c>
      <c r="AJ719" s="29" t="s">
        <v>930</v>
      </c>
      <c r="AL719" s="29" t="s">
        <v>686</v>
      </c>
    </row>
    <row r="720" spans="15:38">
      <c r="O720" t="s">
        <v>44</v>
      </c>
      <c r="P720" t="s">
        <v>43</v>
      </c>
      <c r="Q720" t="s">
        <v>3</v>
      </c>
      <c r="R720" t="s">
        <v>64</v>
      </c>
      <c r="S720">
        <v>2025.03</v>
      </c>
      <c r="T720">
        <v>5099.92</v>
      </c>
      <c r="U720">
        <v>0</v>
      </c>
      <c r="V720">
        <v>5099.92</v>
      </c>
      <c r="AA720" s="29" t="s">
        <v>43</v>
      </c>
      <c r="AB720">
        <v>31199</v>
      </c>
      <c r="AC720">
        <v>80</v>
      </c>
      <c r="AD720">
        <v>4</v>
      </c>
      <c r="AE720">
        <v>303.37</v>
      </c>
      <c r="AF720">
        <v>303.37</v>
      </c>
      <c r="AG720" s="29" t="s">
        <v>685</v>
      </c>
      <c r="AH720" s="29" t="s">
        <v>927</v>
      </c>
      <c r="AI720" s="29" t="s">
        <v>727</v>
      </c>
      <c r="AJ720" s="29" t="s">
        <v>928</v>
      </c>
      <c r="AL720" s="29" t="s">
        <v>686</v>
      </c>
    </row>
    <row r="721" spans="15:38">
      <c r="O721" t="s">
        <v>44</v>
      </c>
      <c r="P721" t="s">
        <v>43</v>
      </c>
      <c r="Q721" t="s">
        <v>3</v>
      </c>
      <c r="R721" t="s">
        <v>64</v>
      </c>
      <c r="S721">
        <v>2025.12</v>
      </c>
      <c r="T721">
        <v>5099.92</v>
      </c>
      <c r="U721">
        <v>0</v>
      </c>
      <c r="V721">
        <v>5099.92</v>
      </c>
      <c r="AA721" s="29" t="s">
        <v>43</v>
      </c>
      <c r="AB721">
        <v>31199</v>
      </c>
      <c r="AC721">
        <v>80</v>
      </c>
      <c r="AD721">
        <v>4</v>
      </c>
      <c r="AE721">
        <v>112.93</v>
      </c>
      <c r="AF721">
        <v>112.93</v>
      </c>
      <c r="AG721" s="29" t="s">
        <v>685</v>
      </c>
      <c r="AH721" s="29" t="s">
        <v>964</v>
      </c>
      <c r="AI721" s="29" t="s">
        <v>727</v>
      </c>
      <c r="AJ721" s="29" t="s">
        <v>965</v>
      </c>
      <c r="AL721" s="29" t="s">
        <v>686</v>
      </c>
    </row>
    <row r="722" spans="15:38">
      <c r="O722" t="s">
        <v>44</v>
      </c>
      <c r="P722" t="s">
        <v>43</v>
      </c>
      <c r="Q722" t="s">
        <v>3</v>
      </c>
      <c r="R722" t="s">
        <v>55</v>
      </c>
      <c r="S722">
        <v>2023.44</v>
      </c>
      <c r="T722">
        <v>0</v>
      </c>
      <c r="U722">
        <v>5704.6566999999995</v>
      </c>
      <c r="V722">
        <v>5704.6566999999995</v>
      </c>
      <c r="AA722" s="29" t="s">
        <v>43</v>
      </c>
      <c r="AB722">
        <v>31199</v>
      </c>
      <c r="AC722">
        <v>80</v>
      </c>
      <c r="AD722">
        <v>4</v>
      </c>
      <c r="AE722">
        <v>163.95</v>
      </c>
      <c r="AF722">
        <v>163.95</v>
      </c>
      <c r="AG722" s="29" t="s">
        <v>685</v>
      </c>
      <c r="AH722" s="29" t="s">
        <v>931</v>
      </c>
      <c r="AI722" s="29" t="s">
        <v>727</v>
      </c>
      <c r="AJ722" s="29" t="s">
        <v>932</v>
      </c>
      <c r="AL722" s="29" t="s">
        <v>686</v>
      </c>
    </row>
    <row r="723" spans="15:38">
      <c r="O723" t="s">
        <v>44</v>
      </c>
      <c r="P723" t="s">
        <v>43</v>
      </c>
      <c r="Q723" t="s">
        <v>3</v>
      </c>
      <c r="R723" t="s">
        <v>55</v>
      </c>
      <c r="S723">
        <v>2024.44</v>
      </c>
      <c r="T723">
        <v>0</v>
      </c>
      <c r="U723">
        <v>5704.6566999999995</v>
      </c>
      <c r="V723">
        <v>0</v>
      </c>
      <c r="AA723" s="29" t="s">
        <v>43</v>
      </c>
      <c r="AB723">
        <v>31199</v>
      </c>
      <c r="AC723">
        <v>80</v>
      </c>
      <c r="AD723">
        <v>4</v>
      </c>
      <c r="AE723">
        <v>-163.95</v>
      </c>
      <c r="AF723">
        <v>-163.95</v>
      </c>
      <c r="AG723" s="29" t="s">
        <v>685</v>
      </c>
      <c r="AH723" s="29" t="s">
        <v>966</v>
      </c>
      <c r="AI723" s="29" t="s">
        <v>727</v>
      </c>
      <c r="AJ723" s="29" t="s">
        <v>967</v>
      </c>
      <c r="AL723" s="29" t="s">
        <v>686</v>
      </c>
    </row>
    <row r="724" spans="15:38">
      <c r="O724" t="s">
        <v>44</v>
      </c>
      <c r="P724" t="s">
        <v>43</v>
      </c>
      <c r="Q724" t="s">
        <v>25</v>
      </c>
      <c r="R724" t="s">
        <v>56</v>
      </c>
      <c r="S724">
        <v>2024.41</v>
      </c>
      <c r="T724">
        <v>1218</v>
      </c>
      <c r="U724">
        <v>0</v>
      </c>
      <c r="V724">
        <v>0</v>
      </c>
      <c r="AA724" s="29" t="s">
        <v>43</v>
      </c>
      <c r="AB724">
        <v>31199</v>
      </c>
      <c r="AC724">
        <v>80</v>
      </c>
      <c r="AD724">
        <v>4</v>
      </c>
      <c r="AE724">
        <v>31.35</v>
      </c>
      <c r="AF724">
        <v>31.35</v>
      </c>
      <c r="AG724" s="29" t="s">
        <v>685</v>
      </c>
      <c r="AH724" s="29" t="s">
        <v>968</v>
      </c>
      <c r="AI724" s="29" t="s">
        <v>727</v>
      </c>
      <c r="AJ724" s="29" t="s">
        <v>969</v>
      </c>
      <c r="AL724" s="29" t="s">
        <v>686</v>
      </c>
    </row>
    <row r="725" spans="15:38">
      <c r="O725" t="s">
        <v>44</v>
      </c>
      <c r="P725" t="s">
        <v>43</v>
      </c>
      <c r="Q725" t="s">
        <v>25</v>
      </c>
      <c r="R725" t="s">
        <v>56</v>
      </c>
      <c r="S725">
        <v>2024.43</v>
      </c>
      <c r="T725">
        <v>1218</v>
      </c>
      <c r="U725">
        <v>0</v>
      </c>
      <c r="V725">
        <v>0</v>
      </c>
      <c r="AA725" s="29" t="s">
        <v>43</v>
      </c>
      <c r="AB725">
        <v>31199</v>
      </c>
      <c r="AC725">
        <v>90</v>
      </c>
      <c r="AD725">
        <v>1</v>
      </c>
      <c r="AE725">
        <v>0</v>
      </c>
      <c r="AF725">
        <v>0</v>
      </c>
      <c r="AG725" s="29" t="s">
        <v>970</v>
      </c>
      <c r="AH725" s="29"/>
      <c r="AI725" s="29"/>
      <c r="AJ725" s="29"/>
      <c r="AL725" s="29" t="s">
        <v>971</v>
      </c>
    </row>
    <row r="726" spans="15:38">
      <c r="O726" t="s">
        <v>44</v>
      </c>
      <c r="P726" t="s">
        <v>43</v>
      </c>
      <c r="Q726" t="s">
        <v>25</v>
      </c>
      <c r="R726" t="s">
        <v>56</v>
      </c>
      <c r="S726">
        <v>2024.44</v>
      </c>
      <c r="T726">
        <v>1218</v>
      </c>
      <c r="U726">
        <v>0</v>
      </c>
      <c r="V726">
        <v>1218</v>
      </c>
      <c r="AA726" s="29" t="s">
        <v>43</v>
      </c>
      <c r="AB726">
        <v>31199</v>
      </c>
      <c r="AC726">
        <v>90</v>
      </c>
      <c r="AD726">
        <v>3</v>
      </c>
      <c r="AE726">
        <v>0.42</v>
      </c>
      <c r="AF726">
        <v>0.42</v>
      </c>
      <c r="AG726" s="29" t="s">
        <v>970</v>
      </c>
      <c r="AH726" s="29" t="s">
        <v>972</v>
      </c>
      <c r="AI726" s="29" t="s">
        <v>973</v>
      </c>
      <c r="AJ726" s="29"/>
      <c r="AL726" s="29" t="s">
        <v>971</v>
      </c>
    </row>
    <row r="727" spans="15:38">
      <c r="O727" t="s">
        <v>44</v>
      </c>
      <c r="P727" t="s">
        <v>43</v>
      </c>
      <c r="Q727" t="s">
        <v>25</v>
      </c>
      <c r="R727" t="s">
        <v>56</v>
      </c>
      <c r="S727">
        <v>2024.45</v>
      </c>
      <c r="T727">
        <v>1218</v>
      </c>
      <c r="U727">
        <v>0</v>
      </c>
      <c r="V727">
        <v>1218</v>
      </c>
      <c r="AA727" s="29" t="s">
        <v>43</v>
      </c>
      <c r="AB727">
        <v>31199</v>
      </c>
      <c r="AC727">
        <v>90</v>
      </c>
      <c r="AD727">
        <v>3</v>
      </c>
      <c r="AE727">
        <v>96</v>
      </c>
      <c r="AF727">
        <v>96</v>
      </c>
      <c r="AG727" s="29" t="s">
        <v>970</v>
      </c>
      <c r="AH727" s="29" t="s">
        <v>974</v>
      </c>
      <c r="AI727" s="29" t="s">
        <v>975</v>
      </c>
      <c r="AJ727" s="29"/>
      <c r="AL727" s="29" t="s">
        <v>971</v>
      </c>
    </row>
    <row r="728" spans="15:38">
      <c r="O728" t="s">
        <v>44</v>
      </c>
      <c r="P728" t="s">
        <v>43</v>
      </c>
      <c r="Q728" t="s">
        <v>25</v>
      </c>
      <c r="R728" t="s">
        <v>56</v>
      </c>
      <c r="S728">
        <v>2024.47</v>
      </c>
      <c r="T728">
        <v>1218</v>
      </c>
      <c r="U728">
        <v>0</v>
      </c>
      <c r="V728">
        <v>1218</v>
      </c>
      <c r="AA728" s="29" t="s">
        <v>43</v>
      </c>
      <c r="AB728">
        <v>31199</v>
      </c>
      <c r="AC728">
        <v>90</v>
      </c>
      <c r="AD728">
        <v>3</v>
      </c>
      <c r="AE728">
        <v>450.03</v>
      </c>
      <c r="AF728">
        <v>450.03</v>
      </c>
      <c r="AG728" s="29" t="s">
        <v>970</v>
      </c>
      <c r="AH728" s="29" t="s">
        <v>976</v>
      </c>
      <c r="AI728" s="29" t="s">
        <v>977</v>
      </c>
      <c r="AJ728" s="29"/>
      <c r="AL728" s="29" t="s">
        <v>971</v>
      </c>
    </row>
    <row r="729" spans="15:38">
      <c r="O729" t="s">
        <v>44</v>
      </c>
      <c r="P729" t="s">
        <v>43</v>
      </c>
      <c r="Q729" t="s">
        <v>25</v>
      </c>
      <c r="R729" t="s">
        <v>56</v>
      </c>
      <c r="S729">
        <v>2024.48</v>
      </c>
      <c r="T729">
        <v>1218</v>
      </c>
      <c r="U729">
        <v>0</v>
      </c>
      <c r="V729">
        <v>1218</v>
      </c>
      <c r="AA729" s="29" t="s">
        <v>43</v>
      </c>
      <c r="AB729">
        <v>31199</v>
      </c>
      <c r="AC729">
        <v>90</v>
      </c>
      <c r="AD729">
        <v>3</v>
      </c>
      <c r="AE729">
        <v>256.27999999999997</v>
      </c>
      <c r="AF729">
        <v>256.27999999999997</v>
      </c>
      <c r="AG729" s="29" t="s">
        <v>970</v>
      </c>
      <c r="AH729" s="29" t="s">
        <v>978</v>
      </c>
      <c r="AI729" s="29" t="s">
        <v>979</v>
      </c>
      <c r="AJ729" s="29"/>
      <c r="AL729" s="29" t="s">
        <v>971</v>
      </c>
    </row>
    <row r="730" spans="15:38">
      <c r="O730" t="s">
        <v>44</v>
      </c>
      <c r="P730" t="s">
        <v>43</v>
      </c>
      <c r="Q730" t="s">
        <v>25</v>
      </c>
      <c r="R730" t="s">
        <v>56</v>
      </c>
      <c r="S730">
        <v>2024.49</v>
      </c>
      <c r="T730">
        <v>1218</v>
      </c>
      <c r="U730">
        <v>0</v>
      </c>
      <c r="V730">
        <v>1218</v>
      </c>
      <c r="AA730" s="29" t="s">
        <v>43</v>
      </c>
      <c r="AB730">
        <v>31199</v>
      </c>
      <c r="AC730">
        <v>90</v>
      </c>
      <c r="AD730">
        <v>3</v>
      </c>
      <c r="AE730">
        <v>1219.75</v>
      </c>
      <c r="AF730">
        <v>1219.75</v>
      </c>
      <c r="AG730" s="29" t="s">
        <v>970</v>
      </c>
      <c r="AH730" s="29" t="s">
        <v>980</v>
      </c>
      <c r="AI730" s="29" t="s">
        <v>981</v>
      </c>
      <c r="AJ730" s="29"/>
      <c r="AL730" s="29" t="s">
        <v>971</v>
      </c>
    </row>
    <row r="731" spans="15:38">
      <c r="O731" t="s">
        <v>44</v>
      </c>
      <c r="P731" t="s">
        <v>43</v>
      </c>
      <c r="Q731" t="s">
        <v>25</v>
      </c>
      <c r="R731" t="s">
        <v>56</v>
      </c>
      <c r="S731">
        <v>2024.52</v>
      </c>
      <c r="T731">
        <v>1218</v>
      </c>
      <c r="U731">
        <v>0</v>
      </c>
      <c r="V731">
        <v>1218</v>
      </c>
      <c r="AA731" s="29" t="s">
        <v>43</v>
      </c>
      <c r="AB731">
        <v>31199</v>
      </c>
      <c r="AC731">
        <v>90</v>
      </c>
      <c r="AD731">
        <v>3</v>
      </c>
      <c r="AE731">
        <v>446.75</v>
      </c>
      <c r="AF731">
        <v>446.75</v>
      </c>
      <c r="AG731" s="29" t="s">
        <v>970</v>
      </c>
      <c r="AH731" s="29" t="s">
        <v>982</v>
      </c>
      <c r="AI731" s="29" t="s">
        <v>983</v>
      </c>
      <c r="AJ731" s="29"/>
      <c r="AL731" s="29" t="s">
        <v>971</v>
      </c>
    </row>
    <row r="732" spans="15:38">
      <c r="O732" t="s">
        <v>44</v>
      </c>
      <c r="P732" t="s">
        <v>43</v>
      </c>
      <c r="Q732" t="s">
        <v>25</v>
      </c>
      <c r="R732" t="s">
        <v>56</v>
      </c>
      <c r="S732">
        <v>2025.03</v>
      </c>
      <c r="T732">
        <v>1218</v>
      </c>
      <c r="U732">
        <v>0</v>
      </c>
      <c r="V732">
        <v>1218</v>
      </c>
      <c r="AA732" s="29" t="s">
        <v>43</v>
      </c>
      <c r="AB732">
        <v>31199</v>
      </c>
      <c r="AC732">
        <v>90</v>
      </c>
      <c r="AD732">
        <v>3</v>
      </c>
      <c r="AE732">
        <v>1081</v>
      </c>
      <c r="AF732">
        <v>1081</v>
      </c>
      <c r="AG732" s="29" t="s">
        <v>970</v>
      </c>
      <c r="AH732" s="29" t="s">
        <v>984</v>
      </c>
      <c r="AI732" s="29" t="s">
        <v>985</v>
      </c>
      <c r="AJ732" s="29"/>
      <c r="AL732" s="29" t="s">
        <v>971</v>
      </c>
    </row>
    <row r="733" spans="15:38">
      <c r="O733" t="s">
        <v>44</v>
      </c>
      <c r="P733" t="s">
        <v>43</v>
      </c>
      <c r="Q733" t="s">
        <v>25</v>
      </c>
      <c r="R733" t="s">
        <v>56</v>
      </c>
      <c r="S733">
        <v>2025.12</v>
      </c>
      <c r="T733">
        <v>1218</v>
      </c>
      <c r="U733">
        <v>0</v>
      </c>
      <c r="V733">
        <v>1218</v>
      </c>
      <c r="AA733" s="29" t="s">
        <v>43</v>
      </c>
      <c r="AB733">
        <v>31199</v>
      </c>
      <c r="AC733">
        <v>90</v>
      </c>
      <c r="AD733">
        <v>3</v>
      </c>
      <c r="AE733">
        <v>228</v>
      </c>
      <c r="AF733">
        <v>228</v>
      </c>
      <c r="AG733" s="29" t="s">
        <v>970</v>
      </c>
      <c r="AH733" s="29" t="s">
        <v>986</v>
      </c>
      <c r="AI733" s="29" t="s">
        <v>987</v>
      </c>
      <c r="AJ733" s="29"/>
      <c r="AL733" s="29" t="s">
        <v>971</v>
      </c>
    </row>
    <row r="734" spans="15:38">
      <c r="O734" t="s">
        <v>44</v>
      </c>
      <c r="P734" t="s">
        <v>43</v>
      </c>
      <c r="Q734" t="s">
        <v>25</v>
      </c>
      <c r="R734" t="s">
        <v>62</v>
      </c>
      <c r="S734">
        <v>2023.44</v>
      </c>
      <c r="T734">
        <v>0</v>
      </c>
      <c r="U734">
        <v>4403.6059999999998</v>
      </c>
      <c r="V734">
        <v>4403.6059999999998</v>
      </c>
      <c r="AA734" s="29" t="s">
        <v>43</v>
      </c>
      <c r="AB734">
        <v>31199</v>
      </c>
      <c r="AC734">
        <v>90</v>
      </c>
      <c r="AD734">
        <v>3</v>
      </c>
      <c r="AE734">
        <v>524.25</v>
      </c>
      <c r="AF734">
        <v>524.25</v>
      </c>
      <c r="AG734" s="29" t="s">
        <v>970</v>
      </c>
      <c r="AH734" s="29" t="s">
        <v>988</v>
      </c>
      <c r="AI734" s="29" t="s">
        <v>989</v>
      </c>
      <c r="AJ734" s="29"/>
      <c r="AL734" s="29" t="s">
        <v>971</v>
      </c>
    </row>
    <row r="735" spans="15:38">
      <c r="O735" t="s">
        <v>44</v>
      </c>
      <c r="P735" t="s">
        <v>43</v>
      </c>
      <c r="Q735" t="s">
        <v>25</v>
      </c>
      <c r="R735" t="s">
        <v>62</v>
      </c>
      <c r="S735">
        <v>2024.44</v>
      </c>
      <c r="T735">
        <v>0</v>
      </c>
      <c r="U735">
        <v>4403.6059999999998</v>
      </c>
      <c r="V735">
        <v>0</v>
      </c>
      <c r="AA735" s="29" t="s">
        <v>43</v>
      </c>
      <c r="AB735">
        <v>31199</v>
      </c>
      <c r="AC735">
        <v>90</v>
      </c>
      <c r="AD735">
        <v>3</v>
      </c>
      <c r="AE735">
        <v>240</v>
      </c>
      <c r="AF735">
        <v>240</v>
      </c>
      <c r="AG735" s="29" t="s">
        <v>970</v>
      </c>
      <c r="AH735" s="29" t="s">
        <v>990</v>
      </c>
      <c r="AI735" s="29" t="s">
        <v>991</v>
      </c>
      <c r="AJ735" s="29"/>
      <c r="AL735" s="29" t="s">
        <v>971</v>
      </c>
    </row>
    <row r="736" spans="15:38">
      <c r="O736" t="s">
        <v>44</v>
      </c>
      <c r="P736" t="s">
        <v>43</v>
      </c>
      <c r="Q736" t="s">
        <v>2</v>
      </c>
      <c r="R736" t="s">
        <v>58</v>
      </c>
      <c r="S736">
        <v>2023.51</v>
      </c>
      <c r="T736">
        <v>55.95</v>
      </c>
      <c r="U736">
        <v>0</v>
      </c>
      <c r="V736">
        <v>0</v>
      </c>
      <c r="AA736" s="29" t="s">
        <v>43</v>
      </c>
      <c r="AB736">
        <v>31199</v>
      </c>
      <c r="AC736">
        <v>90</v>
      </c>
      <c r="AD736">
        <v>3</v>
      </c>
      <c r="AE736">
        <v>200</v>
      </c>
      <c r="AF736">
        <v>200</v>
      </c>
      <c r="AG736" s="29" t="s">
        <v>970</v>
      </c>
      <c r="AH736" s="29" t="s">
        <v>992</v>
      </c>
      <c r="AI736" s="29" t="s">
        <v>993</v>
      </c>
      <c r="AJ736" s="29"/>
      <c r="AL736" s="29" t="s">
        <v>971</v>
      </c>
    </row>
    <row r="737" spans="15:38">
      <c r="O737" t="s">
        <v>44</v>
      </c>
      <c r="P737" t="s">
        <v>43</v>
      </c>
      <c r="Q737" t="s">
        <v>2</v>
      </c>
      <c r="R737" t="s">
        <v>58</v>
      </c>
      <c r="S737">
        <v>2024.06</v>
      </c>
      <c r="T737">
        <v>809.54</v>
      </c>
      <c r="U737">
        <v>0</v>
      </c>
      <c r="V737">
        <v>0</v>
      </c>
      <c r="AA737" s="29" t="s">
        <v>43</v>
      </c>
      <c r="AB737">
        <v>31199</v>
      </c>
      <c r="AC737">
        <v>90</v>
      </c>
      <c r="AD737">
        <v>3</v>
      </c>
      <c r="AE737">
        <v>386.25</v>
      </c>
      <c r="AF737">
        <v>386.25</v>
      </c>
      <c r="AG737" s="29" t="s">
        <v>970</v>
      </c>
      <c r="AH737" s="29" t="s">
        <v>994</v>
      </c>
      <c r="AI737" s="29" t="s">
        <v>995</v>
      </c>
      <c r="AJ737" s="29"/>
      <c r="AL737" s="29" t="s">
        <v>971</v>
      </c>
    </row>
    <row r="738" spans="15:38">
      <c r="O738" t="s">
        <v>44</v>
      </c>
      <c r="P738" t="s">
        <v>43</v>
      </c>
      <c r="Q738" t="s">
        <v>2</v>
      </c>
      <c r="R738" t="s">
        <v>58</v>
      </c>
      <c r="S738">
        <v>2024.07</v>
      </c>
      <c r="T738">
        <v>809.54</v>
      </c>
      <c r="U738">
        <v>0</v>
      </c>
      <c r="V738">
        <v>0</v>
      </c>
      <c r="AA738" s="29" t="s">
        <v>43</v>
      </c>
      <c r="AB738">
        <v>31199</v>
      </c>
      <c r="AC738">
        <v>90</v>
      </c>
      <c r="AD738">
        <v>3</v>
      </c>
      <c r="AE738">
        <v>437.5</v>
      </c>
      <c r="AF738">
        <v>437.5</v>
      </c>
      <c r="AG738" s="29" t="s">
        <v>970</v>
      </c>
      <c r="AH738" s="29" t="s">
        <v>996</v>
      </c>
      <c r="AI738" s="29" t="s">
        <v>997</v>
      </c>
      <c r="AJ738" s="29"/>
      <c r="AL738" s="29" t="s">
        <v>971</v>
      </c>
    </row>
    <row r="739" spans="15:38">
      <c r="O739" t="s">
        <v>44</v>
      </c>
      <c r="P739" t="s">
        <v>43</v>
      </c>
      <c r="Q739" t="s">
        <v>2</v>
      </c>
      <c r="R739" t="s">
        <v>58</v>
      </c>
      <c r="S739">
        <v>2024.08</v>
      </c>
      <c r="T739">
        <v>809.54</v>
      </c>
      <c r="U739">
        <v>0</v>
      </c>
      <c r="V739">
        <v>0</v>
      </c>
      <c r="AA739" s="29" t="s">
        <v>43</v>
      </c>
      <c r="AB739">
        <v>31199</v>
      </c>
      <c r="AC739">
        <v>90</v>
      </c>
      <c r="AD739">
        <v>3</v>
      </c>
      <c r="AE739">
        <v>198.25</v>
      </c>
      <c r="AF739">
        <v>198.25</v>
      </c>
      <c r="AG739" s="29" t="s">
        <v>970</v>
      </c>
      <c r="AH739" s="29" t="s">
        <v>998</v>
      </c>
      <c r="AI739" s="29" t="s">
        <v>999</v>
      </c>
      <c r="AJ739" s="29"/>
      <c r="AL739" s="29" t="s">
        <v>971</v>
      </c>
    </row>
    <row r="740" spans="15:38">
      <c r="O740" t="s">
        <v>44</v>
      </c>
      <c r="P740" t="s">
        <v>43</v>
      </c>
      <c r="Q740" t="s">
        <v>2</v>
      </c>
      <c r="R740" t="s">
        <v>58</v>
      </c>
      <c r="S740">
        <v>2024.09</v>
      </c>
      <c r="T740">
        <v>934.93</v>
      </c>
      <c r="U740">
        <v>0</v>
      </c>
      <c r="V740">
        <v>0</v>
      </c>
      <c r="AA740" s="29" t="s">
        <v>43</v>
      </c>
      <c r="AB740">
        <v>31199</v>
      </c>
      <c r="AC740">
        <v>90</v>
      </c>
      <c r="AD740">
        <v>3</v>
      </c>
      <c r="AE740">
        <v>793</v>
      </c>
      <c r="AF740">
        <v>793</v>
      </c>
      <c r="AG740" s="29" t="s">
        <v>970</v>
      </c>
      <c r="AH740" s="29" t="s">
        <v>1000</v>
      </c>
      <c r="AI740" s="29" t="s">
        <v>1001</v>
      </c>
      <c r="AJ740" s="29"/>
      <c r="AL740" s="29" t="s">
        <v>971</v>
      </c>
    </row>
    <row r="741" spans="15:38">
      <c r="O741" t="s">
        <v>44</v>
      </c>
      <c r="P741" t="s">
        <v>43</v>
      </c>
      <c r="Q741" t="s">
        <v>2</v>
      </c>
      <c r="R741" t="s">
        <v>58</v>
      </c>
      <c r="S741">
        <v>2024.1</v>
      </c>
      <c r="T741">
        <v>934.93</v>
      </c>
      <c r="U741">
        <v>0</v>
      </c>
      <c r="V741">
        <v>0</v>
      </c>
      <c r="AA741" s="29" t="s">
        <v>43</v>
      </c>
      <c r="AB741">
        <v>31199</v>
      </c>
      <c r="AC741">
        <v>90</v>
      </c>
      <c r="AD741">
        <v>3</v>
      </c>
      <c r="AE741">
        <v>192</v>
      </c>
      <c r="AF741">
        <v>192</v>
      </c>
      <c r="AG741" s="29" t="s">
        <v>970</v>
      </c>
      <c r="AH741" s="29" t="s">
        <v>1002</v>
      </c>
      <c r="AI741" s="29" t="s">
        <v>1003</v>
      </c>
      <c r="AJ741" s="29"/>
      <c r="AL741" s="29" t="s">
        <v>971</v>
      </c>
    </row>
    <row r="742" spans="15:38">
      <c r="O742" t="s">
        <v>44</v>
      </c>
      <c r="P742" t="s">
        <v>43</v>
      </c>
      <c r="Q742" t="s">
        <v>2</v>
      </c>
      <c r="R742" t="s">
        <v>58</v>
      </c>
      <c r="S742">
        <v>2024.11</v>
      </c>
      <c r="T742">
        <v>961.55</v>
      </c>
      <c r="U742">
        <v>0</v>
      </c>
      <c r="V742">
        <v>0</v>
      </c>
      <c r="AA742" s="29" t="s">
        <v>43</v>
      </c>
      <c r="AB742">
        <v>31199</v>
      </c>
      <c r="AC742">
        <v>90</v>
      </c>
      <c r="AD742">
        <v>3</v>
      </c>
      <c r="AE742">
        <v>192</v>
      </c>
      <c r="AF742">
        <v>192</v>
      </c>
      <c r="AG742" s="29" t="s">
        <v>970</v>
      </c>
      <c r="AH742" s="29" t="s">
        <v>1002</v>
      </c>
      <c r="AI742" s="29" t="s">
        <v>1004</v>
      </c>
      <c r="AJ742" s="29"/>
      <c r="AL742" s="29" t="s">
        <v>971</v>
      </c>
    </row>
    <row r="743" spans="15:38">
      <c r="O743" t="s">
        <v>44</v>
      </c>
      <c r="P743" t="s">
        <v>43</v>
      </c>
      <c r="Q743" t="s">
        <v>2</v>
      </c>
      <c r="R743" t="s">
        <v>58</v>
      </c>
      <c r="S743">
        <v>2024.14</v>
      </c>
      <c r="T743">
        <v>961.55</v>
      </c>
      <c r="U743">
        <v>0</v>
      </c>
      <c r="V743">
        <v>0</v>
      </c>
      <c r="AA743" s="29" t="s">
        <v>43</v>
      </c>
      <c r="AB743">
        <v>31199</v>
      </c>
      <c r="AC743">
        <v>90</v>
      </c>
      <c r="AD743">
        <v>3</v>
      </c>
      <c r="AE743">
        <v>212.5</v>
      </c>
      <c r="AF743">
        <v>212.5</v>
      </c>
      <c r="AG743" s="29" t="s">
        <v>970</v>
      </c>
      <c r="AH743" s="29" t="s">
        <v>1005</v>
      </c>
      <c r="AI743" s="29" t="s">
        <v>1006</v>
      </c>
      <c r="AJ743" s="29"/>
      <c r="AL743" s="29" t="s">
        <v>971</v>
      </c>
    </row>
    <row r="744" spans="15:38">
      <c r="O744" t="s">
        <v>44</v>
      </c>
      <c r="P744" t="s">
        <v>43</v>
      </c>
      <c r="Q744" t="s">
        <v>2</v>
      </c>
      <c r="R744" t="s">
        <v>58</v>
      </c>
      <c r="S744">
        <v>2024.17</v>
      </c>
      <c r="T744">
        <v>961.55</v>
      </c>
      <c r="U744">
        <v>0</v>
      </c>
      <c r="V744">
        <v>0</v>
      </c>
      <c r="AA744" s="29" t="s">
        <v>43</v>
      </c>
      <c r="AB744">
        <v>31199</v>
      </c>
      <c r="AC744">
        <v>90</v>
      </c>
      <c r="AD744">
        <v>3</v>
      </c>
      <c r="AE744">
        <v>125.39</v>
      </c>
      <c r="AF744">
        <v>125.39</v>
      </c>
      <c r="AG744" s="29" t="s">
        <v>970</v>
      </c>
      <c r="AH744" s="29" t="s">
        <v>1007</v>
      </c>
      <c r="AI744" s="29" t="s">
        <v>1008</v>
      </c>
      <c r="AJ744" s="29"/>
      <c r="AL744" s="29" t="s">
        <v>971</v>
      </c>
    </row>
    <row r="745" spans="15:38">
      <c r="O745" t="s">
        <v>44</v>
      </c>
      <c r="P745" t="s">
        <v>43</v>
      </c>
      <c r="Q745" t="s">
        <v>2</v>
      </c>
      <c r="R745" t="s">
        <v>58</v>
      </c>
      <c r="S745">
        <v>2024.18</v>
      </c>
      <c r="T745">
        <v>1923.1</v>
      </c>
      <c r="U745">
        <v>0</v>
      </c>
      <c r="V745">
        <v>0</v>
      </c>
      <c r="AA745" s="29" t="s">
        <v>43</v>
      </c>
      <c r="AB745">
        <v>31199</v>
      </c>
      <c r="AC745">
        <v>90</v>
      </c>
      <c r="AD745">
        <v>3</v>
      </c>
      <c r="AE745">
        <v>1087.5</v>
      </c>
      <c r="AF745">
        <v>1087.5</v>
      </c>
      <c r="AG745" s="29" t="s">
        <v>970</v>
      </c>
      <c r="AH745" s="29" t="s">
        <v>1009</v>
      </c>
      <c r="AI745" s="29" t="s">
        <v>1010</v>
      </c>
      <c r="AJ745" s="29"/>
      <c r="AL745" s="29" t="s">
        <v>971</v>
      </c>
    </row>
    <row r="746" spans="15:38">
      <c r="O746" t="s">
        <v>44</v>
      </c>
      <c r="P746" t="s">
        <v>43</v>
      </c>
      <c r="Q746" t="s">
        <v>2</v>
      </c>
      <c r="R746" t="s">
        <v>58</v>
      </c>
      <c r="S746">
        <v>2024.19</v>
      </c>
      <c r="T746">
        <v>961.55</v>
      </c>
      <c r="U746">
        <v>0</v>
      </c>
      <c r="V746">
        <v>0</v>
      </c>
      <c r="AA746" s="29" t="s">
        <v>43</v>
      </c>
      <c r="AB746">
        <v>31199</v>
      </c>
      <c r="AC746">
        <v>90</v>
      </c>
      <c r="AD746">
        <v>3</v>
      </c>
      <c r="AE746">
        <v>1112.5</v>
      </c>
      <c r="AF746">
        <v>1112.5</v>
      </c>
      <c r="AG746" s="29" t="s">
        <v>970</v>
      </c>
      <c r="AH746" s="29" t="s">
        <v>1011</v>
      </c>
      <c r="AI746" s="29" t="s">
        <v>1012</v>
      </c>
      <c r="AJ746" s="29"/>
      <c r="AL746" s="29" t="s">
        <v>971</v>
      </c>
    </row>
    <row r="747" spans="15:38">
      <c r="O747" t="s">
        <v>44</v>
      </c>
      <c r="P747" t="s">
        <v>43</v>
      </c>
      <c r="Q747" t="s">
        <v>2</v>
      </c>
      <c r="R747" t="s">
        <v>58</v>
      </c>
      <c r="S747">
        <v>2024.2</v>
      </c>
      <c r="T747">
        <v>961.55</v>
      </c>
      <c r="U747">
        <v>0</v>
      </c>
      <c r="V747">
        <v>0</v>
      </c>
      <c r="AA747" s="29" t="s">
        <v>43</v>
      </c>
      <c r="AB747">
        <v>31199</v>
      </c>
      <c r="AC747">
        <v>90</v>
      </c>
      <c r="AD747">
        <v>3</v>
      </c>
      <c r="AE747">
        <v>562.5</v>
      </c>
      <c r="AF747">
        <v>562.5</v>
      </c>
      <c r="AG747" s="29" t="s">
        <v>970</v>
      </c>
      <c r="AH747" s="29" t="s">
        <v>1013</v>
      </c>
      <c r="AI747" s="29" t="s">
        <v>1014</v>
      </c>
      <c r="AJ747" s="29"/>
      <c r="AL747" s="29" t="s">
        <v>971</v>
      </c>
    </row>
    <row r="748" spans="15:38">
      <c r="O748" t="s">
        <v>44</v>
      </c>
      <c r="P748" t="s">
        <v>43</v>
      </c>
      <c r="Q748" t="s">
        <v>2</v>
      </c>
      <c r="R748" t="s">
        <v>58</v>
      </c>
      <c r="S748">
        <v>2024.21</v>
      </c>
      <c r="T748">
        <v>961.55</v>
      </c>
      <c r="U748">
        <v>0</v>
      </c>
      <c r="V748">
        <v>0</v>
      </c>
      <c r="AA748" s="29" t="s">
        <v>43</v>
      </c>
      <c r="AB748">
        <v>31199</v>
      </c>
      <c r="AC748">
        <v>90</v>
      </c>
      <c r="AD748">
        <v>3</v>
      </c>
      <c r="AE748">
        <v>594.75</v>
      </c>
      <c r="AF748">
        <v>594.75</v>
      </c>
      <c r="AG748" s="29" t="s">
        <v>970</v>
      </c>
      <c r="AH748" s="29" t="s">
        <v>1015</v>
      </c>
      <c r="AI748" s="29" t="s">
        <v>1016</v>
      </c>
      <c r="AJ748" s="29"/>
      <c r="AL748" s="29" t="s">
        <v>971</v>
      </c>
    </row>
    <row r="749" spans="15:38">
      <c r="O749" t="s">
        <v>44</v>
      </c>
      <c r="P749" t="s">
        <v>43</v>
      </c>
      <c r="Q749" t="s">
        <v>2</v>
      </c>
      <c r="R749" t="s">
        <v>58</v>
      </c>
      <c r="S749">
        <v>2024.28</v>
      </c>
      <c r="T749">
        <v>961.55</v>
      </c>
      <c r="U749">
        <v>0</v>
      </c>
      <c r="V749">
        <v>0</v>
      </c>
      <c r="AA749" s="29" t="s">
        <v>43</v>
      </c>
      <c r="AB749">
        <v>31199</v>
      </c>
      <c r="AC749">
        <v>90</v>
      </c>
      <c r="AD749">
        <v>3</v>
      </c>
      <c r="AE749">
        <v>354.75</v>
      </c>
      <c r="AF749">
        <v>354.75</v>
      </c>
      <c r="AG749" s="29" t="s">
        <v>970</v>
      </c>
      <c r="AH749" s="29" t="s">
        <v>1017</v>
      </c>
      <c r="AI749" s="29" t="s">
        <v>1018</v>
      </c>
      <c r="AJ749" s="29"/>
      <c r="AL749" s="29" t="s">
        <v>971</v>
      </c>
    </row>
    <row r="750" spans="15:38">
      <c r="O750" t="s">
        <v>44</v>
      </c>
      <c r="P750" t="s">
        <v>43</v>
      </c>
      <c r="Q750" t="s">
        <v>2</v>
      </c>
      <c r="R750" t="s">
        <v>58</v>
      </c>
      <c r="S750">
        <v>2024.38</v>
      </c>
      <c r="T750">
        <v>1923.1</v>
      </c>
      <c r="U750">
        <v>0</v>
      </c>
      <c r="V750">
        <v>0</v>
      </c>
      <c r="AA750" s="29" t="s">
        <v>43</v>
      </c>
      <c r="AB750">
        <v>31199</v>
      </c>
      <c r="AC750">
        <v>90</v>
      </c>
      <c r="AD750">
        <v>3</v>
      </c>
      <c r="AE750">
        <v>26.62</v>
      </c>
      <c r="AF750">
        <v>26.62</v>
      </c>
      <c r="AG750" s="29" t="s">
        <v>970</v>
      </c>
      <c r="AH750" s="29" t="s">
        <v>1019</v>
      </c>
      <c r="AI750" s="29" t="s">
        <v>1020</v>
      </c>
      <c r="AJ750" s="29"/>
      <c r="AL750" s="29" t="s">
        <v>971</v>
      </c>
    </row>
    <row r="751" spans="15:38">
      <c r="O751" t="s">
        <v>44</v>
      </c>
      <c r="P751" t="s">
        <v>43</v>
      </c>
      <c r="Q751" t="s">
        <v>2</v>
      </c>
      <c r="R751" t="s">
        <v>58</v>
      </c>
      <c r="S751">
        <v>2024.39</v>
      </c>
      <c r="T751">
        <v>961.55</v>
      </c>
      <c r="U751">
        <v>0</v>
      </c>
      <c r="V751">
        <v>0</v>
      </c>
      <c r="AA751" s="29" t="s">
        <v>43</v>
      </c>
      <c r="AB751">
        <v>31199</v>
      </c>
      <c r="AC751">
        <v>90</v>
      </c>
      <c r="AD751">
        <v>3</v>
      </c>
      <c r="AE751">
        <v>10136.18</v>
      </c>
      <c r="AF751">
        <v>10136.18</v>
      </c>
      <c r="AG751" s="29" t="s">
        <v>970</v>
      </c>
      <c r="AH751" s="29" t="s">
        <v>1021</v>
      </c>
      <c r="AI751" s="29" t="s">
        <v>1022</v>
      </c>
      <c r="AJ751" s="29"/>
      <c r="AL751" s="29" t="s">
        <v>971</v>
      </c>
    </row>
    <row r="752" spans="15:38">
      <c r="O752" t="s">
        <v>44</v>
      </c>
      <c r="P752" t="s">
        <v>43</v>
      </c>
      <c r="Q752" t="s">
        <v>2</v>
      </c>
      <c r="R752" t="s">
        <v>58</v>
      </c>
      <c r="S752">
        <v>2024.41</v>
      </c>
      <c r="T752">
        <v>961.55</v>
      </c>
      <c r="U752">
        <v>0</v>
      </c>
      <c r="V752">
        <v>0</v>
      </c>
      <c r="AA752" s="29" t="s">
        <v>43</v>
      </c>
      <c r="AB752">
        <v>31199</v>
      </c>
      <c r="AC752">
        <v>90</v>
      </c>
      <c r="AD752">
        <v>3</v>
      </c>
      <c r="AE752">
        <v>8</v>
      </c>
      <c r="AF752">
        <v>8</v>
      </c>
      <c r="AG752" s="29" t="s">
        <v>970</v>
      </c>
      <c r="AH752" s="29" t="s">
        <v>1023</v>
      </c>
      <c r="AI752" s="29" t="s">
        <v>1024</v>
      </c>
      <c r="AJ752" s="29"/>
      <c r="AL752" s="29" t="s">
        <v>971</v>
      </c>
    </row>
    <row r="753" spans="15:38">
      <c r="O753" t="s">
        <v>44</v>
      </c>
      <c r="P753" t="s">
        <v>43</v>
      </c>
      <c r="Q753" t="s">
        <v>2</v>
      </c>
      <c r="R753" t="s">
        <v>58</v>
      </c>
      <c r="S753">
        <v>2024.43</v>
      </c>
      <c r="T753">
        <v>961.55</v>
      </c>
      <c r="U753">
        <v>0</v>
      </c>
      <c r="V753">
        <v>0</v>
      </c>
      <c r="AA753" s="29" t="s">
        <v>43</v>
      </c>
      <c r="AB753">
        <v>31199</v>
      </c>
      <c r="AC753">
        <v>90</v>
      </c>
      <c r="AD753">
        <v>3</v>
      </c>
      <c r="AE753">
        <v>150</v>
      </c>
      <c r="AF753">
        <v>150</v>
      </c>
      <c r="AG753" s="29" t="s">
        <v>970</v>
      </c>
      <c r="AH753" s="29" t="s">
        <v>1025</v>
      </c>
      <c r="AI753" s="29" t="s">
        <v>1026</v>
      </c>
      <c r="AJ753" s="29"/>
      <c r="AL753" s="29" t="s">
        <v>971</v>
      </c>
    </row>
    <row r="754" spans="15:38">
      <c r="O754" t="s">
        <v>44</v>
      </c>
      <c r="P754" t="s">
        <v>43</v>
      </c>
      <c r="Q754" t="s">
        <v>2</v>
      </c>
      <c r="R754" t="s">
        <v>58</v>
      </c>
      <c r="S754">
        <v>2024.44</v>
      </c>
      <c r="T754">
        <v>961.55</v>
      </c>
      <c r="U754">
        <v>0</v>
      </c>
      <c r="V754">
        <v>961.55</v>
      </c>
      <c r="AA754" s="29" t="s">
        <v>43</v>
      </c>
      <c r="AB754">
        <v>31199</v>
      </c>
      <c r="AC754">
        <v>90</v>
      </c>
      <c r="AD754">
        <v>3</v>
      </c>
      <c r="AE754">
        <v>2.7</v>
      </c>
      <c r="AF754">
        <v>2.7</v>
      </c>
      <c r="AG754" s="29" t="s">
        <v>970</v>
      </c>
      <c r="AH754" s="29" t="s">
        <v>1027</v>
      </c>
      <c r="AI754" s="29" t="s">
        <v>1028</v>
      </c>
      <c r="AJ754" s="29"/>
      <c r="AL754" s="29" t="s">
        <v>971</v>
      </c>
    </row>
    <row r="755" spans="15:38">
      <c r="O755" t="s">
        <v>44</v>
      </c>
      <c r="P755" t="s">
        <v>43</v>
      </c>
      <c r="Q755" t="s">
        <v>2</v>
      </c>
      <c r="R755" t="s">
        <v>58</v>
      </c>
      <c r="S755">
        <v>2024.45</v>
      </c>
      <c r="T755">
        <v>961.55</v>
      </c>
      <c r="U755">
        <v>0</v>
      </c>
      <c r="V755">
        <v>961.55</v>
      </c>
      <c r="AA755" s="29" t="s">
        <v>43</v>
      </c>
      <c r="AB755">
        <v>31199</v>
      </c>
      <c r="AC755">
        <v>90</v>
      </c>
      <c r="AD755">
        <v>3</v>
      </c>
      <c r="AE755">
        <v>342.25</v>
      </c>
      <c r="AF755">
        <v>342.25</v>
      </c>
      <c r="AG755" s="29" t="s">
        <v>970</v>
      </c>
      <c r="AH755" s="29" t="s">
        <v>1029</v>
      </c>
      <c r="AI755" s="29" t="s">
        <v>1030</v>
      </c>
      <c r="AJ755" s="29"/>
      <c r="AL755" s="29" t="s">
        <v>971</v>
      </c>
    </row>
    <row r="756" spans="15:38">
      <c r="O756" t="s">
        <v>44</v>
      </c>
      <c r="P756" t="s">
        <v>43</v>
      </c>
      <c r="Q756" t="s">
        <v>2</v>
      </c>
      <c r="R756" t="s">
        <v>58</v>
      </c>
      <c r="S756">
        <v>2024.47</v>
      </c>
      <c r="T756">
        <v>961.55</v>
      </c>
      <c r="U756">
        <v>0</v>
      </c>
      <c r="V756">
        <v>961.55</v>
      </c>
      <c r="AA756" s="29" t="s">
        <v>43</v>
      </c>
      <c r="AB756">
        <v>31199</v>
      </c>
      <c r="AC756">
        <v>90</v>
      </c>
      <c r="AD756">
        <v>3</v>
      </c>
      <c r="AE756">
        <v>17.100000000000001</v>
      </c>
      <c r="AF756">
        <v>17.100000000000001</v>
      </c>
      <c r="AG756" s="29" t="s">
        <v>970</v>
      </c>
      <c r="AH756" s="29" t="s">
        <v>1031</v>
      </c>
      <c r="AI756" s="29" t="s">
        <v>1032</v>
      </c>
      <c r="AJ756" s="29"/>
      <c r="AL756" s="29" t="s">
        <v>971</v>
      </c>
    </row>
    <row r="757" spans="15:38">
      <c r="O757" t="s">
        <v>44</v>
      </c>
      <c r="P757" t="s">
        <v>43</v>
      </c>
      <c r="Q757" t="s">
        <v>2</v>
      </c>
      <c r="R757" t="s">
        <v>58</v>
      </c>
      <c r="S757">
        <v>2024.48</v>
      </c>
      <c r="T757">
        <v>961.55</v>
      </c>
      <c r="U757">
        <v>0</v>
      </c>
      <c r="V757">
        <v>961.55</v>
      </c>
      <c r="AA757" s="29" t="s">
        <v>43</v>
      </c>
      <c r="AB757">
        <v>31199</v>
      </c>
      <c r="AC757">
        <v>90</v>
      </c>
      <c r="AD757">
        <v>3</v>
      </c>
      <c r="AE757">
        <v>0.53</v>
      </c>
      <c r="AF757">
        <v>0.53</v>
      </c>
      <c r="AG757" s="29" t="s">
        <v>970</v>
      </c>
      <c r="AH757" s="29" t="s">
        <v>1033</v>
      </c>
      <c r="AI757" s="29" t="s">
        <v>1034</v>
      </c>
      <c r="AJ757" s="29"/>
      <c r="AL757" s="29" t="s">
        <v>971</v>
      </c>
    </row>
    <row r="758" spans="15:38">
      <c r="O758" t="s">
        <v>44</v>
      </c>
      <c r="P758" t="s">
        <v>43</v>
      </c>
      <c r="Q758" t="s">
        <v>2</v>
      </c>
      <c r="R758" t="s">
        <v>58</v>
      </c>
      <c r="S758">
        <v>2024.49</v>
      </c>
      <c r="T758">
        <v>961.55</v>
      </c>
      <c r="U758">
        <v>0</v>
      </c>
      <c r="V758">
        <v>961.55</v>
      </c>
      <c r="AA758" s="29" t="s">
        <v>43</v>
      </c>
      <c r="AB758">
        <v>31199</v>
      </c>
      <c r="AC758">
        <v>90</v>
      </c>
      <c r="AD758">
        <v>3</v>
      </c>
      <c r="AE758">
        <v>4</v>
      </c>
      <c r="AF758">
        <v>4</v>
      </c>
      <c r="AG758" s="29" t="s">
        <v>970</v>
      </c>
      <c r="AH758" s="29" t="s">
        <v>1035</v>
      </c>
      <c r="AI758" s="29" t="s">
        <v>1036</v>
      </c>
      <c r="AJ758" s="29"/>
      <c r="AL758" s="29" t="s">
        <v>971</v>
      </c>
    </row>
    <row r="759" spans="15:38">
      <c r="O759" t="s">
        <v>44</v>
      </c>
      <c r="P759" t="s">
        <v>43</v>
      </c>
      <c r="Q759" t="s">
        <v>2</v>
      </c>
      <c r="R759" t="s">
        <v>58</v>
      </c>
      <c r="S759">
        <v>2024.52</v>
      </c>
      <c r="T759">
        <v>961.55</v>
      </c>
      <c r="U759">
        <v>0</v>
      </c>
      <c r="V759">
        <v>961.55</v>
      </c>
      <c r="AA759" s="29" t="s">
        <v>43</v>
      </c>
      <c r="AB759">
        <v>31199</v>
      </c>
      <c r="AC759">
        <v>90</v>
      </c>
      <c r="AD759">
        <v>3</v>
      </c>
      <c r="AE759">
        <v>0</v>
      </c>
      <c r="AF759">
        <v>0</v>
      </c>
      <c r="AG759" s="29" t="s">
        <v>970</v>
      </c>
      <c r="AH759" s="29" t="s">
        <v>1037</v>
      </c>
      <c r="AI759" s="29" t="s">
        <v>1038</v>
      </c>
      <c r="AJ759" s="29"/>
      <c r="AL759" s="29" t="s">
        <v>971</v>
      </c>
    </row>
    <row r="760" spans="15:38">
      <c r="O760" t="s">
        <v>44</v>
      </c>
      <c r="P760" t="s">
        <v>43</v>
      </c>
      <c r="Q760" t="s">
        <v>2</v>
      </c>
      <c r="R760" t="s">
        <v>58</v>
      </c>
      <c r="S760">
        <v>2025.03</v>
      </c>
      <c r="T760">
        <v>961.55</v>
      </c>
      <c r="U760">
        <v>0</v>
      </c>
      <c r="V760">
        <v>961.55</v>
      </c>
      <c r="AA760" s="29" t="s">
        <v>43</v>
      </c>
      <c r="AB760">
        <v>31199</v>
      </c>
      <c r="AC760">
        <v>90</v>
      </c>
      <c r="AD760">
        <v>3</v>
      </c>
      <c r="AE760">
        <v>0.61</v>
      </c>
      <c r="AF760">
        <v>0.61</v>
      </c>
      <c r="AG760" s="29" t="s">
        <v>970</v>
      </c>
      <c r="AH760" s="29" t="s">
        <v>1039</v>
      </c>
      <c r="AI760" s="29" t="s">
        <v>1040</v>
      </c>
      <c r="AJ760" s="29"/>
      <c r="AL760" s="29" t="s">
        <v>971</v>
      </c>
    </row>
    <row r="761" spans="15:38">
      <c r="O761" t="s">
        <v>44</v>
      </c>
      <c r="P761" t="s">
        <v>43</v>
      </c>
      <c r="Q761" t="s">
        <v>2</v>
      </c>
      <c r="R761" t="s">
        <v>58</v>
      </c>
      <c r="S761">
        <v>2025.12</v>
      </c>
      <c r="T761">
        <v>961.55</v>
      </c>
      <c r="U761">
        <v>0</v>
      </c>
      <c r="V761">
        <v>961.55</v>
      </c>
      <c r="AA761" s="29" t="s">
        <v>43</v>
      </c>
      <c r="AB761">
        <v>31199</v>
      </c>
      <c r="AC761">
        <v>90</v>
      </c>
      <c r="AD761">
        <v>3</v>
      </c>
      <c r="AE761">
        <v>0.7</v>
      </c>
      <c r="AF761">
        <v>0.7</v>
      </c>
      <c r="AG761" s="29" t="s">
        <v>970</v>
      </c>
      <c r="AH761" s="29" t="s">
        <v>1041</v>
      </c>
      <c r="AI761" s="29" t="s">
        <v>1042</v>
      </c>
      <c r="AJ761" s="29"/>
      <c r="AL761" s="29" t="s">
        <v>971</v>
      </c>
    </row>
    <row r="762" spans="15:38">
      <c r="O762" t="s">
        <v>44</v>
      </c>
      <c r="P762" t="s">
        <v>43</v>
      </c>
      <c r="Q762" t="s">
        <v>2</v>
      </c>
      <c r="R762" t="s">
        <v>56</v>
      </c>
      <c r="S762">
        <v>2023.44</v>
      </c>
      <c r="T762">
        <v>0</v>
      </c>
      <c r="U762">
        <v>30500.921600000001</v>
      </c>
      <c r="V762">
        <v>30500.921600000001</v>
      </c>
      <c r="AA762" s="29" t="s">
        <v>43</v>
      </c>
      <c r="AB762">
        <v>31199</v>
      </c>
      <c r="AC762">
        <v>90</v>
      </c>
      <c r="AD762">
        <v>3</v>
      </c>
      <c r="AE762">
        <v>19.059999999999999</v>
      </c>
      <c r="AF762">
        <v>19.059999999999999</v>
      </c>
      <c r="AG762" s="29" t="s">
        <v>970</v>
      </c>
      <c r="AH762" s="29" t="s">
        <v>1043</v>
      </c>
      <c r="AI762" s="29" t="s">
        <v>1044</v>
      </c>
      <c r="AJ762" s="29"/>
      <c r="AL762" s="29" t="s">
        <v>971</v>
      </c>
    </row>
    <row r="763" spans="15:38">
      <c r="O763" t="s">
        <v>44</v>
      </c>
      <c r="P763" t="s">
        <v>43</v>
      </c>
      <c r="Q763" t="s">
        <v>2</v>
      </c>
      <c r="R763" t="s">
        <v>56</v>
      </c>
      <c r="S763">
        <v>2023.51</v>
      </c>
      <c r="T763">
        <v>7535.67</v>
      </c>
      <c r="U763">
        <v>30500.921600000001</v>
      </c>
      <c r="V763">
        <v>30500.921600000001</v>
      </c>
      <c r="AA763" s="29" t="s">
        <v>43</v>
      </c>
      <c r="AB763">
        <v>31199</v>
      </c>
      <c r="AC763">
        <v>90</v>
      </c>
      <c r="AD763">
        <v>3</v>
      </c>
      <c r="AE763">
        <v>6.02</v>
      </c>
      <c r="AF763">
        <v>6.02</v>
      </c>
      <c r="AG763" s="29" t="s">
        <v>970</v>
      </c>
      <c r="AH763" s="29" t="s">
        <v>1045</v>
      </c>
      <c r="AI763" s="29" t="s">
        <v>1046</v>
      </c>
      <c r="AJ763" s="29"/>
      <c r="AL763" s="29" t="s">
        <v>971</v>
      </c>
    </row>
    <row r="764" spans="15:38">
      <c r="O764" t="s">
        <v>44</v>
      </c>
      <c r="P764" t="s">
        <v>43</v>
      </c>
      <c r="Q764" t="s">
        <v>2</v>
      </c>
      <c r="R764" t="s">
        <v>56</v>
      </c>
      <c r="S764">
        <v>2024.06</v>
      </c>
      <c r="T764">
        <v>17132.27</v>
      </c>
      <c r="U764">
        <v>30500.921600000001</v>
      </c>
      <c r="V764">
        <v>30500.921600000001</v>
      </c>
      <c r="AA764" s="29" t="s">
        <v>43</v>
      </c>
      <c r="AB764">
        <v>31199</v>
      </c>
      <c r="AC764">
        <v>90</v>
      </c>
      <c r="AD764">
        <v>3</v>
      </c>
      <c r="AE764">
        <v>1.6</v>
      </c>
      <c r="AF764">
        <v>1.6</v>
      </c>
      <c r="AG764" s="29" t="s">
        <v>970</v>
      </c>
      <c r="AH764" s="29" t="s">
        <v>1047</v>
      </c>
      <c r="AI764" s="29" t="s">
        <v>1048</v>
      </c>
      <c r="AJ764" s="29"/>
      <c r="AL764" s="29" t="s">
        <v>971</v>
      </c>
    </row>
    <row r="765" spans="15:38">
      <c r="O765" t="s">
        <v>44</v>
      </c>
      <c r="P765" t="s">
        <v>43</v>
      </c>
      <c r="Q765" t="s">
        <v>2</v>
      </c>
      <c r="R765" t="s">
        <v>56</v>
      </c>
      <c r="S765">
        <v>2024.07</v>
      </c>
      <c r="T765">
        <v>17683.11</v>
      </c>
      <c r="U765">
        <v>30500.921600000001</v>
      </c>
      <c r="V765">
        <v>30500.921600000001</v>
      </c>
      <c r="AA765" s="29" t="s">
        <v>43</v>
      </c>
      <c r="AB765">
        <v>31199</v>
      </c>
      <c r="AC765">
        <v>90</v>
      </c>
      <c r="AD765">
        <v>3</v>
      </c>
      <c r="AE765">
        <v>96</v>
      </c>
      <c r="AF765">
        <v>96</v>
      </c>
      <c r="AG765" s="29" t="s">
        <v>970</v>
      </c>
      <c r="AH765" s="29" t="s">
        <v>974</v>
      </c>
      <c r="AI765" s="29" t="s">
        <v>1049</v>
      </c>
      <c r="AJ765" s="29"/>
      <c r="AL765" s="29" t="s">
        <v>971</v>
      </c>
    </row>
    <row r="766" spans="15:38">
      <c r="O766" t="s">
        <v>44</v>
      </c>
      <c r="P766" t="s">
        <v>43</v>
      </c>
      <c r="Q766" t="s">
        <v>2</v>
      </c>
      <c r="R766" t="s">
        <v>56</v>
      </c>
      <c r="S766">
        <v>2024.08</v>
      </c>
      <c r="T766">
        <v>19348.650000000001</v>
      </c>
      <c r="U766">
        <v>30500.921600000001</v>
      </c>
      <c r="V766">
        <v>30500.921600000001</v>
      </c>
      <c r="AA766" s="29" t="s">
        <v>43</v>
      </c>
      <c r="AB766">
        <v>31199</v>
      </c>
      <c r="AC766">
        <v>90</v>
      </c>
      <c r="AD766">
        <v>3</v>
      </c>
      <c r="AE766">
        <v>144</v>
      </c>
      <c r="AF766">
        <v>144</v>
      </c>
      <c r="AG766" s="29" t="s">
        <v>970</v>
      </c>
      <c r="AH766" s="29" t="s">
        <v>1050</v>
      </c>
      <c r="AI766" s="29" t="s">
        <v>1051</v>
      </c>
      <c r="AJ766" s="29"/>
      <c r="AL766" s="29" t="s">
        <v>971</v>
      </c>
    </row>
    <row r="767" spans="15:38">
      <c r="O767" t="s">
        <v>44</v>
      </c>
      <c r="P767" t="s">
        <v>43</v>
      </c>
      <c r="Q767" t="s">
        <v>2</v>
      </c>
      <c r="R767" t="s">
        <v>56</v>
      </c>
      <c r="S767">
        <v>2024.09</v>
      </c>
      <c r="T767">
        <v>22599.05</v>
      </c>
      <c r="U767">
        <v>30500.921600000001</v>
      </c>
      <c r="V767">
        <v>30500.921600000001</v>
      </c>
      <c r="AA767" s="29" t="s">
        <v>43</v>
      </c>
      <c r="AB767">
        <v>31199</v>
      </c>
      <c r="AC767">
        <v>90</v>
      </c>
      <c r="AD767">
        <v>3</v>
      </c>
      <c r="AE767">
        <v>144</v>
      </c>
      <c r="AF767">
        <v>144</v>
      </c>
      <c r="AG767" s="29" t="s">
        <v>970</v>
      </c>
      <c r="AH767" s="29" t="s">
        <v>1050</v>
      </c>
      <c r="AI767" s="29" t="s">
        <v>1052</v>
      </c>
      <c r="AJ767" s="29"/>
      <c r="AL767" s="29" t="s">
        <v>971</v>
      </c>
    </row>
    <row r="768" spans="15:38">
      <c r="O768" t="s">
        <v>44</v>
      </c>
      <c r="P768" t="s">
        <v>43</v>
      </c>
      <c r="Q768" t="s">
        <v>2</v>
      </c>
      <c r="R768" t="s">
        <v>56</v>
      </c>
      <c r="S768">
        <v>2024.1</v>
      </c>
      <c r="T768">
        <v>22599.05</v>
      </c>
      <c r="U768">
        <v>30500.921600000001</v>
      </c>
      <c r="V768">
        <v>30500.921600000001</v>
      </c>
      <c r="AA768" s="29" t="s">
        <v>43</v>
      </c>
      <c r="AB768">
        <v>31199</v>
      </c>
      <c r="AC768">
        <v>90</v>
      </c>
      <c r="AD768">
        <v>3</v>
      </c>
      <c r="AE768">
        <v>1.93</v>
      </c>
      <c r="AF768">
        <v>1.93</v>
      </c>
      <c r="AG768" s="29" t="s">
        <v>970</v>
      </c>
      <c r="AH768" s="29" t="s">
        <v>1053</v>
      </c>
      <c r="AI768" s="29" t="s">
        <v>1054</v>
      </c>
      <c r="AJ768" s="29"/>
      <c r="AL768" s="29" t="s">
        <v>971</v>
      </c>
    </row>
    <row r="769" spans="15:38">
      <c r="O769" t="s">
        <v>44</v>
      </c>
      <c r="P769" t="s">
        <v>43</v>
      </c>
      <c r="Q769" t="s">
        <v>2</v>
      </c>
      <c r="R769" t="s">
        <v>56</v>
      </c>
      <c r="S769">
        <v>2024.11</v>
      </c>
      <c r="T769">
        <v>23746.799999999999</v>
      </c>
      <c r="U769">
        <v>30500.921600000001</v>
      </c>
      <c r="V769">
        <v>30500.921600000001</v>
      </c>
      <c r="AA769" s="29" t="s">
        <v>43</v>
      </c>
      <c r="AB769">
        <v>31199</v>
      </c>
      <c r="AC769">
        <v>90</v>
      </c>
      <c r="AD769">
        <v>3</v>
      </c>
      <c r="AE769">
        <v>216</v>
      </c>
      <c r="AF769">
        <v>216</v>
      </c>
      <c r="AG769" s="29" t="s">
        <v>970</v>
      </c>
      <c r="AH769" s="29" t="s">
        <v>1055</v>
      </c>
      <c r="AI769" s="29" t="s">
        <v>1056</v>
      </c>
      <c r="AJ769" s="29"/>
      <c r="AL769" s="29" t="s">
        <v>971</v>
      </c>
    </row>
    <row r="770" spans="15:38">
      <c r="O770" t="s">
        <v>44</v>
      </c>
      <c r="P770" t="s">
        <v>43</v>
      </c>
      <c r="Q770" t="s">
        <v>2</v>
      </c>
      <c r="R770" t="s">
        <v>56</v>
      </c>
      <c r="S770">
        <v>2024.14</v>
      </c>
      <c r="T770">
        <v>24132.68</v>
      </c>
      <c r="U770">
        <v>30500.921600000001</v>
      </c>
      <c r="V770">
        <v>30500.921600000001</v>
      </c>
      <c r="AA770" s="29" t="s">
        <v>43</v>
      </c>
      <c r="AB770">
        <v>31199</v>
      </c>
      <c r="AC770">
        <v>90</v>
      </c>
      <c r="AD770">
        <v>3</v>
      </c>
      <c r="AE770">
        <v>4.45</v>
      </c>
      <c r="AF770">
        <v>4.45</v>
      </c>
      <c r="AG770" s="29" t="s">
        <v>970</v>
      </c>
      <c r="AH770" s="29" t="s">
        <v>1057</v>
      </c>
      <c r="AI770" s="29" t="s">
        <v>1058</v>
      </c>
      <c r="AJ770" s="29"/>
      <c r="AL770" s="29" t="s">
        <v>971</v>
      </c>
    </row>
    <row r="771" spans="15:38">
      <c r="O771" t="s">
        <v>44</v>
      </c>
      <c r="P771" t="s">
        <v>43</v>
      </c>
      <c r="Q771" t="s">
        <v>2</v>
      </c>
      <c r="R771" t="s">
        <v>56</v>
      </c>
      <c r="S771">
        <v>2024.17</v>
      </c>
      <c r="T771">
        <v>24132.68</v>
      </c>
      <c r="U771">
        <v>30500.921600000001</v>
      </c>
      <c r="V771">
        <v>30500.921600000001</v>
      </c>
      <c r="AA771" s="29" t="s">
        <v>43</v>
      </c>
      <c r="AB771">
        <v>31199</v>
      </c>
      <c r="AC771">
        <v>90</v>
      </c>
      <c r="AD771">
        <v>3</v>
      </c>
      <c r="AE771">
        <v>1.8</v>
      </c>
      <c r="AF771">
        <v>1.8</v>
      </c>
      <c r="AG771" s="29" t="s">
        <v>970</v>
      </c>
      <c r="AH771" s="29" t="s">
        <v>1059</v>
      </c>
      <c r="AI771" s="29" t="s">
        <v>1060</v>
      </c>
      <c r="AJ771" s="29"/>
      <c r="AL771" s="29" t="s">
        <v>971</v>
      </c>
    </row>
    <row r="772" spans="15:38">
      <c r="O772" t="s">
        <v>44</v>
      </c>
      <c r="P772" t="s">
        <v>43</v>
      </c>
      <c r="Q772" t="s">
        <v>2</v>
      </c>
      <c r="R772" t="s">
        <v>56</v>
      </c>
      <c r="S772">
        <v>2024.18</v>
      </c>
      <c r="T772">
        <v>48676.959999999999</v>
      </c>
      <c r="U772">
        <v>30500.921600000001</v>
      </c>
      <c r="V772">
        <v>30500.921600000001</v>
      </c>
      <c r="AA772" s="29" t="s">
        <v>43</v>
      </c>
      <c r="AB772">
        <v>31199</v>
      </c>
      <c r="AC772">
        <v>90</v>
      </c>
      <c r="AD772">
        <v>3</v>
      </c>
      <c r="AE772">
        <v>772</v>
      </c>
      <c r="AF772">
        <v>772</v>
      </c>
      <c r="AG772" s="29" t="s">
        <v>970</v>
      </c>
      <c r="AH772" s="29" t="s">
        <v>1061</v>
      </c>
      <c r="AI772" s="29" t="s">
        <v>1062</v>
      </c>
      <c r="AJ772" s="29"/>
      <c r="AL772" s="29" t="s">
        <v>971</v>
      </c>
    </row>
    <row r="773" spans="15:38">
      <c r="O773" t="s">
        <v>44</v>
      </c>
      <c r="P773" t="s">
        <v>43</v>
      </c>
      <c r="Q773" t="s">
        <v>2</v>
      </c>
      <c r="R773" t="s">
        <v>56</v>
      </c>
      <c r="S773">
        <v>2024.19</v>
      </c>
      <c r="T773">
        <v>24407.08</v>
      </c>
      <c r="U773">
        <v>30500.921600000001</v>
      </c>
      <c r="V773">
        <v>30500.921600000001</v>
      </c>
      <c r="AA773" s="29" t="s">
        <v>43</v>
      </c>
      <c r="AB773">
        <v>31199</v>
      </c>
      <c r="AC773">
        <v>90</v>
      </c>
      <c r="AD773">
        <v>3</v>
      </c>
      <c r="AE773">
        <v>611.25</v>
      </c>
      <c r="AF773">
        <v>611.25</v>
      </c>
      <c r="AG773" s="29" t="s">
        <v>970</v>
      </c>
      <c r="AH773" s="29" t="s">
        <v>1063</v>
      </c>
      <c r="AI773" s="29" t="s">
        <v>1064</v>
      </c>
      <c r="AJ773" s="29"/>
      <c r="AL773" s="29" t="s">
        <v>971</v>
      </c>
    </row>
    <row r="774" spans="15:38">
      <c r="O774" t="s">
        <v>44</v>
      </c>
      <c r="P774" t="s">
        <v>43</v>
      </c>
      <c r="Q774" t="s">
        <v>2</v>
      </c>
      <c r="R774" t="s">
        <v>56</v>
      </c>
      <c r="S774">
        <v>2024.2</v>
      </c>
      <c r="T774">
        <v>24407.08</v>
      </c>
      <c r="U774">
        <v>30500.921600000001</v>
      </c>
      <c r="V774">
        <v>30500.921600000001</v>
      </c>
      <c r="AA774" s="29" t="s">
        <v>43</v>
      </c>
      <c r="AB774">
        <v>31199</v>
      </c>
      <c r="AC774">
        <v>90</v>
      </c>
      <c r="AD774">
        <v>3</v>
      </c>
      <c r="AE774">
        <v>0.03</v>
      </c>
      <c r="AF774">
        <v>0.03</v>
      </c>
      <c r="AG774" s="29" t="s">
        <v>970</v>
      </c>
      <c r="AH774" s="29" t="s">
        <v>1065</v>
      </c>
      <c r="AI774" s="29" t="s">
        <v>1066</v>
      </c>
      <c r="AJ774" s="29"/>
      <c r="AL774" s="29" t="s">
        <v>971</v>
      </c>
    </row>
    <row r="775" spans="15:38">
      <c r="O775" t="s">
        <v>44</v>
      </c>
      <c r="P775" t="s">
        <v>43</v>
      </c>
      <c r="Q775" t="s">
        <v>2</v>
      </c>
      <c r="R775" t="s">
        <v>56</v>
      </c>
      <c r="S775">
        <v>2024.21</v>
      </c>
      <c r="T775">
        <v>24407.08</v>
      </c>
      <c r="U775">
        <v>30500.921600000001</v>
      </c>
      <c r="V775">
        <v>30500.921600000001</v>
      </c>
      <c r="AA775" s="29" t="s">
        <v>43</v>
      </c>
      <c r="AB775">
        <v>31199</v>
      </c>
      <c r="AC775">
        <v>90</v>
      </c>
      <c r="AD775">
        <v>3</v>
      </c>
      <c r="AE775">
        <v>0.04</v>
      </c>
      <c r="AF775">
        <v>0.04</v>
      </c>
      <c r="AG775" s="29" t="s">
        <v>970</v>
      </c>
      <c r="AH775" s="29" t="s">
        <v>1067</v>
      </c>
      <c r="AI775" s="29" t="s">
        <v>1068</v>
      </c>
      <c r="AJ775" s="29"/>
      <c r="AL775" s="29" t="s">
        <v>971</v>
      </c>
    </row>
    <row r="776" spans="15:38">
      <c r="O776" t="s">
        <v>44</v>
      </c>
      <c r="P776" t="s">
        <v>43</v>
      </c>
      <c r="Q776" t="s">
        <v>2</v>
      </c>
      <c r="R776" t="s">
        <v>56</v>
      </c>
      <c r="S776">
        <v>2024.28</v>
      </c>
      <c r="T776">
        <v>24407.08</v>
      </c>
      <c r="U776">
        <v>30500.921600000001</v>
      </c>
      <c r="V776">
        <v>30500.921600000001</v>
      </c>
      <c r="AA776" s="29" t="s">
        <v>43</v>
      </c>
      <c r="AB776">
        <v>31199</v>
      </c>
      <c r="AC776">
        <v>90</v>
      </c>
      <c r="AD776">
        <v>3</v>
      </c>
      <c r="AE776">
        <v>0.39</v>
      </c>
      <c r="AF776">
        <v>0.39</v>
      </c>
      <c r="AG776" s="29" t="s">
        <v>970</v>
      </c>
      <c r="AH776" s="29" t="s">
        <v>1069</v>
      </c>
      <c r="AI776" s="29" t="s">
        <v>1070</v>
      </c>
      <c r="AJ776" s="29"/>
      <c r="AL776" s="29" t="s">
        <v>971</v>
      </c>
    </row>
    <row r="777" spans="15:38">
      <c r="O777" t="s">
        <v>44</v>
      </c>
      <c r="P777" t="s">
        <v>43</v>
      </c>
      <c r="Q777" t="s">
        <v>2</v>
      </c>
      <c r="R777" t="s">
        <v>56</v>
      </c>
      <c r="S777">
        <v>2024.38</v>
      </c>
      <c r="T777">
        <v>48676.959999999999</v>
      </c>
      <c r="U777">
        <v>30500.921600000001</v>
      </c>
      <c r="V777">
        <v>30500.921600000001</v>
      </c>
      <c r="AA777" s="29" t="s">
        <v>43</v>
      </c>
      <c r="AB777">
        <v>31199</v>
      </c>
      <c r="AC777">
        <v>90</v>
      </c>
      <c r="AD777">
        <v>3</v>
      </c>
      <c r="AE777">
        <v>972.25</v>
      </c>
      <c r="AF777">
        <v>972.25</v>
      </c>
      <c r="AG777" s="29" t="s">
        <v>970</v>
      </c>
      <c r="AH777" s="29" t="s">
        <v>1071</v>
      </c>
      <c r="AI777" s="29" t="s">
        <v>1072</v>
      </c>
      <c r="AJ777" s="29"/>
      <c r="AL777" s="29" t="s">
        <v>971</v>
      </c>
    </row>
    <row r="778" spans="15:38">
      <c r="O778" t="s">
        <v>44</v>
      </c>
      <c r="P778" t="s">
        <v>43</v>
      </c>
      <c r="Q778" t="s">
        <v>2</v>
      </c>
      <c r="R778" t="s">
        <v>56</v>
      </c>
      <c r="S778">
        <v>2024.39</v>
      </c>
      <c r="T778">
        <v>24407.08</v>
      </c>
      <c r="U778">
        <v>30500.921600000001</v>
      </c>
      <c r="V778">
        <v>30500.921600000001</v>
      </c>
      <c r="AA778" s="29" t="s">
        <v>43</v>
      </c>
      <c r="AB778">
        <v>31199</v>
      </c>
      <c r="AC778">
        <v>90</v>
      </c>
      <c r="AD778">
        <v>3</v>
      </c>
      <c r="AE778">
        <v>396.5</v>
      </c>
      <c r="AF778">
        <v>396.5</v>
      </c>
      <c r="AG778" s="29" t="s">
        <v>970</v>
      </c>
      <c r="AH778" s="29" t="s">
        <v>1073</v>
      </c>
      <c r="AI778" s="29" t="s">
        <v>1074</v>
      </c>
      <c r="AJ778" s="29"/>
      <c r="AL778" s="29" t="s">
        <v>971</v>
      </c>
    </row>
    <row r="779" spans="15:38">
      <c r="O779" t="s">
        <v>44</v>
      </c>
      <c r="P779" t="s">
        <v>43</v>
      </c>
      <c r="Q779" t="s">
        <v>2</v>
      </c>
      <c r="R779" t="s">
        <v>56</v>
      </c>
      <c r="S779">
        <v>2024.41</v>
      </c>
      <c r="T779">
        <v>24475.68</v>
      </c>
      <c r="U779">
        <v>30500.921600000001</v>
      </c>
      <c r="V779">
        <v>30500.921600000001</v>
      </c>
      <c r="AA779" s="29" t="s">
        <v>43</v>
      </c>
      <c r="AB779">
        <v>31199</v>
      </c>
      <c r="AC779">
        <v>90</v>
      </c>
      <c r="AD779">
        <v>3</v>
      </c>
      <c r="AE779">
        <v>144</v>
      </c>
      <c r="AF779">
        <v>144</v>
      </c>
      <c r="AG779" s="29" t="s">
        <v>970</v>
      </c>
      <c r="AH779" s="29" t="s">
        <v>1050</v>
      </c>
      <c r="AI779" s="29" t="s">
        <v>1075</v>
      </c>
      <c r="AJ779" s="29"/>
      <c r="AL779" s="29" t="s">
        <v>971</v>
      </c>
    </row>
    <row r="780" spans="15:38">
      <c r="O780" t="s">
        <v>44</v>
      </c>
      <c r="P780" t="s">
        <v>43</v>
      </c>
      <c r="Q780" t="s">
        <v>2</v>
      </c>
      <c r="R780" t="s">
        <v>56</v>
      </c>
      <c r="S780">
        <v>2024.43</v>
      </c>
      <c r="T780">
        <v>24475.68</v>
      </c>
      <c r="U780">
        <v>30500.921600000001</v>
      </c>
      <c r="V780">
        <v>30500.921600000001</v>
      </c>
      <c r="AA780" s="29" t="s">
        <v>43</v>
      </c>
      <c r="AB780">
        <v>31199</v>
      </c>
      <c r="AC780">
        <v>90</v>
      </c>
      <c r="AD780">
        <v>3</v>
      </c>
      <c r="AE780">
        <v>96</v>
      </c>
      <c r="AF780">
        <v>96</v>
      </c>
      <c r="AG780" s="29" t="s">
        <v>970</v>
      </c>
      <c r="AH780" s="29" t="s">
        <v>974</v>
      </c>
      <c r="AI780" s="29" t="s">
        <v>1076</v>
      </c>
      <c r="AJ780" s="29"/>
      <c r="AL780" s="29" t="s">
        <v>971</v>
      </c>
    </row>
    <row r="781" spans="15:38">
      <c r="O781" t="s">
        <v>44</v>
      </c>
      <c r="P781" t="s">
        <v>43</v>
      </c>
      <c r="Q781" t="s">
        <v>2</v>
      </c>
      <c r="R781" t="s">
        <v>56</v>
      </c>
      <c r="S781">
        <v>2024.44</v>
      </c>
      <c r="T781">
        <v>24475.68</v>
      </c>
      <c r="U781">
        <v>30500.921600000001</v>
      </c>
      <c r="V781">
        <v>24475.680100000001</v>
      </c>
      <c r="AA781" s="29" t="s">
        <v>43</v>
      </c>
      <c r="AB781">
        <v>31199</v>
      </c>
      <c r="AC781">
        <v>90</v>
      </c>
      <c r="AD781">
        <v>3</v>
      </c>
      <c r="AE781">
        <v>33.85</v>
      </c>
      <c r="AF781">
        <v>33.85</v>
      </c>
      <c r="AG781" s="29" t="s">
        <v>970</v>
      </c>
      <c r="AH781" s="29" t="s">
        <v>1077</v>
      </c>
      <c r="AI781" s="29" t="s">
        <v>1078</v>
      </c>
      <c r="AJ781" s="29"/>
      <c r="AL781" s="29" t="s">
        <v>971</v>
      </c>
    </row>
    <row r="782" spans="15:38">
      <c r="O782" t="s">
        <v>44</v>
      </c>
      <c r="P782" t="s">
        <v>43</v>
      </c>
      <c r="Q782" t="s">
        <v>2</v>
      </c>
      <c r="R782" t="s">
        <v>56</v>
      </c>
      <c r="S782">
        <v>2024.45</v>
      </c>
      <c r="T782">
        <v>24475.68</v>
      </c>
      <c r="U782">
        <v>30500.921600000001</v>
      </c>
      <c r="V782">
        <v>24475.680100000001</v>
      </c>
      <c r="AA782" s="29" t="s">
        <v>43</v>
      </c>
      <c r="AB782">
        <v>31199</v>
      </c>
      <c r="AC782">
        <v>90</v>
      </c>
      <c r="AD782">
        <v>3</v>
      </c>
      <c r="AE782">
        <v>96</v>
      </c>
      <c r="AF782">
        <v>96</v>
      </c>
      <c r="AG782" s="29" t="s">
        <v>970</v>
      </c>
      <c r="AH782" s="29" t="s">
        <v>974</v>
      </c>
      <c r="AI782" s="29" t="s">
        <v>1079</v>
      </c>
      <c r="AJ782" s="29"/>
      <c r="AL782" s="29" t="s">
        <v>971</v>
      </c>
    </row>
    <row r="783" spans="15:38">
      <c r="O783" t="s">
        <v>44</v>
      </c>
      <c r="P783" t="s">
        <v>43</v>
      </c>
      <c r="Q783" t="s">
        <v>2</v>
      </c>
      <c r="R783" t="s">
        <v>56</v>
      </c>
      <c r="S783">
        <v>2024.47</v>
      </c>
      <c r="T783">
        <v>24475.68</v>
      </c>
      <c r="U783">
        <v>30500.921600000001</v>
      </c>
      <c r="V783">
        <v>24475.680100000001</v>
      </c>
      <c r="AA783" s="29" t="s">
        <v>43</v>
      </c>
      <c r="AB783">
        <v>31199</v>
      </c>
      <c r="AC783">
        <v>100</v>
      </c>
      <c r="AD783">
        <v>1</v>
      </c>
      <c r="AE783">
        <v>0</v>
      </c>
      <c r="AF783">
        <v>0</v>
      </c>
      <c r="AG783" s="29" t="s">
        <v>1080</v>
      </c>
      <c r="AH783" s="29"/>
      <c r="AI783" s="29"/>
      <c r="AJ783" s="29"/>
      <c r="AL783" s="29" t="s">
        <v>1081</v>
      </c>
    </row>
    <row r="784" spans="15:38">
      <c r="O784" t="s">
        <v>44</v>
      </c>
      <c r="P784" t="s">
        <v>43</v>
      </c>
      <c r="Q784" t="s">
        <v>2</v>
      </c>
      <c r="R784" t="s">
        <v>56</v>
      </c>
      <c r="S784">
        <v>2024.48</v>
      </c>
      <c r="T784">
        <v>24475.68</v>
      </c>
      <c r="U784">
        <v>30500.921600000001</v>
      </c>
      <c r="V784">
        <v>24475.680100000001</v>
      </c>
      <c r="AA784" s="29" t="s">
        <v>43</v>
      </c>
      <c r="AB784">
        <v>31199</v>
      </c>
      <c r="AC784">
        <v>100</v>
      </c>
      <c r="AD784">
        <v>3</v>
      </c>
      <c r="AE784">
        <v>75</v>
      </c>
      <c r="AF784">
        <v>75</v>
      </c>
      <c r="AG784" s="29" t="s">
        <v>1080</v>
      </c>
      <c r="AH784" s="29" t="s">
        <v>1082</v>
      </c>
      <c r="AI784" s="29" t="s">
        <v>1083</v>
      </c>
      <c r="AJ784" s="29"/>
      <c r="AL784" s="29" t="s">
        <v>1081</v>
      </c>
    </row>
    <row r="785" spans="15:38">
      <c r="O785" t="s">
        <v>44</v>
      </c>
      <c r="P785" t="s">
        <v>43</v>
      </c>
      <c r="Q785" t="s">
        <v>2</v>
      </c>
      <c r="R785" t="s">
        <v>56</v>
      </c>
      <c r="S785">
        <v>2024.49</v>
      </c>
      <c r="T785">
        <v>24475.68</v>
      </c>
      <c r="U785">
        <v>30500.921600000001</v>
      </c>
      <c r="V785">
        <v>24475.680100000001</v>
      </c>
      <c r="AA785" s="29" t="s">
        <v>43</v>
      </c>
      <c r="AB785">
        <v>31199</v>
      </c>
      <c r="AC785">
        <v>100</v>
      </c>
      <c r="AD785">
        <v>3</v>
      </c>
      <c r="AE785">
        <v>493.2</v>
      </c>
      <c r="AF785">
        <v>493.2</v>
      </c>
      <c r="AG785" s="29" t="s">
        <v>1080</v>
      </c>
      <c r="AH785" s="29" t="s">
        <v>1084</v>
      </c>
      <c r="AI785" s="29" t="s">
        <v>1085</v>
      </c>
      <c r="AJ785" s="29"/>
      <c r="AL785" s="29" t="s">
        <v>1081</v>
      </c>
    </row>
    <row r="786" spans="15:38">
      <c r="O786" t="s">
        <v>44</v>
      </c>
      <c r="P786" t="s">
        <v>43</v>
      </c>
      <c r="Q786" t="s">
        <v>2</v>
      </c>
      <c r="R786" t="s">
        <v>56</v>
      </c>
      <c r="S786">
        <v>2024.52</v>
      </c>
      <c r="T786">
        <v>24475.68</v>
      </c>
      <c r="U786">
        <v>30500.921600000001</v>
      </c>
      <c r="V786">
        <v>24475.680100000001</v>
      </c>
      <c r="AA786" s="29" t="s">
        <v>43</v>
      </c>
      <c r="AB786">
        <v>31199</v>
      </c>
      <c r="AC786">
        <v>100</v>
      </c>
      <c r="AD786">
        <v>3</v>
      </c>
      <c r="AE786">
        <v>190</v>
      </c>
      <c r="AF786">
        <v>190</v>
      </c>
      <c r="AG786" s="29" t="s">
        <v>1080</v>
      </c>
      <c r="AH786" s="29" t="s">
        <v>1086</v>
      </c>
      <c r="AI786" s="29" t="s">
        <v>1087</v>
      </c>
      <c r="AJ786" s="29"/>
      <c r="AL786" s="29" t="s">
        <v>1081</v>
      </c>
    </row>
    <row r="787" spans="15:38">
      <c r="O787" t="s">
        <v>44</v>
      </c>
      <c r="P787" t="s">
        <v>43</v>
      </c>
      <c r="Q787" t="s">
        <v>2</v>
      </c>
      <c r="R787" t="s">
        <v>56</v>
      </c>
      <c r="S787">
        <v>2025.03</v>
      </c>
      <c r="T787">
        <v>24475.68</v>
      </c>
      <c r="U787">
        <v>30500.921600000001</v>
      </c>
      <c r="V787">
        <v>24475.680100000001</v>
      </c>
      <c r="AA787" s="29" t="s">
        <v>43</v>
      </c>
      <c r="AB787">
        <v>31199</v>
      </c>
      <c r="AC787">
        <v>100</v>
      </c>
      <c r="AD787">
        <v>3</v>
      </c>
      <c r="AE787">
        <v>68</v>
      </c>
      <c r="AF787">
        <v>68</v>
      </c>
      <c r="AG787" s="29" t="s">
        <v>1080</v>
      </c>
      <c r="AH787" s="29" t="s">
        <v>1088</v>
      </c>
      <c r="AI787" s="29" t="s">
        <v>1089</v>
      </c>
      <c r="AJ787" s="29"/>
      <c r="AL787" s="29" t="s">
        <v>1081</v>
      </c>
    </row>
    <row r="788" spans="15:38">
      <c r="O788" t="s">
        <v>44</v>
      </c>
      <c r="P788" t="s">
        <v>43</v>
      </c>
      <c r="Q788" t="s">
        <v>2</v>
      </c>
      <c r="R788" t="s">
        <v>56</v>
      </c>
      <c r="S788">
        <v>2025.12</v>
      </c>
      <c r="T788">
        <v>24475.68</v>
      </c>
      <c r="U788">
        <v>30500.921600000001</v>
      </c>
      <c r="V788">
        <v>24475.680100000001</v>
      </c>
      <c r="AA788" s="29" t="s">
        <v>43</v>
      </c>
      <c r="AB788">
        <v>31199</v>
      </c>
      <c r="AC788">
        <v>100</v>
      </c>
      <c r="AD788">
        <v>3</v>
      </c>
      <c r="AE788">
        <v>75</v>
      </c>
      <c r="AF788">
        <v>75</v>
      </c>
      <c r="AG788" s="29" t="s">
        <v>1080</v>
      </c>
      <c r="AH788" s="29" t="s">
        <v>1082</v>
      </c>
      <c r="AI788" s="29" t="s">
        <v>1090</v>
      </c>
      <c r="AJ788" s="29"/>
      <c r="AL788" s="29" t="s">
        <v>1081</v>
      </c>
    </row>
    <row r="789" spans="15:38">
      <c r="O789" t="s">
        <v>44</v>
      </c>
      <c r="P789" t="s">
        <v>43</v>
      </c>
      <c r="Q789" t="s">
        <v>4</v>
      </c>
      <c r="R789" t="s">
        <v>63</v>
      </c>
      <c r="S789">
        <v>2023.44</v>
      </c>
      <c r="T789">
        <v>0</v>
      </c>
      <c r="U789">
        <v>36481.088900000002</v>
      </c>
      <c r="V789">
        <v>36481.088900000002</v>
      </c>
      <c r="AA789" s="29" t="s">
        <v>43</v>
      </c>
      <c r="AB789">
        <v>31199</v>
      </c>
      <c r="AC789">
        <v>100</v>
      </c>
      <c r="AD789">
        <v>3</v>
      </c>
      <c r="AE789">
        <v>168</v>
      </c>
      <c r="AF789">
        <v>168</v>
      </c>
      <c r="AG789" s="29" t="s">
        <v>1080</v>
      </c>
      <c r="AH789" s="29" t="s">
        <v>1091</v>
      </c>
      <c r="AI789" s="29" t="s">
        <v>1092</v>
      </c>
      <c r="AJ789" s="29"/>
      <c r="AL789" s="29" t="s">
        <v>1081</v>
      </c>
    </row>
    <row r="790" spans="15:38">
      <c r="O790" t="s">
        <v>44</v>
      </c>
      <c r="P790" t="s">
        <v>43</v>
      </c>
      <c r="Q790" t="s">
        <v>4</v>
      </c>
      <c r="R790" t="s">
        <v>63</v>
      </c>
      <c r="S790">
        <v>2023.51</v>
      </c>
      <c r="T790">
        <v>34817.83</v>
      </c>
      <c r="U790">
        <v>36481.088900000002</v>
      </c>
      <c r="V790">
        <v>36481.088900000002</v>
      </c>
      <c r="AA790" s="29" t="s">
        <v>43</v>
      </c>
      <c r="AB790">
        <v>31199</v>
      </c>
      <c r="AC790">
        <v>100</v>
      </c>
      <c r="AD790">
        <v>3</v>
      </c>
      <c r="AE790">
        <v>604.48</v>
      </c>
      <c r="AF790">
        <v>604.48</v>
      </c>
      <c r="AG790" s="29" t="s">
        <v>1080</v>
      </c>
      <c r="AH790" s="29" t="s">
        <v>1093</v>
      </c>
      <c r="AI790" s="29" t="s">
        <v>1094</v>
      </c>
      <c r="AJ790" s="29"/>
      <c r="AL790" s="29" t="s">
        <v>1081</v>
      </c>
    </row>
    <row r="791" spans="15:38">
      <c r="O791" t="s">
        <v>44</v>
      </c>
      <c r="P791" t="s">
        <v>43</v>
      </c>
      <c r="Q791" t="s">
        <v>4</v>
      </c>
      <c r="R791" t="s">
        <v>63</v>
      </c>
      <c r="S791">
        <v>2024.06</v>
      </c>
      <c r="T791">
        <v>35205.43</v>
      </c>
      <c r="U791">
        <v>36481.088900000002</v>
      </c>
      <c r="V791">
        <v>36481.088900000002</v>
      </c>
      <c r="AA791" s="29" t="s">
        <v>43</v>
      </c>
      <c r="AB791">
        <v>31199</v>
      </c>
      <c r="AC791">
        <v>100</v>
      </c>
      <c r="AD791">
        <v>3</v>
      </c>
      <c r="AE791">
        <v>72</v>
      </c>
      <c r="AF791">
        <v>72</v>
      </c>
      <c r="AG791" s="29" t="s">
        <v>1080</v>
      </c>
      <c r="AH791" s="29" t="s">
        <v>1095</v>
      </c>
      <c r="AI791" s="29" t="s">
        <v>1096</v>
      </c>
      <c r="AJ791" s="29"/>
      <c r="AL791" s="29" t="s">
        <v>1081</v>
      </c>
    </row>
    <row r="792" spans="15:38">
      <c r="O792" t="s">
        <v>44</v>
      </c>
      <c r="P792" t="s">
        <v>43</v>
      </c>
      <c r="Q792" t="s">
        <v>4</v>
      </c>
      <c r="R792" t="s">
        <v>63</v>
      </c>
      <c r="S792">
        <v>2024.07</v>
      </c>
      <c r="T792">
        <v>35205.43</v>
      </c>
      <c r="U792">
        <v>36481.088900000002</v>
      </c>
      <c r="V792">
        <v>36481.088900000002</v>
      </c>
      <c r="AA792" s="29" t="s">
        <v>43</v>
      </c>
      <c r="AB792">
        <v>31199</v>
      </c>
      <c r="AC792">
        <v>100</v>
      </c>
      <c r="AD792">
        <v>3</v>
      </c>
      <c r="AE792">
        <v>72</v>
      </c>
      <c r="AF792">
        <v>72</v>
      </c>
      <c r="AG792" s="29" t="s">
        <v>1080</v>
      </c>
      <c r="AH792" s="29" t="s">
        <v>1095</v>
      </c>
      <c r="AI792" s="29" t="s">
        <v>1097</v>
      </c>
      <c r="AJ792" s="29"/>
      <c r="AL792" s="29" t="s">
        <v>1081</v>
      </c>
    </row>
    <row r="793" spans="15:38">
      <c r="O793" t="s">
        <v>44</v>
      </c>
      <c r="P793" t="s">
        <v>43</v>
      </c>
      <c r="Q793" t="s">
        <v>4</v>
      </c>
      <c r="R793" t="s">
        <v>63</v>
      </c>
      <c r="S793">
        <v>2024.08</v>
      </c>
      <c r="T793">
        <v>35205.43</v>
      </c>
      <c r="U793">
        <v>36481.088900000002</v>
      </c>
      <c r="V793">
        <v>36481.088900000002</v>
      </c>
      <c r="AA793" s="29" t="s">
        <v>43</v>
      </c>
      <c r="AB793">
        <v>31199</v>
      </c>
      <c r="AC793">
        <v>100</v>
      </c>
      <c r="AD793">
        <v>3</v>
      </c>
      <c r="AE793">
        <v>1510.18</v>
      </c>
      <c r="AF793">
        <v>1510.18</v>
      </c>
      <c r="AG793" s="29" t="s">
        <v>1080</v>
      </c>
      <c r="AH793" s="29" t="s">
        <v>1098</v>
      </c>
      <c r="AI793" s="29" t="s">
        <v>1099</v>
      </c>
      <c r="AJ793" s="29"/>
      <c r="AL793" s="29" t="s">
        <v>1081</v>
      </c>
    </row>
    <row r="794" spans="15:38">
      <c r="O794" t="s">
        <v>44</v>
      </c>
      <c r="P794" t="s">
        <v>43</v>
      </c>
      <c r="Q794" t="s">
        <v>4</v>
      </c>
      <c r="R794" t="s">
        <v>63</v>
      </c>
      <c r="S794">
        <v>2024.09</v>
      </c>
      <c r="T794">
        <v>35205.43</v>
      </c>
      <c r="U794">
        <v>36481.088900000002</v>
      </c>
      <c r="V794">
        <v>36481.088900000002</v>
      </c>
      <c r="AA794" s="29" t="s">
        <v>43</v>
      </c>
      <c r="AB794">
        <v>31199</v>
      </c>
      <c r="AC794">
        <v>100</v>
      </c>
      <c r="AD794">
        <v>3</v>
      </c>
      <c r="AE794">
        <v>54.25</v>
      </c>
      <c r="AF794">
        <v>54.25</v>
      </c>
      <c r="AG794" s="29" t="s">
        <v>1080</v>
      </c>
      <c r="AH794" s="29" t="s">
        <v>1100</v>
      </c>
      <c r="AI794" s="29" t="s">
        <v>1101</v>
      </c>
      <c r="AJ794" s="29"/>
      <c r="AL794" s="29" t="s">
        <v>1081</v>
      </c>
    </row>
    <row r="795" spans="15:38">
      <c r="O795" t="s">
        <v>44</v>
      </c>
      <c r="P795" t="s">
        <v>43</v>
      </c>
      <c r="Q795" t="s">
        <v>4</v>
      </c>
      <c r="R795" t="s">
        <v>63</v>
      </c>
      <c r="S795">
        <v>2024.1</v>
      </c>
      <c r="T795">
        <v>35205.43</v>
      </c>
      <c r="U795">
        <v>36481.088900000002</v>
      </c>
      <c r="V795">
        <v>36481.088900000002</v>
      </c>
      <c r="AA795" s="29" t="s">
        <v>43</v>
      </c>
      <c r="AB795">
        <v>31199</v>
      </c>
      <c r="AC795">
        <v>100</v>
      </c>
      <c r="AD795">
        <v>3</v>
      </c>
      <c r="AE795">
        <v>78.55</v>
      </c>
      <c r="AF795">
        <v>78.55</v>
      </c>
      <c r="AG795" s="29" t="s">
        <v>1080</v>
      </c>
      <c r="AH795" s="29" t="s">
        <v>1102</v>
      </c>
      <c r="AI795" s="29" t="s">
        <v>1103</v>
      </c>
      <c r="AJ795" s="29"/>
      <c r="AL795" s="29" t="s">
        <v>1081</v>
      </c>
    </row>
    <row r="796" spans="15:38">
      <c r="O796" t="s">
        <v>44</v>
      </c>
      <c r="P796" t="s">
        <v>43</v>
      </c>
      <c r="Q796" t="s">
        <v>4</v>
      </c>
      <c r="R796" t="s">
        <v>63</v>
      </c>
      <c r="S796">
        <v>2024.11</v>
      </c>
      <c r="T796">
        <v>35205.43</v>
      </c>
      <c r="U796">
        <v>36481.088900000002</v>
      </c>
      <c r="V796">
        <v>36481.088900000002</v>
      </c>
      <c r="AA796" s="29" t="s">
        <v>43</v>
      </c>
      <c r="AB796">
        <v>31199</v>
      </c>
      <c r="AC796">
        <v>100</v>
      </c>
      <c r="AD796">
        <v>3</v>
      </c>
      <c r="AE796">
        <v>54.25</v>
      </c>
      <c r="AF796">
        <v>54.25</v>
      </c>
      <c r="AG796" s="29" t="s">
        <v>1080</v>
      </c>
      <c r="AH796" s="29" t="s">
        <v>1100</v>
      </c>
      <c r="AI796" s="29" t="s">
        <v>1104</v>
      </c>
      <c r="AJ796" s="29"/>
      <c r="AL796" s="29" t="s">
        <v>1081</v>
      </c>
    </row>
    <row r="797" spans="15:38">
      <c r="O797" t="s">
        <v>44</v>
      </c>
      <c r="P797" t="s">
        <v>43</v>
      </c>
      <c r="Q797" t="s">
        <v>4</v>
      </c>
      <c r="R797" t="s">
        <v>63</v>
      </c>
      <c r="S797">
        <v>2024.14</v>
      </c>
      <c r="T797">
        <v>35205.43</v>
      </c>
      <c r="U797">
        <v>36481.088900000002</v>
      </c>
      <c r="V797">
        <v>36481.088900000002</v>
      </c>
      <c r="AA797" s="29" t="s">
        <v>43</v>
      </c>
      <c r="AB797">
        <v>31199</v>
      </c>
      <c r="AC797">
        <v>100</v>
      </c>
      <c r="AD797">
        <v>3</v>
      </c>
      <c r="AE797">
        <v>110</v>
      </c>
      <c r="AF797">
        <v>110</v>
      </c>
      <c r="AG797" s="29" t="s">
        <v>1080</v>
      </c>
      <c r="AH797" s="29" t="s">
        <v>1105</v>
      </c>
      <c r="AI797" s="29" t="s">
        <v>1106</v>
      </c>
      <c r="AJ797" s="29"/>
      <c r="AL797" s="29" t="s">
        <v>1081</v>
      </c>
    </row>
    <row r="798" spans="15:38">
      <c r="O798" t="s">
        <v>44</v>
      </c>
      <c r="P798" t="s">
        <v>43</v>
      </c>
      <c r="Q798" t="s">
        <v>4</v>
      </c>
      <c r="R798" t="s">
        <v>63</v>
      </c>
      <c r="S798">
        <v>2024.17</v>
      </c>
      <c r="T798">
        <v>35205.43</v>
      </c>
      <c r="U798">
        <v>36481.088900000002</v>
      </c>
      <c r="V798">
        <v>36481.088900000002</v>
      </c>
      <c r="AA798" s="29" t="s">
        <v>43</v>
      </c>
      <c r="AB798">
        <v>31199</v>
      </c>
      <c r="AC798">
        <v>100</v>
      </c>
      <c r="AD798">
        <v>3</v>
      </c>
      <c r="AE798">
        <v>2495.8000000000002</v>
      </c>
      <c r="AF798">
        <v>2495.8000000000002</v>
      </c>
      <c r="AG798" s="29" t="s">
        <v>1080</v>
      </c>
      <c r="AH798" s="29" t="s">
        <v>1107</v>
      </c>
      <c r="AI798" s="29" t="s">
        <v>1108</v>
      </c>
      <c r="AJ798" s="29"/>
      <c r="AL798" s="29" t="s">
        <v>1081</v>
      </c>
    </row>
    <row r="799" spans="15:38">
      <c r="O799" t="s">
        <v>44</v>
      </c>
      <c r="P799" t="s">
        <v>43</v>
      </c>
      <c r="Q799" t="s">
        <v>4</v>
      </c>
      <c r="R799" t="s">
        <v>63</v>
      </c>
      <c r="S799">
        <v>2024.18</v>
      </c>
      <c r="T799">
        <v>71836.38</v>
      </c>
      <c r="U799">
        <v>36481.088900000002</v>
      </c>
      <c r="V799">
        <v>36481.088900000002</v>
      </c>
      <c r="AA799" s="29" t="s">
        <v>43</v>
      </c>
      <c r="AB799">
        <v>31199</v>
      </c>
      <c r="AC799">
        <v>100</v>
      </c>
      <c r="AD799">
        <v>3</v>
      </c>
      <c r="AE799">
        <v>136</v>
      </c>
      <c r="AF799">
        <v>136</v>
      </c>
      <c r="AG799" s="29" t="s">
        <v>1080</v>
      </c>
      <c r="AH799" s="29" t="s">
        <v>1109</v>
      </c>
      <c r="AI799" s="29" t="s">
        <v>1110</v>
      </c>
      <c r="AJ799" s="29"/>
      <c r="AL799" s="29" t="s">
        <v>1081</v>
      </c>
    </row>
    <row r="800" spans="15:38">
      <c r="O800" t="s">
        <v>44</v>
      </c>
      <c r="P800" t="s">
        <v>43</v>
      </c>
      <c r="Q800" t="s">
        <v>4</v>
      </c>
      <c r="R800" t="s">
        <v>63</v>
      </c>
      <c r="S800">
        <v>2024.19</v>
      </c>
      <c r="T800">
        <v>35918.19</v>
      </c>
      <c r="U800">
        <v>36481.088900000002</v>
      </c>
      <c r="V800">
        <v>36481.088900000002</v>
      </c>
      <c r="AA800" s="29" t="s">
        <v>43</v>
      </c>
      <c r="AB800">
        <v>31199</v>
      </c>
      <c r="AC800">
        <v>100</v>
      </c>
      <c r="AD800">
        <v>3</v>
      </c>
      <c r="AE800">
        <v>1044</v>
      </c>
      <c r="AF800">
        <v>1044</v>
      </c>
      <c r="AG800" s="29" t="s">
        <v>1080</v>
      </c>
      <c r="AH800" s="29" t="s">
        <v>1111</v>
      </c>
      <c r="AI800" s="29" t="s">
        <v>1112</v>
      </c>
      <c r="AJ800" s="29"/>
      <c r="AL800" s="29" t="s">
        <v>1081</v>
      </c>
    </row>
    <row r="801" spans="15:38">
      <c r="O801" t="s">
        <v>44</v>
      </c>
      <c r="P801" t="s">
        <v>43</v>
      </c>
      <c r="Q801" t="s">
        <v>4</v>
      </c>
      <c r="R801" t="s">
        <v>63</v>
      </c>
      <c r="S801">
        <v>2024.2</v>
      </c>
      <c r="T801">
        <v>35918.19</v>
      </c>
      <c r="U801">
        <v>36481.088900000002</v>
      </c>
      <c r="V801">
        <v>36481.088900000002</v>
      </c>
      <c r="AA801" s="29" t="s">
        <v>43</v>
      </c>
      <c r="AB801">
        <v>31199</v>
      </c>
      <c r="AC801">
        <v>100</v>
      </c>
      <c r="AD801">
        <v>3</v>
      </c>
      <c r="AE801">
        <v>108</v>
      </c>
      <c r="AF801">
        <v>108</v>
      </c>
      <c r="AG801" s="29" t="s">
        <v>1080</v>
      </c>
      <c r="AH801" s="29" t="s">
        <v>1113</v>
      </c>
      <c r="AI801" s="29" t="s">
        <v>1114</v>
      </c>
      <c r="AJ801" s="29"/>
      <c r="AL801" s="29" t="s">
        <v>1081</v>
      </c>
    </row>
    <row r="802" spans="15:38">
      <c r="O802" t="s">
        <v>44</v>
      </c>
      <c r="P802" t="s">
        <v>43</v>
      </c>
      <c r="Q802" t="s">
        <v>4</v>
      </c>
      <c r="R802" t="s">
        <v>63</v>
      </c>
      <c r="S802">
        <v>2024.21</v>
      </c>
      <c r="T802">
        <v>35918.19</v>
      </c>
      <c r="U802">
        <v>36481.088900000002</v>
      </c>
      <c r="V802">
        <v>36481.088900000002</v>
      </c>
      <c r="AA802" s="29" t="s">
        <v>43</v>
      </c>
      <c r="AB802">
        <v>31199</v>
      </c>
      <c r="AC802">
        <v>100</v>
      </c>
      <c r="AD802">
        <v>3</v>
      </c>
      <c r="AE802">
        <v>36</v>
      </c>
      <c r="AF802">
        <v>36</v>
      </c>
      <c r="AG802" s="29" t="s">
        <v>1080</v>
      </c>
      <c r="AH802" s="29" t="s">
        <v>1115</v>
      </c>
      <c r="AI802" s="29" t="s">
        <v>1116</v>
      </c>
      <c r="AJ802" s="29"/>
      <c r="AL802" s="29" t="s">
        <v>1081</v>
      </c>
    </row>
    <row r="803" spans="15:38">
      <c r="O803" t="s">
        <v>44</v>
      </c>
      <c r="P803" t="s">
        <v>43</v>
      </c>
      <c r="Q803" t="s">
        <v>4</v>
      </c>
      <c r="R803" t="s">
        <v>63</v>
      </c>
      <c r="S803">
        <v>2024.28</v>
      </c>
      <c r="T803">
        <v>35918.19</v>
      </c>
      <c r="U803">
        <v>36481.088900000002</v>
      </c>
      <c r="V803">
        <v>36481.088900000002</v>
      </c>
      <c r="AA803" s="29" t="s">
        <v>43</v>
      </c>
      <c r="AB803">
        <v>31199</v>
      </c>
      <c r="AC803">
        <v>100</v>
      </c>
      <c r="AD803">
        <v>3</v>
      </c>
      <c r="AE803">
        <v>310</v>
      </c>
      <c r="AF803">
        <v>310</v>
      </c>
      <c r="AG803" s="29" t="s">
        <v>1080</v>
      </c>
      <c r="AH803" s="29" t="s">
        <v>1117</v>
      </c>
      <c r="AI803" s="29" t="s">
        <v>1118</v>
      </c>
      <c r="AJ803" s="29"/>
      <c r="AL803" s="29" t="s">
        <v>1081</v>
      </c>
    </row>
    <row r="804" spans="15:38">
      <c r="O804" t="s">
        <v>44</v>
      </c>
      <c r="P804" t="s">
        <v>43</v>
      </c>
      <c r="Q804" t="s">
        <v>4</v>
      </c>
      <c r="R804" t="s">
        <v>63</v>
      </c>
      <c r="S804">
        <v>2024.38</v>
      </c>
      <c r="T804">
        <v>71836.38</v>
      </c>
      <c r="U804">
        <v>36481.088900000002</v>
      </c>
      <c r="V804">
        <v>36481.088900000002</v>
      </c>
      <c r="AA804" s="29" t="s">
        <v>43</v>
      </c>
      <c r="AB804">
        <v>31199</v>
      </c>
      <c r="AC804">
        <v>100</v>
      </c>
      <c r="AD804">
        <v>3</v>
      </c>
      <c r="AE804">
        <v>280</v>
      </c>
      <c r="AF804">
        <v>280</v>
      </c>
      <c r="AG804" s="29" t="s">
        <v>1080</v>
      </c>
      <c r="AH804" s="29" t="s">
        <v>1119</v>
      </c>
      <c r="AI804" s="29" t="s">
        <v>1120</v>
      </c>
      <c r="AJ804" s="29"/>
      <c r="AL804" s="29" t="s">
        <v>1081</v>
      </c>
    </row>
    <row r="805" spans="15:38">
      <c r="O805" t="s">
        <v>44</v>
      </c>
      <c r="P805" t="s">
        <v>43</v>
      </c>
      <c r="Q805" t="s">
        <v>4</v>
      </c>
      <c r="R805" t="s">
        <v>63</v>
      </c>
      <c r="S805">
        <v>2024.39</v>
      </c>
      <c r="T805">
        <v>35918.19</v>
      </c>
      <c r="U805">
        <v>36481.088900000002</v>
      </c>
      <c r="V805">
        <v>36481.088900000002</v>
      </c>
      <c r="AA805" s="29" t="s">
        <v>43</v>
      </c>
      <c r="AB805">
        <v>31199</v>
      </c>
      <c r="AC805">
        <v>100</v>
      </c>
      <c r="AD805">
        <v>3</v>
      </c>
      <c r="AE805">
        <v>96</v>
      </c>
      <c r="AF805">
        <v>96</v>
      </c>
      <c r="AG805" s="29" t="s">
        <v>1080</v>
      </c>
      <c r="AH805" s="29" t="s">
        <v>1121</v>
      </c>
      <c r="AI805" s="29" t="s">
        <v>1122</v>
      </c>
      <c r="AJ805" s="29"/>
      <c r="AL805" s="29" t="s">
        <v>1081</v>
      </c>
    </row>
    <row r="806" spans="15:38">
      <c r="O806" t="s">
        <v>44</v>
      </c>
      <c r="P806" t="s">
        <v>43</v>
      </c>
      <c r="Q806" t="s">
        <v>4</v>
      </c>
      <c r="R806" t="s">
        <v>63</v>
      </c>
      <c r="S806">
        <v>2024.41</v>
      </c>
      <c r="T806">
        <v>35918.19</v>
      </c>
      <c r="U806">
        <v>36481.088900000002</v>
      </c>
      <c r="V806">
        <v>36481.088900000002</v>
      </c>
      <c r="AA806" s="29" t="s">
        <v>43</v>
      </c>
      <c r="AB806">
        <v>31199</v>
      </c>
      <c r="AC806">
        <v>100</v>
      </c>
      <c r="AD806">
        <v>3</v>
      </c>
      <c r="AE806">
        <v>48</v>
      </c>
      <c r="AF806">
        <v>48</v>
      </c>
      <c r="AG806" s="29" t="s">
        <v>1080</v>
      </c>
      <c r="AH806" s="29" t="s">
        <v>1123</v>
      </c>
      <c r="AI806" s="29" t="s">
        <v>1124</v>
      </c>
      <c r="AJ806" s="29"/>
      <c r="AL806" s="29" t="s">
        <v>1081</v>
      </c>
    </row>
    <row r="807" spans="15:38">
      <c r="O807" t="s">
        <v>44</v>
      </c>
      <c r="P807" t="s">
        <v>43</v>
      </c>
      <c r="Q807" t="s">
        <v>4</v>
      </c>
      <c r="R807" t="s">
        <v>63</v>
      </c>
      <c r="S807">
        <v>2024.43</v>
      </c>
      <c r="T807">
        <v>35918.19</v>
      </c>
      <c r="U807">
        <v>36481.088900000002</v>
      </c>
      <c r="V807">
        <v>36481.088900000002</v>
      </c>
      <c r="AA807" s="29" t="s">
        <v>43</v>
      </c>
      <c r="AB807">
        <v>31199</v>
      </c>
      <c r="AC807">
        <v>100</v>
      </c>
      <c r="AD807">
        <v>3</v>
      </c>
      <c r="AE807">
        <v>40</v>
      </c>
      <c r="AF807">
        <v>40</v>
      </c>
      <c r="AG807" s="29" t="s">
        <v>1080</v>
      </c>
      <c r="AH807" s="29" t="s">
        <v>1125</v>
      </c>
      <c r="AI807" s="29" t="s">
        <v>1126</v>
      </c>
      <c r="AJ807" s="29"/>
      <c r="AL807" s="29" t="s">
        <v>1081</v>
      </c>
    </row>
    <row r="808" spans="15:38">
      <c r="O808" t="s">
        <v>44</v>
      </c>
      <c r="P808" t="s">
        <v>43</v>
      </c>
      <c r="Q808" t="s">
        <v>4</v>
      </c>
      <c r="R808" t="s">
        <v>63</v>
      </c>
      <c r="S808">
        <v>2024.44</v>
      </c>
      <c r="T808">
        <v>35918.19</v>
      </c>
      <c r="U808">
        <v>36481.088900000002</v>
      </c>
      <c r="V808">
        <v>34677.285000000003</v>
      </c>
      <c r="AA808" s="29" t="s">
        <v>43</v>
      </c>
      <c r="AB808">
        <v>31199</v>
      </c>
      <c r="AC808">
        <v>100</v>
      </c>
      <c r="AD808">
        <v>3</v>
      </c>
      <c r="AE808">
        <v>74</v>
      </c>
      <c r="AF808">
        <v>74</v>
      </c>
      <c r="AG808" s="29" t="s">
        <v>1080</v>
      </c>
      <c r="AH808" s="29" t="s">
        <v>1127</v>
      </c>
      <c r="AI808" s="29" t="s">
        <v>1128</v>
      </c>
      <c r="AJ808" s="29"/>
      <c r="AL808" s="29" t="s">
        <v>1081</v>
      </c>
    </row>
    <row r="809" spans="15:38">
      <c r="O809" t="s">
        <v>44</v>
      </c>
      <c r="P809" t="s">
        <v>43</v>
      </c>
      <c r="Q809" t="s">
        <v>4</v>
      </c>
      <c r="R809" t="s">
        <v>63</v>
      </c>
      <c r="S809">
        <v>2024.45</v>
      </c>
      <c r="T809">
        <v>35918.19</v>
      </c>
      <c r="U809">
        <v>36481.088900000002</v>
      </c>
      <c r="V809">
        <v>34677.285000000003</v>
      </c>
      <c r="AA809" s="29" t="s">
        <v>43</v>
      </c>
      <c r="AB809">
        <v>31199</v>
      </c>
      <c r="AC809">
        <v>100</v>
      </c>
      <c r="AD809">
        <v>3</v>
      </c>
      <c r="AE809">
        <v>506</v>
      </c>
      <c r="AF809">
        <v>506</v>
      </c>
      <c r="AG809" s="29" t="s">
        <v>1080</v>
      </c>
      <c r="AH809" s="29" t="s">
        <v>1129</v>
      </c>
      <c r="AI809" s="29" t="s">
        <v>1130</v>
      </c>
      <c r="AJ809" s="29"/>
      <c r="AL809" s="29" t="s">
        <v>1081</v>
      </c>
    </row>
    <row r="810" spans="15:38">
      <c r="O810" t="s">
        <v>44</v>
      </c>
      <c r="P810" t="s">
        <v>43</v>
      </c>
      <c r="Q810" t="s">
        <v>4</v>
      </c>
      <c r="R810" t="s">
        <v>63</v>
      </c>
      <c r="S810">
        <v>2024.47</v>
      </c>
      <c r="T810">
        <v>35918.19</v>
      </c>
      <c r="U810">
        <v>36481.088900000002</v>
      </c>
      <c r="V810">
        <v>34677.285000000003</v>
      </c>
      <c r="AA810" s="29" t="s">
        <v>43</v>
      </c>
      <c r="AB810">
        <v>31199</v>
      </c>
      <c r="AC810">
        <v>100</v>
      </c>
      <c r="AD810">
        <v>3</v>
      </c>
      <c r="AE810">
        <v>259.75</v>
      </c>
      <c r="AF810">
        <v>259.75</v>
      </c>
      <c r="AG810" s="29" t="s">
        <v>1080</v>
      </c>
      <c r="AH810" s="29" t="s">
        <v>1131</v>
      </c>
      <c r="AI810" s="29" t="s">
        <v>1132</v>
      </c>
      <c r="AJ810" s="29"/>
      <c r="AL810" s="29" t="s">
        <v>1081</v>
      </c>
    </row>
    <row r="811" spans="15:38">
      <c r="O811" t="s">
        <v>44</v>
      </c>
      <c r="P811" t="s">
        <v>43</v>
      </c>
      <c r="Q811" t="s">
        <v>4</v>
      </c>
      <c r="R811" t="s">
        <v>63</v>
      </c>
      <c r="S811">
        <v>2024.48</v>
      </c>
      <c r="T811">
        <v>35918.19</v>
      </c>
      <c r="U811">
        <v>36481.088900000002</v>
      </c>
      <c r="V811">
        <v>34677.285000000003</v>
      </c>
      <c r="AA811" s="29" t="s">
        <v>43</v>
      </c>
      <c r="AB811">
        <v>31199</v>
      </c>
      <c r="AC811">
        <v>110</v>
      </c>
      <c r="AD811">
        <v>1</v>
      </c>
      <c r="AE811">
        <v>0</v>
      </c>
      <c r="AF811">
        <v>0</v>
      </c>
      <c r="AG811" s="29" t="s">
        <v>1133</v>
      </c>
      <c r="AH811" s="29"/>
      <c r="AI811" s="29"/>
      <c r="AJ811" s="29"/>
      <c r="AL811" s="29" t="s">
        <v>1134</v>
      </c>
    </row>
    <row r="812" spans="15:38">
      <c r="O812" t="s">
        <v>44</v>
      </c>
      <c r="P812" t="s">
        <v>43</v>
      </c>
      <c r="Q812" t="s">
        <v>4</v>
      </c>
      <c r="R812" t="s">
        <v>63</v>
      </c>
      <c r="S812">
        <v>2024.49</v>
      </c>
      <c r="T812">
        <v>35918.19</v>
      </c>
      <c r="U812">
        <v>36481.088900000002</v>
      </c>
      <c r="V812">
        <v>34677.285000000003</v>
      </c>
      <c r="AA812" s="29" t="s">
        <v>43</v>
      </c>
      <c r="AB812">
        <v>31199</v>
      </c>
      <c r="AC812">
        <v>110</v>
      </c>
      <c r="AD812">
        <v>3</v>
      </c>
      <c r="AE812">
        <v>302.24</v>
      </c>
      <c r="AF812">
        <v>302.24</v>
      </c>
      <c r="AG812" s="29" t="s">
        <v>1133</v>
      </c>
      <c r="AH812" s="29" t="s">
        <v>1135</v>
      </c>
      <c r="AI812" s="29" t="s">
        <v>1136</v>
      </c>
      <c r="AJ812" s="29"/>
      <c r="AL812" s="29" t="s">
        <v>1134</v>
      </c>
    </row>
    <row r="813" spans="15:38">
      <c r="O813" t="s">
        <v>44</v>
      </c>
      <c r="P813" t="s">
        <v>43</v>
      </c>
      <c r="Q813" t="s">
        <v>4</v>
      </c>
      <c r="R813" t="s">
        <v>63</v>
      </c>
      <c r="S813">
        <v>2024.52</v>
      </c>
      <c r="T813">
        <v>35918.19</v>
      </c>
      <c r="U813">
        <v>36481.088900000002</v>
      </c>
      <c r="V813">
        <v>34677.285000000003</v>
      </c>
      <c r="AA813" s="29" t="s">
        <v>43</v>
      </c>
      <c r="AB813">
        <v>31199</v>
      </c>
      <c r="AC813">
        <v>110</v>
      </c>
      <c r="AD813">
        <v>3</v>
      </c>
      <c r="AE813">
        <v>137.46</v>
      </c>
      <c r="AF813">
        <v>137.46</v>
      </c>
      <c r="AG813" s="29" t="s">
        <v>1133</v>
      </c>
      <c r="AH813" s="29" t="s">
        <v>1137</v>
      </c>
      <c r="AI813" s="29" t="s">
        <v>1138</v>
      </c>
      <c r="AJ813" s="29"/>
      <c r="AL813" s="29" t="s">
        <v>1134</v>
      </c>
    </row>
    <row r="814" spans="15:38">
      <c r="O814" t="s">
        <v>44</v>
      </c>
      <c r="P814" t="s">
        <v>43</v>
      </c>
      <c r="Q814" t="s">
        <v>4</v>
      </c>
      <c r="R814" t="s">
        <v>63</v>
      </c>
      <c r="S814">
        <v>2025.03</v>
      </c>
      <c r="T814">
        <v>35918.19</v>
      </c>
      <c r="U814">
        <v>36481.088900000002</v>
      </c>
      <c r="V814">
        <v>34677.285000000003</v>
      </c>
      <c r="AA814" s="29" t="s">
        <v>43</v>
      </c>
      <c r="AB814">
        <v>31199</v>
      </c>
      <c r="AC814">
        <v>120</v>
      </c>
      <c r="AD814">
        <v>1</v>
      </c>
      <c r="AE814">
        <v>0</v>
      </c>
      <c r="AF814">
        <v>0</v>
      </c>
      <c r="AG814" s="29" t="s">
        <v>1139</v>
      </c>
      <c r="AH814" s="29"/>
      <c r="AI814" s="29"/>
      <c r="AJ814" s="29"/>
      <c r="AL814" s="29" t="s">
        <v>1140</v>
      </c>
    </row>
    <row r="815" spans="15:38">
      <c r="O815" t="s">
        <v>44</v>
      </c>
      <c r="P815" t="s">
        <v>43</v>
      </c>
      <c r="Q815" t="s">
        <v>4</v>
      </c>
      <c r="R815" t="s">
        <v>63</v>
      </c>
      <c r="S815">
        <v>2025.12</v>
      </c>
      <c r="T815">
        <v>35918.19</v>
      </c>
      <c r="U815">
        <v>36481.088900000002</v>
      </c>
      <c r="V815">
        <v>34677.285000000003</v>
      </c>
      <c r="AA815" s="29" t="s">
        <v>43</v>
      </c>
      <c r="AB815">
        <v>31199</v>
      </c>
      <c r="AC815">
        <v>130</v>
      </c>
      <c r="AD815">
        <v>1</v>
      </c>
      <c r="AE815">
        <v>0</v>
      </c>
      <c r="AF815">
        <v>0</v>
      </c>
      <c r="AG815" s="29" t="s">
        <v>1141</v>
      </c>
      <c r="AH815" s="29"/>
      <c r="AI815" s="29"/>
      <c r="AJ815" s="29"/>
      <c r="AL815" s="29" t="s">
        <v>1142</v>
      </c>
    </row>
    <row r="816" spans="15:38">
      <c r="O816" t="s">
        <v>44</v>
      </c>
      <c r="P816" t="s">
        <v>43</v>
      </c>
      <c r="Q816" t="s">
        <v>46</v>
      </c>
      <c r="R816" t="s">
        <v>59</v>
      </c>
      <c r="S816">
        <v>2023.44</v>
      </c>
      <c r="T816">
        <v>0</v>
      </c>
      <c r="U816">
        <v>11033.339900000001</v>
      </c>
      <c r="V816">
        <v>11033.339900000001</v>
      </c>
      <c r="AA816" s="29" t="s">
        <v>43</v>
      </c>
      <c r="AB816">
        <v>31200</v>
      </c>
      <c r="AC816">
        <v>10</v>
      </c>
      <c r="AD816">
        <v>1</v>
      </c>
      <c r="AE816">
        <v>0</v>
      </c>
      <c r="AF816">
        <v>0</v>
      </c>
      <c r="AG816" s="29" t="s">
        <v>1143</v>
      </c>
      <c r="AH816" s="29"/>
      <c r="AI816" s="29"/>
      <c r="AJ816" s="29"/>
      <c r="AL816" s="29" t="s">
        <v>1144</v>
      </c>
    </row>
    <row r="817" spans="15:38">
      <c r="O817" t="s">
        <v>44</v>
      </c>
      <c r="P817" t="s">
        <v>43</v>
      </c>
      <c r="Q817" t="s">
        <v>46</v>
      </c>
      <c r="R817" t="s">
        <v>59</v>
      </c>
      <c r="S817">
        <v>2024.44</v>
      </c>
      <c r="T817">
        <v>0</v>
      </c>
      <c r="U817">
        <v>11033.339900000001</v>
      </c>
      <c r="V817">
        <v>23344.986099999998</v>
      </c>
      <c r="AA817" s="29" t="s">
        <v>43</v>
      </c>
      <c r="AB817">
        <v>31200</v>
      </c>
      <c r="AC817">
        <v>10</v>
      </c>
      <c r="AD817">
        <v>3</v>
      </c>
      <c r="AE817">
        <v>166.2</v>
      </c>
      <c r="AF817">
        <v>166.2</v>
      </c>
      <c r="AG817" s="29" t="s">
        <v>1143</v>
      </c>
      <c r="AH817" s="29" t="s">
        <v>1145</v>
      </c>
      <c r="AI817" s="29" t="s">
        <v>1146</v>
      </c>
      <c r="AJ817" s="29"/>
      <c r="AL817" s="29" t="s">
        <v>1144</v>
      </c>
    </row>
    <row r="818" spans="15:38">
      <c r="O818" t="s">
        <v>24</v>
      </c>
      <c r="P818" t="s">
        <v>43</v>
      </c>
      <c r="Q818" t="s">
        <v>5</v>
      </c>
      <c r="R818" t="s">
        <v>68</v>
      </c>
      <c r="S818">
        <v>2023.47</v>
      </c>
      <c r="T818">
        <v>0</v>
      </c>
      <c r="U818">
        <v>42192.448199999999</v>
      </c>
      <c r="V818">
        <v>42192.448199999999</v>
      </c>
      <c r="AA818" s="29" t="s">
        <v>43</v>
      </c>
      <c r="AB818">
        <v>31200</v>
      </c>
      <c r="AC818">
        <v>10</v>
      </c>
      <c r="AD818">
        <v>3</v>
      </c>
      <c r="AE818">
        <v>10179.68</v>
      </c>
      <c r="AF818">
        <v>10179.68</v>
      </c>
      <c r="AG818" s="29" t="s">
        <v>1143</v>
      </c>
      <c r="AH818" s="29" t="s">
        <v>1147</v>
      </c>
      <c r="AI818" s="29" t="s">
        <v>1148</v>
      </c>
      <c r="AJ818" s="29"/>
      <c r="AL818" s="29" t="s">
        <v>1144</v>
      </c>
    </row>
    <row r="819" spans="15:38">
      <c r="O819" t="s">
        <v>24</v>
      </c>
      <c r="P819" t="s">
        <v>43</v>
      </c>
      <c r="Q819" t="s">
        <v>5</v>
      </c>
      <c r="R819" t="s">
        <v>68</v>
      </c>
      <c r="S819">
        <v>2023.51</v>
      </c>
      <c r="T819">
        <v>20773.29</v>
      </c>
      <c r="U819">
        <v>42192.448199999999</v>
      </c>
      <c r="V819">
        <v>42192.448199999999</v>
      </c>
      <c r="AA819" s="29" t="s">
        <v>43</v>
      </c>
      <c r="AB819">
        <v>31200</v>
      </c>
      <c r="AC819">
        <v>10</v>
      </c>
      <c r="AD819">
        <v>3</v>
      </c>
      <c r="AE819">
        <v>18321.84</v>
      </c>
      <c r="AF819">
        <v>18321.84</v>
      </c>
      <c r="AG819" s="29" t="s">
        <v>1143</v>
      </c>
      <c r="AH819" s="29" t="s">
        <v>1149</v>
      </c>
      <c r="AI819" s="29" t="s">
        <v>1150</v>
      </c>
      <c r="AJ819" s="29"/>
      <c r="AL819" s="29" t="s">
        <v>1144</v>
      </c>
    </row>
    <row r="820" spans="15:38">
      <c r="O820" t="s">
        <v>24</v>
      </c>
      <c r="P820" t="s">
        <v>43</v>
      </c>
      <c r="Q820" t="s">
        <v>5</v>
      </c>
      <c r="R820" t="s">
        <v>68</v>
      </c>
      <c r="S820">
        <v>2024.05</v>
      </c>
      <c r="T820">
        <v>20693.55</v>
      </c>
      <c r="U820">
        <v>42192.448199999999</v>
      </c>
      <c r="V820">
        <v>42192.448199999999</v>
      </c>
      <c r="AA820" s="29" t="s">
        <v>43</v>
      </c>
      <c r="AB820">
        <v>31200</v>
      </c>
      <c r="AC820">
        <v>10</v>
      </c>
      <c r="AD820">
        <v>3</v>
      </c>
      <c r="AE820">
        <v>23665.5</v>
      </c>
      <c r="AF820">
        <v>23665.5</v>
      </c>
      <c r="AG820" s="29" t="s">
        <v>1143</v>
      </c>
      <c r="AH820" s="29" t="s">
        <v>1151</v>
      </c>
      <c r="AI820" s="29" t="s">
        <v>1152</v>
      </c>
      <c r="AJ820" s="29"/>
      <c r="AL820" s="29" t="s">
        <v>1144</v>
      </c>
    </row>
    <row r="821" spans="15:38">
      <c r="O821" t="s">
        <v>24</v>
      </c>
      <c r="P821" t="s">
        <v>43</v>
      </c>
      <c r="Q821" t="s">
        <v>5</v>
      </c>
      <c r="R821" t="s">
        <v>68</v>
      </c>
      <c r="S821">
        <v>2024.06</v>
      </c>
      <c r="T821">
        <v>20773.29</v>
      </c>
      <c r="U821">
        <v>42192.448199999999</v>
      </c>
      <c r="V821">
        <v>42192.448199999999</v>
      </c>
      <c r="AA821" s="29" t="s">
        <v>43</v>
      </c>
      <c r="AB821">
        <v>31200</v>
      </c>
      <c r="AC821">
        <v>10</v>
      </c>
      <c r="AD821">
        <v>3</v>
      </c>
      <c r="AE821">
        <v>94236.36</v>
      </c>
      <c r="AF821">
        <v>94236.36</v>
      </c>
      <c r="AG821" s="29" t="s">
        <v>1143</v>
      </c>
      <c r="AH821" s="29" t="s">
        <v>1153</v>
      </c>
      <c r="AI821" s="29" t="s">
        <v>1154</v>
      </c>
      <c r="AJ821" s="29"/>
      <c r="AL821" s="29" t="s">
        <v>1144</v>
      </c>
    </row>
    <row r="822" spans="15:38">
      <c r="O822" t="s">
        <v>24</v>
      </c>
      <c r="P822" t="s">
        <v>43</v>
      </c>
      <c r="Q822" t="s">
        <v>5</v>
      </c>
      <c r="R822" t="s">
        <v>68</v>
      </c>
      <c r="S822">
        <v>2024.07</v>
      </c>
      <c r="T822">
        <v>20773.29</v>
      </c>
      <c r="U822">
        <v>42192.448199999999</v>
      </c>
      <c r="V822">
        <v>42192.448199999999</v>
      </c>
      <c r="AA822" s="29" t="s">
        <v>43</v>
      </c>
      <c r="AB822">
        <v>31200</v>
      </c>
      <c r="AC822">
        <v>10</v>
      </c>
      <c r="AD822">
        <v>3</v>
      </c>
      <c r="AE822">
        <v>74664.240000000005</v>
      </c>
      <c r="AF822">
        <v>74664.240000000005</v>
      </c>
      <c r="AG822" s="29" t="s">
        <v>1143</v>
      </c>
      <c r="AH822" s="29" t="s">
        <v>1155</v>
      </c>
      <c r="AI822" s="29" t="s">
        <v>1156</v>
      </c>
      <c r="AJ822" s="29"/>
      <c r="AL822" s="29" t="s">
        <v>1144</v>
      </c>
    </row>
    <row r="823" spans="15:38">
      <c r="O823" t="s">
        <v>24</v>
      </c>
      <c r="P823" t="s">
        <v>43</v>
      </c>
      <c r="Q823" t="s">
        <v>5</v>
      </c>
      <c r="R823" t="s">
        <v>68</v>
      </c>
      <c r="S823">
        <v>2024.08</v>
      </c>
      <c r="T823">
        <v>20773.29</v>
      </c>
      <c r="U823">
        <v>42192.448199999999</v>
      </c>
      <c r="V823">
        <v>42192.448199999999</v>
      </c>
      <c r="AA823" s="29" t="s">
        <v>43</v>
      </c>
      <c r="AB823">
        <v>31200</v>
      </c>
      <c r="AC823">
        <v>10</v>
      </c>
      <c r="AD823">
        <v>3</v>
      </c>
      <c r="AE823">
        <v>8614.0499999999993</v>
      </c>
      <c r="AF823">
        <v>8614.0499999999993</v>
      </c>
      <c r="AG823" s="29" t="s">
        <v>1143</v>
      </c>
      <c r="AH823" s="29" t="s">
        <v>1157</v>
      </c>
      <c r="AI823" s="29" t="s">
        <v>1158</v>
      </c>
      <c r="AJ823" s="29"/>
      <c r="AL823" s="29" t="s">
        <v>1144</v>
      </c>
    </row>
    <row r="824" spans="15:38">
      <c r="O824" t="s">
        <v>24</v>
      </c>
      <c r="P824" t="s">
        <v>43</v>
      </c>
      <c r="Q824" t="s">
        <v>5</v>
      </c>
      <c r="R824" t="s">
        <v>68</v>
      </c>
      <c r="S824">
        <v>2024.09</v>
      </c>
      <c r="T824">
        <v>20773.29</v>
      </c>
      <c r="U824">
        <v>42192.448199999999</v>
      </c>
      <c r="V824">
        <v>42192.448199999999</v>
      </c>
      <c r="AA824" s="29" t="s">
        <v>43</v>
      </c>
      <c r="AB824">
        <v>31200</v>
      </c>
      <c r="AC824">
        <v>20</v>
      </c>
      <c r="AD824">
        <v>1</v>
      </c>
      <c r="AE824">
        <v>0</v>
      </c>
      <c r="AF824">
        <v>0</v>
      </c>
      <c r="AG824" s="29" t="s">
        <v>1159</v>
      </c>
      <c r="AH824" s="29"/>
      <c r="AI824" s="29"/>
      <c r="AJ824" s="29"/>
      <c r="AL824" s="29" t="s">
        <v>1160</v>
      </c>
    </row>
    <row r="825" spans="15:38">
      <c r="O825" t="s">
        <v>24</v>
      </c>
      <c r="P825" t="s">
        <v>43</v>
      </c>
      <c r="Q825" t="s">
        <v>5</v>
      </c>
      <c r="R825" t="s">
        <v>68</v>
      </c>
      <c r="S825">
        <v>2024.1</v>
      </c>
      <c r="T825">
        <v>20773.29</v>
      </c>
      <c r="U825">
        <v>42192.448199999999</v>
      </c>
      <c r="V825">
        <v>42192.448199999999</v>
      </c>
      <c r="AA825" s="29" t="s">
        <v>43</v>
      </c>
      <c r="AB825">
        <v>31200</v>
      </c>
      <c r="AC825">
        <v>20</v>
      </c>
      <c r="AD825">
        <v>3</v>
      </c>
      <c r="AE825">
        <v>3.3</v>
      </c>
      <c r="AF825">
        <v>3.3</v>
      </c>
      <c r="AG825" s="29" t="s">
        <v>1159</v>
      </c>
      <c r="AH825" s="29" t="s">
        <v>1161</v>
      </c>
      <c r="AI825" s="29" t="s">
        <v>1162</v>
      </c>
      <c r="AJ825" s="29"/>
      <c r="AL825" s="29" t="s">
        <v>1160</v>
      </c>
    </row>
    <row r="826" spans="15:38">
      <c r="O826" t="s">
        <v>24</v>
      </c>
      <c r="P826" t="s">
        <v>43</v>
      </c>
      <c r="Q826" t="s">
        <v>5</v>
      </c>
      <c r="R826" t="s">
        <v>68</v>
      </c>
      <c r="S826">
        <v>2024.11</v>
      </c>
      <c r="T826">
        <v>21411.21</v>
      </c>
      <c r="U826">
        <v>42192.448199999999</v>
      </c>
      <c r="V826">
        <v>42192.448199999999</v>
      </c>
      <c r="AA826" s="29" t="s">
        <v>43</v>
      </c>
      <c r="AB826">
        <v>31200</v>
      </c>
      <c r="AC826">
        <v>20</v>
      </c>
      <c r="AD826">
        <v>3</v>
      </c>
      <c r="AE826">
        <v>11020.56</v>
      </c>
      <c r="AF826">
        <v>11020.56</v>
      </c>
      <c r="AG826" s="29" t="s">
        <v>1159</v>
      </c>
      <c r="AH826" s="29" t="s">
        <v>1163</v>
      </c>
      <c r="AI826" s="29" t="s">
        <v>1164</v>
      </c>
      <c r="AJ826" s="29"/>
      <c r="AL826" s="29" t="s">
        <v>1160</v>
      </c>
    </row>
    <row r="827" spans="15:38">
      <c r="O827" t="s">
        <v>24</v>
      </c>
      <c r="P827" t="s">
        <v>43</v>
      </c>
      <c r="Q827" t="s">
        <v>5</v>
      </c>
      <c r="R827" t="s">
        <v>68</v>
      </c>
      <c r="S827">
        <v>2024.12</v>
      </c>
      <c r="T827">
        <v>21411.21</v>
      </c>
      <c r="U827">
        <v>42192.448199999999</v>
      </c>
      <c r="V827">
        <v>42192.448199999999</v>
      </c>
      <c r="AA827" s="29" t="s">
        <v>43</v>
      </c>
      <c r="AB827">
        <v>31200</v>
      </c>
      <c r="AC827">
        <v>20</v>
      </c>
      <c r="AD827">
        <v>3</v>
      </c>
      <c r="AE827">
        <v>17961.34</v>
      </c>
      <c r="AF827">
        <v>17961.34</v>
      </c>
      <c r="AG827" s="29" t="s">
        <v>1159</v>
      </c>
      <c r="AH827" s="29" t="s">
        <v>1165</v>
      </c>
      <c r="AI827" s="29" t="s">
        <v>1166</v>
      </c>
      <c r="AJ827" s="29"/>
      <c r="AL827" s="29" t="s">
        <v>1160</v>
      </c>
    </row>
    <row r="828" spans="15:38">
      <c r="O828" t="s">
        <v>24</v>
      </c>
      <c r="P828" t="s">
        <v>43</v>
      </c>
      <c r="Q828" t="s">
        <v>5</v>
      </c>
      <c r="R828" t="s">
        <v>68</v>
      </c>
      <c r="S828">
        <v>2024.14</v>
      </c>
      <c r="T828">
        <v>21411.21</v>
      </c>
      <c r="U828">
        <v>42192.448199999999</v>
      </c>
      <c r="V828">
        <v>42192.448199999999</v>
      </c>
      <c r="AA828" s="29" t="s">
        <v>43</v>
      </c>
      <c r="AB828">
        <v>31200</v>
      </c>
      <c r="AC828">
        <v>20</v>
      </c>
      <c r="AD828">
        <v>3</v>
      </c>
      <c r="AE828">
        <v>22.06</v>
      </c>
      <c r="AF828">
        <v>22.06</v>
      </c>
      <c r="AG828" s="29" t="s">
        <v>1159</v>
      </c>
      <c r="AH828" s="29" t="s">
        <v>1167</v>
      </c>
      <c r="AI828" s="29" t="s">
        <v>1168</v>
      </c>
      <c r="AJ828" s="29"/>
      <c r="AL828" s="29" t="s">
        <v>1160</v>
      </c>
    </row>
    <row r="829" spans="15:38">
      <c r="O829" t="s">
        <v>24</v>
      </c>
      <c r="P829" t="s">
        <v>43</v>
      </c>
      <c r="Q829" t="s">
        <v>5</v>
      </c>
      <c r="R829" t="s">
        <v>68</v>
      </c>
      <c r="S829">
        <v>2024.17</v>
      </c>
      <c r="T829">
        <v>21411.22</v>
      </c>
      <c r="U829">
        <v>42192.448199999999</v>
      </c>
      <c r="V829">
        <v>42192.448199999999</v>
      </c>
      <c r="AA829" s="29" t="s">
        <v>43</v>
      </c>
      <c r="AB829">
        <v>31200</v>
      </c>
      <c r="AC829">
        <v>20</v>
      </c>
      <c r="AD829">
        <v>3</v>
      </c>
      <c r="AE829">
        <v>4.17</v>
      </c>
      <c r="AF829">
        <v>4.17</v>
      </c>
      <c r="AG829" s="29" t="s">
        <v>1159</v>
      </c>
      <c r="AH829" s="29" t="s">
        <v>1169</v>
      </c>
      <c r="AI829" s="29" t="s">
        <v>1170</v>
      </c>
      <c r="AJ829" s="29"/>
      <c r="AL829" s="29" t="s">
        <v>1160</v>
      </c>
    </row>
    <row r="830" spans="15:38">
      <c r="O830" t="s">
        <v>24</v>
      </c>
      <c r="P830" t="s">
        <v>43</v>
      </c>
      <c r="Q830" t="s">
        <v>5</v>
      </c>
      <c r="R830" t="s">
        <v>68</v>
      </c>
      <c r="S830">
        <v>2024.18</v>
      </c>
      <c r="T830">
        <v>21811.95</v>
      </c>
      <c r="U830">
        <v>42192.448199999999</v>
      </c>
      <c r="V830">
        <v>42192.448199999999</v>
      </c>
      <c r="AA830" s="29" t="s">
        <v>43</v>
      </c>
      <c r="AB830">
        <v>31200</v>
      </c>
      <c r="AC830">
        <v>20</v>
      </c>
      <c r="AD830">
        <v>3</v>
      </c>
      <c r="AE830">
        <v>17.5</v>
      </c>
      <c r="AF830">
        <v>17.5</v>
      </c>
      <c r="AG830" s="29" t="s">
        <v>1159</v>
      </c>
      <c r="AH830" s="29" t="s">
        <v>1171</v>
      </c>
      <c r="AI830" s="29" t="s">
        <v>1172</v>
      </c>
      <c r="AJ830" s="29"/>
      <c r="AL830" s="29" t="s">
        <v>1160</v>
      </c>
    </row>
    <row r="831" spans="15:38">
      <c r="O831" t="s">
        <v>24</v>
      </c>
      <c r="P831" t="s">
        <v>43</v>
      </c>
      <c r="Q831" t="s">
        <v>5</v>
      </c>
      <c r="R831" t="s">
        <v>68</v>
      </c>
      <c r="S831">
        <v>2024.19</v>
      </c>
      <c r="T831">
        <v>21811.95</v>
      </c>
      <c r="U831">
        <v>42192.448199999999</v>
      </c>
      <c r="V831">
        <v>42192.448199999999</v>
      </c>
      <c r="AA831" s="29" t="s">
        <v>43</v>
      </c>
      <c r="AB831">
        <v>31200</v>
      </c>
      <c r="AC831">
        <v>20</v>
      </c>
      <c r="AD831">
        <v>3</v>
      </c>
      <c r="AE831">
        <v>2550</v>
      </c>
      <c r="AF831">
        <v>2550</v>
      </c>
      <c r="AG831" s="29" t="s">
        <v>1159</v>
      </c>
      <c r="AH831" s="29" t="s">
        <v>1173</v>
      </c>
      <c r="AI831" s="29" t="s">
        <v>1174</v>
      </c>
      <c r="AJ831" s="29"/>
      <c r="AL831" s="29" t="s">
        <v>1160</v>
      </c>
    </row>
    <row r="832" spans="15:38">
      <c r="O832" t="s">
        <v>24</v>
      </c>
      <c r="P832" t="s">
        <v>43</v>
      </c>
      <c r="Q832" t="s">
        <v>5</v>
      </c>
      <c r="R832" t="s">
        <v>68</v>
      </c>
      <c r="S832">
        <v>2024.2</v>
      </c>
      <c r="T832">
        <v>22686.27</v>
      </c>
      <c r="U832">
        <v>42192.448199999999</v>
      </c>
      <c r="V832">
        <v>42192.448199999999</v>
      </c>
      <c r="AA832" s="29" t="s">
        <v>43</v>
      </c>
      <c r="AB832">
        <v>31200</v>
      </c>
      <c r="AC832">
        <v>20</v>
      </c>
      <c r="AD832">
        <v>3</v>
      </c>
      <c r="AE832">
        <v>4200</v>
      </c>
      <c r="AF832">
        <v>4200</v>
      </c>
      <c r="AG832" s="29" t="s">
        <v>1159</v>
      </c>
      <c r="AH832" s="29" t="s">
        <v>1175</v>
      </c>
      <c r="AI832" s="29" t="s">
        <v>1176</v>
      </c>
      <c r="AJ832" s="29"/>
      <c r="AL832" s="29" t="s">
        <v>1160</v>
      </c>
    </row>
    <row r="833" spans="15:38">
      <c r="O833" t="s">
        <v>24</v>
      </c>
      <c r="P833" t="s">
        <v>43</v>
      </c>
      <c r="Q833" t="s">
        <v>5</v>
      </c>
      <c r="R833" t="s">
        <v>68</v>
      </c>
      <c r="S833">
        <v>2024.21</v>
      </c>
      <c r="T833">
        <v>23159.86</v>
      </c>
      <c r="U833">
        <v>42192.448199999999</v>
      </c>
      <c r="V833">
        <v>42192.448199999999</v>
      </c>
      <c r="AA833" s="29" t="s">
        <v>43</v>
      </c>
      <c r="AB833">
        <v>31200</v>
      </c>
      <c r="AC833">
        <v>20</v>
      </c>
      <c r="AD833">
        <v>3</v>
      </c>
      <c r="AE833">
        <v>5100</v>
      </c>
      <c r="AF833">
        <v>5100</v>
      </c>
      <c r="AG833" s="29" t="s">
        <v>1159</v>
      </c>
      <c r="AH833" s="29" t="s">
        <v>1177</v>
      </c>
      <c r="AI833" s="29" t="s">
        <v>1178</v>
      </c>
      <c r="AJ833" s="29"/>
      <c r="AL833" s="29" t="s">
        <v>1160</v>
      </c>
    </row>
    <row r="834" spans="15:38">
      <c r="O834" t="s">
        <v>24</v>
      </c>
      <c r="P834" t="s">
        <v>43</v>
      </c>
      <c r="Q834" t="s">
        <v>5</v>
      </c>
      <c r="R834" t="s">
        <v>68</v>
      </c>
      <c r="S834">
        <v>2024.28</v>
      </c>
      <c r="T834">
        <v>24362.05</v>
      </c>
      <c r="U834">
        <v>42192.448199999999</v>
      </c>
      <c r="V834">
        <v>42192.448199999999</v>
      </c>
      <c r="AA834" s="29" t="s">
        <v>43</v>
      </c>
      <c r="AB834">
        <v>31200</v>
      </c>
      <c r="AC834">
        <v>20</v>
      </c>
      <c r="AD834">
        <v>3</v>
      </c>
      <c r="AE834">
        <v>3150</v>
      </c>
      <c r="AF834">
        <v>3150</v>
      </c>
      <c r="AG834" s="29" t="s">
        <v>1159</v>
      </c>
      <c r="AH834" s="29" t="s">
        <v>1179</v>
      </c>
      <c r="AI834" s="29" t="s">
        <v>1180</v>
      </c>
      <c r="AJ834" s="29"/>
      <c r="AL834" s="29" t="s">
        <v>1160</v>
      </c>
    </row>
    <row r="835" spans="15:38">
      <c r="O835" t="s">
        <v>24</v>
      </c>
      <c r="P835" t="s">
        <v>43</v>
      </c>
      <c r="Q835" t="s">
        <v>5</v>
      </c>
      <c r="R835" t="s">
        <v>68</v>
      </c>
      <c r="S835">
        <v>2024.38</v>
      </c>
      <c r="T835">
        <v>24362.05</v>
      </c>
      <c r="U835">
        <v>42192.448199999999</v>
      </c>
      <c r="V835">
        <v>42192.448199999999</v>
      </c>
      <c r="AA835" s="29" t="s">
        <v>43</v>
      </c>
      <c r="AB835">
        <v>31200</v>
      </c>
      <c r="AC835">
        <v>30</v>
      </c>
      <c r="AD835">
        <v>1</v>
      </c>
      <c r="AE835">
        <v>0</v>
      </c>
      <c r="AF835">
        <v>0</v>
      </c>
      <c r="AG835" s="29" t="s">
        <v>1181</v>
      </c>
      <c r="AH835" s="29"/>
      <c r="AI835" s="29"/>
      <c r="AJ835" s="29"/>
      <c r="AL835" s="29" t="s">
        <v>1182</v>
      </c>
    </row>
    <row r="836" spans="15:38">
      <c r="O836" t="s">
        <v>24</v>
      </c>
      <c r="P836" t="s">
        <v>43</v>
      </c>
      <c r="Q836" t="s">
        <v>5</v>
      </c>
      <c r="R836" t="s">
        <v>68</v>
      </c>
      <c r="S836">
        <v>2024.39</v>
      </c>
      <c r="T836">
        <v>24362.05</v>
      </c>
      <c r="U836">
        <v>42192.448199999999</v>
      </c>
      <c r="V836">
        <v>42192.448199999999</v>
      </c>
      <c r="AA836" s="29" t="s">
        <v>43</v>
      </c>
      <c r="AB836">
        <v>31200</v>
      </c>
      <c r="AC836">
        <v>30</v>
      </c>
      <c r="AD836">
        <v>3</v>
      </c>
      <c r="AE836">
        <v>0</v>
      </c>
      <c r="AF836">
        <v>0</v>
      </c>
      <c r="AG836" s="29" t="s">
        <v>1181</v>
      </c>
      <c r="AH836" s="29" t="s">
        <v>1183</v>
      </c>
      <c r="AI836" s="29" t="s">
        <v>1184</v>
      </c>
      <c r="AJ836" s="29"/>
      <c r="AL836" s="29" t="s">
        <v>1182</v>
      </c>
    </row>
    <row r="837" spans="15:38">
      <c r="O837" t="s">
        <v>24</v>
      </c>
      <c r="P837" t="s">
        <v>43</v>
      </c>
      <c r="Q837" t="s">
        <v>5</v>
      </c>
      <c r="R837" t="s">
        <v>68</v>
      </c>
      <c r="S837">
        <v>2024.41</v>
      </c>
      <c r="T837">
        <v>24362.05</v>
      </c>
      <c r="U837">
        <v>42192.448199999999</v>
      </c>
      <c r="V837">
        <v>42192.448199999999</v>
      </c>
      <c r="AA837" s="29" t="s">
        <v>43</v>
      </c>
      <c r="AB837">
        <v>31200</v>
      </c>
      <c r="AC837">
        <v>30</v>
      </c>
      <c r="AD837">
        <v>3</v>
      </c>
      <c r="AE837">
        <v>12758.48</v>
      </c>
      <c r="AF837">
        <v>12758.48</v>
      </c>
      <c r="AG837" s="29" t="s">
        <v>1181</v>
      </c>
      <c r="AH837" s="29" t="s">
        <v>1185</v>
      </c>
      <c r="AI837" s="29" t="s">
        <v>1186</v>
      </c>
      <c r="AJ837" s="29"/>
      <c r="AL837" s="29" t="s">
        <v>1182</v>
      </c>
    </row>
    <row r="838" spans="15:38">
      <c r="O838" t="s">
        <v>24</v>
      </c>
      <c r="P838" t="s">
        <v>43</v>
      </c>
      <c r="Q838" t="s">
        <v>5</v>
      </c>
      <c r="R838" t="s">
        <v>68</v>
      </c>
      <c r="S838">
        <v>2024.43</v>
      </c>
      <c r="T838">
        <v>24362.05</v>
      </c>
      <c r="U838">
        <v>42192.448199999999</v>
      </c>
      <c r="V838">
        <v>42192.448199999999</v>
      </c>
      <c r="AA838" s="29" t="s">
        <v>43</v>
      </c>
      <c r="AB838">
        <v>31200</v>
      </c>
      <c r="AC838">
        <v>30</v>
      </c>
      <c r="AD838">
        <v>3</v>
      </c>
      <c r="AE838">
        <v>47993.68</v>
      </c>
      <c r="AF838">
        <v>47993.68</v>
      </c>
      <c r="AG838" s="29" t="s">
        <v>1181</v>
      </c>
      <c r="AH838" s="29" t="s">
        <v>1187</v>
      </c>
      <c r="AI838" s="29" t="s">
        <v>1188</v>
      </c>
      <c r="AJ838" s="29"/>
      <c r="AL838" s="29" t="s">
        <v>1182</v>
      </c>
    </row>
    <row r="839" spans="15:38">
      <c r="O839" t="s">
        <v>24</v>
      </c>
      <c r="P839" t="s">
        <v>43</v>
      </c>
      <c r="Q839" t="s">
        <v>5</v>
      </c>
      <c r="R839" t="s">
        <v>68</v>
      </c>
      <c r="S839">
        <v>2024.44</v>
      </c>
      <c r="T839">
        <v>24362.05</v>
      </c>
      <c r="U839">
        <v>44667.347900000001</v>
      </c>
      <c r="V839">
        <v>44667.347900000001</v>
      </c>
      <c r="AA839" s="29" t="s">
        <v>43</v>
      </c>
      <c r="AB839">
        <v>31200</v>
      </c>
      <c r="AC839">
        <v>40</v>
      </c>
      <c r="AD839">
        <v>1</v>
      </c>
      <c r="AE839">
        <v>0</v>
      </c>
      <c r="AF839">
        <v>0</v>
      </c>
      <c r="AG839" s="29" t="s">
        <v>1189</v>
      </c>
      <c r="AH839" s="29"/>
      <c r="AI839" s="29"/>
      <c r="AJ839" s="29"/>
      <c r="AL839" s="29" t="s">
        <v>1190</v>
      </c>
    </row>
    <row r="840" spans="15:38">
      <c r="O840" t="s">
        <v>24</v>
      </c>
      <c r="P840" t="s">
        <v>43</v>
      </c>
      <c r="Q840" t="s">
        <v>5</v>
      </c>
      <c r="R840" t="s">
        <v>68</v>
      </c>
      <c r="S840">
        <v>2024.45</v>
      </c>
      <c r="T840">
        <v>24362.05</v>
      </c>
      <c r="U840">
        <v>44667.347900000001</v>
      </c>
      <c r="V840">
        <v>44667.347900000001</v>
      </c>
      <c r="AA840" s="29" t="s">
        <v>43</v>
      </c>
      <c r="AB840">
        <v>31200</v>
      </c>
      <c r="AC840">
        <v>40</v>
      </c>
      <c r="AD840">
        <v>3</v>
      </c>
      <c r="AE840">
        <v>46262.93</v>
      </c>
      <c r="AF840">
        <v>46262.93</v>
      </c>
      <c r="AG840" s="29" t="s">
        <v>1189</v>
      </c>
      <c r="AH840" s="29" t="s">
        <v>1191</v>
      </c>
      <c r="AI840" s="29" t="s">
        <v>1192</v>
      </c>
      <c r="AJ840" s="29"/>
      <c r="AL840" s="29" t="s">
        <v>1190</v>
      </c>
    </row>
    <row r="841" spans="15:38">
      <c r="O841" t="s">
        <v>24</v>
      </c>
      <c r="P841" t="s">
        <v>43</v>
      </c>
      <c r="Q841" t="s">
        <v>5</v>
      </c>
      <c r="R841" t="s">
        <v>68</v>
      </c>
      <c r="S841">
        <v>2024.47</v>
      </c>
      <c r="T841">
        <v>24944.93</v>
      </c>
      <c r="U841">
        <v>44667.347900000001</v>
      </c>
      <c r="V841">
        <v>44667.347900000001</v>
      </c>
      <c r="AA841" s="29" t="s">
        <v>43</v>
      </c>
      <c r="AB841">
        <v>31200</v>
      </c>
      <c r="AC841">
        <v>50</v>
      </c>
      <c r="AD841">
        <v>1</v>
      </c>
      <c r="AE841">
        <v>0</v>
      </c>
      <c r="AF841">
        <v>0</v>
      </c>
      <c r="AG841" s="29" t="s">
        <v>1193</v>
      </c>
      <c r="AH841" s="29"/>
      <c r="AI841" s="29"/>
      <c r="AJ841" s="29"/>
      <c r="AL841" s="29" t="s">
        <v>1194</v>
      </c>
    </row>
    <row r="842" spans="15:38">
      <c r="O842" t="s">
        <v>24</v>
      </c>
      <c r="P842" t="s">
        <v>43</v>
      </c>
      <c r="Q842" t="s">
        <v>5</v>
      </c>
      <c r="R842" t="s">
        <v>68</v>
      </c>
      <c r="S842">
        <v>2024.48</v>
      </c>
      <c r="T842">
        <v>24944.93</v>
      </c>
      <c r="U842">
        <v>44667.347900000001</v>
      </c>
      <c r="V842">
        <v>37167.347900000001</v>
      </c>
      <c r="AA842" s="29" t="s">
        <v>43</v>
      </c>
      <c r="AB842">
        <v>31200</v>
      </c>
      <c r="AC842">
        <v>50</v>
      </c>
      <c r="AD842">
        <v>3</v>
      </c>
      <c r="AE842">
        <v>0</v>
      </c>
      <c r="AF842">
        <v>0</v>
      </c>
      <c r="AG842" s="29" t="s">
        <v>1193</v>
      </c>
      <c r="AH842" s="29" t="s">
        <v>1195</v>
      </c>
      <c r="AI842" s="29" t="s">
        <v>1196</v>
      </c>
      <c r="AJ842" s="29"/>
      <c r="AL842" s="29" t="s">
        <v>1194</v>
      </c>
    </row>
    <row r="843" spans="15:38">
      <c r="O843" t="s">
        <v>24</v>
      </c>
      <c r="P843" t="s">
        <v>43</v>
      </c>
      <c r="Q843" t="s">
        <v>5</v>
      </c>
      <c r="R843" t="s">
        <v>68</v>
      </c>
      <c r="S843">
        <v>2024.49</v>
      </c>
      <c r="T843">
        <v>24944.93</v>
      </c>
      <c r="U843">
        <v>44667.347900000001</v>
      </c>
      <c r="V843">
        <v>37167.347900000001</v>
      </c>
      <c r="AA843" s="29" t="s">
        <v>43</v>
      </c>
      <c r="AB843">
        <v>31200</v>
      </c>
      <c r="AC843">
        <v>50</v>
      </c>
      <c r="AD843">
        <v>3</v>
      </c>
      <c r="AE843">
        <v>19352.3</v>
      </c>
      <c r="AF843">
        <v>19352.3</v>
      </c>
      <c r="AG843" s="29" t="s">
        <v>1193</v>
      </c>
      <c r="AH843" s="29" t="s">
        <v>1197</v>
      </c>
      <c r="AI843" s="29" t="s">
        <v>1198</v>
      </c>
      <c r="AJ843" s="29"/>
      <c r="AL843" s="29" t="s">
        <v>1194</v>
      </c>
    </row>
    <row r="844" spans="15:38">
      <c r="O844" t="s">
        <v>24</v>
      </c>
      <c r="P844" t="s">
        <v>43</v>
      </c>
      <c r="Q844" t="s">
        <v>5</v>
      </c>
      <c r="R844" t="s">
        <v>68</v>
      </c>
      <c r="S844">
        <v>2025.03</v>
      </c>
      <c r="T844">
        <v>25819.25</v>
      </c>
      <c r="U844">
        <v>44667.347900000001</v>
      </c>
      <c r="V844">
        <v>37167.347900000001</v>
      </c>
      <c r="AA844" s="29" t="s">
        <v>43</v>
      </c>
      <c r="AB844">
        <v>31200</v>
      </c>
      <c r="AC844">
        <v>50</v>
      </c>
      <c r="AD844">
        <v>3</v>
      </c>
      <c r="AE844">
        <v>22061.360000000001</v>
      </c>
      <c r="AF844">
        <v>22061.360000000001</v>
      </c>
      <c r="AG844" s="29" t="s">
        <v>1193</v>
      </c>
      <c r="AH844" s="29" t="s">
        <v>1199</v>
      </c>
      <c r="AI844" s="29" t="s">
        <v>1200</v>
      </c>
      <c r="AJ844" s="29"/>
      <c r="AL844" s="29" t="s">
        <v>1194</v>
      </c>
    </row>
    <row r="845" spans="15:38">
      <c r="O845" t="s">
        <v>24</v>
      </c>
      <c r="P845" t="s">
        <v>43</v>
      </c>
      <c r="Q845" t="s">
        <v>5</v>
      </c>
      <c r="R845" t="s">
        <v>68</v>
      </c>
      <c r="S845">
        <v>2025.08</v>
      </c>
      <c r="T845">
        <v>27458.959999999999</v>
      </c>
      <c r="U845">
        <v>44667.347900000001</v>
      </c>
      <c r="V845">
        <v>37167.347900000001</v>
      </c>
      <c r="AA845" s="29" t="s">
        <v>43</v>
      </c>
      <c r="AB845">
        <v>31200</v>
      </c>
      <c r="AC845">
        <v>50</v>
      </c>
      <c r="AD845">
        <v>3</v>
      </c>
      <c r="AE845">
        <v>0</v>
      </c>
      <c r="AF845">
        <v>0</v>
      </c>
      <c r="AG845" s="29" t="s">
        <v>1193</v>
      </c>
      <c r="AH845" s="29" t="s">
        <v>1195</v>
      </c>
      <c r="AI845" s="29" t="s">
        <v>1201</v>
      </c>
      <c r="AJ845" s="29"/>
      <c r="AL845" s="29" t="s">
        <v>1194</v>
      </c>
    </row>
    <row r="846" spans="15:38">
      <c r="O846" t="s">
        <v>24</v>
      </c>
      <c r="P846" t="s">
        <v>43</v>
      </c>
      <c r="Q846" t="s">
        <v>5</v>
      </c>
      <c r="R846" t="s">
        <v>68</v>
      </c>
      <c r="S846">
        <v>2025.1</v>
      </c>
      <c r="T846">
        <v>28903.8</v>
      </c>
      <c r="U846">
        <v>44667.347900000001</v>
      </c>
      <c r="V846">
        <v>37167.347900000001</v>
      </c>
      <c r="AA846" s="29" t="s">
        <v>43</v>
      </c>
      <c r="AB846">
        <v>31200</v>
      </c>
      <c r="AC846">
        <v>50</v>
      </c>
      <c r="AD846">
        <v>3</v>
      </c>
      <c r="AE846">
        <v>1425</v>
      </c>
      <c r="AF846">
        <v>1425</v>
      </c>
      <c r="AG846" s="29" t="s">
        <v>1193</v>
      </c>
      <c r="AH846" s="29" t="s">
        <v>1202</v>
      </c>
      <c r="AI846" s="29" t="s">
        <v>1203</v>
      </c>
      <c r="AJ846" s="29"/>
      <c r="AL846" s="29" t="s">
        <v>1194</v>
      </c>
    </row>
    <row r="847" spans="15:38">
      <c r="O847" t="s">
        <v>24</v>
      </c>
      <c r="P847" t="s">
        <v>43</v>
      </c>
      <c r="Q847" t="s">
        <v>5</v>
      </c>
      <c r="R847" t="s">
        <v>68</v>
      </c>
      <c r="S847">
        <v>2025.11</v>
      </c>
      <c r="T847">
        <v>28903.8</v>
      </c>
      <c r="U847">
        <v>44667.347900000001</v>
      </c>
      <c r="V847">
        <v>37167.347900000001</v>
      </c>
      <c r="AA847" s="29" t="s">
        <v>43</v>
      </c>
      <c r="AB847">
        <v>31200</v>
      </c>
      <c r="AC847">
        <v>50</v>
      </c>
      <c r="AD847">
        <v>3</v>
      </c>
      <c r="AE847">
        <v>105</v>
      </c>
      <c r="AF847">
        <v>105</v>
      </c>
      <c r="AG847" s="29" t="s">
        <v>1193</v>
      </c>
      <c r="AH847" s="29" t="s">
        <v>1204</v>
      </c>
      <c r="AI847" s="29" t="s">
        <v>1205</v>
      </c>
      <c r="AJ847" s="29"/>
      <c r="AL847" s="29" t="s">
        <v>1194</v>
      </c>
    </row>
    <row r="848" spans="15:38">
      <c r="O848" t="s">
        <v>24</v>
      </c>
      <c r="P848" t="s">
        <v>43</v>
      </c>
      <c r="Q848" t="s">
        <v>5</v>
      </c>
      <c r="R848" t="s">
        <v>68</v>
      </c>
      <c r="S848">
        <v>2025.12</v>
      </c>
      <c r="T848">
        <v>28903.8</v>
      </c>
      <c r="U848">
        <v>44667.347900000001</v>
      </c>
      <c r="V848">
        <v>37167.347900000001</v>
      </c>
      <c r="AA848" s="29" t="s">
        <v>43</v>
      </c>
      <c r="AB848">
        <v>31200</v>
      </c>
      <c r="AC848">
        <v>50</v>
      </c>
      <c r="AD848">
        <v>3</v>
      </c>
      <c r="AE848">
        <v>49475.35</v>
      </c>
      <c r="AF848">
        <v>49475.35</v>
      </c>
      <c r="AG848" s="29" t="s">
        <v>1193</v>
      </c>
      <c r="AH848" s="29" t="s">
        <v>1206</v>
      </c>
      <c r="AI848" s="29" t="s">
        <v>1207</v>
      </c>
      <c r="AJ848" s="29"/>
      <c r="AL848" s="29" t="s">
        <v>1194</v>
      </c>
    </row>
    <row r="849" spans="15:38">
      <c r="O849" t="s">
        <v>24</v>
      </c>
      <c r="P849" t="s">
        <v>43</v>
      </c>
      <c r="Q849" t="s">
        <v>5</v>
      </c>
      <c r="R849" t="s">
        <v>54</v>
      </c>
      <c r="S849">
        <v>2025.03</v>
      </c>
      <c r="T849">
        <v>21.88</v>
      </c>
      <c r="U849">
        <v>0</v>
      </c>
      <c r="V849">
        <v>21.88</v>
      </c>
      <c r="AA849" s="29" t="s">
        <v>43</v>
      </c>
      <c r="AB849">
        <v>31200</v>
      </c>
      <c r="AC849">
        <v>50</v>
      </c>
      <c r="AD849">
        <v>3</v>
      </c>
      <c r="AE849">
        <v>856.25</v>
      </c>
      <c r="AF849">
        <v>856.25</v>
      </c>
      <c r="AG849" s="29" t="s">
        <v>1193</v>
      </c>
      <c r="AH849" s="29" t="s">
        <v>1208</v>
      </c>
      <c r="AI849" s="29" t="s">
        <v>1209</v>
      </c>
      <c r="AJ849" s="29"/>
      <c r="AL849" s="29" t="s">
        <v>1194</v>
      </c>
    </row>
    <row r="850" spans="15:38">
      <c r="O850" t="s">
        <v>24</v>
      </c>
      <c r="P850" t="s">
        <v>43</v>
      </c>
      <c r="Q850" t="s">
        <v>5</v>
      </c>
      <c r="R850" t="s">
        <v>54</v>
      </c>
      <c r="S850">
        <v>2025.08</v>
      </c>
      <c r="T850">
        <v>57.23</v>
      </c>
      <c r="U850">
        <v>0</v>
      </c>
      <c r="V850">
        <v>21.88</v>
      </c>
      <c r="AA850" s="29" t="s">
        <v>43</v>
      </c>
      <c r="AB850">
        <v>31200</v>
      </c>
      <c r="AC850">
        <v>50</v>
      </c>
      <c r="AD850">
        <v>3</v>
      </c>
      <c r="AE850">
        <v>2700</v>
      </c>
      <c r="AF850">
        <v>2700</v>
      </c>
      <c r="AG850" s="29" t="s">
        <v>1193</v>
      </c>
      <c r="AH850" s="29" t="s">
        <v>1210</v>
      </c>
      <c r="AI850" s="29" t="s">
        <v>1211</v>
      </c>
      <c r="AJ850" s="29"/>
      <c r="AL850" s="29" t="s">
        <v>1194</v>
      </c>
    </row>
    <row r="851" spans="15:38">
      <c r="O851" t="s">
        <v>24</v>
      </c>
      <c r="P851" t="s">
        <v>43</v>
      </c>
      <c r="Q851" t="s">
        <v>5</v>
      </c>
      <c r="R851" t="s">
        <v>54</v>
      </c>
      <c r="S851">
        <v>2025.1</v>
      </c>
      <c r="T851">
        <v>57.23</v>
      </c>
      <c r="U851">
        <v>0</v>
      </c>
      <c r="V851">
        <v>21.88</v>
      </c>
      <c r="AA851" s="29" t="s">
        <v>43</v>
      </c>
      <c r="AB851">
        <v>31200</v>
      </c>
      <c r="AC851">
        <v>50</v>
      </c>
      <c r="AD851">
        <v>3</v>
      </c>
      <c r="AE851">
        <v>6300</v>
      </c>
      <c r="AF851">
        <v>6300</v>
      </c>
      <c r="AG851" s="29" t="s">
        <v>1193</v>
      </c>
      <c r="AH851" s="29" t="s">
        <v>1212</v>
      </c>
      <c r="AI851" s="29" t="s">
        <v>1213</v>
      </c>
      <c r="AJ851" s="29"/>
      <c r="AL851" s="29" t="s">
        <v>1194</v>
      </c>
    </row>
    <row r="852" spans="15:38">
      <c r="O852" t="s">
        <v>24</v>
      </c>
      <c r="P852" t="s">
        <v>43</v>
      </c>
      <c r="Q852" t="s">
        <v>5</v>
      </c>
      <c r="R852" t="s">
        <v>54</v>
      </c>
      <c r="S852">
        <v>2025.11</v>
      </c>
      <c r="T852">
        <v>57.23</v>
      </c>
      <c r="U852">
        <v>0</v>
      </c>
      <c r="V852">
        <v>21.88</v>
      </c>
      <c r="AA852" s="29" t="s">
        <v>43</v>
      </c>
      <c r="AB852">
        <v>31200</v>
      </c>
      <c r="AC852">
        <v>50</v>
      </c>
      <c r="AD852">
        <v>3</v>
      </c>
      <c r="AE852">
        <v>9000</v>
      </c>
      <c r="AF852">
        <v>9000</v>
      </c>
      <c r="AG852" s="29" t="s">
        <v>1193</v>
      </c>
      <c r="AH852" s="29" t="s">
        <v>1214</v>
      </c>
      <c r="AI852" s="29" t="s">
        <v>1215</v>
      </c>
      <c r="AJ852" s="29"/>
      <c r="AL852" s="29" t="s">
        <v>1194</v>
      </c>
    </row>
    <row r="853" spans="15:38">
      <c r="O853" t="s">
        <v>24</v>
      </c>
      <c r="P853" t="s">
        <v>43</v>
      </c>
      <c r="Q853" t="s">
        <v>5</v>
      </c>
      <c r="R853" t="s">
        <v>54</v>
      </c>
      <c r="S853">
        <v>2025.12</v>
      </c>
      <c r="T853">
        <v>57.23</v>
      </c>
      <c r="U853">
        <v>0</v>
      </c>
      <c r="V853">
        <v>21.88</v>
      </c>
      <c r="AA853" s="29" t="s">
        <v>43</v>
      </c>
      <c r="AB853">
        <v>31200</v>
      </c>
      <c r="AC853">
        <v>50</v>
      </c>
      <c r="AD853">
        <v>3</v>
      </c>
      <c r="AE853">
        <v>0</v>
      </c>
      <c r="AF853">
        <v>0</v>
      </c>
      <c r="AG853" s="29" t="s">
        <v>1193</v>
      </c>
      <c r="AH853" s="29" t="s">
        <v>1195</v>
      </c>
      <c r="AI853" s="29" t="s">
        <v>1216</v>
      </c>
      <c r="AJ853" s="29"/>
      <c r="AL853" s="29" t="s">
        <v>1194</v>
      </c>
    </row>
    <row r="854" spans="15:38">
      <c r="O854" t="s">
        <v>24</v>
      </c>
      <c r="P854" t="s">
        <v>43</v>
      </c>
      <c r="Q854" t="s">
        <v>5</v>
      </c>
      <c r="R854" t="s">
        <v>64</v>
      </c>
      <c r="S854">
        <v>2025.03</v>
      </c>
      <c r="T854">
        <v>2649.84</v>
      </c>
      <c r="U854">
        <v>0</v>
      </c>
      <c r="V854">
        <v>2649.84</v>
      </c>
      <c r="AA854" s="29" t="s">
        <v>43</v>
      </c>
      <c r="AB854">
        <v>31200</v>
      </c>
      <c r="AC854">
        <v>50</v>
      </c>
      <c r="AD854">
        <v>3</v>
      </c>
      <c r="AE854">
        <v>285</v>
      </c>
      <c r="AF854">
        <v>285</v>
      </c>
      <c r="AG854" s="29" t="s">
        <v>1193</v>
      </c>
      <c r="AH854" s="29" t="s">
        <v>1217</v>
      </c>
      <c r="AI854" s="29" t="s">
        <v>1218</v>
      </c>
      <c r="AJ854" s="29"/>
      <c r="AL854" s="29" t="s">
        <v>1194</v>
      </c>
    </row>
    <row r="855" spans="15:38">
      <c r="O855" t="s">
        <v>24</v>
      </c>
      <c r="P855" t="s">
        <v>43</v>
      </c>
      <c r="Q855" t="s">
        <v>5</v>
      </c>
      <c r="R855" t="s">
        <v>64</v>
      </c>
      <c r="S855">
        <v>2025.08</v>
      </c>
      <c r="T855">
        <v>2649.84</v>
      </c>
      <c r="U855">
        <v>0</v>
      </c>
      <c r="V855">
        <v>2649.84</v>
      </c>
      <c r="AA855" s="29" t="s">
        <v>43</v>
      </c>
      <c r="AB855">
        <v>31200</v>
      </c>
      <c r="AC855">
        <v>60</v>
      </c>
      <c r="AD855">
        <v>1</v>
      </c>
      <c r="AE855">
        <v>0</v>
      </c>
      <c r="AF855">
        <v>0</v>
      </c>
      <c r="AG855" s="29" t="s">
        <v>1219</v>
      </c>
      <c r="AH855" s="29"/>
      <c r="AI855" s="29"/>
      <c r="AJ855" s="29"/>
      <c r="AL855" s="29" t="s">
        <v>1220</v>
      </c>
    </row>
    <row r="856" spans="15:38">
      <c r="O856" t="s">
        <v>24</v>
      </c>
      <c r="P856" t="s">
        <v>43</v>
      </c>
      <c r="Q856" t="s">
        <v>5</v>
      </c>
      <c r="R856" t="s">
        <v>64</v>
      </c>
      <c r="S856">
        <v>2025.1</v>
      </c>
      <c r="T856">
        <v>2649.84</v>
      </c>
      <c r="U856">
        <v>0</v>
      </c>
      <c r="V856">
        <v>2649.84</v>
      </c>
      <c r="AA856" s="29" t="s">
        <v>43</v>
      </c>
      <c r="AB856">
        <v>31200</v>
      </c>
      <c r="AC856">
        <v>60</v>
      </c>
      <c r="AD856">
        <v>3</v>
      </c>
      <c r="AE856">
        <v>1980</v>
      </c>
      <c r="AF856">
        <v>1980</v>
      </c>
      <c r="AG856" s="29" t="s">
        <v>1219</v>
      </c>
      <c r="AH856" s="29" t="s">
        <v>1221</v>
      </c>
      <c r="AI856" s="29" t="s">
        <v>1222</v>
      </c>
      <c r="AJ856" s="29"/>
      <c r="AL856" s="29" t="s">
        <v>1220</v>
      </c>
    </row>
    <row r="857" spans="15:38">
      <c r="O857" t="s">
        <v>24</v>
      </c>
      <c r="P857" t="s">
        <v>43</v>
      </c>
      <c r="Q857" t="s">
        <v>5</v>
      </c>
      <c r="R857" t="s">
        <v>64</v>
      </c>
      <c r="S857">
        <v>2025.11</v>
      </c>
      <c r="T857">
        <v>2649.84</v>
      </c>
      <c r="U857">
        <v>0</v>
      </c>
      <c r="V857">
        <v>2649.84</v>
      </c>
      <c r="AA857" s="29" t="s">
        <v>43</v>
      </c>
      <c r="AB857">
        <v>31200</v>
      </c>
      <c r="AC857">
        <v>60</v>
      </c>
      <c r="AD857">
        <v>3</v>
      </c>
      <c r="AE857">
        <v>1980</v>
      </c>
      <c r="AF857">
        <v>1980</v>
      </c>
      <c r="AG857" s="29" t="s">
        <v>1219</v>
      </c>
      <c r="AH857" s="29" t="s">
        <v>1221</v>
      </c>
      <c r="AI857" s="29" t="s">
        <v>1222</v>
      </c>
      <c r="AJ857" s="29"/>
      <c r="AL857" s="29" t="s">
        <v>1220</v>
      </c>
    </row>
    <row r="858" spans="15:38">
      <c r="O858" t="s">
        <v>24</v>
      </c>
      <c r="P858" t="s">
        <v>43</v>
      </c>
      <c r="Q858" t="s">
        <v>5</v>
      </c>
      <c r="R858" t="s">
        <v>64</v>
      </c>
      <c r="S858">
        <v>2025.12</v>
      </c>
      <c r="T858">
        <v>2649.84</v>
      </c>
      <c r="U858">
        <v>0</v>
      </c>
      <c r="V858">
        <v>2649.84</v>
      </c>
      <c r="AA858" s="29" t="s">
        <v>43</v>
      </c>
      <c r="AB858">
        <v>31200</v>
      </c>
      <c r="AC858">
        <v>60</v>
      </c>
      <c r="AD858">
        <v>3</v>
      </c>
      <c r="AE858">
        <v>3294</v>
      </c>
      <c r="AF858">
        <v>3294</v>
      </c>
      <c r="AG858" s="29" t="s">
        <v>1219</v>
      </c>
      <c r="AH858" s="29" t="s">
        <v>1223</v>
      </c>
      <c r="AI858" s="29" t="s">
        <v>1224</v>
      </c>
      <c r="AJ858" s="29"/>
      <c r="AL858" s="29" t="s">
        <v>1220</v>
      </c>
    </row>
    <row r="859" spans="15:38">
      <c r="O859" t="s">
        <v>24</v>
      </c>
      <c r="P859" t="s">
        <v>43</v>
      </c>
      <c r="Q859" t="s">
        <v>5</v>
      </c>
      <c r="R859" t="s">
        <v>65</v>
      </c>
      <c r="S859">
        <v>2023.47</v>
      </c>
      <c r="T859">
        <v>0</v>
      </c>
      <c r="U859">
        <v>241307.51</v>
      </c>
      <c r="V859">
        <v>241307.51</v>
      </c>
      <c r="AA859" s="29" t="s">
        <v>43</v>
      </c>
      <c r="AB859">
        <v>31200</v>
      </c>
      <c r="AC859">
        <v>60</v>
      </c>
      <c r="AD859">
        <v>3</v>
      </c>
      <c r="AE859">
        <v>3294</v>
      </c>
      <c r="AF859">
        <v>3294</v>
      </c>
      <c r="AG859" s="29" t="s">
        <v>1219</v>
      </c>
      <c r="AH859" s="29" t="s">
        <v>1223</v>
      </c>
      <c r="AI859" s="29" t="s">
        <v>1224</v>
      </c>
      <c r="AJ859" s="29"/>
      <c r="AL859" s="29" t="s">
        <v>1220</v>
      </c>
    </row>
    <row r="860" spans="15:38">
      <c r="O860" t="s">
        <v>24</v>
      </c>
      <c r="P860" t="s">
        <v>43</v>
      </c>
      <c r="Q860" t="s">
        <v>5</v>
      </c>
      <c r="R860" t="s">
        <v>65</v>
      </c>
      <c r="S860">
        <v>2023.51</v>
      </c>
      <c r="T860">
        <v>160849.44</v>
      </c>
      <c r="U860">
        <v>241307.51</v>
      </c>
      <c r="V860">
        <v>241307.51</v>
      </c>
      <c r="AA860" s="29" t="s">
        <v>43</v>
      </c>
      <c r="AB860">
        <v>31200</v>
      </c>
      <c r="AC860">
        <v>60</v>
      </c>
      <c r="AD860">
        <v>3</v>
      </c>
      <c r="AE860">
        <v>1985.44</v>
      </c>
      <c r="AF860">
        <v>1985.44</v>
      </c>
      <c r="AG860" s="29" t="s">
        <v>1219</v>
      </c>
      <c r="AH860" s="29" t="s">
        <v>1225</v>
      </c>
      <c r="AI860" s="29" t="s">
        <v>1226</v>
      </c>
      <c r="AJ860" s="29"/>
      <c r="AL860" s="29" t="s">
        <v>1220</v>
      </c>
    </row>
    <row r="861" spans="15:38">
      <c r="O861" t="s">
        <v>24</v>
      </c>
      <c r="P861" t="s">
        <v>43</v>
      </c>
      <c r="Q861" t="s">
        <v>5</v>
      </c>
      <c r="R861" t="s">
        <v>65</v>
      </c>
      <c r="S861">
        <v>2024.05</v>
      </c>
      <c r="T861">
        <v>89201.06</v>
      </c>
      <c r="U861">
        <v>241307.51</v>
      </c>
      <c r="V861">
        <v>241307.51</v>
      </c>
      <c r="AA861" s="29" t="s">
        <v>43</v>
      </c>
      <c r="AB861">
        <v>31200</v>
      </c>
      <c r="AC861">
        <v>70</v>
      </c>
      <c r="AD861">
        <v>1</v>
      </c>
      <c r="AE861">
        <v>0</v>
      </c>
      <c r="AF861">
        <v>0</v>
      </c>
      <c r="AG861" s="29" t="s">
        <v>1227</v>
      </c>
      <c r="AH861" s="29"/>
      <c r="AI861" s="29"/>
      <c r="AJ861" s="29"/>
      <c r="AL861" s="29" t="s">
        <v>1228</v>
      </c>
    </row>
    <row r="862" spans="15:38">
      <c r="O862" t="s">
        <v>24</v>
      </c>
      <c r="P862" t="s">
        <v>43</v>
      </c>
      <c r="Q862" t="s">
        <v>5</v>
      </c>
      <c r="R862" t="s">
        <v>65</v>
      </c>
      <c r="S862">
        <v>2024.06</v>
      </c>
      <c r="T862">
        <v>89201.06</v>
      </c>
      <c r="U862">
        <v>241307.51</v>
      </c>
      <c r="V862">
        <v>241307.51</v>
      </c>
      <c r="AA862" s="29" t="s">
        <v>43</v>
      </c>
      <c r="AB862">
        <v>31200</v>
      </c>
      <c r="AC862">
        <v>70</v>
      </c>
      <c r="AD862">
        <v>3</v>
      </c>
      <c r="AE862">
        <v>575.74</v>
      </c>
      <c r="AF862">
        <v>575.74</v>
      </c>
      <c r="AG862" s="29" t="s">
        <v>1227</v>
      </c>
      <c r="AH862" s="29" t="s">
        <v>1229</v>
      </c>
      <c r="AI862" s="29" t="s">
        <v>1230</v>
      </c>
      <c r="AJ862" s="29"/>
      <c r="AL862" s="29" t="s">
        <v>1228</v>
      </c>
    </row>
    <row r="863" spans="15:38">
      <c r="O863" t="s">
        <v>24</v>
      </c>
      <c r="P863" t="s">
        <v>43</v>
      </c>
      <c r="Q863" t="s">
        <v>5</v>
      </c>
      <c r="R863" t="s">
        <v>65</v>
      </c>
      <c r="S863">
        <v>2024.07</v>
      </c>
      <c r="T863">
        <v>89339.07</v>
      </c>
      <c r="U863">
        <v>241307.51</v>
      </c>
      <c r="V863">
        <v>241307.51</v>
      </c>
      <c r="AA863" s="29" t="s">
        <v>43</v>
      </c>
      <c r="AB863">
        <v>31200</v>
      </c>
      <c r="AC863">
        <v>70</v>
      </c>
      <c r="AD863">
        <v>3</v>
      </c>
      <c r="AE863">
        <v>437.16</v>
      </c>
      <c r="AF863">
        <v>437.16</v>
      </c>
      <c r="AG863" s="29" t="s">
        <v>1227</v>
      </c>
      <c r="AH863" s="29" t="s">
        <v>1231</v>
      </c>
      <c r="AI863" s="29" t="s">
        <v>1232</v>
      </c>
      <c r="AJ863" s="29"/>
      <c r="AL863" s="29" t="s">
        <v>1228</v>
      </c>
    </row>
    <row r="864" spans="15:38">
      <c r="O864" t="s">
        <v>24</v>
      </c>
      <c r="P864" t="s">
        <v>43</v>
      </c>
      <c r="Q864" t="s">
        <v>5</v>
      </c>
      <c r="R864" t="s">
        <v>65</v>
      </c>
      <c r="S864">
        <v>2024.08</v>
      </c>
      <c r="T864">
        <v>89339.07</v>
      </c>
      <c r="U864">
        <v>241307.51</v>
      </c>
      <c r="V864">
        <v>241307.51</v>
      </c>
      <c r="AA864" s="29" t="s">
        <v>43</v>
      </c>
      <c r="AB864">
        <v>31200</v>
      </c>
      <c r="AC864">
        <v>70</v>
      </c>
      <c r="AD864">
        <v>3</v>
      </c>
      <c r="AE864">
        <v>219.72</v>
      </c>
      <c r="AF864">
        <v>219.72</v>
      </c>
      <c r="AG864" s="29" t="s">
        <v>1227</v>
      </c>
      <c r="AH864" s="29" t="s">
        <v>1233</v>
      </c>
      <c r="AI864" s="29" t="s">
        <v>1234</v>
      </c>
      <c r="AJ864" s="29"/>
      <c r="AL864" s="29" t="s">
        <v>1228</v>
      </c>
    </row>
    <row r="865" spans="15:38">
      <c r="O865" t="s">
        <v>24</v>
      </c>
      <c r="P865" t="s">
        <v>43</v>
      </c>
      <c r="Q865" t="s">
        <v>5</v>
      </c>
      <c r="R865" t="s">
        <v>65</v>
      </c>
      <c r="S865">
        <v>2024.09</v>
      </c>
      <c r="T865">
        <v>160849.44</v>
      </c>
      <c r="U865">
        <v>241307.51</v>
      </c>
      <c r="V865">
        <v>241307.51</v>
      </c>
      <c r="AA865" s="29" t="s">
        <v>43</v>
      </c>
      <c r="AB865">
        <v>31200</v>
      </c>
      <c r="AC865">
        <v>70</v>
      </c>
      <c r="AD865">
        <v>3</v>
      </c>
      <c r="AE865">
        <v>0</v>
      </c>
      <c r="AF865">
        <v>0</v>
      </c>
      <c r="AG865" s="29" t="s">
        <v>1227</v>
      </c>
      <c r="AH865" s="29" t="s">
        <v>1235</v>
      </c>
      <c r="AI865" s="29" t="s">
        <v>1236</v>
      </c>
      <c r="AJ865" s="29"/>
      <c r="AL865" s="29" t="s">
        <v>1228</v>
      </c>
    </row>
    <row r="866" spans="15:38">
      <c r="O866" t="s">
        <v>24</v>
      </c>
      <c r="P866" t="s">
        <v>43</v>
      </c>
      <c r="Q866" t="s">
        <v>5</v>
      </c>
      <c r="R866" t="s">
        <v>65</v>
      </c>
      <c r="S866">
        <v>2024.1</v>
      </c>
      <c r="T866">
        <v>89968.75</v>
      </c>
      <c r="U866">
        <v>241307.51</v>
      </c>
      <c r="V866">
        <v>241307.51</v>
      </c>
      <c r="AA866" s="29" t="s">
        <v>43</v>
      </c>
      <c r="AB866">
        <v>31200</v>
      </c>
      <c r="AC866">
        <v>70</v>
      </c>
      <c r="AD866">
        <v>3</v>
      </c>
      <c r="AE866">
        <v>0</v>
      </c>
      <c r="AF866">
        <v>0</v>
      </c>
      <c r="AG866" s="29" t="s">
        <v>1227</v>
      </c>
      <c r="AH866" s="29" t="s">
        <v>1235</v>
      </c>
      <c r="AI866" s="29" t="s">
        <v>1237</v>
      </c>
      <c r="AJ866" s="29"/>
      <c r="AL866" s="29" t="s">
        <v>1228</v>
      </c>
    </row>
    <row r="867" spans="15:38">
      <c r="O867" t="s">
        <v>24</v>
      </c>
      <c r="P867" t="s">
        <v>43</v>
      </c>
      <c r="Q867" t="s">
        <v>5</v>
      </c>
      <c r="R867" t="s">
        <v>65</v>
      </c>
      <c r="S867">
        <v>2024.11</v>
      </c>
      <c r="T867">
        <v>90090.880000000005</v>
      </c>
      <c r="U867">
        <v>241307.51</v>
      </c>
      <c r="V867">
        <v>241307.51</v>
      </c>
      <c r="AA867" s="29" t="s">
        <v>43</v>
      </c>
      <c r="AB867">
        <v>31200</v>
      </c>
      <c r="AC867">
        <v>70</v>
      </c>
      <c r="AD867">
        <v>3</v>
      </c>
      <c r="AE867">
        <v>10394.799999999999</v>
      </c>
      <c r="AF867">
        <v>10394.799999999999</v>
      </c>
      <c r="AG867" s="29" t="s">
        <v>1227</v>
      </c>
      <c r="AH867" s="29" t="s">
        <v>1238</v>
      </c>
      <c r="AI867" s="29" t="s">
        <v>1239</v>
      </c>
      <c r="AJ867" s="29"/>
      <c r="AL867" s="29" t="s">
        <v>1228</v>
      </c>
    </row>
    <row r="868" spans="15:38">
      <c r="O868" t="s">
        <v>24</v>
      </c>
      <c r="P868" t="s">
        <v>43</v>
      </c>
      <c r="Q868" t="s">
        <v>5</v>
      </c>
      <c r="R868" t="s">
        <v>65</v>
      </c>
      <c r="S868">
        <v>2024.12</v>
      </c>
      <c r="T868">
        <v>90090.880000000005</v>
      </c>
      <c r="U868">
        <v>241307.51</v>
      </c>
      <c r="V868">
        <v>241307.51</v>
      </c>
      <c r="AA868" s="29" t="s">
        <v>43</v>
      </c>
      <c r="AB868">
        <v>31200</v>
      </c>
      <c r="AC868">
        <v>80</v>
      </c>
      <c r="AD868">
        <v>1</v>
      </c>
      <c r="AE868">
        <v>0</v>
      </c>
      <c r="AF868">
        <v>0</v>
      </c>
      <c r="AG868" s="29" t="s">
        <v>1240</v>
      </c>
      <c r="AH868" s="29"/>
      <c r="AI868" s="29"/>
      <c r="AJ868" s="29"/>
      <c r="AL868" s="29" t="s">
        <v>1241</v>
      </c>
    </row>
    <row r="869" spans="15:38">
      <c r="O869" t="s">
        <v>24</v>
      </c>
      <c r="P869" t="s">
        <v>43</v>
      </c>
      <c r="Q869" t="s">
        <v>5</v>
      </c>
      <c r="R869" t="s">
        <v>65</v>
      </c>
      <c r="S869">
        <v>2024.14</v>
      </c>
      <c r="T869">
        <v>90090.880000000005</v>
      </c>
      <c r="U869">
        <v>241307.51</v>
      </c>
      <c r="V869">
        <v>241307.51</v>
      </c>
      <c r="AA869" s="29" t="s">
        <v>43</v>
      </c>
      <c r="AB869">
        <v>31200</v>
      </c>
      <c r="AC869">
        <v>80</v>
      </c>
      <c r="AD869">
        <v>3</v>
      </c>
      <c r="AE869">
        <v>3168</v>
      </c>
      <c r="AF869">
        <v>3168</v>
      </c>
      <c r="AG869" s="29" t="s">
        <v>1240</v>
      </c>
      <c r="AH869" s="29" t="s">
        <v>1242</v>
      </c>
      <c r="AI869" s="29" t="s">
        <v>1243</v>
      </c>
      <c r="AJ869" s="29"/>
      <c r="AL869" s="29" t="s">
        <v>1241</v>
      </c>
    </row>
    <row r="870" spans="15:38">
      <c r="O870" t="s">
        <v>24</v>
      </c>
      <c r="P870" t="s">
        <v>43</v>
      </c>
      <c r="Q870" t="s">
        <v>5</v>
      </c>
      <c r="R870" t="s">
        <v>65</v>
      </c>
      <c r="S870">
        <v>2024.17</v>
      </c>
      <c r="T870">
        <v>90142.92</v>
      </c>
      <c r="U870">
        <v>241307.51</v>
      </c>
      <c r="V870">
        <v>241307.51</v>
      </c>
      <c r="AA870" s="29" t="s">
        <v>43</v>
      </c>
      <c r="AB870">
        <v>31200</v>
      </c>
      <c r="AC870">
        <v>80</v>
      </c>
      <c r="AD870">
        <v>3</v>
      </c>
      <c r="AE870">
        <v>1303.5</v>
      </c>
      <c r="AF870">
        <v>1303.5</v>
      </c>
      <c r="AG870" s="29" t="s">
        <v>1240</v>
      </c>
      <c r="AH870" s="29" t="s">
        <v>1244</v>
      </c>
      <c r="AI870" s="29" t="s">
        <v>1245</v>
      </c>
      <c r="AJ870" s="29"/>
      <c r="AL870" s="29" t="s">
        <v>1241</v>
      </c>
    </row>
    <row r="871" spans="15:38">
      <c r="O871" t="s">
        <v>24</v>
      </c>
      <c r="P871" t="s">
        <v>43</v>
      </c>
      <c r="Q871" t="s">
        <v>5</v>
      </c>
      <c r="R871" t="s">
        <v>65</v>
      </c>
      <c r="S871">
        <v>2024.18</v>
      </c>
      <c r="T871">
        <v>90196.61</v>
      </c>
      <c r="U871">
        <v>241307.51</v>
      </c>
      <c r="V871">
        <v>241307.51</v>
      </c>
      <c r="AA871" s="29" t="s">
        <v>43</v>
      </c>
      <c r="AB871">
        <v>31200</v>
      </c>
      <c r="AC871">
        <v>80</v>
      </c>
      <c r="AD871">
        <v>3</v>
      </c>
      <c r="AE871">
        <v>25</v>
      </c>
      <c r="AF871">
        <v>25</v>
      </c>
      <c r="AG871" s="29" t="s">
        <v>1240</v>
      </c>
      <c r="AH871" s="29" t="s">
        <v>1246</v>
      </c>
      <c r="AI871" s="29" t="s">
        <v>1247</v>
      </c>
      <c r="AJ871" s="29"/>
      <c r="AL871" s="29" t="s">
        <v>1241</v>
      </c>
    </row>
    <row r="872" spans="15:38">
      <c r="O872" t="s">
        <v>24</v>
      </c>
      <c r="P872" t="s">
        <v>43</v>
      </c>
      <c r="Q872" t="s">
        <v>5</v>
      </c>
      <c r="R872" t="s">
        <v>65</v>
      </c>
      <c r="S872">
        <v>2024.19</v>
      </c>
      <c r="T872">
        <v>91566.61</v>
      </c>
      <c r="U872">
        <v>241307.51</v>
      </c>
      <c r="V872">
        <v>241307.51</v>
      </c>
      <c r="AA872" s="29" t="s">
        <v>43</v>
      </c>
      <c r="AB872">
        <v>31200</v>
      </c>
      <c r="AC872">
        <v>80</v>
      </c>
      <c r="AD872">
        <v>3</v>
      </c>
      <c r="AE872">
        <v>33.6</v>
      </c>
      <c r="AF872">
        <v>33.6</v>
      </c>
      <c r="AG872" s="29" t="s">
        <v>1240</v>
      </c>
      <c r="AH872" s="29" t="s">
        <v>1248</v>
      </c>
      <c r="AI872" s="29" t="s">
        <v>740</v>
      </c>
      <c r="AJ872" s="29"/>
      <c r="AL872" s="29" t="s">
        <v>1241</v>
      </c>
    </row>
    <row r="873" spans="15:38">
      <c r="O873" t="s">
        <v>24</v>
      </c>
      <c r="P873" t="s">
        <v>43</v>
      </c>
      <c r="Q873" t="s">
        <v>5</v>
      </c>
      <c r="R873" t="s">
        <v>65</v>
      </c>
      <c r="S873">
        <v>2024.2</v>
      </c>
      <c r="T873">
        <v>92225.71</v>
      </c>
      <c r="U873">
        <v>241307.51</v>
      </c>
      <c r="V873">
        <v>241307.51</v>
      </c>
      <c r="AA873" s="29" t="s">
        <v>43</v>
      </c>
      <c r="AB873">
        <v>31200</v>
      </c>
      <c r="AC873">
        <v>80</v>
      </c>
      <c r="AD873">
        <v>3</v>
      </c>
      <c r="AE873">
        <v>3.78</v>
      </c>
      <c r="AF873">
        <v>3.78</v>
      </c>
      <c r="AG873" s="29" t="s">
        <v>1240</v>
      </c>
      <c r="AH873" s="29" t="s">
        <v>1249</v>
      </c>
      <c r="AI873" s="29" t="s">
        <v>724</v>
      </c>
      <c r="AJ873" s="29"/>
      <c r="AL873" s="29" t="s">
        <v>1241</v>
      </c>
    </row>
    <row r="874" spans="15:38">
      <c r="O874" t="s">
        <v>24</v>
      </c>
      <c r="P874" t="s">
        <v>43</v>
      </c>
      <c r="Q874" t="s">
        <v>5</v>
      </c>
      <c r="R874" t="s">
        <v>65</v>
      </c>
      <c r="S874">
        <v>2024.21</v>
      </c>
      <c r="T874">
        <v>92252.51</v>
      </c>
      <c r="U874">
        <v>241307.51</v>
      </c>
      <c r="V874">
        <v>241307.51</v>
      </c>
      <c r="AA874" s="29" t="s">
        <v>43</v>
      </c>
      <c r="AB874">
        <v>31200</v>
      </c>
      <c r="AC874">
        <v>80</v>
      </c>
      <c r="AD874">
        <v>3</v>
      </c>
      <c r="AE874">
        <v>0</v>
      </c>
      <c r="AF874">
        <v>0</v>
      </c>
      <c r="AG874" s="29" t="s">
        <v>1240</v>
      </c>
      <c r="AH874" s="29" t="s">
        <v>1250</v>
      </c>
      <c r="AI874" s="29" t="s">
        <v>1251</v>
      </c>
      <c r="AJ874" s="29"/>
      <c r="AL874" s="29" t="s">
        <v>1241</v>
      </c>
    </row>
    <row r="875" spans="15:38">
      <c r="O875" t="s">
        <v>24</v>
      </c>
      <c r="P875" t="s">
        <v>43</v>
      </c>
      <c r="Q875" t="s">
        <v>5</v>
      </c>
      <c r="R875" t="s">
        <v>65</v>
      </c>
      <c r="S875">
        <v>2024.28</v>
      </c>
      <c r="T875">
        <v>92353.91</v>
      </c>
      <c r="U875">
        <v>241307.51</v>
      </c>
      <c r="V875">
        <v>241307.51</v>
      </c>
      <c r="AA875" s="29" t="s">
        <v>43</v>
      </c>
      <c r="AB875">
        <v>31200</v>
      </c>
      <c r="AC875">
        <v>80</v>
      </c>
      <c r="AD875">
        <v>3</v>
      </c>
      <c r="AE875">
        <v>0</v>
      </c>
      <c r="AF875">
        <v>0</v>
      </c>
      <c r="AG875" s="29" t="s">
        <v>1240</v>
      </c>
      <c r="AH875" s="29" t="s">
        <v>1250</v>
      </c>
      <c r="AI875" s="29" t="s">
        <v>1252</v>
      </c>
      <c r="AJ875" s="29"/>
      <c r="AL875" s="29" t="s">
        <v>1241</v>
      </c>
    </row>
    <row r="876" spans="15:38">
      <c r="O876" t="s">
        <v>24</v>
      </c>
      <c r="P876" t="s">
        <v>43</v>
      </c>
      <c r="Q876" t="s">
        <v>5</v>
      </c>
      <c r="R876" t="s">
        <v>65</v>
      </c>
      <c r="S876">
        <v>2024.38</v>
      </c>
      <c r="T876">
        <v>92353.91</v>
      </c>
      <c r="U876">
        <v>241307.51</v>
      </c>
      <c r="V876">
        <v>241307.51</v>
      </c>
      <c r="AA876" s="29" t="s">
        <v>43</v>
      </c>
      <c r="AB876">
        <v>31200</v>
      </c>
      <c r="AC876">
        <v>80</v>
      </c>
      <c r="AD876">
        <v>3</v>
      </c>
      <c r="AE876">
        <v>22.5</v>
      </c>
      <c r="AF876">
        <v>22.5</v>
      </c>
      <c r="AG876" s="29" t="s">
        <v>1240</v>
      </c>
      <c r="AH876" s="29" t="s">
        <v>1253</v>
      </c>
      <c r="AI876" s="29" t="s">
        <v>708</v>
      </c>
      <c r="AJ876" s="29"/>
      <c r="AL876" s="29" t="s">
        <v>1241</v>
      </c>
    </row>
    <row r="877" spans="15:38">
      <c r="O877" t="s">
        <v>24</v>
      </c>
      <c r="P877" t="s">
        <v>43</v>
      </c>
      <c r="Q877" t="s">
        <v>5</v>
      </c>
      <c r="R877" t="s">
        <v>65</v>
      </c>
      <c r="S877">
        <v>2024.39</v>
      </c>
      <c r="T877">
        <v>92353.91</v>
      </c>
      <c r="U877">
        <v>241307.51</v>
      </c>
      <c r="V877">
        <v>241307.51</v>
      </c>
      <c r="AA877" s="29" t="s">
        <v>43</v>
      </c>
      <c r="AB877">
        <v>31200</v>
      </c>
      <c r="AC877">
        <v>80</v>
      </c>
      <c r="AD877">
        <v>3</v>
      </c>
      <c r="AE877">
        <v>26.9</v>
      </c>
      <c r="AF877">
        <v>26.9</v>
      </c>
      <c r="AG877" s="29" t="s">
        <v>1240</v>
      </c>
      <c r="AH877" s="29" t="s">
        <v>1254</v>
      </c>
      <c r="AI877" s="29" t="s">
        <v>748</v>
      </c>
      <c r="AJ877" s="29"/>
      <c r="AL877" s="29" t="s">
        <v>1241</v>
      </c>
    </row>
    <row r="878" spans="15:38">
      <c r="O878" t="s">
        <v>24</v>
      </c>
      <c r="P878" t="s">
        <v>43</v>
      </c>
      <c r="Q878" t="s">
        <v>5</v>
      </c>
      <c r="R878" t="s">
        <v>65</v>
      </c>
      <c r="S878">
        <v>2024.41</v>
      </c>
      <c r="T878">
        <v>92353.91</v>
      </c>
      <c r="U878">
        <v>241307.51</v>
      </c>
      <c r="V878">
        <v>241307.51</v>
      </c>
      <c r="AA878" s="29" t="s">
        <v>43</v>
      </c>
      <c r="AB878">
        <v>31200</v>
      </c>
      <c r="AC878">
        <v>80</v>
      </c>
      <c r="AD878">
        <v>3</v>
      </c>
      <c r="AE878">
        <v>627</v>
      </c>
      <c r="AF878">
        <v>627</v>
      </c>
      <c r="AG878" s="29" t="s">
        <v>1240</v>
      </c>
      <c r="AH878" s="29" t="s">
        <v>1255</v>
      </c>
      <c r="AI878" s="29" t="s">
        <v>1256</v>
      </c>
      <c r="AJ878" s="29"/>
      <c r="AL878" s="29" t="s">
        <v>1241</v>
      </c>
    </row>
    <row r="879" spans="15:38">
      <c r="O879" t="s">
        <v>24</v>
      </c>
      <c r="P879" t="s">
        <v>43</v>
      </c>
      <c r="Q879" t="s">
        <v>5</v>
      </c>
      <c r="R879" t="s">
        <v>65</v>
      </c>
      <c r="S879">
        <v>2024.43</v>
      </c>
      <c r="T879">
        <v>92353.91</v>
      </c>
      <c r="U879">
        <v>241307.51</v>
      </c>
      <c r="V879">
        <v>241307.51</v>
      </c>
      <c r="AA879" s="29" t="s">
        <v>43</v>
      </c>
      <c r="AB879">
        <v>31200</v>
      </c>
      <c r="AC879">
        <v>80</v>
      </c>
      <c r="AD879">
        <v>3</v>
      </c>
      <c r="AE879">
        <v>1732.5</v>
      </c>
      <c r="AF879">
        <v>1732.5</v>
      </c>
      <c r="AG879" s="29" t="s">
        <v>1240</v>
      </c>
      <c r="AH879" s="29" t="s">
        <v>1257</v>
      </c>
      <c r="AI879" s="29" t="s">
        <v>1258</v>
      </c>
      <c r="AJ879" s="29"/>
      <c r="AL879" s="29" t="s">
        <v>1241</v>
      </c>
    </row>
    <row r="880" spans="15:38">
      <c r="O880" t="s">
        <v>24</v>
      </c>
      <c r="P880" t="s">
        <v>43</v>
      </c>
      <c r="Q880" t="s">
        <v>5</v>
      </c>
      <c r="R880" t="s">
        <v>65</v>
      </c>
      <c r="S880">
        <v>2024.44</v>
      </c>
      <c r="T880">
        <v>92353.91</v>
      </c>
      <c r="U880">
        <v>242006.39</v>
      </c>
      <c r="V880">
        <v>242006.39</v>
      </c>
      <c r="AA880" s="29" t="s">
        <v>43</v>
      </c>
      <c r="AB880">
        <v>31200</v>
      </c>
      <c r="AC880">
        <v>80</v>
      </c>
      <c r="AD880">
        <v>3</v>
      </c>
      <c r="AE880">
        <v>209051.59</v>
      </c>
      <c r="AF880">
        <v>209051.59</v>
      </c>
      <c r="AG880" s="29" t="s">
        <v>1240</v>
      </c>
      <c r="AH880" s="29" t="s">
        <v>1259</v>
      </c>
      <c r="AI880" s="29" t="s">
        <v>1260</v>
      </c>
      <c r="AJ880" s="29"/>
      <c r="AL880" s="29" t="s">
        <v>1241</v>
      </c>
    </row>
    <row r="881" spans="15:38">
      <c r="O881" t="s">
        <v>24</v>
      </c>
      <c r="P881" t="s">
        <v>43</v>
      </c>
      <c r="Q881" t="s">
        <v>5</v>
      </c>
      <c r="R881" t="s">
        <v>65</v>
      </c>
      <c r="S881">
        <v>2024.45</v>
      </c>
      <c r="T881">
        <v>93260.06</v>
      </c>
      <c r="U881">
        <v>242006.39</v>
      </c>
      <c r="V881">
        <v>242006.39</v>
      </c>
      <c r="AA881" s="29" t="s">
        <v>43</v>
      </c>
      <c r="AB881">
        <v>31200</v>
      </c>
      <c r="AC881">
        <v>80</v>
      </c>
      <c r="AD881">
        <v>3</v>
      </c>
      <c r="AE881">
        <v>478.5</v>
      </c>
      <c r="AF881">
        <v>478.5</v>
      </c>
      <c r="AG881" s="29" t="s">
        <v>1240</v>
      </c>
      <c r="AH881" s="29" t="s">
        <v>1261</v>
      </c>
      <c r="AI881" s="29" t="s">
        <v>1262</v>
      </c>
      <c r="AJ881" s="29"/>
      <c r="AL881" s="29" t="s">
        <v>1241</v>
      </c>
    </row>
    <row r="882" spans="15:38">
      <c r="O882" t="s">
        <v>24</v>
      </c>
      <c r="P882" t="s">
        <v>43</v>
      </c>
      <c r="Q882" t="s">
        <v>5</v>
      </c>
      <c r="R882" t="s">
        <v>65</v>
      </c>
      <c r="S882">
        <v>2024.47</v>
      </c>
      <c r="T882">
        <v>93260.6</v>
      </c>
      <c r="U882">
        <v>242006.39</v>
      </c>
      <c r="V882">
        <v>242006.39</v>
      </c>
      <c r="AA882" s="29" t="s">
        <v>43</v>
      </c>
      <c r="AB882">
        <v>31200</v>
      </c>
      <c r="AC882">
        <v>80</v>
      </c>
      <c r="AD882">
        <v>3</v>
      </c>
      <c r="AE882">
        <v>1402.5</v>
      </c>
      <c r="AF882">
        <v>1402.5</v>
      </c>
      <c r="AG882" s="29" t="s">
        <v>1240</v>
      </c>
      <c r="AH882" s="29" t="s">
        <v>1263</v>
      </c>
      <c r="AI882" s="29" t="s">
        <v>1264</v>
      </c>
      <c r="AJ882" s="29"/>
      <c r="AL882" s="29" t="s">
        <v>1241</v>
      </c>
    </row>
    <row r="883" spans="15:38">
      <c r="O883" t="s">
        <v>24</v>
      </c>
      <c r="P883" t="s">
        <v>43</v>
      </c>
      <c r="Q883" t="s">
        <v>5</v>
      </c>
      <c r="R883" t="s">
        <v>65</v>
      </c>
      <c r="S883">
        <v>2024.48</v>
      </c>
      <c r="T883">
        <v>93258.01</v>
      </c>
      <c r="U883">
        <v>242006.39</v>
      </c>
      <c r="V883">
        <v>234824.42</v>
      </c>
      <c r="AA883" s="29" t="s">
        <v>43</v>
      </c>
      <c r="AB883">
        <v>31200</v>
      </c>
      <c r="AC883">
        <v>80</v>
      </c>
      <c r="AD883">
        <v>3</v>
      </c>
      <c r="AE883">
        <v>3168</v>
      </c>
      <c r="AF883">
        <v>3168</v>
      </c>
      <c r="AG883" s="29" t="s">
        <v>1240</v>
      </c>
      <c r="AH883" s="29" t="s">
        <v>1242</v>
      </c>
      <c r="AI883" s="29" t="s">
        <v>1243</v>
      </c>
      <c r="AJ883" s="29"/>
      <c r="AL883" s="29" t="s">
        <v>1241</v>
      </c>
    </row>
    <row r="884" spans="15:38">
      <c r="O884" t="s">
        <v>24</v>
      </c>
      <c r="P884" t="s">
        <v>43</v>
      </c>
      <c r="Q884" t="s">
        <v>5</v>
      </c>
      <c r="R884" t="s">
        <v>65</v>
      </c>
      <c r="S884">
        <v>2024.49</v>
      </c>
      <c r="T884">
        <v>96480.46</v>
      </c>
      <c r="U884">
        <v>242006.39</v>
      </c>
      <c r="V884">
        <v>234824.42</v>
      </c>
      <c r="AA884" s="29" t="s">
        <v>43</v>
      </c>
      <c r="AB884">
        <v>31200</v>
      </c>
      <c r="AC884">
        <v>80</v>
      </c>
      <c r="AD884">
        <v>3</v>
      </c>
      <c r="AE884">
        <v>2475</v>
      </c>
      <c r="AF884">
        <v>2475</v>
      </c>
      <c r="AG884" s="29" t="s">
        <v>1240</v>
      </c>
      <c r="AH884" s="29" t="s">
        <v>1265</v>
      </c>
      <c r="AI884" s="29" t="s">
        <v>1266</v>
      </c>
      <c r="AJ884" s="29"/>
      <c r="AL884" s="29" t="s">
        <v>1241</v>
      </c>
    </row>
    <row r="885" spans="15:38">
      <c r="O885" t="s">
        <v>24</v>
      </c>
      <c r="P885" t="s">
        <v>43</v>
      </c>
      <c r="Q885" t="s">
        <v>5</v>
      </c>
      <c r="R885" t="s">
        <v>65</v>
      </c>
      <c r="S885">
        <v>2025.03</v>
      </c>
      <c r="T885">
        <v>97551.81</v>
      </c>
      <c r="U885">
        <v>242006.39</v>
      </c>
      <c r="V885">
        <v>234824.42</v>
      </c>
      <c r="AA885" s="29" t="s">
        <v>43</v>
      </c>
      <c r="AB885">
        <v>31200</v>
      </c>
      <c r="AC885">
        <v>80</v>
      </c>
      <c r="AD885">
        <v>3</v>
      </c>
      <c r="AE885">
        <v>5164.5</v>
      </c>
      <c r="AF885">
        <v>5164.5</v>
      </c>
      <c r="AG885" s="29" t="s">
        <v>1240</v>
      </c>
      <c r="AH885" s="29" t="s">
        <v>1267</v>
      </c>
      <c r="AI885" s="29" t="s">
        <v>1268</v>
      </c>
      <c r="AJ885" s="29"/>
      <c r="AL885" s="29" t="s">
        <v>1241</v>
      </c>
    </row>
    <row r="886" spans="15:38">
      <c r="O886" t="s">
        <v>24</v>
      </c>
      <c r="P886" t="s">
        <v>43</v>
      </c>
      <c r="Q886" t="s">
        <v>5</v>
      </c>
      <c r="R886" t="s">
        <v>65</v>
      </c>
      <c r="S886">
        <v>2025.08</v>
      </c>
      <c r="T886">
        <v>97867.6</v>
      </c>
      <c r="U886">
        <v>242006.39</v>
      </c>
      <c r="V886">
        <v>234824.42</v>
      </c>
      <c r="AA886" s="29" t="s">
        <v>43</v>
      </c>
      <c r="AB886">
        <v>31200</v>
      </c>
      <c r="AC886">
        <v>80</v>
      </c>
      <c r="AD886">
        <v>3</v>
      </c>
      <c r="AE886">
        <v>3168</v>
      </c>
      <c r="AF886">
        <v>3168</v>
      </c>
      <c r="AG886" s="29" t="s">
        <v>1240</v>
      </c>
      <c r="AH886" s="29" t="s">
        <v>1242</v>
      </c>
      <c r="AI886" s="29" t="s">
        <v>1243</v>
      </c>
      <c r="AJ886" s="29"/>
      <c r="AL886" s="29" t="s">
        <v>1241</v>
      </c>
    </row>
    <row r="887" spans="15:38">
      <c r="O887" t="s">
        <v>24</v>
      </c>
      <c r="P887" t="s">
        <v>43</v>
      </c>
      <c r="Q887" t="s">
        <v>5</v>
      </c>
      <c r="R887" t="s">
        <v>65</v>
      </c>
      <c r="S887">
        <v>2025.1</v>
      </c>
      <c r="T887">
        <v>97867.6</v>
      </c>
      <c r="U887">
        <v>242006.39</v>
      </c>
      <c r="V887">
        <v>234824.42</v>
      </c>
      <c r="AA887" s="29" t="s">
        <v>43</v>
      </c>
      <c r="AB887">
        <v>31200</v>
      </c>
      <c r="AC887">
        <v>80</v>
      </c>
      <c r="AD887">
        <v>3</v>
      </c>
      <c r="AE887">
        <v>3168</v>
      </c>
      <c r="AF887">
        <v>3168</v>
      </c>
      <c r="AG887" s="29" t="s">
        <v>1240</v>
      </c>
      <c r="AH887" s="29" t="s">
        <v>1242</v>
      </c>
      <c r="AI887" s="29" t="s">
        <v>1243</v>
      </c>
      <c r="AJ887" s="29"/>
      <c r="AL887" s="29" t="s">
        <v>1241</v>
      </c>
    </row>
    <row r="888" spans="15:38">
      <c r="O888" t="s">
        <v>24</v>
      </c>
      <c r="P888" t="s">
        <v>43</v>
      </c>
      <c r="Q888" t="s">
        <v>5</v>
      </c>
      <c r="R888" t="s">
        <v>65</v>
      </c>
      <c r="S888">
        <v>2025.11</v>
      </c>
      <c r="T888">
        <v>97967.27</v>
      </c>
      <c r="U888">
        <v>242006.39</v>
      </c>
      <c r="V888">
        <v>234824.42</v>
      </c>
      <c r="AA888" s="29" t="s">
        <v>43</v>
      </c>
      <c r="AB888">
        <v>31200</v>
      </c>
      <c r="AC888">
        <v>80</v>
      </c>
      <c r="AD888">
        <v>3</v>
      </c>
      <c r="AE888">
        <v>3168</v>
      </c>
      <c r="AF888">
        <v>3168</v>
      </c>
      <c r="AG888" s="29" t="s">
        <v>1240</v>
      </c>
      <c r="AH888" s="29" t="s">
        <v>1242</v>
      </c>
      <c r="AI888" s="29" t="s">
        <v>1243</v>
      </c>
      <c r="AJ888" s="29"/>
      <c r="AL888" s="29" t="s">
        <v>1241</v>
      </c>
    </row>
    <row r="889" spans="15:38">
      <c r="O889" t="s">
        <v>24</v>
      </c>
      <c r="P889" t="s">
        <v>43</v>
      </c>
      <c r="Q889" t="s">
        <v>5</v>
      </c>
      <c r="R889" t="s">
        <v>65</v>
      </c>
      <c r="S889">
        <v>2025.12</v>
      </c>
      <c r="T889">
        <v>97967.27</v>
      </c>
      <c r="U889">
        <v>242006.39</v>
      </c>
      <c r="V889">
        <v>234824.42</v>
      </c>
      <c r="AA889" s="29" t="s">
        <v>43</v>
      </c>
      <c r="AB889">
        <v>31200</v>
      </c>
      <c r="AC889">
        <v>90</v>
      </c>
      <c r="AD889">
        <v>1</v>
      </c>
      <c r="AE889">
        <v>0</v>
      </c>
      <c r="AF889">
        <v>0</v>
      </c>
      <c r="AG889" s="29" t="s">
        <v>1269</v>
      </c>
      <c r="AH889" s="29"/>
      <c r="AI889" s="29"/>
      <c r="AJ889" s="29"/>
      <c r="AL889" s="29" t="s">
        <v>1270</v>
      </c>
    </row>
    <row r="890" spans="15:38">
      <c r="O890" t="s">
        <v>24</v>
      </c>
      <c r="P890" t="s">
        <v>43</v>
      </c>
      <c r="Q890" t="s">
        <v>5</v>
      </c>
      <c r="R890" t="s">
        <v>57</v>
      </c>
      <c r="S890">
        <v>2025.03</v>
      </c>
      <c r="T890">
        <v>11.1</v>
      </c>
      <c r="U890">
        <v>0</v>
      </c>
      <c r="V890">
        <v>11.1</v>
      </c>
      <c r="AA890" s="29" t="s">
        <v>43</v>
      </c>
      <c r="AB890">
        <v>31200</v>
      </c>
      <c r="AC890">
        <v>90</v>
      </c>
      <c r="AD890">
        <v>3</v>
      </c>
      <c r="AE890">
        <v>18005.060000000001</v>
      </c>
      <c r="AF890">
        <v>18005.060000000001</v>
      </c>
      <c r="AG890" s="29" t="s">
        <v>1269</v>
      </c>
      <c r="AH890" s="29" t="s">
        <v>1271</v>
      </c>
      <c r="AI890" s="29" t="s">
        <v>1272</v>
      </c>
      <c r="AJ890" s="29"/>
      <c r="AL890" s="29" t="s">
        <v>1270</v>
      </c>
    </row>
    <row r="891" spans="15:38">
      <c r="O891" t="s">
        <v>24</v>
      </c>
      <c r="P891" t="s">
        <v>43</v>
      </c>
      <c r="Q891" t="s">
        <v>5</v>
      </c>
      <c r="R891" t="s">
        <v>57</v>
      </c>
      <c r="S891">
        <v>2025.08</v>
      </c>
      <c r="T891">
        <v>293.7</v>
      </c>
      <c r="U891">
        <v>0</v>
      </c>
      <c r="V891">
        <v>11.1</v>
      </c>
      <c r="AA891" s="29" t="s">
        <v>43</v>
      </c>
      <c r="AB891">
        <v>31200</v>
      </c>
      <c r="AC891">
        <v>90</v>
      </c>
      <c r="AD891">
        <v>3</v>
      </c>
      <c r="AE891">
        <v>3694.55</v>
      </c>
      <c r="AF891">
        <v>3694.55</v>
      </c>
      <c r="AG891" s="29" t="s">
        <v>1269</v>
      </c>
      <c r="AH891" s="29" t="s">
        <v>1273</v>
      </c>
      <c r="AI891" s="29" t="s">
        <v>1274</v>
      </c>
      <c r="AJ891" s="29"/>
      <c r="AL891" s="29" t="s">
        <v>1270</v>
      </c>
    </row>
    <row r="892" spans="15:38">
      <c r="O892" t="s">
        <v>24</v>
      </c>
      <c r="P892" t="s">
        <v>43</v>
      </c>
      <c r="Q892" t="s">
        <v>5</v>
      </c>
      <c r="R892" t="s">
        <v>57</v>
      </c>
      <c r="S892">
        <v>2025.1</v>
      </c>
      <c r="T892">
        <v>293.7</v>
      </c>
      <c r="U892">
        <v>0</v>
      </c>
      <c r="V892">
        <v>11.1</v>
      </c>
      <c r="AA892" s="29" t="s">
        <v>43</v>
      </c>
      <c r="AB892">
        <v>31200</v>
      </c>
      <c r="AC892">
        <v>100</v>
      </c>
      <c r="AD892">
        <v>1</v>
      </c>
      <c r="AE892">
        <v>0</v>
      </c>
      <c r="AF892">
        <v>0</v>
      </c>
      <c r="AG892" s="29" t="s">
        <v>1275</v>
      </c>
      <c r="AH892" s="29"/>
      <c r="AI892" s="29"/>
      <c r="AJ892" s="29"/>
      <c r="AL892" s="29" t="s">
        <v>1276</v>
      </c>
    </row>
    <row r="893" spans="15:38">
      <c r="O893" t="s">
        <v>24</v>
      </c>
      <c r="P893" t="s">
        <v>43</v>
      </c>
      <c r="Q893" t="s">
        <v>5</v>
      </c>
      <c r="R893" t="s">
        <v>57</v>
      </c>
      <c r="S893">
        <v>2025.11</v>
      </c>
      <c r="T893">
        <v>305.83</v>
      </c>
      <c r="U893">
        <v>0</v>
      </c>
      <c r="V893">
        <v>11.1</v>
      </c>
      <c r="AA893" s="29" t="s">
        <v>43</v>
      </c>
      <c r="AB893">
        <v>31200</v>
      </c>
      <c r="AC893">
        <v>100</v>
      </c>
      <c r="AD893">
        <v>3</v>
      </c>
      <c r="AE893">
        <v>13</v>
      </c>
      <c r="AF893">
        <v>13</v>
      </c>
      <c r="AG893" s="29" t="s">
        <v>1275</v>
      </c>
      <c r="AH893" s="29" t="s">
        <v>1277</v>
      </c>
      <c r="AI893" s="29" t="s">
        <v>1278</v>
      </c>
      <c r="AJ893" s="29"/>
      <c r="AL893" s="29" t="s">
        <v>1276</v>
      </c>
    </row>
    <row r="894" spans="15:38">
      <c r="O894" t="s">
        <v>24</v>
      </c>
      <c r="P894" t="s">
        <v>43</v>
      </c>
      <c r="Q894" t="s">
        <v>5</v>
      </c>
      <c r="R894" t="s">
        <v>57</v>
      </c>
      <c r="S894">
        <v>2025.12</v>
      </c>
      <c r="T894">
        <v>305.83</v>
      </c>
      <c r="U894">
        <v>0</v>
      </c>
      <c r="V894">
        <v>11.1</v>
      </c>
      <c r="AA894" s="29" t="s">
        <v>43</v>
      </c>
      <c r="AB894">
        <v>31200</v>
      </c>
      <c r="AC894">
        <v>100</v>
      </c>
      <c r="AD894">
        <v>3</v>
      </c>
      <c r="AE894">
        <v>80</v>
      </c>
      <c r="AF894">
        <v>80</v>
      </c>
      <c r="AG894" s="29" t="s">
        <v>1275</v>
      </c>
      <c r="AH894" s="29" t="s">
        <v>1279</v>
      </c>
      <c r="AI894" s="29" t="s">
        <v>1280</v>
      </c>
      <c r="AJ894" s="29"/>
      <c r="AL894" s="29" t="s">
        <v>1276</v>
      </c>
    </row>
    <row r="895" spans="15:38">
      <c r="O895" t="s">
        <v>24</v>
      </c>
      <c r="P895" t="s">
        <v>43</v>
      </c>
      <c r="Q895" t="s">
        <v>5</v>
      </c>
      <c r="R895" t="s">
        <v>58</v>
      </c>
      <c r="S895">
        <v>2023.51</v>
      </c>
      <c r="T895">
        <v>14140.88</v>
      </c>
      <c r="U895">
        <v>0</v>
      </c>
      <c r="V895">
        <v>0</v>
      </c>
      <c r="AA895" s="29" t="s">
        <v>43</v>
      </c>
      <c r="AB895">
        <v>31200</v>
      </c>
      <c r="AC895">
        <v>100</v>
      </c>
      <c r="AD895">
        <v>3</v>
      </c>
      <c r="AE895">
        <v>60</v>
      </c>
      <c r="AF895">
        <v>60</v>
      </c>
      <c r="AG895" s="29" t="s">
        <v>1275</v>
      </c>
      <c r="AH895" s="29" t="s">
        <v>1281</v>
      </c>
      <c r="AI895" s="29" t="s">
        <v>1282</v>
      </c>
      <c r="AJ895" s="29"/>
      <c r="AL895" s="29" t="s">
        <v>1276</v>
      </c>
    </row>
    <row r="896" spans="15:38">
      <c r="O896" t="s">
        <v>24</v>
      </c>
      <c r="P896" t="s">
        <v>43</v>
      </c>
      <c r="Q896" t="s">
        <v>5</v>
      </c>
      <c r="R896" t="s">
        <v>58</v>
      </c>
      <c r="S896">
        <v>2024.05</v>
      </c>
      <c r="T896">
        <v>7112.19</v>
      </c>
      <c r="U896">
        <v>0</v>
      </c>
      <c r="V896">
        <v>0</v>
      </c>
      <c r="AA896" s="29" t="s">
        <v>43</v>
      </c>
      <c r="AB896">
        <v>31200</v>
      </c>
      <c r="AC896">
        <v>100</v>
      </c>
      <c r="AD896">
        <v>3</v>
      </c>
      <c r="AE896">
        <v>55</v>
      </c>
      <c r="AF896">
        <v>55</v>
      </c>
      <c r="AG896" s="29" t="s">
        <v>1275</v>
      </c>
      <c r="AH896" s="29" t="s">
        <v>1283</v>
      </c>
      <c r="AI896" s="29" t="s">
        <v>1284</v>
      </c>
      <c r="AJ896" s="29"/>
      <c r="AL896" s="29" t="s">
        <v>1276</v>
      </c>
    </row>
    <row r="897" spans="15:38">
      <c r="O897" t="s">
        <v>24</v>
      </c>
      <c r="P897" t="s">
        <v>43</v>
      </c>
      <c r="Q897" t="s">
        <v>5</v>
      </c>
      <c r="R897" t="s">
        <v>58</v>
      </c>
      <c r="S897">
        <v>2024.06</v>
      </c>
      <c r="T897">
        <v>7112.19</v>
      </c>
      <c r="U897">
        <v>0</v>
      </c>
      <c r="V897">
        <v>0</v>
      </c>
      <c r="AA897" s="29" t="s">
        <v>43</v>
      </c>
      <c r="AB897">
        <v>31200</v>
      </c>
      <c r="AC897">
        <v>100</v>
      </c>
      <c r="AD897">
        <v>3</v>
      </c>
      <c r="AE897">
        <v>2.2799999999999998</v>
      </c>
      <c r="AF897">
        <v>2.2799999999999998</v>
      </c>
      <c r="AG897" s="29" t="s">
        <v>1275</v>
      </c>
      <c r="AH897" s="29" t="s">
        <v>1285</v>
      </c>
      <c r="AI897" s="29" t="s">
        <v>1286</v>
      </c>
      <c r="AJ897" s="29"/>
      <c r="AL897" s="29" t="s">
        <v>1276</v>
      </c>
    </row>
    <row r="898" spans="15:38">
      <c r="O898" t="s">
        <v>24</v>
      </c>
      <c r="P898" t="s">
        <v>43</v>
      </c>
      <c r="Q898" t="s">
        <v>5</v>
      </c>
      <c r="R898" t="s">
        <v>58</v>
      </c>
      <c r="S898">
        <v>2024.07</v>
      </c>
      <c r="T898">
        <v>7112.19</v>
      </c>
      <c r="U898">
        <v>0</v>
      </c>
      <c r="V898">
        <v>0</v>
      </c>
      <c r="AA898" s="29" t="s">
        <v>43</v>
      </c>
      <c r="AB898">
        <v>31200</v>
      </c>
      <c r="AC898">
        <v>100</v>
      </c>
      <c r="AD898">
        <v>3</v>
      </c>
      <c r="AE898">
        <v>2.61</v>
      </c>
      <c r="AF898">
        <v>2.61</v>
      </c>
      <c r="AG898" s="29" t="s">
        <v>1275</v>
      </c>
      <c r="AH898" s="29" t="s">
        <v>1287</v>
      </c>
      <c r="AI898" s="29" t="s">
        <v>1288</v>
      </c>
      <c r="AJ898" s="29"/>
      <c r="AL898" s="29" t="s">
        <v>1276</v>
      </c>
    </row>
    <row r="899" spans="15:38">
      <c r="O899" t="s">
        <v>24</v>
      </c>
      <c r="P899" t="s">
        <v>43</v>
      </c>
      <c r="Q899" t="s">
        <v>5</v>
      </c>
      <c r="R899" t="s">
        <v>58</v>
      </c>
      <c r="S899">
        <v>2024.08</v>
      </c>
      <c r="T899">
        <v>7112.19</v>
      </c>
      <c r="U899">
        <v>0</v>
      </c>
      <c r="V899">
        <v>0</v>
      </c>
      <c r="AA899" s="29" t="s">
        <v>43</v>
      </c>
      <c r="AB899">
        <v>31200</v>
      </c>
      <c r="AC899">
        <v>100</v>
      </c>
      <c r="AD899">
        <v>3</v>
      </c>
      <c r="AE899">
        <v>13.6</v>
      </c>
      <c r="AF899">
        <v>13.6</v>
      </c>
      <c r="AG899" s="29" t="s">
        <v>1275</v>
      </c>
      <c r="AH899" s="29" t="s">
        <v>1289</v>
      </c>
      <c r="AI899" s="29" t="s">
        <v>1290</v>
      </c>
      <c r="AJ899" s="29"/>
      <c r="AL899" s="29" t="s">
        <v>1276</v>
      </c>
    </row>
    <row r="900" spans="15:38">
      <c r="O900" t="s">
        <v>24</v>
      </c>
      <c r="P900" t="s">
        <v>43</v>
      </c>
      <c r="Q900" t="s">
        <v>5</v>
      </c>
      <c r="R900" t="s">
        <v>58</v>
      </c>
      <c r="S900">
        <v>2024.09</v>
      </c>
      <c r="T900">
        <v>14140.88</v>
      </c>
      <c r="U900">
        <v>0</v>
      </c>
      <c r="V900">
        <v>0</v>
      </c>
      <c r="AA900" s="29" t="s">
        <v>43</v>
      </c>
      <c r="AB900">
        <v>31200</v>
      </c>
      <c r="AC900">
        <v>100</v>
      </c>
      <c r="AD900">
        <v>3</v>
      </c>
      <c r="AE900">
        <v>6.44</v>
      </c>
      <c r="AF900">
        <v>6.44</v>
      </c>
      <c r="AG900" s="29" t="s">
        <v>1275</v>
      </c>
      <c r="AH900" s="29" t="s">
        <v>1291</v>
      </c>
      <c r="AI900" s="29" t="s">
        <v>1292</v>
      </c>
      <c r="AJ900" s="29"/>
      <c r="AL900" s="29" t="s">
        <v>1276</v>
      </c>
    </row>
    <row r="901" spans="15:38">
      <c r="O901" t="s">
        <v>24</v>
      </c>
      <c r="P901" t="s">
        <v>43</v>
      </c>
      <c r="Q901" t="s">
        <v>5</v>
      </c>
      <c r="R901" t="s">
        <v>58</v>
      </c>
      <c r="S901">
        <v>2024.1</v>
      </c>
      <c r="T901">
        <v>7112.19</v>
      </c>
      <c r="U901">
        <v>0</v>
      </c>
      <c r="V901">
        <v>0</v>
      </c>
      <c r="AA901" s="29" t="s">
        <v>43</v>
      </c>
      <c r="AB901">
        <v>31200</v>
      </c>
      <c r="AC901">
        <v>100</v>
      </c>
      <c r="AD901">
        <v>3</v>
      </c>
      <c r="AE901">
        <v>9.9</v>
      </c>
      <c r="AF901">
        <v>9.9</v>
      </c>
      <c r="AG901" s="29" t="s">
        <v>1275</v>
      </c>
      <c r="AH901" s="29" t="s">
        <v>1293</v>
      </c>
      <c r="AI901" s="29" t="s">
        <v>1294</v>
      </c>
      <c r="AJ901" s="29"/>
      <c r="AL901" s="29" t="s">
        <v>1276</v>
      </c>
    </row>
    <row r="902" spans="15:38">
      <c r="O902" t="s">
        <v>24</v>
      </c>
      <c r="P902" t="s">
        <v>43</v>
      </c>
      <c r="Q902" t="s">
        <v>5</v>
      </c>
      <c r="R902" t="s">
        <v>58</v>
      </c>
      <c r="S902">
        <v>2024.11</v>
      </c>
      <c r="T902">
        <v>7112.85</v>
      </c>
      <c r="U902">
        <v>0</v>
      </c>
      <c r="V902">
        <v>0</v>
      </c>
      <c r="AA902" s="29" t="s">
        <v>43</v>
      </c>
      <c r="AB902">
        <v>31200</v>
      </c>
      <c r="AC902">
        <v>100</v>
      </c>
      <c r="AD902">
        <v>3</v>
      </c>
      <c r="AE902">
        <v>1.44</v>
      </c>
      <c r="AF902">
        <v>1.44</v>
      </c>
      <c r="AG902" s="29" t="s">
        <v>1275</v>
      </c>
      <c r="AH902" s="29" t="s">
        <v>1295</v>
      </c>
      <c r="AI902" s="29" t="s">
        <v>1296</v>
      </c>
      <c r="AJ902" s="29"/>
      <c r="AL902" s="29" t="s">
        <v>1276</v>
      </c>
    </row>
    <row r="903" spans="15:38">
      <c r="O903" t="s">
        <v>24</v>
      </c>
      <c r="P903" t="s">
        <v>43</v>
      </c>
      <c r="Q903" t="s">
        <v>5</v>
      </c>
      <c r="R903" t="s">
        <v>58</v>
      </c>
      <c r="S903">
        <v>2024.12</v>
      </c>
      <c r="T903">
        <v>7112.85</v>
      </c>
      <c r="U903">
        <v>0</v>
      </c>
      <c r="V903">
        <v>0</v>
      </c>
      <c r="AA903" s="29" t="s">
        <v>43</v>
      </c>
      <c r="AB903">
        <v>31200</v>
      </c>
      <c r="AC903">
        <v>100</v>
      </c>
      <c r="AD903">
        <v>3</v>
      </c>
      <c r="AE903">
        <v>3.6</v>
      </c>
      <c r="AF903">
        <v>3.6</v>
      </c>
      <c r="AG903" s="29" t="s">
        <v>1275</v>
      </c>
      <c r="AH903" s="29" t="s">
        <v>1297</v>
      </c>
      <c r="AI903" s="29" t="s">
        <v>1298</v>
      </c>
      <c r="AJ903" s="29"/>
      <c r="AL903" s="29" t="s">
        <v>1276</v>
      </c>
    </row>
    <row r="904" spans="15:38">
      <c r="O904" t="s">
        <v>24</v>
      </c>
      <c r="P904" t="s">
        <v>43</v>
      </c>
      <c r="Q904" t="s">
        <v>5</v>
      </c>
      <c r="R904" t="s">
        <v>58</v>
      </c>
      <c r="S904">
        <v>2024.14</v>
      </c>
      <c r="T904">
        <v>7112.85</v>
      </c>
      <c r="U904">
        <v>0</v>
      </c>
      <c r="V904">
        <v>0</v>
      </c>
      <c r="AA904" s="29" t="s">
        <v>43</v>
      </c>
      <c r="AB904">
        <v>31200</v>
      </c>
      <c r="AC904">
        <v>100</v>
      </c>
      <c r="AD904">
        <v>3</v>
      </c>
      <c r="AE904">
        <v>80</v>
      </c>
      <c r="AF904">
        <v>80</v>
      </c>
      <c r="AG904" s="29" t="s">
        <v>1275</v>
      </c>
      <c r="AH904" s="29" t="s">
        <v>1279</v>
      </c>
      <c r="AI904" s="29" t="s">
        <v>1299</v>
      </c>
      <c r="AJ904" s="29"/>
      <c r="AL904" s="29" t="s">
        <v>1276</v>
      </c>
    </row>
    <row r="905" spans="15:38">
      <c r="O905" t="s">
        <v>24</v>
      </c>
      <c r="P905" t="s">
        <v>43</v>
      </c>
      <c r="Q905" t="s">
        <v>5</v>
      </c>
      <c r="R905" t="s">
        <v>58</v>
      </c>
      <c r="S905">
        <v>2024.17</v>
      </c>
      <c r="T905">
        <v>7112.85</v>
      </c>
      <c r="U905">
        <v>0</v>
      </c>
      <c r="V905">
        <v>0</v>
      </c>
      <c r="AA905" s="29" t="s">
        <v>43</v>
      </c>
      <c r="AB905">
        <v>31200</v>
      </c>
      <c r="AC905">
        <v>100</v>
      </c>
      <c r="AD905">
        <v>3</v>
      </c>
      <c r="AE905">
        <v>12.31</v>
      </c>
      <c r="AF905">
        <v>12.31</v>
      </c>
      <c r="AG905" s="29" t="s">
        <v>1275</v>
      </c>
      <c r="AH905" s="29" t="s">
        <v>1300</v>
      </c>
      <c r="AI905" s="29" t="s">
        <v>1301</v>
      </c>
      <c r="AJ905" s="29"/>
      <c r="AL905" s="29" t="s">
        <v>1276</v>
      </c>
    </row>
    <row r="906" spans="15:38">
      <c r="O906" t="s">
        <v>24</v>
      </c>
      <c r="P906" t="s">
        <v>43</v>
      </c>
      <c r="Q906" t="s">
        <v>5</v>
      </c>
      <c r="R906" t="s">
        <v>58</v>
      </c>
      <c r="S906">
        <v>2024.18</v>
      </c>
      <c r="T906">
        <v>7112.85</v>
      </c>
      <c r="U906">
        <v>0</v>
      </c>
      <c r="V906">
        <v>0</v>
      </c>
      <c r="AA906" s="29" t="s">
        <v>43</v>
      </c>
      <c r="AB906">
        <v>31200</v>
      </c>
      <c r="AC906">
        <v>100</v>
      </c>
      <c r="AD906">
        <v>3</v>
      </c>
      <c r="AE906">
        <v>12.23</v>
      </c>
      <c r="AF906">
        <v>12.23</v>
      </c>
      <c r="AG906" s="29" t="s">
        <v>1275</v>
      </c>
      <c r="AH906" s="29" t="s">
        <v>1302</v>
      </c>
      <c r="AI906" s="29" t="s">
        <v>1303</v>
      </c>
      <c r="AJ906" s="29"/>
      <c r="AL906" s="29" t="s">
        <v>1276</v>
      </c>
    </row>
    <row r="907" spans="15:38">
      <c r="O907" t="s">
        <v>24</v>
      </c>
      <c r="P907" t="s">
        <v>43</v>
      </c>
      <c r="Q907" t="s">
        <v>5</v>
      </c>
      <c r="R907" t="s">
        <v>58</v>
      </c>
      <c r="S907">
        <v>2024.19</v>
      </c>
      <c r="T907">
        <v>7112.85</v>
      </c>
      <c r="U907">
        <v>0</v>
      </c>
      <c r="V907">
        <v>0</v>
      </c>
      <c r="AA907" s="29" t="s">
        <v>43</v>
      </c>
      <c r="AB907">
        <v>31200</v>
      </c>
      <c r="AC907">
        <v>100</v>
      </c>
      <c r="AD907">
        <v>3</v>
      </c>
      <c r="AE907">
        <v>42.5</v>
      </c>
      <c r="AF907">
        <v>42.5</v>
      </c>
      <c r="AG907" s="29" t="s">
        <v>1275</v>
      </c>
      <c r="AH907" s="29" t="s">
        <v>1304</v>
      </c>
      <c r="AI907" s="29" t="s">
        <v>1305</v>
      </c>
      <c r="AJ907" s="29"/>
      <c r="AL907" s="29" t="s">
        <v>1276</v>
      </c>
    </row>
    <row r="908" spans="15:38">
      <c r="O908" t="s">
        <v>24</v>
      </c>
      <c r="P908" t="s">
        <v>43</v>
      </c>
      <c r="Q908" t="s">
        <v>5</v>
      </c>
      <c r="R908" t="s">
        <v>58</v>
      </c>
      <c r="S908">
        <v>2024.2</v>
      </c>
      <c r="T908">
        <v>7112.85</v>
      </c>
      <c r="U908">
        <v>0</v>
      </c>
      <c r="V908">
        <v>0</v>
      </c>
      <c r="AA908" s="29" t="s">
        <v>43</v>
      </c>
      <c r="AB908">
        <v>31200</v>
      </c>
      <c r="AC908">
        <v>100</v>
      </c>
      <c r="AD908">
        <v>3</v>
      </c>
      <c r="AE908">
        <v>7.2</v>
      </c>
      <c r="AF908">
        <v>7.2</v>
      </c>
      <c r="AG908" s="29" t="s">
        <v>1275</v>
      </c>
      <c r="AH908" s="29" t="s">
        <v>1306</v>
      </c>
      <c r="AI908" s="29" t="s">
        <v>1307</v>
      </c>
      <c r="AJ908" s="29"/>
      <c r="AL908" s="29" t="s">
        <v>1276</v>
      </c>
    </row>
    <row r="909" spans="15:38">
      <c r="O909" t="s">
        <v>24</v>
      </c>
      <c r="P909" t="s">
        <v>43</v>
      </c>
      <c r="Q909" t="s">
        <v>5</v>
      </c>
      <c r="R909" t="s">
        <v>58</v>
      </c>
      <c r="S909">
        <v>2024.21</v>
      </c>
      <c r="T909">
        <v>7112.85</v>
      </c>
      <c r="U909">
        <v>0</v>
      </c>
      <c r="V909">
        <v>0</v>
      </c>
      <c r="AA909" s="29" t="s">
        <v>43</v>
      </c>
      <c r="AB909">
        <v>31200</v>
      </c>
      <c r="AC909">
        <v>100</v>
      </c>
      <c r="AD909">
        <v>3</v>
      </c>
      <c r="AE909">
        <v>9.02</v>
      </c>
      <c r="AF909">
        <v>9.02</v>
      </c>
      <c r="AG909" s="29" t="s">
        <v>1275</v>
      </c>
      <c r="AH909" s="29" t="s">
        <v>1308</v>
      </c>
      <c r="AI909" s="29" t="s">
        <v>1309</v>
      </c>
      <c r="AJ909" s="29"/>
      <c r="AL909" s="29" t="s">
        <v>1276</v>
      </c>
    </row>
    <row r="910" spans="15:38">
      <c r="O910" t="s">
        <v>24</v>
      </c>
      <c r="P910" t="s">
        <v>43</v>
      </c>
      <c r="Q910" t="s">
        <v>5</v>
      </c>
      <c r="R910" t="s">
        <v>58</v>
      </c>
      <c r="S910">
        <v>2024.28</v>
      </c>
      <c r="T910">
        <v>7112.85</v>
      </c>
      <c r="U910">
        <v>0</v>
      </c>
      <c r="V910">
        <v>0</v>
      </c>
      <c r="AA910" s="29" t="s">
        <v>43</v>
      </c>
      <c r="AB910">
        <v>31200</v>
      </c>
      <c r="AC910">
        <v>100</v>
      </c>
      <c r="AD910">
        <v>3</v>
      </c>
      <c r="AE910">
        <v>5.53</v>
      </c>
      <c r="AF910">
        <v>5.53</v>
      </c>
      <c r="AG910" s="29" t="s">
        <v>1275</v>
      </c>
      <c r="AH910" s="29" t="s">
        <v>1310</v>
      </c>
      <c r="AI910" s="29" t="s">
        <v>1311</v>
      </c>
      <c r="AJ910" s="29"/>
      <c r="AL910" s="29" t="s">
        <v>1276</v>
      </c>
    </row>
    <row r="911" spans="15:38">
      <c r="O911" t="s">
        <v>24</v>
      </c>
      <c r="P911" t="s">
        <v>43</v>
      </c>
      <c r="Q911" t="s">
        <v>5</v>
      </c>
      <c r="R911" t="s">
        <v>58</v>
      </c>
      <c r="S911">
        <v>2024.38</v>
      </c>
      <c r="T911">
        <v>7140.81</v>
      </c>
      <c r="U911">
        <v>0</v>
      </c>
      <c r="V911">
        <v>0</v>
      </c>
      <c r="AA911" s="29" t="s">
        <v>43</v>
      </c>
      <c r="AB911">
        <v>31200</v>
      </c>
      <c r="AC911">
        <v>100</v>
      </c>
      <c r="AD911">
        <v>3</v>
      </c>
      <c r="AE911">
        <v>0.5</v>
      </c>
      <c r="AF911">
        <v>0.5</v>
      </c>
      <c r="AG911" s="29" t="s">
        <v>1275</v>
      </c>
      <c r="AH911" s="29" t="s">
        <v>1312</v>
      </c>
      <c r="AI911" s="29" t="s">
        <v>1313</v>
      </c>
      <c r="AJ911" s="29"/>
      <c r="AL911" s="29" t="s">
        <v>1276</v>
      </c>
    </row>
    <row r="912" spans="15:38">
      <c r="O912" t="s">
        <v>24</v>
      </c>
      <c r="P912" t="s">
        <v>43</v>
      </c>
      <c r="Q912" t="s">
        <v>5</v>
      </c>
      <c r="R912" t="s">
        <v>58</v>
      </c>
      <c r="S912">
        <v>2024.39</v>
      </c>
      <c r="T912">
        <v>7140.81</v>
      </c>
      <c r="U912">
        <v>0</v>
      </c>
      <c r="V912">
        <v>0</v>
      </c>
      <c r="AA912" s="29" t="s">
        <v>43</v>
      </c>
      <c r="AB912">
        <v>31200</v>
      </c>
      <c r="AC912">
        <v>100</v>
      </c>
      <c r="AD912">
        <v>3</v>
      </c>
      <c r="AE912">
        <v>0.45</v>
      </c>
      <c r="AF912">
        <v>0.45</v>
      </c>
      <c r="AG912" s="29" t="s">
        <v>1275</v>
      </c>
      <c r="AH912" s="29" t="s">
        <v>1314</v>
      </c>
      <c r="AI912" s="29" t="s">
        <v>1315</v>
      </c>
      <c r="AJ912" s="29"/>
      <c r="AL912" s="29" t="s">
        <v>1276</v>
      </c>
    </row>
    <row r="913" spans="15:38">
      <c r="O913" t="s">
        <v>24</v>
      </c>
      <c r="P913" t="s">
        <v>43</v>
      </c>
      <c r="Q913" t="s">
        <v>5</v>
      </c>
      <c r="R913" t="s">
        <v>58</v>
      </c>
      <c r="S913">
        <v>2024.41</v>
      </c>
      <c r="T913">
        <v>7140.81</v>
      </c>
      <c r="U913">
        <v>0</v>
      </c>
      <c r="V913">
        <v>0</v>
      </c>
      <c r="AA913" s="29" t="s">
        <v>43</v>
      </c>
      <c r="AB913">
        <v>31200</v>
      </c>
      <c r="AC913">
        <v>100</v>
      </c>
      <c r="AD913">
        <v>3</v>
      </c>
      <c r="AE913">
        <v>7.9</v>
      </c>
      <c r="AF913">
        <v>7.9</v>
      </c>
      <c r="AG913" s="29" t="s">
        <v>1275</v>
      </c>
      <c r="AH913" s="29" t="s">
        <v>1316</v>
      </c>
      <c r="AI913" s="29" t="s">
        <v>1317</v>
      </c>
      <c r="AJ913" s="29"/>
      <c r="AL913" s="29" t="s">
        <v>1276</v>
      </c>
    </row>
    <row r="914" spans="15:38">
      <c r="O914" t="s">
        <v>24</v>
      </c>
      <c r="P914" t="s">
        <v>43</v>
      </c>
      <c r="Q914" t="s">
        <v>5</v>
      </c>
      <c r="R914" t="s">
        <v>58</v>
      </c>
      <c r="S914">
        <v>2024.43</v>
      </c>
      <c r="T914">
        <v>7140.81</v>
      </c>
      <c r="U914">
        <v>0</v>
      </c>
      <c r="V914">
        <v>0</v>
      </c>
      <c r="AA914" s="29" t="s">
        <v>43</v>
      </c>
      <c r="AB914">
        <v>31200</v>
      </c>
      <c r="AC914">
        <v>100</v>
      </c>
      <c r="AD914">
        <v>3</v>
      </c>
      <c r="AE914">
        <v>0.18</v>
      </c>
      <c r="AF914">
        <v>0.18</v>
      </c>
      <c r="AG914" s="29" t="s">
        <v>1275</v>
      </c>
      <c r="AH914" s="29" t="s">
        <v>1318</v>
      </c>
      <c r="AI914" s="29" t="s">
        <v>1319</v>
      </c>
      <c r="AJ914" s="29"/>
      <c r="AL914" s="29" t="s">
        <v>1276</v>
      </c>
    </row>
    <row r="915" spans="15:38">
      <c r="O915" t="s">
        <v>24</v>
      </c>
      <c r="P915" t="s">
        <v>43</v>
      </c>
      <c r="Q915" t="s">
        <v>5</v>
      </c>
      <c r="R915" t="s">
        <v>58</v>
      </c>
      <c r="S915">
        <v>2024.44</v>
      </c>
      <c r="T915">
        <v>7140.81</v>
      </c>
      <c r="U915">
        <v>0</v>
      </c>
      <c r="V915">
        <v>0</v>
      </c>
      <c r="AA915" s="29" t="s">
        <v>43</v>
      </c>
      <c r="AB915">
        <v>31200</v>
      </c>
      <c r="AC915">
        <v>100</v>
      </c>
      <c r="AD915">
        <v>3</v>
      </c>
      <c r="AE915">
        <v>4.87</v>
      </c>
      <c r="AF915">
        <v>4.87</v>
      </c>
      <c r="AG915" s="29" t="s">
        <v>1275</v>
      </c>
      <c r="AH915" s="29" t="s">
        <v>1320</v>
      </c>
      <c r="AI915" s="29" t="s">
        <v>1321</v>
      </c>
      <c r="AJ915" s="29"/>
      <c r="AL915" s="29" t="s">
        <v>1276</v>
      </c>
    </row>
    <row r="916" spans="15:38">
      <c r="O916" t="s">
        <v>24</v>
      </c>
      <c r="P916" t="s">
        <v>43</v>
      </c>
      <c r="Q916" t="s">
        <v>5</v>
      </c>
      <c r="R916" t="s">
        <v>58</v>
      </c>
      <c r="S916">
        <v>2024.45</v>
      </c>
      <c r="T916">
        <v>7140.81</v>
      </c>
      <c r="U916">
        <v>0</v>
      </c>
      <c r="V916">
        <v>0</v>
      </c>
      <c r="AA916" s="29" t="s">
        <v>43</v>
      </c>
      <c r="AB916">
        <v>31200</v>
      </c>
      <c r="AC916">
        <v>100</v>
      </c>
      <c r="AD916">
        <v>3</v>
      </c>
      <c r="AE916">
        <v>12</v>
      </c>
      <c r="AF916">
        <v>12</v>
      </c>
      <c r="AG916" s="29" t="s">
        <v>1275</v>
      </c>
      <c r="AH916" s="29" t="s">
        <v>1322</v>
      </c>
      <c r="AI916" s="29" t="s">
        <v>1323</v>
      </c>
      <c r="AJ916" s="29"/>
      <c r="AL916" s="29" t="s">
        <v>1276</v>
      </c>
    </row>
    <row r="917" spans="15:38">
      <c r="O917" t="s">
        <v>24</v>
      </c>
      <c r="P917" t="s">
        <v>43</v>
      </c>
      <c r="Q917" t="s">
        <v>5</v>
      </c>
      <c r="R917" t="s">
        <v>58</v>
      </c>
      <c r="S917">
        <v>2024.47</v>
      </c>
      <c r="T917">
        <v>7181.97</v>
      </c>
      <c r="U917">
        <v>0</v>
      </c>
      <c r="V917">
        <v>0</v>
      </c>
      <c r="AA917" s="29" t="s">
        <v>43</v>
      </c>
      <c r="AB917">
        <v>31200</v>
      </c>
      <c r="AC917">
        <v>100</v>
      </c>
      <c r="AD917">
        <v>3</v>
      </c>
      <c r="AE917">
        <v>11.6</v>
      </c>
      <c r="AF917">
        <v>11.6</v>
      </c>
      <c r="AG917" s="29" t="s">
        <v>1275</v>
      </c>
      <c r="AH917" s="29" t="s">
        <v>1324</v>
      </c>
      <c r="AI917" s="29" t="s">
        <v>1325</v>
      </c>
      <c r="AJ917" s="29"/>
      <c r="AL917" s="29" t="s">
        <v>1276</v>
      </c>
    </row>
    <row r="918" spans="15:38">
      <c r="O918" t="s">
        <v>24</v>
      </c>
      <c r="P918" t="s">
        <v>43</v>
      </c>
      <c r="Q918" t="s">
        <v>5</v>
      </c>
      <c r="R918" t="s">
        <v>58</v>
      </c>
      <c r="S918">
        <v>2024.48</v>
      </c>
      <c r="T918">
        <v>7189.47</v>
      </c>
      <c r="U918">
        <v>0</v>
      </c>
      <c r="V918">
        <v>7181.97</v>
      </c>
      <c r="AA918" s="29" t="s">
        <v>43</v>
      </c>
      <c r="AB918">
        <v>31200</v>
      </c>
      <c r="AC918">
        <v>100</v>
      </c>
      <c r="AD918">
        <v>3</v>
      </c>
      <c r="AE918">
        <v>19.75</v>
      </c>
      <c r="AF918">
        <v>19.75</v>
      </c>
      <c r="AG918" s="29" t="s">
        <v>1275</v>
      </c>
      <c r="AH918" s="29" t="s">
        <v>1326</v>
      </c>
      <c r="AI918" s="29" t="s">
        <v>1327</v>
      </c>
      <c r="AJ918" s="29"/>
      <c r="AL918" s="29" t="s">
        <v>1276</v>
      </c>
    </row>
    <row r="919" spans="15:38">
      <c r="O919" t="s">
        <v>24</v>
      </c>
      <c r="P919" t="s">
        <v>43</v>
      </c>
      <c r="Q919" t="s">
        <v>5</v>
      </c>
      <c r="R919" t="s">
        <v>58</v>
      </c>
      <c r="S919">
        <v>2024.49</v>
      </c>
      <c r="T919">
        <v>7189.47</v>
      </c>
      <c r="U919">
        <v>0</v>
      </c>
      <c r="V919">
        <v>7181.97</v>
      </c>
      <c r="AA919" s="29" t="s">
        <v>43</v>
      </c>
      <c r="AB919">
        <v>31200</v>
      </c>
      <c r="AC919">
        <v>100</v>
      </c>
      <c r="AD919">
        <v>3</v>
      </c>
      <c r="AE919">
        <v>34933</v>
      </c>
      <c r="AF919">
        <v>34933</v>
      </c>
      <c r="AG919" s="29" t="s">
        <v>1275</v>
      </c>
      <c r="AH919" s="29" t="s">
        <v>1328</v>
      </c>
      <c r="AI919" s="29" t="s">
        <v>1329</v>
      </c>
      <c r="AJ919" s="29"/>
      <c r="AL919" s="29" t="s">
        <v>1276</v>
      </c>
    </row>
    <row r="920" spans="15:38">
      <c r="O920" t="s">
        <v>24</v>
      </c>
      <c r="P920" t="s">
        <v>43</v>
      </c>
      <c r="Q920" t="s">
        <v>5</v>
      </c>
      <c r="R920" t="s">
        <v>58</v>
      </c>
      <c r="S920">
        <v>2025.03</v>
      </c>
      <c r="T920">
        <v>7190.85</v>
      </c>
      <c r="U920">
        <v>0</v>
      </c>
      <c r="V920">
        <v>7190.85</v>
      </c>
      <c r="AA920" s="29" t="s">
        <v>43</v>
      </c>
      <c r="AB920">
        <v>31200</v>
      </c>
      <c r="AC920">
        <v>100</v>
      </c>
      <c r="AD920">
        <v>3</v>
      </c>
      <c r="AE920">
        <v>238.48</v>
      </c>
      <c r="AF920">
        <v>238.48</v>
      </c>
      <c r="AG920" s="29" t="s">
        <v>1275</v>
      </c>
      <c r="AH920" s="29" t="s">
        <v>1330</v>
      </c>
      <c r="AI920" s="29" t="s">
        <v>1331</v>
      </c>
      <c r="AJ920" s="29"/>
      <c r="AL920" s="29" t="s">
        <v>1276</v>
      </c>
    </row>
    <row r="921" spans="15:38">
      <c r="O921" t="s">
        <v>24</v>
      </c>
      <c r="P921" t="s">
        <v>43</v>
      </c>
      <c r="Q921" t="s">
        <v>5</v>
      </c>
      <c r="R921" t="s">
        <v>58</v>
      </c>
      <c r="S921">
        <v>2025.08</v>
      </c>
      <c r="T921">
        <v>7283.98</v>
      </c>
      <c r="U921">
        <v>0</v>
      </c>
      <c r="V921">
        <v>7190.85</v>
      </c>
      <c r="AA921" s="29" t="s">
        <v>43</v>
      </c>
      <c r="AB921">
        <v>31200</v>
      </c>
      <c r="AC921">
        <v>100</v>
      </c>
      <c r="AD921">
        <v>3</v>
      </c>
      <c r="AE921">
        <v>12.45</v>
      </c>
      <c r="AF921">
        <v>12.45</v>
      </c>
      <c r="AG921" s="29" t="s">
        <v>1275</v>
      </c>
      <c r="AH921" s="29" t="s">
        <v>1332</v>
      </c>
      <c r="AI921" s="29" t="s">
        <v>1333</v>
      </c>
      <c r="AJ921" s="29"/>
      <c r="AL921" s="29" t="s">
        <v>1276</v>
      </c>
    </row>
    <row r="922" spans="15:38">
      <c r="O922" t="s">
        <v>24</v>
      </c>
      <c r="P922" t="s">
        <v>43</v>
      </c>
      <c r="Q922" t="s">
        <v>5</v>
      </c>
      <c r="R922" t="s">
        <v>58</v>
      </c>
      <c r="S922">
        <v>2025.1</v>
      </c>
      <c r="T922">
        <v>7297.58</v>
      </c>
      <c r="U922">
        <v>0</v>
      </c>
      <c r="V922">
        <v>7190.85</v>
      </c>
      <c r="AA922" s="29" t="s">
        <v>43</v>
      </c>
      <c r="AB922">
        <v>31200</v>
      </c>
      <c r="AC922">
        <v>100</v>
      </c>
      <c r="AD922">
        <v>3</v>
      </c>
      <c r="AE922">
        <v>3.96</v>
      </c>
      <c r="AF922">
        <v>3.96</v>
      </c>
      <c r="AG922" s="29" t="s">
        <v>1275</v>
      </c>
      <c r="AH922" s="29" t="s">
        <v>1334</v>
      </c>
      <c r="AI922" s="29" t="s">
        <v>1335</v>
      </c>
      <c r="AJ922" s="29"/>
      <c r="AL922" s="29" t="s">
        <v>1276</v>
      </c>
    </row>
    <row r="923" spans="15:38">
      <c r="O923" t="s">
        <v>24</v>
      </c>
      <c r="P923" t="s">
        <v>43</v>
      </c>
      <c r="Q923" t="s">
        <v>5</v>
      </c>
      <c r="R923" t="s">
        <v>58</v>
      </c>
      <c r="S923">
        <v>2025.11</v>
      </c>
      <c r="T923">
        <v>7325.08</v>
      </c>
      <c r="U923">
        <v>0</v>
      </c>
      <c r="V923">
        <v>7190.85</v>
      </c>
      <c r="AA923" s="29" t="s">
        <v>43</v>
      </c>
      <c r="AB923">
        <v>31200</v>
      </c>
      <c r="AC923">
        <v>100</v>
      </c>
      <c r="AD923">
        <v>3</v>
      </c>
      <c r="AE923">
        <v>0.39</v>
      </c>
      <c r="AF923">
        <v>0.39</v>
      </c>
      <c r="AG923" s="29" t="s">
        <v>1275</v>
      </c>
      <c r="AH923" s="29" t="s">
        <v>1336</v>
      </c>
      <c r="AI923" s="29" t="s">
        <v>1337</v>
      </c>
      <c r="AJ923" s="29"/>
      <c r="AL923" s="29" t="s">
        <v>1276</v>
      </c>
    </row>
    <row r="924" spans="15:38">
      <c r="O924" t="s">
        <v>24</v>
      </c>
      <c r="P924" t="s">
        <v>43</v>
      </c>
      <c r="Q924" t="s">
        <v>5</v>
      </c>
      <c r="R924" t="s">
        <v>58</v>
      </c>
      <c r="S924">
        <v>2025.12</v>
      </c>
      <c r="T924">
        <v>7328.77</v>
      </c>
      <c r="U924">
        <v>0</v>
      </c>
      <c r="V924">
        <v>7190.85</v>
      </c>
      <c r="AA924" s="29" t="s">
        <v>43</v>
      </c>
      <c r="AB924">
        <v>31200</v>
      </c>
      <c r="AC924">
        <v>100</v>
      </c>
      <c r="AD924">
        <v>3</v>
      </c>
      <c r="AE924">
        <v>283.52</v>
      </c>
      <c r="AF924">
        <v>283.52</v>
      </c>
      <c r="AG924" s="29" t="s">
        <v>1275</v>
      </c>
      <c r="AH924" s="29" t="s">
        <v>1338</v>
      </c>
      <c r="AI924" s="29" t="s">
        <v>1339</v>
      </c>
      <c r="AJ924" s="29"/>
      <c r="AL924" s="29" t="s">
        <v>1276</v>
      </c>
    </row>
    <row r="925" spans="15:38">
      <c r="O925" t="s">
        <v>24</v>
      </c>
      <c r="P925" t="s">
        <v>43</v>
      </c>
      <c r="Q925" t="s">
        <v>49</v>
      </c>
      <c r="R925" t="s">
        <v>60</v>
      </c>
      <c r="S925">
        <v>2023.51</v>
      </c>
      <c r="T925">
        <v>0</v>
      </c>
      <c r="U925">
        <v>0</v>
      </c>
      <c r="V925">
        <v>25000</v>
      </c>
      <c r="AA925" s="29" t="s">
        <v>43</v>
      </c>
      <c r="AB925">
        <v>31200</v>
      </c>
      <c r="AC925">
        <v>100</v>
      </c>
      <c r="AD925">
        <v>3</v>
      </c>
      <c r="AE925">
        <v>6.5</v>
      </c>
      <c r="AF925">
        <v>6.5</v>
      </c>
      <c r="AG925" s="29" t="s">
        <v>1275</v>
      </c>
      <c r="AH925" s="29" t="s">
        <v>1340</v>
      </c>
      <c r="AI925" s="29" t="s">
        <v>1341</v>
      </c>
      <c r="AJ925" s="29"/>
      <c r="AL925" s="29" t="s">
        <v>1276</v>
      </c>
    </row>
    <row r="926" spans="15:38">
      <c r="O926" t="s">
        <v>24</v>
      </c>
      <c r="P926" t="s">
        <v>43</v>
      </c>
      <c r="Q926" t="s">
        <v>49</v>
      </c>
      <c r="R926" t="s">
        <v>62</v>
      </c>
      <c r="S926">
        <v>2024.47</v>
      </c>
      <c r="T926">
        <v>0</v>
      </c>
      <c r="U926">
        <v>0</v>
      </c>
      <c r="V926">
        <v>20000</v>
      </c>
      <c r="AA926" s="29" t="s">
        <v>43</v>
      </c>
      <c r="AB926">
        <v>31200</v>
      </c>
      <c r="AC926">
        <v>100</v>
      </c>
      <c r="AD926">
        <v>3</v>
      </c>
      <c r="AE926">
        <v>0.86</v>
      </c>
      <c r="AF926">
        <v>0.86</v>
      </c>
      <c r="AG926" s="29" t="s">
        <v>1275</v>
      </c>
      <c r="AH926" s="29" t="s">
        <v>1342</v>
      </c>
      <c r="AI926" s="29" t="s">
        <v>1343</v>
      </c>
      <c r="AJ926" s="29"/>
      <c r="AL926" s="29" t="s">
        <v>1276</v>
      </c>
    </row>
    <row r="927" spans="15:38">
      <c r="O927" t="s">
        <v>24</v>
      </c>
      <c r="P927" t="s">
        <v>43</v>
      </c>
      <c r="Q927" t="s">
        <v>0</v>
      </c>
      <c r="R927" t="s">
        <v>54</v>
      </c>
      <c r="S927">
        <v>2024.28</v>
      </c>
      <c r="T927">
        <v>2382</v>
      </c>
      <c r="U927">
        <v>0</v>
      </c>
      <c r="V927">
        <v>0</v>
      </c>
      <c r="AA927" s="29" t="s">
        <v>43</v>
      </c>
      <c r="AB927">
        <v>31200</v>
      </c>
      <c r="AC927">
        <v>100</v>
      </c>
      <c r="AD927">
        <v>3</v>
      </c>
      <c r="AE927">
        <v>2</v>
      </c>
      <c r="AF927">
        <v>2</v>
      </c>
      <c r="AG927" s="29" t="s">
        <v>1275</v>
      </c>
      <c r="AH927" s="29" t="s">
        <v>1344</v>
      </c>
      <c r="AI927" s="29" t="s">
        <v>1345</v>
      </c>
      <c r="AJ927" s="29"/>
      <c r="AL927" s="29" t="s">
        <v>1276</v>
      </c>
    </row>
    <row r="928" spans="15:38">
      <c r="O928" t="s">
        <v>24</v>
      </c>
      <c r="P928" t="s">
        <v>43</v>
      </c>
      <c r="Q928" t="s">
        <v>0</v>
      </c>
      <c r="R928" t="s">
        <v>54</v>
      </c>
      <c r="S928">
        <v>2024.38</v>
      </c>
      <c r="T928">
        <v>2382</v>
      </c>
      <c r="U928">
        <v>0</v>
      </c>
      <c r="V928">
        <v>0</v>
      </c>
      <c r="AA928" s="29" t="s">
        <v>43</v>
      </c>
      <c r="AB928">
        <v>31200</v>
      </c>
      <c r="AC928">
        <v>100</v>
      </c>
      <c r="AD928">
        <v>3</v>
      </c>
      <c r="AE928">
        <v>1.35</v>
      </c>
      <c r="AF928">
        <v>1.35</v>
      </c>
      <c r="AG928" s="29" t="s">
        <v>1275</v>
      </c>
      <c r="AH928" s="29" t="s">
        <v>1346</v>
      </c>
      <c r="AI928" s="29" t="s">
        <v>1347</v>
      </c>
      <c r="AJ928" s="29"/>
      <c r="AL928" s="29" t="s">
        <v>1276</v>
      </c>
    </row>
    <row r="929" spans="15:38">
      <c r="O929" t="s">
        <v>24</v>
      </c>
      <c r="P929" t="s">
        <v>43</v>
      </c>
      <c r="Q929" t="s">
        <v>0</v>
      </c>
      <c r="R929" t="s">
        <v>54</v>
      </c>
      <c r="S929">
        <v>2024.39</v>
      </c>
      <c r="T929">
        <v>2382</v>
      </c>
      <c r="U929">
        <v>0</v>
      </c>
      <c r="V929">
        <v>0</v>
      </c>
      <c r="AA929" s="29" t="s">
        <v>43</v>
      </c>
      <c r="AB929">
        <v>31200</v>
      </c>
      <c r="AC929">
        <v>100</v>
      </c>
      <c r="AD929">
        <v>3</v>
      </c>
      <c r="AE929">
        <v>1.2</v>
      </c>
      <c r="AF929">
        <v>1.2</v>
      </c>
      <c r="AG929" s="29" t="s">
        <v>1275</v>
      </c>
      <c r="AH929" s="29" t="s">
        <v>1348</v>
      </c>
      <c r="AI929" s="29" t="s">
        <v>1349</v>
      </c>
      <c r="AJ929" s="29"/>
      <c r="AL929" s="29" t="s">
        <v>1276</v>
      </c>
    </row>
    <row r="930" spans="15:38">
      <c r="O930" t="s">
        <v>24</v>
      </c>
      <c r="P930" t="s">
        <v>43</v>
      </c>
      <c r="Q930" t="s">
        <v>0</v>
      </c>
      <c r="R930" t="s">
        <v>54</v>
      </c>
      <c r="S930">
        <v>2024.41</v>
      </c>
      <c r="T930">
        <v>2382</v>
      </c>
      <c r="U930">
        <v>0</v>
      </c>
      <c r="V930">
        <v>0</v>
      </c>
      <c r="AA930" s="29" t="s">
        <v>43</v>
      </c>
      <c r="AB930">
        <v>31200</v>
      </c>
      <c r="AC930">
        <v>100</v>
      </c>
      <c r="AD930">
        <v>3</v>
      </c>
      <c r="AE930">
        <v>1.5</v>
      </c>
      <c r="AF930">
        <v>1.5</v>
      </c>
      <c r="AG930" s="29" t="s">
        <v>1275</v>
      </c>
      <c r="AH930" s="29" t="s">
        <v>1350</v>
      </c>
      <c r="AI930" s="29" t="s">
        <v>1351</v>
      </c>
      <c r="AJ930" s="29"/>
      <c r="AL930" s="29" t="s">
        <v>1276</v>
      </c>
    </row>
    <row r="931" spans="15:38">
      <c r="O931" t="s">
        <v>24</v>
      </c>
      <c r="P931" t="s">
        <v>43</v>
      </c>
      <c r="Q931" t="s">
        <v>0</v>
      </c>
      <c r="R931" t="s">
        <v>54</v>
      </c>
      <c r="S931">
        <v>2024.43</v>
      </c>
      <c r="T931">
        <v>2382</v>
      </c>
      <c r="U931">
        <v>0</v>
      </c>
      <c r="V931">
        <v>0</v>
      </c>
      <c r="AA931" s="29" t="s">
        <v>43</v>
      </c>
      <c r="AB931">
        <v>31200</v>
      </c>
      <c r="AC931">
        <v>100</v>
      </c>
      <c r="AD931">
        <v>3</v>
      </c>
      <c r="AE931">
        <v>12</v>
      </c>
      <c r="AF931">
        <v>12</v>
      </c>
      <c r="AG931" s="29" t="s">
        <v>1275</v>
      </c>
      <c r="AH931" s="29" t="s">
        <v>1322</v>
      </c>
      <c r="AI931" s="29" t="s">
        <v>1352</v>
      </c>
      <c r="AJ931" s="29"/>
      <c r="AL931" s="29" t="s">
        <v>1276</v>
      </c>
    </row>
    <row r="932" spans="15:38">
      <c r="O932" t="s">
        <v>24</v>
      </c>
      <c r="P932" t="s">
        <v>43</v>
      </c>
      <c r="Q932" t="s">
        <v>0</v>
      </c>
      <c r="R932" t="s">
        <v>54</v>
      </c>
      <c r="S932">
        <v>2024.44</v>
      </c>
      <c r="T932">
        <v>2382</v>
      </c>
      <c r="U932">
        <v>0</v>
      </c>
      <c r="V932">
        <v>0</v>
      </c>
      <c r="AA932" s="29" t="s">
        <v>43</v>
      </c>
      <c r="AB932">
        <v>31200</v>
      </c>
      <c r="AC932">
        <v>100</v>
      </c>
      <c r="AD932">
        <v>3</v>
      </c>
      <c r="AE932">
        <v>80</v>
      </c>
      <c r="AF932">
        <v>80</v>
      </c>
      <c r="AG932" s="29" t="s">
        <v>1275</v>
      </c>
      <c r="AH932" s="29" t="s">
        <v>1279</v>
      </c>
      <c r="AI932" s="29" t="s">
        <v>1353</v>
      </c>
      <c r="AJ932" s="29"/>
      <c r="AL932" s="29" t="s">
        <v>1276</v>
      </c>
    </row>
    <row r="933" spans="15:38">
      <c r="O933" t="s">
        <v>24</v>
      </c>
      <c r="P933" t="s">
        <v>43</v>
      </c>
      <c r="Q933" t="s">
        <v>0</v>
      </c>
      <c r="R933" t="s">
        <v>54</v>
      </c>
      <c r="S933">
        <v>2024.45</v>
      </c>
      <c r="T933">
        <v>2382</v>
      </c>
      <c r="U933">
        <v>0</v>
      </c>
      <c r="V933">
        <v>0</v>
      </c>
      <c r="AA933" s="29" t="s">
        <v>43</v>
      </c>
      <c r="AB933">
        <v>31200</v>
      </c>
      <c r="AC933">
        <v>100</v>
      </c>
      <c r="AD933">
        <v>3</v>
      </c>
      <c r="AE933">
        <v>1.75</v>
      </c>
      <c r="AF933">
        <v>1.75</v>
      </c>
      <c r="AG933" s="29" t="s">
        <v>1275</v>
      </c>
      <c r="AH933" s="29" t="s">
        <v>1354</v>
      </c>
      <c r="AI933" s="29" t="s">
        <v>1355</v>
      </c>
      <c r="AJ933" s="29"/>
      <c r="AL933" s="29" t="s">
        <v>1276</v>
      </c>
    </row>
    <row r="934" spans="15:38">
      <c r="O934" t="s">
        <v>24</v>
      </c>
      <c r="P934" t="s">
        <v>43</v>
      </c>
      <c r="Q934" t="s">
        <v>0</v>
      </c>
      <c r="R934" t="s">
        <v>54</v>
      </c>
      <c r="S934">
        <v>2024.47</v>
      </c>
      <c r="T934">
        <v>2382</v>
      </c>
      <c r="U934">
        <v>0</v>
      </c>
      <c r="V934">
        <v>0</v>
      </c>
      <c r="AA934" s="29" t="s">
        <v>43</v>
      </c>
      <c r="AB934">
        <v>31200</v>
      </c>
      <c r="AC934">
        <v>100</v>
      </c>
      <c r="AD934">
        <v>3</v>
      </c>
      <c r="AE934">
        <v>135</v>
      </c>
      <c r="AF934">
        <v>135</v>
      </c>
      <c r="AG934" s="29" t="s">
        <v>1275</v>
      </c>
      <c r="AH934" s="29" t="s">
        <v>1356</v>
      </c>
      <c r="AI934" s="29" t="s">
        <v>1357</v>
      </c>
      <c r="AJ934" s="29"/>
      <c r="AL934" s="29" t="s">
        <v>1276</v>
      </c>
    </row>
    <row r="935" spans="15:38">
      <c r="O935" t="s">
        <v>24</v>
      </c>
      <c r="P935" t="s">
        <v>43</v>
      </c>
      <c r="Q935" t="s">
        <v>0</v>
      </c>
      <c r="R935" t="s">
        <v>54</v>
      </c>
      <c r="S935">
        <v>2024.48</v>
      </c>
      <c r="T935">
        <v>2382</v>
      </c>
      <c r="U935">
        <v>0</v>
      </c>
      <c r="V935">
        <v>2382</v>
      </c>
      <c r="AA935" s="29" t="s">
        <v>43</v>
      </c>
      <c r="AB935">
        <v>31200</v>
      </c>
      <c r="AC935">
        <v>100</v>
      </c>
      <c r="AD935">
        <v>3</v>
      </c>
      <c r="AE935">
        <v>1620.55</v>
      </c>
      <c r="AF935">
        <v>1620.55</v>
      </c>
      <c r="AG935" s="29" t="s">
        <v>1275</v>
      </c>
      <c r="AH935" s="29" t="s">
        <v>1358</v>
      </c>
      <c r="AI935" s="29" t="s">
        <v>1359</v>
      </c>
      <c r="AJ935" s="29"/>
      <c r="AL935" s="29" t="s">
        <v>1276</v>
      </c>
    </row>
    <row r="936" spans="15:38">
      <c r="O936" t="s">
        <v>24</v>
      </c>
      <c r="P936" t="s">
        <v>43</v>
      </c>
      <c r="Q936" t="s">
        <v>0</v>
      </c>
      <c r="R936" t="s">
        <v>54</v>
      </c>
      <c r="S936">
        <v>2024.49</v>
      </c>
      <c r="T936">
        <v>3872</v>
      </c>
      <c r="U936">
        <v>0</v>
      </c>
      <c r="V936">
        <v>2382</v>
      </c>
      <c r="AA936" s="29" t="s">
        <v>43</v>
      </c>
      <c r="AB936">
        <v>31200</v>
      </c>
      <c r="AC936">
        <v>100</v>
      </c>
      <c r="AD936">
        <v>3</v>
      </c>
      <c r="AE936">
        <v>637.9</v>
      </c>
      <c r="AF936">
        <v>637.9</v>
      </c>
      <c r="AG936" s="29" t="s">
        <v>1275</v>
      </c>
      <c r="AH936" s="29" t="s">
        <v>1360</v>
      </c>
      <c r="AI936" s="29" t="s">
        <v>1361</v>
      </c>
      <c r="AJ936" s="29"/>
      <c r="AL936" s="29" t="s">
        <v>1276</v>
      </c>
    </row>
    <row r="937" spans="15:38">
      <c r="O937" t="s">
        <v>24</v>
      </c>
      <c r="P937" t="s">
        <v>43</v>
      </c>
      <c r="Q937" t="s">
        <v>0</v>
      </c>
      <c r="R937" t="s">
        <v>54</v>
      </c>
      <c r="S937">
        <v>2025.03</v>
      </c>
      <c r="T937">
        <v>3872</v>
      </c>
      <c r="U937">
        <v>0</v>
      </c>
      <c r="V937">
        <v>3872</v>
      </c>
      <c r="AA937" s="29" t="s">
        <v>43</v>
      </c>
      <c r="AB937">
        <v>31200</v>
      </c>
      <c r="AC937">
        <v>100</v>
      </c>
      <c r="AD937">
        <v>3</v>
      </c>
      <c r="AE937">
        <v>23.2</v>
      </c>
      <c r="AF937">
        <v>23.2</v>
      </c>
      <c r="AG937" s="29" t="s">
        <v>1275</v>
      </c>
      <c r="AH937" s="29" t="s">
        <v>1362</v>
      </c>
      <c r="AI937" s="29" t="s">
        <v>1363</v>
      </c>
      <c r="AJ937" s="29"/>
      <c r="AL937" s="29" t="s">
        <v>1276</v>
      </c>
    </row>
    <row r="938" spans="15:38">
      <c r="O938" t="s">
        <v>24</v>
      </c>
      <c r="P938" t="s">
        <v>43</v>
      </c>
      <c r="Q938" t="s">
        <v>0</v>
      </c>
      <c r="R938" t="s">
        <v>54</v>
      </c>
      <c r="S938">
        <v>2025.08</v>
      </c>
      <c r="T938">
        <v>4246</v>
      </c>
      <c r="U938">
        <v>0</v>
      </c>
      <c r="V938">
        <v>3872</v>
      </c>
      <c r="AA938" s="29" t="s">
        <v>43</v>
      </c>
      <c r="AB938">
        <v>31200</v>
      </c>
      <c r="AC938">
        <v>100</v>
      </c>
      <c r="AD938">
        <v>3</v>
      </c>
      <c r="AE938">
        <v>141.6</v>
      </c>
      <c r="AF938">
        <v>141.6</v>
      </c>
      <c r="AG938" s="29" t="s">
        <v>1275</v>
      </c>
      <c r="AH938" s="29" t="s">
        <v>1364</v>
      </c>
      <c r="AI938" s="29" t="s">
        <v>1365</v>
      </c>
      <c r="AJ938" s="29"/>
      <c r="AL938" s="29" t="s">
        <v>1276</v>
      </c>
    </row>
    <row r="939" spans="15:38">
      <c r="O939" t="s">
        <v>24</v>
      </c>
      <c r="P939" t="s">
        <v>43</v>
      </c>
      <c r="Q939" t="s">
        <v>0</v>
      </c>
      <c r="R939" t="s">
        <v>54</v>
      </c>
      <c r="S939">
        <v>2025.1</v>
      </c>
      <c r="T939">
        <v>4246</v>
      </c>
      <c r="U939">
        <v>0</v>
      </c>
      <c r="V939">
        <v>3872</v>
      </c>
      <c r="AA939" s="29" t="s">
        <v>43</v>
      </c>
      <c r="AB939">
        <v>31200</v>
      </c>
      <c r="AC939">
        <v>100</v>
      </c>
      <c r="AD939">
        <v>3</v>
      </c>
      <c r="AE939">
        <v>0.9</v>
      </c>
      <c r="AF939">
        <v>0.9</v>
      </c>
      <c r="AG939" s="29" t="s">
        <v>1275</v>
      </c>
      <c r="AH939" s="29" t="s">
        <v>1366</v>
      </c>
      <c r="AI939" s="29" t="s">
        <v>1367</v>
      </c>
      <c r="AJ939" s="29"/>
      <c r="AL939" s="29" t="s">
        <v>1276</v>
      </c>
    </row>
    <row r="940" spans="15:38">
      <c r="O940" t="s">
        <v>24</v>
      </c>
      <c r="P940" t="s">
        <v>43</v>
      </c>
      <c r="Q940" t="s">
        <v>0</v>
      </c>
      <c r="R940" t="s">
        <v>54</v>
      </c>
      <c r="S940">
        <v>2025.11</v>
      </c>
      <c r="T940">
        <v>4246</v>
      </c>
      <c r="U940">
        <v>0</v>
      </c>
      <c r="V940">
        <v>3872</v>
      </c>
      <c r="AA940" s="29" t="s">
        <v>43</v>
      </c>
      <c r="AB940">
        <v>31200</v>
      </c>
      <c r="AC940">
        <v>100</v>
      </c>
      <c r="AD940">
        <v>3</v>
      </c>
      <c r="AE940">
        <v>23.3</v>
      </c>
      <c r="AF940">
        <v>23.3</v>
      </c>
      <c r="AG940" s="29" t="s">
        <v>1275</v>
      </c>
      <c r="AH940" s="29" t="s">
        <v>1368</v>
      </c>
      <c r="AI940" s="29" t="s">
        <v>1369</v>
      </c>
      <c r="AJ940" s="29"/>
      <c r="AL940" s="29" t="s">
        <v>1276</v>
      </c>
    </row>
    <row r="941" spans="15:38">
      <c r="O941" t="s">
        <v>24</v>
      </c>
      <c r="P941" t="s">
        <v>43</v>
      </c>
      <c r="Q941" t="s">
        <v>0</v>
      </c>
      <c r="R941" t="s">
        <v>54</v>
      </c>
      <c r="S941">
        <v>2025.12</v>
      </c>
      <c r="T941">
        <v>4406</v>
      </c>
      <c r="U941">
        <v>0</v>
      </c>
      <c r="V941">
        <v>3872</v>
      </c>
      <c r="AA941" s="29" t="s">
        <v>43</v>
      </c>
      <c r="AB941">
        <v>31200</v>
      </c>
      <c r="AC941">
        <v>110</v>
      </c>
      <c r="AD941">
        <v>1</v>
      </c>
      <c r="AE941">
        <v>0</v>
      </c>
      <c r="AF941">
        <v>0</v>
      </c>
      <c r="AG941" s="29" t="s">
        <v>1370</v>
      </c>
      <c r="AH941" s="29"/>
      <c r="AI941" s="29"/>
      <c r="AJ941" s="29"/>
      <c r="AL941" s="29" t="s">
        <v>1371</v>
      </c>
    </row>
    <row r="942" spans="15:38">
      <c r="O942" t="s">
        <v>24</v>
      </c>
      <c r="P942" t="s">
        <v>43</v>
      </c>
      <c r="Q942" t="s">
        <v>0</v>
      </c>
      <c r="R942" t="s">
        <v>64</v>
      </c>
      <c r="S942">
        <v>2025.03</v>
      </c>
      <c r="T942">
        <v>582.88</v>
      </c>
      <c r="U942">
        <v>0</v>
      </c>
      <c r="V942">
        <v>582.88</v>
      </c>
      <c r="AA942" s="29" t="s">
        <v>43</v>
      </c>
      <c r="AB942">
        <v>31200</v>
      </c>
      <c r="AC942">
        <v>110</v>
      </c>
      <c r="AD942">
        <v>3</v>
      </c>
      <c r="AE942">
        <v>0</v>
      </c>
      <c r="AF942">
        <v>0</v>
      </c>
      <c r="AG942" s="29" t="s">
        <v>1370</v>
      </c>
      <c r="AH942" s="29" t="s">
        <v>1372</v>
      </c>
      <c r="AI942" s="29" t="s">
        <v>1373</v>
      </c>
      <c r="AJ942" s="29"/>
      <c r="AL942" s="29" t="s">
        <v>1371</v>
      </c>
    </row>
    <row r="943" spans="15:38">
      <c r="O943" t="s">
        <v>24</v>
      </c>
      <c r="P943" t="s">
        <v>43</v>
      </c>
      <c r="Q943" t="s">
        <v>0</v>
      </c>
      <c r="R943" t="s">
        <v>64</v>
      </c>
      <c r="S943">
        <v>2025.08</v>
      </c>
      <c r="T943">
        <v>2222.23</v>
      </c>
      <c r="U943">
        <v>0</v>
      </c>
      <c r="V943">
        <v>582.88</v>
      </c>
      <c r="AA943" s="29" t="s">
        <v>43</v>
      </c>
      <c r="AB943">
        <v>31200</v>
      </c>
      <c r="AC943">
        <v>110</v>
      </c>
      <c r="AD943">
        <v>3</v>
      </c>
      <c r="AE943">
        <v>67.099999999999994</v>
      </c>
      <c r="AF943">
        <v>67.099999999999994</v>
      </c>
      <c r="AG943" s="29" t="s">
        <v>1370</v>
      </c>
      <c r="AH943" s="29" t="s">
        <v>1374</v>
      </c>
      <c r="AI943" s="29" t="s">
        <v>1375</v>
      </c>
      <c r="AJ943" s="29"/>
      <c r="AL943" s="29" t="s">
        <v>1371</v>
      </c>
    </row>
    <row r="944" spans="15:38">
      <c r="O944" t="s">
        <v>24</v>
      </c>
      <c r="P944" t="s">
        <v>43</v>
      </c>
      <c r="Q944" t="s">
        <v>0</v>
      </c>
      <c r="R944" t="s">
        <v>64</v>
      </c>
      <c r="S944">
        <v>2025.1</v>
      </c>
      <c r="T944">
        <v>2222.23</v>
      </c>
      <c r="U944">
        <v>0</v>
      </c>
      <c r="V944">
        <v>582.88</v>
      </c>
      <c r="AA944" s="29" t="s">
        <v>43</v>
      </c>
      <c r="AB944">
        <v>31200</v>
      </c>
      <c r="AC944">
        <v>110</v>
      </c>
      <c r="AD944">
        <v>3</v>
      </c>
      <c r="AE944">
        <v>377.64</v>
      </c>
      <c r="AF944">
        <v>377.64</v>
      </c>
      <c r="AG944" s="29" t="s">
        <v>1370</v>
      </c>
      <c r="AH944" s="29" t="s">
        <v>1376</v>
      </c>
      <c r="AI944" s="29" t="s">
        <v>1377</v>
      </c>
      <c r="AJ944" s="29"/>
      <c r="AL944" s="29" t="s">
        <v>1371</v>
      </c>
    </row>
    <row r="945" spans="15:38">
      <c r="O945" t="s">
        <v>24</v>
      </c>
      <c r="P945" t="s">
        <v>43</v>
      </c>
      <c r="Q945" t="s">
        <v>0</v>
      </c>
      <c r="R945" t="s">
        <v>64</v>
      </c>
      <c r="S945">
        <v>2025.11</v>
      </c>
      <c r="T945">
        <v>2222.23</v>
      </c>
      <c r="U945">
        <v>0</v>
      </c>
      <c r="V945">
        <v>582.88</v>
      </c>
      <c r="AA945" s="29" t="s">
        <v>43</v>
      </c>
      <c r="AB945">
        <v>31200</v>
      </c>
      <c r="AC945">
        <v>110</v>
      </c>
      <c r="AD945">
        <v>3</v>
      </c>
      <c r="AE945">
        <v>0</v>
      </c>
      <c r="AF945">
        <v>0</v>
      </c>
      <c r="AG945" s="29" t="s">
        <v>1370</v>
      </c>
      <c r="AH945" s="29" t="s">
        <v>1372</v>
      </c>
      <c r="AI945" s="29" t="s">
        <v>1378</v>
      </c>
      <c r="AJ945" s="29"/>
      <c r="AL945" s="29" t="s">
        <v>1371</v>
      </c>
    </row>
    <row r="946" spans="15:38">
      <c r="O946" t="s">
        <v>24</v>
      </c>
      <c r="P946" t="s">
        <v>43</v>
      </c>
      <c r="Q946" t="s">
        <v>0</v>
      </c>
      <c r="R946" t="s">
        <v>64</v>
      </c>
      <c r="S946">
        <v>2025.12</v>
      </c>
      <c r="T946">
        <v>2222.23</v>
      </c>
      <c r="U946">
        <v>0</v>
      </c>
      <c r="V946">
        <v>582.88</v>
      </c>
      <c r="AA946" s="29" t="s">
        <v>43</v>
      </c>
      <c r="AB946">
        <v>31200</v>
      </c>
      <c r="AC946">
        <v>110</v>
      </c>
      <c r="AD946">
        <v>3</v>
      </c>
      <c r="AE946">
        <v>0.33</v>
      </c>
      <c r="AF946">
        <v>0.33</v>
      </c>
      <c r="AG946" s="29" t="s">
        <v>1370</v>
      </c>
      <c r="AH946" s="29" t="s">
        <v>1379</v>
      </c>
      <c r="AI946" s="29" t="s">
        <v>1380</v>
      </c>
      <c r="AJ946" s="29"/>
      <c r="AL946" s="29" t="s">
        <v>1371</v>
      </c>
    </row>
    <row r="947" spans="15:38">
      <c r="O947" t="s">
        <v>24</v>
      </c>
      <c r="P947" t="s">
        <v>43</v>
      </c>
      <c r="Q947" t="s">
        <v>0</v>
      </c>
      <c r="R947" t="s">
        <v>58</v>
      </c>
      <c r="S947">
        <v>2025.08</v>
      </c>
      <c r="T947">
        <v>157.80000000000001</v>
      </c>
      <c r="U947">
        <v>0</v>
      </c>
      <c r="V947">
        <v>0</v>
      </c>
      <c r="AA947" s="29" t="s">
        <v>43</v>
      </c>
      <c r="AB947">
        <v>31200</v>
      </c>
      <c r="AC947">
        <v>110</v>
      </c>
      <c r="AD947">
        <v>3</v>
      </c>
      <c r="AE947">
        <v>0</v>
      </c>
      <c r="AF947">
        <v>0</v>
      </c>
      <c r="AG947" s="29" t="s">
        <v>1370</v>
      </c>
      <c r="AH947" s="29" t="s">
        <v>1372</v>
      </c>
      <c r="AI947" s="29" t="s">
        <v>1381</v>
      </c>
      <c r="AJ947" s="29"/>
      <c r="AL947" s="29" t="s">
        <v>1371</v>
      </c>
    </row>
    <row r="948" spans="15:38">
      <c r="O948" t="s">
        <v>24</v>
      </c>
      <c r="P948" t="s">
        <v>43</v>
      </c>
      <c r="Q948" t="s">
        <v>0</v>
      </c>
      <c r="R948" t="s">
        <v>58</v>
      </c>
      <c r="S948">
        <v>2025.1</v>
      </c>
      <c r="T948">
        <v>157.80000000000001</v>
      </c>
      <c r="U948">
        <v>0</v>
      </c>
      <c r="V948">
        <v>0</v>
      </c>
      <c r="AA948" s="29" t="s">
        <v>43</v>
      </c>
      <c r="AB948">
        <v>31200</v>
      </c>
      <c r="AC948">
        <v>110</v>
      </c>
      <c r="AD948">
        <v>3</v>
      </c>
      <c r="AE948">
        <v>0</v>
      </c>
      <c r="AF948">
        <v>0</v>
      </c>
      <c r="AG948" s="29" t="s">
        <v>1370</v>
      </c>
      <c r="AH948" s="29" t="s">
        <v>1372</v>
      </c>
      <c r="AI948" s="29" t="s">
        <v>1382</v>
      </c>
      <c r="AJ948" s="29"/>
      <c r="AL948" s="29" t="s">
        <v>1371</v>
      </c>
    </row>
    <row r="949" spans="15:38">
      <c r="O949" t="s">
        <v>24</v>
      </c>
      <c r="P949" t="s">
        <v>43</v>
      </c>
      <c r="Q949" t="s">
        <v>0</v>
      </c>
      <c r="R949" t="s">
        <v>58</v>
      </c>
      <c r="S949">
        <v>2025.11</v>
      </c>
      <c r="T949">
        <v>157.80000000000001</v>
      </c>
      <c r="U949">
        <v>0</v>
      </c>
      <c r="V949">
        <v>0</v>
      </c>
      <c r="AA949" s="29" t="s">
        <v>43</v>
      </c>
      <c r="AB949">
        <v>31200</v>
      </c>
      <c r="AC949">
        <v>110</v>
      </c>
      <c r="AD949">
        <v>3</v>
      </c>
      <c r="AE949">
        <v>0</v>
      </c>
      <c r="AF949">
        <v>0</v>
      </c>
      <c r="AG949" s="29" t="s">
        <v>1370</v>
      </c>
      <c r="AH949" s="29" t="s">
        <v>1372</v>
      </c>
      <c r="AI949" s="29" t="s">
        <v>1383</v>
      </c>
      <c r="AJ949" s="29"/>
      <c r="AL949" s="29" t="s">
        <v>1371</v>
      </c>
    </row>
    <row r="950" spans="15:38">
      <c r="O950" t="s">
        <v>24</v>
      </c>
      <c r="P950" t="s">
        <v>43</v>
      </c>
      <c r="Q950" t="s">
        <v>0</v>
      </c>
      <c r="R950" t="s">
        <v>58</v>
      </c>
      <c r="S950">
        <v>2025.12</v>
      </c>
      <c r="T950">
        <v>157.80000000000001</v>
      </c>
      <c r="U950">
        <v>0</v>
      </c>
      <c r="V950">
        <v>0</v>
      </c>
      <c r="AA950" s="29" t="s">
        <v>43</v>
      </c>
      <c r="AB950">
        <v>31200</v>
      </c>
      <c r="AC950">
        <v>110</v>
      </c>
      <c r="AD950">
        <v>3</v>
      </c>
      <c r="AE950">
        <v>253.5</v>
      </c>
      <c r="AF950">
        <v>253.5</v>
      </c>
      <c r="AG950" s="29" t="s">
        <v>1370</v>
      </c>
      <c r="AH950" s="29" t="s">
        <v>1384</v>
      </c>
      <c r="AI950" s="29" t="s">
        <v>1385</v>
      </c>
      <c r="AJ950" s="29"/>
      <c r="AL950" s="29" t="s">
        <v>1371</v>
      </c>
    </row>
    <row r="951" spans="15:38">
      <c r="O951" t="s">
        <v>24</v>
      </c>
      <c r="P951" t="s">
        <v>43</v>
      </c>
      <c r="Q951" t="s">
        <v>0</v>
      </c>
      <c r="R951" t="s">
        <v>55</v>
      </c>
      <c r="S951">
        <v>2025.08</v>
      </c>
      <c r="T951">
        <v>69.099999999999994</v>
      </c>
      <c r="U951">
        <v>0</v>
      </c>
      <c r="V951">
        <v>0</v>
      </c>
      <c r="AA951" s="29" t="s">
        <v>43</v>
      </c>
      <c r="AB951">
        <v>31200</v>
      </c>
      <c r="AC951">
        <v>110</v>
      </c>
      <c r="AD951">
        <v>3</v>
      </c>
      <c r="AE951">
        <v>507</v>
      </c>
      <c r="AF951">
        <v>507</v>
      </c>
      <c r="AG951" s="29" t="s">
        <v>1370</v>
      </c>
      <c r="AH951" s="29" t="s">
        <v>1386</v>
      </c>
      <c r="AI951" s="29" t="s">
        <v>1387</v>
      </c>
      <c r="AJ951" s="29"/>
      <c r="AL951" s="29" t="s">
        <v>1371</v>
      </c>
    </row>
    <row r="952" spans="15:38">
      <c r="O952" t="s">
        <v>24</v>
      </c>
      <c r="P952" t="s">
        <v>43</v>
      </c>
      <c r="Q952" t="s">
        <v>0</v>
      </c>
      <c r="R952" t="s">
        <v>55</v>
      </c>
      <c r="S952">
        <v>2025.1</v>
      </c>
      <c r="T952">
        <v>69.099999999999994</v>
      </c>
      <c r="U952">
        <v>0</v>
      </c>
      <c r="V952">
        <v>0</v>
      </c>
      <c r="AA952" s="29" t="s">
        <v>43</v>
      </c>
      <c r="AB952">
        <v>31200</v>
      </c>
      <c r="AC952">
        <v>110</v>
      </c>
      <c r="AD952">
        <v>3</v>
      </c>
      <c r="AE952">
        <v>1370</v>
      </c>
      <c r="AF952">
        <v>1370</v>
      </c>
      <c r="AG952" s="29" t="s">
        <v>1370</v>
      </c>
      <c r="AH952" s="29" t="s">
        <v>1388</v>
      </c>
      <c r="AI952" s="29" t="s">
        <v>1389</v>
      </c>
      <c r="AJ952" s="29"/>
      <c r="AL952" s="29" t="s">
        <v>1371</v>
      </c>
    </row>
    <row r="953" spans="15:38">
      <c r="O953" t="s">
        <v>24</v>
      </c>
      <c r="P953" t="s">
        <v>43</v>
      </c>
      <c r="Q953" t="s">
        <v>0</v>
      </c>
      <c r="R953" t="s">
        <v>55</v>
      </c>
      <c r="S953">
        <v>2025.11</v>
      </c>
      <c r="T953">
        <v>69.099999999999994</v>
      </c>
      <c r="U953">
        <v>0</v>
      </c>
      <c r="V953">
        <v>0</v>
      </c>
      <c r="AA953" s="29" t="s">
        <v>43</v>
      </c>
      <c r="AB953">
        <v>31200</v>
      </c>
      <c r="AC953">
        <v>110</v>
      </c>
      <c r="AD953">
        <v>3</v>
      </c>
      <c r="AE953">
        <v>0</v>
      </c>
      <c r="AF953">
        <v>0</v>
      </c>
      <c r="AG953" s="29" t="s">
        <v>1370</v>
      </c>
      <c r="AH953" s="29" t="s">
        <v>1372</v>
      </c>
      <c r="AI953" s="29" t="s">
        <v>1390</v>
      </c>
      <c r="AJ953" s="29"/>
      <c r="AL953" s="29" t="s">
        <v>1371</v>
      </c>
    </row>
    <row r="954" spans="15:38">
      <c r="O954" t="s">
        <v>24</v>
      </c>
      <c r="P954" t="s">
        <v>43</v>
      </c>
      <c r="Q954" t="s">
        <v>0</v>
      </c>
      <c r="R954" t="s">
        <v>55</v>
      </c>
      <c r="S954">
        <v>2025.12</v>
      </c>
      <c r="T954">
        <v>69.099999999999994</v>
      </c>
      <c r="U954">
        <v>0</v>
      </c>
      <c r="V954">
        <v>0</v>
      </c>
      <c r="AA954" s="29" t="s">
        <v>43</v>
      </c>
      <c r="AB954">
        <v>31200</v>
      </c>
      <c r="AC954">
        <v>110</v>
      </c>
      <c r="AD954">
        <v>3</v>
      </c>
      <c r="AE954">
        <v>0.33</v>
      </c>
      <c r="AF954">
        <v>0.33</v>
      </c>
      <c r="AG954" s="29" t="s">
        <v>1370</v>
      </c>
      <c r="AH954" s="29" t="s">
        <v>1379</v>
      </c>
      <c r="AI954" s="29" t="s">
        <v>1391</v>
      </c>
      <c r="AJ954" s="29"/>
      <c r="AL954" s="29" t="s">
        <v>1371</v>
      </c>
    </row>
    <row r="955" spans="15:38">
      <c r="O955" t="s">
        <v>24</v>
      </c>
      <c r="P955" t="s">
        <v>43</v>
      </c>
      <c r="Q955" t="s">
        <v>0</v>
      </c>
      <c r="R955" t="s">
        <v>56</v>
      </c>
      <c r="S955">
        <v>2024.45</v>
      </c>
      <c r="T955">
        <v>823.2</v>
      </c>
      <c r="U955">
        <v>0</v>
      </c>
      <c r="V955">
        <v>0</v>
      </c>
      <c r="AA955" s="29" t="s">
        <v>43</v>
      </c>
      <c r="AB955">
        <v>31200</v>
      </c>
      <c r="AC955">
        <v>110</v>
      </c>
      <c r="AD955">
        <v>3</v>
      </c>
      <c r="AE955">
        <v>0</v>
      </c>
      <c r="AF955">
        <v>0</v>
      </c>
      <c r="AG955" s="29" t="s">
        <v>1370</v>
      </c>
      <c r="AH955" s="29" t="s">
        <v>1372</v>
      </c>
      <c r="AI955" s="29" t="s">
        <v>1392</v>
      </c>
      <c r="AJ955" s="29"/>
      <c r="AL955" s="29" t="s">
        <v>1371</v>
      </c>
    </row>
    <row r="956" spans="15:38">
      <c r="O956" t="s">
        <v>24</v>
      </c>
      <c r="P956" t="s">
        <v>43</v>
      </c>
      <c r="Q956" t="s">
        <v>0</v>
      </c>
      <c r="R956" t="s">
        <v>56</v>
      </c>
      <c r="S956">
        <v>2024.47</v>
      </c>
      <c r="T956">
        <v>1097.5999999999999</v>
      </c>
      <c r="U956">
        <v>0</v>
      </c>
      <c r="V956">
        <v>0</v>
      </c>
      <c r="AA956" s="29" t="s">
        <v>43</v>
      </c>
      <c r="AB956">
        <v>31200</v>
      </c>
      <c r="AC956">
        <v>110</v>
      </c>
      <c r="AD956">
        <v>3</v>
      </c>
      <c r="AE956">
        <v>0</v>
      </c>
      <c r="AF956">
        <v>0</v>
      </c>
      <c r="AG956" s="29" t="s">
        <v>1370</v>
      </c>
      <c r="AH956" s="29" t="s">
        <v>1372</v>
      </c>
      <c r="AI956" s="29" t="s">
        <v>1393</v>
      </c>
      <c r="AJ956" s="29"/>
      <c r="AL956" s="29" t="s">
        <v>1371</v>
      </c>
    </row>
    <row r="957" spans="15:38">
      <c r="O957" t="s">
        <v>24</v>
      </c>
      <c r="P957" t="s">
        <v>43</v>
      </c>
      <c r="Q957" t="s">
        <v>0</v>
      </c>
      <c r="R957" t="s">
        <v>56</v>
      </c>
      <c r="S957">
        <v>2024.48</v>
      </c>
      <c r="T957">
        <v>1097.5999999999999</v>
      </c>
      <c r="U957">
        <v>0</v>
      </c>
      <c r="V957">
        <v>1097.5999999999999</v>
      </c>
      <c r="AA957" s="29" t="s">
        <v>43</v>
      </c>
      <c r="AB957">
        <v>31200</v>
      </c>
      <c r="AC957">
        <v>110</v>
      </c>
      <c r="AD957">
        <v>3</v>
      </c>
      <c r="AE957">
        <v>0</v>
      </c>
      <c r="AF957">
        <v>0</v>
      </c>
      <c r="AG957" s="29" t="s">
        <v>1370</v>
      </c>
      <c r="AH957" s="29" t="s">
        <v>1372</v>
      </c>
      <c r="AI957" s="29" t="s">
        <v>1394</v>
      </c>
      <c r="AJ957" s="29"/>
      <c r="AL957" s="29" t="s">
        <v>1371</v>
      </c>
    </row>
    <row r="958" spans="15:38">
      <c r="O958" t="s">
        <v>24</v>
      </c>
      <c r="P958" t="s">
        <v>43</v>
      </c>
      <c r="Q958" t="s">
        <v>0</v>
      </c>
      <c r="R958" t="s">
        <v>56</v>
      </c>
      <c r="S958">
        <v>2024.49</v>
      </c>
      <c r="T958">
        <v>1440.6</v>
      </c>
      <c r="U958">
        <v>0</v>
      </c>
      <c r="V958">
        <v>1097.5999999999999</v>
      </c>
      <c r="AA958" s="29" t="s">
        <v>43</v>
      </c>
      <c r="AB958">
        <v>31200</v>
      </c>
      <c r="AC958">
        <v>110</v>
      </c>
      <c r="AD958">
        <v>3</v>
      </c>
      <c r="AE958">
        <v>0</v>
      </c>
      <c r="AF958">
        <v>0</v>
      </c>
      <c r="AG958" s="29" t="s">
        <v>1370</v>
      </c>
      <c r="AH958" s="29" t="s">
        <v>1372</v>
      </c>
      <c r="AI958" s="29" t="s">
        <v>1395</v>
      </c>
      <c r="AJ958" s="29"/>
      <c r="AL958" s="29" t="s">
        <v>1371</v>
      </c>
    </row>
    <row r="959" spans="15:38">
      <c r="O959" t="s">
        <v>24</v>
      </c>
      <c r="P959" t="s">
        <v>43</v>
      </c>
      <c r="Q959" t="s">
        <v>0</v>
      </c>
      <c r="R959" t="s">
        <v>56</v>
      </c>
      <c r="S959">
        <v>2025.03</v>
      </c>
      <c r="T959">
        <v>1783.6</v>
      </c>
      <c r="U959">
        <v>0</v>
      </c>
      <c r="V959">
        <v>1783.6</v>
      </c>
      <c r="AA959" s="29" t="s">
        <v>43</v>
      </c>
      <c r="AB959">
        <v>31200</v>
      </c>
      <c r="AC959">
        <v>110</v>
      </c>
      <c r="AD959">
        <v>3</v>
      </c>
      <c r="AE959">
        <v>8210.24</v>
      </c>
      <c r="AF959">
        <v>8210.24</v>
      </c>
      <c r="AG959" s="29" t="s">
        <v>1370</v>
      </c>
      <c r="AH959" s="29" t="s">
        <v>1396</v>
      </c>
      <c r="AI959" s="29" t="s">
        <v>1397</v>
      </c>
      <c r="AJ959" s="29"/>
      <c r="AL959" s="29" t="s">
        <v>1371</v>
      </c>
    </row>
    <row r="960" spans="15:38">
      <c r="O960" t="s">
        <v>24</v>
      </c>
      <c r="P960" t="s">
        <v>43</v>
      </c>
      <c r="Q960" t="s">
        <v>0</v>
      </c>
      <c r="R960" t="s">
        <v>56</v>
      </c>
      <c r="S960">
        <v>2025.08</v>
      </c>
      <c r="T960">
        <v>2295.8000000000002</v>
      </c>
      <c r="U960">
        <v>0</v>
      </c>
      <c r="V960">
        <v>1783.6</v>
      </c>
      <c r="AA960" s="29" t="s">
        <v>43</v>
      </c>
      <c r="AB960">
        <v>31200</v>
      </c>
      <c r="AC960">
        <v>110</v>
      </c>
      <c r="AD960">
        <v>3</v>
      </c>
      <c r="AE960">
        <v>0</v>
      </c>
      <c r="AF960">
        <v>0</v>
      </c>
      <c r="AG960" s="29" t="s">
        <v>1370</v>
      </c>
      <c r="AH960" s="29" t="s">
        <v>1372</v>
      </c>
      <c r="AI960" s="29" t="s">
        <v>1398</v>
      </c>
      <c r="AJ960" s="29"/>
      <c r="AL960" s="29" t="s">
        <v>1371</v>
      </c>
    </row>
    <row r="961" spans="15:38">
      <c r="O961" t="s">
        <v>24</v>
      </c>
      <c r="P961" t="s">
        <v>43</v>
      </c>
      <c r="Q961" t="s">
        <v>0</v>
      </c>
      <c r="R961" t="s">
        <v>56</v>
      </c>
      <c r="S961">
        <v>2025.1</v>
      </c>
      <c r="T961">
        <v>2295.8000000000002</v>
      </c>
      <c r="U961">
        <v>0</v>
      </c>
      <c r="V961">
        <v>1783.6</v>
      </c>
      <c r="AA961" s="29" t="s">
        <v>43</v>
      </c>
      <c r="AB961">
        <v>31200</v>
      </c>
      <c r="AC961">
        <v>110</v>
      </c>
      <c r="AD961">
        <v>3</v>
      </c>
      <c r="AE961">
        <v>29</v>
      </c>
      <c r="AF961">
        <v>29</v>
      </c>
      <c r="AG961" s="29" t="s">
        <v>1370</v>
      </c>
      <c r="AH961" s="29" t="s">
        <v>1399</v>
      </c>
      <c r="AI961" s="29" t="s">
        <v>1400</v>
      </c>
      <c r="AJ961" s="29"/>
      <c r="AL961" s="29" t="s">
        <v>1371</v>
      </c>
    </row>
    <row r="962" spans="15:38">
      <c r="O962" t="s">
        <v>24</v>
      </c>
      <c r="P962" t="s">
        <v>43</v>
      </c>
      <c r="Q962" t="s">
        <v>0</v>
      </c>
      <c r="R962" t="s">
        <v>56</v>
      </c>
      <c r="S962">
        <v>2025.11</v>
      </c>
      <c r="T962">
        <v>2295.8000000000002</v>
      </c>
      <c r="U962">
        <v>0</v>
      </c>
      <c r="V962">
        <v>1783.6</v>
      </c>
      <c r="AA962" s="29" t="s">
        <v>43</v>
      </c>
      <c r="AB962">
        <v>31200</v>
      </c>
      <c r="AC962">
        <v>110</v>
      </c>
      <c r="AD962">
        <v>3</v>
      </c>
      <c r="AE962">
        <v>29.5</v>
      </c>
      <c r="AF962">
        <v>29.5</v>
      </c>
      <c r="AG962" s="29" t="s">
        <v>1370</v>
      </c>
      <c r="AH962" s="29" t="s">
        <v>1401</v>
      </c>
      <c r="AI962" s="29" t="s">
        <v>1402</v>
      </c>
      <c r="AJ962" s="29"/>
      <c r="AL962" s="29" t="s">
        <v>1371</v>
      </c>
    </row>
    <row r="963" spans="15:38">
      <c r="O963" t="s">
        <v>24</v>
      </c>
      <c r="P963" t="s">
        <v>43</v>
      </c>
      <c r="Q963" t="s">
        <v>0</v>
      </c>
      <c r="R963" t="s">
        <v>56</v>
      </c>
      <c r="S963">
        <v>2025.12</v>
      </c>
      <c r="T963">
        <v>2295.8000000000002</v>
      </c>
      <c r="U963">
        <v>0</v>
      </c>
      <c r="V963">
        <v>1783.6</v>
      </c>
      <c r="AA963" s="29" t="s">
        <v>43</v>
      </c>
      <c r="AB963">
        <v>31200</v>
      </c>
      <c r="AC963">
        <v>110</v>
      </c>
      <c r="AD963">
        <v>3</v>
      </c>
      <c r="AE963">
        <v>0</v>
      </c>
      <c r="AF963">
        <v>0</v>
      </c>
      <c r="AG963" s="29" t="s">
        <v>1370</v>
      </c>
      <c r="AH963" s="29" t="s">
        <v>1372</v>
      </c>
      <c r="AI963" s="29" t="s">
        <v>1403</v>
      </c>
      <c r="AJ963" s="29"/>
      <c r="AL963" s="29" t="s">
        <v>1371</v>
      </c>
    </row>
    <row r="964" spans="15:38">
      <c r="O964" t="s">
        <v>24</v>
      </c>
      <c r="P964" t="s">
        <v>43</v>
      </c>
      <c r="Q964" t="s">
        <v>20</v>
      </c>
      <c r="R964" t="s">
        <v>53</v>
      </c>
      <c r="S964">
        <v>2025.1</v>
      </c>
      <c r="T964">
        <v>98.49</v>
      </c>
      <c r="U964">
        <v>0</v>
      </c>
      <c r="V964">
        <v>0</v>
      </c>
      <c r="AA964" s="29" t="s">
        <v>43</v>
      </c>
      <c r="AB964">
        <v>31200</v>
      </c>
      <c r="AC964">
        <v>110</v>
      </c>
      <c r="AD964">
        <v>3</v>
      </c>
      <c r="AE964">
        <v>2649.84</v>
      </c>
      <c r="AF964">
        <v>2649.84</v>
      </c>
      <c r="AG964" s="29" t="s">
        <v>1370</v>
      </c>
      <c r="AH964" s="29" t="s">
        <v>1404</v>
      </c>
      <c r="AI964" s="29" t="s">
        <v>1405</v>
      </c>
      <c r="AJ964" s="29"/>
      <c r="AL964" s="29" t="s">
        <v>1371</v>
      </c>
    </row>
    <row r="965" spans="15:38">
      <c r="O965" t="s">
        <v>24</v>
      </c>
      <c r="P965" t="s">
        <v>43</v>
      </c>
      <c r="Q965" t="s">
        <v>20</v>
      </c>
      <c r="R965" t="s">
        <v>53</v>
      </c>
      <c r="S965">
        <v>2025.11</v>
      </c>
      <c r="T965">
        <v>98.49</v>
      </c>
      <c r="U965">
        <v>0</v>
      </c>
      <c r="V965">
        <v>0</v>
      </c>
      <c r="AA965" s="29" t="s">
        <v>43</v>
      </c>
      <c r="AB965">
        <v>31200</v>
      </c>
      <c r="AC965">
        <v>110</v>
      </c>
      <c r="AD965">
        <v>3</v>
      </c>
      <c r="AE965">
        <v>0</v>
      </c>
      <c r="AF965">
        <v>0</v>
      </c>
      <c r="AG965" s="29" t="s">
        <v>1370</v>
      </c>
      <c r="AH965" s="29" t="s">
        <v>1372</v>
      </c>
      <c r="AI965" s="29" t="s">
        <v>1406</v>
      </c>
      <c r="AJ965" s="29"/>
      <c r="AL965" s="29" t="s">
        <v>1371</v>
      </c>
    </row>
    <row r="966" spans="15:38">
      <c r="O966" t="s">
        <v>24</v>
      </c>
      <c r="P966" t="s">
        <v>43</v>
      </c>
      <c r="Q966" t="s">
        <v>20</v>
      </c>
      <c r="R966" t="s">
        <v>53</v>
      </c>
      <c r="S966">
        <v>2025.12</v>
      </c>
      <c r="T966">
        <v>98.49</v>
      </c>
      <c r="U966">
        <v>0</v>
      </c>
      <c r="V966">
        <v>0</v>
      </c>
      <c r="AA966" s="29" t="s">
        <v>43</v>
      </c>
      <c r="AB966">
        <v>31200</v>
      </c>
      <c r="AC966">
        <v>110</v>
      </c>
      <c r="AD966">
        <v>3</v>
      </c>
      <c r="AE966">
        <v>180.85</v>
      </c>
      <c r="AF966">
        <v>180.85</v>
      </c>
      <c r="AG966" s="29" t="s">
        <v>1370</v>
      </c>
      <c r="AH966" s="29" t="s">
        <v>1407</v>
      </c>
      <c r="AI966" s="29" t="s">
        <v>1408</v>
      </c>
      <c r="AJ966" s="29"/>
      <c r="AL966" s="29" t="s">
        <v>1371</v>
      </c>
    </row>
    <row r="967" spans="15:38">
      <c r="O967" t="s">
        <v>24</v>
      </c>
      <c r="P967" t="s">
        <v>43</v>
      </c>
      <c r="Q967" t="s">
        <v>20</v>
      </c>
      <c r="R967" t="s">
        <v>54</v>
      </c>
      <c r="S967">
        <v>2025.1</v>
      </c>
      <c r="T967">
        <v>580</v>
      </c>
      <c r="U967">
        <v>0</v>
      </c>
      <c r="V967">
        <v>0</v>
      </c>
      <c r="AA967" s="29" t="s">
        <v>43</v>
      </c>
      <c r="AB967">
        <v>31200</v>
      </c>
      <c r="AC967">
        <v>110</v>
      </c>
      <c r="AD967">
        <v>3</v>
      </c>
      <c r="AE967">
        <v>62.32</v>
      </c>
      <c r="AF967">
        <v>62.32</v>
      </c>
      <c r="AG967" s="29" t="s">
        <v>1370</v>
      </c>
      <c r="AH967" s="29" t="s">
        <v>1409</v>
      </c>
      <c r="AI967" s="29" t="s">
        <v>1410</v>
      </c>
      <c r="AJ967" s="29"/>
      <c r="AL967" s="29" t="s">
        <v>1371</v>
      </c>
    </row>
    <row r="968" spans="15:38">
      <c r="O968" t="s">
        <v>24</v>
      </c>
      <c r="P968" t="s">
        <v>43</v>
      </c>
      <c r="Q968" t="s">
        <v>20</v>
      </c>
      <c r="R968" t="s">
        <v>54</v>
      </c>
      <c r="S968">
        <v>2025.11</v>
      </c>
      <c r="T968">
        <v>580</v>
      </c>
      <c r="U968">
        <v>0</v>
      </c>
      <c r="V968">
        <v>0</v>
      </c>
      <c r="AA968" s="29" t="s">
        <v>43</v>
      </c>
      <c r="AB968">
        <v>31200</v>
      </c>
      <c r="AC968">
        <v>110</v>
      </c>
      <c r="AD968">
        <v>3</v>
      </c>
      <c r="AE968">
        <v>27.29</v>
      </c>
      <c r="AF968">
        <v>27.29</v>
      </c>
      <c r="AG968" s="29" t="s">
        <v>1370</v>
      </c>
      <c r="AH968" s="29" t="s">
        <v>1411</v>
      </c>
      <c r="AI968" s="29" t="s">
        <v>1412</v>
      </c>
      <c r="AJ968" s="29"/>
      <c r="AL968" s="29" t="s">
        <v>1371</v>
      </c>
    </row>
    <row r="969" spans="15:38">
      <c r="O969" t="s">
        <v>24</v>
      </c>
      <c r="P969" t="s">
        <v>43</v>
      </c>
      <c r="Q969" t="s">
        <v>20</v>
      </c>
      <c r="R969" t="s">
        <v>54</v>
      </c>
      <c r="S969">
        <v>2025.12</v>
      </c>
      <c r="T969">
        <v>580</v>
      </c>
      <c r="U969">
        <v>0</v>
      </c>
      <c r="V969">
        <v>0</v>
      </c>
      <c r="AA969" s="29" t="s">
        <v>43</v>
      </c>
      <c r="AB969">
        <v>31200</v>
      </c>
      <c r="AC969">
        <v>110</v>
      </c>
      <c r="AD969">
        <v>3</v>
      </c>
      <c r="AE969">
        <v>133.93</v>
      </c>
      <c r="AF969">
        <v>133.93</v>
      </c>
      <c r="AG969" s="29" t="s">
        <v>1370</v>
      </c>
      <c r="AH969" s="29" t="s">
        <v>1413</v>
      </c>
      <c r="AI969" s="29" t="s">
        <v>1414</v>
      </c>
      <c r="AJ969" s="29"/>
      <c r="AL969" s="29" t="s">
        <v>1371</v>
      </c>
    </row>
    <row r="970" spans="15:38">
      <c r="O970" t="s">
        <v>24</v>
      </c>
      <c r="P970" t="s">
        <v>43</v>
      </c>
      <c r="Q970" t="s">
        <v>20</v>
      </c>
      <c r="R970" t="s">
        <v>64</v>
      </c>
      <c r="S970">
        <v>2025.03</v>
      </c>
      <c r="T970">
        <v>1020.04</v>
      </c>
      <c r="U970">
        <v>0</v>
      </c>
      <c r="V970">
        <v>1020.04</v>
      </c>
      <c r="AA970" s="29" t="s">
        <v>43</v>
      </c>
      <c r="AB970">
        <v>31200</v>
      </c>
      <c r="AC970">
        <v>110</v>
      </c>
      <c r="AD970">
        <v>3</v>
      </c>
      <c r="AE970">
        <v>0</v>
      </c>
      <c r="AF970">
        <v>0</v>
      </c>
      <c r="AG970" s="29" t="s">
        <v>1370</v>
      </c>
      <c r="AH970" s="29" t="s">
        <v>1372</v>
      </c>
      <c r="AI970" s="29" t="s">
        <v>1415</v>
      </c>
      <c r="AJ970" s="29"/>
      <c r="AL970" s="29" t="s">
        <v>1371</v>
      </c>
    </row>
    <row r="971" spans="15:38">
      <c r="O971" t="s">
        <v>24</v>
      </c>
      <c r="P971" t="s">
        <v>43</v>
      </c>
      <c r="Q971" t="s">
        <v>20</v>
      </c>
      <c r="R971" t="s">
        <v>64</v>
      </c>
      <c r="S971">
        <v>2025.08</v>
      </c>
      <c r="T971">
        <v>1020.4</v>
      </c>
      <c r="U971">
        <v>0</v>
      </c>
      <c r="V971">
        <v>1020.04</v>
      </c>
      <c r="AA971" s="29" t="s">
        <v>43</v>
      </c>
      <c r="AB971">
        <v>31200</v>
      </c>
      <c r="AC971">
        <v>110</v>
      </c>
      <c r="AD971">
        <v>3</v>
      </c>
      <c r="AE971">
        <v>0</v>
      </c>
      <c r="AF971">
        <v>0</v>
      </c>
      <c r="AG971" s="29" t="s">
        <v>1370</v>
      </c>
      <c r="AH971" s="29" t="s">
        <v>1372</v>
      </c>
      <c r="AI971" s="29" t="s">
        <v>1416</v>
      </c>
      <c r="AJ971" s="29"/>
      <c r="AL971" s="29" t="s">
        <v>1371</v>
      </c>
    </row>
    <row r="972" spans="15:38">
      <c r="O972" t="s">
        <v>24</v>
      </c>
      <c r="P972" t="s">
        <v>43</v>
      </c>
      <c r="Q972" t="s">
        <v>20</v>
      </c>
      <c r="R972" t="s">
        <v>64</v>
      </c>
      <c r="S972">
        <v>2025.1</v>
      </c>
      <c r="T972">
        <v>1020.4</v>
      </c>
      <c r="U972">
        <v>0</v>
      </c>
      <c r="V972">
        <v>1020.04</v>
      </c>
      <c r="AA972" s="29" t="s">
        <v>43</v>
      </c>
      <c r="AB972">
        <v>31200</v>
      </c>
      <c r="AC972">
        <v>110</v>
      </c>
      <c r="AD972">
        <v>3</v>
      </c>
      <c r="AE972">
        <v>345</v>
      </c>
      <c r="AF972">
        <v>345</v>
      </c>
      <c r="AG972" s="29" t="s">
        <v>1370</v>
      </c>
      <c r="AH972" s="29" t="s">
        <v>1417</v>
      </c>
      <c r="AI972" s="29" t="s">
        <v>1418</v>
      </c>
      <c r="AJ972" s="29"/>
      <c r="AL972" s="29" t="s">
        <v>1371</v>
      </c>
    </row>
    <row r="973" spans="15:38">
      <c r="O973" t="s">
        <v>24</v>
      </c>
      <c r="P973" t="s">
        <v>43</v>
      </c>
      <c r="Q973" t="s">
        <v>20</v>
      </c>
      <c r="R973" t="s">
        <v>64</v>
      </c>
      <c r="S973">
        <v>2025.11</v>
      </c>
      <c r="T973">
        <v>1020.4</v>
      </c>
      <c r="U973">
        <v>0</v>
      </c>
      <c r="V973">
        <v>1020.04</v>
      </c>
      <c r="AA973" s="29" t="s">
        <v>43</v>
      </c>
      <c r="AB973">
        <v>31200</v>
      </c>
      <c r="AC973">
        <v>110</v>
      </c>
      <c r="AD973">
        <v>3</v>
      </c>
      <c r="AE973">
        <v>1303.7</v>
      </c>
      <c r="AF973">
        <v>1303.7</v>
      </c>
      <c r="AG973" s="29" t="s">
        <v>1370</v>
      </c>
      <c r="AH973" s="29" t="s">
        <v>1419</v>
      </c>
      <c r="AI973" s="29" t="s">
        <v>1420</v>
      </c>
      <c r="AJ973" s="29"/>
      <c r="AL973" s="29" t="s">
        <v>1371</v>
      </c>
    </row>
    <row r="974" spans="15:38">
      <c r="O974" t="s">
        <v>24</v>
      </c>
      <c r="P974" t="s">
        <v>43</v>
      </c>
      <c r="Q974" t="s">
        <v>20</v>
      </c>
      <c r="R974" t="s">
        <v>64</v>
      </c>
      <c r="S974">
        <v>2025.12</v>
      </c>
      <c r="T974">
        <v>1020.4</v>
      </c>
      <c r="U974">
        <v>0</v>
      </c>
      <c r="V974">
        <v>1020.04</v>
      </c>
      <c r="AA974" s="29" t="s">
        <v>43</v>
      </c>
      <c r="AB974">
        <v>31200</v>
      </c>
      <c r="AC974">
        <v>110</v>
      </c>
      <c r="AD974">
        <v>3</v>
      </c>
      <c r="AE974">
        <v>0</v>
      </c>
      <c r="AF974">
        <v>0</v>
      </c>
      <c r="AG974" s="29" t="s">
        <v>1370</v>
      </c>
      <c r="AH974" s="29" t="s">
        <v>1372</v>
      </c>
      <c r="AI974" s="29" t="s">
        <v>1421</v>
      </c>
      <c r="AJ974" s="29"/>
      <c r="AL974" s="29" t="s">
        <v>1371</v>
      </c>
    </row>
    <row r="975" spans="15:38">
      <c r="O975" t="s">
        <v>24</v>
      </c>
      <c r="P975" t="s">
        <v>43</v>
      </c>
      <c r="Q975" t="s">
        <v>20</v>
      </c>
      <c r="R975" t="s">
        <v>55</v>
      </c>
      <c r="S975">
        <v>2023.51</v>
      </c>
      <c r="T975">
        <v>78.55</v>
      </c>
      <c r="U975">
        <v>0</v>
      </c>
      <c r="V975">
        <v>0</v>
      </c>
      <c r="AA975" s="29" t="s">
        <v>43</v>
      </c>
      <c r="AB975">
        <v>31200</v>
      </c>
      <c r="AC975">
        <v>110</v>
      </c>
      <c r="AD975">
        <v>3</v>
      </c>
      <c r="AE975">
        <v>345</v>
      </c>
      <c r="AF975">
        <v>345</v>
      </c>
      <c r="AG975" s="29" t="s">
        <v>1370</v>
      </c>
      <c r="AH975" s="29" t="s">
        <v>1417</v>
      </c>
      <c r="AI975" s="29" t="s">
        <v>1418</v>
      </c>
      <c r="AJ975" s="29"/>
      <c r="AL975" s="29" t="s">
        <v>1371</v>
      </c>
    </row>
    <row r="976" spans="15:38">
      <c r="O976" t="s">
        <v>24</v>
      </c>
      <c r="P976" t="s">
        <v>43</v>
      </c>
      <c r="Q976" t="s">
        <v>20</v>
      </c>
      <c r="R976" t="s">
        <v>55</v>
      </c>
      <c r="S976">
        <v>2024.08</v>
      </c>
      <c r="T976">
        <v>78.55</v>
      </c>
      <c r="U976">
        <v>0</v>
      </c>
      <c r="V976">
        <v>0</v>
      </c>
      <c r="AA976" s="29" t="s">
        <v>43</v>
      </c>
      <c r="AB976">
        <v>31200</v>
      </c>
      <c r="AC976">
        <v>110</v>
      </c>
      <c r="AD976">
        <v>3</v>
      </c>
      <c r="AE976">
        <v>0</v>
      </c>
      <c r="AF976">
        <v>0</v>
      </c>
      <c r="AG976" s="29" t="s">
        <v>1370</v>
      </c>
      <c r="AH976" s="29" t="s">
        <v>1372</v>
      </c>
      <c r="AI976" s="29" t="s">
        <v>1422</v>
      </c>
      <c r="AJ976" s="29"/>
      <c r="AL976" s="29" t="s">
        <v>1371</v>
      </c>
    </row>
    <row r="977" spans="15:38">
      <c r="O977" t="s">
        <v>24</v>
      </c>
      <c r="P977" t="s">
        <v>43</v>
      </c>
      <c r="Q977" t="s">
        <v>20</v>
      </c>
      <c r="R977" t="s">
        <v>55</v>
      </c>
      <c r="S977">
        <v>2024.09</v>
      </c>
      <c r="T977">
        <v>78.55</v>
      </c>
      <c r="U977">
        <v>0</v>
      </c>
      <c r="V977">
        <v>0</v>
      </c>
      <c r="AA977" s="29" t="s">
        <v>43</v>
      </c>
      <c r="AB977">
        <v>31200</v>
      </c>
      <c r="AC977">
        <v>110</v>
      </c>
      <c r="AD977">
        <v>3</v>
      </c>
      <c r="AE977">
        <v>0</v>
      </c>
      <c r="AF977">
        <v>0</v>
      </c>
      <c r="AG977" s="29" t="s">
        <v>1370</v>
      </c>
      <c r="AH977" s="29" t="s">
        <v>1372</v>
      </c>
      <c r="AI977" s="29" t="s">
        <v>1423</v>
      </c>
      <c r="AJ977" s="29"/>
      <c r="AL977" s="29" t="s">
        <v>1371</v>
      </c>
    </row>
    <row r="978" spans="15:38">
      <c r="O978" t="s">
        <v>24</v>
      </c>
      <c r="P978" t="s">
        <v>43</v>
      </c>
      <c r="Q978" t="s">
        <v>20</v>
      </c>
      <c r="R978" t="s">
        <v>55</v>
      </c>
      <c r="S978">
        <v>2024.1</v>
      </c>
      <c r="T978">
        <v>78.55</v>
      </c>
      <c r="U978">
        <v>0</v>
      </c>
      <c r="V978">
        <v>0</v>
      </c>
      <c r="AA978" s="29" t="s">
        <v>43</v>
      </c>
      <c r="AB978">
        <v>31200</v>
      </c>
      <c r="AC978">
        <v>110</v>
      </c>
      <c r="AD978">
        <v>3</v>
      </c>
      <c r="AE978">
        <v>0</v>
      </c>
      <c r="AF978">
        <v>0</v>
      </c>
      <c r="AG978" s="29" t="s">
        <v>1370</v>
      </c>
      <c r="AH978" s="29" t="s">
        <v>1372</v>
      </c>
      <c r="AI978" s="29" t="s">
        <v>1424</v>
      </c>
      <c r="AJ978" s="29"/>
      <c r="AL978" s="29" t="s">
        <v>1371</v>
      </c>
    </row>
    <row r="979" spans="15:38">
      <c r="O979" t="s">
        <v>24</v>
      </c>
      <c r="P979" t="s">
        <v>43</v>
      </c>
      <c r="Q979" t="s">
        <v>20</v>
      </c>
      <c r="R979" t="s">
        <v>55</v>
      </c>
      <c r="S979">
        <v>2024.11</v>
      </c>
      <c r="T979">
        <v>78.55</v>
      </c>
      <c r="U979">
        <v>0</v>
      </c>
      <c r="V979">
        <v>0</v>
      </c>
      <c r="AA979" s="29" t="s">
        <v>43</v>
      </c>
      <c r="AB979">
        <v>31200</v>
      </c>
      <c r="AC979">
        <v>110</v>
      </c>
      <c r="AD979">
        <v>3</v>
      </c>
      <c r="AE979">
        <v>5704.75</v>
      </c>
      <c r="AF979">
        <v>5704.75</v>
      </c>
      <c r="AG979" s="29" t="s">
        <v>1370</v>
      </c>
      <c r="AH979" s="29" t="s">
        <v>1425</v>
      </c>
      <c r="AI979" s="29" t="s">
        <v>1426</v>
      </c>
      <c r="AJ979" s="29"/>
      <c r="AL979" s="29" t="s">
        <v>1371</v>
      </c>
    </row>
    <row r="980" spans="15:38">
      <c r="O980" t="s">
        <v>24</v>
      </c>
      <c r="P980" t="s">
        <v>43</v>
      </c>
      <c r="Q980" t="s">
        <v>20</v>
      </c>
      <c r="R980" t="s">
        <v>55</v>
      </c>
      <c r="S980">
        <v>2024.12</v>
      </c>
      <c r="T980">
        <v>78.55</v>
      </c>
      <c r="U980">
        <v>0</v>
      </c>
      <c r="V980">
        <v>0</v>
      </c>
      <c r="AA980" s="29" t="s">
        <v>43</v>
      </c>
      <c r="AB980">
        <v>31200</v>
      </c>
      <c r="AC980">
        <v>110</v>
      </c>
      <c r="AD980">
        <v>3</v>
      </c>
      <c r="AE980">
        <v>0</v>
      </c>
      <c r="AF980">
        <v>0</v>
      </c>
      <c r="AG980" s="29" t="s">
        <v>1370</v>
      </c>
      <c r="AH980" s="29" t="s">
        <v>1372</v>
      </c>
      <c r="AI980" s="29" t="s">
        <v>1427</v>
      </c>
      <c r="AJ980" s="29"/>
      <c r="AL980" s="29" t="s">
        <v>1371</v>
      </c>
    </row>
    <row r="981" spans="15:38">
      <c r="O981" t="s">
        <v>24</v>
      </c>
      <c r="P981" t="s">
        <v>43</v>
      </c>
      <c r="Q981" t="s">
        <v>20</v>
      </c>
      <c r="R981" t="s">
        <v>55</v>
      </c>
      <c r="S981">
        <v>2024.14</v>
      </c>
      <c r="T981">
        <v>78.55</v>
      </c>
      <c r="U981">
        <v>0</v>
      </c>
      <c r="V981">
        <v>0</v>
      </c>
      <c r="AA981" s="29" t="s">
        <v>43</v>
      </c>
      <c r="AB981">
        <v>31200</v>
      </c>
      <c r="AC981">
        <v>110</v>
      </c>
      <c r="AD981">
        <v>3</v>
      </c>
      <c r="AE981">
        <v>43.28</v>
      </c>
      <c r="AF981">
        <v>43.28</v>
      </c>
      <c r="AG981" s="29" t="s">
        <v>1370</v>
      </c>
      <c r="AH981" s="29" t="s">
        <v>1428</v>
      </c>
      <c r="AI981" s="29" t="s">
        <v>1429</v>
      </c>
      <c r="AJ981" s="29"/>
      <c r="AL981" s="29" t="s">
        <v>1371</v>
      </c>
    </row>
    <row r="982" spans="15:38">
      <c r="O982" t="s">
        <v>24</v>
      </c>
      <c r="P982" t="s">
        <v>43</v>
      </c>
      <c r="Q982" t="s">
        <v>20</v>
      </c>
      <c r="R982" t="s">
        <v>55</v>
      </c>
      <c r="S982">
        <v>2024.17</v>
      </c>
      <c r="T982">
        <v>78.55</v>
      </c>
      <c r="U982">
        <v>0</v>
      </c>
      <c r="V982">
        <v>0</v>
      </c>
      <c r="AA982" s="29" t="s">
        <v>43</v>
      </c>
      <c r="AB982">
        <v>31200</v>
      </c>
      <c r="AC982">
        <v>110</v>
      </c>
      <c r="AD982">
        <v>3</v>
      </c>
      <c r="AE982">
        <v>4138.71</v>
      </c>
      <c r="AF982">
        <v>4138.71</v>
      </c>
      <c r="AG982" s="29" t="s">
        <v>1370</v>
      </c>
      <c r="AH982" s="29" t="s">
        <v>1430</v>
      </c>
      <c r="AI982" s="29" t="s">
        <v>1431</v>
      </c>
      <c r="AJ982" s="29"/>
      <c r="AL982" s="29" t="s">
        <v>1371</v>
      </c>
    </row>
    <row r="983" spans="15:38">
      <c r="O983" t="s">
        <v>24</v>
      </c>
      <c r="P983" t="s">
        <v>43</v>
      </c>
      <c r="Q983" t="s">
        <v>20</v>
      </c>
      <c r="R983" t="s">
        <v>55</v>
      </c>
      <c r="S983">
        <v>2024.18</v>
      </c>
      <c r="T983">
        <v>78.55</v>
      </c>
      <c r="U983">
        <v>0</v>
      </c>
      <c r="V983">
        <v>0</v>
      </c>
      <c r="AA983" s="29" t="s">
        <v>43</v>
      </c>
      <c r="AB983">
        <v>31200</v>
      </c>
      <c r="AC983">
        <v>110</v>
      </c>
      <c r="AD983">
        <v>3</v>
      </c>
      <c r="AE983">
        <v>0</v>
      </c>
      <c r="AF983">
        <v>0</v>
      </c>
      <c r="AG983" s="29" t="s">
        <v>1370</v>
      </c>
      <c r="AH983" s="29" t="s">
        <v>1372</v>
      </c>
      <c r="AI983" s="29" t="s">
        <v>1432</v>
      </c>
      <c r="AJ983" s="29"/>
      <c r="AL983" s="29" t="s">
        <v>1371</v>
      </c>
    </row>
    <row r="984" spans="15:38">
      <c r="O984" t="s">
        <v>24</v>
      </c>
      <c r="P984" t="s">
        <v>43</v>
      </c>
      <c r="Q984" t="s">
        <v>20</v>
      </c>
      <c r="R984" t="s">
        <v>55</v>
      </c>
      <c r="S984">
        <v>2024.19</v>
      </c>
      <c r="T984">
        <v>78.55</v>
      </c>
      <c r="U984">
        <v>0</v>
      </c>
      <c r="V984">
        <v>0</v>
      </c>
      <c r="AA984" s="29" t="s">
        <v>43</v>
      </c>
      <c r="AB984">
        <v>31200</v>
      </c>
      <c r="AC984">
        <v>110</v>
      </c>
      <c r="AD984">
        <v>3</v>
      </c>
      <c r="AE984">
        <v>8277.42</v>
      </c>
      <c r="AF984">
        <v>8277.42</v>
      </c>
      <c r="AG984" s="29" t="s">
        <v>1370</v>
      </c>
      <c r="AH984" s="29" t="s">
        <v>1433</v>
      </c>
      <c r="AI984" s="29" t="s">
        <v>1434</v>
      </c>
      <c r="AJ984" s="29"/>
      <c r="AL984" s="29" t="s">
        <v>1371</v>
      </c>
    </row>
    <row r="985" spans="15:38">
      <c r="O985" t="s">
        <v>24</v>
      </c>
      <c r="P985" t="s">
        <v>43</v>
      </c>
      <c r="Q985" t="s">
        <v>20</v>
      </c>
      <c r="R985" t="s">
        <v>55</v>
      </c>
      <c r="S985">
        <v>2024.2</v>
      </c>
      <c r="T985">
        <v>78.55</v>
      </c>
      <c r="U985">
        <v>0</v>
      </c>
      <c r="V985">
        <v>0</v>
      </c>
      <c r="AA985" s="29" t="s">
        <v>43</v>
      </c>
      <c r="AB985">
        <v>31200</v>
      </c>
      <c r="AC985">
        <v>110</v>
      </c>
      <c r="AD985">
        <v>3</v>
      </c>
      <c r="AE985">
        <v>2069.36</v>
      </c>
      <c r="AF985">
        <v>2069.36</v>
      </c>
      <c r="AG985" s="29" t="s">
        <v>1370</v>
      </c>
      <c r="AH985" s="29" t="s">
        <v>1435</v>
      </c>
      <c r="AI985" s="29" t="s">
        <v>1436</v>
      </c>
      <c r="AJ985" s="29"/>
      <c r="AL985" s="29" t="s">
        <v>1371</v>
      </c>
    </row>
    <row r="986" spans="15:38">
      <c r="O986" t="s">
        <v>24</v>
      </c>
      <c r="P986" t="s">
        <v>43</v>
      </c>
      <c r="Q986" t="s">
        <v>20</v>
      </c>
      <c r="R986" t="s">
        <v>55</v>
      </c>
      <c r="S986">
        <v>2024.21</v>
      </c>
      <c r="T986">
        <v>78.55</v>
      </c>
      <c r="U986">
        <v>0</v>
      </c>
      <c r="V986">
        <v>0</v>
      </c>
      <c r="AA986" s="29" t="s">
        <v>43</v>
      </c>
      <c r="AB986">
        <v>31200</v>
      </c>
      <c r="AC986">
        <v>110</v>
      </c>
      <c r="AD986">
        <v>3</v>
      </c>
      <c r="AE986">
        <v>2069.36</v>
      </c>
      <c r="AF986">
        <v>2069.36</v>
      </c>
      <c r="AG986" s="29" t="s">
        <v>1370</v>
      </c>
      <c r="AH986" s="29" t="s">
        <v>1435</v>
      </c>
      <c r="AI986" s="29" t="s">
        <v>1436</v>
      </c>
      <c r="AJ986" s="29"/>
      <c r="AL986" s="29" t="s">
        <v>1371</v>
      </c>
    </row>
    <row r="987" spans="15:38">
      <c r="O987" t="s">
        <v>24</v>
      </c>
      <c r="P987" t="s">
        <v>43</v>
      </c>
      <c r="Q987" t="s">
        <v>20</v>
      </c>
      <c r="R987" t="s">
        <v>55</v>
      </c>
      <c r="S987">
        <v>2024.28</v>
      </c>
      <c r="T987">
        <v>78.55</v>
      </c>
      <c r="U987">
        <v>0</v>
      </c>
      <c r="V987">
        <v>0</v>
      </c>
      <c r="AA987" s="29" t="s">
        <v>43</v>
      </c>
      <c r="AB987">
        <v>31200</v>
      </c>
      <c r="AC987">
        <v>110</v>
      </c>
      <c r="AD987">
        <v>3</v>
      </c>
      <c r="AE987">
        <v>2131.0500000000002</v>
      </c>
      <c r="AF987">
        <v>2131.0500000000002</v>
      </c>
      <c r="AG987" s="29" t="s">
        <v>1370</v>
      </c>
      <c r="AH987" s="29" t="s">
        <v>1437</v>
      </c>
      <c r="AI987" s="29" t="s">
        <v>1438</v>
      </c>
      <c r="AJ987" s="29"/>
      <c r="AL987" s="29" t="s">
        <v>1371</v>
      </c>
    </row>
    <row r="988" spans="15:38">
      <c r="O988" t="s">
        <v>24</v>
      </c>
      <c r="P988" t="s">
        <v>43</v>
      </c>
      <c r="Q988" t="s">
        <v>20</v>
      </c>
      <c r="R988" t="s">
        <v>55</v>
      </c>
      <c r="S988">
        <v>2024.38</v>
      </c>
      <c r="T988">
        <v>78.55</v>
      </c>
      <c r="U988">
        <v>0</v>
      </c>
      <c r="V988">
        <v>0</v>
      </c>
      <c r="AA988" s="29" t="s">
        <v>43</v>
      </c>
      <c r="AB988">
        <v>31200</v>
      </c>
      <c r="AC988">
        <v>110</v>
      </c>
      <c r="AD988">
        <v>3</v>
      </c>
      <c r="AE988">
        <v>2131.0500000000002</v>
      </c>
      <c r="AF988">
        <v>2131.0500000000002</v>
      </c>
      <c r="AG988" s="29" t="s">
        <v>1370</v>
      </c>
      <c r="AH988" s="29" t="s">
        <v>1437</v>
      </c>
      <c r="AI988" s="29" t="s">
        <v>1438</v>
      </c>
      <c r="AJ988" s="29"/>
      <c r="AL988" s="29" t="s">
        <v>1371</v>
      </c>
    </row>
    <row r="989" spans="15:38">
      <c r="O989" t="s">
        <v>24</v>
      </c>
      <c r="P989" t="s">
        <v>43</v>
      </c>
      <c r="Q989" t="s">
        <v>20</v>
      </c>
      <c r="R989" t="s">
        <v>55</v>
      </c>
      <c r="S989">
        <v>2024.39</v>
      </c>
      <c r="T989">
        <v>78.55</v>
      </c>
      <c r="U989">
        <v>0</v>
      </c>
      <c r="V989">
        <v>0</v>
      </c>
      <c r="AA989" s="29" t="s">
        <v>43</v>
      </c>
      <c r="AB989">
        <v>31200</v>
      </c>
      <c r="AC989">
        <v>110</v>
      </c>
      <c r="AD989">
        <v>3</v>
      </c>
      <c r="AE989">
        <v>4262.1000000000004</v>
      </c>
      <c r="AF989">
        <v>4262.1000000000004</v>
      </c>
      <c r="AG989" s="29" t="s">
        <v>1370</v>
      </c>
      <c r="AH989" s="29" t="s">
        <v>1439</v>
      </c>
      <c r="AI989" s="29" t="s">
        <v>1440</v>
      </c>
      <c r="AJ989" s="29"/>
      <c r="AL989" s="29" t="s">
        <v>1371</v>
      </c>
    </row>
    <row r="990" spans="15:38">
      <c r="O990" t="s">
        <v>24</v>
      </c>
      <c r="P990" t="s">
        <v>43</v>
      </c>
      <c r="Q990" t="s">
        <v>20</v>
      </c>
      <c r="R990" t="s">
        <v>55</v>
      </c>
      <c r="S990">
        <v>2024.41</v>
      </c>
      <c r="T990">
        <v>78.55</v>
      </c>
      <c r="U990">
        <v>0</v>
      </c>
      <c r="V990">
        <v>0</v>
      </c>
      <c r="AA990" s="29" t="s">
        <v>43</v>
      </c>
      <c r="AB990">
        <v>31200</v>
      </c>
      <c r="AC990">
        <v>110</v>
      </c>
      <c r="AD990">
        <v>3</v>
      </c>
      <c r="AE990">
        <v>1065.53</v>
      </c>
      <c r="AF990">
        <v>1065.53</v>
      </c>
      <c r="AG990" s="29" t="s">
        <v>1370</v>
      </c>
      <c r="AH990" s="29" t="s">
        <v>1441</v>
      </c>
      <c r="AI990" s="29" t="s">
        <v>1442</v>
      </c>
      <c r="AJ990" s="29"/>
      <c r="AL990" s="29" t="s">
        <v>1371</v>
      </c>
    </row>
    <row r="991" spans="15:38">
      <c r="O991" t="s">
        <v>24</v>
      </c>
      <c r="P991" t="s">
        <v>43</v>
      </c>
      <c r="Q991" t="s">
        <v>20</v>
      </c>
      <c r="R991" t="s">
        <v>55</v>
      </c>
      <c r="S991">
        <v>2024.43</v>
      </c>
      <c r="T991">
        <v>78.55</v>
      </c>
      <c r="U991">
        <v>0</v>
      </c>
      <c r="V991">
        <v>0</v>
      </c>
      <c r="AA991" s="29" t="s">
        <v>43</v>
      </c>
      <c r="AB991">
        <v>31200</v>
      </c>
      <c r="AC991">
        <v>110</v>
      </c>
      <c r="AD991">
        <v>3</v>
      </c>
      <c r="AE991">
        <v>4138.71</v>
      </c>
      <c r="AF991">
        <v>4138.71</v>
      </c>
      <c r="AG991" s="29" t="s">
        <v>1370</v>
      </c>
      <c r="AH991" s="29" t="s">
        <v>1430</v>
      </c>
      <c r="AI991" s="29" t="s">
        <v>1431</v>
      </c>
      <c r="AJ991" s="29"/>
      <c r="AL991" s="29" t="s">
        <v>1371</v>
      </c>
    </row>
    <row r="992" spans="15:38">
      <c r="O992" t="s">
        <v>24</v>
      </c>
      <c r="P992" t="s">
        <v>43</v>
      </c>
      <c r="Q992" t="s">
        <v>20</v>
      </c>
      <c r="R992" t="s">
        <v>55</v>
      </c>
      <c r="S992">
        <v>2024.44</v>
      </c>
      <c r="T992">
        <v>78.55</v>
      </c>
      <c r="U992">
        <v>0</v>
      </c>
      <c r="V992">
        <v>0</v>
      </c>
      <c r="AA992" s="29" t="s">
        <v>43</v>
      </c>
      <c r="AB992">
        <v>31200</v>
      </c>
      <c r="AC992">
        <v>110</v>
      </c>
      <c r="AD992">
        <v>3</v>
      </c>
      <c r="AE992">
        <v>1065.53</v>
      </c>
      <c r="AF992">
        <v>1065.53</v>
      </c>
      <c r="AG992" s="29" t="s">
        <v>1370</v>
      </c>
      <c r="AH992" s="29" t="s">
        <v>1441</v>
      </c>
      <c r="AI992" s="29" t="s">
        <v>1442</v>
      </c>
      <c r="AJ992" s="29"/>
      <c r="AL992" s="29" t="s">
        <v>1371</v>
      </c>
    </row>
    <row r="993" spans="15:38">
      <c r="O993" t="s">
        <v>24</v>
      </c>
      <c r="P993" t="s">
        <v>43</v>
      </c>
      <c r="Q993" t="s">
        <v>20</v>
      </c>
      <c r="R993" t="s">
        <v>55</v>
      </c>
      <c r="S993">
        <v>2024.45</v>
      </c>
      <c r="T993">
        <v>78.55</v>
      </c>
      <c r="U993">
        <v>0</v>
      </c>
      <c r="V993">
        <v>0</v>
      </c>
      <c r="AA993" s="29" t="s">
        <v>43</v>
      </c>
      <c r="AB993">
        <v>31200</v>
      </c>
      <c r="AC993">
        <v>110</v>
      </c>
      <c r="AD993">
        <v>4</v>
      </c>
      <c r="AE993">
        <v>194.27</v>
      </c>
      <c r="AF993">
        <v>194.27</v>
      </c>
      <c r="AG993" s="29" t="s">
        <v>1370</v>
      </c>
      <c r="AH993" s="29" t="s">
        <v>1443</v>
      </c>
      <c r="AI993" s="29" t="s">
        <v>1397</v>
      </c>
      <c r="AJ993" s="29" t="s">
        <v>1444</v>
      </c>
      <c r="AL993" s="29" t="s">
        <v>1371</v>
      </c>
    </row>
    <row r="994" spans="15:38">
      <c r="O994" t="s">
        <v>24</v>
      </c>
      <c r="P994" t="s">
        <v>43</v>
      </c>
      <c r="Q994" t="s">
        <v>20</v>
      </c>
      <c r="R994" t="s">
        <v>55</v>
      </c>
      <c r="S994">
        <v>2024.47</v>
      </c>
      <c r="T994">
        <v>78.55</v>
      </c>
      <c r="U994">
        <v>0</v>
      </c>
      <c r="V994">
        <v>0</v>
      </c>
      <c r="AA994" s="29" t="s">
        <v>43</v>
      </c>
      <c r="AB994">
        <v>31200</v>
      </c>
      <c r="AC994">
        <v>110</v>
      </c>
      <c r="AD994">
        <v>4</v>
      </c>
      <c r="AE994">
        <v>0.45</v>
      </c>
      <c r="AF994">
        <v>0.45</v>
      </c>
      <c r="AG994" s="29" t="s">
        <v>1370</v>
      </c>
      <c r="AH994" s="29" t="s">
        <v>1445</v>
      </c>
      <c r="AI994" s="29" t="s">
        <v>1397</v>
      </c>
      <c r="AJ994" s="29" t="s">
        <v>1446</v>
      </c>
      <c r="AL994" s="29" t="s">
        <v>1371</v>
      </c>
    </row>
    <row r="995" spans="15:38">
      <c r="O995" t="s">
        <v>24</v>
      </c>
      <c r="P995" t="s">
        <v>43</v>
      </c>
      <c r="Q995" t="s">
        <v>20</v>
      </c>
      <c r="R995" t="s">
        <v>55</v>
      </c>
      <c r="S995">
        <v>2024.48</v>
      </c>
      <c r="T995">
        <v>78.55</v>
      </c>
      <c r="U995">
        <v>0</v>
      </c>
      <c r="V995">
        <v>78.55</v>
      </c>
      <c r="AA995" s="29" t="s">
        <v>43</v>
      </c>
      <c r="AB995">
        <v>31200</v>
      </c>
      <c r="AC995">
        <v>110</v>
      </c>
      <c r="AD995">
        <v>4</v>
      </c>
      <c r="AE995">
        <v>0.15</v>
      </c>
      <c r="AF995">
        <v>0.15</v>
      </c>
      <c r="AG995" s="29" t="s">
        <v>1370</v>
      </c>
      <c r="AH995" s="29" t="s">
        <v>1447</v>
      </c>
      <c r="AI995" s="29" t="s">
        <v>1397</v>
      </c>
      <c r="AJ995" s="29" t="s">
        <v>1448</v>
      </c>
      <c r="AL995" s="29" t="s">
        <v>1371</v>
      </c>
    </row>
    <row r="996" spans="15:38">
      <c r="O996" t="s">
        <v>24</v>
      </c>
      <c r="P996" t="s">
        <v>43</v>
      </c>
      <c r="Q996" t="s">
        <v>20</v>
      </c>
      <c r="R996" t="s">
        <v>55</v>
      </c>
      <c r="S996">
        <v>2024.49</v>
      </c>
      <c r="T996">
        <v>78.55</v>
      </c>
      <c r="U996">
        <v>0</v>
      </c>
      <c r="V996">
        <v>78.55</v>
      </c>
      <c r="AA996" s="29" t="s">
        <v>43</v>
      </c>
      <c r="AB996">
        <v>31200</v>
      </c>
      <c r="AC996">
        <v>110</v>
      </c>
      <c r="AD996">
        <v>4</v>
      </c>
      <c r="AE996">
        <v>13.36</v>
      </c>
      <c r="AF996">
        <v>13.36</v>
      </c>
      <c r="AG996" s="29" t="s">
        <v>1370</v>
      </c>
      <c r="AH996" s="29" t="s">
        <v>1449</v>
      </c>
      <c r="AI996" s="29" t="s">
        <v>1397</v>
      </c>
      <c r="AJ996" s="29" t="s">
        <v>1450</v>
      </c>
      <c r="AL996" s="29" t="s">
        <v>1371</v>
      </c>
    </row>
    <row r="997" spans="15:38">
      <c r="O997" t="s">
        <v>24</v>
      </c>
      <c r="P997" t="s">
        <v>43</v>
      </c>
      <c r="Q997" t="s">
        <v>20</v>
      </c>
      <c r="R997" t="s">
        <v>55</v>
      </c>
      <c r="S997">
        <v>2025.03</v>
      </c>
      <c r="T997">
        <v>78.55</v>
      </c>
      <c r="U997">
        <v>0</v>
      </c>
      <c r="V997">
        <v>78.55</v>
      </c>
      <c r="AA997" s="29" t="s">
        <v>43</v>
      </c>
      <c r="AB997">
        <v>31200</v>
      </c>
      <c r="AC997">
        <v>110</v>
      </c>
      <c r="AD997">
        <v>4</v>
      </c>
      <c r="AE997">
        <v>9.7799999999999994</v>
      </c>
      <c r="AF997">
        <v>9.7799999999999994</v>
      </c>
      <c r="AG997" s="29" t="s">
        <v>1370</v>
      </c>
      <c r="AH997" s="29" t="s">
        <v>1451</v>
      </c>
      <c r="AI997" s="29" t="s">
        <v>1397</v>
      </c>
      <c r="AJ997" s="29" t="s">
        <v>1452</v>
      </c>
      <c r="AL997" s="29" t="s">
        <v>1371</v>
      </c>
    </row>
    <row r="998" spans="15:38">
      <c r="O998" t="s">
        <v>24</v>
      </c>
      <c r="P998" t="s">
        <v>43</v>
      </c>
      <c r="Q998" t="s">
        <v>20</v>
      </c>
      <c r="R998" t="s">
        <v>55</v>
      </c>
      <c r="S998">
        <v>2025.08</v>
      </c>
      <c r="T998">
        <v>78.55</v>
      </c>
      <c r="U998">
        <v>0</v>
      </c>
      <c r="V998">
        <v>78.55</v>
      </c>
      <c r="AA998" s="29" t="s">
        <v>43</v>
      </c>
      <c r="AB998">
        <v>31200</v>
      </c>
      <c r="AC998">
        <v>110</v>
      </c>
      <c r="AD998">
        <v>4</v>
      </c>
      <c r="AE998">
        <v>0.5</v>
      </c>
      <c r="AF998">
        <v>0.5</v>
      </c>
      <c r="AG998" s="29" t="s">
        <v>1370</v>
      </c>
      <c r="AH998" s="29" t="s">
        <v>1453</v>
      </c>
      <c r="AI998" s="29" t="s">
        <v>1397</v>
      </c>
      <c r="AJ998" s="29" t="s">
        <v>1454</v>
      </c>
      <c r="AL998" s="29" t="s">
        <v>1371</v>
      </c>
    </row>
    <row r="999" spans="15:38">
      <c r="O999" t="s">
        <v>24</v>
      </c>
      <c r="P999" t="s">
        <v>43</v>
      </c>
      <c r="Q999" t="s">
        <v>20</v>
      </c>
      <c r="R999" t="s">
        <v>55</v>
      </c>
      <c r="S999">
        <v>2025.1</v>
      </c>
      <c r="T999">
        <v>78.55</v>
      </c>
      <c r="U999">
        <v>0</v>
      </c>
      <c r="V999">
        <v>78.55</v>
      </c>
      <c r="AA999" s="29" t="s">
        <v>43</v>
      </c>
      <c r="AB999">
        <v>31200</v>
      </c>
      <c r="AC999">
        <v>110</v>
      </c>
      <c r="AD999">
        <v>4</v>
      </c>
      <c r="AE999">
        <v>0</v>
      </c>
      <c r="AF999">
        <v>0</v>
      </c>
      <c r="AG999" s="29" t="s">
        <v>1370</v>
      </c>
      <c r="AH999" s="29" t="s">
        <v>1372</v>
      </c>
      <c r="AI999" s="29" t="s">
        <v>1397</v>
      </c>
      <c r="AJ999" s="29" t="s">
        <v>1455</v>
      </c>
      <c r="AL999" s="29" t="s">
        <v>1371</v>
      </c>
    </row>
    <row r="1000" spans="15:38">
      <c r="O1000" t="s">
        <v>24</v>
      </c>
      <c r="P1000" t="s">
        <v>43</v>
      </c>
      <c r="Q1000" t="s">
        <v>20</v>
      </c>
      <c r="R1000" t="s">
        <v>55</v>
      </c>
      <c r="S1000">
        <v>2025.11</v>
      </c>
      <c r="T1000">
        <v>78.55</v>
      </c>
      <c r="U1000">
        <v>0</v>
      </c>
      <c r="V1000">
        <v>78.55</v>
      </c>
      <c r="AA1000" s="29" t="s">
        <v>43</v>
      </c>
      <c r="AB1000">
        <v>31200</v>
      </c>
      <c r="AC1000">
        <v>110</v>
      </c>
      <c r="AD1000">
        <v>4</v>
      </c>
      <c r="AE1000">
        <v>0.75</v>
      </c>
      <c r="AF1000">
        <v>0.75</v>
      </c>
      <c r="AG1000" s="29" t="s">
        <v>1370</v>
      </c>
      <c r="AH1000" s="29" t="s">
        <v>1456</v>
      </c>
      <c r="AI1000" s="29" t="s">
        <v>1397</v>
      </c>
      <c r="AJ1000" s="29" t="s">
        <v>1457</v>
      </c>
      <c r="AL1000" s="29" t="s">
        <v>1371</v>
      </c>
    </row>
    <row r="1001" spans="15:38">
      <c r="O1001" t="s">
        <v>24</v>
      </c>
      <c r="P1001" t="s">
        <v>43</v>
      </c>
      <c r="Q1001" t="s">
        <v>20</v>
      </c>
      <c r="R1001" t="s">
        <v>55</v>
      </c>
      <c r="S1001">
        <v>2025.12</v>
      </c>
      <c r="T1001">
        <v>78.55</v>
      </c>
      <c r="U1001">
        <v>0</v>
      </c>
      <c r="V1001">
        <v>78.55</v>
      </c>
      <c r="AA1001" s="29" t="s">
        <v>43</v>
      </c>
      <c r="AB1001">
        <v>31200</v>
      </c>
      <c r="AC1001">
        <v>110</v>
      </c>
      <c r="AD1001">
        <v>4</v>
      </c>
      <c r="AE1001">
        <v>0.45</v>
      </c>
      <c r="AF1001">
        <v>0.45</v>
      </c>
      <c r="AG1001" s="29" t="s">
        <v>1370</v>
      </c>
      <c r="AH1001" s="29" t="s">
        <v>1445</v>
      </c>
      <c r="AI1001" s="29" t="s">
        <v>1397</v>
      </c>
      <c r="AJ1001" s="29" t="s">
        <v>1458</v>
      </c>
      <c r="AL1001" s="29" t="s">
        <v>1371</v>
      </c>
    </row>
    <row r="1002" spans="15:38">
      <c r="O1002" t="s">
        <v>24</v>
      </c>
      <c r="P1002" t="s">
        <v>43</v>
      </c>
      <c r="Q1002" t="s">
        <v>20</v>
      </c>
      <c r="R1002" t="s">
        <v>56</v>
      </c>
      <c r="S1002">
        <v>2024.45</v>
      </c>
      <c r="T1002">
        <v>686</v>
      </c>
      <c r="U1002">
        <v>0</v>
      </c>
      <c r="V1002">
        <v>0</v>
      </c>
      <c r="AA1002" s="29" t="s">
        <v>43</v>
      </c>
      <c r="AB1002">
        <v>31200</v>
      </c>
      <c r="AC1002">
        <v>110</v>
      </c>
      <c r="AD1002">
        <v>4</v>
      </c>
      <c r="AE1002">
        <v>634.58000000000004</v>
      </c>
      <c r="AF1002">
        <v>634.58000000000004</v>
      </c>
      <c r="AG1002" s="29" t="s">
        <v>1370</v>
      </c>
      <c r="AH1002" s="29" t="s">
        <v>1459</v>
      </c>
      <c r="AI1002" s="29" t="s">
        <v>1397</v>
      </c>
      <c r="AJ1002" s="29" t="s">
        <v>1460</v>
      </c>
      <c r="AL1002" s="29" t="s">
        <v>1371</v>
      </c>
    </row>
    <row r="1003" spans="15:38">
      <c r="O1003" t="s">
        <v>24</v>
      </c>
      <c r="P1003" t="s">
        <v>43</v>
      </c>
      <c r="Q1003" t="s">
        <v>20</v>
      </c>
      <c r="R1003" t="s">
        <v>56</v>
      </c>
      <c r="S1003">
        <v>2024.47</v>
      </c>
      <c r="T1003">
        <v>686</v>
      </c>
      <c r="U1003">
        <v>0</v>
      </c>
      <c r="V1003">
        <v>0</v>
      </c>
      <c r="AA1003" s="29" t="s">
        <v>43</v>
      </c>
      <c r="AB1003">
        <v>31200</v>
      </c>
      <c r="AC1003">
        <v>110</v>
      </c>
      <c r="AD1003">
        <v>4</v>
      </c>
      <c r="AE1003">
        <v>0.4</v>
      </c>
      <c r="AF1003">
        <v>0.4</v>
      </c>
      <c r="AG1003" s="29" t="s">
        <v>1370</v>
      </c>
      <c r="AH1003" s="29" t="s">
        <v>1461</v>
      </c>
      <c r="AI1003" s="29" t="s">
        <v>1397</v>
      </c>
      <c r="AJ1003" s="29" t="s">
        <v>1462</v>
      </c>
      <c r="AL1003" s="29" t="s">
        <v>1371</v>
      </c>
    </row>
    <row r="1004" spans="15:38">
      <c r="O1004" t="s">
        <v>24</v>
      </c>
      <c r="P1004" t="s">
        <v>43</v>
      </c>
      <c r="Q1004" t="s">
        <v>20</v>
      </c>
      <c r="R1004" t="s">
        <v>56</v>
      </c>
      <c r="S1004">
        <v>2024.48</v>
      </c>
      <c r="T1004">
        <v>686</v>
      </c>
      <c r="U1004">
        <v>0</v>
      </c>
      <c r="V1004">
        <v>686</v>
      </c>
      <c r="AA1004" s="29" t="s">
        <v>43</v>
      </c>
      <c r="AB1004">
        <v>31200</v>
      </c>
      <c r="AC1004">
        <v>110</v>
      </c>
      <c r="AD1004">
        <v>4</v>
      </c>
      <c r="AE1004">
        <v>1.7</v>
      </c>
      <c r="AF1004">
        <v>1.7</v>
      </c>
      <c r="AG1004" s="29" t="s">
        <v>1370</v>
      </c>
      <c r="AH1004" s="29" t="s">
        <v>1463</v>
      </c>
      <c r="AI1004" s="29" t="s">
        <v>1397</v>
      </c>
      <c r="AJ1004" s="29" t="s">
        <v>1464</v>
      </c>
      <c r="AL1004" s="29" t="s">
        <v>1371</v>
      </c>
    </row>
    <row r="1005" spans="15:38">
      <c r="O1005" t="s">
        <v>24</v>
      </c>
      <c r="P1005" t="s">
        <v>43</v>
      </c>
      <c r="Q1005" t="s">
        <v>20</v>
      </c>
      <c r="R1005" t="s">
        <v>56</v>
      </c>
      <c r="S1005">
        <v>2024.49</v>
      </c>
      <c r="T1005">
        <v>686</v>
      </c>
      <c r="U1005">
        <v>0</v>
      </c>
      <c r="V1005">
        <v>686</v>
      </c>
      <c r="AA1005" s="29" t="s">
        <v>43</v>
      </c>
      <c r="AB1005">
        <v>31200</v>
      </c>
      <c r="AC1005">
        <v>110</v>
      </c>
      <c r="AD1005">
        <v>4</v>
      </c>
      <c r="AE1005">
        <v>1586.44</v>
      </c>
      <c r="AF1005">
        <v>1586.44</v>
      </c>
      <c r="AG1005" s="29" t="s">
        <v>1370</v>
      </c>
      <c r="AH1005" s="29" t="s">
        <v>1465</v>
      </c>
      <c r="AI1005" s="29" t="s">
        <v>1397</v>
      </c>
      <c r="AJ1005" s="29" t="s">
        <v>1466</v>
      </c>
      <c r="AL1005" s="29" t="s">
        <v>1371</v>
      </c>
    </row>
    <row r="1006" spans="15:38">
      <c r="O1006" t="s">
        <v>24</v>
      </c>
      <c r="P1006" t="s">
        <v>43</v>
      </c>
      <c r="Q1006" t="s">
        <v>20</v>
      </c>
      <c r="R1006" t="s">
        <v>56</v>
      </c>
      <c r="S1006">
        <v>2025.03</v>
      </c>
      <c r="T1006">
        <v>1029</v>
      </c>
      <c r="U1006">
        <v>0</v>
      </c>
      <c r="V1006">
        <v>1029</v>
      </c>
      <c r="AA1006" s="29" t="s">
        <v>43</v>
      </c>
      <c r="AB1006">
        <v>31200</v>
      </c>
      <c r="AC1006">
        <v>110</v>
      </c>
      <c r="AD1006">
        <v>4</v>
      </c>
      <c r="AE1006">
        <v>77.900000000000006</v>
      </c>
      <c r="AF1006">
        <v>77.900000000000006</v>
      </c>
      <c r="AG1006" s="29" t="s">
        <v>1370</v>
      </c>
      <c r="AH1006" s="29" t="s">
        <v>1467</v>
      </c>
      <c r="AI1006" s="29" t="s">
        <v>1397</v>
      </c>
      <c r="AJ1006" s="29" t="s">
        <v>1468</v>
      </c>
      <c r="AL1006" s="29" t="s">
        <v>1371</v>
      </c>
    </row>
    <row r="1007" spans="15:38">
      <c r="O1007" t="s">
        <v>24</v>
      </c>
      <c r="P1007" t="s">
        <v>43</v>
      </c>
      <c r="Q1007" t="s">
        <v>20</v>
      </c>
      <c r="R1007" t="s">
        <v>56</v>
      </c>
      <c r="S1007">
        <v>2025.08</v>
      </c>
      <c r="T1007">
        <v>1029</v>
      </c>
      <c r="U1007">
        <v>0</v>
      </c>
      <c r="V1007">
        <v>1029</v>
      </c>
      <c r="AA1007" s="29" t="s">
        <v>43</v>
      </c>
      <c r="AB1007">
        <v>31200</v>
      </c>
      <c r="AC1007">
        <v>110</v>
      </c>
      <c r="AD1007">
        <v>4</v>
      </c>
      <c r="AE1007">
        <v>314.58</v>
      </c>
      <c r="AF1007">
        <v>314.58</v>
      </c>
      <c r="AG1007" s="29" t="s">
        <v>1370</v>
      </c>
      <c r="AH1007" s="29" t="s">
        <v>1469</v>
      </c>
      <c r="AI1007" s="29" t="s">
        <v>1397</v>
      </c>
      <c r="AJ1007" s="29" t="s">
        <v>1470</v>
      </c>
      <c r="AL1007" s="29" t="s">
        <v>1371</v>
      </c>
    </row>
    <row r="1008" spans="15:38">
      <c r="O1008" t="s">
        <v>24</v>
      </c>
      <c r="P1008" t="s">
        <v>43</v>
      </c>
      <c r="Q1008" t="s">
        <v>20</v>
      </c>
      <c r="R1008" t="s">
        <v>56</v>
      </c>
      <c r="S1008">
        <v>2025.1</v>
      </c>
      <c r="T1008">
        <v>1781.95</v>
      </c>
      <c r="U1008">
        <v>0</v>
      </c>
      <c r="V1008">
        <v>1029</v>
      </c>
      <c r="AA1008" s="29" t="s">
        <v>43</v>
      </c>
      <c r="AB1008">
        <v>31200</v>
      </c>
      <c r="AC1008">
        <v>110</v>
      </c>
      <c r="AD1008">
        <v>4</v>
      </c>
      <c r="AE1008">
        <v>6292</v>
      </c>
      <c r="AF1008">
        <v>6292</v>
      </c>
      <c r="AG1008" s="29" t="s">
        <v>1370</v>
      </c>
      <c r="AH1008" s="29" t="s">
        <v>1471</v>
      </c>
      <c r="AI1008" s="29" t="s">
        <v>1397</v>
      </c>
      <c r="AJ1008" s="29" t="s">
        <v>1472</v>
      </c>
      <c r="AL1008" s="29" t="s">
        <v>1371</v>
      </c>
    </row>
    <row r="1009" spans="15:38">
      <c r="O1009" t="s">
        <v>24</v>
      </c>
      <c r="P1009" t="s">
        <v>43</v>
      </c>
      <c r="Q1009" t="s">
        <v>20</v>
      </c>
      <c r="R1009" t="s">
        <v>56</v>
      </c>
      <c r="S1009">
        <v>2025.11</v>
      </c>
      <c r="T1009">
        <v>1781.95</v>
      </c>
      <c r="U1009">
        <v>0</v>
      </c>
      <c r="V1009">
        <v>1029</v>
      </c>
      <c r="AA1009" s="29" t="s">
        <v>43</v>
      </c>
      <c r="AB1009">
        <v>31200</v>
      </c>
      <c r="AC1009">
        <v>110</v>
      </c>
      <c r="AD1009">
        <v>4</v>
      </c>
      <c r="AE1009">
        <v>634.58000000000004</v>
      </c>
      <c r="AF1009">
        <v>634.58000000000004</v>
      </c>
      <c r="AG1009" s="29" t="s">
        <v>1370</v>
      </c>
      <c r="AH1009" s="29" t="s">
        <v>1459</v>
      </c>
      <c r="AI1009" s="29" t="s">
        <v>1397</v>
      </c>
      <c r="AJ1009" s="29" t="s">
        <v>1460</v>
      </c>
      <c r="AL1009" s="29" t="s">
        <v>1371</v>
      </c>
    </row>
    <row r="1010" spans="15:38">
      <c r="O1010" t="s">
        <v>24</v>
      </c>
      <c r="P1010" t="s">
        <v>43</v>
      </c>
      <c r="Q1010" t="s">
        <v>20</v>
      </c>
      <c r="R1010" t="s">
        <v>56</v>
      </c>
      <c r="S1010">
        <v>2025.12</v>
      </c>
      <c r="T1010">
        <v>1781.95</v>
      </c>
      <c r="U1010">
        <v>0</v>
      </c>
      <c r="V1010">
        <v>1029</v>
      </c>
      <c r="AA1010" s="29" t="s">
        <v>43</v>
      </c>
      <c r="AB1010">
        <v>31200</v>
      </c>
      <c r="AC1010">
        <v>110</v>
      </c>
      <c r="AD1010">
        <v>4</v>
      </c>
      <c r="AE1010">
        <v>90.81</v>
      </c>
      <c r="AF1010">
        <v>90.81</v>
      </c>
      <c r="AG1010" s="29" t="s">
        <v>1370</v>
      </c>
      <c r="AH1010" s="29" t="s">
        <v>1473</v>
      </c>
      <c r="AI1010" s="29" t="s">
        <v>1397</v>
      </c>
      <c r="AJ1010" s="29" t="s">
        <v>1474</v>
      </c>
      <c r="AL1010" s="29" t="s">
        <v>1371</v>
      </c>
    </row>
    <row r="1011" spans="15:38">
      <c r="O1011" t="s">
        <v>24</v>
      </c>
      <c r="P1011" t="s">
        <v>43</v>
      </c>
      <c r="Q1011" t="s">
        <v>18</v>
      </c>
      <c r="R1011" t="s">
        <v>54</v>
      </c>
      <c r="S1011">
        <v>2024.18</v>
      </c>
      <c r="T1011">
        <v>39576</v>
      </c>
      <c r="U1011">
        <v>0</v>
      </c>
      <c r="V1011">
        <v>0</v>
      </c>
      <c r="AA1011" s="29" t="s">
        <v>43</v>
      </c>
      <c r="AB1011">
        <v>31200</v>
      </c>
      <c r="AC1011">
        <v>110</v>
      </c>
      <c r="AD1011">
        <v>4</v>
      </c>
      <c r="AE1011">
        <v>28.6</v>
      </c>
      <c r="AF1011">
        <v>28.6</v>
      </c>
      <c r="AG1011" s="29" t="s">
        <v>1370</v>
      </c>
      <c r="AH1011" s="29" t="s">
        <v>1475</v>
      </c>
      <c r="AI1011" s="29" t="s">
        <v>1397</v>
      </c>
      <c r="AJ1011" s="29" t="s">
        <v>1476</v>
      </c>
      <c r="AL1011" s="29" t="s">
        <v>1371</v>
      </c>
    </row>
    <row r="1012" spans="15:38">
      <c r="O1012" t="s">
        <v>24</v>
      </c>
      <c r="P1012" t="s">
        <v>43</v>
      </c>
      <c r="Q1012" t="s">
        <v>18</v>
      </c>
      <c r="R1012" t="s">
        <v>54</v>
      </c>
      <c r="S1012">
        <v>2024.19</v>
      </c>
      <c r="T1012">
        <v>39576</v>
      </c>
      <c r="U1012">
        <v>0</v>
      </c>
      <c r="V1012">
        <v>0</v>
      </c>
      <c r="AA1012" s="29" t="s">
        <v>43</v>
      </c>
      <c r="AB1012">
        <v>31200</v>
      </c>
      <c r="AC1012">
        <v>110</v>
      </c>
      <c r="AD1012">
        <v>4</v>
      </c>
      <c r="AE1012">
        <v>3.84</v>
      </c>
      <c r="AF1012">
        <v>3.84</v>
      </c>
      <c r="AG1012" s="29" t="s">
        <v>1370</v>
      </c>
      <c r="AH1012" s="29" t="s">
        <v>1477</v>
      </c>
      <c r="AI1012" s="29" t="s">
        <v>1397</v>
      </c>
      <c r="AJ1012" s="29" t="s">
        <v>1478</v>
      </c>
      <c r="AL1012" s="29" t="s">
        <v>1371</v>
      </c>
    </row>
    <row r="1013" spans="15:38">
      <c r="O1013" t="s">
        <v>24</v>
      </c>
      <c r="P1013" t="s">
        <v>43</v>
      </c>
      <c r="Q1013" t="s">
        <v>18</v>
      </c>
      <c r="R1013" t="s">
        <v>54</v>
      </c>
      <c r="S1013">
        <v>2024.2</v>
      </c>
      <c r="T1013">
        <v>39576</v>
      </c>
      <c r="U1013">
        <v>0</v>
      </c>
      <c r="V1013">
        <v>0</v>
      </c>
      <c r="AA1013" s="29" t="s">
        <v>43</v>
      </c>
      <c r="AB1013">
        <v>31200</v>
      </c>
      <c r="AC1013">
        <v>110</v>
      </c>
      <c r="AD1013">
        <v>4</v>
      </c>
      <c r="AE1013">
        <v>0</v>
      </c>
      <c r="AF1013">
        <v>0</v>
      </c>
      <c r="AG1013" s="29" t="s">
        <v>1370</v>
      </c>
      <c r="AH1013" s="29" t="s">
        <v>1372</v>
      </c>
      <c r="AI1013" s="29" t="s">
        <v>1397</v>
      </c>
      <c r="AJ1013" s="29" t="s">
        <v>1479</v>
      </c>
      <c r="AL1013" s="29" t="s">
        <v>1371</v>
      </c>
    </row>
    <row r="1014" spans="15:38">
      <c r="O1014" t="s">
        <v>24</v>
      </c>
      <c r="P1014" t="s">
        <v>43</v>
      </c>
      <c r="Q1014" t="s">
        <v>18</v>
      </c>
      <c r="R1014" t="s">
        <v>54</v>
      </c>
      <c r="S1014">
        <v>2024.21</v>
      </c>
      <c r="T1014">
        <v>32354</v>
      </c>
      <c r="U1014">
        <v>0</v>
      </c>
      <c r="V1014">
        <v>0</v>
      </c>
      <c r="AA1014" s="29" t="s">
        <v>43</v>
      </c>
      <c r="AB1014">
        <v>31200</v>
      </c>
      <c r="AC1014">
        <v>110</v>
      </c>
      <c r="AD1014">
        <v>4</v>
      </c>
      <c r="AE1014">
        <v>0</v>
      </c>
      <c r="AF1014">
        <v>0</v>
      </c>
      <c r="AG1014" s="29" t="s">
        <v>1370</v>
      </c>
      <c r="AH1014" s="29" t="s">
        <v>1372</v>
      </c>
      <c r="AI1014" s="29" t="s">
        <v>1397</v>
      </c>
      <c r="AJ1014" s="29" t="s">
        <v>1480</v>
      </c>
      <c r="AL1014" s="29" t="s">
        <v>1371</v>
      </c>
    </row>
    <row r="1015" spans="15:38">
      <c r="O1015" t="s">
        <v>24</v>
      </c>
      <c r="P1015" t="s">
        <v>43</v>
      </c>
      <c r="Q1015" t="s">
        <v>18</v>
      </c>
      <c r="R1015" t="s">
        <v>54</v>
      </c>
      <c r="S1015">
        <v>2024.28</v>
      </c>
      <c r="T1015">
        <v>32354</v>
      </c>
      <c r="U1015">
        <v>0</v>
      </c>
      <c r="V1015">
        <v>0</v>
      </c>
      <c r="AA1015" s="29" t="s">
        <v>43</v>
      </c>
      <c r="AB1015">
        <v>31200</v>
      </c>
      <c r="AC1015">
        <v>110</v>
      </c>
      <c r="AD1015">
        <v>4</v>
      </c>
      <c r="AE1015">
        <v>23.58</v>
      </c>
      <c r="AF1015">
        <v>23.58</v>
      </c>
      <c r="AG1015" s="29" t="s">
        <v>1370</v>
      </c>
      <c r="AH1015" s="29" t="s">
        <v>1481</v>
      </c>
      <c r="AI1015" s="29" t="s">
        <v>1397</v>
      </c>
      <c r="AJ1015" s="29" t="s">
        <v>1482</v>
      </c>
      <c r="AL1015" s="29" t="s">
        <v>1371</v>
      </c>
    </row>
    <row r="1016" spans="15:38">
      <c r="O1016" t="s">
        <v>24</v>
      </c>
      <c r="P1016" t="s">
        <v>43</v>
      </c>
      <c r="Q1016" t="s">
        <v>18</v>
      </c>
      <c r="R1016" t="s">
        <v>54</v>
      </c>
      <c r="S1016">
        <v>2024.38</v>
      </c>
      <c r="T1016">
        <v>32354</v>
      </c>
      <c r="U1016">
        <v>0</v>
      </c>
      <c r="V1016">
        <v>0</v>
      </c>
      <c r="AA1016" s="29" t="s">
        <v>43</v>
      </c>
      <c r="AB1016">
        <v>31200</v>
      </c>
      <c r="AC1016">
        <v>110</v>
      </c>
      <c r="AD1016">
        <v>4</v>
      </c>
      <c r="AE1016">
        <v>18.29</v>
      </c>
      <c r="AF1016">
        <v>18.29</v>
      </c>
      <c r="AG1016" s="29" t="s">
        <v>1370</v>
      </c>
      <c r="AH1016" s="29" t="s">
        <v>1483</v>
      </c>
      <c r="AI1016" s="29" t="s">
        <v>1397</v>
      </c>
      <c r="AJ1016" s="29" t="s">
        <v>1484</v>
      </c>
      <c r="AL1016" s="29" t="s">
        <v>1371</v>
      </c>
    </row>
    <row r="1017" spans="15:38">
      <c r="O1017" t="s">
        <v>24</v>
      </c>
      <c r="P1017" t="s">
        <v>43</v>
      </c>
      <c r="Q1017" t="s">
        <v>18</v>
      </c>
      <c r="R1017" t="s">
        <v>65</v>
      </c>
      <c r="S1017">
        <v>2023.51</v>
      </c>
      <c r="T1017">
        <v>2725.62</v>
      </c>
      <c r="U1017">
        <v>0</v>
      </c>
      <c r="V1017">
        <v>0</v>
      </c>
      <c r="AA1017" s="29" t="s">
        <v>43</v>
      </c>
      <c r="AB1017">
        <v>31200</v>
      </c>
      <c r="AC1017">
        <v>110</v>
      </c>
      <c r="AD1017">
        <v>4</v>
      </c>
      <c r="AE1017">
        <v>1.36</v>
      </c>
      <c r="AF1017">
        <v>1.36</v>
      </c>
      <c r="AG1017" s="29" t="s">
        <v>1370</v>
      </c>
      <c r="AH1017" s="29" t="s">
        <v>1485</v>
      </c>
      <c r="AI1017" s="29" t="s">
        <v>1397</v>
      </c>
      <c r="AJ1017" s="29" t="s">
        <v>1486</v>
      </c>
      <c r="AL1017" s="29" t="s">
        <v>1371</v>
      </c>
    </row>
    <row r="1018" spans="15:38">
      <c r="O1018" t="s">
        <v>24</v>
      </c>
      <c r="P1018" t="s">
        <v>43</v>
      </c>
      <c r="Q1018" t="s">
        <v>18</v>
      </c>
      <c r="R1018" t="s">
        <v>65</v>
      </c>
      <c r="S1018">
        <v>2024.05</v>
      </c>
      <c r="T1018">
        <v>1692.95</v>
      </c>
      <c r="U1018">
        <v>0</v>
      </c>
      <c r="V1018">
        <v>0</v>
      </c>
      <c r="AA1018" s="29" t="s">
        <v>43</v>
      </c>
      <c r="AB1018">
        <v>31200</v>
      </c>
      <c r="AC1018">
        <v>110</v>
      </c>
      <c r="AD1018">
        <v>4</v>
      </c>
      <c r="AE1018">
        <v>6.06</v>
      </c>
      <c r="AF1018">
        <v>6.06</v>
      </c>
      <c r="AG1018" s="29" t="s">
        <v>1370</v>
      </c>
      <c r="AH1018" s="29" t="s">
        <v>1487</v>
      </c>
      <c r="AI1018" s="29" t="s">
        <v>1397</v>
      </c>
      <c r="AJ1018" s="29" t="s">
        <v>1488</v>
      </c>
      <c r="AL1018" s="29" t="s">
        <v>1371</v>
      </c>
    </row>
    <row r="1019" spans="15:38">
      <c r="O1019" t="s">
        <v>24</v>
      </c>
      <c r="P1019" t="s">
        <v>43</v>
      </c>
      <c r="Q1019" t="s">
        <v>18</v>
      </c>
      <c r="R1019" t="s">
        <v>65</v>
      </c>
      <c r="S1019">
        <v>2024.06</v>
      </c>
      <c r="T1019">
        <v>1692.95</v>
      </c>
      <c r="U1019">
        <v>0</v>
      </c>
      <c r="V1019">
        <v>0</v>
      </c>
      <c r="AA1019" s="29" t="s">
        <v>43</v>
      </c>
      <c r="AB1019">
        <v>31200</v>
      </c>
      <c r="AC1019">
        <v>110</v>
      </c>
      <c r="AD1019">
        <v>4</v>
      </c>
      <c r="AE1019">
        <v>26.23</v>
      </c>
      <c r="AF1019">
        <v>26.23</v>
      </c>
      <c r="AG1019" s="29" t="s">
        <v>1370</v>
      </c>
      <c r="AH1019" s="29" t="s">
        <v>1489</v>
      </c>
      <c r="AI1019" s="29" t="s">
        <v>1397</v>
      </c>
      <c r="AJ1019" s="29" t="s">
        <v>1490</v>
      </c>
      <c r="AL1019" s="29" t="s">
        <v>1371</v>
      </c>
    </row>
    <row r="1020" spans="15:38">
      <c r="O1020" t="s">
        <v>24</v>
      </c>
      <c r="P1020" t="s">
        <v>43</v>
      </c>
      <c r="Q1020" t="s">
        <v>18</v>
      </c>
      <c r="R1020" t="s">
        <v>65</v>
      </c>
      <c r="S1020">
        <v>2024.07</v>
      </c>
      <c r="T1020">
        <v>1770.82</v>
      </c>
      <c r="U1020">
        <v>0</v>
      </c>
      <c r="V1020">
        <v>0</v>
      </c>
      <c r="AA1020" s="29" t="s">
        <v>43</v>
      </c>
      <c r="AB1020">
        <v>31200</v>
      </c>
      <c r="AC1020">
        <v>110</v>
      </c>
      <c r="AD1020">
        <v>4</v>
      </c>
      <c r="AE1020">
        <v>90.81</v>
      </c>
      <c r="AF1020">
        <v>90.81</v>
      </c>
      <c r="AG1020" s="29" t="s">
        <v>1370</v>
      </c>
      <c r="AH1020" s="29" t="s">
        <v>1473</v>
      </c>
      <c r="AI1020" s="29" t="s">
        <v>1397</v>
      </c>
      <c r="AJ1020" s="29" t="s">
        <v>1474</v>
      </c>
      <c r="AL1020" s="29" t="s">
        <v>1371</v>
      </c>
    </row>
    <row r="1021" spans="15:38">
      <c r="O1021" t="s">
        <v>24</v>
      </c>
      <c r="P1021" t="s">
        <v>43</v>
      </c>
      <c r="Q1021" t="s">
        <v>18</v>
      </c>
      <c r="R1021" t="s">
        <v>65</v>
      </c>
      <c r="S1021">
        <v>2024.08</v>
      </c>
      <c r="T1021">
        <v>1016.58</v>
      </c>
      <c r="U1021">
        <v>0</v>
      </c>
      <c r="V1021">
        <v>0</v>
      </c>
      <c r="AA1021" s="29" t="s">
        <v>43</v>
      </c>
      <c r="AB1021">
        <v>31200</v>
      </c>
      <c r="AC1021">
        <v>110</v>
      </c>
      <c r="AD1021">
        <v>4</v>
      </c>
      <c r="AE1021">
        <v>53.1</v>
      </c>
      <c r="AF1021">
        <v>53.1</v>
      </c>
      <c r="AG1021" s="29" t="s">
        <v>1370</v>
      </c>
      <c r="AH1021" s="29" t="s">
        <v>1491</v>
      </c>
      <c r="AI1021" s="29" t="s">
        <v>1397</v>
      </c>
      <c r="AJ1021" s="29" t="s">
        <v>1492</v>
      </c>
      <c r="AL1021" s="29" t="s">
        <v>1371</v>
      </c>
    </row>
    <row r="1022" spans="15:38">
      <c r="O1022" t="s">
        <v>24</v>
      </c>
      <c r="P1022" t="s">
        <v>43</v>
      </c>
      <c r="Q1022" t="s">
        <v>18</v>
      </c>
      <c r="R1022" t="s">
        <v>65</v>
      </c>
      <c r="S1022">
        <v>2024.09</v>
      </c>
      <c r="T1022">
        <v>2725.62</v>
      </c>
      <c r="U1022">
        <v>0</v>
      </c>
      <c r="V1022">
        <v>0</v>
      </c>
      <c r="AA1022" s="29" t="s">
        <v>43</v>
      </c>
      <c r="AB1022">
        <v>31200</v>
      </c>
      <c r="AC1022">
        <v>110</v>
      </c>
      <c r="AD1022">
        <v>4</v>
      </c>
      <c r="AE1022">
        <v>25.8</v>
      </c>
      <c r="AF1022">
        <v>25.8</v>
      </c>
      <c r="AG1022" s="29" t="s">
        <v>1370</v>
      </c>
      <c r="AH1022" s="29" t="s">
        <v>1493</v>
      </c>
      <c r="AI1022" s="29" t="s">
        <v>1397</v>
      </c>
      <c r="AJ1022" s="29" t="s">
        <v>1494</v>
      </c>
      <c r="AL1022" s="29" t="s">
        <v>1371</v>
      </c>
    </row>
    <row r="1023" spans="15:38">
      <c r="O1023" t="s">
        <v>24</v>
      </c>
      <c r="P1023" t="s">
        <v>43</v>
      </c>
      <c r="Q1023" t="s">
        <v>18</v>
      </c>
      <c r="R1023" t="s">
        <v>65</v>
      </c>
      <c r="S1023">
        <v>2024.1</v>
      </c>
      <c r="T1023">
        <v>996.53</v>
      </c>
      <c r="U1023">
        <v>0</v>
      </c>
      <c r="V1023">
        <v>0</v>
      </c>
      <c r="AA1023" s="29" t="s">
        <v>43</v>
      </c>
      <c r="AB1023">
        <v>31200</v>
      </c>
      <c r="AC1023">
        <v>110</v>
      </c>
      <c r="AD1023">
        <v>4</v>
      </c>
      <c r="AE1023">
        <v>0</v>
      </c>
      <c r="AF1023">
        <v>0</v>
      </c>
      <c r="AG1023" s="29" t="s">
        <v>1370</v>
      </c>
      <c r="AH1023" s="29" t="s">
        <v>1372</v>
      </c>
      <c r="AI1023" s="29" t="s">
        <v>1397</v>
      </c>
      <c r="AJ1023" s="29" t="s">
        <v>1495</v>
      </c>
      <c r="AL1023" s="29" t="s">
        <v>1371</v>
      </c>
    </row>
    <row r="1024" spans="15:38">
      <c r="O1024" t="s">
        <v>24</v>
      </c>
      <c r="P1024" t="s">
        <v>43</v>
      </c>
      <c r="Q1024" t="s">
        <v>18</v>
      </c>
      <c r="R1024" t="s">
        <v>65</v>
      </c>
      <c r="S1024">
        <v>2024.11</v>
      </c>
      <c r="T1024">
        <v>962.19</v>
      </c>
      <c r="U1024">
        <v>0</v>
      </c>
      <c r="V1024">
        <v>0</v>
      </c>
      <c r="AA1024" s="29" t="s">
        <v>43</v>
      </c>
      <c r="AB1024">
        <v>31200</v>
      </c>
      <c r="AC1024">
        <v>110</v>
      </c>
      <c r="AD1024">
        <v>4</v>
      </c>
      <c r="AE1024">
        <v>21.19</v>
      </c>
      <c r="AF1024">
        <v>21.19</v>
      </c>
      <c r="AG1024" s="29" t="s">
        <v>1370</v>
      </c>
      <c r="AH1024" s="29" t="s">
        <v>1496</v>
      </c>
      <c r="AI1024" s="29" t="s">
        <v>1397</v>
      </c>
      <c r="AJ1024" s="29" t="s">
        <v>1497</v>
      </c>
      <c r="AL1024" s="29" t="s">
        <v>1371</v>
      </c>
    </row>
    <row r="1025" spans="15:38">
      <c r="O1025" t="s">
        <v>24</v>
      </c>
      <c r="P1025" t="s">
        <v>43</v>
      </c>
      <c r="Q1025" t="s">
        <v>18</v>
      </c>
      <c r="R1025" t="s">
        <v>65</v>
      </c>
      <c r="S1025">
        <v>2024.12</v>
      </c>
      <c r="T1025">
        <v>1033.6300000000001</v>
      </c>
      <c r="U1025">
        <v>0</v>
      </c>
      <c r="V1025">
        <v>0</v>
      </c>
      <c r="AA1025" s="29" t="s">
        <v>43</v>
      </c>
      <c r="AB1025">
        <v>31200</v>
      </c>
      <c r="AC1025">
        <v>110</v>
      </c>
      <c r="AD1025">
        <v>4</v>
      </c>
      <c r="AE1025">
        <v>1.6</v>
      </c>
      <c r="AF1025">
        <v>1.6</v>
      </c>
      <c r="AG1025" s="29" t="s">
        <v>1370</v>
      </c>
      <c r="AH1025" s="29" t="s">
        <v>1498</v>
      </c>
      <c r="AI1025" s="29" t="s">
        <v>1397</v>
      </c>
      <c r="AJ1025" s="29" t="s">
        <v>1499</v>
      </c>
      <c r="AL1025" s="29" t="s">
        <v>1371</v>
      </c>
    </row>
    <row r="1026" spans="15:38">
      <c r="O1026" t="s">
        <v>24</v>
      </c>
      <c r="P1026" t="s">
        <v>43</v>
      </c>
      <c r="Q1026" t="s">
        <v>18</v>
      </c>
      <c r="R1026" t="s">
        <v>65</v>
      </c>
      <c r="S1026">
        <v>2024.14</v>
      </c>
      <c r="T1026">
        <v>1033.6300000000001</v>
      </c>
      <c r="U1026">
        <v>0</v>
      </c>
      <c r="V1026">
        <v>0</v>
      </c>
      <c r="AA1026" s="29" t="s">
        <v>43</v>
      </c>
      <c r="AB1026">
        <v>31200</v>
      </c>
      <c r="AC1026">
        <v>110</v>
      </c>
      <c r="AD1026">
        <v>4</v>
      </c>
      <c r="AE1026">
        <v>6.86</v>
      </c>
      <c r="AF1026">
        <v>6.86</v>
      </c>
      <c r="AG1026" s="29" t="s">
        <v>1370</v>
      </c>
      <c r="AH1026" s="29" t="s">
        <v>1500</v>
      </c>
      <c r="AI1026" s="29" t="s">
        <v>1397</v>
      </c>
      <c r="AJ1026" s="29" t="s">
        <v>1501</v>
      </c>
      <c r="AL1026" s="29" t="s">
        <v>1371</v>
      </c>
    </row>
    <row r="1027" spans="15:38">
      <c r="O1027" t="s">
        <v>24</v>
      </c>
      <c r="P1027" t="s">
        <v>43</v>
      </c>
      <c r="Q1027" t="s">
        <v>18</v>
      </c>
      <c r="R1027" t="s">
        <v>65</v>
      </c>
      <c r="S1027">
        <v>2024.17</v>
      </c>
      <c r="T1027">
        <v>1114.58</v>
      </c>
      <c r="U1027">
        <v>0</v>
      </c>
      <c r="V1027">
        <v>0</v>
      </c>
      <c r="AA1027" s="29" t="s">
        <v>43</v>
      </c>
      <c r="AB1027">
        <v>31200</v>
      </c>
      <c r="AC1027">
        <v>110</v>
      </c>
      <c r="AD1027">
        <v>4</v>
      </c>
      <c r="AE1027">
        <v>0.35</v>
      </c>
      <c r="AF1027">
        <v>0.35</v>
      </c>
      <c r="AG1027" s="29" t="s">
        <v>1370</v>
      </c>
      <c r="AH1027" s="29" t="s">
        <v>1502</v>
      </c>
      <c r="AI1027" s="29" t="s">
        <v>1397</v>
      </c>
      <c r="AJ1027" s="29" t="s">
        <v>1503</v>
      </c>
      <c r="AL1027" s="29" t="s">
        <v>1371</v>
      </c>
    </row>
    <row r="1028" spans="15:38">
      <c r="O1028" t="s">
        <v>24</v>
      </c>
      <c r="P1028" t="s">
        <v>43</v>
      </c>
      <c r="Q1028" t="s">
        <v>18</v>
      </c>
      <c r="R1028" t="s">
        <v>65</v>
      </c>
      <c r="S1028">
        <v>2024.18</v>
      </c>
      <c r="T1028">
        <v>1110.43</v>
      </c>
      <c r="U1028">
        <v>0</v>
      </c>
      <c r="V1028">
        <v>0</v>
      </c>
      <c r="AA1028" s="29" t="s">
        <v>43</v>
      </c>
      <c r="AB1028">
        <v>31200</v>
      </c>
      <c r="AC1028">
        <v>110</v>
      </c>
      <c r="AD1028">
        <v>4</v>
      </c>
      <c r="AE1028">
        <v>0</v>
      </c>
      <c r="AF1028">
        <v>0</v>
      </c>
      <c r="AG1028" s="29" t="s">
        <v>1370</v>
      </c>
      <c r="AH1028" s="29" t="s">
        <v>1372</v>
      </c>
      <c r="AI1028" s="29" t="s">
        <v>1397</v>
      </c>
      <c r="AJ1028" s="29" t="s">
        <v>1504</v>
      </c>
      <c r="AL1028" s="29" t="s">
        <v>1371</v>
      </c>
    </row>
    <row r="1029" spans="15:38">
      <c r="O1029" t="s">
        <v>24</v>
      </c>
      <c r="P1029" t="s">
        <v>43</v>
      </c>
      <c r="Q1029" t="s">
        <v>18</v>
      </c>
      <c r="R1029" t="s">
        <v>65</v>
      </c>
      <c r="S1029">
        <v>2024.19</v>
      </c>
      <c r="T1029">
        <v>1110.43</v>
      </c>
      <c r="U1029">
        <v>0</v>
      </c>
      <c r="V1029">
        <v>0</v>
      </c>
      <c r="AA1029" s="29" t="s">
        <v>43</v>
      </c>
      <c r="AB1029">
        <v>31200</v>
      </c>
      <c r="AC1029">
        <v>110</v>
      </c>
      <c r="AD1029">
        <v>4</v>
      </c>
      <c r="AE1029">
        <v>4.7</v>
      </c>
      <c r="AF1029">
        <v>4.7</v>
      </c>
      <c r="AG1029" s="29" t="s">
        <v>1370</v>
      </c>
      <c r="AH1029" s="29" t="s">
        <v>1505</v>
      </c>
      <c r="AI1029" s="29" t="s">
        <v>1397</v>
      </c>
      <c r="AJ1029" s="29" t="s">
        <v>1506</v>
      </c>
      <c r="AL1029" s="29" t="s">
        <v>1371</v>
      </c>
    </row>
    <row r="1030" spans="15:38">
      <c r="O1030" t="s">
        <v>24</v>
      </c>
      <c r="P1030" t="s">
        <v>43</v>
      </c>
      <c r="Q1030" t="s">
        <v>18</v>
      </c>
      <c r="R1030" t="s">
        <v>65</v>
      </c>
      <c r="S1030">
        <v>2024.2</v>
      </c>
      <c r="T1030">
        <v>1211.83</v>
      </c>
      <c r="U1030">
        <v>0</v>
      </c>
      <c r="V1030">
        <v>0</v>
      </c>
      <c r="AA1030" s="29" t="s">
        <v>43</v>
      </c>
      <c r="AB1030">
        <v>31200</v>
      </c>
      <c r="AC1030">
        <v>110</v>
      </c>
      <c r="AD1030">
        <v>4</v>
      </c>
      <c r="AE1030">
        <v>5.19</v>
      </c>
      <c r="AF1030">
        <v>5.19</v>
      </c>
      <c r="AG1030" s="29" t="s">
        <v>1370</v>
      </c>
      <c r="AH1030" s="29" t="s">
        <v>1507</v>
      </c>
      <c r="AI1030" s="29" t="s">
        <v>1397</v>
      </c>
      <c r="AJ1030" s="29" t="s">
        <v>1508</v>
      </c>
      <c r="AL1030" s="29" t="s">
        <v>1371</v>
      </c>
    </row>
    <row r="1031" spans="15:38">
      <c r="O1031" t="s">
        <v>24</v>
      </c>
      <c r="P1031" t="s">
        <v>43</v>
      </c>
      <c r="Q1031" t="s">
        <v>18</v>
      </c>
      <c r="R1031" t="s">
        <v>65</v>
      </c>
      <c r="S1031">
        <v>2024.21</v>
      </c>
      <c r="T1031">
        <v>1176.33</v>
      </c>
      <c r="U1031">
        <v>0</v>
      </c>
      <c r="V1031">
        <v>0</v>
      </c>
      <c r="AA1031" s="29" t="s">
        <v>43</v>
      </c>
      <c r="AB1031">
        <v>31200</v>
      </c>
      <c r="AC1031">
        <v>110</v>
      </c>
      <c r="AD1031">
        <v>4</v>
      </c>
      <c r="AE1031">
        <v>4.95</v>
      </c>
      <c r="AF1031">
        <v>4.95</v>
      </c>
      <c r="AG1031" s="29" t="s">
        <v>1370</v>
      </c>
      <c r="AH1031" s="29" t="s">
        <v>1509</v>
      </c>
      <c r="AI1031" s="29" t="s">
        <v>1397</v>
      </c>
      <c r="AJ1031" s="29" t="s">
        <v>1510</v>
      </c>
      <c r="AL1031" s="29" t="s">
        <v>1371</v>
      </c>
    </row>
    <row r="1032" spans="15:38">
      <c r="O1032" t="s">
        <v>24</v>
      </c>
      <c r="P1032" t="s">
        <v>43</v>
      </c>
      <c r="Q1032" t="s">
        <v>18</v>
      </c>
      <c r="R1032" t="s">
        <v>65</v>
      </c>
      <c r="S1032">
        <v>2024.28</v>
      </c>
      <c r="T1032">
        <v>1074.93</v>
      </c>
      <c r="U1032">
        <v>0</v>
      </c>
      <c r="V1032">
        <v>0</v>
      </c>
      <c r="AA1032" s="29" t="s">
        <v>43</v>
      </c>
      <c r="AB1032">
        <v>31200</v>
      </c>
      <c r="AC1032">
        <v>110</v>
      </c>
      <c r="AD1032">
        <v>4</v>
      </c>
      <c r="AE1032">
        <v>0</v>
      </c>
      <c r="AF1032">
        <v>0</v>
      </c>
      <c r="AG1032" s="29" t="s">
        <v>1370</v>
      </c>
      <c r="AH1032" s="29" t="s">
        <v>1372</v>
      </c>
      <c r="AI1032" s="29" t="s">
        <v>1397</v>
      </c>
      <c r="AJ1032" s="29" t="s">
        <v>1504</v>
      </c>
      <c r="AL1032" s="29" t="s">
        <v>1371</v>
      </c>
    </row>
    <row r="1033" spans="15:38">
      <c r="O1033" t="s">
        <v>24</v>
      </c>
      <c r="P1033" t="s">
        <v>43</v>
      </c>
      <c r="Q1033" t="s">
        <v>18</v>
      </c>
      <c r="R1033" t="s">
        <v>65</v>
      </c>
      <c r="S1033">
        <v>2024.38</v>
      </c>
      <c r="T1033">
        <v>1033.6300000000001</v>
      </c>
      <c r="U1033">
        <v>0</v>
      </c>
      <c r="V1033">
        <v>0</v>
      </c>
      <c r="AA1033" s="29" t="s">
        <v>43</v>
      </c>
      <c r="AB1033">
        <v>31200</v>
      </c>
      <c r="AC1033">
        <v>110</v>
      </c>
      <c r="AD1033">
        <v>4</v>
      </c>
      <c r="AE1033">
        <v>2.88</v>
      </c>
      <c r="AF1033">
        <v>2.88</v>
      </c>
      <c r="AG1033" s="29" t="s">
        <v>1370</v>
      </c>
      <c r="AH1033" s="29" t="s">
        <v>1511</v>
      </c>
      <c r="AI1033" s="29" t="s">
        <v>1397</v>
      </c>
      <c r="AJ1033" s="29" t="s">
        <v>1512</v>
      </c>
      <c r="AL1033" s="29" t="s">
        <v>1371</v>
      </c>
    </row>
    <row r="1034" spans="15:38">
      <c r="O1034" t="s">
        <v>24</v>
      </c>
      <c r="P1034" t="s">
        <v>43</v>
      </c>
      <c r="Q1034" t="s">
        <v>18</v>
      </c>
      <c r="R1034" t="s">
        <v>65</v>
      </c>
      <c r="S1034">
        <v>2024.39</v>
      </c>
      <c r="T1034">
        <v>1033.6300000000001</v>
      </c>
      <c r="U1034">
        <v>0</v>
      </c>
      <c r="V1034">
        <v>0</v>
      </c>
      <c r="AA1034" s="29" t="s">
        <v>43</v>
      </c>
      <c r="AB1034">
        <v>31200</v>
      </c>
      <c r="AC1034">
        <v>110</v>
      </c>
      <c r="AD1034">
        <v>4</v>
      </c>
      <c r="AE1034">
        <v>10.38</v>
      </c>
      <c r="AF1034">
        <v>10.38</v>
      </c>
      <c r="AG1034" s="29" t="s">
        <v>1370</v>
      </c>
      <c r="AH1034" s="29" t="s">
        <v>1513</v>
      </c>
      <c r="AI1034" s="29" t="s">
        <v>1397</v>
      </c>
      <c r="AJ1034" s="29" t="s">
        <v>1514</v>
      </c>
      <c r="AL1034" s="29" t="s">
        <v>1371</v>
      </c>
    </row>
    <row r="1035" spans="15:38">
      <c r="O1035" t="s">
        <v>24</v>
      </c>
      <c r="P1035" t="s">
        <v>43</v>
      </c>
      <c r="Q1035" t="s">
        <v>18</v>
      </c>
      <c r="R1035" t="s">
        <v>65</v>
      </c>
      <c r="S1035">
        <v>2024.41</v>
      </c>
      <c r="T1035">
        <v>1033.6300000000001</v>
      </c>
      <c r="U1035">
        <v>0</v>
      </c>
      <c r="V1035">
        <v>0</v>
      </c>
      <c r="AA1035" s="29" t="s">
        <v>43</v>
      </c>
      <c r="AB1035">
        <v>31200</v>
      </c>
      <c r="AC1035">
        <v>110</v>
      </c>
      <c r="AD1035">
        <v>4</v>
      </c>
      <c r="AE1035">
        <v>51.6</v>
      </c>
      <c r="AF1035">
        <v>51.6</v>
      </c>
      <c r="AG1035" s="29" t="s">
        <v>1370</v>
      </c>
      <c r="AH1035" s="29" t="s">
        <v>1515</v>
      </c>
      <c r="AI1035" s="29" t="s">
        <v>1397</v>
      </c>
      <c r="AJ1035" s="29" t="s">
        <v>1516</v>
      </c>
      <c r="AL1035" s="29" t="s">
        <v>1371</v>
      </c>
    </row>
    <row r="1036" spans="15:38">
      <c r="O1036" t="s">
        <v>24</v>
      </c>
      <c r="P1036" t="s">
        <v>43</v>
      </c>
      <c r="Q1036" t="s">
        <v>18</v>
      </c>
      <c r="R1036" t="s">
        <v>65</v>
      </c>
      <c r="S1036">
        <v>2024.43</v>
      </c>
      <c r="T1036">
        <v>1033.6300000000001</v>
      </c>
      <c r="U1036">
        <v>0</v>
      </c>
      <c r="V1036">
        <v>0</v>
      </c>
      <c r="AA1036" s="29" t="s">
        <v>43</v>
      </c>
      <c r="AB1036">
        <v>31200</v>
      </c>
      <c r="AC1036">
        <v>110</v>
      </c>
      <c r="AD1036">
        <v>4</v>
      </c>
      <c r="AE1036">
        <v>11.85</v>
      </c>
      <c r="AF1036">
        <v>11.85</v>
      </c>
      <c r="AG1036" s="29" t="s">
        <v>1370</v>
      </c>
      <c r="AH1036" s="29" t="s">
        <v>1517</v>
      </c>
      <c r="AI1036" s="29" t="s">
        <v>1397</v>
      </c>
      <c r="AJ1036" s="29" t="s">
        <v>1518</v>
      </c>
      <c r="AL1036" s="29" t="s">
        <v>1371</v>
      </c>
    </row>
    <row r="1037" spans="15:38">
      <c r="O1037" t="s">
        <v>24</v>
      </c>
      <c r="P1037" t="s">
        <v>43</v>
      </c>
      <c r="Q1037" t="s">
        <v>18</v>
      </c>
      <c r="R1037" t="s">
        <v>65</v>
      </c>
      <c r="S1037">
        <v>2024.44</v>
      </c>
      <c r="T1037">
        <v>1075.8599999999999</v>
      </c>
      <c r="U1037">
        <v>0</v>
      </c>
      <c r="V1037">
        <v>0</v>
      </c>
      <c r="AA1037" s="29" t="s">
        <v>43</v>
      </c>
      <c r="AB1037">
        <v>31200</v>
      </c>
      <c r="AC1037">
        <v>110</v>
      </c>
      <c r="AD1037">
        <v>4</v>
      </c>
      <c r="AE1037">
        <v>13.65</v>
      </c>
      <c r="AF1037">
        <v>13.65</v>
      </c>
      <c r="AG1037" s="29" t="s">
        <v>1370</v>
      </c>
      <c r="AH1037" s="29" t="s">
        <v>1519</v>
      </c>
      <c r="AI1037" s="29" t="s">
        <v>1397</v>
      </c>
      <c r="AJ1037" s="29" t="s">
        <v>1520</v>
      </c>
      <c r="AL1037" s="29" t="s">
        <v>1371</v>
      </c>
    </row>
    <row r="1038" spans="15:38">
      <c r="O1038" t="s">
        <v>24</v>
      </c>
      <c r="P1038" t="s">
        <v>43</v>
      </c>
      <c r="Q1038" t="s">
        <v>18</v>
      </c>
      <c r="R1038" t="s">
        <v>65</v>
      </c>
      <c r="S1038">
        <v>2024.45</v>
      </c>
      <c r="T1038">
        <v>1015.38</v>
      </c>
      <c r="U1038">
        <v>0</v>
      </c>
      <c r="V1038">
        <v>0</v>
      </c>
      <c r="AA1038" s="29" t="s">
        <v>43</v>
      </c>
      <c r="AB1038">
        <v>31200</v>
      </c>
      <c r="AC1038">
        <v>110</v>
      </c>
      <c r="AD1038">
        <v>4</v>
      </c>
      <c r="AE1038">
        <v>13.65</v>
      </c>
      <c r="AF1038">
        <v>13.65</v>
      </c>
      <c r="AG1038" s="29" t="s">
        <v>1370</v>
      </c>
      <c r="AH1038" s="29" t="s">
        <v>1519</v>
      </c>
      <c r="AI1038" s="29" t="s">
        <v>1397</v>
      </c>
      <c r="AJ1038" s="29" t="s">
        <v>1520</v>
      </c>
      <c r="AL1038" s="29" t="s">
        <v>1371</v>
      </c>
    </row>
    <row r="1039" spans="15:38">
      <c r="O1039" t="s">
        <v>24</v>
      </c>
      <c r="P1039" t="s">
        <v>43</v>
      </c>
      <c r="Q1039" t="s">
        <v>18</v>
      </c>
      <c r="R1039" t="s">
        <v>65</v>
      </c>
      <c r="S1039">
        <v>2024.47</v>
      </c>
      <c r="T1039">
        <v>1015.74</v>
      </c>
      <c r="U1039">
        <v>0</v>
      </c>
      <c r="V1039">
        <v>0</v>
      </c>
      <c r="AA1039" s="29" t="s">
        <v>43</v>
      </c>
      <c r="AB1039">
        <v>31200</v>
      </c>
      <c r="AC1039">
        <v>110</v>
      </c>
      <c r="AD1039">
        <v>4</v>
      </c>
      <c r="AE1039">
        <v>8.93</v>
      </c>
      <c r="AF1039">
        <v>8.93</v>
      </c>
      <c r="AG1039" s="29" t="s">
        <v>1370</v>
      </c>
      <c r="AH1039" s="29" t="s">
        <v>1521</v>
      </c>
      <c r="AI1039" s="29" t="s">
        <v>1397</v>
      </c>
      <c r="AJ1039" s="29" t="s">
        <v>1522</v>
      </c>
      <c r="AL1039" s="29" t="s">
        <v>1371</v>
      </c>
    </row>
    <row r="1040" spans="15:38">
      <c r="O1040" t="s">
        <v>24</v>
      </c>
      <c r="P1040" t="s">
        <v>43</v>
      </c>
      <c r="Q1040" t="s">
        <v>18</v>
      </c>
      <c r="R1040" t="s">
        <v>65</v>
      </c>
      <c r="S1040">
        <v>2024.48</v>
      </c>
      <c r="T1040">
        <v>1015.38</v>
      </c>
      <c r="U1040">
        <v>0</v>
      </c>
      <c r="V1040">
        <v>1015.38</v>
      </c>
      <c r="AA1040" s="29" t="s">
        <v>43</v>
      </c>
      <c r="AB1040">
        <v>31200</v>
      </c>
      <c r="AC1040">
        <v>110</v>
      </c>
      <c r="AD1040">
        <v>4</v>
      </c>
      <c r="AE1040">
        <v>7.9</v>
      </c>
      <c r="AF1040">
        <v>7.9</v>
      </c>
      <c r="AG1040" s="29" t="s">
        <v>1370</v>
      </c>
      <c r="AH1040" s="29" t="s">
        <v>1523</v>
      </c>
      <c r="AI1040" s="29" t="s">
        <v>1397</v>
      </c>
      <c r="AJ1040" s="29" t="s">
        <v>1524</v>
      </c>
      <c r="AL1040" s="29" t="s">
        <v>1371</v>
      </c>
    </row>
    <row r="1041" spans="15:38">
      <c r="O1041" t="s">
        <v>24</v>
      </c>
      <c r="P1041" t="s">
        <v>43</v>
      </c>
      <c r="Q1041" t="s">
        <v>18</v>
      </c>
      <c r="R1041" t="s">
        <v>65</v>
      </c>
      <c r="S1041">
        <v>2024.49</v>
      </c>
      <c r="T1041">
        <v>1015.38</v>
      </c>
      <c r="U1041">
        <v>0</v>
      </c>
      <c r="V1041">
        <v>1015.38</v>
      </c>
      <c r="AA1041" s="29" t="s">
        <v>43</v>
      </c>
      <c r="AB1041">
        <v>31200</v>
      </c>
      <c r="AC1041">
        <v>110</v>
      </c>
      <c r="AD1041">
        <v>4</v>
      </c>
      <c r="AE1041">
        <v>0</v>
      </c>
      <c r="AF1041">
        <v>0</v>
      </c>
      <c r="AG1041" s="29" t="s">
        <v>1370</v>
      </c>
      <c r="AH1041" s="29" t="s">
        <v>1372</v>
      </c>
      <c r="AI1041" s="29" t="s">
        <v>1397</v>
      </c>
      <c r="AJ1041" s="29" t="s">
        <v>1525</v>
      </c>
      <c r="AL1041" s="29" t="s">
        <v>1371</v>
      </c>
    </row>
    <row r="1042" spans="15:38">
      <c r="O1042" t="s">
        <v>24</v>
      </c>
      <c r="P1042" t="s">
        <v>43</v>
      </c>
      <c r="Q1042" t="s">
        <v>18</v>
      </c>
      <c r="R1042" t="s">
        <v>65</v>
      </c>
      <c r="S1042">
        <v>2025.03</v>
      </c>
      <c r="T1042">
        <v>1015.38</v>
      </c>
      <c r="U1042">
        <v>0</v>
      </c>
      <c r="V1042">
        <v>1015.38</v>
      </c>
      <c r="AA1042" s="29" t="s">
        <v>43</v>
      </c>
      <c r="AB1042">
        <v>31200</v>
      </c>
      <c r="AC1042">
        <v>110</v>
      </c>
      <c r="AD1042">
        <v>4</v>
      </c>
      <c r="AE1042">
        <v>6.13</v>
      </c>
      <c r="AF1042">
        <v>6.13</v>
      </c>
      <c r="AG1042" s="29" t="s">
        <v>1370</v>
      </c>
      <c r="AH1042" s="29" t="s">
        <v>1526</v>
      </c>
      <c r="AI1042" s="29" t="s">
        <v>1397</v>
      </c>
      <c r="AJ1042" s="29" t="s">
        <v>1527</v>
      </c>
      <c r="AL1042" s="29" t="s">
        <v>1371</v>
      </c>
    </row>
    <row r="1043" spans="15:38">
      <c r="O1043" t="s">
        <v>24</v>
      </c>
      <c r="P1043" t="s">
        <v>43</v>
      </c>
      <c r="Q1043" t="s">
        <v>18</v>
      </c>
      <c r="R1043" t="s">
        <v>65</v>
      </c>
      <c r="S1043">
        <v>2025.08</v>
      </c>
      <c r="T1043">
        <v>1015.74</v>
      </c>
      <c r="U1043">
        <v>0</v>
      </c>
      <c r="V1043">
        <v>1015.38</v>
      </c>
      <c r="AA1043" s="29" t="s">
        <v>43</v>
      </c>
      <c r="AB1043">
        <v>31200</v>
      </c>
      <c r="AC1043">
        <v>110</v>
      </c>
      <c r="AD1043">
        <v>4</v>
      </c>
      <c r="AE1043">
        <v>15.24</v>
      </c>
      <c r="AF1043">
        <v>15.24</v>
      </c>
      <c r="AG1043" s="29" t="s">
        <v>1370</v>
      </c>
      <c r="AH1043" s="29" t="s">
        <v>1528</v>
      </c>
      <c r="AI1043" s="29" t="s">
        <v>1397</v>
      </c>
      <c r="AJ1043" s="29" t="s">
        <v>1529</v>
      </c>
      <c r="AL1043" s="29" t="s">
        <v>1371</v>
      </c>
    </row>
    <row r="1044" spans="15:38">
      <c r="O1044" t="s">
        <v>24</v>
      </c>
      <c r="P1044" t="s">
        <v>43</v>
      </c>
      <c r="Q1044" t="s">
        <v>18</v>
      </c>
      <c r="R1044" t="s">
        <v>65</v>
      </c>
      <c r="S1044">
        <v>2025.1</v>
      </c>
      <c r="T1044">
        <v>1019.35</v>
      </c>
      <c r="U1044">
        <v>0</v>
      </c>
      <c r="V1044">
        <v>1015.38</v>
      </c>
      <c r="AA1044" s="29" t="s">
        <v>43</v>
      </c>
      <c r="AB1044">
        <v>31200</v>
      </c>
      <c r="AC1044">
        <v>110</v>
      </c>
      <c r="AD1044">
        <v>4</v>
      </c>
      <c r="AE1044">
        <v>3.49</v>
      </c>
      <c r="AF1044">
        <v>3.49</v>
      </c>
      <c r="AG1044" s="29" t="s">
        <v>1370</v>
      </c>
      <c r="AH1044" s="29" t="s">
        <v>1530</v>
      </c>
      <c r="AI1044" s="29" t="s">
        <v>1397</v>
      </c>
      <c r="AJ1044" s="29" t="s">
        <v>1531</v>
      </c>
      <c r="AL1044" s="29" t="s">
        <v>1371</v>
      </c>
    </row>
    <row r="1045" spans="15:38">
      <c r="O1045" t="s">
        <v>24</v>
      </c>
      <c r="P1045" t="s">
        <v>43</v>
      </c>
      <c r="Q1045" t="s">
        <v>18</v>
      </c>
      <c r="R1045" t="s">
        <v>65</v>
      </c>
      <c r="S1045">
        <v>2025.11</v>
      </c>
      <c r="T1045">
        <v>1015.74</v>
      </c>
      <c r="U1045">
        <v>0</v>
      </c>
      <c r="V1045">
        <v>1015.38</v>
      </c>
      <c r="AA1045" s="29" t="s">
        <v>43</v>
      </c>
      <c r="AB1045">
        <v>31200</v>
      </c>
      <c r="AC1045">
        <v>110</v>
      </c>
      <c r="AD1045">
        <v>4</v>
      </c>
      <c r="AE1045">
        <v>1.75</v>
      </c>
      <c r="AF1045">
        <v>1.75</v>
      </c>
      <c r="AG1045" s="29" t="s">
        <v>1370</v>
      </c>
      <c r="AH1045" s="29" t="s">
        <v>1532</v>
      </c>
      <c r="AI1045" s="29" t="s">
        <v>1397</v>
      </c>
      <c r="AJ1045" s="29" t="s">
        <v>1533</v>
      </c>
      <c r="AL1045" s="29" t="s">
        <v>1371</v>
      </c>
    </row>
    <row r="1046" spans="15:38">
      <c r="O1046" t="s">
        <v>24</v>
      </c>
      <c r="P1046" t="s">
        <v>43</v>
      </c>
      <c r="Q1046" t="s">
        <v>18</v>
      </c>
      <c r="R1046" t="s">
        <v>65</v>
      </c>
      <c r="S1046">
        <v>2025.12</v>
      </c>
      <c r="T1046">
        <v>1015.74</v>
      </c>
      <c r="U1046">
        <v>0</v>
      </c>
      <c r="V1046">
        <v>1015.38</v>
      </c>
      <c r="AA1046" s="29" t="s">
        <v>43</v>
      </c>
      <c r="AB1046">
        <v>31200</v>
      </c>
      <c r="AC1046">
        <v>110</v>
      </c>
      <c r="AD1046">
        <v>4</v>
      </c>
      <c r="AE1046">
        <v>35.07</v>
      </c>
      <c r="AF1046">
        <v>35.07</v>
      </c>
      <c r="AG1046" s="29" t="s">
        <v>1370</v>
      </c>
      <c r="AH1046" s="29" t="s">
        <v>1534</v>
      </c>
      <c r="AI1046" s="29" t="s">
        <v>1397</v>
      </c>
      <c r="AJ1046" s="29" t="s">
        <v>1535</v>
      </c>
      <c r="AL1046" s="29" t="s">
        <v>1371</v>
      </c>
    </row>
    <row r="1047" spans="15:38">
      <c r="O1047" t="s">
        <v>24</v>
      </c>
      <c r="P1047" t="s">
        <v>43</v>
      </c>
      <c r="Q1047" t="s">
        <v>18</v>
      </c>
      <c r="R1047" t="s">
        <v>57</v>
      </c>
      <c r="S1047">
        <v>2023.51</v>
      </c>
      <c r="T1047">
        <v>1353.38</v>
      </c>
      <c r="U1047">
        <v>0</v>
      </c>
      <c r="V1047">
        <v>0</v>
      </c>
      <c r="AA1047" s="29" t="s">
        <v>43</v>
      </c>
      <c r="AB1047">
        <v>31200</v>
      </c>
      <c r="AC1047">
        <v>110</v>
      </c>
      <c r="AD1047">
        <v>4</v>
      </c>
      <c r="AE1047">
        <v>28.6</v>
      </c>
      <c r="AF1047">
        <v>28.6</v>
      </c>
      <c r="AG1047" s="29" t="s">
        <v>1370</v>
      </c>
      <c r="AH1047" s="29" t="s">
        <v>1475</v>
      </c>
      <c r="AI1047" s="29" t="s">
        <v>1397</v>
      </c>
      <c r="AJ1047" s="29" t="s">
        <v>1536</v>
      </c>
      <c r="AL1047" s="29" t="s">
        <v>1371</v>
      </c>
    </row>
    <row r="1048" spans="15:38">
      <c r="O1048" t="s">
        <v>24</v>
      </c>
      <c r="P1048" t="s">
        <v>43</v>
      </c>
      <c r="Q1048" t="s">
        <v>18</v>
      </c>
      <c r="R1048" t="s">
        <v>57</v>
      </c>
      <c r="S1048">
        <v>2024.05</v>
      </c>
      <c r="T1048">
        <v>21.01</v>
      </c>
      <c r="U1048">
        <v>0</v>
      </c>
      <c r="V1048">
        <v>0</v>
      </c>
      <c r="AA1048" s="29" t="s">
        <v>43</v>
      </c>
      <c r="AB1048">
        <v>31200</v>
      </c>
      <c r="AC1048">
        <v>110</v>
      </c>
      <c r="AD1048">
        <v>4</v>
      </c>
      <c r="AE1048">
        <v>31.86</v>
      </c>
      <c r="AF1048">
        <v>31.86</v>
      </c>
      <c r="AG1048" s="29" t="s">
        <v>1370</v>
      </c>
      <c r="AH1048" s="29" t="s">
        <v>1537</v>
      </c>
      <c r="AI1048" s="29" t="s">
        <v>1397</v>
      </c>
      <c r="AJ1048" s="29" t="s">
        <v>1538</v>
      </c>
      <c r="AL1048" s="29" t="s">
        <v>1371</v>
      </c>
    </row>
    <row r="1049" spans="15:38">
      <c r="O1049" t="s">
        <v>24</v>
      </c>
      <c r="P1049" t="s">
        <v>43</v>
      </c>
      <c r="Q1049" t="s">
        <v>18</v>
      </c>
      <c r="R1049" t="s">
        <v>57</v>
      </c>
      <c r="S1049">
        <v>2024.06</v>
      </c>
      <c r="T1049">
        <v>21.01</v>
      </c>
      <c r="U1049">
        <v>0</v>
      </c>
      <c r="V1049">
        <v>0</v>
      </c>
      <c r="AA1049" s="29" t="s">
        <v>43</v>
      </c>
      <c r="AB1049">
        <v>31200</v>
      </c>
      <c r="AC1049">
        <v>110</v>
      </c>
      <c r="AD1049">
        <v>4</v>
      </c>
      <c r="AE1049">
        <v>5.19</v>
      </c>
      <c r="AF1049">
        <v>5.19</v>
      </c>
      <c r="AG1049" s="29" t="s">
        <v>1370</v>
      </c>
      <c r="AH1049" s="29" t="s">
        <v>1507</v>
      </c>
      <c r="AI1049" s="29" t="s">
        <v>1397</v>
      </c>
      <c r="AJ1049" s="29" t="s">
        <v>1508</v>
      </c>
      <c r="AL1049" s="29" t="s">
        <v>1371</v>
      </c>
    </row>
    <row r="1050" spans="15:38">
      <c r="O1050" t="s">
        <v>24</v>
      </c>
      <c r="P1050" t="s">
        <v>43</v>
      </c>
      <c r="Q1050" t="s">
        <v>18</v>
      </c>
      <c r="R1050" t="s">
        <v>57</v>
      </c>
      <c r="S1050">
        <v>2024.07</v>
      </c>
      <c r="T1050">
        <v>1241.55</v>
      </c>
      <c r="U1050">
        <v>0</v>
      </c>
      <c r="V1050">
        <v>0</v>
      </c>
      <c r="AA1050" s="29" t="s">
        <v>43</v>
      </c>
      <c r="AB1050">
        <v>31200</v>
      </c>
      <c r="AC1050">
        <v>110</v>
      </c>
      <c r="AD1050">
        <v>4</v>
      </c>
      <c r="AE1050">
        <v>44.08</v>
      </c>
      <c r="AF1050">
        <v>44.08</v>
      </c>
      <c r="AG1050" s="29" t="s">
        <v>1370</v>
      </c>
      <c r="AH1050" s="29" t="s">
        <v>1539</v>
      </c>
      <c r="AI1050" s="29" t="s">
        <v>1397</v>
      </c>
      <c r="AJ1050" s="29" t="s">
        <v>1540</v>
      </c>
      <c r="AL1050" s="29" t="s">
        <v>1371</v>
      </c>
    </row>
    <row r="1051" spans="15:38">
      <c r="O1051" t="s">
        <v>24</v>
      </c>
      <c r="P1051" t="s">
        <v>43</v>
      </c>
      <c r="Q1051" t="s">
        <v>18</v>
      </c>
      <c r="R1051" t="s">
        <v>57</v>
      </c>
      <c r="S1051">
        <v>2024.08</v>
      </c>
      <c r="T1051">
        <v>1241.55</v>
      </c>
      <c r="U1051">
        <v>0</v>
      </c>
      <c r="V1051">
        <v>0</v>
      </c>
      <c r="AA1051" s="29" t="s">
        <v>43</v>
      </c>
      <c r="AB1051">
        <v>31200</v>
      </c>
      <c r="AC1051">
        <v>110</v>
      </c>
      <c r="AD1051">
        <v>4</v>
      </c>
      <c r="AE1051">
        <v>7.12</v>
      </c>
      <c r="AF1051">
        <v>7.12</v>
      </c>
      <c r="AG1051" s="29" t="s">
        <v>1370</v>
      </c>
      <c r="AH1051" s="29" t="s">
        <v>1541</v>
      </c>
      <c r="AI1051" s="29" t="s">
        <v>1397</v>
      </c>
      <c r="AJ1051" s="29" t="s">
        <v>1542</v>
      </c>
      <c r="AL1051" s="29" t="s">
        <v>1371</v>
      </c>
    </row>
    <row r="1052" spans="15:38">
      <c r="O1052" t="s">
        <v>24</v>
      </c>
      <c r="P1052" t="s">
        <v>43</v>
      </c>
      <c r="Q1052" t="s">
        <v>18</v>
      </c>
      <c r="R1052" t="s">
        <v>57</v>
      </c>
      <c r="S1052">
        <v>2024.09</v>
      </c>
      <c r="T1052">
        <v>1353.38</v>
      </c>
      <c r="U1052">
        <v>0</v>
      </c>
      <c r="V1052">
        <v>0</v>
      </c>
      <c r="AA1052" s="29" t="s">
        <v>43</v>
      </c>
      <c r="AB1052">
        <v>31200</v>
      </c>
      <c r="AC1052">
        <v>110</v>
      </c>
      <c r="AD1052">
        <v>4</v>
      </c>
      <c r="AE1052">
        <v>1.8</v>
      </c>
      <c r="AF1052">
        <v>1.8</v>
      </c>
      <c r="AG1052" s="29" t="s">
        <v>1370</v>
      </c>
      <c r="AH1052" s="29" t="s">
        <v>1543</v>
      </c>
      <c r="AI1052" s="29" t="s">
        <v>1397</v>
      </c>
      <c r="AJ1052" s="29" t="s">
        <v>1544</v>
      </c>
      <c r="AL1052" s="29" t="s">
        <v>1371</v>
      </c>
    </row>
    <row r="1053" spans="15:38">
      <c r="O1053" t="s">
        <v>24</v>
      </c>
      <c r="P1053" t="s">
        <v>43</v>
      </c>
      <c r="Q1053" t="s">
        <v>18</v>
      </c>
      <c r="R1053" t="s">
        <v>57</v>
      </c>
      <c r="S1053">
        <v>2024.1</v>
      </c>
      <c r="T1053">
        <v>1241.55</v>
      </c>
      <c r="U1053">
        <v>0</v>
      </c>
      <c r="V1053">
        <v>0</v>
      </c>
      <c r="AA1053" s="29" t="s">
        <v>43</v>
      </c>
      <c r="AB1053">
        <v>31200</v>
      </c>
      <c r="AC1053">
        <v>110</v>
      </c>
      <c r="AD1053">
        <v>4</v>
      </c>
      <c r="AE1053">
        <v>33</v>
      </c>
      <c r="AF1053">
        <v>33</v>
      </c>
      <c r="AG1053" s="29" t="s">
        <v>1370</v>
      </c>
      <c r="AH1053" s="29" t="s">
        <v>1545</v>
      </c>
      <c r="AI1053" s="29" t="s">
        <v>1397</v>
      </c>
      <c r="AJ1053" s="29" t="s">
        <v>1546</v>
      </c>
      <c r="AL1053" s="29" t="s">
        <v>1371</v>
      </c>
    </row>
    <row r="1054" spans="15:38">
      <c r="O1054" t="s">
        <v>24</v>
      </c>
      <c r="P1054" t="s">
        <v>43</v>
      </c>
      <c r="Q1054" t="s">
        <v>18</v>
      </c>
      <c r="R1054" t="s">
        <v>57</v>
      </c>
      <c r="S1054">
        <v>2024.11</v>
      </c>
      <c r="T1054">
        <v>1241.55</v>
      </c>
      <c r="U1054">
        <v>0</v>
      </c>
      <c r="V1054">
        <v>0</v>
      </c>
      <c r="AA1054" s="29" t="s">
        <v>43</v>
      </c>
      <c r="AB1054">
        <v>31200</v>
      </c>
      <c r="AC1054">
        <v>110</v>
      </c>
      <c r="AD1054">
        <v>4</v>
      </c>
      <c r="AE1054">
        <v>33.36</v>
      </c>
      <c r="AF1054">
        <v>33.36</v>
      </c>
      <c r="AG1054" s="29" t="s">
        <v>1370</v>
      </c>
      <c r="AH1054" s="29" t="s">
        <v>1547</v>
      </c>
      <c r="AI1054" s="29" t="s">
        <v>1397</v>
      </c>
      <c r="AJ1054" s="29" t="s">
        <v>1548</v>
      </c>
      <c r="AL1054" s="29" t="s">
        <v>1371</v>
      </c>
    </row>
    <row r="1055" spans="15:38">
      <c r="O1055" t="s">
        <v>24</v>
      </c>
      <c r="P1055" t="s">
        <v>43</v>
      </c>
      <c r="Q1055" t="s">
        <v>18</v>
      </c>
      <c r="R1055" t="s">
        <v>57</v>
      </c>
      <c r="S1055">
        <v>2024.12</v>
      </c>
      <c r="T1055">
        <v>1241.55</v>
      </c>
      <c r="U1055">
        <v>0</v>
      </c>
      <c r="V1055">
        <v>0</v>
      </c>
      <c r="AA1055" s="29" t="s">
        <v>43</v>
      </c>
      <c r="AB1055">
        <v>31200</v>
      </c>
      <c r="AC1055">
        <v>110</v>
      </c>
      <c r="AD1055">
        <v>4</v>
      </c>
      <c r="AE1055">
        <v>32.409999999999997</v>
      </c>
      <c r="AF1055">
        <v>32.409999999999997</v>
      </c>
      <c r="AG1055" s="29" t="s">
        <v>1370</v>
      </c>
      <c r="AH1055" s="29" t="s">
        <v>1549</v>
      </c>
      <c r="AI1055" s="29" t="s">
        <v>1397</v>
      </c>
      <c r="AJ1055" s="29" t="s">
        <v>1550</v>
      </c>
      <c r="AL1055" s="29" t="s">
        <v>1371</v>
      </c>
    </row>
    <row r="1056" spans="15:38">
      <c r="O1056" t="s">
        <v>24</v>
      </c>
      <c r="P1056" t="s">
        <v>43</v>
      </c>
      <c r="Q1056" t="s">
        <v>18</v>
      </c>
      <c r="R1056" t="s">
        <v>57</v>
      </c>
      <c r="S1056">
        <v>2024.14</v>
      </c>
      <c r="T1056">
        <v>1241.55</v>
      </c>
      <c r="U1056">
        <v>0</v>
      </c>
      <c r="V1056">
        <v>0</v>
      </c>
      <c r="AA1056" s="29" t="s">
        <v>43</v>
      </c>
      <c r="AB1056">
        <v>31200</v>
      </c>
      <c r="AC1056">
        <v>110</v>
      </c>
      <c r="AD1056">
        <v>4</v>
      </c>
      <c r="AE1056">
        <v>65.25</v>
      </c>
      <c r="AF1056">
        <v>65.25</v>
      </c>
      <c r="AG1056" s="29" t="s">
        <v>1370</v>
      </c>
      <c r="AH1056" s="29" t="s">
        <v>1551</v>
      </c>
      <c r="AI1056" s="29" t="s">
        <v>1397</v>
      </c>
      <c r="AJ1056" s="29" t="s">
        <v>1552</v>
      </c>
      <c r="AL1056" s="29" t="s">
        <v>1371</v>
      </c>
    </row>
    <row r="1057" spans="15:38">
      <c r="O1057" t="s">
        <v>24</v>
      </c>
      <c r="P1057" t="s">
        <v>43</v>
      </c>
      <c r="Q1057" t="s">
        <v>18</v>
      </c>
      <c r="R1057" t="s">
        <v>57</v>
      </c>
      <c r="S1057">
        <v>2024.17</v>
      </c>
      <c r="T1057">
        <v>1241.55</v>
      </c>
      <c r="U1057">
        <v>0</v>
      </c>
      <c r="V1057">
        <v>0</v>
      </c>
      <c r="AA1057" s="29" t="s">
        <v>43</v>
      </c>
      <c r="AB1057">
        <v>31200</v>
      </c>
      <c r="AC1057">
        <v>110</v>
      </c>
      <c r="AD1057">
        <v>4</v>
      </c>
      <c r="AE1057">
        <v>1573</v>
      </c>
      <c r="AF1057">
        <v>1573</v>
      </c>
      <c r="AG1057" s="29" t="s">
        <v>1370</v>
      </c>
      <c r="AH1057" s="29" t="s">
        <v>1553</v>
      </c>
      <c r="AI1057" s="29" t="s">
        <v>1397</v>
      </c>
      <c r="AJ1057" s="29" t="s">
        <v>1554</v>
      </c>
      <c r="AL1057" s="29" t="s">
        <v>1371</v>
      </c>
    </row>
    <row r="1058" spans="15:38">
      <c r="O1058" t="s">
        <v>24</v>
      </c>
      <c r="P1058" t="s">
        <v>43</v>
      </c>
      <c r="Q1058" t="s">
        <v>18</v>
      </c>
      <c r="R1058" t="s">
        <v>57</v>
      </c>
      <c r="S1058">
        <v>2024.18</v>
      </c>
      <c r="T1058">
        <v>425.56</v>
      </c>
      <c r="U1058">
        <v>0</v>
      </c>
      <c r="V1058">
        <v>0</v>
      </c>
      <c r="AA1058" s="29" t="s">
        <v>43</v>
      </c>
      <c r="AB1058">
        <v>31200</v>
      </c>
      <c r="AC1058">
        <v>110</v>
      </c>
      <c r="AD1058">
        <v>4</v>
      </c>
      <c r="AE1058">
        <v>110.42</v>
      </c>
      <c r="AF1058">
        <v>110.42</v>
      </c>
      <c r="AG1058" s="29" t="s">
        <v>1370</v>
      </c>
      <c r="AH1058" s="29" t="s">
        <v>1555</v>
      </c>
      <c r="AI1058" s="29" t="s">
        <v>1397</v>
      </c>
      <c r="AJ1058" s="29" t="s">
        <v>1556</v>
      </c>
      <c r="AL1058" s="29" t="s">
        <v>1371</v>
      </c>
    </row>
    <row r="1059" spans="15:38">
      <c r="O1059" t="s">
        <v>24</v>
      </c>
      <c r="P1059" t="s">
        <v>43</v>
      </c>
      <c r="Q1059" t="s">
        <v>18</v>
      </c>
      <c r="R1059" t="s">
        <v>57</v>
      </c>
      <c r="S1059">
        <v>2024.19</v>
      </c>
      <c r="T1059">
        <v>646.94000000000005</v>
      </c>
      <c r="U1059">
        <v>0</v>
      </c>
      <c r="V1059">
        <v>0</v>
      </c>
      <c r="AA1059" s="29" t="s">
        <v>43</v>
      </c>
      <c r="AB1059">
        <v>31200</v>
      </c>
      <c r="AC1059">
        <v>110</v>
      </c>
      <c r="AD1059">
        <v>4</v>
      </c>
      <c r="AE1059">
        <v>27.59</v>
      </c>
      <c r="AF1059">
        <v>27.59</v>
      </c>
      <c r="AG1059" s="29" t="s">
        <v>1370</v>
      </c>
      <c r="AH1059" s="29" t="s">
        <v>1557</v>
      </c>
      <c r="AI1059" s="29" t="s">
        <v>1397</v>
      </c>
      <c r="AJ1059" s="29" t="s">
        <v>1558</v>
      </c>
      <c r="AL1059" s="29" t="s">
        <v>1371</v>
      </c>
    </row>
    <row r="1060" spans="15:38">
      <c r="O1060" t="s">
        <v>24</v>
      </c>
      <c r="P1060" t="s">
        <v>43</v>
      </c>
      <c r="Q1060" t="s">
        <v>18</v>
      </c>
      <c r="R1060" t="s">
        <v>57</v>
      </c>
      <c r="S1060">
        <v>2024.2</v>
      </c>
      <c r="T1060">
        <v>425.56</v>
      </c>
      <c r="U1060">
        <v>0</v>
      </c>
      <c r="V1060">
        <v>0</v>
      </c>
      <c r="AA1060" s="29" t="s">
        <v>43</v>
      </c>
      <c r="AB1060">
        <v>31200</v>
      </c>
      <c r="AC1060">
        <v>110</v>
      </c>
      <c r="AD1060">
        <v>4</v>
      </c>
      <c r="AE1060">
        <v>38.340000000000003</v>
      </c>
      <c r="AF1060">
        <v>38.340000000000003</v>
      </c>
      <c r="AG1060" s="29" t="s">
        <v>1370</v>
      </c>
      <c r="AH1060" s="29" t="s">
        <v>1559</v>
      </c>
      <c r="AI1060" s="29" t="s">
        <v>1397</v>
      </c>
      <c r="AJ1060" s="29" t="s">
        <v>1560</v>
      </c>
      <c r="AL1060" s="29" t="s">
        <v>1371</v>
      </c>
    </row>
    <row r="1061" spans="15:38">
      <c r="O1061" t="s">
        <v>24</v>
      </c>
      <c r="P1061" t="s">
        <v>43</v>
      </c>
      <c r="Q1061" t="s">
        <v>18</v>
      </c>
      <c r="R1061" t="s">
        <v>57</v>
      </c>
      <c r="S1061">
        <v>2024.21</v>
      </c>
      <c r="T1061">
        <v>425.56</v>
      </c>
      <c r="U1061">
        <v>0</v>
      </c>
      <c r="V1061">
        <v>0</v>
      </c>
      <c r="AA1061" s="29" t="s">
        <v>43</v>
      </c>
      <c r="AB1061">
        <v>31200</v>
      </c>
      <c r="AC1061">
        <v>110</v>
      </c>
      <c r="AD1061">
        <v>4</v>
      </c>
      <c r="AE1061">
        <v>63.9</v>
      </c>
      <c r="AF1061">
        <v>63.9</v>
      </c>
      <c r="AG1061" s="29" t="s">
        <v>1370</v>
      </c>
      <c r="AH1061" s="29" t="s">
        <v>1561</v>
      </c>
      <c r="AI1061" s="29" t="s">
        <v>1397</v>
      </c>
      <c r="AJ1061" s="29" t="s">
        <v>1562</v>
      </c>
      <c r="AL1061" s="29" t="s">
        <v>1371</v>
      </c>
    </row>
    <row r="1062" spans="15:38">
      <c r="O1062" t="s">
        <v>24</v>
      </c>
      <c r="P1062" t="s">
        <v>43</v>
      </c>
      <c r="Q1062" t="s">
        <v>18</v>
      </c>
      <c r="R1062" t="s">
        <v>57</v>
      </c>
      <c r="S1062">
        <v>2024.28</v>
      </c>
      <c r="T1062">
        <v>425.56</v>
      </c>
      <c r="U1062">
        <v>0</v>
      </c>
      <c r="V1062">
        <v>0</v>
      </c>
      <c r="AA1062" s="29" t="s">
        <v>43</v>
      </c>
      <c r="AB1062">
        <v>31200</v>
      </c>
      <c r="AC1062">
        <v>110</v>
      </c>
      <c r="AD1062">
        <v>4</v>
      </c>
      <c r="AE1062">
        <v>19.89</v>
      </c>
      <c r="AF1062">
        <v>19.89</v>
      </c>
      <c r="AG1062" s="29" t="s">
        <v>1370</v>
      </c>
      <c r="AH1062" s="29" t="s">
        <v>1563</v>
      </c>
      <c r="AI1062" s="29" t="s">
        <v>1397</v>
      </c>
      <c r="AJ1062" s="29" t="s">
        <v>1564</v>
      </c>
      <c r="AL1062" s="29" t="s">
        <v>1371</v>
      </c>
    </row>
    <row r="1063" spans="15:38">
      <c r="O1063" t="s">
        <v>24</v>
      </c>
      <c r="P1063" t="s">
        <v>43</v>
      </c>
      <c r="Q1063" t="s">
        <v>18</v>
      </c>
      <c r="R1063" t="s">
        <v>57</v>
      </c>
      <c r="S1063">
        <v>2024.38</v>
      </c>
      <c r="T1063">
        <v>425.56</v>
      </c>
      <c r="U1063">
        <v>0</v>
      </c>
      <c r="V1063">
        <v>0</v>
      </c>
      <c r="AA1063" s="29" t="s">
        <v>43</v>
      </c>
      <c r="AB1063">
        <v>31200</v>
      </c>
      <c r="AC1063">
        <v>110</v>
      </c>
      <c r="AD1063">
        <v>4</v>
      </c>
      <c r="AE1063">
        <v>23.34</v>
      </c>
      <c r="AF1063">
        <v>23.34</v>
      </c>
      <c r="AG1063" s="29" t="s">
        <v>1370</v>
      </c>
      <c r="AH1063" s="29" t="s">
        <v>1565</v>
      </c>
      <c r="AI1063" s="29" t="s">
        <v>1397</v>
      </c>
      <c r="AJ1063" s="29" t="s">
        <v>1566</v>
      </c>
      <c r="AL1063" s="29" t="s">
        <v>1371</v>
      </c>
    </row>
    <row r="1064" spans="15:38">
      <c r="O1064" t="s">
        <v>24</v>
      </c>
      <c r="P1064" t="s">
        <v>43</v>
      </c>
      <c r="Q1064" t="s">
        <v>18</v>
      </c>
      <c r="R1064" t="s">
        <v>57</v>
      </c>
      <c r="S1064">
        <v>2024.39</v>
      </c>
      <c r="T1064">
        <v>425.56</v>
      </c>
      <c r="U1064">
        <v>0</v>
      </c>
      <c r="V1064">
        <v>0</v>
      </c>
      <c r="AA1064" s="29" t="s">
        <v>43</v>
      </c>
      <c r="AB1064">
        <v>31200</v>
      </c>
      <c r="AC1064">
        <v>110</v>
      </c>
      <c r="AD1064">
        <v>4</v>
      </c>
      <c r="AE1064">
        <v>13.55</v>
      </c>
      <c r="AF1064">
        <v>13.55</v>
      </c>
      <c r="AG1064" s="29" t="s">
        <v>1370</v>
      </c>
      <c r="AH1064" s="29" t="s">
        <v>1567</v>
      </c>
      <c r="AI1064" s="29" t="s">
        <v>1397</v>
      </c>
      <c r="AJ1064" s="29" t="s">
        <v>1568</v>
      </c>
      <c r="AL1064" s="29" t="s">
        <v>1371</v>
      </c>
    </row>
    <row r="1065" spans="15:38">
      <c r="O1065" t="s">
        <v>24</v>
      </c>
      <c r="P1065" t="s">
        <v>43</v>
      </c>
      <c r="Q1065" t="s">
        <v>18</v>
      </c>
      <c r="R1065" t="s">
        <v>57</v>
      </c>
      <c r="S1065">
        <v>2024.41</v>
      </c>
      <c r="T1065">
        <v>425.56</v>
      </c>
      <c r="U1065">
        <v>0</v>
      </c>
      <c r="V1065">
        <v>0</v>
      </c>
      <c r="AA1065" s="29" t="s">
        <v>43</v>
      </c>
      <c r="AB1065">
        <v>31200</v>
      </c>
      <c r="AC1065">
        <v>110</v>
      </c>
      <c r="AD1065">
        <v>4</v>
      </c>
      <c r="AE1065">
        <v>18.93</v>
      </c>
      <c r="AF1065">
        <v>18.93</v>
      </c>
      <c r="AG1065" s="29" t="s">
        <v>1370</v>
      </c>
      <c r="AH1065" s="29" t="s">
        <v>1569</v>
      </c>
      <c r="AI1065" s="29" t="s">
        <v>1397</v>
      </c>
      <c r="AJ1065" s="29" t="s">
        <v>1570</v>
      </c>
      <c r="AL1065" s="29" t="s">
        <v>1371</v>
      </c>
    </row>
    <row r="1066" spans="15:38">
      <c r="O1066" t="s">
        <v>24</v>
      </c>
      <c r="P1066" t="s">
        <v>43</v>
      </c>
      <c r="Q1066" t="s">
        <v>18</v>
      </c>
      <c r="R1066" t="s">
        <v>57</v>
      </c>
      <c r="S1066">
        <v>2024.43</v>
      </c>
      <c r="T1066">
        <v>425.56</v>
      </c>
      <c r="U1066">
        <v>0</v>
      </c>
      <c r="V1066">
        <v>0</v>
      </c>
      <c r="AA1066" s="29" t="s">
        <v>43</v>
      </c>
      <c r="AB1066">
        <v>31200</v>
      </c>
      <c r="AC1066">
        <v>110</v>
      </c>
      <c r="AD1066">
        <v>4</v>
      </c>
      <c r="AE1066">
        <v>49.14</v>
      </c>
      <c r="AF1066">
        <v>49.14</v>
      </c>
      <c r="AG1066" s="29" t="s">
        <v>1370</v>
      </c>
      <c r="AH1066" s="29" t="s">
        <v>1571</v>
      </c>
      <c r="AI1066" s="29" t="s">
        <v>1397</v>
      </c>
      <c r="AJ1066" s="29" t="s">
        <v>1572</v>
      </c>
      <c r="AL1066" s="29" t="s">
        <v>1371</v>
      </c>
    </row>
    <row r="1067" spans="15:38">
      <c r="O1067" t="s">
        <v>24</v>
      </c>
      <c r="P1067" t="s">
        <v>43</v>
      </c>
      <c r="Q1067" t="s">
        <v>18</v>
      </c>
      <c r="R1067" t="s">
        <v>57</v>
      </c>
      <c r="S1067">
        <v>2024.44</v>
      </c>
      <c r="T1067">
        <v>425.56</v>
      </c>
      <c r="U1067">
        <v>0</v>
      </c>
      <c r="V1067">
        <v>0</v>
      </c>
      <c r="AA1067" s="29" t="s">
        <v>43</v>
      </c>
      <c r="AB1067">
        <v>31200</v>
      </c>
      <c r="AC1067">
        <v>110</v>
      </c>
      <c r="AD1067">
        <v>4</v>
      </c>
      <c r="AE1067">
        <v>12.58</v>
      </c>
      <c r="AF1067">
        <v>12.58</v>
      </c>
      <c r="AG1067" s="29" t="s">
        <v>1370</v>
      </c>
      <c r="AH1067" s="29" t="s">
        <v>1573</v>
      </c>
      <c r="AI1067" s="29" t="s">
        <v>1397</v>
      </c>
      <c r="AJ1067" s="29" t="s">
        <v>1574</v>
      </c>
      <c r="AL1067" s="29" t="s">
        <v>1371</v>
      </c>
    </row>
    <row r="1068" spans="15:38">
      <c r="O1068" t="s">
        <v>24</v>
      </c>
      <c r="P1068" t="s">
        <v>43</v>
      </c>
      <c r="Q1068" t="s">
        <v>18</v>
      </c>
      <c r="R1068" t="s">
        <v>57</v>
      </c>
      <c r="S1068">
        <v>2024.45</v>
      </c>
      <c r="T1068">
        <v>425.56</v>
      </c>
      <c r="U1068">
        <v>0</v>
      </c>
      <c r="V1068">
        <v>0</v>
      </c>
      <c r="AA1068" s="29" t="s">
        <v>43</v>
      </c>
      <c r="AB1068">
        <v>31200</v>
      </c>
      <c r="AC1068">
        <v>110</v>
      </c>
      <c r="AD1068">
        <v>4</v>
      </c>
      <c r="AE1068">
        <v>14.22</v>
      </c>
      <c r="AF1068">
        <v>14.22</v>
      </c>
      <c r="AG1068" s="29" t="s">
        <v>1370</v>
      </c>
      <c r="AH1068" s="29" t="s">
        <v>1575</v>
      </c>
      <c r="AI1068" s="29" t="s">
        <v>1397</v>
      </c>
      <c r="AJ1068" s="29" t="s">
        <v>1576</v>
      </c>
      <c r="AL1068" s="29" t="s">
        <v>1371</v>
      </c>
    </row>
    <row r="1069" spans="15:38">
      <c r="O1069" t="s">
        <v>24</v>
      </c>
      <c r="P1069" t="s">
        <v>43</v>
      </c>
      <c r="Q1069" t="s">
        <v>18</v>
      </c>
      <c r="R1069" t="s">
        <v>57</v>
      </c>
      <c r="S1069">
        <v>2024.47</v>
      </c>
      <c r="T1069">
        <v>425.56</v>
      </c>
      <c r="U1069">
        <v>0</v>
      </c>
      <c r="V1069">
        <v>0</v>
      </c>
      <c r="AA1069" s="29" t="s">
        <v>43</v>
      </c>
      <c r="AB1069">
        <v>31200</v>
      </c>
      <c r="AC1069">
        <v>110</v>
      </c>
      <c r="AD1069">
        <v>4</v>
      </c>
      <c r="AE1069">
        <v>182.27</v>
      </c>
      <c r="AF1069">
        <v>182.27</v>
      </c>
      <c r="AG1069" s="29" t="s">
        <v>1370</v>
      </c>
      <c r="AH1069" s="29" t="s">
        <v>1577</v>
      </c>
      <c r="AI1069" s="29" t="s">
        <v>1397</v>
      </c>
      <c r="AJ1069" s="29" t="s">
        <v>1578</v>
      </c>
      <c r="AL1069" s="29" t="s">
        <v>1371</v>
      </c>
    </row>
    <row r="1070" spans="15:38">
      <c r="O1070" t="s">
        <v>24</v>
      </c>
      <c r="P1070" t="s">
        <v>43</v>
      </c>
      <c r="Q1070" t="s">
        <v>18</v>
      </c>
      <c r="R1070" t="s">
        <v>57</v>
      </c>
      <c r="S1070">
        <v>2024.48</v>
      </c>
      <c r="T1070">
        <v>425.56</v>
      </c>
      <c r="U1070">
        <v>0</v>
      </c>
      <c r="V1070">
        <v>425.56</v>
      </c>
      <c r="AA1070" s="29" t="s">
        <v>43</v>
      </c>
      <c r="AB1070">
        <v>31200</v>
      </c>
      <c r="AC1070">
        <v>110</v>
      </c>
      <c r="AD1070">
        <v>4</v>
      </c>
      <c r="AE1070">
        <v>100.8</v>
      </c>
      <c r="AF1070">
        <v>100.8</v>
      </c>
      <c r="AG1070" s="29" t="s">
        <v>1370</v>
      </c>
      <c r="AH1070" s="29" t="s">
        <v>1579</v>
      </c>
      <c r="AI1070" s="29" t="s">
        <v>1397</v>
      </c>
      <c r="AJ1070" s="29" t="s">
        <v>1580</v>
      </c>
      <c r="AL1070" s="29" t="s">
        <v>1371</v>
      </c>
    </row>
    <row r="1071" spans="15:38">
      <c r="O1071" t="s">
        <v>24</v>
      </c>
      <c r="P1071" t="s">
        <v>43</v>
      </c>
      <c r="Q1071" t="s">
        <v>18</v>
      </c>
      <c r="R1071" t="s">
        <v>57</v>
      </c>
      <c r="S1071">
        <v>2024.49</v>
      </c>
      <c r="T1071">
        <v>425.56</v>
      </c>
      <c r="U1071">
        <v>0</v>
      </c>
      <c r="V1071">
        <v>425.56</v>
      </c>
      <c r="AA1071" s="29" t="s">
        <v>43</v>
      </c>
      <c r="AB1071">
        <v>31200</v>
      </c>
      <c r="AC1071">
        <v>110</v>
      </c>
      <c r="AD1071">
        <v>4</v>
      </c>
      <c r="AE1071">
        <v>122.82</v>
      </c>
      <c r="AF1071">
        <v>122.82</v>
      </c>
      <c r="AG1071" s="29" t="s">
        <v>1370</v>
      </c>
      <c r="AH1071" s="29" t="s">
        <v>1581</v>
      </c>
      <c r="AI1071" s="29" t="s">
        <v>1397</v>
      </c>
      <c r="AJ1071" s="29" t="s">
        <v>1582</v>
      </c>
      <c r="AL1071" s="29" t="s">
        <v>1371</v>
      </c>
    </row>
    <row r="1072" spans="15:38">
      <c r="O1072" t="s">
        <v>24</v>
      </c>
      <c r="P1072" t="s">
        <v>43</v>
      </c>
      <c r="Q1072" t="s">
        <v>18</v>
      </c>
      <c r="R1072" t="s">
        <v>57</v>
      </c>
      <c r="S1072">
        <v>2025.03</v>
      </c>
      <c r="T1072">
        <v>425.56</v>
      </c>
      <c r="U1072">
        <v>0</v>
      </c>
      <c r="V1072">
        <v>425.56</v>
      </c>
      <c r="AA1072" s="29" t="s">
        <v>43</v>
      </c>
      <c r="AB1072">
        <v>31200</v>
      </c>
      <c r="AC1072">
        <v>110</v>
      </c>
      <c r="AD1072">
        <v>4</v>
      </c>
      <c r="AE1072">
        <v>28.45</v>
      </c>
      <c r="AF1072">
        <v>28.45</v>
      </c>
      <c r="AG1072" s="29" t="s">
        <v>1370</v>
      </c>
      <c r="AH1072" s="29" t="s">
        <v>1583</v>
      </c>
      <c r="AI1072" s="29" t="s">
        <v>1397</v>
      </c>
      <c r="AJ1072" s="29" t="s">
        <v>1584</v>
      </c>
      <c r="AL1072" s="29" t="s">
        <v>1371</v>
      </c>
    </row>
    <row r="1073" spans="15:38">
      <c r="O1073" t="s">
        <v>24</v>
      </c>
      <c r="P1073" t="s">
        <v>43</v>
      </c>
      <c r="Q1073" t="s">
        <v>18</v>
      </c>
      <c r="R1073" t="s">
        <v>57</v>
      </c>
      <c r="S1073">
        <v>2025.08</v>
      </c>
      <c r="T1073">
        <v>425.56</v>
      </c>
      <c r="U1073">
        <v>0</v>
      </c>
      <c r="V1073">
        <v>425.56</v>
      </c>
      <c r="AA1073" s="29" t="s">
        <v>43</v>
      </c>
      <c r="AB1073">
        <v>31200</v>
      </c>
      <c r="AC1073">
        <v>110</v>
      </c>
      <c r="AD1073">
        <v>4</v>
      </c>
      <c r="AE1073">
        <v>14.22</v>
      </c>
      <c r="AF1073">
        <v>14.22</v>
      </c>
      <c r="AG1073" s="29" t="s">
        <v>1370</v>
      </c>
      <c r="AH1073" s="29" t="s">
        <v>1575</v>
      </c>
      <c r="AI1073" s="29" t="s">
        <v>1397</v>
      </c>
      <c r="AJ1073" s="29" t="s">
        <v>1576</v>
      </c>
      <c r="AL1073" s="29" t="s">
        <v>1371</v>
      </c>
    </row>
    <row r="1074" spans="15:38">
      <c r="O1074" t="s">
        <v>24</v>
      </c>
      <c r="P1074" t="s">
        <v>43</v>
      </c>
      <c r="Q1074" t="s">
        <v>18</v>
      </c>
      <c r="R1074" t="s">
        <v>57</v>
      </c>
      <c r="S1074">
        <v>2025.1</v>
      </c>
      <c r="T1074">
        <v>425.56</v>
      </c>
      <c r="U1074">
        <v>0</v>
      </c>
      <c r="V1074">
        <v>425.56</v>
      </c>
      <c r="AA1074" s="29" t="s">
        <v>43</v>
      </c>
      <c r="AB1074">
        <v>31200</v>
      </c>
      <c r="AC1074">
        <v>110</v>
      </c>
      <c r="AD1074">
        <v>4</v>
      </c>
      <c r="AE1074">
        <v>90.81</v>
      </c>
      <c r="AF1074">
        <v>90.81</v>
      </c>
      <c r="AG1074" s="29" t="s">
        <v>1370</v>
      </c>
      <c r="AH1074" s="29" t="s">
        <v>1473</v>
      </c>
      <c r="AI1074" s="29" t="s">
        <v>1397</v>
      </c>
      <c r="AJ1074" s="29" t="s">
        <v>1474</v>
      </c>
      <c r="AL1074" s="29" t="s">
        <v>1371</v>
      </c>
    </row>
    <row r="1075" spans="15:38">
      <c r="O1075" t="s">
        <v>24</v>
      </c>
      <c r="P1075" t="s">
        <v>43</v>
      </c>
      <c r="Q1075" t="s">
        <v>18</v>
      </c>
      <c r="R1075" t="s">
        <v>57</v>
      </c>
      <c r="S1075">
        <v>2025.11</v>
      </c>
      <c r="T1075">
        <v>425.56</v>
      </c>
      <c r="U1075">
        <v>0</v>
      </c>
      <c r="V1075">
        <v>425.56</v>
      </c>
      <c r="AA1075" s="29" t="s">
        <v>43</v>
      </c>
      <c r="AB1075">
        <v>31200</v>
      </c>
      <c r="AC1075">
        <v>110</v>
      </c>
      <c r="AD1075">
        <v>4</v>
      </c>
      <c r="AE1075">
        <v>475.94</v>
      </c>
      <c r="AF1075">
        <v>475.94</v>
      </c>
      <c r="AG1075" s="29" t="s">
        <v>1370</v>
      </c>
      <c r="AH1075" s="29" t="s">
        <v>1585</v>
      </c>
      <c r="AI1075" s="29" t="s">
        <v>1397</v>
      </c>
      <c r="AJ1075" s="29" t="s">
        <v>1586</v>
      </c>
      <c r="AL1075" s="29" t="s">
        <v>1371</v>
      </c>
    </row>
    <row r="1076" spans="15:38">
      <c r="O1076" t="s">
        <v>24</v>
      </c>
      <c r="P1076" t="s">
        <v>43</v>
      </c>
      <c r="Q1076" t="s">
        <v>18</v>
      </c>
      <c r="R1076" t="s">
        <v>57</v>
      </c>
      <c r="S1076">
        <v>2025.12</v>
      </c>
      <c r="T1076">
        <v>425.56</v>
      </c>
      <c r="U1076">
        <v>0</v>
      </c>
      <c r="V1076">
        <v>425.56</v>
      </c>
      <c r="AA1076" s="29" t="s">
        <v>43</v>
      </c>
      <c r="AB1076">
        <v>31200</v>
      </c>
      <c r="AC1076">
        <v>110</v>
      </c>
      <c r="AD1076">
        <v>4</v>
      </c>
      <c r="AE1076">
        <v>3222.45</v>
      </c>
      <c r="AF1076">
        <v>3222.45</v>
      </c>
      <c r="AG1076" s="29" t="s">
        <v>1370</v>
      </c>
      <c r="AH1076" s="29" t="s">
        <v>1587</v>
      </c>
      <c r="AI1076" s="29" t="s">
        <v>1397</v>
      </c>
      <c r="AJ1076" s="29" t="s">
        <v>1588</v>
      </c>
      <c r="AL1076" s="29" t="s">
        <v>1371</v>
      </c>
    </row>
    <row r="1077" spans="15:38">
      <c r="O1077" t="s">
        <v>24</v>
      </c>
      <c r="P1077" t="s">
        <v>43</v>
      </c>
      <c r="Q1077" t="s">
        <v>18</v>
      </c>
      <c r="R1077" t="s">
        <v>58</v>
      </c>
      <c r="S1077">
        <v>2023.51</v>
      </c>
      <c r="T1077">
        <v>28119.55</v>
      </c>
      <c r="U1077">
        <v>0</v>
      </c>
      <c r="V1077">
        <v>0</v>
      </c>
      <c r="AA1077" s="29" t="s">
        <v>43</v>
      </c>
      <c r="AB1077">
        <v>31200</v>
      </c>
      <c r="AC1077">
        <v>110</v>
      </c>
      <c r="AD1077">
        <v>4</v>
      </c>
      <c r="AE1077">
        <v>264.14999999999998</v>
      </c>
      <c r="AF1077">
        <v>264.14999999999998</v>
      </c>
      <c r="AG1077" s="29" t="s">
        <v>1370</v>
      </c>
      <c r="AH1077" s="29" t="s">
        <v>1589</v>
      </c>
      <c r="AI1077" s="29" t="s">
        <v>1397</v>
      </c>
      <c r="AJ1077" s="29" t="s">
        <v>1590</v>
      </c>
      <c r="AL1077" s="29" t="s">
        <v>1371</v>
      </c>
    </row>
    <row r="1078" spans="15:38">
      <c r="O1078" t="s">
        <v>24</v>
      </c>
      <c r="P1078" t="s">
        <v>43</v>
      </c>
      <c r="Q1078" t="s">
        <v>18</v>
      </c>
      <c r="R1078" t="s">
        <v>58</v>
      </c>
      <c r="S1078">
        <v>2024.05</v>
      </c>
      <c r="T1078">
        <v>18431.12</v>
      </c>
      <c r="U1078">
        <v>0</v>
      </c>
      <c r="V1078">
        <v>0</v>
      </c>
      <c r="AA1078" s="29" t="s">
        <v>43</v>
      </c>
      <c r="AB1078">
        <v>31200</v>
      </c>
      <c r="AC1078">
        <v>110</v>
      </c>
      <c r="AD1078">
        <v>4</v>
      </c>
      <c r="AE1078">
        <v>25.53</v>
      </c>
      <c r="AF1078">
        <v>25.53</v>
      </c>
      <c r="AG1078" s="29" t="s">
        <v>1370</v>
      </c>
      <c r="AH1078" s="29" t="s">
        <v>1591</v>
      </c>
      <c r="AI1078" s="29" t="s">
        <v>1397</v>
      </c>
      <c r="AJ1078" s="29" t="s">
        <v>1592</v>
      </c>
      <c r="AL1078" s="29" t="s">
        <v>1371</v>
      </c>
    </row>
    <row r="1079" spans="15:38">
      <c r="O1079" t="s">
        <v>24</v>
      </c>
      <c r="P1079" t="s">
        <v>43</v>
      </c>
      <c r="Q1079" t="s">
        <v>18</v>
      </c>
      <c r="R1079" t="s">
        <v>58</v>
      </c>
      <c r="S1079">
        <v>2024.06</v>
      </c>
      <c r="T1079">
        <v>17229.080000000002</v>
      </c>
      <c r="U1079">
        <v>0</v>
      </c>
      <c r="V1079">
        <v>0</v>
      </c>
      <c r="AA1079" s="29" t="s">
        <v>43</v>
      </c>
      <c r="AB1079">
        <v>31200</v>
      </c>
      <c r="AC1079">
        <v>110</v>
      </c>
      <c r="AD1079">
        <v>4</v>
      </c>
      <c r="AE1079">
        <v>8.39</v>
      </c>
      <c r="AF1079">
        <v>8.39</v>
      </c>
      <c r="AG1079" s="29" t="s">
        <v>1370</v>
      </c>
      <c r="AH1079" s="29" t="s">
        <v>1593</v>
      </c>
      <c r="AI1079" s="29" t="s">
        <v>1397</v>
      </c>
      <c r="AJ1079" s="29" t="s">
        <v>1594</v>
      </c>
      <c r="AL1079" s="29" t="s">
        <v>1371</v>
      </c>
    </row>
    <row r="1080" spans="15:38">
      <c r="O1080" t="s">
        <v>24</v>
      </c>
      <c r="P1080" t="s">
        <v>43</v>
      </c>
      <c r="Q1080" t="s">
        <v>18</v>
      </c>
      <c r="R1080" t="s">
        <v>58</v>
      </c>
      <c r="S1080">
        <v>2024.07</v>
      </c>
      <c r="T1080">
        <v>19784.8</v>
      </c>
      <c r="U1080">
        <v>0</v>
      </c>
      <c r="V1080">
        <v>0</v>
      </c>
      <c r="AA1080" s="29" t="s">
        <v>43</v>
      </c>
      <c r="AB1080">
        <v>31200</v>
      </c>
      <c r="AC1080">
        <v>110</v>
      </c>
      <c r="AD1080">
        <v>4</v>
      </c>
      <c r="AE1080">
        <v>78.540000000000006</v>
      </c>
      <c r="AF1080">
        <v>78.540000000000006</v>
      </c>
      <c r="AG1080" s="29" t="s">
        <v>1370</v>
      </c>
      <c r="AH1080" s="29" t="s">
        <v>1595</v>
      </c>
      <c r="AI1080" s="29" t="s">
        <v>1397</v>
      </c>
      <c r="AJ1080" s="29" t="s">
        <v>1596</v>
      </c>
      <c r="AL1080" s="29" t="s">
        <v>1371</v>
      </c>
    </row>
    <row r="1081" spans="15:38">
      <c r="O1081" t="s">
        <v>24</v>
      </c>
      <c r="P1081" t="s">
        <v>43</v>
      </c>
      <c r="Q1081" t="s">
        <v>18</v>
      </c>
      <c r="R1081" t="s">
        <v>58</v>
      </c>
      <c r="S1081">
        <v>2024.08</v>
      </c>
      <c r="T1081">
        <v>23403.73</v>
      </c>
      <c r="U1081">
        <v>0</v>
      </c>
      <c r="V1081">
        <v>0</v>
      </c>
      <c r="AA1081" s="29" t="s">
        <v>43</v>
      </c>
      <c r="AB1081">
        <v>31200</v>
      </c>
      <c r="AC1081">
        <v>110</v>
      </c>
      <c r="AD1081">
        <v>4</v>
      </c>
      <c r="AE1081">
        <v>38.159999999999997</v>
      </c>
      <c r="AF1081">
        <v>38.159999999999997</v>
      </c>
      <c r="AG1081" s="29" t="s">
        <v>1370</v>
      </c>
      <c r="AH1081" s="29" t="s">
        <v>1597</v>
      </c>
      <c r="AI1081" s="29" t="s">
        <v>1397</v>
      </c>
      <c r="AJ1081" s="29" t="s">
        <v>1598</v>
      </c>
      <c r="AL1081" s="29" t="s">
        <v>1371</v>
      </c>
    </row>
    <row r="1082" spans="15:38">
      <c r="O1082" t="s">
        <v>24</v>
      </c>
      <c r="P1082" t="s">
        <v>43</v>
      </c>
      <c r="Q1082" t="s">
        <v>18</v>
      </c>
      <c r="R1082" t="s">
        <v>58</v>
      </c>
      <c r="S1082">
        <v>2024.09</v>
      </c>
      <c r="T1082">
        <v>28119.55</v>
      </c>
      <c r="U1082">
        <v>0</v>
      </c>
      <c r="V1082">
        <v>0</v>
      </c>
      <c r="AA1082" s="29" t="s">
        <v>43</v>
      </c>
      <c r="AB1082">
        <v>31200</v>
      </c>
      <c r="AC1082">
        <v>110</v>
      </c>
      <c r="AD1082">
        <v>4</v>
      </c>
      <c r="AE1082">
        <v>16.350000000000001</v>
      </c>
      <c r="AF1082">
        <v>16.350000000000001</v>
      </c>
      <c r="AG1082" s="29" t="s">
        <v>1370</v>
      </c>
      <c r="AH1082" s="29" t="s">
        <v>1599</v>
      </c>
      <c r="AI1082" s="29" t="s">
        <v>1397</v>
      </c>
      <c r="AJ1082" s="29" t="s">
        <v>1600</v>
      </c>
      <c r="AL1082" s="29" t="s">
        <v>1371</v>
      </c>
    </row>
    <row r="1083" spans="15:38">
      <c r="O1083" t="s">
        <v>24</v>
      </c>
      <c r="P1083" t="s">
        <v>43</v>
      </c>
      <c r="Q1083" t="s">
        <v>18</v>
      </c>
      <c r="R1083" t="s">
        <v>58</v>
      </c>
      <c r="S1083">
        <v>2024.1</v>
      </c>
      <c r="T1083">
        <v>26113.68</v>
      </c>
      <c r="U1083">
        <v>0</v>
      </c>
      <c r="V1083">
        <v>0</v>
      </c>
      <c r="AA1083" s="29" t="s">
        <v>43</v>
      </c>
      <c r="AB1083">
        <v>31200</v>
      </c>
      <c r="AC1083">
        <v>110</v>
      </c>
      <c r="AD1083">
        <v>4</v>
      </c>
      <c r="AE1083">
        <v>212.66</v>
      </c>
      <c r="AF1083">
        <v>212.66</v>
      </c>
      <c r="AG1083" s="29" t="s">
        <v>1370</v>
      </c>
      <c r="AH1083" s="29" t="s">
        <v>1601</v>
      </c>
      <c r="AI1083" s="29" t="s">
        <v>1397</v>
      </c>
      <c r="AJ1083" s="29" t="s">
        <v>1602</v>
      </c>
      <c r="AL1083" s="29" t="s">
        <v>1371</v>
      </c>
    </row>
    <row r="1084" spans="15:38">
      <c r="O1084" t="s">
        <v>24</v>
      </c>
      <c r="P1084" t="s">
        <v>43</v>
      </c>
      <c r="Q1084" t="s">
        <v>18</v>
      </c>
      <c r="R1084" t="s">
        <v>58</v>
      </c>
      <c r="S1084">
        <v>2024.11</v>
      </c>
      <c r="T1084">
        <v>26028.94</v>
      </c>
      <c r="U1084">
        <v>0</v>
      </c>
      <c r="V1084">
        <v>0</v>
      </c>
      <c r="AA1084" s="29" t="s">
        <v>43</v>
      </c>
      <c r="AB1084">
        <v>31200</v>
      </c>
      <c r="AC1084">
        <v>110</v>
      </c>
      <c r="AD1084">
        <v>4</v>
      </c>
      <c r="AE1084">
        <v>6.86</v>
      </c>
      <c r="AF1084">
        <v>6.86</v>
      </c>
      <c r="AG1084" s="29" t="s">
        <v>1370</v>
      </c>
      <c r="AH1084" s="29" t="s">
        <v>1500</v>
      </c>
      <c r="AI1084" s="29" t="s">
        <v>1397</v>
      </c>
      <c r="AJ1084" s="29" t="s">
        <v>1603</v>
      </c>
      <c r="AL1084" s="29" t="s">
        <v>1371</v>
      </c>
    </row>
    <row r="1085" spans="15:38">
      <c r="O1085" t="s">
        <v>24</v>
      </c>
      <c r="P1085" t="s">
        <v>43</v>
      </c>
      <c r="Q1085" t="s">
        <v>18</v>
      </c>
      <c r="R1085" t="s">
        <v>58</v>
      </c>
      <c r="S1085">
        <v>2024.12</v>
      </c>
      <c r="T1085">
        <v>21480.05</v>
      </c>
      <c r="U1085">
        <v>0</v>
      </c>
      <c r="V1085">
        <v>0</v>
      </c>
      <c r="AA1085" s="29" t="s">
        <v>43</v>
      </c>
      <c r="AB1085">
        <v>31200</v>
      </c>
      <c r="AC1085">
        <v>110</v>
      </c>
      <c r="AD1085">
        <v>4</v>
      </c>
      <c r="AE1085">
        <v>47.07</v>
      </c>
      <c r="AF1085">
        <v>47.07</v>
      </c>
      <c r="AG1085" s="29" t="s">
        <v>1370</v>
      </c>
      <c r="AH1085" s="29" t="s">
        <v>1604</v>
      </c>
      <c r="AI1085" s="29" t="s">
        <v>1397</v>
      </c>
      <c r="AJ1085" s="29" t="s">
        <v>1605</v>
      </c>
      <c r="AL1085" s="29" t="s">
        <v>1371</v>
      </c>
    </row>
    <row r="1086" spans="15:38">
      <c r="O1086" t="s">
        <v>24</v>
      </c>
      <c r="P1086" t="s">
        <v>43</v>
      </c>
      <c r="Q1086" t="s">
        <v>18</v>
      </c>
      <c r="R1086" t="s">
        <v>58</v>
      </c>
      <c r="S1086">
        <v>2024.14</v>
      </c>
      <c r="T1086">
        <v>21148.67</v>
      </c>
      <c r="U1086">
        <v>0</v>
      </c>
      <c r="V1086">
        <v>0</v>
      </c>
      <c r="AA1086" s="29" t="s">
        <v>43</v>
      </c>
      <c r="AB1086">
        <v>31200</v>
      </c>
      <c r="AC1086">
        <v>110</v>
      </c>
      <c r="AD1086">
        <v>4</v>
      </c>
      <c r="AE1086">
        <v>43.2</v>
      </c>
      <c r="AF1086">
        <v>43.2</v>
      </c>
      <c r="AG1086" s="29" t="s">
        <v>1370</v>
      </c>
      <c r="AH1086" s="29" t="s">
        <v>1606</v>
      </c>
      <c r="AI1086" s="29" t="s">
        <v>1397</v>
      </c>
      <c r="AJ1086" s="29" t="s">
        <v>1607</v>
      </c>
      <c r="AL1086" s="29" t="s">
        <v>1371</v>
      </c>
    </row>
    <row r="1087" spans="15:38">
      <c r="O1087" t="s">
        <v>24</v>
      </c>
      <c r="P1087" t="s">
        <v>43</v>
      </c>
      <c r="Q1087" t="s">
        <v>18</v>
      </c>
      <c r="R1087" t="s">
        <v>58</v>
      </c>
      <c r="S1087">
        <v>2024.17</v>
      </c>
      <c r="T1087">
        <v>20981.63</v>
      </c>
      <c r="U1087">
        <v>0</v>
      </c>
      <c r="V1087">
        <v>0</v>
      </c>
      <c r="AA1087" s="29" t="s">
        <v>43</v>
      </c>
      <c r="AB1087">
        <v>31200</v>
      </c>
      <c r="AC1087">
        <v>110</v>
      </c>
      <c r="AD1087">
        <v>4</v>
      </c>
      <c r="AE1087">
        <v>43.2</v>
      </c>
      <c r="AF1087">
        <v>43.2</v>
      </c>
      <c r="AG1087" s="29" t="s">
        <v>1370</v>
      </c>
      <c r="AH1087" s="29" t="s">
        <v>1606</v>
      </c>
      <c r="AI1087" s="29" t="s">
        <v>1397</v>
      </c>
      <c r="AJ1087" s="29" t="s">
        <v>1607</v>
      </c>
      <c r="AL1087" s="29" t="s">
        <v>1371</v>
      </c>
    </row>
    <row r="1088" spans="15:38">
      <c r="O1088" t="s">
        <v>24</v>
      </c>
      <c r="P1088" t="s">
        <v>43</v>
      </c>
      <c r="Q1088" t="s">
        <v>18</v>
      </c>
      <c r="R1088" t="s">
        <v>58</v>
      </c>
      <c r="S1088">
        <v>2024.18</v>
      </c>
      <c r="T1088">
        <v>24408.04</v>
      </c>
      <c r="U1088">
        <v>0</v>
      </c>
      <c r="V1088">
        <v>0</v>
      </c>
      <c r="AA1088" s="29" t="s">
        <v>43</v>
      </c>
      <c r="AB1088">
        <v>31200</v>
      </c>
      <c r="AC1088">
        <v>110</v>
      </c>
      <c r="AD1088">
        <v>4</v>
      </c>
      <c r="AE1088">
        <v>304.08</v>
      </c>
      <c r="AF1088">
        <v>304.08</v>
      </c>
      <c r="AG1088" s="29" t="s">
        <v>1370</v>
      </c>
      <c r="AH1088" s="29" t="s">
        <v>1608</v>
      </c>
      <c r="AI1088" s="29" t="s">
        <v>1397</v>
      </c>
      <c r="AJ1088" s="29" t="s">
        <v>1609</v>
      </c>
      <c r="AL1088" s="29" t="s">
        <v>1371</v>
      </c>
    </row>
    <row r="1089" spans="15:38">
      <c r="O1089" t="s">
        <v>24</v>
      </c>
      <c r="P1089" t="s">
        <v>43</v>
      </c>
      <c r="Q1089" t="s">
        <v>18</v>
      </c>
      <c r="R1089" t="s">
        <v>58</v>
      </c>
      <c r="S1089">
        <v>2024.19</v>
      </c>
      <c r="T1089">
        <v>24262.49</v>
      </c>
      <c r="U1089">
        <v>0</v>
      </c>
      <c r="V1089">
        <v>0</v>
      </c>
      <c r="AA1089" s="29" t="s">
        <v>43</v>
      </c>
      <c r="AB1089">
        <v>31200</v>
      </c>
      <c r="AC1089">
        <v>110</v>
      </c>
      <c r="AD1089">
        <v>4</v>
      </c>
      <c r="AE1089">
        <v>17.010000000000002</v>
      </c>
      <c r="AF1089">
        <v>17.010000000000002</v>
      </c>
      <c r="AG1089" s="29" t="s">
        <v>1370</v>
      </c>
      <c r="AH1089" s="29" t="s">
        <v>1610</v>
      </c>
      <c r="AI1089" s="29" t="s">
        <v>1397</v>
      </c>
      <c r="AJ1089" s="29" t="s">
        <v>1611</v>
      </c>
      <c r="AL1089" s="29" t="s">
        <v>1371</v>
      </c>
    </row>
    <row r="1090" spans="15:38">
      <c r="O1090" t="s">
        <v>24</v>
      </c>
      <c r="P1090" t="s">
        <v>43</v>
      </c>
      <c r="Q1090" t="s">
        <v>18</v>
      </c>
      <c r="R1090" t="s">
        <v>58</v>
      </c>
      <c r="S1090">
        <v>2024.2</v>
      </c>
      <c r="T1090">
        <v>22590.34</v>
      </c>
      <c r="U1090">
        <v>0</v>
      </c>
      <c r="V1090">
        <v>0</v>
      </c>
      <c r="AA1090" s="29" t="s">
        <v>43</v>
      </c>
      <c r="AB1090">
        <v>31200</v>
      </c>
      <c r="AC1090">
        <v>110</v>
      </c>
      <c r="AD1090">
        <v>4</v>
      </c>
      <c r="AE1090">
        <v>1.83</v>
      </c>
      <c r="AF1090">
        <v>1.83</v>
      </c>
      <c r="AG1090" s="29" t="s">
        <v>1370</v>
      </c>
      <c r="AH1090" s="29" t="s">
        <v>1612</v>
      </c>
      <c r="AI1090" s="29" t="s">
        <v>1397</v>
      </c>
      <c r="AJ1090" s="29" t="s">
        <v>1613</v>
      </c>
      <c r="AL1090" s="29" t="s">
        <v>1371</v>
      </c>
    </row>
    <row r="1091" spans="15:38">
      <c r="O1091" t="s">
        <v>24</v>
      </c>
      <c r="P1091" t="s">
        <v>43</v>
      </c>
      <c r="Q1091" t="s">
        <v>18</v>
      </c>
      <c r="R1091" t="s">
        <v>58</v>
      </c>
      <c r="S1091">
        <v>2024.21</v>
      </c>
      <c r="T1091">
        <v>22941.3</v>
      </c>
      <c r="U1091">
        <v>0</v>
      </c>
      <c r="V1091">
        <v>0</v>
      </c>
      <c r="AA1091" s="29" t="s">
        <v>43</v>
      </c>
      <c r="AB1091">
        <v>31200</v>
      </c>
      <c r="AC1091">
        <v>110</v>
      </c>
      <c r="AD1091">
        <v>4</v>
      </c>
      <c r="AE1091">
        <v>4.34</v>
      </c>
      <c r="AF1091">
        <v>4.34</v>
      </c>
      <c r="AG1091" s="29" t="s">
        <v>1370</v>
      </c>
      <c r="AH1091" s="29" t="s">
        <v>1614</v>
      </c>
      <c r="AI1091" s="29" t="s">
        <v>1397</v>
      </c>
      <c r="AJ1091" s="29" t="s">
        <v>1615</v>
      </c>
      <c r="AL1091" s="29" t="s">
        <v>1371</v>
      </c>
    </row>
    <row r="1092" spans="15:38">
      <c r="O1092" t="s">
        <v>24</v>
      </c>
      <c r="P1092" t="s">
        <v>43</v>
      </c>
      <c r="Q1092" t="s">
        <v>18</v>
      </c>
      <c r="R1092" t="s">
        <v>58</v>
      </c>
      <c r="S1092">
        <v>2024.28</v>
      </c>
      <c r="T1092">
        <v>22359.22</v>
      </c>
      <c r="U1092">
        <v>0</v>
      </c>
      <c r="V1092">
        <v>0</v>
      </c>
      <c r="AA1092" s="29" t="s">
        <v>43</v>
      </c>
      <c r="AB1092">
        <v>31200</v>
      </c>
      <c r="AC1092">
        <v>110</v>
      </c>
      <c r="AD1092">
        <v>4</v>
      </c>
      <c r="AE1092">
        <v>35.130000000000003</v>
      </c>
      <c r="AF1092">
        <v>35.130000000000003</v>
      </c>
      <c r="AG1092" s="29" t="s">
        <v>1370</v>
      </c>
      <c r="AH1092" s="29" t="s">
        <v>1616</v>
      </c>
      <c r="AI1092" s="29" t="s">
        <v>1397</v>
      </c>
      <c r="AJ1092" s="29" t="s">
        <v>1617</v>
      </c>
      <c r="AL1092" s="29" t="s">
        <v>1371</v>
      </c>
    </row>
    <row r="1093" spans="15:38">
      <c r="O1093" t="s">
        <v>24</v>
      </c>
      <c r="P1093" t="s">
        <v>43</v>
      </c>
      <c r="Q1093" t="s">
        <v>18</v>
      </c>
      <c r="R1093" t="s">
        <v>58</v>
      </c>
      <c r="S1093">
        <v>2024.38</v>
      </c>
      <c r="T1093">
        <v>22359.22</v>
      </c>
      <c r="U1093">
        <v>0</v>
      </c>
      <c r="V1093">
        <v>0</v>
      </c>
      <c r="AA1093" s="29" t="s">
        <v>43</v>
      </c>
      <c r="AB1093">
        <v>31200</v>
      </c>
      <c r="AC1093">
        <v>110</v>
      </c>
      <c r="AD1093">
        <v>4</v>
      </c>
      <c r="AE1093">
        <v>55.71</v>
      </c>
      <c r="AF1093">
        <v>55.71</v>
      </c>
      <c r="AG1093" s="29" t="s">
        <v>1370</v>
      </c>
      <c r="AH1093" s="29" t="s">
        <v>1618</v>
      </c>
      <c r="AI1093" s="29" t="s">
        <v>1397</v>
      </c>
      <c r="AJ1093" s="29" t="s">
        <v>1619</v>
      </c>
      <c r="AL1093" s="29" t="s">
        <v>1371</v>
      </c>
    </row>
    <row r="1094" spans="15:38">
      <c r="O1094" t="s">
        <v>24</v>
      </c>
      <c r="P1094" t="s">
        <v>43</v>
      </c>
      <c r="Q1094" t="s">
        <v>18</v>
      </c>
      <c r="R1094" t="s">
        <v>58</v>
      </c>
      <c r="S1094">
        <v>2024.39</v>
      </c>
      <c r="T1094">
        <v>22359.22</v>
      </c>
      <c r="U1094">
        <v>0</v>
      </c>
      <c r="V1094">
        <v>0</v>
      </c>
      <c r="AA1094" s="29" t="s">
        <v>43</v>
      </c>
      <c r="AB1094">
        <v>31200</v>
      </c>
      <c r="AC1094">
        <v>110</v>
      </c>
      <c r="AD1094">
        <v>4</v>
      </c>
      <c r="AE1094">
        <v>93.15</v>
      </c>
      <c r="AF1094">
        <v>93.15</v>
      </c>
      <c r="AG1094" s="29" t="s">
        <v>1370</v>
      </c>
      <c r="AH1094" s="29" t="s">
        <v>1620</v>
      </c>
      <c r="AI1094" s="29" t="s">
        <v>1397</v>
      </c>
      <c r="AJ1094" s="29" t="s">
        <v>1621</v>
      </c>
      <c r="AL1094" s="29" t="s">
        <v>1371</v>
      </c>
    </row>
    <row r="1095" spans="15:38">
      <c r="O1095" t="s">
        <v>24</v>
      </c>
      <c r="P1095" t="s">
        <v>43</v>
      </c>
      <c r="Q1095" t="s">
        <v>18</v>
      </c>
      <c r="R1095" t="s">
        <v>58</v>
      </c>
      <c r="S1095">
        <v>2024.41</v>
      </c>
      <c r="T1095">
        <v>21364.21</v>
      </c>
      <c r="U1095">
        <v>0</v>
      </c>
      <c r="V1095">
        <v>0</v>
      </c>
      <c r="AA1095" s="29" t="s">
        <v>43</v>
      </c>
      <c r="AB1095">
        <v>31200</v>
      </c>
      <c r="AC1095">
        <v>110</v>
      </c>
      <c r="AD1095">
        <v>4</v>
      </c>
      <c r="AE1095">
        <v>25.02</v>
      </c>
      <c r="AF1095">
        <v>25.02</v>
      </c>
      <c r="AG1095" s="29" t="s">
        <v>1370</v>
      </c>
      <c r="AH1095" s="29" t="s">
        <v>1622</v>
      </c>
      <c r="AI1095" s="29" t="s">
        <v>1397</v>
      </c>
      <c r="AJ1095" s="29" t="s">
        <v>1623</v>
      </c>
      <c r="AL1095" s="29" t="s">
        <v>1371</v>
      </c>
    </row>
    <row r="1096" spans="15:38">
      <c r="O1096" t="s">
        <v>24</v>
      </c>
      <c r="P1096" t="s">
        <v>43</v>
      </c>
      <c r="Q1096" t="s">
        <v>18</v>
      </c>
      <c r="R1096" t="s">
        <v>58</v>
      </c>
      <c r="S1096">
        <v>2024.43</v>
      </c>
      <c r="T1096">
        <v>11549.99</v>
      </c>
      <c r="U1096">
        <v>0</v>
      </c>
      <c r="V1096">
        <v>0</v>
      </c>
      <c r="AA1096" s="29" t="s">
        <v>43</v>
      </c>
      <c r="AB1096">
        <v>31200</v>
      </c>
      <c r="AC1096">
        <v>110</v>
      </c>
      <c r="AD1096">
        <v>4</v>
      </c>
      <c r="AE1096">
        <v>13.59</v>
      </c>
      <c r="AF1096">
        <v>13.59</v>
      </c>
      <c r="AG1096" s="29" t="s">
        <v>1370</v>
      </c>
      <c r="AH1096" s="29" t="s">
        <v>1624</v>
      </c>
      <c r="AI1096" s="29" t="s">
        <v>1397</v>
      </c>
      <c r="AJ1096" s="29" t="s">
        <v>1625</v>
      </c>
      <c r="AL1096" s="29" t="s">
        <v>1371</v>
      </c>
    </row>
    <row r="1097" spans="15:38">
      <c r="O1097" t="s">
        <v>24</v>
      </c>
      <c r="P1097" t="s">
        <v>43</v>
      </c>
      <c r="Q1097" t="s">
        <v>18</v>
      </c>
      <c r="R1097" t="s">
        <v>58</v>
      </c>
      <c r="S1097">
        <v>2024.44</v>
      </c>
      <c r="T1097">
        <v>10490.97</v>
      </c>
      <c r="U1097">
        <v>0</v>
      </c>
      <c r="V1097">
        <v>0</v>
      </c>
      <c r="AA1097" s="29" t="s">
        <v>43</v>
      </c>
      <c r="AB1097">
        <v>31200</v>
      </c>
      <c r="AC1097">
        <v>110</v>
      </c>
      <c r="AD1097">
        <v>4</v>
      </c>
      <c r="AE1097">
        <v>37.78</v>
      </c>
      <c r="AF1097">
        <v>37.78</v>
      </c>
      <c r="AG1097" s="29" t="s">
        <v>1370</v>
      </c>
      <c r="AH1097" s="29" t="s">
        <v>1626</v>
      </c>
      <c r="AI1097" s="29" t="s">
        <v>1397</v>
      </c>
      <c r="AJ1097" s="29" t="s">
        <v>1627</v>
      </c>
      <c r="AL1097" s="29" t="s">
        <v>1371</v>
      </c>
    </row>
    <row r="1098" spans="15:38">
      <c r="O1098" t="s">
        <v>24</v>
      </c>
      <c r="P1098" t="s">
        <v>43</v>
      </c>
      <c r="Q1098" t="s">
        <v>18</v>
      </c>
      <c r="R1098" t="s">
        <v>58</v>
      </c>
      <c r="S1098">
        <v>2024.45</v>
      </c>
      <c r="T1098">
        <v>10490.97</v>
      </c>
      <c r="U1098">
        <v>0</v>
      </c>
      <c r="V1098">
        <v>0</v>
      </c>
      <c r="AA1098" s="29" t="s">
        <v>43</v>
      </c>
      <c r="AB1098">
        <v>31200</v>
      </c>
      <c r="AC1098">
        <v>110</v>
      </c>
      <c r="AD1098">
        <v>4</v>
      </c>
      <c r="AE1098">
        <v>4.2</v>
      </c>
      <c r="AF1098">
        <v>4.2</v>
      </c>
      <c r="AG1098" s="29" t="s">
        <v>1370</v>
      </c>
      <c r="AH1098" s="29" t="s">
        <v>1628</v>
      </c>
      <c r="AI1098" s="29" t="s">
        <v>1397</v>
      </c>
      <c r="AJ1098" s="29" t="s">
        <v>1629</v>
      </c>
      <c r="AL1098" s="29" t="s">
        <v>1371</v>
      </c>
    </row>
    <row r="1099" spans="15:38">
      <c r="O1099" t="s">
        <v>24</v>
      </c>
      <c r="P1099" t="s">
        <v>43</v>
      </c>
      <c r="Q1099" t="s">
        <v>18</v>
      </c>
      <c r="R1099" t="s">
        <v>58</v>
      </c>
      <c r="S1099">
        <v>2024.47</v>
      </c>
      <c r="T1099">
        <v>10225.89</v>
      </c>
      <c r="U1099">
        <v>0</v>
      </c>
      <c r="V1099">
        <v>0</v>
      </c>
      <c r="AA1099" s="29" t="s">
        <v>43</v>
      </c>
      <c r="AB1099">
        <v>31200</v>
      </c>
      <c r="AC1099">
        <v>110</v>
      </c>
      <c r="AD1099">
        <v>4</v>
      </c>
      <c r="AE1099">
        <v>289.99</v>
      </c>
      <c r="AF1099">
        <v>289.99</v>
      </c>
      <c r="AG1099" s="29" t="s">
        <v>1370</v>
      </c>
      <c r="AH1099" s="29" t="s">
        <v>1630</v>
      </c>
      <c r="AI1099" s="29" t="s">
        <v>1397</v>
      </c>
      <c r="AJ1099" s="29" t="s">
        <v>1631</v>
      </c>
      <c r="AL1099" s="29" t="s">
        <v>1371</v>
      </c>
    </row>
    <row r="1100" spans="15:38">
      <c r="O1100" t="s">
        <v>24</v>
      </c>
      <c r="P1100" t="s">
        <v>43</v>
      </c>
      <c r="Q1100" t="s">
        <v>18</v>
      </c>
      <c r="R1100" t="s">
        <v>58</v>
      </c>
      <c r="S1100">
        <v>2024.48</v>
      </c>
      <c r="T1100">
        <v>10225.799999999999</v>
      </c>
      <c r="U1100">
        <v>0</v>
      </c>
      <c r="V1100">
        <v>9358.8799999999992</v>
      </c>
      <c r="AA1100" s="29" t="s">
        <v>43</v>
      </c>
      <c r="AB1100">
        <v>31200</v>
      </c>
      <c r="AC1100">
        <v>110</v>
      </c>
      <c r="AD1100">
        <v>4</v>
      </c>
      <c r="AE1100">
        <v>7.84</v>
      </c>
      <c r="AF1100">
        <v>7.84</v>
      </c>
      <c r="AG1100" s="29" t="s">
        <v>1370</v>
      </c>
      <c r="AH1100" s="29" t="s">
        <v>1632</v>
      </c>
      <c r="AI1100" s="29" t="s">
        <v>1397</v>
      </c>
      <c r="AJ1100" s="29" t="s">
        <v>1633</v>
      </c>
      <c r="AL1100" s="29" t="s">
        <v>1371</v>
      </c>
    </row>
    <row r="1101" spans="15:38">
      <c r="O1101" t="s">
        <v>24</v>
      </c>
      <c r="P1101" t="s">
        <v>43</v>
      </c>
      <c r="Q1101" t="s">
        <v>18</v>
      </c>
      <c r="R1101" t="s">
        <v>58</v>
      </c>
      <c r="S1101">
        <v>2024.49</v>
      </c>
      <c r="T1101">
        <v>10225.799999999999</v>
      </c>
      <c r="U1101">
        <v>0</v>
      </c>
      <c r="V1101">
        <v>9358.8799999999992</v>
      </c>
      <c r="AA1101" s="29" t="s">
        <v>43</v>
      </c>
      <c r="AB1101">
        <v>31200</v>
      </c>
      <c r="AC1101">
        <v>110</v>
      </c>
      <c r="AD1101">
        <v>4</v>
      </c>
      <c r="AE1101">
        <v>72.900000000000006</v>
      </c>
      <c r="AF1101">
        <v>72.900000000000006</v>
      </c>
      <c r="AG1101" s="29" t="s">
        <v>1370</v>
      </c>
      <c r="AH1101" s="29" t="s">
        <v>1634</v>
      </c>
      <c r="AI1101" s="29" t="s">
        <v>1397</v>
      </c>
      <c r="AJ1101" s="29" t="s">
        <v>1635</v>
      </c>
      <c r="AL1101" s="29" t="s">
        <v>1371</v>
      </c>
    </row>
    <row r="1102" spans="15:38">
      <c r="O1102" t="s">
        <v>24</v>
      </c>
      <c r="P1102" t="s">
        <v>43</v>
      </c>
      <c r="Q1102" t="s">
        <v>18</v>
      </c>
      <c r="R1102" t="s">
        <v>58</v>
      </c>
      <c r="S1102">
        <v>2025.03</v>
      </c>
      <c r="T1102">
        <v>9358.8799999999992</v>
      </c>
      <c r="U1102">
        <v>0</v>
      </c>
      <c r="V1102">
        <v>9358.8799999999992</v>
      </c>
      <c r="AA1102" s="29" t="s">
        <v>43</v>
      </c>
      <c r="AB1102">
        <v>31200</v>
      </c>
      <c r="AC1102">
        <v>110</v>
      </c>
      <c r="AD1102">
        <v>4</v>
      </c>
      <c r="AE1102">
        <v>364.5</v>
      </c>
      <c r="AF1102">
        <v>364.5</v>
      </c>
      <c r="AG1102" s="29" t="s">
        <v>1370</v>
      </c>
      <c r="AH1102" s="29" t="s">
        <v>1636</v>
      </c>
      <c r="AI1102" s="29" t="s">
        <v>1397</v>
      </c>
      <c r="AJ1102" s="29" t="s">
        <v>1637</v>
      </c>
      <c r="AL1102" s="29" t="s">
        <v>1371</v>
      </c>
    </row>
    <row r="1103" spans="15:38">
      <c r="O1103" t="s">
        <v>24</v>
      </c>
      <c r="P1103" t="s">
        <v>43</v>
      </c>
      <c r="Q1103" t="s">
        <v>18</v>
      </c>
      <c r="R1103" t="s">
        <v>58</v>
      </c>
      <c r="S1103">
        <v>2025.08</v>
      </c>
      <c r="T1103">
        <v>10403.969999999999</v>
      </c>
      <c r="U1103">
        <v>0</v>
      </c>
      <c r="V1103">
        <v>9358.8799999999992</v>
      </c>
      <c r="AA1103" s="29" t="s">
        <v>43</v>
      </c>
      <c r="AB1103">
        <v>31200</v>
      </c>
      <c r="AC1103">
        <v>110</v>
      </c>
      <c r="AD1103">
        <v>4</v>
      </c>
      <c r="AE1103">
        <v>19.89</v>
      </c>
      <c r="AF1103">
        <v>19.89</v>
      </c>
      <c r="AG1103" s="29" t="s">
        <v>1370</v>
      </c>
      <c r="AH1103" s="29" t="s">
        <v>1563</v>
      </c>
      <c r="AI1103" s="29" t="s">
        <v>1397</v>
      </c>
      <c r="AJ1103" s="29" t="s">
        <v>1638</v>
      </c>
      <c r="AL1103" s="29" t="s">
        <v>1371</v>
      </c>
    </row>
    <row r="1104" spans="15:38">
      <c r="O1104" t="s">
        <v>24</v>
      </c>
      <c r="P1104" t="s">
        <v>43</v>
      </c>
      <c r="Q1104" t="s">
        <v>18</v>
      </c>
      <c r="R1104" t="s">
        <v>58</v>
      </c>
      <c r="S1104">
        <v>2025.1</v>
      </c>
      <c r="T1104">
        <v>10403.969999999999</v>
      </c>
      <c r="U1104">
        <v>0</v>
      </c>
      <c r="V1104">
        <v>9358.8799999999992</v>
      </c>
      <c r="AA1104" s="29" t="s">
        <v>43</v>
      </c>
      <c r="AB1104">
        <v>31200</v>
      </c>
      <c r="AC1104">
        <v>110</v>
      </c>
      <c r="AD1104">
        <v>4</v>
      </c>
      <c r="AE1104">
        <v>173.7</v>
      </c>
      <c r="AF1104">
        <v>173.7</v>
      </c>
      <c r="AG1104" s="29" t="s">
        <v>1370</v>
      </c>
      <c r="AH1104" s="29" t="s">
        <v>1639</v>
      </c>
      <c r="AI1104" s="29" t="s">
        <v>1397</v>
      </c>
      <c r="AJ1104" s="29" t="s">
        <v>1640</v>
      </c>
      <c r="AL1104" s="29" t="s">
        <v>1371</v>
      </c>
    </row>
    <row r="1105" spans="15:38">
      <c r="O1105" t="s">
        <v>24</v>
      </c>
      <c r="P1105" t="s">
        <v>43</v>
      </c>
      <c r="Q1105" t="s">
        <v>18</v>
      </c>
      <c r="R1105" t="s">
        <v>58</v>
      </c>
      <c r="S1105">
        <v>2025.11</v>
      </c>
      <c r="T1105">
        <v>10403.969999999999</v>
      </c>
      <c r="U1105">
        <v>0</v>
      </c>
      <c r="V1105">
        <v>9358.8799999999992</v>
      </c>
      <c r="AA1105" s="29" t="s">
        <v>43</v>
      </c>
      <c r="AB1105">
        <v>31200</v>
      </c>
      <c r="AC1105">
        <v>110</v>
      </c>
      <c r="AD1105">
        <v>4</v>
      </c>
      <c r="AE1105">
        <v>4833.68</v>
      </c>
      <c r="AF1105">
        <v>4833.68</v>
      </c>
      <c r="AG1105" s="29" t="s">
        <v>1370</v>
      </c>
      <c r="AH1105" s="29" t="s">
        <v>1641</v>
      </c>
      <c r="AI1105" s="29" t="s">
        <v>1397</v>
      </c>
      <c r="AJ1105" s="29" t="s">
        <v>1642</v>
      </c>
      <c r="AL1105" s="29" t="s">
        <v>1371</v>
      </c>
    </row>
    <row r="1106" spans="15:38">
      <c r="O1106" t="s">
        <v>24</v>
      </c>
      <c r="P1106" t="s">
        <v>43</v>
      </c>
      <c r="Q1106" t="s">
        <v>18</v>
      </c>
      <c r="R1106" t="s">
        <v>58</v>
      </c>
      <c r="S1106">
        <v>2025.12</v>
      </c>
      <c r="T1106">
        <v>10403.969999999999</v>
      </c>
      <c r="U1106">
        <v>0</v>
      </c>
      <c r="V1106">
        <v>9358.8799999999992</v>
      </c>
      <c r="AA1106" s="29" t="s">
        <v>43</v>
      </c>
      <c r="AB1106">
        <v>31200</v>
      </c>
      <c r="AC1106">
        <v>110</v>
      </c>
      <c r="AD1106">
        <v>4</v>
      </c>
      <c r="AE1106">
        <v>10690.35</v>
      </c>
      <c r="AF1106">
        <v>10690.35</v>
      </c>
      <c r="AG1106" s="29" t="s">
        <v>1370</v>
      </c>
      <c r="AH1106" s="29" t="s">
        <v>1643</v>
      </c>
      <c r="AI1106" s="29" t="s">
        <v>1397</v>
      </c>
      <c r="AJ1106" s="29" t="s">
        <v>1644</v>
      </c>
      <c r="AL1106" s="29" t="s">
        <v>1371</v>
      </c>
    </row>
    <row r="1107" spans="15:38">
      <c r="O1107" t="s">
        <v>24</v>
      </c>
      <c r="P1107" t="s">
        <v>43</v>
      </c>
      <c r="Q1107" t="s">
        <v>17</v>
      </c>
      <c r="R1107" t="s">
        <v>59</v>
      </c>
      <c r="S1107">
        <v>2023.51</v>
      </c>
      <c r="T1107">
        <v>0</v>
      </c>
      <c r="U1107">
        <v>0</v>
      </c>
      <c r="V1107">
        <v>0</v>
      </c>
      <c r="AA1107" s="29" t="s">
        <v>43</v>
      </c>
      <c r="AB1107">
        <v>31200</v>
      </c>
      <c r="AC1107">
        <v>110</v>
      </c>
      <c r="AD1107">
        <v>4</v>
      </c>
      <c r="AE1107">
        <v>4.51</v>
      </c>
      <c r="AF1107">
        <v>4.51</v>
      </c>
      <c r="AG1107" s="29" t="s">
        <v>1370</v>
      </c>
      <c r="AH1107" s="29" t="s">
        <v>1645</v>
      </c>
      <c r="AI1107" s="29" t="s">
        <v>1397</v>
      </c>
      <c r="AJ1107" s="29" t="s">
        <v>1646</v>
      </c>
      <c r="AL1107" s="29" t="s">
        <v>1371</v>
      </c>
    </row>
    <row r="1108" spans="15:38">
      <c r="O1108" t="s">
        <v>24</v>
      </c>
      <c r="P1108" t="s">
        <v>43</v>
      </c>
      <c r="Q1108" t="s">
        <v>17</v>
      </c>
      <c r="R1108" t="s">
        <v>59</v>
      </c>
      <c r="S1108">
        <v>2024.05</v>
      </c>
      <c r="T1108">
        <v>0</v>
      </c>
      <c r="U1108">
        <v>0</v>
      </c>
      <c r="V1108">
        <v>0</v>
      </c>
      <c r="AA1108" s="29" t="s">
        <v>43</v>
      </c>
      <c r="AB1108">
        <v>31200</v>
      </c>
      <c r="AC1108">
        <v>110</v>
      </c>
      <c r="AD1108">
        <v>4</v>
      </c>
      <c r="AE1108">
        <v>18.37</v>
      </c>
      <c r="AF1108">
        <v>18.37</v>
      </c>
      <c r="AG1108" s="29" t="s">
        <v>1370</v>
      </c>
      <c r="AH1108" s="29" t="s">
        <v>1647</v>
      </c>
      <c r="AI1108" s="29" t="s">
        <v>1397</v>
      </c>
      <c r="AJ1108" s="29" t="s">
        <v>1648</v>
      </c>
      <c r="AL1108" s="29" t="s">
        <v>1371</v>
      </c>
    </row>
    <row r="1109" spans="15:38">
      <c r="O1109" t="s">
        <v>24</v>
      </c>
      <c r="P1109" t="s">
        <v>43</v>
      </c>
      <c r="Q1109" t="s">
        <v>17</v>
      </c>
      <c r="R1109" t="s">
        <v>59</v>
      </c>
      <c r="S1109">
        <v>2024.06</v>
      </c>
      <c r="T1109">
        <v>0</v>
      </c>
      <c r="U1109">
        <v>0</v>
      </c>
      <c r="V1109">
        <v>0</v>
      </c>
      <c r="AA1109" s="29" t="s">
        <v>43</v>
      </c>
      <c r="AB1109">
        <v>31200</v>
      </c>
      <c r="AC1109">
        <v>110</v>
      </c>
      <c r="AD1109">
        <v>4</v>
      </c>
      <c r="AE1109">
        <v>0</v>
      </c>
      <c r="AF1109">
        <v>0</v>
      </c>
      <c r="AG1109" s="29" t="s">
        <v>1370</v>
      </c>
      <c r="AH1109" s="29" t="s">
        <v>1372</v>
      </c>
      <c r="AI1109" s="29" t="s">
        <v>1397</v>
      </c>
      <c r="AJ1109" s="29" t="s">
        <v>1649</v>
      </c>
      <c r="AL1109" s="29" t="s">
        <v>1371</v>
      </c>
    </row>
    <row r="1110" spans="15:38">
      <c r="O1110" t="s">
        <v>24</v>
      </c>
      <c r="P1110" t="s">
        <v>43</v>
      </c>
      <c r="Q1110" t="s">
        <v>17</v>
      </c>
      <c r="R1110" t="s">
        <v>59</v>
      </c>
      <c r="S1110">
        <v>2024.07</v>
      </c>
      <c r="T1110">
        <v>0</v>
      </c>
      <c r="U1110">
        <v>0</v>
      </c>
      <c r="V1110">
        <v>0</v>
      </c>
      <c r="AA1110" s="29" t="s">
        <v>43</v>
      </c>
      <c r="AB1110">
        <v>31200</v>
      </c>
      <c r="AC1110">
        <v>110</v>
      </c>
      <c r="AD1110">
        <v>4</v>
      </c>
      <c r="AE1110">
        <v>15.08</v>
      </c>
      <c r="AF1110">
        <v>15.08</v>
      </c>
      <c r="AG1110" s="29" t="s">
        <v>1370</v>
      </c>
      <c r="AH1110" s="29" t="s">
        <v>1650</v>
      </c>
      <c r="AI1110" s="29" t="s">
        <v>1397</v>
      </c>
      <c r="AJ1110" s="29" t="s">
        <v>1651</v>
      </c>
      <c r="AL1110" s="29" t="s">
        <v>1371</v>
      </c>
    </row>
    <row r="1111" spans="15:38">
      <c r="O1111" t="s">
        <v>24</v>
      </c>
      <c r="P1111" t="s">
        <v>43</v>
      </c>
      <c r="Q1111" t="s">
        <v>17</v>
      </c>
      <c r="R1111" t="s">
        <v>59</v>
      </c>
      <c r="S1111">
        <v>2024.08</v>
      </c>
      <c r="T1111">
        <v>0</v>
      </c>
      <c r="U1111">
        <v>0</v>
      </c>
      <c r="V1111">
        <v>0</v>
      </c>
      <c r="AA1111" s="29" t="s">
        <v>43</v>
      </c>
      <c r="AB1111">
        <v>31200</v>
      </c>
      <c r="AC1111">
        <v>110</v>
      </c>
      <c r="AD1111">
        <v>4</v>
      </c>
      <c r="AE1111">
        <v>12.58</v>
      </c>
      <c r="AF1111">
        <v>12.58</v>
      </c>
      <c r="AG1111" s="29" t="s">
        <v>1370</v>
      </c>
      <c r="AH1111" s="29" t="s">
        <v>1573</v>
      </c>
      <c r="AI1111" s="29" t="s">
        <v>1397</v>
      </c>
      <c r="AJ1111" s="29" t="s">
        <v>1574</v>
      </c>
      <c r="AL1111" s="29" t="s">
        <v>1371</v>
      </c>
    </row>
    <row r="1112" spans="15:38">
      <c r="O1112" t="s">
        <v>24</v>
      </c>
      <c r="P1112" t="s">
        <v>43</v>
      </c>
      <c r="Q1112" t="s">
        <v>17</v>
      </c>
      <c r="R1112" t="s">
        <v>59</v>
      </c>
      <c r="S1112">
        <v>2024.09</v>
      </c>
      <c r="T1112">
        <v>2108788.64</v>
      </c>
      <c r="U1112">
        <v>0</v>
      </c>
      <c r="V1112">
        <v>0</v>
      </c>
      <c r="AA1112" s="29" t="s">
        <v>43</v>
      </c>
      <c r="AB1112">
        <v>31200</v>
      </c>
      <c r="AC1112">
        <v>110</v>
      </c>
      <c r="AD1112">
        <v>4</v>
      </c>
      <c r="AE1112">
        <v>93.28</v>
      </c>
      <c r="AF1112">
        <v>93.28</v>
      </c>
      <c r="AG1112" s="29" t="s">
        <v>1370</v>
      </c>
      <c r="AH1112" s="29" t="s">
        <v>1652</v>
      </c>
      <c r="AI1112" s="29" t="s">
        <v>1397</v>
      </c>
      <c r="AJ1112" s="29" t="s">
        <v>1653</v>
      </c>
      <c r="AL1112" s="29" t="s">
        <v>1371</v>
      </c>
    </row>
    <row r="1113" spans="15:38">
      <c r="O1113" t="s">
        <v>24</v>
      </c>
      <c r="P1113" t="s">
        <v>43</v>
      </c>
      <c r="Q1113" t="s">
        <v>17</v>
      </c>
      <c r="R1113" t="s">
        <v>59</v>
      </c>
      <c r="S1113">
        <v>2024.1</v>
      </c>
      <c r="T1113">
        <v>345.73</v>
      </c>
      <c r="U1113">
        <v>0</v>
      </c>
      <c r="V1113">
        <v>0</v>
      </c>
      <c r="AA1113" s="29" t="s">
        <v>43</v>
      </c>
      <c r="AB1113">
        <v>31200</v>
      </c>
      <c r="AC1113">
        <v>110</v>
      </c>
      <c r="AD1113">
        <v>4</v>
      </c>
      <c r="AE1113">
        <v>100.45</v>
      </c>
      <c r="AF1113">
        <v>100.45</v>
      </c>
      <c r="AG1113" s="29" t="s">
        <v>1370</v>
      </c>
      <c r="AH1113" s="29" t="s">
        <v>1654</v>
      </c>
      <c r="AI1113" s="29" t="s">
        <v>1397</v>
      </c>
      <c r="AJ1113" s="29" t="s">
        <v>1655</v>
      </c>
      <c r="AL1113" s="29" t="s">
        <v>1371</v>
      </c>
    </row>
    <row r="1114" spans="15:38">
      <c r="O1114" t="s">
        <v>24</v>
      </c>
      <c r="P1114" t="s">
        <v>43</v>
      </c>
      <c r="Q1114" t="s">
        <v>17</v>
      </c>
      <c r="R1114" t="s">
        <v>59</v>
      </c>
      <c r="S1114">
        <v>2024.11</v>
      </c>
      <c r="T1114">
        <v>250862.18</v>
      </c>
      <c r="U1114">
        <v>0</v>
      </c>
      <c r="V1114">
        <v>0</v>
      </c>
      <c r="AA1114" s="29" t="s">
        <v>43</v>
      </c>
      <c r="AB1114">
        <v>31200</v>
      </c>
      <c r="AC1114">
        <v>110</v>
      </c>
      <c r="AD1114">
        <v>4</v>
      </c>
      <c r="AE1114">
        <v>21.53</v>
      </c>
      <c r="AF1114">
        <v>21.53</v>
      </c>
      <c r="AG1114" s="29" t="s">
        <v>1370</v>
      </c>
      <c r="AH1114" s="29" t="s">
        <v>1656</v>
      </c>
      <c r="AI1114" s="29" t="s">
        <v>1397</v>
      </c>
      <c r="AJ1114" s="29" t="s">
        <v>1657</v>
      </c>
      <c r="AL1114" s="29" t="s">
        <v>1371</v>
      </c>
    </row>
    <row r="1115" spans="15:38">
      <c r="O1115" t="s">
        <v>24</v>
      </c>
      <c r="P1115" t="s">
        <v>43</v>
      </c>
      <c r="Q1115" t="s">
        <v>17</v>
      </c>
      <c r="R1115" t="s">
        <v>59</v>
      </c>
      <c r="S1115">
        <v>2024.12</v>
      </c>
      <c r="T1115">
        <v>3850.76</v>
      </c>
      <c r="U1115">
        <v>0</v>
      </c>
      <c r="V1115">
        <v>0</v>
      </c>
      <c r="AA1115" s="29" t="s">
        <v>43</v>
      </c>
      <c r="AB1115">
        <v>31200</v>
      </c>
      <c r="AC1115">
        <v>110</v>
      </c>
      <c r="AD1115">
        <v>4</v>
      </c>
      <c r="AE1115">
        <v>189.46</v>
      </c>
      <c r="AF1115">
        <v>189.46</v>
      </c>
      <c r="AG1115" s="29" t="s">
        <v>1370</v>
      </c>
      <c r="AH1115" s="29" t="s">
        <v>1658</v>
      </c>
      <c r="AI1115" s="29" t="s">
        <v>1397</v>
      </c>
      <c r="AJ1115" s="29" t="s">
        <v>1659</v>
      </c>
      <c r="AL1115" s="29" t="s">
        <v>1371</v>
      </c>
    </row>
    <row r="1116" spans="15:38">
      <c r="O1116" t="s">
        <v>24</v>
      </c>
      <c r="P1116" t="s">
        <v>43</v>
      </c>
      <c r="Q1116" t="s">
        <v>17</v>
      </c>
      <c r="R1116" t="s">
        <v>59</v>
      </c>
      <c r="S1116">
        <v>2024.14</v>
      </c>
      <c r="T1116">
        <v>4729.3</v>
      </c>
      <c r="U1116">
        <v>0</v>
      </c>
      <c r="V1116">
        <v>0</v>
      </c>
      <c r="AA1116" s="29" t="s">
        <v>43</v>
      </c>
      <c r="AB1116">
        <v>31200</v>
      </c>
      <c r="AC1116">
        <v>110</v>
      </c>
      <c r="AD1116">
        <v>4</v>
      </c>
      <c r="AE1116">
        <v>121.07</v>
      </c>
      <c r="AF1116">
        <v>121.07</v>
      </c>
      <c r="AG1116" s="29" t="s">
        <v>1370</v>
      </c>
      <c r="AH1116" s="29" t="s">
        <v>1660</v>
      </c>
      <c r="AI1116" s="29" t="s">
        <v>1397</v>
      </c>
      <c r="AJ1116" s="29" t="s">
        <v>1661</v>
      </c>
      <c r="AL1116" s="29" t="s">
        <v>1371</v>
      </c>
    </row>
    <row r="1117" spans="15:38">
      <c r="O1117" t="s">
        <v>24</v>
      </c>
      <c r="P1117" t="s">
        <v>43</v>
      </c>
      <c r="Q1117" t="s">
        <v>17</v>
      </c>
      <c r="R1117" t="s">
        <v>59</v>
      </c>
      <c r="S1117">
        <v>2024.17</v>
      </c>
      <c r="T1117">
        <v>4729.3</v>
      </c>
      <c r="U1117">
        <v>0</v>
      </c>
      <c r="V1117">
        <v>0</v>
      </c>
      <c r="AA1117" s="29" t="s">
        <v>43</v>
      </c>
      <c r="AB1117">
        <v>31200</v>
      </c>
      <c r="AC1117">
        <v>110</v>
      </c>
      <c r="AD1117">
        <v>4</v>
      </c>
      <c r="AE1117">
        <v>158.32</v>
      </c>
      <c r="AF1117">
        <v>158.32</v>
      </c>
      <c r="AG1117" s="29" t="s">
        <v>1370</v>
      </c>
      <c r="AH1117" s="29" t="s">
        <v>1662</v>
      </c>
      <c r="AI1117" s="29" t="s">
        <v>1397</v>
      </c>
      <c r="AJ1117" s="29" t="s">
        <v>1663</v>
      </c>
      <c r="AL1117" s="29" t="s">
        <v>1371</v>
      </c>
    </row>
    <row r="1118" spans="15:38">
      <c r="O1118" t="s">
        <v>24</v>
      </c>
      <c r="P1118" t="s">
        <v>43</v>
      </c>
      <c r="Q1118" t="s">
        <v>17</v>
      </c>
      <c r="R1118" t="s">
        <v>59</v>
      </c>
      <c r="S1118">
        <v>2024.18</v>
      </c>
      <c r="T1118">
        <v>87251.49</v>
      </c>
      <c r="U1118">
        <v>0</v>
      </c>
      <c r="V1118">
        <v>0</v>
      </c>
      <c r="AA1118" s="29" t="s">
        <v>43</v>
      </c>
      <c r="AB1118">
        <v>31200</v>
      </c>
      <c r="AC1118">
        <v>110</v>
      </c>
      <c r="AD1118">
        <v>4</v>
      </c>
      <c r="AE1118">
        <v>19.12</v>
      </c>
      <c r="AF1118">
        <v>19.12</v>
      </c>
      <c r="AG1118" s="29" t="s">
        <v>1370</v>
      </c>
      <c r="AH1118" s="29" t="s">
        <v>1664</v>
      </c>
      <c r="AI1118" s="29" t="s">
        <v>1397</v>
      </c>
      <c r="AJ1118" s="29" t="s">
        <v>1665</v>
      </c>
      <c r="AL1118" s="29" t="s">
        <v>1371</v>
      </c>
    </row>
    <row r="1119" spans="15:38">
      <c r="O1119" t="s">
        <v>24</v>
      </c>
      <c r="P1119" t="s">
        <v>43</v>
      </c>
      <c r="Q1119" t="s">
        <v>17</v>
      </c>
      <c r="R1119" t="s">
        <v>59</v>
      </c>
      <c r="S1119">
        <v>2024.19</v>
      </c>
      <c r="T1119">
        <v>86875.09</v>
      </c>
      <c r="U1119">
        <v>0</v>
      </c>
      <c r="V1119">
        <v>0</v>
      </c>
      <c r="AA1119" s="29" t="s">
        <v>43</v>
      </c>
      <c r="AB1119">
        <v>31200</v>
      </c>
      <c r="AC1119">
        <v>110</v>
      </c>
      <c r="AD1119">
        <v>4</v>
      </c>
      <c r="AE1119">
        <v>27.3</v>
      </c>
      <c r="AF1119">
        <v>27.3</v>
      </c>
      <c r="AG1119" s="29" t="s">
        <v>1370</v>
      </c>
      <c r="AH1119" s="29" t="s">
        <v>1666</v>
      </c>
      <c r="AI1119" s="29" t="s">
        <v>1397</v>
      </c>
      <c r="AJ1119" s="29" t="s">
        <v>1667</v>
      </c>
      <c r="AL1119" s="29" t="s">
        <v>1371</v>
      </c>
    </row>
    <row r="1120" spans="15:38">
      <c r="O1120" t="s">
        <v>24</v>
      </c>
      <c r="P1120" t="s">
        <v>43</v>
      </c>
      <c r="Q1120" t="s">
        <v>17</v>
      </c>
      <c r="R1120" t="s">
        <v>59</v>
      </c>
      <c r="S1120">
        <v>2024.2</v>
      </c>
      <c r="T1120">
        <v>87216</v>
      </c>
      <c r="U1120">
        <v>0</v>
      </c>
      <c r="V1120">
        <v>0</v>
      </c>
      <c r="AA1120" s="29" t="s">
        <v>43</v>
      </c>
      <c r="AB1120">
        <v>31200</v>
      </c>
      <c r="AC1120">
        <v>110</v>
      </c>
      <c r="AD1120">
        <v>4</v>
      </c>
      <c r="AE1120">
        <v>3292.2</v>
      </c>
      <c r="AF1120">
        <v>3292.2</v>
      </c>
      <c r="AG1120" s="29" t="s">
        <v>1370</v>
      </c>
      <c r="AH1120" s="29" t="s">
        <v>1668</v>
      </c>
      <c r="AI1120" s="29" t="s">
        <v>1397</v>
      </c>
      <c r="AJ1120" s="29" t="s">
        <v>1669</v>
      </c>
      <c r="AL1120" s="29" t="s">
        <v>1371</v>
      </c>
    </row>
    <row r="1121" spans="15:38">
      <c r="O1121" t="s">
        <v>24</v>
      </c>
      <c r="P1121" t="s">
        <v>43</v>
      </c>
      <c r="Q1121" t="s">
        <v>17</v>
      </c>
      <c r="R1121" t="s">
        <v>59</v>
      </c>
      <c r="S1121">
        <v>2024.21</v>
      </c>
      <c r="T1121">
        <v>87215.039999999994</v>
      </c>
      <c r="U1121">
        <v>0</v>
      </c>
      <c r="V1121">
        <v>0</v>
      </c>
      <c r="AA1121" s="29" t="s">
        <v>43</v>
      </c>
      <c r="AB1121">
        <v>31200</v>
      </c>
      <c r="AC1121">
        <v>110</v>
      </c>
      <c r="AD1121">
        <v>4</v>
      </c>
      <c r="AE1121">
        <v>66.12</v>
      </c>
      <c r="AF1121">
        <v>66.12</v>
      </c>
      <c r="AG1121" s="29" t="s">
        <v>1370</v>
      </c>
      <c r="AH1121" s="29" t="s">
        <v>1670</v>
      </c>
      <c r="AI1121" s="29" t="s">
        <v>1397</v>
      </c>
      <c r="AJ1121" s="29" t="s">
        <v>1671</v>
      </c>
      <c r="AL1121" s="29" t="s">
        <v>1371</v>
      </c>
    </row>
    <row r="1122" spans="15:38">
      <c r="O1122" t="s">
        <v>24</v>
      </c>
      <c r="P1122" t="s">
        <v>43</v>
      </c>
      <c r="Q1122" t="s">
        <v>17</v>
      </c>
      <c r="R1122" t="s">
        <v>59</v>
      </c>
      <c r="S1122">
        <v>2024.28</v>
      </c>
      <c r="T1122">
        <v>87215.039999999994</v>
      </c>
      <c r="U1122">
        <v>0</v>
      </c>
      <c r="V1122">
        <v>0</v>
      </c>
      <c r="AA1122" s="29" t="s">
        <v>43</v>
      </c>
      <c r="AB1122">
        <v>31200</v>
      </c>
      <c r="AC1122">
        <v>110</v>
      </c>
      <c r="AD1122">
        <v>4</v>
      </c>
      <c r="AE1122">
        <v>144</v>
      </c>
      <c r="AF1122">
        <v>144</v>
      </c>
      <c r="AG1122" s="29" t="s">
        <v>1370</v>
      </c>
      <c r="AH1122" s="29" t="s">
        <v>1672</v>
      </c>
      <c r="AI1122" s="29" t="s">
        <v>1397</v>
      </c>
      <c r="AJ1122" s="29" t="s">
        <v>1673</v>
      </c>
      <c r="AL1122" s="29" t="s">
        <v>1371</v>
      </c>
    </row>
    <row r="1123" spans="15:38">
      <c r="O1123" t="s">
        <v>24</v>
      </c>
      <c r="P1123" t="s">
        <v>43</v>
      </c>
      <c r="Q1123" t="s">
        <v>17</v>
      </c>
      <c r="R1123" t="s">
        <v>59</v>
      </c>
      <c r="S1123">
        <v>2024.38</v>
      </c>
      <c r="T1123">
        <v>87183.87</v>
      </c>
      <c r="U1123">
        <v>0</v>
      </c>
      <c r="V1123">
        <v>0</v>
      </c>
      <c r="AA1123" s="29" t="s">
        <v>43</v>
      </c>
      <c r="AB1123">
        <v>31200</v>
      </c>
      <c r="AC1123">
        <v>110</v>
      </c>
      <c r="AD1123">
        <v>4</v>
      </c>
      <c r="AE1123">
        <v>158.4</v>
      </c>
      <c r="AF1123">
        <v>158.4</v>
      </c>
      <c r="AG1123" s="29" t="s">
        <v>1370</v>
      </c>
      <c r="AH1123" s="29" t="s">
        <v>1674</v>
      </c>
      <c r="AI1123" s="29" t="s">
        <v>1397</v>
      </c>
      <c r="AJ1123" s="29" t="s">
        <v>1675</v>
      </c>
      <c r="AL1123" s="29" t="s">
        <v>1371</v>
      </c>
    </row>
    <row r="1124" spans="15:38">
      <c r="O1124" t="s">
        <v>24</v>
      </c>
      <c r="P1124" t="s">
        <v>43</v>
      </c>
      <c r="Q1124" t="s">
        <v>17</v>
      </c>
      <c r="R1124" t="s">
        <v>59</v>
      </c>
      <c r="S1124">
        <v>2024.39</v>
      </c>
      <c r="T1124">
        <v>87183.87</v>
      </c>
      <c r="U1124">
        <v>0</v>
      </c>
      <c r="V1124">
        <v>0</v>
      </c>
      <c r="AA1124" s="29" t="s">
        <v>43</v>
      </c>
      <c r="AB1124">
        <v>31200</v>
      </c>
      <c r="AC1124">
        <v>110</v>
      </c>
      <c r="AD1124">
        <v>4</v>
      </c>
      <c r="AE1124">
        <v>776.88</v>
      </c>
      <c r="AF1124">
        <v>776.88</v>
      </c>
      <c r="AG1124" s="29" t="s">
        <v>1370</v>
      </c>
      <c r="AH1124" s="29" t="s">
        <v>1676</v>
      </c>
      <c r="AI1124" s="29" t="s">
        <v>1397</v>
      </c>
      <c r="AJ1124" s="29" t="s">
        <v>1677</v>
      </c>
      <c r="AL1124" s="29" t="s">
        <v>1371</v>
      </c>
    </row>
    <row r="1125" spans="15:38">
      <c r="O1125" t="s">
        <v>24</v>
      </c>
      <c r="P1125" t="s">
        <v>43</v>
      </c>
      <c r="Q1125" t="s">
        <v>17</v>
      </c>
      <c r="R1125" t="s">
        <v>59</v>
      </c>
      <c r="S1125">
        <v>2024.41</v>
      </c>
      <c r="T1125">
        <v>87179.97</v>
      </c>
      <c r="U1125">
        <v>0</v>
      </c>
      <c r="V1125">
        <v>0</v>
      </c>
      <c r="AA1125" s="29" t="s">
        <v>43</v>
      </c>
      <c r="AB1125">
        <v>31200</v>
      </c>
      <c r="AC1125">
        <v>110</v>
      </c>
      <c r="AD1125">
        <v>4</v>
      </c>
      <c r="AE1125">
        <v>172.08</v>
      </c>
      <c r="AF1125">
        <v>172.08</v>
      </c>
      <c r="AG1125" s="29" t="s">
        <v>1370</v>
      </c>
      <c r="AH1125" s="29" t="s">
        <v>1678</v>
      </c>
      <c r="AI1125" s="29" t="s">
        <v>1397</v>
      </c>
      <c r="AJ1125" s="29" t="s">
        <v>1679</v>
      </c>
      <c r="AL1125" s="29" t="s">
        <v>1371</v>
      </c>
    </row>
    <row r="1126" spans="15:38">
      <c r="O1126" t="s">
        <v>24</v>
      </c>
      <c r="P1126" t="s">
        <v>43</v>
      </c>
      <c r="Q1126" t="s">
        <v>17</v>
      </c>
      <c r="R1126" t="s">
        <v>59</v>
      </c>
      <c r="S1126">
        <v>2024.43</v>
      </c>
      <c r="T1126">
        <v>-28939.49</v>
      </c>
      <c r="U1126">
        <v>0</v>
      </c>
      <c r="V1126">
        <v>0</v>
      </c>
      <c r="AA1126" s="29" t="s">
        <v>43</v>
      </c>
      <c r="AB1126">
        <v>31200</v>
      </c>
      <c r="AC1126">
        <v>110</v>
      </c>
      <c r="AD1126">
        <v>4</v>
      </c>
      <c r="AE1126">
        <v>51.38</v>
      </c>
      <c r="AF1126">
        <v>51.38</v>
      </c>
      <c r="AG1126" s="29" t="s">
        <v>1370</v>
      </c>
      <c r="AH1126" s="29" t="s">
        <v>1680</v>
      </c>
      <c r="AI1126" s="29" t="s">
        <v>1397</v>
      </c>
      <c r="AJ1126" s="29" t="s">
        <v>1681</v>
      </c>
      <c r="AL1126" s="29" t="s">
        <v>1371</v>
      </c>
    </row>
    <row r="1127" spans="15:38">
      <c r="O1127" t="s">
        <v>24</v>
      </c>
      <c r="P1127" t="s">
        <v>43</v>
      </c>
      <c r="Q1127" t="s">
        <v>17</v>
      </c>
      <c r="R1127" t="s">
        <v>59</v>
      </c>
      <c r="S1127">
        <v>2024.44</v>
      </c>
      <c r="T1127">
        <v>-28892.84</v>
      </c>
      <c r="U1127">
        <v>0</v>
      </c>
      <c r="V1127">
        <v>0</v>
      </c>
      <c r="AA1127" s="29" t="s">
        <v>43</v>
      </c>
      <c r="AB1127">
        <v>31200</v>
      </c>
      <c r="AC1127">
        <v>110</v>
      </c>
      <c r="AD1127">
        <v>4</v>
      </c>
      <c r="AE1127">
        <v>30.98</v>
      </c>
      <c r="AF1127">
        <v>30.98</v>
      </c>
      <c r="AG1127" s="29" t="s">
        <v>1370</v>
      </c>
      <c r="AH1127" s="29" t="s">
        <v>1682</v>
      </c>
      <c r="AI1127" s="29" t="s">
        <v>1397</v>
      </c>
      <c r="AJ1127" s="29" t="s">
        <v>1683</v>
      </c>
      <c r="AL1127" s="29" t="s">
        <v>1371</v>
      </c>
    </row>
    <row r="1128" spans="15:38">
      <c r="O1128" t="s">
        <v>24</v>
      </c>
      <c r="P1128" t="s">
        <v>43</v>
      </c>
      <c r="Q1128" t="s">
        <v>17</v>
      </c>
      <c r="R1128" t="s">
        <v>59</v>
      </c>
      <c r="S1128">
        <v>2024.45</v>
      </c>
      <c r="T1128">
        <v>-29139.53</v>
      </c>
      <c r="U1128">
        <v>0</v>
      </c>
      <c r="V1128">
        <v>0</v>
      </c>
      <c r="AA1128" s="29" t="s">
        <v>43</v>
      </c>
      <c r="AB1128">
        <v>31200</v>
      </c>
      <c r="AC1128">
        <v>110</v>
      </c>
      <c r="AD1128">
        <v>4</v>
      </c>
      <c r="AE1128">
        <v>28.16</v>
      </c>
      <c r="AF1128">
        <v>28.16</v>
      </c>
      <c r="AG1128" s="29" t="s">
        <v>1370</v>
      </c>
      <c r="AH1128" s="29" t="s">
        <v>1684</v>
      </c>
      <c r="AI1128" s="29" t="s">
        <v>1397</v>
      </c>
      <c r="AJ1128" s="29" t="s">
        <v>1685</v>
      </c>
      <c r="AL1128" s="29" t="s">
        <v>1371</v>
      </c>
    </row>
    <row r="1129" spans="15:38">
      <c r="O1129" t="s">
        <v>24</v>
      </c>
      <c r="P1129" t="s">
        <v>43</v>
      </c>
      <c r="Q1129" t="s">
        <v>17</v>
      </c>
      <c r="R1129" t="s">
        <v>59</v>
      </c>
      <c r="S1129">
        <v>2024.47</v>
      </c>
      <c r="T1129">
        <v>-24513.91</v>
      </c>
      <c r="U1129">
        <v>0</v>
      </c>
      <c r="V1129">
        <v>0</v>
      </c>
      <c r="AA1129" s="29" t="s">
        <v>43</v>
      </c>
      <c r="AB1129">
        <v>31200</v>
      </c>
      <c r="AC1129">
        <v>110</v>
      </c>
      <c r="AD1129">
        <v>4</v>
      </c>
      <c r="AE1129">
        <v>28.16</v>
      </c>
      <c r="AF1129">
        <v>28.16</v>
      </c>
      <c r="AG1129" s="29" t="s">
        <v>1370</v>
      </c>
      <c r="AH1129" s="29" t="s">
        <v>1684</v>
      </c>
      <c r="AI1129" s="29" t="s">
        <v>1397</v>
      </c>
      <c r="AJ1129" s="29" t="s">
        <v>1685</v>
      </c>
      <c r="AL1129" s="29" t="s">
        <v>1371</v>
      </c>
    </row>
    <row r="1130" spans="15:38">
      <c r="O1130" t="s">
        <v>24</v>
      </c>
      <c r="P1130" t="s">
        <v>43</v>
      </c>
      <c r="Q1130" t="s">
        <v>17</v>
      </c>
      <c r="R1130" t="s">
        <v>59</v>
      </c>
      <c r="S1130">
        <v>2024.48</v>
      </c>
      <c r="T1130">
        <v>-27291.64</v>
      </c>
      <c r="U1130">
        <v>0</v>
      </c>
      <c r="V1130">
        <v>0</v>
      </c>
      <c r="AA1130" s="29" t="s">
        <v>43</v>
      </c>
      <c r="AB1130">
        <v>31200</v>
      </c>
      <c r="AC1130">
        <v>110</v>
      </c>
      <c r="AD1130">
        <v>4</v>
      </c>
      <c r="AE1130">
        <v>25.35</v>
      </c>
      <c r="AF1130">
        <v>25.35</v>
      </c>
      <c r="AG1130" s="29" t="s">
        <v>1370</v>
      </c>
      <c r="AH1130" s="29" t="s">
        <v>1686</v>
      </c>
      <c r="AI1130" s="29" t="s">
        <v>1397</v>
      </c>
      <c r="AJ1130" s="29" t="s">
        <v>1687</v>
      </c>
      <c r="AL1130" s="29" t="s">
        <v>1371</v>
      </c>
    </row>
    <row r="1131" spans="15:38">
      <c r="O1131" t="s">
        <v>24</v>
      </c>
      <c r="P1131" t="s">
        <v>43</v>
      </c>
      <c r="Q1131" t="s">
        <v>17</v>
      </c>
      <c r="R1131" t="s">
        <v>59</v>
      </c>
      <c r="S1131">
        <v>2024.49</v>
      </c>
      <c r="T1131">
        <v>-26172.5</v>
      </c>
      <c r="U1131">
        <v>0</v>
      </c>
      <c r="V1131">
        <v>0</v>
      </c>
      <c r="AA1131" s="29" t="s">
        <v>43</v>
      </c>
      <c r="AB1131">
        <v>31200</v>
      </c>
      <c r="AC1131">
        <v>110</v>
      </c>
      <c r="AD1131">
        <v>4</v>
      </c>
      <c r="AE1131">
        <v>14.59</v>
      </c>
      <c r="AF1131">
        <v>14.59</v>
      </c>
      <c r="AG1131" s="29" t="s">
        <v>1370</v>
      </c>
      <c r="AH1131" s="29" t="s">
        <v>1688</v>
      </c>
      <c r="AI1131" s="29" t="s">
        <v>1397</v>
      </c>
      <c r="AJ1131" s="29" t="s">
        <v>1689</v>
      </c>
      <c r="AL1131" s="29" t="s">
        <v>1371</v>
      </c>
    </row>
    <row r="1132" spans="15:38">
      <c r="O1132" t="s">
        <v>24</v>
      </c>
      <c r="P1132" t="s">
        <v>43</v>
      </c>
      <c r="Q1132" t="s">
        <v>17</v>
      </c>
      <c r="R1132" t="s">
        <v>59</v>
      </c>
      <c r="S1132">
        <v>2025.03</v>
      </c>
      <c r="T1132">
        <v>-26005.360000000001</v>
      </c>
      <c r="U1132">
        <v>0</v>
      </c>
      <c r="V1132">
        <v>0</v>
      </c>
      <c r="AA1132" s="29" t="s">
        <v>43</v>
      </c>
      <c r="AB1132">
        <v>31200</v>
      </c>
      <c r="AC1132">
        <v>110</v>
      </c>
      <c r="AD1132">
        <v>4</v>
      </c>
      <c r="AE1132">
        <v>27.04</v>
      </c>
      <c r="AF1132">
        <v>27.04</v>
      </c>
      <c r="AG1132" s="29" t="s">
        <v>1370</v>
      </c>
      <c r="AH1132" s="29" t="s">
        <v>1690</v>
      </c>
      <c r="AI1132" s="29" t="s">
        <v>1397</v>
      </c>
      <c r="AJ1132" s="29" t="s">
        <v>1691</v>
      </c>
      <c r="AL1132" s="29" t="s">
        <v>1371</v>
      </c>
    </row>
    <row r="1133" spans="15:38">
      <c r="O1133" t="s">
        <v>24</v>
      </c>
      <c r="P1133" t="s">
        <v>43</v>
      </c>
      <c r="Q1133" t="s">
        <v>17</v>
      </c>
      <c r="R1133" t="s">
        <v>59</v>
      </c>
      <c r="S1133">
        <v>2025.08</v>
      </c>
      <c r="T1133">
        <v>-25091.42</v>
      </c>
      <c r="U1133">
        <v>0</v>
      </c>
      <c r="V1133">
        <v>0</v>
      </c>
      <c r="AA1133" s="29" t="s">
        <v>43</v>
      </c>
      <c r="AB1133">
        <v>31200</v>
      </c>
      <c r="AC1133">
        <v>110</v>
      </c>
      <c r="AD1133">
        <v>4</v>
      </c>
      <c r="AE1133">
        <v>457.8</v>
      </c>
      <c r="AF1133">
        <v>457.8</v>
      </c>
      <c r="AG1133" s="29" t="s">
        <v>1370</v>
      </c>
      <c r="AH1133" s="29" t="s">
        <v>1692</v>
      </c>
      <c r="AI1133" s="29" t="s">
        <v>1397</v>
      </c>
      <c r="AJ1133" s="29" t="s">
        <v>1693</v>
      </c>
      <c r="AL1133" s="29" t="s">
        <v>1371</v>
      </c>
    </row>
    <row r="1134" spans="15:38">
      <c r="O1134" t="s">
        <v>24</v>
      </c>
      <c r="P1134" t="s">
        <v>43</v>
      </c>
      <c r="Q1134" t="s">
        <v>17</v>
      </c>
      <c r="R1134" t="s">
        <v>59</v>
      </c>
      <c r="S1134">
        <v>2025.1</v>
      </c>
      <c r="T1134">
        <v>-25035.23</v>
      </c>
      <c r="U1134">
        <v>0</v>
      </c>
      <c r="V1134">
        <v>0</v>
      </c>
      <c r="AA1134" s="29" t="s">
        <v>43</v>
      </c>
      <c r="AB1134">
        <v>31200</v>
      </c>
      <c r="AC1134">
        <v>110</v>
      </c>
      <c r="AD1134">
        <v>4</v>
      </c>
      <c r="AE1134">
        <v>57.23</v>
      </c>
      <c r="AF1134">
        <v>57.23</v>
      </c>
      <c r="AG1134" s="29" t="s">
        <v>1370</v>
      </c>
      <c r="AH1134" s="29" t="s">
        <v>1694</v>
      </c>
      <c r="AI1134" s="29" t="s">
        <v>1397</v>
      </c>
      <c r="AJ1134" s="29" t="s">
        <v>1695</v>
      </c>
      <c r="AL1134" s="29" t="s">
        <v>1371</v>
      </c>
    </row>
    <row r="1135" spans="15:38">
      <c r="O1135" t="s">
        <v>24</v>
      </c>
      <c r="P1135" t="s">
        <v>43</v>
      </c>
      <c r="Q1135" t="s">
        <v>17</v>
      </c>
      <c r="R1135" t="s">
        <v>59</v>
      </c>
      <c r="S1135">
        <v>2025.11</v>
      </c>
      <c r="T1135">
        <v>-24886.18</v>
      </c>
      <c r="U1135">
        <v>0</v>
      </c>
      <c r="V1135">
        <v>0</v>
      </c>
      <c r="AA1135" s="29" t="s">
        <v>43</v>
      </c>
      <c r="AB1135">
        <v>31200</v>
      </c>
      <c r="AC1135">
        <v>110</v>
      </c>
      <c r="AD1135">
        <v>4</v>
      </c>
      <c r="AE1135">
        <v>205.68</v>
      </c>
      <c r="AF1135">
        <v>205.68</v>
      </c>
      <c r="AG1135" s="29" t="s">
        <v>1370</v>
      </c>
      <c r="AH1135" s="29" t="s">
        <v>1696</v>
      </c>
      <c r="AI1135" s="29" t="s">
        <v>1397</v>
      </c>
      <c r="AJ1135" s="29" t="s">
        <v>1697</v>
      </c>
      <c r="AL1135" s="29" t="s">
        <v>1371</v>
      </c>
    </row>
    <row r="1136" spans="15:38">
      <c r="O1136" t="s">
        <v>24</v>
      </c>
      <c r="P1136" t="s">
        <v>43</v>
      </c>
      <c r="Q1136" t="s">
        <v>17</v>
      </c>
      <c r="R1136" t="s">
        <v>59</v>
      </c>
      <c r="S1136">
        <v>2025.12</v>
      </c>
      <c r="T1136">
        <v>-20428.38</v>
      </c>
      <c r="U1136">
        <v>0</v>
      </c>
      <c r="V1136">
        <v>0</v>
      </c>
      <c r="AA1136" s="29" t="s">
        <v>43</v>
      </c>
      <c r="AB1136">
        <v>31200</v>
      </c>
      <c r="AC1136">
        <v>110</v>
      </c>
      <c r="AD1136">
        <v>4</v>
      </c>
      <c r="AE1136">
        <v>457.12</v>
      </c>
      <c r="AF1136">
        <v>457.12</v>
      </c>
      <c r="AG1136" s="29" t="s">
        <v>1370</v>
      </c>
      <c r="AH1136" s="29" t="s">
        <v>1698</v>
      </c>
      <c r="AI1136" s="29" t="s">
        <v>1397</v>
      </c>
      <c r="AJ1136" s="29" t="s">
        <v>1699</v>
      </c>
      <c r="AL1136" s="29" t="s">
        <v>1371</v>
      </c>
    </row>
    <row r="1137" spans="15:38">
      <c r="O1137" t="s">
        <v>24</v>
      </c>
      <c r="P1137" t="s">
        <v>43</v>
      </c>
      <c r="Q1137" t="s">
        <v>10</v>
      </c>
      <c r="R1137" t="s">
        <v>64</v>
      </c>
      <c r="S1137">
        <v>2023.47</v>
      </c>
      <c r="T1137">
        <v>0</v>
      </c>
      <c r="U1137">
        <v>66668.353400000007</v>
      </c>
      <c r="V1137">
        <v>66668.353400000007</v>
      </c>
      <c r="AA1137" s="29" t="s">
        <v>43</v>
      </c>
      <c r="AB1137">
        <v>31200</v>
      </c>
      <c r="AC1137">
        <v>110</v>
      </c>
      <c r="AD1137">
        <v>4</v>
      </c>
      <c r="AE1137">
        <v>436.13</v>
      </c>
      <c r="AF1137">
        <v>436.13</v>
      </c>
      <c r="AG1137" s="29" t="s">
        <v>1370</v>
      </c>
      <c r="AH1137" s="29" t="s">
        <v>1700</v>
      </c>
      <c r="AI1137" s="29" t="s">
        <v>1397</v>
      </c>
      <c r="AJ1137" s="29" t="s">
        <v>1701</v>
      </c>
      <c r="AL1137" s="29" t="s">
        <v>1371</v>
      </c>
    </row>
    <row r="1138" spans="15:38">
      <c r="O1138" t="s">
        <v>24</v>
      </c>
      <c r="P1138" t="s">
        <v>43</v>
      </c>
      <c r="Q1138" t="s">
        <v>10</v>
      </c>
      <c r="R1138" t="s">
        <v>64</v>
      </c>
      <c r="S1138">
        <v>2024.41</v>
      </c>
      <c r="T1138">
        <v>309.66000000000003</v>
      </c>
      <c r="U1138">
        <v>66668.353400000007</v>
      </c>
      <c r="V1138">
        <v>66668.353400000007</v>
      </c>
      <c r="AA1138" s="29" t="s">
        <v>43</v>
      </c>
      <c r="AB1138">
        <v>31200</v>
      </c>
      <c r="AC1138">
        <v>110</v>
      </c>
      <c r="AD1138">
        <v>4</v>
      </c>
      <c r="AE1138">
        <v>218.06</v>
      </c>
      <c r="AF1138">
        <v>218.06</v>
      </c>
      <c r="AG1138" s="29" t="s">
        <v>1370</v>
      </c>
      <c r="AH1138" s="29" t="s">
        <v>1702</v>
      </c>
      <c r="AI1138" s="29" t="s">
        <v>1397</v>
      </c>
      <c r="AJ1138" s="29" t="s">
        <v>1703</v>
      </c>
      <c r="AL1138" s="29" t="s">
        <v>1371</v>
      </c>
    </row>
    <row r="1139" spans="15:38">
      <c r="O1139" t="s">
        <v>24</v>
      </c>
      <c r="P1139" t="s">
        <v>43</v>
      </c>
      <c r="Q1139" t="s">
        <v>10</v>
      </c>
      <c r="R1139" t="s">
        <v>64</v>
      </c>
      <c r="S1139">
        <v>2024.43</v>
      </c>
      <c r="T1139">
        <v>1985.44</v>
      </c>
      <c r="U1139">
        <v>66668.353400000007</v>
      </c>
      <c r="V1139">
        <v>66668.353400000007</v>
      </c>
      <c r="AA1139" s="29" t="s">
        <v>43</v>
      </c>
      <c r="AB1139">
        <v>31200</v>
      </c>
      <c r="AC1139">
        <v>110</v>
      </c>
      <c r="AD1139">
        <v>4</v>
      </c>
      <c r="AE1139">
        <v>65.2</v>
      </c>
      <c r="AF1139">
        <v>65.2</v>
      </c>
      <c r="AG1139" s="29" t="s">
        <v>1370</v>
      </c>
      <c r="AH1139" s="29" t="s">
        <v>1704</v>
      </c>
      <c r="AI1139" s="29" t="s">
        <v>1397</v>
      </c>
      <c r="AJ1139" s="29" t="s">
        <v>1705</v>
      </c>
      <c r="AL1139" s="29" t="s">
        <v>1371</v>
      </c>
    </row>
    <row r="1140" spans="15:38">
      <c r="O1140" t="s">
        <v>24</v>
      </c>
      <c r="P1140" t="s">
        <v>43</v>
      </c>
      <c r="Q1140" t="s">
        <v>10</v>
      </c>
      <c r="R1140" t="s">
        <v>64</v>
      </c>
      <c r="S1140">
        <v>2024.44</v>
      </c>
      <c r="T1140">
        <v>1985.44</v>
      </c>
      <c r="U1140">
        <v>66668.353400000007</v>
      </c>
      <c r="V1140">
        <v>66668.353400000007</v>
      </c>
      <c r="AA1140" s="29" t="s">
        <v>43</v>
      </c>
      <c r="AB1140">
        <v>31200</v>
      </c>
      <c r="AC1140">
        <v>110</v>
      </c>
      <c r="AD1140">
        <v>4</v>
      </c>
      <c r="AE1140">
        <v>42.24</v>
      </c>
      <c r="AF1140">
        <v>42.24</v>
      </c>
      <c r="AG1140" s="29" t="s">
        <v>1370</v>
      </c>
      <c r="AH1140" s="29" t="s">
        <v>1706</v>
      </c>
      <c r="AI1140" s="29" t="s">
        <v>1397</v>
      </c>
      <c r="AJ1140" s="29" t="s">
        <v>1707</v>
      </c>
      <c r="AL1140" s="29" t="s">
        <v>1371</v>
      </c>
    </row>
    <row r="1141" spans="15:38">
      <c r="O1141" t="s">
        <v>24</v>
      </c>
      <c r="P1141" t="s">
        <v>43</v>
      </c>
      <c r="Q1141" t="s">
        <v>10</v>
      </c>
      <c r="R1141" t="s">
        <v>64</v>
      </c>
      <c r="S1141">
        <v>2024.45</v>
      </c>
      <c r="T1141">
        <v>1985.44</v>
      </c>
      <c r="U1141">
        <v>66668.353400000007</v>
      </c>
      <c r="V1141">
        <v>66668.353400000007</v>
      </c>
      <c r="AA1141" s="29" t="s">
        <v>43</v>
      </c>
      <c r="AB1141">
        <v>31200</v>
      </c>
      <c r="AC1141">
        <v>110</v>
      </c>
      <c r="AD1141">
        <v>4</v>
      </c>
      <c r="AE1141">
        <v>399.66</v>
      </c>
      <c r="AF1141">
        <v>399.66</v>
      </c>
      <c r="AG1141" s="29" t="s">
        <v>1370</v>
      </c>
      <c r="AH1141" s="29" t="s">
        <v>1708</v>
      </c>
      <c r="AI1141" s="29" t="s">
        <v>1397</v>
      </c>
      <c r="AJ1141" s="29" t="s">
        <v>1709</v>
      </c>
      <c r="AL1141" s="29" t="s">
        <v>1371</v>
      </c>
    </row>
    <row r="1142" spans="15:38">
      <c r="O1142" t="s">
        <v>24</v>
      </c>
      <c r="P1142" t="s">
        <v>43</v>
      </c>
      <c r="Q1142" t="s">
        <v>10</v>
      </c>
      <c r="R1142" t="s">
        <v>64</v>
      </c>
      <c r="S1142">
        <v>2024.47</v>
      </c>
      <c r="T1142">
        <v>1985.44</v>
      </c>
      <c r="U1142">
        <v>66668.353400000007</v>
      </c>
      <c r="V1142">
        <v>66668.353400000007</v>
      </c>
      <c r="AA1142" s="29" t="s">
        <v>43</v>
      </c>
      <c r="AB1142">
        <v>31200</v>
      </c>
      <c r="AC1142">
        <v>110</v>
      </c>
      <c r="AD1142">
        <v>4</v>
      </c>
      <c r="AE1142">
        <v>101.4</v>
      </c>
      <c r="AF1142">
        <v>101.4</v>
      </c>
      <c r="AG1142" s="29" t="s">
        <v>1370</v>
      </c>
      <c r="AH1142" s="29" t="s">
        <v>1710</v>
      </c>
      <c r="AI1142" s="29" t="s">
        <v>1397</v>
      </c>
      <c r="AJ1142" s="29" t="s">
        <v>1711</v>
      </c>
      <c r="AL1142" s="29" t="s">
        <v>1371</v>
      </c>
    </row>
    <row r="1143" spans="15:38">
      <c r="O1143" t="s">
        <v>24</v>
      </c>
      <c r="P1143" t="s">
        <v>43</v>
      </c>
      <c r="Q1143" t="s">
        <v>10</v>
      </c>
      <c r="R1143" t="s">
        <v>64</v>
      </c>
      <c r="S1143">
        <v>2024.48</v>
      </c>
      <c r="T1143">
        <v>1985.44</v>
      </c>
      <c r="U1143">
        <v>66668.353400000007</v>
      </c>
      <c r="V1143">
        <v>66668.353400000007</v>
      </c>
      <c r="AA1143" s="29" t="s">
        <v>43</v>
      </c>
      <c r="AB1143">
        <v>31200</v>
      </c>
      <c r="AC1143">
        <v>110</v>
      </c>
      <c r="AD1143">
        <v>4</v>
      </c>
      <c r="AE1143">
        <v>146.4</v>
      </c>
      <c r="AF1143">
        <v>146.4</v>
      </c>
      <c r="AG1143" s="29" t="s">
        <v>1370</v>
      </c>
      <c r="AH1143" s="29" t="s">
        <v>1712</v>
      </c>
      <c r="AI1143" s="29" t="s">
        <v>1397</v>
      </c>
      <c r="AJ1143" s="29" t="s">
        <v>1713</v>
      </c>
      <c r="AL1143" s="29" t="s">
        <v>1371</v>
      </c>
    </row>
    <row r="1144" spans="15:38">
      <c r="O1144" t="s">
        <v>24</v>
      </c>
      <c r="P1144" t="s">
        <v>43</v>
      </c>
      <c r="Q1144" t="s">
        <v>10</v>
      </c>
      <c r="R1144" t="s">
        <v>64</v>
      </c>
      <c r="S1144">
        <v>2024.49</v>
      </c>
      <c r="T1144">
        <v>1985.44</v>
      </c>
      <c r="U1144">
        <v>66668.353400000007</v>
      </c>
      <c r="V1144">
        <v>66668.353400000007</v>
      </c>
      <c r="AA1144" s="29" t="s">
        <v>43</v>
      </c>
      <c r="AB1144">
        <v>31200</v>
      </c>
      <c r="AC1144">
        <v>110</v>
      </c>
      <c r="AD1144">
        <v>4</v>
      </c>
      <c r="AE1144">
        <v>38.049999999999997</v>
      </c>
      <c r="AF1144">
        <v>38.049999999999997</v>
      </c>
      <c r="AG1144" s="29" t="s">
        <v>1370</v>
      </c>
      <c r="AH1144" s="29" t="s">
        <v>1714</v>
      </c>
      <c r="AI1144" s="29" t="s">
        <v>1397</v>
      </c>
      <c r="AJ1144" s="29" t="s">
        <v>1715</v>
      </c>
      <c r="AL1144" s="29" t="s">
        <v>1371</v>
      </c>
    </row>
    <row r="1145" spans="15:38">
      <c r="O1145" t="s">
        <v>24</v>
      </c>
      <c r="P1145" t="s">
        <v>43</v>
      </c>
      <c r="Q1145" t="s">
        <v>10</v>
      </c>
      <c r="R1145" t="s">
        <v>64</v>
      </c>
      <c r="S1145">
        <v>2025.03</v>
      </c>
      <c r="T1145">
        <v>1985.44</v>
      </c>
      <c r="U1145">
        <v>66668.353400000007</v>
      </c>
      <c r="V1145">
        <v>66668.353400000007</v>
      </c>
      <c r="AA1145" s="29" t="s">
        <v>43</v>
      </c>
      <c r="AB1145">
        <v>31200</v>
      </c>
      <c r="AC1145">
        <v>110</v>
      </c>
      <c r="AD1145">
        <v>4</v>
      </c>
      <c r="AE1145">
        <v>378.22</v>
      </c>
      <c r="AF1145">
        <v>378.22</v>
      </c>
      <c r="AG1145" s="29" t="s">
        <v>1370</v>
      </c>
      <c r="AH1145" s="29" t="s">
        <v>1716</v>
      </c>
      <c r="AI1145" s="29" t="s">
        <v>1397</v>
      </c>
      <c r="AJ1145" s="29" t="s">
        <v>1717</v>
      </c>
      <c r="AL1145" s="29" t="s">
        <v>1371</v>
      </c>
    </row>
    <row r="1146" spans="15:38">
      <c r="O1146" t="s">
        <v>24</v>
      </c>
      <c r="P1146" t="s">
        <v>43</v>
      </c>
      <c r="Q1146" t="s">
        <v>10</v>
      </c>
      <c r="R1146" t="s">
        <v>64</v>
      </c>
      <c r="S1146">
        <v>2025.08</v>
      </c>
      <c r="T1146">
        <v>1985.44</v>
      </c>
      <c r="U1146">
        <v>66668.353400000007</v>
      </c>
      <c r="V1146">
        <v>66668.353400000007</v>
      </c>
      <c r="AA1146" s="29" t="s">
        <v>43</v>
      </c>
      <c r="AB1146">
        <v>31200</v>
      </c>
      <c r="AC1146">
        <v>110</v>
      </c>
      <c r="AD1146">
        <v>4</v>
      </c>
      <c r="AE1146">
        <v>70.02</v>
      </c>
      <c r="AF1146">
        <v>70.02</v>
      </c>
      <c r="AG1146" s="29" t="s">
        <v>1370</v>
      </c>
      <c r="AH1146" s="29" t="s">
        <v>1718</v>
      </c>
      <c r="AI1146" s="29" t="s">
        <v>1397</v>
      </c>
      <c r="AJ1146" s="29" t="s">
        <v>1719</v>
      </c>
      <c r="AL1146" s="29" t="s">
        <v>1371</v>
      </c>
    </row>
    <row r="1147" spans="15:38">
      <c r="O1147" t="s">
        <v>24</v>
      </c>
      <c r="P1147" t="s">
        <v>43</v>
      </c>
      <c r="Q1147" t="s">
        <v>10</v>
      </c>
      <c r="R1147" t="s">
        <v>64</v>
      </c>
      <c r="S1147">
        <v>2025.1</v>
      </c>
      <c r="T1147">
        <v>1985.44</v>
      </c>
      <c r="U1147">
        <v>66668.353400000007</v>
      </c>
      <c r="V1147">
        <v>66668.353400000007</v>
      </c>
      <c r="AA1147" s="29" t="s">
        <v>43</v>
      </c>
      <c r="AB1147">
        <v>31200</v>
      </c>
      <c r="AC1147">
        <v>110</v>
      </c>
      <c r="AD1147">
        <v>4</v>
      </c>
      <c r="AE1147">
        <v>43.2</v>
      </c>
      <c r="AF1147">
        <v>43.2</v>
      </c>
      <c r="AG1147" s="29" t="s">
        <v>1370</v>
      </c>
      <c r="AH1147" s="29" t="s">
        <v>1606</v>
      </c>
      <c r="AI1147" s="29" t="s">
        <v>1397</v>
      </c>
      <c r="AJ1147" s="29" t="s">
        <v>1607</v>
      </c>
      <c r="AL1147" s="29" t="s">
        <v>1371</v>
      </c>
    </row>
    <row r="1148" spans="15:38">
      <c r="O1148" t="s">
        <v>24</v>
      </c>
      <c r="P1148" t="s">
        <v>43</v>
      </c>
      <c r="Q1148" t="s">
        <v>10</v>
      </c>
      <c r="R1148" t="s">
        <v>64</v>
      </c>
      <c r="S1148">
        <v>2025.11</v>
      </c>
      <c r="T1148">
        <v>1985.44</v>
      </c>
      <c r="U1148">
        <v>66668.353400000007</v>
      </c>
      <c r="V1148">
        <v>66668.353400000007</v>
      </c>
      <c r="AA1148" s="29" t="s">
        <v>43</v>
      </c>
      <c r="AB1148">
        <v>31200</v>
      </c>
      <c r="AC1148">
        <v>110</v>
      </c>
      <c r="AD1148">
        <v>4</v>
      </c>
      <c r="AE1148">
        <v>186.72</v>
      </c>
      <c r="AF1148">
        <v>186.72</v>
      </c>
      <c r="AG1148" s="29" t="s">
        <v>1370</v>
      </c>
      <c r="AH1148" s="29" t="s">
        <v>1720</v>
      </c>
      <c r="AI1148" s="29" t="s">
        <v>1397</v>
      </c>
      <c r="AJ1148" s="29" t="s">
        <v>1721</v>
      </c>
      <c r="AL1148" s="29" t="s">
        <v>1371</v>
      </c>
    </row>
    <row r="1149" spans="15:38">
      <c r="O1149" t="s">
        <v>24</v>
      </c>
      <c r="P1149" t="s">
        <v>43</v>
      </c>
      <c r="Q1149" t="s">
        <v>10</v>
      </c>
      <c r="R1149" t="s">
        <v>64</v>
      </c>
      <c r="S1149">
        <v>2025.12</v>
      </c>
      <c r="T1149">
        <v>1985.44</v>
      </c>
      <c r="U1149">
        <v>66668.353400000007</v>
      </c>
      <c r="V1149">
        <v>66668.353400000007</v>
      </c>
      <c r="AA1149" s="29" t="s">
        <v>43</v>
      </c>
      <c r="AB1149">
        <v>31200</v>
      </c>
      <c r="AC1149">
        <v>110</v>
      </c>
      <c r="AD1149">
        <v>4</v>
      </c>
      <c r="AE1149">
        <v>115.56</v>
      </c>
      <c r="AF1149">
        <v>115.56</v>
      </c>
      <c r="AG1149" s="29" t="s">
        <v>1370</v>
      </c>
      <c r="AH1149" s="29" t="s">
        <v>1722</v>
      </c>
      <c r="AI1149" s="29" t="s">
        <v>1397</v>
      </c>
      <c r="AJ1149" s="29" t="s">
        <v>1723</v>
      </c>
      <c r="AL1149" s="29" t="s">
        <v>1371</v>
      </c>
    </row>
    <row r="1150" spans="15:38">
      <c r="O1150" t="s">
        <v>24</v>
      </c>
      <c r="P1150" t="s">
        <v>43</v>
      </c>
      <c r="Q1150" t="s">
        <v>10</v>
      </c>
      <c r="R1150" t="s">
        <v>56</v>
      </c>
      <c r="S1150">
        <v>2023.47</v>
      </c>
      <c r="T1150">
        <v>0</v>
      </c>
      <c r="U1150">
        <v>69332.800499999998</v>
      </c>
      <c r="V1150">
        <v>69332.800499999998</v>
      </c>
      <c r="AA1150" s="29" t="s">
        <v>43</v>
      </c>
      <c r="AB1150">
        <v>31200</v>
      </c>
      <c r="AC1150">
        <v>110</v>
      </c>
      <c r="AD1150">
        <v>4</v>
      </c>
      <c r="AE1150">
        <v>302.54000000000002</v>
      </c>
      <c r="AF1150">
        <v>302.54000000000002</v>
      </c>
      <c r="AG1150" s="29" t="s">
        <v>1370</v>
      </c>
      <c r="AH1150" s="29" t="s">
        <v>1724</v>
      </c>
      <c r="AI1150" s="29" t="s">
        <v>1397</v>
      </c>
      <c r="AJ1150" s="29" t="s">
        <v>1725</v>
      </c>
      <c r="AL1150" s="29" t="s">
        <v>1371</v>
      </c>
    </row>
    <row r="1151" spans="15:38">
      <c r="O1151" t="s">
        <v>24</v>
      </c>
      <c r="P1151" t="s">
        <v>43</v>
      </c>
      <c r="Q1151" t="s">
        <v>10</v>
      </c>
      <c r="R1151" t="s">
        <v>56</v>
      </c>
      <c r="S1151">
        <v>2023.51</v>
      </c>
      <c r="T1151">
        <v>52740</v>
      </c>
      <c r="U1151">
        <v>69332.800499999998</v>
      </c>
      <c r="V1151">
        <v>69332.800499999998</v>
      </c>
      <c r="AA1151" s="29" t="s">
        <v>43</v>
      </c>
      <c r="AB1151">
        <v>31200</v>
      </c>
      <c r="AC1151">
        <v>110</v>
      </c>
      <c r="AD1151">
        <v>4</v>
      </c>
      <c r="AE1151">
        <v>4.5</v>
      </c>
      <c r="AF1151">
        <v>4.5</v>
      </c>
      <c r="AG1151" s="29" t="s">
        <v>1370</v>
      </c>
      <c r="AH1151" s="29" t="s">
        <v>1726</v>
      </c>
      <c r="AI1151" s="29" t="s">
        <v>1397</v>
      </c>
      <c r="AJ1151" s="29" t="s">
        <v>1727</v>
      </c>
      <c r="AL1151" s="29" t="s">
        <v>1371</v>
      </c>
    </row>
    <row r="1152" spans="15:38">
      <c r="O1152" t="s">
        <v>24</v>
      </c>
      <c r="P1152" t="s">
        <v>43</v>
      </c>
      <c r="Q1152" t="s">
        <v>10</v>
      </c>
      <c r="R1152" t="s">
        <v>56</v>
      </c>
      <c r="S1152">
        <v>2024.05</v>
      </c>
      <c r="T1152">
        <v>52740</v>
      </c>
      <c r="U1152">
        <v>69332.800499999998</v>
      </c>
      <c r="V1152">
        <v>69332.800499999998</v>
      </c>
      <c r="AA1152" s="29" t="s">
        <v>43</v>
      </c>
      <c r="AB1152">
        <v>31200</v>
      </c>
      <c r="AC1152">
        <v>110</v>
      </c>
      <c r="AD1152">
        <v>4</v>
      </c>
      <c r="AE1152">
        <v>0</v>
      </c>
      <c r="AF1152">
        <v>0</v>
      </c>
      <c r="AG1152" s="29" t="s">
        <v>1370</v>
      </c>
      <c r="AH1152" s="29" t="s">
        <v>1372</v>
      </c>
      <c r="AI1152" s="29" t="s">
        <v>1397</v>
      </c>
      <c r="AJ1152" s="29" t="s">
        <v>1728</v>
      </c>
      <c r="AL1152" s="29" t="s">
        <v>1371</v>
      </c>
    </row>
    <row r="1153" spans="15:38">
      <c r="O1153" t="s">
        <v>24</v>
      </c>
      <c r="P1153" t="s">
        <v>43</v>
      </c>
      <c r="Q1153" t="s">
        <v>10</v>
      </c>
      <c r="R1153" t="s">
        <v>56</v>
      </c>
      <c r="S1153">
        <v>2024.06</v>
      </c>
      <c r="T1153">
        <v>52740</v>
      </c>
      <c r="U1153">
        <v>69332.800499999998</v>
      </c>
      <c r="V1153">
        <v>69332.800499999998</v>
      </c>
      <c r="AA1153" s="29" t="s">
        <v>43</v>
      </c>
      <c r="AB1153">
        <v>31200</v>
      </c>
      <c r="AC1153">
        <v>110</v>
      </c>
      <c r="AD1153">
        <v>4</v>
      </c>
      <c r="AE1153">
        <v>1563.25</v>
      </c>
      <c r="AF1153">
        <v>1563.25</v>
      </c>
      <c r="AG1153" s="29" t="s">
        <v>1370</v>
      </c>
      <c r="AH1153" s="29" t="s">
        <v>1729</v>
      </c>
      <c r="AI1153" s="29" t="s">
        <v>1397</v>
      </c>
      <c r="AJ1153" s="29" t="s">
        <v>1730</v>
      </c>
      <c r="AL1153" s="29" t="s">
        <v>1371</v>
      </c>
    </row>
    <row r="1154" spans="15:38">
      <c r="O1154" t="s">
        <v>24</v>
      </c>
      <c r="P1154" t="s">
        <v>43</v>
      </c>
      <c r="Q1154" t="s">
        <v>10</v>
      </c>
      <c r="R1154" t="s">
        <v>56</v>
      </c>
      <c r="S1154">
        <v>2024.07</v>
      </c>
      <c r="T1154">
        <v>52740</v>
      </c>
      <c r="U1154">
        <v>69332.800499999998</v>
      </c>
      <c r="V1154">
        <v>69332.800499999998</v>
      </c>
      <c r="AA1154" s="29" t="s">
        <v>43</v>
      </c>
      <c r="AB1154">
        <v>31200</v>
      </c>
      <c r="AC1154">
        <v>110</v>
      </c>
      <c r="AD1154">
        <v>4</v>
      </c>
      <c r="AE1154">
        <v>392.48</v>
      </c>
      <c r="AF1154">
        <v>392.48</v>
      </c>
      <c r="AG1154" s="29" t="s">
        <v>1370</v>
      </c>
      <c r="AH1154" s="29" t="s">
        <v>1731</v>
      </c>
      <c r="AI1154" s="29" t="s">
        <v>1397</v>
      </c>
      <c r="AJ1154" s="29" t="s">
        <v>1732</v>
      </c>
      <c r="AL1154" s="29" t="s">
        <v>1371</v>
      </c>
    </row>
    <row r="1155" spans="15:38">
      <c r="O1155" t="s">
        <v>24</v>
      </c>
      <c r="P1155" t="s">
        <v>43</v>
      </c>
      <c r="Q1155" t="s">
        <v>10</v>
      </c>
      <c r="R1155" t="s">
        <v>56</v>
      </c>
      <c r="S1155">
        <v>2024.08</v>
      </c>
      <c r="T1155">
        <v>52740</v>
      </c>
      <c r="U1155">
        <v>69332.800499999998</v>
      </c>
      <c r="V1155">
        <v>69332.800499999998</v>
      </c>
      <c r="AA1155" s="29" t="s">
        <v>43</v>
      </c>
      <c r="AB1155">
        <v>31200</v>
      </c>
      <c r="AC1155">
        <v>110</v>
      </c>
      <c r="AD1155">
        <v>4</v>
      </c>
      <c r="AE1155">
        <v>196.24</v>
      </c>
      <c r="AF1155">
        <v>196.24</v>
      </c>
      <c r="AG1155" s="29" t="s">
        <v>1370</v>
      </c>
      <c r="AH1155" s="29" t="s">
        <v>1733</v>
      </c>
      <c r="AI1155" s="29" t="s">
        <v>1397</v>
      </c>
      <c r="AJ1155" s="29" t="s">
        <v>1734</v>
      </c>
      <c r="AL1155" s="29" t="s">
        <v>1371</v>
      </c>
    </row>
    <row r="1156" spans="15:38">
      <c r="O1156" t="s">
        <v>24</v>
      </c>
      <c r="P1156" t="s">
        <v>43</v>
      </c>
      <c r="Q1156" t="s">
        <v>10</v>
      </c>
      <c r="R1156" t="s">
        <v>56</v>
      </c>
      <c r="S1156">
        <v>2024.09</v>
      </c>
      <c r="T1156">
        <v>52740</v>
      </c>
      <c r="U1156">
        <v>69332.800499999998</v>
      </c>
      <c r="V1156">
        <v>69332.800499999998</v>
      </c>
      <c r="AA1156" s="29" t="s">
        <v>43</v>
      </c>
      <c r="AB1156">
        <v>31200</v>
      </c>
      <c r="AC1156">
        <v>110</v>
      </c>
      <c r="AD1156">
        <v>4</v>
      </c>
      <c r="AE1156">
        <v>3574.08</v>
      </c>
      <c r="AF1156">
        <v>3574.08</v>
      </c>
      <c r="AG1156" s="29" t="s">
        <v>1370</v>
      </c>
      <c r="AH1156" s="29" t="s">
        <v>1735</v>
      </c>
      <c r="AI1156" s="29" t="s">
        <v>1397</v>
      </c>
      <c r="AJ1156" s="29" t="s">
        <v>1736</v>
      </c>
      <c r="AL1156" s="29" t="s">
        <v>1371</v>
      </c>
    </row>
    <row r="1157" spans="15:38">
      <c r="O1157" t="s">
        <v>24</v>
      </c>
      <c r="P1157" t="s">
        <v>43</v>
      </c>
      <c r="Q1157" t="s">
        <v>10</v>
      </c>
      <c r="R1157" t="s">
        <v>56</v>
      </c>
      <c r="S1157">
        <v>2024.1</v>
      </c>
      <c r="T1157">
        <v>52740</v>
      </c>
      <c r="U1157">
        <v>69332.800499999998</v>
      </c>
      <c r="V1157">
        <v>69332.800499999998</v>
      </c>
      <c r="AA1157" s="29" t="s">
        <v>43</v>
      </c>
      <c r="AB1157">
        <v>31200</v>
      </c>
      <c r="AC1157">
        <v>110</v>
      </c>
      <c r="AD1157">
        <v>4</v>
      </c>
      <c r="AE1157">
        <v>198.99</v>
      </c>
      <c r="AF1157">
        <v>198.99</v>
      </c>
      <c r="AG1157" s="29" t="s">
        <v>1370</v>
      </c>
      <c r="AH1157" s="29" t="s">
        <v>1737</v>
      </c>
      <c r="AI1157" s="29" t="s">
        <v>1397</v>
      </c>
      <c r="AJ1157" s="29" t="s">
        <v>1738</v>
      </c>
      <c r="AL1157" s="29" t="s">
        <v>1371</v>
      </c>
    </row>
    <row r="1158" spans="15:38">
      <c r="O1158" t="s">
        <v>24</v>
      </c>
      <c r="P1158" t="s">
        <v>43</v>
      </c>
      <c r="Q1158" t="s">
        <v>10</v>
      </c>
      <c r="R1158" t="s">
        <v>56</v>
      </c>
      <c r="S1158">
        <v>2024.11</v>
      </c>
      <c r="T1158">
        <v>52740</v>
      </c>
      <c r="U1158">
        <v>69332.800499999998</v>
      </c>
      <c r="V1158">
        <v>69332.800499999998</v>
      </c>
      <c r="AA1158" s="29" t="s">
        <v>43</v>
      </c>
      <c r="AB1158">
        <v>31200</v>
      </c>
      <c r="AC1158">
        <v>110</v>
      </c>
      <c r="AD1158">
        <v>4</v>
      </c>
      <c r="AE1158">
        <v>3870.81</v>
      </c>
      <c r="AF1158">
        <v>3870.81</v>
      </c>
      <c r="AG1158" s="29" t="s">
        <v>1370</v>
      </c>
      <c r="AH1158" s="29" t="s">
        <v>1739</v>
      </c>
      <c r="AI1158" s="29" t="s">
        <v>1397</v>
      </c>
      <c r="AJ1158" s="29" t="s">
        <v>1740</v>
      </c>
      <c r="AL1158" s="29" t="s">
        <v>1371</v>
      </c>
    </row>
    <row r="1159" spans="15:38">
      <c r="O1159" t="s">
        <v>24</v>
      </c>
      <c r="P1159" t="s">
        <v>43</v>
      </c>
      <c r="Q1159" t="s">
        <v>10</v>
      </c>
      <c r="R1159" t="s">
        <v>56</v>
      </c>
      <c r="S1159">
        <v>2024.12</v>
      </c>
      <c r="T1159">
        <v>52740</v>
      </c>
      <c r="U1159">
        <v>69332.800499999998</v>
      </c>
      <c r="V1159">
        <v>69332.800499999998</v>
      </c>
      <c r="AA1159" s="29" t="s">
        <v>43</v>
      </c>
      <c r="AB1159">
        <v>31200</v>
      </c>
      <c r="AC1159">
        <v>110</v>
      </c>
      <c r="AD1159">
        <v>4</v>
      </c>
      <c r="AE1159">
        <v>7849.92</v>
      </c>
      <c r="AF1159">
        <v>7849.92</v>
      </c>
      <c r="AG1159" s="29" t="s">
        <v>1370</v>
      </c>
      <c r="AH1159" s="29" t="s">
        <v>1741</v>
      </c>
      <c r="AI1159" s="29" t="s">
        <v>1397</v>
      </c>
      <c r="AJ1159" s="29" t="s">
        <v>1742</v>
      </c>
      <c r="AL1159" s="29" t="s">
        <v>1371</v>
      </c>
    </row>
    <row r="1160" spans="15:38">
      <c r="O1160" t="s">
        <v>24</v>
      </c>
      <c r="P1160" t="s">
        <v>43</v>
      </c>
      <c r="Q1160" t="s">
        <v>10</v>
      </c>
      <c r="R1160" t="s">
        <v>56</v>
      </c>
      <c r="S1160">
        <v>2024.14</v>
      </c>
      <c r="T1160">
        <v>52740</v>
      </c>
      <c r="U1160">
        <v>69332.800499999998</v>
      </c>
      <c r="V1160">
        <v>69332.800499999998</v>
      </c>
      <c r="AA1160" s="29" t="s">
        <v>43</v>
      </c>
      <c r="AB1160">
        <v>31200</v>
      </c>
      <c r="AC1160">
        <v>110</v>
      </c>
      <c r="AD1160">
        <v>4</v>
      </c>
      <c r="AE1160">
        <v>865.8</v>
      </c>
      <c r="AF1160">
        <v>865.8</v>
      </c>
      <c r="AG1160" s="29" t="s">
        <v>1370</v>
      </c>
      <c r="AH1160" s="29" t="s">
        <v>1743</v>
      </c>
      <c r="AI1160" s="29" t="s">
        <v>1397</v>
      </c>
      <c r="AJ1160" s="29" t="s">
        <v>1744</v>
      </c>
      <c r="AL1160" s="29" t="s">
        <v>1371</v>
      </c>
    </row>
    <row r="1161" spans="15:38">
      <c r="O1161" t="s">
        <v>24</v>
      </c>
      <c r="P1161" t="s">
        <v>43</v>
      </c>
      <c r="Q1161" t="s">
        <v>10</v>
      </c>
      <c r="R1161" t="s">
        <v>56</v>
      </c>
      <c r="S1161">
        <v>2024.17</v>
      </c>
      <c r="T1161">
        <v>52740</v>
      </c>
      <c r="U1161">
        <v>69332.800499999998</v>
      </c>
      <c r="V1161">
        <v>69332.800499999998</v>
      </c>
      <c r="AA1161" s="29" t="s">
        <v>43</v>
      </c>
      <c r="AB1161">
        <v>31200</v>
      </c>
      <c r="AC1161">
        <v>110</v>
      </c>
      <c r="AD1161">
        <v>4</v>
      </c>
      <c r="AE1161">
        <v>4012.44</v>
      </c>
      <c r="AF1161">
        <v>4012.44</v>
      </c>
      <c r="AG1161" s="29" t="s">
        <v>1370</v>
      </c>
      <c r="AH1161" s="29" t="s">
        <v>1745</v>
      </c>
      <c r="AI1161" s="29" t="s">
        <v>1397</v>
      </c>
      <c r="AJ1161" s="29" t="s">
        <v>1746</v>
      </c>
      <c r="AL1161" s="29" t="s">
        <v>1371</v>
      </c>
    </row>
    <row r="1162" spans="15:38">
      <c r="O1162" t="s">
        <v>24</v>
      </c>
      <c r="P1162" t="s">
        <v>43</v>
      </c>
      <c r="Q1162" t="s">
        <v>10</v>
      </c>
      <c r="R1162" t="s">
        <v>56</v>
      </c>
      <c r="S1162">
        <v>2024.18</v>
      </c>
      <c r="T1162">
        <v>10548</v>
      </c>
      <c r="U1162">
        <v>69332.800499999998</v>
      </c>
      <c r="V1162">
        <v>69332.800499999998</v>
      </c>
      <c r="AA1162" s="29" t="s">
        <v>43</v>
      </c>
      <c r="AB1162">
        <v>31200</v>
      </c>
      <c r="AC1162">
        <v>110</v>
      </c>
      <c r="AD1162">
        <v>4</v>
      </c>
      <c r="AE1162">
        <v>95.4</v>
      </c>
      <c r="AF1162">
        <v>95.4</v>
      </c>
      <c r="AG1162" s="29" t="s">
        <v>1370</v>
      </c>
      <c r="AH1162" s="29" t="s">
        <v>1747</v>
      </c>
      <c r="AI1162" s="29" t="s">
        <v>1397</v>
      </c>
      <c r="AJ1162" s="29" t="s">
        <v>1748</v>
      </c>
      <c r="AL1162" s="29" t="s">
        <v>1371</v>
      </c>
    </row>
    <row r="1163" spans="15:38">
      <c r="O1163" t="s">
        <v>24</v>
      </c>
      <c r="P1163" t="s">
        <v>43</v>
      </c>
      <c r="Q1163" t="s">
        <v>10</v>
      </c>
      <c r="R1163" t="s">
        <v>56</v>
      </c>
      <c r="S1163">
        <v>2024.19</v>
      </c>
      <c r="T1163">
        <v>10548</v>
      </c>
      <c r="U1163">
        <v>69332.800499999998</v>
      </c>
      <c r="V1163">
        <v>69332.800499999998</v>
      </c>
      <c r="AA1163" s="29" t="s">
        <v>43</v>
      </c>
      <c r="AB1163">
        <v>31200</v>
      </c>
      <c r="AC1163">
        <v>110</v>
      </c>
      <c r="AD1163">
        <v>4</v>
      </c>
      <c r="AE1163">
        <v>398.97</v>
      </c>
      <c r="AF1163">
        <v>398.97</v>
      </c>
      <c r="AG1163" s="29" t="s">
        <v>1370</v>
      </c>
      <c r="AH1163" s="29" t="s">
        <v>1749</v>
      </c>
      <c r="AI1163" s="29" t="s">
        <v>1397</v>
      </c>
      <c r="AJ1163" s="29" t="s">
        <v>1750</v>
      </c>
      <c r="AL1163" s="29" t="s">
        <v>1371</v>
      </c>
    </row>
    <row r="1164" spans="15:38">
      <c r="O1164" t="s">
        <v>24</v>
      </c>
      <c r="P1164" t="s">
        <v>43</v>
      </c>
      <c r="Q1164" t="s">
        <v>10</v>
      </c>
      <c r="R1164" t="s">
        <v>56</v>
      </c>
      <c r="S1164">
        <v>2024.2</v>
      </c>
      <c r="T1164">
        <v>10548</v>
      </c>
      <c r="U1164">
        <v>69332.800499999998</v>
      </c>
      <c r="V1164">
        <v>69332.800499999998</v>
      </c>
      <c r="AA1164" s="29" t="s">
        <v>43</v>
      </c>
      <c r="AB1164">
        <v>31200</v>
      </c>
      <c r="AC1164">
        <v>110</v>
      </c>
      <c r="AD1164">
        <v>4</v>
      </c>
      <c r="AE1164">
        <v>611.54999999999995</v>
      </c>
      <c r="AF1164">
        <v>611.54999999999995</v>
      </c>
      <c r="AG1164" s="29" t="s">
        <v>1370</v>
      </c>
      <c r="AH1164" s="29" t="s">
        <v>1751</v>
      </c>
      <c r="AI1164" s="29" t="s">
        <v>1397</v>
      </c>
      <c r="AJ1164" s="29" t="s">
        <v>1752</v>
      </c>
      <c r="AL1164" s="29" t="s">
        <v>1371</v>
      </c>
    </row>
    <row r="1165" spans="15:38">
      <c r="O1165" t="s">
        <v>24</v>
      </c>
      <c r="P1165" t="s">
        <v>43</v>
      </c>
      <c r="Q1165" t="s">
        <v>10</v>
      </c>
      <c r="R1165" t="s">
        <v>56</v>
      </c>
      <c r="S1165">
        <v>2024.21</v>
      </c>
      <c r="T1165">
        <v>10548</v>
      </c>
      <c r="U1165">
        <v>69332.800499999998</v>
      </c>
      <c r="V1165">
        <v>69332.800499999998</v>
      </c>
      <c r="AA1165" s="29" t="s">
        <v>43</v>
      </c>
      <c r="AB1165">
        <v>31200</v>
      </c>
      <c r="AC1165">
        <v>110</v>
      </c>
      <c r="AD1165">
        <v>4</v>
      </c>
      <c r="AE1165">
        <v>16.399999999999999</v>
      </c>
      <c r="AF1165">
        <v>16.399999999999999</v>
      </c>
      <c r="AG1165" s="29" t="s">
        <v>1370</v>
      </c>
      <c r="AH1165" s="29" t="s">
        <v>1753</v>
      </c>
      <c r="AI1165" s="29" t="s">
        <v>1397</v>
      </c>
      <c r="AJ1165" s="29" t="s">
        <v>1754</v>
      </c>
      <c r="AL1165" s="29" t="s">
        <v>1371</v>
      </c>
    </row>
    <row r="1166" spans="15:38">
      <c r="O1166" t="s">
        <v>24</v>
      </c>
      <c r="P1166" t="s">
        <v>43</v>
      </c>
      <c r="Q1166" t="s">
        <v>10</v>
      </c>
      <c r="R1166" t="s">
        <v>56</v>
      </c>
      <c r="S1166">
        <v>2024.28</v>
      </c>
      <c r="T1166">
        <v>10548</v>
      </c>
      <c r="U1166">
        <v>69332.800499999998</v>
      </c>
      <c r="V1166">
        <v>69332.800499999998</v>
      </c>
      <c r="AA1166" s="29" t="s">
        <v>43</v>
      </c>
      <c r="AB1166">
        <v>31200</v>
      </c>
      <c r="AC1166">
        <v>110</v>
      </c>
      <c r="AD1166">
        <v>4</v>
      </c>
      <c r="AE1166">
        <v>16.399999999999999</v>
      </c>
      <c r="AF1166">
        <v>16.399999999999999</v>
      </c>
      <c r="AG1166" s="29" t="s">
        <v>1370</v>
      </c>
      <c r="AH1166" s="29" t="s">
        <v>1753</v>
      </c>
      <c r="AI1166" s="29" t="s">
        <v>1397</v>
      </c>
      <c r="AJ1166" s="29" t="s">
        <v>1754</v>
      </c>
      <c r="AL1166" s="29" t="s">
        <v>1371</v>
      </c>
    </row>
    <row r="1167" spans="15:38">
      <c r="O1167" t="s">
        <v>24</v>
      </c>
      <c r="P1167" t="s">
        <v>43</v>
      </c>
      <c r="Q1167" t="s">
        <v>10</v>
      </c>
      <c r="R1167" t="s">
        <v>56</v>
      </c>
      <c r="S1167">
        <v>2024.38</v>
      </c>
      <c r="T1167">
        <v>10548</v>
      </c>
      <c r="U1167">
        <v>69332.800499999998</v>
      </c>
      <c r="V1167">
        <v>69332.800499999998</v>
      </c>
      <c r="AA1167" s="29" t="s">
        <v>43</v>
      </c>
      <c r="AB1167">
        <v>31200</v>
      </c>
      <c r="AC1167">
        <v>110</v>
      </c>
      <c r="AD1167">
        <v>4</v>
      </c>
      <c r="AE1167">
        <v>93.28</v>
      </c>
      <c r="AF1167">
        <v>93.28</v>
      </c>
      <c r="AG1167" s="29" t="s">
        <v>1370</v>
      </c>
      <c r="AH1167" s="29" t="s">
        <v>1652</v>
      </c>
      <c r="AI1167" s="29" t="s">
        <v>1397</v>
      </c>
      <c r="AJ1167" s="29" t="s">
        <v>1653</v>
      </c>
      <c r="AL1167" s="29" t="s">
        <v>1371</v>
      </c>
    </row>
    <row r="1168" spans="15:38">
      <c r="O1168" t="s">
        <v>24</v>
      </c>
      <c r="P1168" t="s">
        <v>43</v>
      </c>
      <c r="Q1168" t="s">
        <v>10</v>
      </c>
      <c r="R1168" t="s">
        <v>56</v>
      </c>
      <c r="S1168">
        <v>2024.39</v>
      </c>
      <c r="T1168">
        <v>10548</v>
      </c>
      <c r="U1168">
        <v>69332.800499999998</v>
      </c>
      <c r="V1168">
        <v>69332.800499999998</v>
      </c>
      <c r="AA1168" s="29" t="s">
        <v>43</v>
      </c>
      <c r="AB1168">
        <v>31200</v>
      </c>
      <c r="AC1168">
        <v>110</v>
      </c>
      <c r="AD1168">
        <v>4</v>
      </c>
      <c r="AE1168">
        <v>218.11</v>
      </c>
      <c r="AF1168">
        <v>218.11</v>
      </c>
      <c r="AG1168" s="29" t="s">
        <v>1370</v>
      </c>
      <c r="AH1168" s="29" t="s">
        <v>1755</v>
      </c>
      <c r="AI1168" s="29" t="s">
        <v>1397</v>
      </c>
      <c r="AJ1168" s="29" t="s">
        <v>1756</v>
      </c>
      <c r="AL1168" s="29" t="s">
        <v>1371</v>
      </c>
    </row>
    <row r="1169" spans="15:38">
      <c r="O1169" t="s">
        <v>24</v>
      </c>
      <c r="P1169" t="s">
        <v>43</v>
      </c>
      <c r="Q1169" t="s">
        <v>10</v>
      </c>
      <c r="R1169" t="s">
        <v>56</v>
      </c>
      <c r="S1169">
        <v>2024.41</v>
      </c>
      <c r="T1169">
        <v>10548</v>
      </c>
      <c r="U1169">
        <v>69332.800499999998</v>
      </c>
      <c r="V1169">
        <v>69332.800499999998</v>
      </c>
      <c r="AA1169" s="29" t="s">
        <v>43</v>
      </c>
      <c r="AB1169">
        <v>31200</v>
      </c>
      <c r="AC1169">
        <v>110</v>
      </c>
      <c r="AD1169">
        <v>4</v>
      </c>
      <c r="AE1169">
        <v>33.57</v>
      </c>
      <c r="AF1169">
        <v>33.57</v>
      </c>
      <c r="AG1169" s="29" t="s">
        <v>1370</v>
      </c>
      <c r="AH1169" s="29" t="s">
        <v>1757</v>
      </c>
      <c r="AI1169" s="29" t="s">
        <v>1397</v>
      </c>
      <c r="AJ1169" s="29" t="s">
        <v>1758</v>
      </c>
      <c r="AL1169" s="29" t="s">
        <v>1371</v>
      </c>
    </row>
    <row r="1170" spans="15:38">
      <c r="O1170" t="s">
        <v>24</v>
      </c>
      <c r="P1170" t="s">
        <v>43</v>
      </c>
      <c r="Q1170" t="s">
        <v>10</v>
      </c>
      <c r="R1170" t="s">
        <v>56</v>
      </c>
      <c r="S1170">
        <v>2024.43</v>
      </c>
      <c r="T1170">
        <v>10548</v>
      </c>
      <c r="U1170">
        <v>69332.800499999998</v>
      </c>
      <c r="V1170">
        <v>69332.800499999998</v>
      </c>
      <c r="AA1170" s="29" t="s">
        <v>43</v>
      </c>
      <c r="AB1170">
        <v>31200</v>
      </c>
      <c r="AC1170">
        <v>110</v>
      </c>
      <c r="AD1170">
        <v>4</v>
      </c>
      <c r="AE1170">
        <v>151.91999999999999</v>
      </c>
      <c r="AF1170">
        <v>151.91999999999999</v>
      </c>
      <c r="AG1170" s="29" t="s">
        <v>1370</v>
      </c>
      <c r="AH1170" s="29" t="s">
        <v>1759</v>
      </c>
      <c r="AI1170" s="29" t="s">
        <v>1397</v>
      </c>
      <c r="AJ1170" s="29" t="s">
        <v>1760</v>
      </c>
      <c r="AL1170" s="29" t="s">
        <v>1371</v>
      </c>
    </row>
    <row r="1171" spans="15:38">
      <c r="O1171" t="s">
        <v>24</v>
      </c>
      <c r="P1171" t="s">
        <v>43</v>
      </c>
      <c r="Q1171" t="s">
        <v>10</v>
      </c>
      <c r="R1171" t="s">
        <v>56</v>
      </c>
      <c r="S1171">
        <v>2024.44</v>
      </c>
      <c r="T1171">
        <v>10548</v>
      </c>
      <c r="U1171">
        <v>69332.800499999998</v>
      </c>
      <c r="V1171">
        <v>69332.800499999998</v>
      </c>
      <c r="AA1171" s="29" t="s">
        <v>43</v>
      </c>
      <c r="AB1171">
        <v>31200</v>
      </c>
      <c r="AC1171">
        <v>110</v>
      </c>
      <c r="AD1171">
        <v>4</v>
      </c>
      <c r="AE1171">
        <v>249</v>
      </c>
      <c r="AF1171">
        <v>249</v>
      </c>
      <c r="AG1171" s="29" t="s">
        <v>1370</v>
      </c>
      <c r="AH1171" s="29" t="s">
        <v>1761</v>
      </c>
      <c r="AI1171" s="29" t="s">
        <v>1397</v>
      </c>
      <c r="AJ1171" s="29" t="s">
        <v>1762</v>
      </c>
      <c r="AL1171" s="29" t="s">
        <v>1371</v>
      </c>
    </row>
    <row r="1172" spans="15:38">
      <c r="O1172" t="s">
        <v>24</v>
      </c>
      <c r="P1172" t="s">
        <v>43</v>
      </c>
      <c r="Q1172" t="s">
        <v>10</v>
      </c>
      <c r="R1172" t="s">
        <v>56</v>
      </c>
      <c r="S1172">
        <v>2024.45</v>
      </c>
      <c r="T1172">
        <v>10548</v>
      </c>
      <c r="U1172">
        <v>69332.800499999998</v>
      </c>
      <c r="V1172">
        <v>69332.800499999998</v>
      </c>
      <c r="AA1172" s="29" t="s">
        <v>43</v>
      </c>
      <c r="AB1172">
        <v>31200</v>
      </c>
      <c r="AC1172">
        <v>110</v>
      </c>
      <c r="AD1172">
        <v>4</v>
      </c>
      <c r="AE1172">
        <v>301.22000000000003</v>
      </c>
      <c r="AF1172">
        <v>301.22000000000003</v>
      </c>
      <c r="AG1172" s="29" t="s">
        <v>1370</v>
      </c>
      <c r="AH1172" s="29" t="s">
        <v>1763</v>
      </c>
      <c r="AI1172" s="29" t="s">
        <v>1397</v>
      </c>
      <c r="AJ1172" s="29" t="s">
        <v>1764</v>
      </c>
      <c r="AL1172" s="29" t="s">
        <v>1371</v>
      </c>
    </row>
    <row r="1173" spans="15:38">
      <c r="O1173" t="s">
        <v>24</v>
      </c>
      <c r="P1173" t="s">
        <v>43</v>
      </c>
      <c r="Q1173" t="s">
        <v>10</v>
      </c>
      <c r="R1173" t="s">
        <v>56</v>
      </c>
      <c r="S1173">
        <v>2024.47</v>
      </c>
      <c r="T1173">
        <v>10548</v>
      </c>
      <c r="U1173">
        <v>69332.800499999998</v>
      </c>
      <c r="V1173">
        <v>69332.800499999998</v>
      </c>
      <c r="AA1173" s="29" t="s">
        <v>43</v>
      </c>
      <c r="AB1173">
        <v>31200</v>
      </c>
      <c r="AC1173">
        <v>110</v>
      </c>
      <c r="AD1173">
        <v>4</v>
      </c>
      <c r="AE1173">
        <v>121.07</v>
      </c>
      <c r="AF1173">
        <v>121.07</v>
      </c>
      <c r="AG1173" s="29" t="s">
        <v>1370</v>
      </c>
      <c r="AH1173" s="29" t="s">
        <v>1660</v>
      </c>
      <c r="AI1173" s="29" t="s">
        <v>1397</v>
      </c>
      <c r="AJ1173" s="29" t="s">
        <v>1661</v>
      </c>
      <c r="AL1173" s="29" t="s">
        <v>1371</v>
      </c>
    </row>
    <row r="1174" spans="15:38">
      <c r="O1174" t="s">
        <v>24</v>
      </c>
      <c r="P1174" t="s">
        <v>43</v>
      </c>
      <c r="Q1174" t="s">
        <v>10</v>
      </c>
      <c r="R1174" t="s">
        <v>56</v>
      </c>
      <c r="S1174">
        <v>2024.48</v>
      </c>
      <c r="T1174">
        <v>10548</v>
      </c>
      <c r="U1174">
        <v>69332.800499999998</v>
      </c>
      <c r="V1174">
        <v>69332.800499999998</v>
      </c>
      <c r="AA1174" s="29" t="s">
        <v>43</v>
      </c>
      <c r="AB1174">
        <v>31200</v>
      </c>
      <c r="AC1174">
        <v>110</v>
      </c>
      <c r="AD1174">
        <v>4</v>
      </c>
      <c r="AE1174">
        <v>399.65</v>
      </c>
      <c r="AF1174">
        <v>399.65</v>
      </c>
      <c r="AG1174" s="29" t="s">
        <v>1370</v>
      </c>
      <c r="AH1174" s="29" t="s">
        <v>1765</v>
      </c>
      <c r="AI1174" s="29" t="s">
        <v>1397</v>
      </c>
      <c r="AJ1174" s="29" t="s">
        <v>1766</v>
      </c>
      <c r="AL1174" s="29" t="s">
        <v>1371</v>
      </c>
    </row>
    <row r="1175" spans="15:38">
      <c r="O1175" t="s">
        <v>24</v>
      </c>
      <c r="P1175" t="s">
        <v>43</v>
      </c>
      <c r="Q1175" t="s">
        <v>10</v>
      </c>
      <c r="R1175" t="s">
        <v>56</v>
      </c>
      <c r="S1175">
        <v>2024.49</v>
      </c>
      <c r="T1175">
        <v>10548</v>
      </c>
      <c r="U1175">
        <v>69332.800499999998</v>
      </c>
      <c r="V1175">
        <v>69332.800499999998</v>
      </c>
      <c r="AA1175" s="29" t="s">
        <v>43</v>
      </c>
      <c r="AB1175">
        <v>31200</v>
      </c>
      <c r="AC1175">
        <v>110</v>
      </c>
      <c r="AD1175">
        <v>4</v>
      </c>
      <c r="AE1175">
        <v>153.16</v>
      </c>
      <c r="AF1175">
        <v>153.16</v>
      </c>
      <c r="AG1175" s="29" t="s">
        <v>1370</v>
      </c>
      <c r="AH1175" s="29" t="s">
        <v>1767</v>
      </c>
      <c r="AI1175" s="29" t="s">
        <v>1397</v>
      </c>
      <c r="AJ1175" s="29" t="s">
        <v>1768</v>
      </c>
      <c r="AL1175" s="29" t="s">
        <v>1371</v>
      </c>
    </row>
    <row r="1176" spans="15:38">
      <c r="O1176" t="s">
        <v>24</v>
      </c>
      <c r="P1176" t="s">
        <v>43</v>
      </c>
      <c r="Q1176" t="s">
        <v>10</v>
      </c>
      <c r="R1176" t="s">
        <v>56</v>
      </c>
      <c r="S1176">
        <v>2025.03</v>
      </c>
      <c r="T1176">
        <v>10548</v>
      </c>
      <c r="U1176">
        <v>69332.800499999998</v>
      </c>
      <c r="V1176">
        <v>69332.800499999998</v>
      </c>
      <c r="AA1176" s="29" t="s">
        <v>43</v>
      </c>
      <c r="AB1176">
        <v>31200</v>
      </c>
      <c r="AC1176">
        <v>110</v>
      </c>
      <c r="AD1176">
        <v>4</v>
      </c>
      <c r="AE1176">
        <v>161.36000000000001</v>
      </c>
      <c r="AF1176">
        <v>161.36000000000001</v>
      </c>
      <c r="AG1176" s="29" t="s">
        <v>1370</v>
      </c>
      <c r="AH1176" s="29" t="s">
        <v>1769</v>
      </c>
      <c r="AI1176" s="29" t="s">
        <v>1397</v>
      </c>
      <c r="AJ1176" s="29" t="s">
        <v>1770</v>
      </c>
      <c r="AL1176" s="29" t="s">
        <v>1371</v>
      </c>
    </row>
    <row r="1177" spans="15:38">
      <c r="O1177" t="s">
        <v>24</v>
      </c>
      <c r="P1177" t="s">
        <v>43</v>
      </c>
      <c r="Q1177" t="s">
        <v>10</v>
      </c>
      <c r="R1177" t="s">
        <v>56</v>
      </c>
      <c r="S1177">
        <v>2025.08</v>
      </c>
      <c r="T1177">
        <v>10548</v>
      </c>
      <c r="U1177">
        <v>69332.800499999998</v>
      </c>
      <c r="V1177">
        <v>69332.800499999998</v>
      </c>
      <c r="AA1177" s="29" t="s">
        <v>43</v>
      </c>
      <c r="AB1177">
        <v>31200</v>
      </c>
      <c r="AC1177">
        <v>110</v>
      </c>
      <c r="AD1177">
        <v>4</v>
      </c>
      <c r="AE1177">
        <v>676</v>
      </c>
      <c r="AF1177">
        <v>676</v>
      </c>
      <c r="AG1177" s="29" t="s">
        <v>1370</v>
      </c>
      <c r="AH1177" s="29" t="s">
        <v>1771</v>
      </c>
      <c r="AI1177" s="29" t="s">
        <v>1397</v>
      </c>
      <c r="AJ1177" s="29" t="s">
        <v>1772</v>
      </c>
      <c r="AL1177" s="29" t="s">
        <v>1371</v>
      </c>
    </row>
    <row r="1178" spans="15:38">
      <c r="O1178" t="s">
        <v>24</v>
      </c>
      <c r="P1178" t="s">
        <v>43</v>
      </c>
      <c r="Q1178" t="s">
        <v>10</v>
      </c>
      <c r="R1178" t="s">
        <v>56</v>
      </c>
      <c r="S1178">
        <v>2025.1</v>
      </c>
      <c r="T1178">
        <v>10548</v>
      </c>
      <c r="U1178">
        <v>69332.800499999998</v>
      </c>
      <c r="V1178">
        <v>69332.800499999998</v>
      </c>
      <c r="AA1178" s="29" t="s">
        <v>43</v>
      </c>
      <c r="AB1178">
        <v>31200</v>
      </c>
      <c r="AC1178">
        <v>110</v>
      </c>
      <c r="AD1178">
        <v>4</v>
      </c>
      <c r="AE1178">
        <v>152.93</v>
      </c>
      <c r="AF1178">
        <v>152.93</v>
      </c>
      <c r="AG1178" s="29" t="s">
        <v>1370</v>
      </c>
      <c r="AH1178" s="29" t="s">
        <v>1773</v>
      </c>
      <c r="AI1178" s="29" t="s">
        <v>1397</v>
      </c>
      <c r="AJ1178" s="29" t="s">
        <v>1774</v>
      </c>
      <c r="AL1178" s="29" t="s">
        <v>1371</v>
      </c>
    </row>
    <row r="1179" spans="15:38">
      <c r="O1179" t="s">
        <v>24</v>
      </c>
      <c r="P1179" t="s">
        <v>43</v>
      </c>
      <c r="Q1179" t="s">
        <v>10</v>
      </c>
      <c r="R1179" t="s">
        <v>56</v>
      </c>
      <c r="S1179">
        <v>2025.11</v>
      </c>
      <c r="T1179">
        <v>10548</v>
      </c>
      <c r="U1179">
        <v>69332.800499999998</v>
      </c>
      <c r="V1179">
        <v>69332.800499999998</v>
      </c>
      <c r="AA1179" s="29" t="s">
        <v>43</v>
      </c>
      <c r="AB1179">
        <v>31200</v>
      </c>
      <c r="AC1179">
        <v>110</v>
      </c>
      <c r="AD1179">
        <v>4</v>
      </c>
      <c r="AE1179">
        <v>36.14</v>
      </c>
      <c r="AF1179">
        <v>36.14</v>
      </c>
      <c r="AG1179" s="29" t="s">
        <v>1370</v>
      </c>
      <c r="AH1179" s="29" t="s">
        <v>1775</v>
      </c>
      <c r="AI1179" s="29" t="s">
        <v>1397</v>
      </c>
      <c r="AJ1179" s="29" t="s">
        <v>1776</v>
      </c>
      <c r="AL1179" s="29" t="s">
        <v>1371</v>
      </c>
    </row>
    <row r="1180" spans="15:38">
      <c r="O1180" t="s">
        <v>24</v>
      </c>
      <c r="P1180" t="s">
        <v>43</v>
      </c>
      <c r="Q1180" t="s">
        <v>10</v>
      </c>
      <c r="R1180" t="s">
        <v>56</v>
      </c>
      <c r="S1180">
        <v>2025.12</v>
      </c>
      <c r="T1180">
        <v>10548</v>
      </c>
      <c r="U1180">
        <v>69332.800499999998</v>
      </c>
      <c r="V1180">
        <v>69332.800499999998</v>
      </c>
      <c r="AA1180" s="29" t="s">
        <v>43</v>
      </c>
      <c r="AB1180">
        <v>31200</v>
      </c>
      <c r="AC1180">
        <v>110</v>
      </c>
      <c r="AD1180">
        <v>4</v>
      </c>
      <c r="AE1180">
        <v>246.8</v>
      </c>
      <c r="AF1180">
        <v>246.8</v>
      </c>
      <c r="AG1180" s="29" t="s">
        <v>1370</v>
      </c>
      <c r="AH1180" s="29" t="s">
        <v>1777</v>
      </c>
      <c r="AI1180" s="29" t="s">
        <v>1397</v>
      </c>
      <c r="AJ1180" s="29" t="s">
        <v>1778</v>
      </c>
      <c r="AL1180" s="29" t="s">
        <v>1371</v>
      </c>
    </row>
    <row r="1181" spans="15:38">
      <c r="O1181" t="s">
        <v>24</v>
      </c>
      <c r="P1181" t="s">
        <v>43</v>
      </c>
      <c r="Q1181" t="s">
        <v>21</v>
      </c>
      <c r="R1181" t="s">
        <v>53</v>
      </c>
      <c r="S1181">
        <v>2023.47</v>
      </c>
      <c r="T1181">
        <v>0</v>
      </c>
      <c r="U1181">
        <v>52619.074000000001</v>
      </c>
      <c r="V1181">
        <v>52619.074000000001</v>
      </c>
      <c r="AA1181" s="29" t="s">
        <v>43</v>
      </c>
      <c r="AB1181">
        <v>31200</v>
      </c>
      <c r="AC1181">
        <v>110</v>
      </c>
      <c r="AD1181">
        <v>4</v>
      </c>
      <c r="AE1181">
        <v>0.81</v>
      </c>
      <c r="AF1181">
        <v>0.81</v>
      </c>
      <c r="AG1181" s="29" t="s">
        <v>1370</v>
      </c>
      <c r="AH1181" s="29" t="s">
        <v>1779</v>
      </c>
      <c r="AI1181" s="29" t="s">
        <v>1397</v>
      </c>
      <c r="AJ1181" s="29" t="s">
        <v>1780</v>
      </c>
      <c r="AL1181" s="29" t="s">
        <v>1371</v>
      </c>
    </row>
    <row r="1182" spans="15:38">
      <c r="O1182" t="s">
        <v>24</v>
      </c>
      <c r="P1182" t="s">
        <v>43</v>
      </c>
      <c r="Q1182" t="s">
        <v>21</v>
      </c>
      <c r="R1182" t="s">
        <v>53</v>
      </c>
      <c r="S1182">
        <v>2023.51</v>
      </c>
      <c r="T1182">
        <v>5467.1</v>
      </c>
      <c r="U1182">
        <v>52619.074000000001</v>
      </c>
      <c r="V1182">
        <v>52619.074000000001</v>
      </c>
      <c r="AA1182" s="29" t="s">
        <v>43</v>
      </c>
      <c r="AB1182">
        <v>31200</v>
      </c>
      <c r="AC1182">
        <v>110</v>
      </c>
      <c r="AD1182">
        <v>4</v>
      </c>
      <c r="AE1182">
        <v>0.95</v>
      </c>
      <c r="AF1182">
        <v>0.95</v>
      </c>
      <c r="AG1182" s="29" t="s">
        <v>1370</v>
      </c>
      <c r="AH1182" s="29" t="s">
        <v>1781</v>
      </c>
      <c r="AI1182" s="29" t="s">
        <v>1397</v>
      </c>
      <c r="AJ1182" s="29" t="s">
        <v>1782</v>
      </c>
      <c r="AL1182" s="29" t="s">
        <v>1371</v>
      </c>
    </row>
    <row r="1183" spans="15:38">
      <c r="O1183" t="s">
        <v>24</v>
      </c>
      <c r="P1183" t="s">
        <v>43</v>
      </c>
      <c r="Q1183" t="s">
        <v>21</v>
      </c>
      <c r="R1183" t="s">
        <v>53</v>
      </c>
      <c r="S1183">
        <v>2024.05</v>
      </c>
      <c r="T1183">
        <v>5467.1</v>
      </c>
      <c r="U1183">
        <v>52619.074000000001</v>
      </c>
      <c r="V1183">
        <v>52619.074000000001</v>
      </c>
      <c r="AA1183" s="29" t="s">
        <v>43</v>
      </c>
      <c r="AB1183">
        <v>31200</v>
      </c>
      <c r="AC1183">
        <v>110</v>
      </c>
      <c r="AD1183">
        <v>4</v>
      </c>
      <c r="AE1183">
        <v>0.9</v>
      </c>
      <c r="AF1183">
        <v>0.9</v>
      </c>
      <c r="AG1183" s="29" t="s">
        <v>1370</v>
      </c>
      <c r="AH1183" s="29" t="s">
        <v>1783</v>
      </c>
      <c r="AI1183" s="29" t="s">
        <v>1397</v>
      </c>
      <c r="AJ1183" s="29" t="s">
        <v>1784</v>
      </c>
      <c r="AL1183" s="29" t="s">
        <v>1371</v>
      </c>
    </row>
    <row r="1184" spans="15:38">
      <c r="O1184" t="s">
        <v>24</v>
      </c>
      <c r="P1184" t="s">
        <v>43</v>
      </c>
      <c r="Q1184" t="s">
        <v>21</v>
      </c>
      <c r="R1184" t="s">
        <v>53</v>
      </c>
      <c r="S1184">
        <v>2024.06</v>
      </c>
      <c r="T1184">
        <v>5467.1</v>
      </c>
      <c r="U1184">
        <v>52619.074000000001</v>
      </c>
      <c r="V1184">
        <v>52619.074000000001</v>
      </c>
      <c r="AA1184" s="29" t="s">
        <v>43</v>
      </c>
      <c r="AB1184">
        <v>31200</v>
      </c>
      <c r="AC1184">
        <v>110</v>
      </c>
      <c r="AD1184">
        <v>4</v>
      </c>
      <c r="AE1184">
        <v>4.5999999999999996</v>
      </c>
      <c r="AF1184">
        <v>4.5999999999999996</v>
      </c>
      <c r="AG1184" s="29" t="s">
        <v>1370</v>
      </c>
      <c r="AH1184" s="29" t="s">
        <v>1785</v>
      </c>
      <c r="AI1184" s="29" t="s">
        <v>1397</v>
      </c>
      <c r="AJ1184" s="29" t="s">
        <v>1786</v>
      </c>
      <c r="AL1184" s="29" t="s">
        <v>1371</v>
      </c>
    </row>
    <row r="1185" spans="15:38">
      <c r="O1185" t="s">
        <v>24</v>
      </c>
      <c r="P1185" t="s">
        <v>43</v>
      </c>
      <c r="Q1185" t="s">
        <v>21</v>
      </c>
      <c r="R1185" t="s">
        <v>53</v>
      </c>
      <c r="S1185">
        <v>2024.07</v>
      </c>
      <c r="T1185">
        <v>5467.1</v>
      </c>
      <c r="U1185">
        <v>52619.074000000001</v>
      </c>
      <c r="V1185">
        <v>52619.074000000001</v>
      </c>
      <c r="AA1185" s="29" t="s">
        <v>43</v>
      </c>
      <c r="AB1185">
        <v>31200</v>
      </c>
      <c r="AC1185">
        <v>110</v>
      </c>
      <c r="AD1185">
        <v>4</v>
      </c>
      <c r="AE1185">
        <v>0</v>
      </c>
      <c r="AF1185">
        <v>0</v>
      </c>
      <c r="AG1185" s="29" t="s">
        <v>1370</v>
      </c>
      <c r="AH1185" s="29" t="s">
        <v>1372</v>
      </c>
      <c r="AI1185" s="29" t="s">
        <v>1397</v>
      </c>
      <c r="AJ1185" s="29" t="s">
        <v>1787</v>
      </c>
      <c r="AL1185" s="29" t="s">
        <v>1371</v>
      </c>
    </row>
    <row r="1186" spans="15:38">
      <c r="O1186" t="s">
        <v>24</v>
      </c>
      <c r="P1186" t="s">
        <v>43</v>
      </c>
      <c r="Q1186" t="s">
        <v>21</v>
      </c>
      <c r="R1186" t="s">
        <v>53</v>
      </c>
      <c r="S1186">
        <v>2024.08</v>
      </c>
      <c r="T1186">
        <v>5467.1</v>
      </c>
      <c r="U1186">
        <v>52619.074000000001</v>
      </c>
      <c r="V1186">
        <v>52619.074000000001</v>
      </c>
      <c r="AA1186" s="29" t="s">
        <v>43</v>
      </c>
      <c r="AB1186">
        <v>31200</v>
      </c>
      <c r="AC1186">
        <v>110</v>
      </c>
      <c r="AD1186">
        <v>4</v>
      </c>
      <c r="AE1186">
        <v>0.74</v>
      </c>
      <c r="AF1186">
        <v>0.74</v>
      </c>
      <c r="AG1186" s="29" t="s">
        <v>1370</v>
      </c>
      <c r="AH1186" s="29" t="s">
        <v>1788</v>
      </c>
      <c r="AI1186" s="29" t="s">
        <v>1397</v>
      </c>
      <c r="AJ1186" s="29" t="s">
        <v>1789</v>
      </c>
      <c r="AL1186" s="29" t="s">
        <v>1371</v>
      </c>
    </row>
    <row r="1187" spans="15:38">
      <c r="O1187" t="s">
        <v>24</v>
      </c>
      <c r="P1187" t="s">
        <v>43</v>
      </c>
      <c r="Q1187" t="s">
        <v>21</v>
      </c>
      <c r="R1187" t="s">
        <v>53</v>
      </c>
      <c r="S1187">
        <v>2024.09</v>
      </c>
      <c r="T1187">
        <v>5467.1</v>
      </c>
      <c r="U1187">
        <v>52619.074000000001</v>
      </c>
      <c r="V1187">
        <v>52619.074000000001</v>
      </c>
      <c r="AA1187" s="29" t="s">
        <v>43</v>
      </c>
      <c r="AB1187">
        <v>31200</v>
      </c>
      <c r="AC1187">
        <v>110</v>
      </c>
      <c r="AD1187">
        <v>4</v>
      </c>
      <c r="AE1187">
        <v>3.1</v>
      </c>
      <c r="AF1187">
        <v>3.1</v>
      </c>
      <c r="AG1187" s="29" t="s">
        <v>1370</v>
      </c>
      <c r="AH1187" s="29" t="s">
        <v>1790</v>
      </c>
      <c r="AI1187" s="29" t="s">
        <v>1397</v>
      </c>
      <c r="AJ1187" s="29" t="s">
        <v>1791</v>
      </c>
      <c r="AL1187" s="29" t="s">
        <v>1371</v>
      </c>
    </row>
    <row r="1188" spans="15:38">
      <c r="O1188" t="s">
        <v>24</v>
      </c>
      <c r="P1188" t="s">
        <v>43</v>
      </c>
      <c r="Q1188" t="s">
        <v>21</v>
      </c>
      <c r="R1188" t="s">
        <v>53</v>
      </c>
      <c r="S1188">
        <v>2024.1</v>
      </c>
      <c r="T1188">
        <v>8450.9</v>
      </c>
      <c r="U1188">
        <v>52619.074000000001</v>
      </c>
      <c r="V1188">
        <v>52619.074000000001</v>
      </c>
      <c r="AA1188" s="29" t="s">
        <v>43</v>
      </c>
      <c r="AB1188">
        <v>31200</v>
      </c>
      <c r="AC1188">
        <v>110</v>
      </c>
      <c r="AD1188">
        <v>4</v>
      </c>
      <c r="AE1188">
        <v>3.08</v>
      </c>
      <c r="AF1188">
        <v>3.08</v>
      </c>
      <c r="AG1188" s="29" t="s">
        <v>1370</v>
      </c>
      <c r="AH1188" s="29" t="s">
        <v>1792</v>
      </c>
      <c r="AI1188" s="29" t="s">
        <v>1397</v>
      </c>
      <c r="AJ1188" s="29" t="s">
        <v>1793</v>
      </c>
      <c r="AL1188" s="29" t="s">
        <v>1371</v>
      </c>
    </row>
    <row r="1189" spans="15:38">
      <c r="O1189" t="s">
        <v>24</v>
      </c>
      <c r="P1189" t="s">
        <v>43</v>
      </c>
      <c r="Q1189" t="s">
        <v>21</v>
      </c>
      <c r="R1189" t="s">
        <v>53</v>
      </c>
      <c r="S1189">
        <v>2024.11</v>
      </c>
      <c r="T1189">
        <v>8450.9</v>
      </c>
      <c r="U1189">
        <v>52619.074000000001</v>
      </c>
      <c r="V1189">
        <v>52619.074000000001</v>
      </c>
      <c r="AA1189" s="29" t="s">
        <v>43</v>
      </c>
      <c r="AB1189">
        <v>31200</v>
      </c>
      <c r="AC1189">
        <v>110</v>
      </c>
      <c r="AD1189">
        <v>4</v>
      </c>
      <c r="AE1189">
        <v>0.91</v>
      </c>
      <c r="AF1189">
        <v>0.91</v>
      </c>
      <c r="AG1189" s="29" t="s">
        <v>1370</v>
      </c>
      <c r="AH1189" s="29" t="s">
        <v>1794</v>
      </c>
      <c r="AI1189" s="29" t="s">
        <v>1397</v>
      </c>
      <c r="AJ1189" s="29" t="s">
        <v>1795</v>
      </c>
      <c r="AL1189" s="29" t="s">
        <v>1371</v>
      </c>
    </row>
    <row r="1190" spans="15:38">
      <c r="O1190" t="s">
        <v>24</v>
      </c>
      <c r="P1190" t="s">
        <v>43</v>
      </c>
      <c r="Q1190" t="s">
        <v>21</v>
      </c>
      <c r="R1190" t="s">
        <v>53</v>
      </c>
      <c r="S1190">
        <v>2024.12</v>
      </c>
      <c r="T1190">
        <v>8450.9</v>
      </c>
      <c r="U1190">
        <v>52619.074000000001</v>
      </c>
      <c r="V1190">
        <v>52619.074000000001</v>
      </c>
      <c r="AA1190" s="29" t="s">
        <v>43</v>
      </c>
      <c r="AB1190">
        <v>31200</v>
      </c>
      <c r="AC1190">
        <v>110</v>
      </c>
      <c r="AD1190">
        <v>4</v>
      </c>
      <c r="AE1190">
        <v>2.5099999999999998</v>
      </c>
      <c r="AF1190">
        <v>2.5099999999999998</v>
      </c>
      <c r="AG1190" s="29" t="s">
        <v>1370</v>
      </c>
      <c r="AH1190" s="29" t="s">
        <v>1796</v>
      </c>
      <c r="AI1190" s="29" t="s">
        <v>1397</v>
      </c>
      <c r="AJ1190" s="29" t="s">
        <v>1797</v>
      </c>
      <c r="AL1190" s="29" t="s">
        <v>1371</v>
      </c>
    </row>
    <row r="1191" spans="15:38">
      <c r="O1191" t="s">
        <v>24</v>
      </c>
      <c r="P1191" t="s">
        <v>43</v>
      </c>
      <c r="Q1191" t="s">
        <v>21</v>
      </c>
      <c r="R1191" t="s">
        <v>53</v>
      </c>
      <c r="S1191">
        <v>2024.14</v>
      </c>
      <c r="T1191">
        <v>8910.5300000000007</v>
      </c>
      <c r="U1191">
        <v>52619.074000000001</v>
      </c>
      <c r="V1191">
        <v>52619.074000000001</v>
      </c>
      <c r="AA1191" s="29" t="s">
        <v>43</v>
      </c>
      <c r="AB1191">
        <v>31200</v>
      </c>
      <c r="AC1191">
        <v>110</v>
      </c>
      <c r="AD1191">
        <v>4</v>
      </c>
      <c r="AE1191">
        <v>4.5</v>
      </c>
      <c r="AF1191">
        <v>4.5</v>
      </c>
      <c r="AG1191" s="29" t="s">
        <v>1370</v>
      </c>
      <c r="AH1191" s="29" t="s">
        <v>1726</v>
      </c>
      <c r="AI1191" s="29" t="s">
        <v>1397</v>
      </c>
      <c r="AJ1191" s="29" t="s">
        <v>1798</v>
      </c>
      <c r="AL1191" s="29" t="s">
        <v>1371</v>
      </c>
    </row>
    <row r="1192" spans="15:38">
      <c r="O1192" t="s">
        <v>24</v>
      </c>
      <c r="P1192" t="s">
        <v>43</v>
      </c>
      <c r="Q1192" t="s">
        <v>21</v>
      </c>
      <c r="R1192" t="s">
        <v>53</v>
      </c>
      <c r="S1192">
        <v>2024.17</v>
      </c>
      <c r="T1192">
        <v>8910.5300000000007</v>
      </c>
      <c r="U1192">
        <v>52619.074000000001</v>
      </c>
      <c r="V1192">
        <v>52619.074000000001</v>
      </c>
      <c r="AA1192" s="29" t="s">
        <v>43</v>
      </c>
      <c r="AB1192">
        <v>31200</v>
      </c>
      <c r="AC1192">
        <v>110</v>
      </c>
      <c r="AD1192">
        <v>4</v>
      </c>
      <c r="AE1192">
        <v>3.95</v>
      </c>
      <c r="AF1192">
        <v>3.95</v>
      </c>
      <c r="AG1192" s="29" t="s">
        <v>1370</v>
      </c>
      <c r="AH1192" s="29" t="s">
        <v>1799</v>
      </c>
      <c r="AI1192" s="29" t="s">
        <v>1397</v>
      </c>
      <c r="AJ1192" s="29" t="s">
        <v>1800</v>
      </c>
      <c r="AL1192" s="29" t="s">
        <v>1371</v>
      </c>
    </row>
    <row r="1193" spans="15:38">
      <c r="O1193" t="s">
        <v>24</v>
      </c>
      <c r="P1193" t="s">
        <v>43</v>
      </c>
      <c r="Q1193" t="s">
        <v>21</v>
      </c>
      <c r="R1193" t="s">
        <v>53</v>
      </c>
      <c r="S1193">
        <v>2024.18</v>
      </c>
      <c r="T1193">
        <v>8910.5300000000007</v>
      </c>
      <c r="U1193">
        <v>52619.074000000001</v>
      </c>
      <c r="V1193">
        <v>52619.074000000001</v>
      </c>
      <c r="AA1193" s="29" t="s">
        <v>43</v>
      </c>
      <c r="AB1193">
        <v>31200</v>
      </c>
      <c r="AC1193">
        <v>110</v>
      </c>
      <c r="AD1193">
        <v>4</v>
      </c>
      <c r="AE1193">
        <v>0.99</v>
      </c>
      <c r="AF1193">
        <v>0.99</v>
      </c>
      <c r="AG1193" s="29" t="s">
        <v>1370</v>
      </c>
      <c r="AH1193" s="29" t="s">
        <v>1801</v>
      </c>
      <c r="AI1193" s="29" t="s">
        <v>1397</v>
      </c>
      <c r="AJ1193" s="29" t="s">
        <v>1802</v>
      </c>
      <c r="AL1193" s="29" t="s">
        <v>1371</v>
      </c>
    </row>
    <row r="1194" spans="15:38">
      <c r="O1194" t="s">
        <v>24</v>
      </c>
      <c r="P1194" t="s">
        <v>43</v>
      </c>
      <c r="Q1194" t="s">
        <v>21</v>
      </c>
      <c r="R1194" t="s">
        <v>53</v>
      </c>
      <c r="S1194">
        <v>2024.19</v>
      </c>
      <c r="T1194">
        <v>8910.5300000000007</v>
      </c>
      <c r="U1194">
        <v>52619.074000000001</v>
      </c>
      <c r="V1194">
        <v>52619.074000000001</v>
      </c>
      <c r="AA1194" s="29" t="s">
        <v>43</v>
      </c>
      <c r="AB1194">
        <v>31200</v>
      </c>
      <c r="AC1194">
        <v>110</v>
      </c>
      <c r="AD1194">
        <v>4</v>
      </c>
      <c r="AE1194">
        <v>5.5</v>
      </c>
      <c r="AF1194">
        <v>5.5</v>
      </c>
      <c r="AG1194" s="29" t="s">
        <v>1370</v>
      </c>
      <c r="AH1194" s="29" t="s">
        <v>1803</v>
      </c>
      <c r="AI1194" s="29" t="s">
        <v>1397</v>
      </c>
      <c r="AJ1194" s="29" t="s">
        <v>1804</v>
      </c>
      <c r="AL1194" s="29" t="s">
        <v>1371</v>
      </c>
    </row>
    <row r="1195" spans="15:38">
      <c r="O1195" t="s">
        <v>24</v>
      </c>
      <c r="P1195" t="s">
        <v>43</v>
      </c>
      <c r="Q1195" t="s">
        <v>21</v>
      </c>
      <c r="R1195" t="s">
        <v>53</v>
      </c>
      <c r="S1195">
        <v>2024.2</v>
      </c>
      <c r="T1195">
        <v>8910.5300000000007</v>
      </c>
      <c r="U1195">
        <v>52619.074000000001</v>
      </c>
      <c r="V1195">
        <v>52619.074000000001</v>
      </c>
      <c r="AA1195" s="29" t="s">
        <v>43</v>
      </c>
      <c r="AB1195">
        <v>31200</v>
      </c>
      <c r="AC1195">
        <v>110</v>
      </c>
      <c r="AD1195">
        <v>4</v>
      </c>
      <c r="AE1195">
        <v>0.95</v>
      </c>
      <c r="AF1195">
        <v>0.95</v>
      </c>
      <c r="AG1195" s="29" t="s">
        <v>1370</v>
      </c>
      <c r="AH1195" s="29" t="s">
        <v>1781</v>
      </c>
      <c r="AI1195" s="29" t="s">
        <v>1397</v>
      </c>
      <c r="AJ1195" s="29" t="s">
        <v>1782</v>
      </c>
      <c r="AL1195" s="29" t="s">
        <v>1371</v>
      </c>
    </row>
    <row r="1196" spans="15:38">
      <c r="O1196" t="s">
        <v>24</v>
      </c>
      <c r="P1196" t="s">
        <v>43</v>
      </c>
      <c r="Q1196" t="s">
        <v>21</v>
      </c>
      <c r="R1196" t="s">
        <v>53</v>
      </c>
      <c r="S1196">
        <v>2024.21</v>
      </c>
      <c r="T1196">
        <v>8910.5300000000007</v>
      </c>
      <c r="U1196">
        <v>52619.074000000001</v>
      </c>
      <c r="V1196">
        <v>52619.074000000001</v>
      </c>
      <c r="AA1196" s="29" t="s">
        <v>43</v>
      </c>
      <c r="AB1196">
        <v>31200</v>
      </c>
      <c r="AC1196">
        <v>110</v>
      </c>
      <c r="AD1196">
        <v>4</v>
      </c>
      <c r="AE1196">
        <v>0.43</v>
      </c>
      <c r="AF1196">
        <v>0.43</v>
      </c>
      <c r="AG1196" s="29" t="s">
        <v>1370</v>
      </c>
      <c r="AH1196" s="29" t="s">
        <v>1805</v>
      </c>
      <c r="AI1196" s="29" t="s">
        <v>1397</v>
      </c>
      <c r="AJ1196" s="29" t="s">
        <v>1806</v>
      </c>
      <c r="AL1196" s="29" t="s">
        <v>1371</v>
      </c>
    </row>
    <row r="1197" spans="15:38">
      <c r="O1197" t="s">
        <v>24</v>
      </c>
      <c r="P1197" t="s">
        <v>43</v>
      </c>
      <c r="Q1197" t="s">
        <v>21</v>
      </c>
      <c r="R1197" t="s">
        <v>53</v>
      </c>
      <c r="S1197">
        <v>2024.28</v>
      </c>
      <c r="T1197">
        <v>10814.68</v>
      </c>
      <c r="U1197">
        <v>52619.074000000001</v>
      </c>
      <c r="V1197">
        <v>52619.074000000001</v>
      </c>
      <c r="AA1197" s="29" t="s">
        <v>43</v>
      </c>
      <c r="AB1197">
        <v>31200</v>
      </c>
      <c r="AC1197">
        <v>110</v>
      </c>
      <c r="AD1197">
        <v>4</v>
      </c>
      <c r="AE1197">
        <v>3.9</v>
      </c>
      <c r="AF1197">
        <v>3.9</v>
      </c>
      <c r="AG1197" s="29" t="s">
        <v>1370</v>
      </c>
      <c r="AH1197" s="29" t="s">
        <v>1807</v>
      </c>
      <c r="AI1197" s="29" t="s">
        <v>1397</v>
      </c>
      <c r="AJ1197" s="29" t="s">
        <v>1808</v>
      </c>
      <c r="AL1197" s="29" t="s">
        <v>1371</v>
      </c>
    </row>
    <row r="1198" spans="15:38">
      <c r="O1198" t="s">
        <v>24</v>
      </c>
      <c r="P1198" t="s">
        <v>43</v>
      </c>
      <c r="Q1198" t="s">
        <v>21</v>
      </c>
      <c r="R1198" t="s">
        <v>53</v>
      </c>
      <c r="S1198">
        <v>2024.38</v>
      </c>
      <c r="T1198">
        <v>10814.68</v>
      </c>
      <c r="U1198">
        <v>52619.074000000001</v>
      </c>
      <c r="V1198">
        <v>52619.074000000001</v>
      </c>
      <c r="AA1198" s="29" t="s">
        <v>43</v>
      </c>
      <c r="AB1198">
        <v>31200</v>
      </c>
      <c r="AC1198">
        <v>110</v>
      </c>
      <c r="AD1198">
        <v>4</v>
      </c>
      <c r="AE1198">
        <v>7.2</v>
      </c>
      <c r="AF1198">
        <v>7.2</v>
      </c>
      <c r="AG1198" s="29" t="s">
        <v>1370</v>
      </c>
      <c r="AH1198" s="29" t="s">
        <v>1809</v>
      </c>
      <c r="AI1198" s="29" t="s">
        <v>1397</v>
      </c>
      <c r="AJ1198" s="29" t="s">
        <v>1810</v>
      </c>
      <c r="AL1198" s="29" t="s">
        <v>1371</v>
      </c>
    </row>
    <row r="1199" spans="15:38">
      <c r="O1199" t="s">
        <v>24</v>
      </c>
      <c r="P1199" t="s">
        <v>43</v>
      </c>
      <c r="Q1199" t="s">
        <v>21</v>
      </c>
      <c r="R1199" t="s">
        <v>53</v>
      </c>
      <c r="S1199">
        <v>2024.39</v>
      </c>
      <c r="T1199">
        <v>10814.68</v>
      </c>
      <c r="U1199">
        <v>52619.074000000001</v>
      </c>
      <c r="V1199">
        <v>52619.074000000001</v>
      </c>
      <c r="AA1199" s="29" t="s">
        <v>43</v>
      </c>
      <c r="AB1199">
        <v>31200</v>
      </c>
      <c r="AC1199">
        <v>110</v>
      </c>
      <c r="AD1199">
        <v>4</v>
      </c>
      <c r="AE1199">
        <v>21.88</v>
      </c>
      <c r="AF1199">
        <v>21.88</v>
      </c>
      <c r="AG1199" s="29" t="s">
        <v>1370</v>
      </c>
      <c r="AH1199" s="29" t="s">
        <v>1811</v>
      </c>
      <c r="AI1199" s="29" t="s">
        <v>1397</v>
      </c>
      <c r="AJ1199" s="29" t="s">
        <v>1812</v>
      </c>
      <c r="AL1199" s="29" t="s">
        <v>1371</v>
      </c>
    </row>
    <row r="1200" spans="15:38">
      <c r="O1200" t="s">
        <v>24</v>
      </c>
      <c r="P1200" t="s">
        <v>43</v>
      </c>
      <c r="Q1200" t="s">
        <v>21</v>
      </c>
      <c r="R1200" t="s">
        <v>53</v>
      </c>
      <c r="S1200">
        <v>2024.41</v>
      </c>
      <c r="T1200">
        <v>10814.68</v>
      </c>
      <c r="U1200">
        <v>52619.074000000001</v>
      </c>
      <c r="V1200">
        <v>52619.074000000001</v>
      </c>
      <c r="AA1200" s="29" t="s">
        <v>43</v>
      </c>
      <c r="AB1200">
        <v>31200</v>
      </c>
      <c r="AC1200">
        <v>110</v>
      </c>
      <c r="AD1200">
        <v>4</v>
      </c>
      <c r="AE1200">
        <v>14.58</v>
      </c>
      <c r="AF1200">
        <v>14.58</v>
      </c>
      <c r="AG1200" s="29" t="s">
        <v>1370</v>
      </c>
      <c r="AH1200" s="29" t="s">
        <v>1813</v>
      </c>
      <c r="AI1200" s="29" t="s">
        <v>1397</v>
      </c>
      <c r="AJ1200" s="29" t="s">
        <v>1814</v>
      </c>
      <c r="AL1200" s="29" t="s">
        <v>1371</v>
      </c>
    </row>
    <row r="1201" spans="15:38">
      <c r="O1201" t="s">
        <v>24</v>
      </c>
      <c r="P1201" t="s">
        <v>43</v>
      </c>
      <c r="Q1201" t="s">
        <v>21</v>
      </c>
      <c r="R1201" t="s">
        <v>53</v>
      </c>
      <c r="S1201">
        <v>2024.43</v>
      </c>
      <c r="T1201">
        <v>10814.68</v>
      </c>
      <c r="U1201">
        <v>52619.074000000001</v>
      </c>
      <c r="V1201">
        <v>52619.074000000001</v>
      </c>
      <c r="AA1201" s="29" t="s">
        <v>43</v>
      </c>
      <c r="AB1201">
        <v>31200</v>
      </c>
      <c r="AC1201">
        <v>110</v>
      </c>
      <c r="AD1201">
        <v>4</v>
      </c>
      <c r="AE1201">
        <v>15.6</v>
      </c>
      <c r="AF1201">
        <v>15.6</v>
      </c>
      <c r="AG1201" s="29" t="s">
        <v>1370</v>
      </c>
      <c r="AH1201" s="29" t="s">
        <v>1815</v>
      </c>
      <c r="AI1201" s="29" t="s">
        <v>1397</v>
      </c>
      <c r="AJ1201" s="29" t="s">
        <v>1816</v>
      </c>
      <c r="AL1201" s="29" t="s">
        <v>1371</v>
      </c>
    </row>
    <row r="1202" spans="15:38">
      <c r="O1202" t="s">
        <v>24</v>
      </c>
      <c r="P1202" t="s">
        <v>43</v>
      </c>
      <c r="Q1202" t="s">
        <v>21</v>
      </c>
      <c r="R1202" t="s">
        <v>53</v>
      </c>
      <c r="S1202">
        <v>2024.44</v>
      </c>
      <c r="T1202">
        <v>10814.68</v>
      </c>
      <c r="U1202">
        <v>79920.425600000002</v>
      </c>
      <c r="V1202">
        <v>49920.425600000002</v>
      </c>
      <c r="AA1202" s="29" t="s">
        <v>43</v>
      </c>
      <c r="AB1202">
        <v>31200</v>
      </c>
      <c r="AC1202">
        <v>110</v>
      </c>
      <c r="AD1202">
        <v>4</v>
      </c>
      <c r="AE1202">
        <v>0.41</v>
      </c>
      <c r="AF1202">
        <v>0.41</v>
      </c>
      <c r="AG1202" s="29" t="s">
        <v>1370</v>
      </c>
      <c r="AH1202" s="29" t="s">
        <v>1817</v>
      </c>
      <c r="AI1202" s="29" t="s">
        <v>1397</v>
      </c>
      <c r="AJ1202" s="29" t="s">
        <v>1818</v>
      </c>
      <c r="AL1202" s="29" t="s">
        <v>1371</v>
      </c>
    </row>
    <row r="1203" spans="15:38">
      <c r="O1203" t="s">
        <v>24</v>
      </c>
      <c r="P1203" t="s">
        <v>43</v>
      </c>
      <c r="Q1203" t="s">
        <v>21</v>
      </c>
      <c r="R1203" t="s">
        <v>53</v>
      </c>
      <c r="S1203">
        <v>2024.45</v>
      </c>
      <c r="T1203">
        <v>10814.68</v>
      </c>
      <c r="U1203">
        <v>79920.425600000002</v>
      </c>
      <c r="V1203">
        <v>14920.4256</v>
      </c>
      <c r="AA1203" s="29" t="s">
        <v>43</v>
      </c>
      <c r="AB1203">
        <v>31200</v>
      </c>
      <c r="AC1203">
        <v>110</v>
      </c>
      <c r="AD1203">
        <v>4</v>
      </c>
      <c r="AE1203">
        <v>23.2</v>
      </c>
      <c r="AF1203">
        <v>23.2</v>
      </c>
      <c r="AG1203" s="29" t="s">
        <v>1370</v>
      </c>
      <c r="AH1203" s="29" t="s">
        <v>1819</v>
      </c>
      <c r="AI1203" s="29" t="s">
        <v>1397</v>
      </c>
      <c r="AJ1203" s="29" t="s">
        <v>1820</v>
      </c>
      <c r="AL1203" s="29" t="s">
        <v>1371</v>
      </c>
    </row>
    <row r="1204" spans="15:38">
      <c r="O1204" t="s">
        <v>24</v>
      </c>
      <c r="P1204" t="s">
        <v>43</v>
      </c>
      <c r="Q1204" t="s">
        <v>21</v>
      </c>
      <c r="R1204" t="s">
        <v>53</v>
      </c>
      <c r="S1204">
        <v>2024.47</v>
      </c>
      <c r="T1204">
        <v>10814.68</v>
      </c>
      <c r="U1204">
        <v>79920.425600000002</v>
      </c>
      <c r="V1204">
        <v>14920.4256</v>
      </c>
      <c r="AA1204" s="29" t="s">
        <v>43</v>
      </c>
      <c r="AB1204">
        <v>31200</v>
      </c>
      <c r="AC1204">
        <v>110</v>
      </c>
      <c r="AD1204">
        <v>4</v>
      </c>
      <c r="AE1204">
        <v>0.27</v>
      </c>
      <c r="AF1204">
        <v>0.27</v>
      </c>
      <c r="AG1204" s="29" t="s">
        <v>1370</v>
      </c>
      <c r="AH1204" s="29" t="s">
        <v>1821</v>
      </c>
      <c r="AI1204" s="29" t="s">
        <v>1397</v>
      </c>
      <c r="AJ1204" s="29" t="s">
        <v>1822</v>
      </c>
      <c r="AL1204" s="29" t="s">
        <v>1371</v>
      </c>
    </row>
    <row r="1205" spans="15:38">
      <c r="O1205" t="s">
        <v>24</v>
      </c>
      <c r="P1205" t="s">
        <v>43</v>
      </c>
      <c r="Q1205" t="s">
        <v>21</v>
      </c>
      <c r="R1205" t="s">
        <v>53</v>
      </c>
      <c r="S1205">
        <v>2024.48</v>
      </c>
      <c r="T1205">
        <v>10814.68</v>
      </c>
      <c r="U1205">
        <v>79920.425600000002</v>
      </c>
      <c r="V1205">
        <v>24920.425599999999</v>
      </c>
      <c r="AA1205" s="29" t="s">
        <v>43</v>
      </c>
      <c r="AB1205">
        <v>31200</v>
      </c>
      <c r="AC1205">
        <v>110</v>
      </c>
      <c r="AD1205">
        <v>4</v>
      </c>
      <c r="AE1205">
        <v>161.91999999999999</v>
      </c>
      <c r="AF1205">
        <v>161.91999999999999</v>
      </c>
      <c r="AG1205" s="29" t="s">
        <v>1370</v>
      </c>
      <c r="AH1205" s="29" t="s">
        <v>1823</v>
      </c>
      <c r="AI1205" s="29" t="s">
        <v>1397</v>
      </c>
      <c r="AJ1205" s="29" t="s">
        <v>1824</v>
      </c>
      <c r="AL1205" s="29" t="s">
        <v>1371</v>
      </c>
    </row>
    <row r="1206" spans="15:38">
      <c r="O1206" t="s">
        <v>24</v>
      </c>
      <c r="P1206" t="s">
        <v>43</v>
      </c>
      <c r="Q1206" t="s">
        <v>21</v>
      </c>
      <c r="R1206" t="s">
        <v>53</v>
      </c>
      <c r="S1206">
        <v>2024.49</v>
      </c>
      <c r="T1206">
        <v>12218.17</v>
      </c>
      <c r="U1206">
        <v>79920.425600000002</v>
      </c>
      <c r="V1206">
        <v>24920.425599999999</v>
      </c>
      <c r="AA1206" s="29" t="s">
        <v>43</v>
      </c>
      <c r="AB1206">
        <v>31200</v>
      </c>
      <c r="AC1206">
        <v>110</v>
      </c>
      <c r="AD1206">
        <v>4</v>
      </c>
      <c r="AE1206">
        <v>3.08</v>
      </c>
      <c r="AF1206">
        <v>3.08</v>
      </c>
      <c r="AG1206" s="29" t="s">
        <v>1370</v>
      </c>
      <c r="AH1206" s="29" t="s">
        <v>1792</v>
      </c>
      <c r="AI1206" s="29" t="s">
        <v>1397</v>
      </c>
      <c r="AJ1206" s="29" t="s">
        <v>1825</v>
      </c>
      <c r="AL1206" s="29" t="s">
        <v>1371</v>
      </c>
    </row>
    <row r="1207" spans="15:38">
      <c r="O1207" t="s">
        <v>24</v>
      </c>
      <c r="P1207" t="s">
        <v>43</v>
      </c>
      <c r="Q1207" t="s">
        <v>21</v>
      </c>
      <c r="R1207" t="s">
        <v>53</v>
      </c>
      <c r="S1207">
        <v>2025.03</v>
      </c>
      <c r="T1207">
        <v>16330.15</v>
      </c>
      <c r="U1207">
        <v>79920.425600000002</v>
      </c>
      <c r="V1207">
        <v>24920.425599999999</v>
      </c>
      <c r="AA1207" s="29" t="s">
        <v>43</v>
      </c>
      <c r="AB1207">
        <v>31200</v>
      </c>
      <c r="AC1207">
        <v>110</v>
      </c>
      <c r="AD1207">
        <v>4</v>
      </c>
      <c r="AE1207">
        <v>2</v>
      </c>
      <c r="AF1207">
        <v>2</v>
      </c>
      <c r="AG1207" s="29" t="s">
        <v>1370</v>
      </c>
      <c r="AH1207" s="29" t="s">
        <v>1826</v>
      </c>
      <c r="AI1207" s="29" t="s">
        <v>1397</v>
      </c>
      <c r="AJ1207" s="29" t="s">
        <v>1827</v>
      </c>
      <c r="AL1207" s="29" t="s">
        <v>1371</v>
      </c>
    </row>
    <row r="1208" spans="15:38">
      <c r="O1208" t="s">
        <v>24</v>
      </c>
      <c r="P1208" t="s">
        <v>43</v>
      </c>
      <c r="Q1208" t="s">
        <v>21</v>
      </c>
      <c r="R1208" t="s">
        <v>53</v>
      </c>
      <c r="S1208">
        <v>2025.08</v>
      </c>
      <c r="T1208">
        <v>20154.849999999999</v>
      </c>
      <c r="U1208">
        <v>79920.425600000002</v>
      </c>
      <c r="V1208">
        <v>24920.425599999999</v>
      </c>
      <c r="AA1208" s="29" t="s">
        <v>43</v>
      </c>
      <c r="AB1208">
        <v>31200</v>
      </c>
      <c r="AC1208">
        <v>110</v>
      </c>
      <c r="AD1208">
        <v>4</v>
      </c>
      <c r="AE1208">
        <v>11.54</v>
      </c>
      <c r="AF1208">
        <v>11.54</v>
      </c>
      <c r="AG1208" s="29" t="s">
        <v>1370</v>
      </c>
      <c r="AH1208" s="29" t="s">
        <v>1828</v>
      </c>
      <c r="AI1208" s="29" t="s">
        <v>1397</v>
      </c>
      <c r="AJ1208" s="29" t="s">
        <v>1829</v>
      </c>
      <c r="AL1208" s="29" t="s">
        <v>1371</v>
      </c>
    </row>
    <row r="1209" spans="15:38">
      <c r="O1209" t="s">
        <v>24</v>
      </c>
      <c r="P1209" t="s">
        <v>43</v>
      </c>
      <c r="Q1209" t="s">
        <v>21</v>
      </c>
      <c r="R1209" t="s">
        <v>53</v>
      </c>
      <c r="S1209">
        <v>2025.1</v>
      </c>
      <c r="T1209">
        <v>21700.15</v>
      </c>
      <c r="U1209">
        <v>79920.425600000002</v>
      </c>
      <c r="V1209">
        <v>24920.425599999999</v>
      </c>
      <c r="AA1209" s="29" t="s">
        <v>43</v>
      </c>
      <c r="AB1209">
        <v>31200</v>
      </c>
      <c r="AC1209">
        <v>110</v>
      </c>
      <c r="AD1209">
        <v>4</v>
      </c>
      <c r="AE1209">
        <v>0.79</v>
      </c>
      <c r="AF1209">
        <v>0.79</v>
      </c>
      <c r="AG1209" s="29" t="s">
        <v>1370</v>
      </c>
      <c r="AH1209" s="29" t="s">
        <v>1830</v>
      </c>
      <c r="AI1209" s="29" t="s">
        <v>1397</v>
      </c>
      <c r="AJ1209" s="29" t="s">
        <v>1831</v>
      </c>
      <c r="AL1209" s="29" t="s">
        <v>1371</v>
      </c>
    </row>
    <row r="1210" spans="15:38">
      <c r="O1210" t="s">
        <v>24</v>
      </c>
      <c r="P1210" t="s">
        <v>43</v>
      </c>
      <c r="Q1210" t="s">
        <v>21</v>
      </c>
      <c r="R1210" t="s">
        <v>53</v>
      </c>
      <c r="S1210">
        <v>2025.11</v>
      </c>
      <c r="T1210">
        <v>21700.15</v>
      </c>
      <c r="U1210">
        <v>79920.425600000002</v>
      </c>
      <c r="V1210">
        <v>24920.425599999999</v>
      </c>
      <c r="AA1210" s="29" t="s">
        <v>43</v>
      </c>
      <c r="AB1210">
        <v>31200</v>
      </c>
      <c r="AC1210">
        <v>110</v>
      </c>
      <c r="AD1210">
        <v>4</v>
      </c>
      <c r="AE1210">
        <v>1.8</v>
      </c>
      <c r="AF1210">
        <v>1.8</v>
      </c>
      <c r="AG1210" s="29" t="s">
        <v>1370</v>
      </c>
      <c r="AH1210" s="29" t="s">
        <v>1543</v>
      </c>
      <c r="AI1210" s="29" t="s">
        <v>1397</v>
      </c>
      <c r="AJ1210" s="29" t="s">
        <v>1832</v>
      </c>
      <c r="AL1210" s="29" t="s">
        <v>1371</v>
      </c>
    </row>
    <row r="1211" spans="15:38">
      <c r="O1211" t="s">
        <v>24</v>
      </c>
      <c r="P1211" t="s">
        <v>43</v>
      </c>
      <c r="Q1211" t="s">
        <v>21</v>
      </c>
      <c r="R1211" t="s">
        <v>53</v>
      </c>
      <c r="S1211">
        <v>2025.12</v>
      </c>
      <c r="T1211">
        <v>21700.15</v>
      </c>
      <c r="U1211">
        <v>79920.425600000002</v>
      </c>
      <c r="V1211">
        <v>24920.425599999999</v>
      </c>
      <c r="AA1211" s="29" t="s">
        <v>43</v>
      </c>
      <c r="AB1211">
        <v>31200</v>
      </c>
      <c r="AC1211">
        <v>110</v>
      </c>
      <c r="AD1211">
        <v>4</v>
      </c>
      <c r="AE1211">
        <v>0.78</v>
      </c>
      <c r="AF1211">
        <v>0.78</v>
      </c>
      <c r="AG1211" s="29" t="s">
        <v>1370</v>
      </c>
      <c r="AH1211" s="29" t="s">
        <v>1833</v>
      </c>
      <c r="AI1211" s="29" t="s">
        <v>1397</v>
      </c>
      <c r="AJ1211" s="29" t="s">
        <v>1834</v>
      </c>
      <c r="AL1211" s="29" t="s">
        <v>1371</v>
      </c>
    </row>
    <row r="1212" spans="15:38">
      <c r="O1212" t="s">
        <v>24</v>
      </c>
      <c r="P1212" t="s">
        <v>43</v>
      </c>
      <c r="Q1212" t="s">
        <v>11</v>
      </c>
      <c r="R1212" t="s">
        <v>60</v>
      </c>
      <c r="S1212">
        <v>2023.47</v>
      </c>
      <c r="T1212">
        <v>0</v>
      </c>
      <c r="U1212">
        <v>28455.261500000001</v>
      </c>
      <c r="V1212">
        <v>28455.261500000001</v>
      </c>
      <c r="AA1212" s="29" t="s">
        <v>43</v>
      </c>
      <c r="AB1212">
        <v>31200</v>
      </c>
      <c r="AC1212">
        <v>110</v>
      </c>
      <c r="AD1212">
        <v>4</v>
      </c>
      <c r="AE1212">
        <v>522</v>
      </c>
      <c r="AF1212">
        <v>522</v>
      </c>
      <c r="AG1212" s="29" t="s">
        <v>1370</v>
      </c>
      <c r="AH1212" s="29" t="s">
        <v>1835</v>
      </c>
      <c r="AI1212" s="29" t="s">
        <v>1397</v>
      </c>
      <c r="AJ1212" s="29" t="s">
        <v>1836</v>
      </c>
      <c r="AL1212" s="29" t="s">
        <v>1371</v>
      </c>
    </row>
    <row r="1213" spans="15:38">
      <c r="O1213" t="s">
        <v>24</v>
      </c>
      <c r="P1213" t="s">
        <v>43</v>
      </c>
      <c r="Q1213" t="s">
        <v>11</v>
      </c>
      <c r="R1213" t="s">
        <v>60</v>
      </c>
      <c r="S1213">
        <v>2023.51</v>
      </c>
      <c r="T1213">
        <v>15000</v>
      </c>
      <c r="U1213">
        <v>28455.261500000001</v>
      </c>
      <c r="V1213">
        <v>28455.261500000001</v>
      </c>
      <c r="AA1213" s="29" t="s">
        <v>43</v>
      </c>
      <c r="AB1213">
        <v>31200</v>
      </c>
      <c r="AC1213">
        <v>110</v>
      </c>
      <c r="AD1213">
        <v>4</v>
      </c>
      <c r="AE1213">
        <v>136.08000000000001</v>
      </c>
      <c r="AF1213">
        <v>136.08000000000001</v>
      </c>
      <c r="AG1213" s="29" t="s">
        <v>1370</v>
      </c>
      <c r="AH1213" s="29" t="s">
        <v>1837</v>
      </c>
      <c r="AI1213" s="29" t="s">
        <v>1397</v>
      </c>
      <c r="AJ1213" s="29" t="s">
        <v>1838</v>
      </c>
      <c r="AL1213" s="29" t="s">
        <v>1371</v>
      </c>
    </row>
    <row r="1214" spans="15:38">
      <c r="O1214" t="s">
        <v>24</v>
      </c>
      <c r="P1214" t="s">
        <v>43</v>
      </c>
      <c r="Q1214" t="s">
        <v>11</v>
      </c>
      <c r="R1214" t="s">
        <v>60</v>
      </c>
      <c r="S1214">
        <v>2024.05</v>
      </c>
      <c r="T1214">
        <v>15000</v>
      </c>
      <c r="U1214">
        <v>28455.261500000001</v>
      </c>
      <c r="V1214">
        <v>28455.261500000001</v>
      </c>
      <c r="AA1214" s="29" t="s">
        <v>43</v>
      </c>
      <c r="AB1214">
        <v>31200</v>
      </c>
      <c r="AC1214">
        <v>110</v>
      </c>
      <c r="AD1214">
        <v>4</v>
      </c>
      <c r="AE1214">
        <v>132.43</v>
      </c>
      <c r="AF1214">
        <v>132.43</v>
      </c>
      <c r="AG1214" s="29" t="s">
        <v>1370</v>
      </c>
      <c r="AH1214" s="29" t="s">
        <v>1839</v>
      </c>
      <c r="AI1214" s="29" t="s">
        <v>1397</v>
      </c>
      <c r="AJ1214" s="29" t="s">
        <v>1840</v>
      </c>
      <c r="AL1214" s="29" t="s">
        <v>1371</v>
      </c>
    </row>
    <row r="1215" spans="15:38">
      <c r="O1215" t="s">
        <v>24</v>
      </c>
      <c r="P1215" t="s">
        <v>43</v>
      </c>
      <c r="Q1215" t="s">
        <v>11</v>
      </c>
      <c r="R1215" t="s">
        <v>60</v>
      </c>
      <c r="S1215">
        <v>2024.06</v>
      </c>
      <c r="T1215">
        <v>15000</v>
      </c>
      <c r="U1215">
        <v>28455.261500000001</v>
      </c>
      <c r="V1215">
        <v>28455.261500000001</v>
      </c>
      <c r="AA1215" s="29" t="s">
        <v>43</v>
      </c>
      <c r="AB1215">
        <v>31200</v>
      </c>
      <c r="AC1215">
        <v>110</v>
      </c>
      <c r="AD1215">
        <v>4</v>
      </c>
      <c r="AE1215">
        <v>157.08000000000001</v>
      </c>
      <c r="AF1215">
        <v>157.08000000000001</v>
      </c>
      <c r="AG1215" s="29" t="s">
        <v>1370</v>
      </c>
      <c r="AH1215" s="29" t="s">
        <v>1841</v>
      </c>
      <c r="AI1215" s="29" t="s">
        <v>1397</v>
      </c>
      <c r="AJ1215" s="29" t="s">
        <v>1842</v>
      </c>
      <c r="AL1215" s="29" t="s">
        <v>1371</v>
      </c>
    </row>
    <row r="1216" spans="15:38">
      <c r="O1216" t="s">
        <v>24</v>
      </c>
      <c r="P1216" t="s">
        <v>43</v>
      </c>
      <c r="Q1216" t="s">
        <v>11</v>
      </c>
      <c r="R1216" t="s">
        <v>60</v>
      </c>
      <c r="S1216">
        <v>2024.07</v>
      </c>
      <c r="T1216">
        <v>15000</v>
      </c>
      <c r="U1216">
        <v>28455.261500000001</v>
      </c>
      <c r="V1216">
        <v>28455.261500000001</v>
      </c>
      <c r="AA1216" s="29" t="s">
        <v>43</v>
      </c>
      <c r="AB1216">
        <v>31200</v>
      </c>
      <c r="AC1216">
        <v>110</v>
      </c>
      <c r="AD1216">
        <v>4</v>
      </c>
      <c r="AE1216">
        <v>141.6</v>
      </c>
      <c r="AF1216">
        <v>141.6</v>
      </c>
      <c r="AG1216" s="29" t="s">
        <v>1370</v>
      </c>
      <c r="AH1216" s="29" t="s">
        <v>1843</v>
      </c>
      <c r="AI1216" s="29" t="s">
        <v>1397</v>
      </c>
      <c r="AJ1216" s="29" t="s">
        <v>1844</v>
      </c>
      <c r="AL1216" s="29" t="s">
        <v>1371</v>
      </c>
    </row>
    <row r="1217" spans="15:38">
      <c r="O1217" t="s">
        <v>24</v>
      </c>
      <c r="P1217" t="s">
        <v>43</v>
      </c>
      <c r="Q1217" t="s">
        <v>11</v>
      </c>
      <c r="R1217" t="s">
        <v>60</v>
      </c>
      <c r="S1217">
        <v>2024.08</v>
      </c>
      <c r="T1217">
        <v>15000</v>
      </c>
      <c r="U1217">
        <v>28455.261500000001</v>
      </c>
      <c r="V1217">
        <v>28455.261500000001</v>
      </c>
      <c r="AA1217" s="29" t="s">
        <v>43</v>
      </c>
      <c r="AB1217">
        <v>31200</v>
      </c>
      <c r="AC1217">
        <v>110</v>
      </c>
      <c r="AD1217">
        <v>4</v>
      </c>
      <c r="AE1217">
        <v>26.37</v>
      </c>
      <c r="AF1217">
        <v>26.37</v>
      </c>
      <c r="AG1217" s="29" t="s">
        <v>1370</v>
      </c>
      <c r="AH1217" s="29" t="s">
        <v>1845</v>
      </c>
      <c r="AI1217" s="29" t="s">
        <v>1397</v>
      </c>
      <c r="AJ1217" s="29" t="s">
        <v>1846</v>
      </c>
      <c r="AL1217" s="29" t="s">
        <v>1371</v>
      </c>
    </row>
    <row r="1218" spans="15:38">
      <c r="O1218" t="s">
        <v>24</v>
      </c>
      <c r="P1218" t="s">
        <v>43</v>
      </c>
      <c r="Q1218" t="s">
        <v>11</v>
      </c>
      <c r="R1218" t="s">
        <v>60</v>
      </c>
      <c r="S1218">
        <v>2024.09</v>
      </c>
      <c r="T1218">
        <v>15000</v>
      </c>
      <c r="U1218">
        <v>28455.261500000001</v>
      </c>
      <c r="V1218">
        <v>28455.261500000001</v>
      </c>
      <c r="AA1218" s="29" t="s">
        <v>43</v>
      </c>
      <c r="AB1218">
        <v>31200</v>
      </c>
      <c r="AC1218">
        <v>110</v>
      </c>
      <c r="AD1218">
        <v>4</v>
      </c>
      <c r="AE1218">
        <v>21.1</v>
      </c>
      <c r="AF1218">
        <v>21.1</v>
      </c>
      <c r="AG1218" s="29" t="s">
        <v>1370</v>
      </c>
      <c r="AH1218" s="29" t="s">
        <v>1847</v>
      </c>
      <c r="AI1218" s="29" t="s">
        <v>1397</v>
      </c>
      <c r="AJ1218" s="29" t="s">
        <v>1848</v>
      </c>
      <c r="AL1218" s="29" t="s">
        <v>1371</v>
      </c>
    </row>
    <row r="1219" spans="15:38">
      <c r="O1219" t="s">
        <v>24</v>
      </c>
      <c r="P1219" t="s">
        <v>43</v>
      </c>
      <c r="Q1219" t="s">
        <v>11</v>
      </c>
      <c r="R1219" t="s">
        <v>60</v>
      </c>
      <c r="S1219">
        <v>2024.1</v>
      </c>
      <c r="T1219">
        <v>15000</v>
      </c>
      <c r="U1219">
        <v>28455.261500000001</v>
      </c>
      <c r="V1219">
        <v>28455.261500000001</v>
      </c>
      <c r="AA1219" s="29" t="s">
        <v>43</v>
      </c>
      <c r="AB1219">
        <v>31200</v>
      </c>
      <c r="AC1219">
        <v>110</v>
      </c>
      <c r="AD1219">
        <v>4</v>
      </c>
      <c r="AE1219">
        <v>372.6</v>
      </c>
      <c r="AF1219">
        <v>372.6</v>
      </c>
      <c r="AG1219" s="29" t="s">
        <v>1370</v>
      </c>
      <c r="AH1219" s="29" t="s">
        <v>1849</v>
      </c>
      <c r="AI1219" s="29" t="s">
        <v>1397</v>
      </c>
      <c r="AJ1219" s="29" t="s">
        <v>1850</v>
      </c>
      <c r="AL1219" s="29" t="s">
        <v>1371</v>
      </c>
    </row>
    <row r="1220" spans="15:38">
      <c r="O1220" t="s">
        <v>24</v>
      </c>
      <c r="P1220" t="s">
        <v>43</v>
      </c>
      <c r="Q1220" t="s">
        <v>11</v>
      </c>
      <c r="R1220" t="s">
        <v>60</v>
      </c>
      <c r="S1220">
        <v>2024.11</v>
      </c>
      <c r="T1220">
        <v>15000</v>
      </c>
      <c r="U1220">
        <v>28455.261500000001</v>
      </c>
      <c r="V1220">
        <v>28455.261500000001</v>
      </c>
      <c r="AA1220" s="29" t="s">
        <v>43</v>
      </c>
      <c r="AB1220">
        <v>31200</v>
      </c>
      <c r="AC1220">
        <v>110</v>
      </c>
      <c r="AD1220">
        <v>4</v>
      </c>
      <c r="AE1220">
        <v>93.15</v>
      </c>
      <c r="AF1220">
        <v>93.15</v>
      </c>
      <c r="AG1220" s="29" t="s">
        <v>1370</v>
      </c>
      <c r="AH1220" s="29" t="s">
        <v>1620</v>
      </c>
      <c r="AI1220" s="29" t="s">
        <v>1397</v>
      </c>
      <c r="AJ1220" s="29" t="s">
        <v>1621</v>
      </c>
      <c r="AL1220" s="29" t="s">
        <v>1371</v>
      </c>
    </row>
    <row r="1221" spans="15:38">
      <c r="O1221" t="s">
        <v>24</v>
      </c>
      <c r="P1221" t="s">
        <v>43</v>
      </c>
      <c r="Q1221" t="s">
        <v>11</v>
      </c>
      <c r="R1221" t="s">
        <v>60</v>
      </c>
      <c r="S1221">
        <v>2024.12</v>
      </c>
      <c r="T1221">
        <v>15000</v>
      </c>
      <c r="U1221">
        <v>28455.261500000001</v>
      </c>
      <c r="V1221">
        <v>28455.261500000001</v>
      </c>
      <c r="AA1221" s="29" t="s">
        <v>43</v>
      </c>
      <c r="AB1221">
        <v>31200</v>
      </c>
      <c r="AC1221">
        <v>110</v>
      </c>
      <c r="AD1221">
        <v>4</v>
      </c>
      <c r="AE1221">
        <v>279.45</v>
      </c>
      <c r="AF1221">
        <v>279.45</v>
      </c>
      <c r="AG1221" s="29" t="s">
        <v>1370</v>
      </c>
      <c r="AH1221" s="29" t="s">
        <v>1851</v>
      </c>
      <c r="AI1221" s="29" t="s">
        <v>1397</v>
      </c>
      <c r="AJ1221" s="29" t="s">
        <v>1852</v>
      </c>
      <c r="AL1221" s="29" t="s">
        <v>1371</v>
      </c>
    </row>
    <row r="1222" spans="15:38">
      <c r="O1222" t="s">
        <v>24</v>
      </c>
      <c r="P1222" t="s">
        <v>43</v>
      </c>
      <c r="Q1222" t="s">
        <v>11</v>
      </c>
      <c r="R1222" t="s">
        <v>60</v>
      </c>
      <c r="S1222">
        <v>2024.14</v>
      </c>
      <c r="T1222">
        <v>16464.8</v>
      </c>
      <c r="U1222">
        <v>28455.261500000001</v>
      </c>
      <c r="V1222">
        <v>28455.261500000001</v>
      </c>
      <c r="AA1222" s="29" t="s">
        <v>43</v>
      </c>
      <c r="AB1222">
        <v>31200</v>
      </c>
      <c r="AC1222">
        <v>110</v>
      </c>
      <c r="AD1222">
        <v>4</v>
      </c>
      <c r="AE1222">
        <v>100.08</v>
      </c>
      <c r="AF1222">
        <v>100.08</v>
      </c>
      <c r="AG1222" s="29" t="s">
        <v>1370</v>
      </c>
      <c r="AH1222" s="29" t="s">
        <v>1853</v>
      </c>
      <c r="AI1222" s="29" t="s">
        <v>1397</v>
      </c>
      <c r="AJ1222" s="29" t="s">
        <v>1854</v>
      </c>
      <c r="AL1222" s="29" t="s">
        <v>1371</v>
      </c>
    </row>
    <row r="1223" spans="15:38">
      <c r="O1223" t="s">
        <v>24</v>
      </c>
      <c r="P1223" t="s">
        <v>43</v>
      </c>
      <c r="Q1223" t="s">
        <v>11</v>
      </c>
      <c r="R1223" t="s">
        <v>60</v>
      </c>
      <c r="S1223">
        <v>2024.17</v>
      </c>
      <c r="T1223">
        <v>16464.8</v>
      </c>
      <c r="U1223">
        <v>28455.261500000001</v>
      </c>
      <c r="V1223">
        <v>28455.261500000001</v>
      </c>
      <c r="AA1223" s="29" t="s">
        <v>43</v>
      </c>
      <c r="AB1223">
        <v>31200</v>
      </c>
      <c r="AC1223">
        <v>110</v>
      </c>
      <c r="AD1223">
        <v>4</v>
      </c>
      <c r="AE1223">
        <v>25.02</v>
      </c>
      <c r="AF1223">
        <v>25.02</v>
      </c>
      <c r="AG1223" s="29" t="s">
        <v>1370</v>
      </c>
      <c r="AH1223" s="29" t="s">
        <v>1622</v>
      </c>
      <c r="AI1223" s="29" t="s">
        <v>1397</v>
      </c>
      <c r="AJ1223" s="29" t="s">
        <v>1623</v>
      </c>
      <c r="AL1223" s="29" t="s">
        <v>1371</v>
      </c>
    </row>
    <row r="1224" spans="15:38">
      <c r="O1224" t="s">
        <v>24</v>
      </c>
      <c r="P1224" t="s">
        <v>43</v>
      </c>
      <c r="Q1224" t="s">
        <v>11</v>
      </c>
      <c r="R1224" t="s">
        <v>60</v>
      </c>
      <c r="S1224">
        <v>2024.18</v>
      </c>
      <c r="T1224">
        <v>16464.8</v>
      </c>
      <c r="U1224">
        <v>28455.261500000001</v>
      </c>
      <c r="V1224">
        <v>28455.261500000001</v>
      </c>
      <c r="AA1224" s="29" t="s">
        <v>43</v>
      </c>
      <c r="AB1224">
        <v>31200</v>
      </c>
      <c r="AC1224">
        <v>110</v>
      </c>
      <c r="AD1224">
        <v>4</v>
      </c>
      <c r="AE1224">
        <v>345</v>
      </c>
      <c r="AF1224">
        <v>345</v>
      </c>
      <c r="AG1224" s="29" t="s">
        <v>1370</v>
      </c>
      <c r="AH1224" s="29" t="s">
        <v>1417</v>
      </c>
      <c r="AI1224" s="29" t="s">
        <v>1397</v>
      </c>
      <c r="AJ1224" s="29" t="s">
        <v>1855</v>
      </c>
      <c r="AL1224" s="29" t="s">
        <v>1371</v>
      </c>
    </row>
    <row r="1225" spans="15:38">
      <c r="O1225" t="s">
        <v>24</v>
      </c>
      <c r="P1225" t="s">
        <v>43</v>
      </c>
      <c r="Q1225" t="s">
        <v>11</v>
      </c>
      <c r="R1225" t="s">
        <v>60</v>
      </c>
      <c r="S1225">
        <v>2024.19</v>
      </c>
      <c r="T1225">
        <v>18222.560000000001</v>
      </c>
      <c r="U1225">
        <v>28455.261500000001</v>
      </c>
      <c r="V1225">
        <v>28455.261500000001</v>
      </c>
      <c r="AA1225" s="29" t="s">
        <v>43</v>
      </c>
      <c r="AB1225">
        <v>31200</v>
      </c>
      <c r="AC1225">
        <v>110</v>
      </c>
      <c r="AD1225">
        <v>4</v>
      </c>
      <c r="AE1225">
        <v>260.64</v>
      </c>
      <c r="AF1225">
        <v>260.64</v>
      </c>
      <c r="AG1225" s="29" t="s">
        <v>1370</v>
      </c>
      <c r="AH1225" s="29" t="s">
        <v>1856</v>
      </c>
      <c r="AI1225" s="29" t="s">
        <v>1397</v>
      </c>
      <c r="AJ1225" s="29" t="s">
        <v>1857</v>
      </c>
      <c r="AL1225" s="29" t="s">
        <v>1371</v>
      </c>
    </row>
    <row r="1226" spans="15:38">
      <c r="O1226" t="s">
        <v>24</v>
      </c>
      <c r="P1226" t="s">
        <v>43</v>
      </c>
      <c r="Q1226" t="s">
        <v>11</v>
      </c>
      <c r="R1226" t="s">
        <v>60</v>
      </c>
      <c r="S1226">
        <v>2024.2</v>
      </c>
      <c r="T1226">
        <v>18222.560000000001</v>
      </c>
      <c r="U1226">
        <v>28455.261500000001</v>
      </c>
      <c r="V1226">
        <v>28455.261500000001</v>
      </c>
      <c r="AA1226" s="29" t="s">
        <v>43</v>
      </c>
      <c r="AB1226">
        <v>31200</v>
      </c>
      <c r="AC1226">
        <v>110</v>
      </c>
      <c r="AD1226">
        <v>4</v>
      </c>
      <c r="AE1226">
        <v>709.2</v>
      </c>
      <c r="AF1226">
        <v>709.2</v>
      </c>
      <c r="AG1226" s="29" t="s">
        <v>1370</v>
      </c>
      <c r="AH1226" s="29" t="s">
        <v>1858</v>
      </c>
      <c r="AI1226" s="29" t="s">
        <v>1397</v>
      </c>
      <c r="AJ1226" s="29" t="s">
        <v>1859</v>
      </c>
      <c r="AL1226" s="29" t="s">
        <v>1371</v>
      </c>
    </row>
    <row r="1227" spans="15:38">
      <c r="O1227" t="s">
        <v>24</v>
      </c>
      <c r="P1227" t="s">
        <v>43</v>
      </c>
      <c r="Q1227" t="s">
        <v>11</v>
      </c>
      <c r="R1227" t="s">
        <v>60</v>
      </c>
      <c r="S1227">
        <v>2024.21</v>
      </c>
      <c r="T1227">
        <v>18222.560000000001</v>
      </c>
      <c r="U1227">
        <v>28455.261500000001</v>
      </c>
      <c r="V1227">
        <v>28455.261500000001</v>
      </c>
      <c r="AA1227" s="29" t="s">
        <v>43</v>
      </c>
      <c r="AB1227">
        <v>31200</v>
      </c>
      <c r="AC1227">
        <v>110</v>
      </c>
      <c r="AD1227">
        <v>4</v>
      </c>
      <c r="AE1227">
        <v>2494.8000000000002</v>
      </c>
      <c r="AF1227">
        <v>2494.8000000000002</v>
      </c>
      <c r="AG1227" s="29" t="s">
        <v>1370</v>
      </c>
      <c r="AH1227" s="29" t="s">
        <v>1860</v>
      </c>
      <c r="AI1227" s="29" t="s">
        <v>1397</v>
      </c>
      <c r="AJ1227" s="29" t="s">
        <v>1861</v>
      </c>
      <c r="AL1227" s="29" t="s">
        <v>1371</v>
      </c>
    </row>
    <row r="1228" spans="15:38">
      <c r="O1228" t="s">
        <v>24</v>
      </c>
      <c r="P1228" t="s">
        <v>43</v>
      </c>
      <c r="Q1228" t="s">
        <v>11</v>
      </c>
      <c r="R1228" t="s">
        <v>60</v>
      </c>
      <c r="S1228">
        <v>2024.28</v>
      </c>
      <c r="T1228">
        <v>19101.439999999999</v>
      </c>
      <c r="U1228">
        <v>28455.261500000001</v>
      </c>
      <c r="V1228">
        <v>28455.261500000001</v>
      </c>
      <c r="AA1228" s="29" t="s">
        <v>43</v>
      </c>
      <c r="AB1228">
        <v>31200</v>
      </c>
      <c r="AC1228">
        <v>110</v>
      </c>
      <c r="AD1228">
        <v>4</v>
      </c>
      <c r="AE1228">
        <v>2494.8000000000002</v>
      </c>
      <c r="AF1228">
        <v>2494.8000000000002</v>
      </c>
      <c r="AG1228" s="29" t="s">
        <v>1370</v>
      </c>
      <c r="AH1228" s="29" t="s">
        <v>1860</v>
      </c>
      <c r="AI1228" s="29" t="s">
        <v>1397</v>
      </c>
      <c r="AJ1228" s="29" t="s">
        <v>1861</v>
      </c>
      <c r="AL1228" s="29" t="s">
        <v>1371</v>
      </c>
    </row>
    <row r="1229" spans="15:38">
      <c r="O1229" t="s">
        <v>24</v>
      </c>
      <c r="P1229" t="s">
        <v>43</v>
      </c>
      <c r="Q1229" t="s">
        <v>11</v>
      </c>
      <c r="R1229" t="s">
        <v>60</v>
      </c>
      <c r="S1229">
        <v>2024.38</v>
      </c>
      <c r="T1229">
        <v>19101.439999999999</v>
      </c>
      <c r="U1229">
        <v>28455.261500000001</v>
      </c>
      <c r="V1229">
        <v>28455.261500000001</v>
      </c>
      <c r="AA1229" s="29" t="s">
        <v>43</v>
      </c>
      <c r="AB1229">
        <v>31200</v>
      </c>
      <c r="AC1229">
        <v>110</v>
      </c>
      <c r="AD1229">
        <v>4</v>
      </c>
      <c r="AE1229">
        <v>644.4</v>
      </c>
      <c r="AF1229">
        <v>644.4</v>
      </c>
      <c r="AG1229" s="29" t="s">
        <v>1370</v>
      </c>
      <c r="AH1229" s="29" t="s">
        <v>1862</v>
      </c>
      <c r="AI1229" s="29" t="s">
        <v>1397</v>
      </c>
      <c r="AJ1229" s="29" t="s">
        <v>1863</v>
      </c>
      <c r="AL1229" s="29" t="s">
        <v>1371</v>
      </c>
    </row>
    <row r="1230" spans="15:38">
      <c r="O1230" t="s">
        <v>24</v>
      </c>
      <c r="P1230" t="s">
        <v>43</v>
      </c>
      <c r="Q1230" t="s">
        <v>11</v>
      </c>
      <c r="R1230" t="s">
        <v>60</v>
      </c>
      <c r="S1230">
        <v>2024.39</v>
      </c>
      <c r="T1230">
        <v>19101.439999999999</v>
      </c>
      <c r="U1230">
        <v>28455.261500000001</v>
      </c>
      <c r="V1230">
        <v>28455.261500000001</v>
      </c>
      <c r="AA1230" s="29" t="s">
        <v>43</v>
      </c>
      <c r="AB1230">
        <v>31200</v>
      </c>
      <c r="AC1230">
        <v>110</v>
      </c>
      <c r="AD1230">
        <v>4</v>
      </c>
      <c r="AE1230">
        <v>171.36</v>
      </c>
      <c r="AF1230">
        <v>171.36</v>
      </c>
      <c r="AG1230" s="29" t="s">
        <v>1370</v>
      </c>
      <c r="AH1230" s="29" t="s">
        <v>1864</v>
      </c>
      <c r="AI1230" s="29" t="s">
        <v>1397</v>
      </c>
      <c r="AJ1230" s="29" t="s">
        <v>1865</v>
      </c>
      <c r="AL1230" s="29" t="s">
        <v>1371</v>
      </c>
    </row>
    <row r="1231" spans="15:38">
      <c r="O1231" t="s">
        <v>24</v>
      </c>
      <c r="P1231" t="s">
        <v>43</v>
      </c>
      <c r="Q1231" t="s">
        <v>11</v>
      </c>
      <c r="R1231" t="s">
        <v>60</v>
      </c>
      <c r="S1231">
        <v>2024.41</v>
      </c>
      <c r="T1231">
        <v>19687.36</v>
      </c>
      <c r="U1231">
        <v>28455.261500000001</v>
      </c>
      <c r="V1231">
        <v>28455.261500000001</v>
      </c>
      <c r="AA1231" s="29" t="s">
        <v>43</v>
      </c>
      <c r="AB1231">
        <v>31200</v>
      </c>
      <c r="AC1231">
        <v>110</v>
      </c>
      <c r="AD1231">
        <v>4</v>
      </c>
      <c r="AE1231">
        <v>236.48</v>
      </c>
      <c r="AF1231">
        <v>236.48</v>
      </c>
      <c r="AG1231" s="29" t="s">
        <v>1370</v>
      </c>
      <c r="AH1231" s="29" t="s">
        <v>1866</v>
      </c>
      <c r="AI1231" s="29" t="s">
        <v>1397</v>
      </c>
      <c r="AJ1231" s="29" t="s">
        <v>1867</v>
      </c>
      <c r="AL1231" s="29" t="s">
        <v>1371</v>
      </c>
    </row>
    <row r="1232" spans="15:38">
      <c r="O1232" t="s">
        <v>24</v>
      </c>
      <c r="P1232" t="s">
        <v>43</v>
      </c>
      <c r="Q1232" t="s">
        <v>11</v>
      </c>
      <c r="R1232" t="s">
        <v>60</v>
      </c>
      <c r="S1232">
        <v>2024.43</v>
      </c>
      <c r="T1232">
        <v>19687.36</v>
      </c>
      <c r="U1232">
        <v>28455.261500000001</v>
      </c>
      <c r="V1232">
        <v>28455.261500000001</v>
      </c>
      <c r="AA1232" s="29" t="s">
        <v>43</v>
      </c>
      <c r="AB1232">
        <v>31200</v>
      </c>
      <c r="AC1232">
        <v>110</v>
      </c>
      <c r="AD1232">
        <v>4</v>
      </c>
      <c r="AE1232">
        <v>79.760000000000005</v>
      </c>
      <c r="AF1232">
        <v>79.760000000000005</v>
      </c>
      <c r="AG1232" s="29" t="s">
        <v>1370</v>
      </c>
      <c r="AH1232" s="29" t="s">
        <v>1868</v>
      </c>
      <c r="AI1232" s="29" t="s">
        <v>1397</v>
      </c>
      <c r="AJ1232" s="29" t="s">
        <v>1869</v>
      </c>
      <c r="AL1232" s="29" t="s">
        <v>1371</v>
      </c>
    </row>
    <row r="1233" spans="15:38">
      <c r="O1233" t="s">
        <v>24</v>
      </c>
      <c r="P1233" t="s">
        <v>43</v>
      </c>
      <c r="Q1233" t="s">
        <v>11</v>
      </c>
      <c r="R1233" t="s">
        <v>60</v>
      </c>
      <c r="S1233">
        <v>2024.44</v>
      </c>
      <c r="T1233">
        <v>19687.36</v>
      </c>
      <c r="U1233">
        <v>28756.874</v>
      </c>
      <c r="V1233">
        <v>28756.874</v>
      </c>
      <c r="AA1233" s="29" t="s">
        <v>43</v>
      </c>
      <c r="AB1233">
        <v>31200</v>
      </c>
      <c r="AC1233">
        <v>110</v>
      </c>
      <c r="AD1233">
        <v>4</v>
      </c>
      <c r="AE1233">
        <v>2.1</v>
      </c>
      <c r="AF1233">
        <v>2.1</v>
      </c>
      <c r="AG1233" s="29" t="s">
        <v>1370</v>
      </c>
      <c r="AH1233" s="29" t="s">
        <v>1870</v>
      </c>
      <c r="AI1233" s="29" t="s">
        <v>1397</v>
      </c>
      <c r="AJ1233" s="29" t="s">
        <v>1871</v>
      </c>
      <c r="AL1233" s="29" t="s">
        <v>1371</v>
      </c>
    </row>
    <row r="1234" spans="15:38">
      <c r="O1234" t="s">
        <v>24</v>
      </c>
      <c r="P1234" t="s">
        <v>43</v>
      </c>
      <c r="Q1234" t="s">
        <v>11</v>
      </c>
      <c r="R1234" t="s">
        <v>60</v>
      </c>
      <c r="S1234">
        <v>2024.45</v>
      </c>
      <c r="T1234">
        <v>19687.36</v>
      </c>
      <c r="U1234">
        <v>28756.874</v>
      </c>
      <c r="V1234">
        <v>28756.874</v>
      </c>
      <c r="AA1234" s="29" t="s">
        <v>43</v>
      </c>
      <c r="AB1234">
        <v>31200</v>
      </c>
      <c r="AC1234">
        <v>110</v>
      </c>
      <c r="AD1234">
        <v>4</v>
      </c>
      <c r="AE1234">
        <v>9.9</v>
      </c>
      <c r="AF1234">
        <v>9.9</v>
      </c>
      <c r="AG1234" s="29" t="s">
        <v>1370</v>
      </c>
      <c r="AH1234" s="29" t="s">
        <v>1872</v>
      </c>
      <c r="AI1234" s="29" t="s">
        <v>1397</v>
      </c>
      <c r="AJ1234" s="29" t="s">
        <v>1873</v>
      </c>
      <c r="AL1234" s="29" t="s">
        <v>1371</v>
      </c>
    </row>
    <row r="1235" spans="15:38">
      <c r="O1235" t="s">
        <v>24</v>
      </c>
      <c r="P1235" t="s">
        <v>43</v>
      </c>
      <c r="Q1235" t="s">
        <v>11</v>
      </c>
      <c r="R1235" t="s">
        <v>60</v>
      </c>
      <c r="S1235">
        <v>2024.47</v>
      </c>
      <c r="T1235">
        <v>20932.439999999999</v>
      </c>
      <c r="U1235">
        <v>28756.874</v>
      </c>
      <c r="V1235">
        <v>28756.874</v>
      </c>
      <c r="AA1235" s="29" t="s">
        <v>43</v>
      </c>
      <c r="AB1235">
        <v>31200</v>
      </c>
      <c r="AC1235">
        <v>110</v>
      </c>
      <c r="AD1235">
        <v>4</v>
      </c>
      <c r="AE1235">
        <v>75.06</v>
      </c>
      <c r="AF1235">
        <v>75.06</v>
      </c>
      <c r="AG1235" s="29" t="s">
        <v>1370</v>
      </c>
      <c r="AH1235" s="29" t="s">
        <v>1874</v>
      </c>
      <c r="AI1235" s="29" t="s">
        <v>1397</v>
      </c>
      <c r="AJ1235" s="29" t="s">
        <v>1875</v>
      </c>
      <c r="AL1235" s="29" t="s">
        <v>1371</v>
      </c>
    </row>
    <row r="1236" spans="15:38">
      <c r="O1236" t="s">
        <v>24</v>
      </c>
      <c r="P1236" t="s">
        <v>43</v>
      </c>
      <c r="Q1236" t="s">
        <v>11</v>
      </c>
      <c r="R1236" t="s">
        <v>60</v>
      </c>
      <c r="S1236">
        <v>2024.48</v>
      </c>
      <c r="T1236">
        <v>20932.439999999999</v>
      </c>
      <c r="U1236">
        <v>28756.874</v>
      </c>
      <c r="V1236">
        <v>33756.874000000003</v>
      </c>
      <c r="AA1236" s="29" t="s">
        <v>43</v>
      </c>
      <c r="AB1236">
        <v>31200</v>
      </c>
      <c r="AC1236">
        <v>110</v>
      </c>
      <c r="AD1236">
        <v>4</v>
      </c>
      <c r="AE1236">
        <v>15.96</v>
      </c>
      <c r="AF1236">
        <v>15.96</v>
      </c>
      <c r="AG1236" s="29" t="s">
        <v>1370</v>
      </c>
      <c r="AH1236" s="29" t="s">
        <v>1876</v>
      </c>
      <c r="AI1236" s="29" t="s">
        <v>1397</v>
      </c>
      <c r="AJ1236" s="29" t="s">
        <v>1877</v>
      </c>
      <c r="AL1236" s="29" t="s">
        <v>1371</v>
      </c>
    </row>
    <row r="1237" spans="15:38">
      <c r="O1237" t="s">
        <v>24</v>
      </c>
      <c r="P1237" t="s">
        <v>43</v>
      </c>
      <c r="Q1237" t="s">
        <v>11</v>
      </c>
      <c r="R1237" t="s">
        <v>60</v>
      </c>
      <c r="S1237">
        <v>2024.49</v>
      </c>
      <c r="T1237">
        <v>23825.42</v>
      </c>
      <c r="U1237">
        <v>28756.874</v>
      </c>
      <c r="V1237">
        <v>33756.874000000003</v>
      </c>
      <c r="AA1237" s="29" t="s">
        <v>43</v>
      </c>
      <c r="AB1237">
        <v>31200</v>
      </c>
      <c r="AC1237">
        <v>120</v>
      </c>
      <c r="AD1237">
        <v>1</v>
      </c>
      <c r="AE1237">
        <v>0</v>
      </c>
      <c r="AF1237">
        <v>0</v>
      </c>
      <c r="AG1237" s="29" t="s">
        <v>1878</v>
      </c>
      <c r="AH1237" s="29"/>
      <c r="AI1237" s="29"/>
      <c r="AJ1237" s="29"/>
      <c r="AL1237" s="29" t="s">
        <v>1879</v>
      </c>
    </row>
    <row r="1238" spans="15:38">
      <c r="O1238" t="s">
        <v>24</v>
      </c>
      <c r="P1238" t="s">
        <v>43</v>
      </c>
      <c r="Q1238" t="s">
        <v>11</v>
      </c>
      <c r="R1238" t="s">
        <v>60</v>
      </c>
      <c r="S1238">
        <v>2025.03</v>
      </c>
      <c r="T1238">
        <v>27340.94</v>
      </c>
      <c r="U1238">
        <v>28756.874</v>
      </c>
      <c r="V1238">
        <v>33756.874000000003</v>
      </c>
      <c r="AA1238" s="29" t="s">
        <v>43</v>
      </c>
      <c r="AB1238">
        <v>31200</v>
      </c>
      <c r="AC1238">
        <v>120</v>
      </c>
      <c r="AD1238">
        <v>3</v>
      </c>
      <c r="AE1238">
        <v>400</v>
      </c>
      <c r="AF1238">
        <v>400</v>
      </c>
      <c r="AG1238" s="29" t="s">
        <v>1878</v>
      </c>
      <c r="AH1238" s="29" t="s">
        <v>1880</v>
      </c>
      <c r="AI1238" s="29" t="s">
        <v>1881</v>
      </c>
      <c r="AJ1238" s="29"/>
      <c r="AL1238" s="29" t="s">
        <v>1879</v>
      </c>
    </row>
    <row r="1239" spans="15:38">
      <c r="O1239" t="s">
        <v>24</v>
      </c>
      <c r="P1239" t="s">
        <v>43</v>
      </c>
      <c r="Q1239" t="s">
        <v>11</v>
      </c>
      <c r="R1239" t="s">
        <v>60</v>
      </c>
      <c r="S1239">
        <v>2025.08</v>
      </c>
      <c r="T1239">
        <v>32101.54</v>
      </c>
      <c r="U1239">
        <v>28756.874</v>
      </c>
      <c r="V1239">
        <v>33756.874000000003</v>
      </c>
      <c r="AA1239" s="29" t="s">
        <v>43</v>
      </c>
      <c r="AB1239">
        <v>31200</v>
      </c>
      <c r="AC1239">
        <v>120</v>
      </c>
      <c r="AD1239">
        <v>3</v>
      </c>
      <c r="AE1239">
        <v>894</v>
      </c>
      <c r="AF1239">
        <v>894</v>
      </c>
      <c r="AG1239" s="29" t="s">
        <v>1878</v>
      </c>
      <c r="AH1239" s="29" t="s">
        <v>1882</v>
      </c>
      <c r="AI1239" s="29" t="s">
        <v>1883</v>
      </c>
      <c r="AJ1239" s="29"/>
      <c r="AL1239" s="29" t="s">
        <v>1879</v>
      </c>
    </row>
    <row r="1240" spans="15:38">
      <c r="O1240" t="s">
        <v>24</v>
      </c>
      <c r="P1240" t="s">
        <v>43</v>
      </c>
      <c r="Q1240" t="s">
        <v>11</v>
      </c>
      <c r="R1240" t="s">
        <v>60</v>
      </c>
      <c r="S1240">
        <v>2025.1</v>
      </c>
      <c r="T1240">
        <v>32961.339999999997</v>
      </c>
      <c r="U1240">
        <v>28756.874</v>
      </c>
      <c r="V1240">
        <v>33756.874000000003</v>
      </c>
      <c r="AA1240" s="29" t="s">
        <v>43</v>
      </c>
      <c r="AB1240">
        <v>31200</v>
      </c>
      <c r="AC1240">
        <v>120</v>
      </c>
      <c r="AD1240">
        <v>3</v>
      </c>
      <c r="AE1240">
        <v>13780</v>
      </c>
      <c r="AF1240">
        <v>13780</v>
      </c>
      <c r="AG1240" s="29" t="s">
        <v>1878</v>
      </c>
      <c r="AH1240" s="29" t="s">
        <v>1884</v>
      </c>
      <c r="AI1240" s="29" t="s">
        <v>1885</v>
      </c>
      <c r="AJ1240" s="29"/>
      <c r="AL1240" s="29" t="s">
        <v>1879</v>
      </c>
    </row>
    <row r="1241" spans="15:38">
      <c r="O1241" t="s">
        <v>24</v>
      </c>
      <c r="P1241" t="s">
        <v>43</v>
      </c>
      <c r="Q1241" t="s">
        <v>11</v>
      </c>
      <c r="R1241" t="s">
        <v>60</v>
      </c>
      <c r="S1241">
        <v>2025.11</v>
      </c>
      <c r="T1241">
        <v>34079.800000000003</v>
      </c>
      <c r="U1241">
        <v>28756.874</v>
      </c>
      <c r="V1241">
        <v>33756.874000000003</v>
      </c>
      <c r="AA1241" s="29" t="s">
        <v>43</v>
      </c>
      <c r="AB1241">
        <v>31200</v>
      </c>
      <c r="AC1241">
        <v>120</v>
      </c>
      <c r="AD1241">
        <v>3</v>
      </c>
      <c r="AE1241">
        <v>160</v>
      </c>
      <c r="AF1241">
        <v>160</v>
      </c>
      <c r="AG1241" s="29" t="s">
        <v>1878</v>
      </c>
      <c r="AH1241" s="29" t="s">
        <v>1886</v>
      </c>
      <c r="AI1241" s="29" t="s">
        <v>1887</v>
      </c>
      <c r="AJ1241" s="29"/>
      <c r="AL1241" s="29" t="s">
        <v>1879</v>
      </c>
    </row>
    <row r="1242" spans="15:38">
      <c r="O1242" t="s">
        <v>24</v>
      </c>
      <c r="P1242" t="s">
        <v>43</v>
      </c>
      <c r="Q1242" t="s">
        <v>11</v>
      </c>
      <c r="R1242" t="s">
        <v>60</v>
      </c>
      <c r="S1242">
        <v>2025.12</v>
      </c>
      <c r="T1242">
        <v>34337.199999999997</v>
      </c>
      <c r="U1242">
        <v>28756.874</v>
      </c>
      <c r="V1242">
        <v>33756.874000000003</v>
      </c>
      <c r="AA1242" s="29" t="s">
        <v>43</v>
      </c>
      <c r="AB1242">
        <v>31200</v>
      </c>
      <c r="AC1242">
        <v>120</v>
      </c>
      <c r="AD1242">
        <v>3</v>
      </c>
      <c r="AE1242">
        <v>792</v>
      </c>
      <c r="AF1242">
        <v>792</v>
      </c>
      <c r="AG1242" s="29" t="s">
        <v>1878</v>
      </c>
      <c r="AH1242" s="29" t="s">
        <v>1888</v>
      </c>
      <c r="AI1242" s="29" t="s">
        <v>1889</v>
      </c>
      <c r="AJ1242" s="29"/>
      <c r="AL1242" s="29" t="s">
        <v>1879</v>
      </c>
    </row>
    <row r="1243" spans="15:38">
      <c r="O1243" t="s">
        <v>24</v>
      </c>
      <c r="P1243" t="s">
        <v>43</v>
      </c>
      <c r="Q1243" t="s">
        <v>11</v>
      </c>
      <c r="R1243" t="s">
        <v>61</v>
      </c>
      <c r="S1243">
        <v>2023.47</v>
      </c>
      <c r="T1243">
        <v>0</v>
      </c>
      <c r="U1243">
        <v>23604.266100000001</v>
      </c>
      <c r="V1243">
        <v>23604.266100000001</v>
      </c>
      <c r="AA1243" s="29" t="s">
        <v>43</v>
      </c>
      <c r="AB1243">
        <v>31200</v>
      </c>
      <c r="AC1243">
        <v>120</v>
      </c>
      <c r="AD1243">
        <v>3</v>
      </c>
      <c r="AE1243">
        <v>1140</v>
      </c>
      <c r="AF1243">
        <v>1140</v>
      </c>
      <c r="AG1243" s="29" t="s">
        <v>1878</v>
      </c>
      <c r="AH1243" s="29" t="s">
        <v>1890</v>
      </c>
      <c r="AI1243" s="29" t="s">
        <v>1891</v>
      </c>
      <c r="AJ1243" s="29"/>
      <c r="AL1243" s="29" t="s">
        <v>1879</v>
      </c>
    </row>
    <row r="1244" spans="15:38">
      <c r="O1244" t="s">
        <v>24</v>
      </c>
      <c r="P1244" t="s">
        <v>43</v>
      </c>
      <c r="Q1244" t="s">
        <v>11</v>
      </c>
      <c r="R1244" t="s">
        <v>61</v>
      </c>
      <c r="S1244">
        <v>2023.51</v>
      </c>
      <c r="T1244">
        <v>4019.82</v>
      </c>
      <c r="U1244">
        <v>23604.266100000001</v>
      </c>
      <c r="V1244">
        <v>23604.266100000001</v>
      </c>
      <c r="AA1244" s="29" t="s">
        <v>43</v>
      </c>
      <c r="AB1244">
        <v>31200</v>
      </c>
      <c r="AC1244">
        <v>120</v>
      </c>
      <c r="AD1244">
        <v>3</v>
      </c>
      <c r="AE1244">
        <v>1330</v>
      </c>
      <c r="AF1244">
        <v>1330</v>
      </c>
      <c r="AG1244" s="29" t="s">
        <v>1878</v>
      </c>
      <c r="AH1244" s="29" t="s">
        <v>1892</v>
      </c>
      <c r="AI1244" s="29" t="s">
        <v>1893</v>
      </c>
      <c r="AJ1244" s="29"/>
      <c r="AL1244" s="29" t="s">
        <v>1879</v>
      </c>
    </row>
    <row r="1245" spans="15:38">
      <c r="O1245" t="s">
        <v>24</v>
      </c>
      <c r="P1245" t="s">
        <v>43</v>
      </c>
      <c r="Q1245" t="s">
        <v>11</v>
      </c>
      <c r="R1245" t="s">
        <v>61</v>
      </c>
      <c r="S1245">
        <v>2024.05</v>
      </c>
      <c r="T1245">
        <v>2950.12</v>
      </c>
      <c r="U1245">
        <v>23604.266100000001</v>
      </c>
      <c r="V1245">
        <v>23604.266100000001</v>
      </c>
      <c r="AA1245" s="29" t="s">
        <v>43</v>
      </c>
      <c r="AB1245">
        <v>31200</v>
      </c>
      <c r="AC1245">
        <v>120</v>
      </c>
      <c r="AD1245">
        <v>3</v>
      </c>
      <c r="AE1245">
        <v>104</v>
      </c>
      <c r="AF1245">
        <v>104</v>
      </c>
      <c r="AG1245" s="29" t="s">
        <v>1878</v>
      </c>
      <c r="AH1245" s="29" t="s">
        <v>1894</v>
      </c>
      <c r="AI1245" s="29" t="s">
        <v>1895</v>
      </c>
      <c r="AJ1245" s="29"/>
      <c r="AL1245" s="29" t="s">
        <v>1879</v>
      </c>
    </row>
    <row r="1246" spans="15:38">
      <c r="O1246" t="s">
        <v>24</v>
      </c>
      <c r="P1246" t="s">
        <v>43</v>
      </c>
      <c r="Q1246" t="s">
        <v>11</v>
      </c>
      <c r="R1246" t="s">
        <v>61</v>
      </c>
      <c r="S1246">
        <v>2024.06</v>
      </c>
      <c r="T1246">
        <v>2950.12</v>
      </c>
      <c r="U1246">
        <v>23604.266100000001</v>
      </c>
      <c r="V1246">
        <v>23604.266100000001</v>
      </c>
      <c r="AA1246" s="29" t="s">
        <v>43</v>
      </c>
      <c r="AB1246">
        <v>31200</v>
      </c>
      <c r="AC1246">
        <v>120</v>
      </c>
      <c r="AD1246">
        <v>3</v>
      </c>
      <c r="AE1246">
        <v>0</v>
      </c>
      <c r="AF1246">
        <v>0</v>
      </c>
      <c r="AG1246" s="29" t="s">
        <v>1878</v>
      </c>
      <c r="AH1246" s="29" t="s">
        <v>1896</v>
      </c>
      <c r="AI1246" s="29" t="s">
        <v>1897</v>
      </c>
      <c r="AJ1246" s="29"/>
      <c r="AL1246" s="29" t="s">
        <v>1879</v>
      </c>
    </row>
    <row r="1247" spans="15:38">
      <c r="O1247" t="s">
        <v>24</v>
      </c>
      <c r="P1247" t="s">
        <v>43</v>
      </c>
      <c r="Q1247" t="s">
        <v>11</v>
      </c>
      <c r="R1247" t="s">
        <v>61</v>
      </c>
      <c r="S1247">
        <v>2024.07</v>
      </c>
      <c r="T1247">
        <v>2950.12</v>
      </c>
      <c r="U1247">
        <v>23604.266100000001</v>
      </c>
      <c r="V1247">
        <v>23604.266100000001</v>
      </c>
      <c r="AA1247" s="29" t="s">
        <v>43</v>
      </c>
      <c r="AB1247">
        <v>31200</v>
      </c>
      <c r="AC1247">
        <v>120</v>
      </c>
      <c r="AD1247">
        <v>3</v>
      </c>
      <c r="AE1247">
        <v>3903</v>
      </c>
      <c r="AF1247">
        <v>3903</v>
      </c>
      <c r="AG1247" s="29" t="s">
        <v>1878</v>
      </c>
      <c r="AH1247" s="29" t="s">
        <v>1898</v>
      </c>
      <c r="AI1247" s="29" t="s">
        <v>1899</v>
      </c>
      <c r="AJ1247" s="29"/>
      <c r="AL1247" s="29" t="s">
        <v>1879</v>
      </c>
    </row>
    <row r="1248" spans="15:38">
      <c r="O1248" t="s">
        <v>24</v>
      </c>
      <c r="P1248" t="s">
        <v>43</v>
      </c>
      <c r="Q1248" t="s">
        <v>11</v>
      </c>
      <c r="R1248" t="s">
        <v>61</v>
      </c>
      <c r="S1248">
        <v>2024.08</v>
      </c>
      <c r="T1248">
        <v>2950.12</v>
      </c>
      <c r="U1248">
        <v>23604.266100000001</v>
      </c>
      <c r="V1248">
        <v>23604.266100000001</v>
      </c>
      <c r="AA1248" s="29" t="s">
        <v>43</v>
      </c>
      <c r="AB1248">
        <v>31200</v>
      </c>
      <c r="AC1248">
        <v>120</v>
      </c>
      <c r="AD1248">
        <v>3</v>
      </c>
      <c r="AE1248">
        <v>0</v>
      </c>
      <c r="AF1248">
        <v>0</v>
      </c>
      <c r="AG1248" s="29" t="s">
        <v>1878</v>
      </c>
      <c r="AH1248" s="29" t="s">
        <v>1896</v>
      </c>
      <c r="AI1248" s="29" t="s">
        <v>1900</v>
      </c>
      <c r="AJ1248" s="29"/>
      <c r="AL1248" s="29" t="s">
        <v>1879</v>
      </c>
    </row>
    <row r="1249" spans="15:38">
      <c r="O1249" t="s">
        <v>24</v>
      </c>
      <c r="P1249" t="s">
        <v>43</v>
      </c>
      <c r="Q1249" t="s">
        <v>11</v>
      </c>
      <c r="R1249" t="s">
        <v>61</v>
      </c>
      <c r="S1249">
        <v>2024.09</v>
      </c>
      <c r="T1249">
        <v>4019.82</v>
      </c>
      <c r="U1249">
        <v>23604.266100000001</v>
      </c>
      <c r="V1249">
        <v>23604.266100000001</v>
      </c>
      <c r="AA1249" s="29" t="s">
        <v>43</v>
      </c>
      <c r="AB1249">
        <v>31200</v>
      </c>
      <c r="AC1249">
        <v>120</v>
      </c>
      <c r="AD1249">
        <v>3</v>
      </c>
      <c r="AE1249">
        <v>196.35</v>
      </c>
      <c r="AF1249">
        <v>196.35</v>
      </c>
      <c r="AG1249" s="29" t="s">
        <v>1878</v>
      </c>
      <c r="AH1249" s="29" t="s">
        <v>1901</v>
      </c>
      <c r="AI1249" s="29" t="s">
        <v>1902</v>
      </c>
      <c r="AJ1249" s="29"/>
      <c r="AL1249" s="29" t="s">
        <v>1879</v>
      </c>
    </row>
    <row r="1250" spans="15:38">
      <c r="O1250" t="s">
        <v>24</v>
      </c>
      <c r="P1250" t="s">
        <v>43</v>
      </c>
      <c r="Q1250" t="s">
        <v>11</v>
      </c>
      <c r="R1250" t="s">
        <v>61</v>
      </c>
      <c r="S1250">
        <v>2024.1</v>
      </c>
      <c r="T1250">
        <v>4166.2</v>
      </c>
      <c r="U1250">
        <v>23604.266100000001</v>
      </c>
      <c r="V1250">
        <v>23604.266100000001</v>
      </c>
      <c r="AA1250" s="29" t="s">
        <v>43</v>
      </c>
      <c r="AB1250">
        <v>31200</v>
      </c>
      <c r="AC1250">
        <v>120</v>
      </c>
      <c r="AD1250">
        <v>3</v>
      </c>
      <c r="AE1250">
        <v>85</v>
      </c>
      <c r="AF1250">
        <v>85</v>
      </c>
      <c r="AG1250" s="29" t="s">
        <v>1878</v>
      </c>
      <c r="AH1250" s="29" t="s">
        <v>1903</v>
      </c>
      <c r="AI1250" s="29" t="s">
        <v>1904</v>
      </c>
      <c r="AJ1250" s="29"/>
      <c r="AL1250" s="29" t="s">
        <v>1879</v>
      </c>
    </row>
    <row r="1251" spans="15:38">
      <c r="O1251" t="s">
        <v>24</v>
      </c>
      <c r="P1251" t="s">
        <v>43</v>
      </c>
      <c r="Q1251" t="s">
        <v>11</v>
      </c>
      <c r="R1251" t="s">
        <v>61</v>
      </c>
      <c r="S1251">
        <v>2024.11</v>
      </c>
      <c r="T1251">
        <v>4166.2</v>
      </c>
      <c r="U1251">
        <v>23604.266100000001</v>
      </c>
      <c r="V1251">
        <v>23604.266100000001</v>
      </c>
      <c r="AA1251" s="29" t="s">
        <v>43</v>
      </c>
      <c r="AB1251">
        <v>31200</v>
      </c>
      <c r="AC1251">
        <v>120</v>
      </c>
      <c r="AD1251">
        <v>3</v>
      </c>
      <c r="AE1251">
        <v>997</v>
      </c>
      <c r="AF1251">
        <v>997</v>
      </c>
      <c r="AG1251" s="29" t="s">
        <v>1878</v>
      </c>
      <c r="AH1251" s="29" t="s">
        <v>1905</v>
      </c>
      <c r="AI1251" s="29" t="s">
        <v>1906</v>
      </c>
      <c r="AJ1251" s="29"/>
      <c r="AL1251" s="29" t="s">
        <v>1879</v>
      </c>
    </row>
    <row r="1252" spans="15:38">
      <c r="O1252" t="s">
        <v>24</v>
      </c>
      <c r="P1252" t="s">
        <v>43</v>
      </c>
      <c r="Q1252" t="s">
        <v>11</v>
      </c>
      <c r="R1252" t="s">
        <v>61</v>
      </c>
      <c r="S1252">
        <v>2024.12</v>
      </c>
      <c r="T1252">
        <v>4166.2</v>
      </c>
      <c r="U1252">
        <v>23604.266100000001</v>
      </c>
      <c r="V1252">
        <v>23604.266100000001</v>
      </c>
      <c r="AA1252" s="29" t="s">
        <v>43</v>
      </c>
      <c r="AB1252">
        <v>31200</v>
      </c>
      <c r="AC1252">
        <v>120</v>
      </c>
      <c r="AD1252">
        <v>3</v>
      </c>
      <c r="AE1252">
        <v>0</v>
      </c>
      <c r="AF1252">
        <v>0</v>
      </c>
      <c r="AG1252" s="29" t="s">
        <v>1878</v>
      </c>
      <c r="AH1252" s="29" t="s">
        <v>1896</v>
      </c>
      <c r="AI1252" s="29" t="s">
        <v>1907</v>
      </c>
      <c r="AJ1252" s="29"/>
      <c r="AL1252" s="29" t="s">
        <v>1879</v>
      </c>
    </row>
    <row r="1253" spans="15:38">
      <c r="O1253" t="s">
        <v>24</v>
      </c>
      <c r="P1253" t="s">
        <v>43</v>
      </c>
      <c r="Q1253" t="s">
        <v>11</v>
      </c>
      <c r="R1253" t="s">
        <v>61</v>
      </c>
      <c r="S1253">
        <v>2024.14</v>
      </c>
      <c r="T1253">
        <v>5319.73</v>
      </c>
      <c r="U1253">
        <v>23604.266100000001</v>
      </c>
      <c r="V1253">
        <v>23604.266100000001</v>
      </c>
      <c r="AA1253" s="29" t="s">
        <v>43</v>
      </c>
      <c r="AB1253">
        <v>31200</v>
      </c>
      <c r="AC1253">
        <v>120</v>
      </c>
      <c r="AD1253">
        <v>3</v>
      </c>
      <c r="AE1253">
        <v>88</v>
      </c>
      <c r="AF1253">
        <v>88</v>
      </c>
      <c r="AG1253" s="29" t="s">
        <v>1878</v>
      </c>
      <c r="AH1253" s="29" t="s">
        <v>1908</v>
      </c>
      <c r="AI1253" s="29" t="s">
        <v>1909</v>
      </c>
      <c r="AJ1253" s="29"/>
      <c r="AL1253" s="29" t="s">
        <v>1879</v>
      </c>
    </row>
    <row r="1254" spans="15:38">
      <c r="O1254" t="s">
        <v>24</v>
      </c>
      <c r="P1254" t="s">
        <v>43</v>
      </c>
      <c r="Q1254" t="s">
        <v>11</v>
      </c>
      <c r="R1254" t="s">
        <v>61</v>
      </c>
      <c r="S1254">
        <v>2024.17</v>
      </c>
      <c r="T1254">
        <v>5319.73</v>
      </c>
      <c r="U1254">
        <v>23604.266100000001</v>
      </c>
      <c r="V1254">
        <v>23604.266100000001</v>
      </c>
      <c r="AA1254" s="29" t="s">
        <v>43</v>
      </c>
      <c r="AB1254">
        <v>31200</v>
      </c>
      <c r="AC1254">
        <v>120</v>
      </c>
      <c r="AD1254">
        <v>3</v>
      </c>
      <c r="AE1254">
        <v>0</v>
      </c>
      <c r="AF1254">
        <v>0</v>
      </c>
      <c r="AG1254" s="29" t="s">
        <v>1878</v>
      </c>
      <c r="AH1254" s="29" t="s">
        <v>1896</v>
      </c>
      <c r="AI1254" s="29" t="s">
        <v>1910</v>
      </c>
      <c r="AJ1254" s="29"/>
      <c r="AL1254" s="29" t="s">
        <v>1879</v>
      </c>
    </row>
    <row r="1255" spans="15:38">
      <c r="O1255" t="s">
        <v>24</v>
      </c>
      <c r="P1255" t="s">
        <v>43</v>
      </c>
      <c r="Q1255" t="s">
        <v>11</v>
      </c>
      <c r="R1255" t="s">
        <v>61</v>
      </c>
      <c r="S1255">
        <v>2024.18</v>
      </c>
      <c r="T1255">
        <v>7150.73</v>
      </c>
      <c r="U1255">
        <v>23604.266100000001</v>
      </c>
      <c r="V1255">
        <v>23604.266100000001</v>
      </c>
      <c r="AA1255" s="29" t="s">
        <v>43</v>
      </c>
      <c r="AB1255">
        <v>31200</v>
      </c>
      <c r="AC1255">
        <v>120</v>
      </c>
      <c r="AD1255">
        <v>3</v>
      </c>
      <c r="AE1255">
        <v>0</v>
      </c>
      <c r="AF1255">
        <v>0</v>
      </c>
      <c r="AG1255" s="29" t="s">
        <v>1878</v>
      </c>
      <c r="AH1255" s="29" t="s">
        <v>1896</v>
      </c>
      <c r="AI1255" s="29" t="s">
        <v>1911</v>
      </c>
      <c r="AJ1255" s="29"/>
      <c r="AL1255" s="29" t="s">
        <v>1879</v>
      </c>
    </row>
    <row r="1256" spans="15:38">
      <c r="O1256" t="s">
        <v>24</v>
      </c>
      <c r="P1256" t="s">
        <v>43</v>
      </c>
      <c r="Q1256" t="s">
        <v>11</v>
      </c>
      <c r="R1256" t="s">
        <v>61</v>
      </c>
      <c r="S1256">
        <v>2024.19</v>
      </c>
      <c r="T1256">
        <v>7150.73</v>
      </c>
      <c r="U1256">
        <v>23604.266100000001</v>
      </c>
      <c r="V1256">
        <v>23604.266100000001</v>
      </c>
      <c r="AA1256" s="29" t="s">
        <v>43</v>
      </c>
      <c r="AB1256">
        <v>31200</v>
      </c>
      <c r="AC1256">
        <v>120</v>
      </c>
      <c r="AD1256">
        <v>3</v>
      </c>
      <c r="AE1256">
        <v>0</v>
      </c>
      <c r="AF1256">
        <v>0</v>
      </c>
      <c r="AG1256" s="29" t="s">
        <v>1878</v>
      </c>
      <c r="AH1256" s="29" t="s">
        <v>1896</v>
      </c>
      <c r="AI1256" s="29" t="s">
        <v>1912</v>
      </c>
      <c r="AJ1256" s="29"/>
      <c r="AL1256" s="29" t="s">
        <v>1879</v>
      </c>
    </row>
    <row r="1257" spans="15:38">
      <c r="O1257" t="s">
        <v>24</v>
      </c>
      <c r="P1257" t="s">
        <v>43</v>
      </c>
      <c r="Q1257" t="s">
        <v>11</v>
      </c>
      <c r="R1257" t="s">
        <v>61</v>
      </c>
      <c r="S1257">
        <v>2024.2</v>
      </c>
      <c r="T1257">
        <v>7150.73</v>
      </c>
      <c r="U1257">
        <v>23604.266100000001</v>
      </c>
      <c r="V1257">
        <v>23604.266100000001</v>
      </c>
      <c r="AA1257" s="29" t="s">
        <v>43</v>
      </c>
      <c r="AB1257">
        <v>31200</v>
      </c>
      <c r="AC1257">
        <v>120</v>
      </c>
      <c r="AD1257">
        <v>3</v>
      </c>
      <c r="AE1257">
        <v>340</v>
      </c>
      <c r="AF1257">
        <v>340</v>
      </c>
      <c r="AG1257" s="29" t="s">
        <v>1878</v>
      </c>
      <c r="AH1257" s="29" t="s">
        <v>1913</v>
      </c>
      <c r="AI1257" s="29" t="s">
        <v>1914</v>
      </c>
      <c r="AJ1257" s="29"/>
      <c r="AL1257" s="29" t="s">
        <v>1879</v>
      </c>
    </row>
    <row r="1258" spans="15:38">
      <c r="O1258" t="s">
        <v>24</v>
      </c>
      <c r="P1258" t="s">
        <v>43</v>
      </c>
      <c r="Q1258" t="s">
        <v>11</v>
      </c>
      <c r="R1258" t="s">
        <v>61</v>
      </c>
      <c r="S1258">
        <v>2024.21</v>
      </c>
      <c r="T1258">
        <v>7150.73</v>
      </c>
      <c r="U1258">
        <v>23604.266100000001</v>
      </c>
      <c r="V1258">
        <v>23604.266100000001</v>
      </c>
      <c r="AA1258" s="29" t="s">
        <v>43</v>
      </c>
      <c r="AB1258">
        <v>31200</v>
      </c>
      <c r="AC1258">
        <v>120</v>
      </c>
      <c r="AD1258">
        <v>3</v>
      </c>
      <c r="AE1258">
        <v>740</v>
      </c>
      <c r="AF1258">
        <v>740</v>
      </c>
      <c r="AG1258" s="29" t="s">
        <v>1878</v>
      </c>
      <c r="AH1258" s="29" t="s">
        <v>1915</v>
      </c>
      <c r="AI1258" s="29" t="s">
        <v>1916</v>
      </c>
      <c r="AJ1258" s="29"/>
      <c r="AL1258" s="29" t="s">
        <v>1879</v>
      </c>
    </row>
    <row r="1259" spans="15:38">
      <c r="O1259" t="s">
        <v>24</v>
      </c>
      <c r="P1259" t="s">
        <v>43</v>
      </c>
      <c r="Q1259" t="s">
        <v>11</v>
      </c>
      <c r="R1259" t="s">
        <v>61</v>
      </c>
      <c r="S1259">
        <v>2024.28</v>
      </c>
      <c r="T1259">
        <v>7150.73</v>
      </c>
      <c r="U1259">
        <v>23604.266100000001</v>
      </c>
      <c r="V1259">
        <v>23604.266100000001</v>
      </c>
      <c r="AA1259" s="29" t="s">
        <v>43</v>
      </c>
      <c r="AB1259">
        <v>31200</v>
      </c>
      <c r="AC1259">
        <v>120</v>
      </c>
      <c r="AD1259">
        <v>3</v>
      </c>
      <c r="AE1259">
        <v>742</v>
      </c>
      <c r="AF1259">
        <v>742</v>
      </c>
      <c r="AG1259" s="29" t="s">
        <v>1878</v>
      </c>
      <c r="AH1259" s="29" t="s">
        <v>1917</v>
      </c>
      <c r="AI1259" s="29" t="s">
        <v>1918</v>
      </c>
      <c r="AJ1259" s="29"/>
      <c r="AL1259" s="29" t="s">
        <v>1879</v>
      </c>
    </row>
    <row r="1260" spans="15:38">
      <c r="O1260" t="s">
        <v>24</v>
      </c>
      <c r="P1260" t="s">
        <v>43</v>
      </c>
      <c r="Q1260" t="s">
        <v>11</v>
      </c>
      <c r="R1260" t="s">
        <v>61</v>
      </c>
      <c r="S1260">
        <v>2024.38</v>
      </c>
      <c r="T1260">
        <v>7150.73</v>
      </c>
      <c r="U1260">
        <v>23604.266100000001</v>
      </c>
      <c r="V1260">
        <v>23604.266100000001</v>
      </c>
      <c r="AA1260" s="29" t="s">
        <v>43</v>
      </c>
      <c r="AB1260">
        <v>31200</v>
      </c>
      <c r="AC1260">
        <v>120</v>
      </c>
      <c r="AD1260">
        <v>3</v>
      </c>
      <c r="AE1260">
        <v>342</v>
      </c>
      <c r="AF1260">
        <v>342</v>
      </c>
      <c r="AG1260" s="29" t="s">
        <v>1878</v>
      </c>
      <c r="AH1260" s="29" t="s">
        <v>1919</v>
      </c>
      <c r="AI1260" s="29" t="s">
        <v>1920</v>
      </c>
      <c r="AJ1260" s="29"/>
      <c r="AL1260" s="29" t="s">
        <v>1879</v>
      </c>
    </row>
    <row r="1261" spans="15:38">
      <c r="O1261" t="s">
        <v>24</v>
      </c>
      <c r="P1261" t="s">
        <v>43</v>
      </c>
      <c r="Q1261" t="s">
        <v>11</v>
      </c>
      <c r="R1261" t="s">
        <v>61</v>
      </c>
      <c r="S1261">
        <v>2024.39</v>
      </c>
      <c r="T1261">
        <v>7150.73</v>
      </c>
      <c r="U1261">
        <v>23604.266100000001</v>
      </c>
      <c r="V1261">
        <v>23604.266100000001</v>
      </c>
      <c r="AA1261" s="29" t="s">
        <v>43</v>
      </c>
      <c r="AB1261">
        <v>31200</v>
      </c>
      <c r="AC1261">
        <v>120</v>
      </c>
      <c r="AD1261">
        <v>3</v>
      </c>
      <c r="AE1261">
        <v>0</v>
      </c>
      <c r="AF1261">
        <v>0</v>
      </c>
      <c r="AG1261" s="29" t="s">
        <v>1878</v>
      </c>
      <c r="AH1261" s="29" t="s">
        <v>1896</v>
      </c>
      <c r="AI1261" s="29" t="s">
        <v>1921</v>
      </c>
      <c r="AJ1261" s="29"/>
      <c r="AL1261" s="29" t="s">
        <v>1879</v>
      </c>
    </row>
    <row r="1262" spans="15:38">
      <c r="O1262" t="s">
        <v>24</v>
      </c>
      <c r="P1262" t="s">
        <v>43</v>
      </c>
      <c r="Q1262" t="s">
        <v>11</v>
      </c>
      <c r="R1262" t="s">
        <v>61</v>
      </c>
      <c r="S1262">
        <v>2024.41</v>
      </c>
      <c r="T1262">
        <v>8835.25</v>
      </c>
      <c r="U1262">
        <v>23604.266100000001</v>
      </c>
      <c r="V1262">
        <v>23604.266100000001</v>
      </c>
      <c r="AA1262" s="29" t="s">
        <v>43</v>
      </c>
      <c r="AB1262">
        <v>31200</v>
      </c>
      <c r="AC1262">
        <v>120</v>
      </c>
      <c r="AD1262">
        <v>3</v>
      </c>
      <c r="AE1262">
        <v>924</v>
      </c>
      <c r="AF1262">
        <v>924</v>
      </c>
      <c r="AG1262" s="29" t="s">
        <v>1878</v>
      </c>
      <c r="AH1262" s="29" t="s">
        <v>1922</v>
      </c>
      <c r="AI1262" s="29" t="s">
        <v>1923</v>
      </c>
      <c r="AJ1262" s="29"/>
      <c r="AL1262" s="29" t="s">
        <v>1879</v>
      </c>
    </row>
    <row r="1263" spans="15:38">
      <c r="O1263" t="s">
        <v>24</v>
      </c>
      <c r="P1263" t="s">
        <v>43</v>
      </c>
      <c r="Q1263" t="s">
        <v>11</v>
      </c>
      <c r="R1263" t="s">
        <v>61</v>
      </c>
      <c r="S1263">
        <v>2024.43</v>
      </c>
      <c r="T1263">
        <v>8835.25</v>
      </c>
      <c r="U1263">
        <v>23604.266100000001</v>
      </c>
      <c r="V1263">
        <v>23604.266100000001</v>
      </c>
      <c r="AA1263" s="29" t="s">
        <v>43</v>
      </c>
      <c r="AB1263">
        <v>31200</v>
      </c>
      <c r="AC1263">
        <v>120</v>
      </c>
      <c r="AD1263">
        <v>3</v>
      </c>
      <c r="AE1263">
        <v>3.7</v>
      </c>
      <c r="AF1263">
        <v>3.7</v>
      </c>
      <c r="AG1263" s="29" t="s">
        <v>1878</v>
      </c>
      <c r="AH1263" s="29" t="s">
        <v>1924</v>
      </c>
      <c r="AI1263" s="29" t="s">
        <v>1925</v>
      </c>
      <c r="AJ1263" s="29"/>
      <c r="AL1263" s="29" t="s">
        <v>1879</v>
      </c>
    </row>
    <row r="1264" spans="15:38">
      <c r="O1264" t="s">
        <v>24</v>
      </c>
      <c r="P1264" t="s">
        <v>43</v>
      </c>
      <c r="Q1264" t="s">
        <v>11</v>
      </c>
      <c r="R1264" t="s">
        <v>61</v>
      </c>
      <c r="S1264">
        <v>2024.44</v>
      </c>
      <c r="T1264">
        <v>8835.25</v>
      </c>
      <c r="U1264">
        <v>26455.826000000001</v>
      </c>
      <c r="V1264">
        <v>26455.826000000001</v>
      </c>
      <c r="AA1264" s="29" t="s">
        <v>43</v>
      </c>
      <c r="AB1264">
        <v>31200</v>
      </c>
      <c r="AC1264">
        <v>120</v>
      </c>
      <c r="AD1264">
        <v>3</v>
      </c>
      <c r="AE1264">
        <v>5901.33</v>
      </c>
      <c r="AF1264">
        <v>5901.33</v>
      </c>
      <c r="AG1264" s="29" t="s">
        <v>1878</v>
      </c>
      <c r="AH1264" s="29" t="s">
        <v>1926</v>
      </c>
      <c r="AI1264" s="29" t="s">
        <v>1927</v>
      </c>
      <c r="AJ1264" s="29"/>
      <c r="AL1264" s="29" t="s">
        <v>1879</v>
      </c>
    </row>
    <row r="1265" spans="15:38">
      <c r="O1265" t="s">
        <v>24</v>
      </c>
      <c r="P1265" t="s">
        <v>43</v>
      </c>
      <c r="Q1265" t="s">
        <v>11</v>
      </c>
      <c r="R1265" t="s">
        <v>61</v>
      </c>
      <c r="S1265">
        <v>2024.45</v>
      </c>
      <c r="T1265">
        <v>10611.33</v>
      </c>
      <c r="U1265">
        <v>26455.826000000001</v>
      </c>
      <c r="V1265">
        <v>26455.826000000001</v>
      </c>
      <c r="AA1265" s="29" t="s">
        <v>43</v>
      </c>
      <c r="AB1265">
        <v>31200</v>
      </c>
      <c r="AC1265">
        <v>120</v>
      </c>
      <c r="AD1265">
        <v>3</v>
      </c>
      <c r="AE1265">
        <v>364</v>
      </c>
      <c r="AF1265">
        <v>364</v>
      </c>
      <c r="AG1265" s="29" t="s">
        <v>1878</v>
      </c>
      <c r="AH1265" s="29" t="s">
        <v>1928</v>
      </c>
      <c r="AI1265" s="29" t="s">
        <v>1929</v>
      </c>
      <c r="AJ1265" s="29"/>
      <c r="AL1265" s="29" t="s">
        <v>1879</v>
      </c>
    </row>
    <row r="1266" spans="15:38">
      <c r="O1266" t="s">
        <v>24</v>
      </c>
      <c r="P1266" t="s">
        <v>43</v>
      </c>
      <c r="Q1266" t="s">
        <v>11</v>
      </c>
      <c r="R1266" t="s">
        <v>61</v>
      </c>
      <c r="S1266">
        <v>2024.47</v>
      </c>
      <c r="T1266">
        <v>10611.33</v>
      </c>
      <c r="U1266">
        <v>26455.826000000001</v>
      </c>
      <c r="V1266">
        <v>26455.826000000001</v>
      </c>
      <c r="AA1266" s="29" t="s">
        <v>43</v>
      </c>
      <c r="AB1266">
        <v>31200</v>
      </c>
      <c r="AC1266">
        <v>120</v>
      </c>
      <c r="AD1266">
        <v>3</v>
      </c>
      <c r="AE1266">
        <v>324</v>
      </c>
      <c r="AF1266">
        <v>324</v>
      </c>
      <c r="AG1266" s="29" t="s">
        <v>1878</v>
      </c>
      <c r="AH1266" s="29" t="s">
        <v>1930</v>
      </c>
      <c r="AI1266" s="29" t="s">
        <v>1931</v>
      </c>
      <c r="AJ1266" s="29"/>
      <c r="AL1266" s="29" t="s">
        <v>1879</v>
      </c>
    </row>
    <row r="1267" spans="15:38">
      <c r="O1267" t="s">
        <v>24</v>
      </c>
      <c r="P1267" t="s">
        <v>43</v>
      </c>
      <c r="Q1267" t="s">
        <v>11</v>
      </c>
      <c r="R1267" t="s">
        <v>61</v>
      </c>
      <c r="S1267">
        <v>2024.48</v>
      </c>
      <c r="T1267">
        <v>10611.33</v>
      </c>
      <c r="U1267">
        <v>26455.826000000001</v>
      </c>
      <c r="V1267">
        <v>21455.826000000001</v>
      </c>
      <c r="AA1267" s="29" t="s">
        <v>43</v>
      </c>
      <c r="AB1267">
        <v>31200</v>
      </c>
      <c r="AC1267">
        <v>120</v>
      </c>
      <c r="AD1267">
        <v>3</v>
      </c>
      <c r="AE1267">
        <v>2120</v>
      </c>
      <c r="AF1267">
        <v>2120</v>
      </c>
      <c r="AG1267" s="29" t="s">
        <v>1878</v>
      </c>
      <c r="AH1267" s="29" t="s">
        <v>1932</v>
      </c>
      <c r="AI1267" s="29" t="s">
        <v>1933</v>
      </c>
      <c r="AJ1267" s="29"/>
      <c r="AL1267" s="29" t="s">
        <v>1879</v>
      </c>
    </row>
    <row r="1268" spans="15:38">
      <c r="O1268" t="s">
        <v>24</v>
      </c>
      <c r="P1268" t="s">
        <v>43</v>
      </c>
      <c r="Q1268" t="s">
        <v>11</v>
      </c>
      <c r="R1268" t="s">
        <v>61</v>
      </c>
      <c r="S1268">
        <v>2024.49</v>
      </c>
      <c r="T1268">
        <v>10611.33</v>
      </c>
      <c r="U1268">
        <v>26455.826000000001</v>
      </c>
      <c r="V1268">
        <v>21455.826000000001</v>
      </c>
      <c r="AA1268" s="29" t="s">
        <v>43</v>
      </c>
      <c r="AB1268">
        <v>31200</v>
      </c>
      <c r="AC1268">
        <v>120</v>
      </c>
      <c r="AD1268">
        <v>3</v>
      </c>
      <c r="AE1268">
        <v>380</v>
      </c>
      <c r="AF1268">
        <v>380</v>
      </c>
      <c r="AG1268" s="29" t="s">
        <v>1878</v>
      </c>
      <c r="AH1268" s="29" t="s">
        <v>1934</v>
      </c>
      <c r="AI1268" s="29" t="s">
        <v>1935</v>
      </c>
      <c r="AJ1268" s="29"/>
      <c r="AL1268" s="29" t="s">
        <v>1879</v>
      </c>
    </row>
    <row r="1269" spans="15:38">
      <c r="O1269" t="s">
        <v>24</v>
      </c>
      <c r="P1269" t="s">
        <v>43</v>
      </c>
      <c r="Q1269" t="s">
        <v>11</v>
      </c>
      <c r="R1269" t="s">
        <v>61</v>
      </c>
      <c r="S1269">
        <v>2025.03</v>
      </c>
      <c r="T1269">
        <v>10611.33</v>
      </c>
      <c r="U1269">
        <v>26455.826000000001</v>
      </c>
      <c r="V1269">
        <v>21455.826000000001</v>
      </c>
      <c r="AA1269" s="29" t="s">
        <v>43</v>
      </c>
      <c r="AB1269">
        <v>31200</v>
      </c>
      <c r="AC1269">
        <v>120</v>
      </c>
      <c r="AD1269">
        <v>3</v>
      </c>
      <c r="AE1269">
        <v>235</v>
      </c>
      <c r="AF1269">
        <v>235</v>
      </c>
      <c r="AG1269" s="29" t="s">
        <v>1878</v>
      </c>
      <c r="AH1269" s="29" t="s">
        <v>1936</v>
      </c>
      <c r="AI1269" s="29" t="s">
        <v>1937</v>
      </c>
      <c r="AJ1269" s="29"/>
      <c r="AL1269" s="29" t="s">
        <v>1879</v>
      </c>
    </row>
    <row r="1270" spans="15:38">
      <c r="O1270" t="s">
        <v>24</v>
      </c>
      <c r="P1270" t="s">
        <v>43</v>
      </c>
      <c r="Q1270" t="s">
        <v>11</v>
      </c>
      <c r="R1270" t="s">
        <v>61</v>
      </c>
      <c r="S1270">
        <v>2025.08</v>
      </c>
      <c r="T1270">
        <v>10611.33</v>
      </c>
      <c r="U1270">
        <v>26455.826000000001</v>
      </c>
      <c r="V1270">
        <v>21455.826000000001</v>
      </c>
      <c r="AA1270" s="29" t="s">
        <v>43</v>
      </c>
      <c r="AB1270">
        <v>31200</v>
      </c>
      <c r="AC1270">
        <v>120</v>
      </c>
      <c r="AD1270">
        <v>3</v>
      </c>
      <c r="AE1270">
        <v>96</v>
      </c>
      <c r="AF1270">
        <v>96</v>
      </c>
      <c r="AG1270" s="29" t="s">
        <v>1878</v>
      </c>
      <c r="AH1270" s="29" t="s">
        <v>1938</v>
      </c>
      <c r="AI1270" s="29" t="s">
        <v>1939</v>
      </c>
      <c r="AJ1270" s="29"/>
      <c r="AL1270" s="29" t="s">
        <v>1879</v>
      </c>
    </row>
    <row r="1271" spans="15:38">
      <c r="O1271" t="s">
        <v>24</v>
      </c>
      <c r="P1271" t="s">
        <v>43</v>
      </c>
      <c r="Q1271" t="s">
        <v>11</v>
      </c>
      <c r="R1271" t="s">
        <v>61</v>
      </c>
      <c r="S1271">
        <v>2025.1</v>
      </c>
      <c r="T1271">
        <v>11020.56</v>
      </c>
      <c r="U1271">
        <v>26455.826000000001</v>
      </c>
      <c r="V1271">
        <v>21455.826000000001</v>
      </c>
      <c r="AA1271" s="29" t="s">
        <v>43</v>
      </c>
      <c r="AB1271">
        <v>31200</v>
      </c>
      <c r="AC1271">
        <v>120</v>
      </c>
      <c r="AD1271">
        <v>3</v>
      </c>
      <c r="AE1271">
        <v>2930</v>
      </c>
      <c r="AF1271">
        <v>2930</v>
      </c>
      <c r="AG1271" s="29" t="s">
        <v>1878</v>
      </c>
      <c r="AH1271" s="29" t="s">
        <v>1940</v>
      </c>
      <c r="AI1271" s="29" t="s">
        <v>1941</v>
      </c>
      <c r="AJ1271" s="29"/>
      <c r="AL1271" s="29" t="s">
        <v>1879</v>
      </c>
    </row>
    <row r="1272" spans="15:38">
      <c r="O1272" t="s">
        <v>24</v>
      </c>
      <c r="P1272" t="s">
        <v>43</v>
      </c>
      <c r="Q1272" t="s">
        <v>11</v>
      </c>
      <c r="R1272" t="s">
        <v>61</v>
      </c>
      <c r="S1272">
        <v>2025.11</v>
      </c>
      <c r="T1272">
        <v>11020.56</v>
      </c>
      <c r="U1272">
        <v>26455.826000000001</v>
      </c>
      <c r="V1272">
        <v>21455.826000000001</v>
      </c>
      <c r="AA1272" s="29" t="s">
        <v>43</v>
      </c>
      <c r="AB1272">
        <v>31200</v>
      </c>
      <c r="AC1272">
        <v>120</v>
      </c>
      <c r="AD1272">
        <v>3</v>
      </c>
      <c r="AE1272">
        <v>553</v>
      </c>
      <c r="AF1272">
        <v>553</v>
      </c>
      <c r="AG1272" s="29" t="s">
        <v>1878</v>
      </c>
      <c r="AH1272" s="29" t="s">
        <v>1942</v>
      </c>
      <c r="AI1272" s="29" t="s">
        <v>1943</v>
      </c>
      <c r="AJ1272" s="29"/>
      <c r="AL1272" s="29" t="s">
        <v>1879</v>
      </c>
    </row>
    <row r="1273" spans="15:38">
      <c r="O1273" t="s">
        <v>24</v>
      </c>
      <c r="P1273" t="s">
        <v>43</v>
      </c>
      <c r="Q1273" t="s">
        <v>11</v>
      </c>
      <c r="R1273" t="s">
        <v>61</v>
      </c>
      <c r="S1273">
        <v>2025.12</v>
      </c>
      <c r="T1273">
        <v>11020.56</v>
      </c>
      <c r="U1273">
        <v>26455.826000000001</v>
      </c>
      <c r="V1273">
        <v>21455.826000000001</v>
      </c>
      <c r="AA1273" s="29" t="s">
        <v>43</v>
      </c>
      <c r="AB1273">
        <v>31200</v>
      </c>
      <c r="AC1273">
        <v>120</v>
      </c>
      <c r="AD1273">
        <v>3</v>
      </c>
      <c r="AE1273">
        <v>1220</v>
      </c>
      <c r="AF1273">
        <v>1220</v>
      </c>
      <c r="AG1273" s="29" t="s">
        <v>1878</v>
      </c>
      <c r="AH1273" s="29" t="s">
        <v>1944</v>
      </c>
      <c r="AI1273" s="29" t="s">
        <v>1945</v>
      </c>
      <c r="AJ1273" s="29"/>
      <c r="AL1273" s="29" t="s">
        <v>1879</v>
      </c>
    </row>
    <row r="1274" spans="15:38">
      <c r="O1274" t="s">
        <v>24</v>
      </c>
      <c r="P1274" t="s">
        <v>43</v>
      </c>
      <c r="Q1274" t="s">
        <v>11</v>
      </c>
      <c r="R1274" t="s">
        <v>65</v>
      </c>
      <c r="S1274">
        <v>2024.11</v>
      </c>
      <c r="T1274">
        <v>26.23</v>
      </c>
      <c r="U1274">
        <v>0</v>
      </c>
      <c r="V1274">
        <v>0</v>
      </c>
      <c r="AA1274" s="29" t="s">
        <v>43</v>
      </c>
      <c r="AB1274">
        <v>31200</v>
      </c>
      <c r="AC1274">
        <v>120</v>
      </c>
      <c r="AD1274">
        <v>3</v>
      </c>
      <c r="AE1274">
        <v>1334</v>
      </c>
      <c r="AF1274">
        <v>1334</v>
      </c>
      <c r="AG1274" s="29" t="s">
        <v>1878</v>
      </c>
      <c r="AH1274" s="29" t="s">
        <v>1946</v>
      </c>
      <c r="AI1274" s="29" t="s">
        <v>1947</v>
      </c>
      <c r="AJ1274" s="29"/>
      <c r="AL1274" s="29" t="s">
        <v>1879</v>
      </c>
    </row>
    <row r="1275" spans="15:38">
      <c r="O1275" t="s">
        <v>24</v>
      </c>
      <c r="P1275" t="s">
        <v>43</v>
      </c>
      <c r="Q1275" t="s">
        <v>11</v>
      </c>
      <c r="R1275" t="s">
        <v>65</v>
      </c>
      <c r="S1275">
        <v>2024.12</v>
      </c>
      <c r="T1275">
        <v>26.23</v>
      </c>
      <c r="U1275">
        <v>0</v>
      </c>
      <c r="V1275">
        <v>0</v>
      </c>
      <c r="AA1275" s="29" t="s">
        <v>43</v>
      </c>
      <c r="AB1275">
        <v>31200</v>
      </c>
      <c r="AC1275">
        <v>120</v>
      </c>
      <c r="AD1275">
        <v>3</v>
      </c>
      <c r="AE1275">
        <v>764</v>
      </c>
      <c r="AF1275">
        <v>764</v>
      </c>
      <c r="AG1275" s="29" t="s">
        <v>1878</v>
      </c>
      <c r="AH1275" s="29" t="s">
        <v>1948</v>
      </c>
      <c r="AI1275" s="29" t="s">
        <v>1949</v>
      </c>
      <c r="AJ1275" s="29"/>
      <c r="AL1275" s="29" t="s">
        <v>1879</v>
      </c>
    </row>
    <row r="1276" spans="15:38">
      <c r="O1276" t="s">
        <v>24</v>
      </c>
      <c r="P1276" t="s">
        <v>43</v>
      </c>
      <c r="Q1276" t="s">
        <v>11</v>
      </c>
      <c r="R1276" t="s">
        <v>65</v>
      </c>
      <c r="S1276">
        <v>2024.14</v>
      </c>
      <c r="T1276">
        <v>26.23</v>
      </c>
      <c r="U1276">
        <v>0</v>
      </c>
      <c r="V1276">
        <v>0</v>
      </c>
      <c r="AA1276" s="29" t="s">
        <v>43</v>
      </c>
      <c r="AB1276">
        <v>31200</v>
      </c>
      <c r="AC1276">
        <v>120</v>
      </c>
      <c r="AD1276">
        <v>3</v>
      </c>
      <c r="AE1276">
        <v>2529.14</v>
      </c>
      <c r="AF1276">
        <v>2529.14</v>
      </c>
      <c r="AG1276" s="29" t="s">
        <v>1878</v>
      </c>
      <c r="AH1276" s="29" t="s">
        <v>1950</v>
      </c>
      <c r="AI1276" s="29" t="s">
        <v>1951</v>
      </c>
      <c r="AJ1276" s="29"/>
      <c r="AL1276" s="29" t="s">
        <v>1879</v>
      </c>
    </row>
    <row r="1277" spans="15:38">
      <c r="O1277" t="s">
        <v>24</v>
      </c>
      <c r="P1277" t="s">
        <v>43</v>
      </c>
      <c r="Q1277" t="s">
        <v>11</v>
      </c>
      <c r="R1277" t="s">
        <v>65</v>
      </c>
      <c r="S1277">
        <v>2024.17</v>
      </c>
      <c r="T1277">
        <v>26.23</v>
      </c>
      <c r="U1277">
        <v>0</v>
      </c>
      <c r="V1277">
        <v>0</v>
      </c>
      <c r="AA1277" s="29" t="s">
        <v>43</v>
      </c>
      <c r="AB1277">
        <v>31200</v>
      </c>
      <c r="AC1277">
        <v>120</v>
      </c>
      <c r="AD1277">
        <v>3</v>
      </c>
      <c r="AE1277">
        <v>26.75</v>
      </c>
      <c r="AF1277">
        <v>26.75</v>
      </c>
      <c r="AG1277" s="29" t="s">
        <v>1878</v>
      </c>
      <c r="AH1277" s="29" t="s">
        <v>1952</v>
      </c>
      <c r="AI1277" s="29" t="s">
        <v>1953</v>
      </c>
      <c r="AJ1277" s="29"/>
      <c r="AL1277" s="29" t="s">
        <v>1879</v>
      </c>
    </row>
    <row r="1278" spans="15:38">
      <c r="O1278" t="s">
        <v>24</v>
      </c>
      <c r="P1278" t="s">
        <v>43</v>
      </c>
      <c r="Q1278" t="s">
        <v>11</v>
      </c>
      <c r="R1278" t="s">
        <v>65</v>
      </c>
      <c r="S1278">
        <v>2024.18</v>
      </c>
      <c r="T1278">
        <v>26.23</v>
      </c>
      <c r="U1278">
        <v>0</v>
      </c>
      <c r="V1278">
        <v>0</v>
      </c>
      <c r="AA1278" s="29" t="s">
        <v>43</v>
      </c>
      <c r="AB1278">
        <v>31200</v>
      </c>
      <c r="AC1278">
        <v>120</v>
      </c>
      <c r="AD1278">
        <v>3</v>
      </c>
      <c r="AE1278">
        <v>350</v>
      </c>
      <c r="AF1278">
        <v>350</v>
      </c>
      <c r="AG1278" s="29" t="s">
        <v>1878</v>
      </c>
      <c r="AH1278" s="29" t="s">
        <v>1954</v>
      </c>
      <c r="AI1278" s="29" t="s">
        <v>1955</v>
      </c>
      <c r="AJ1278" s="29"/>
      <c r="AL1278" s="29" t="s">
        <v>1879</v>
      </c>
    </row>
    <row r="1279" spans="15:38">
      <c r="O1279" t="s">
        <v>24</v>
      </c>
      <c r="P1279" t="s">
        <v>43</v>
      </c>
      <c r="Q1279" t="s">
        <v>11</v>
      </c>
      <c r="R1279" t="s">
        <v>65</v>
      </c>
      <c r="S1279">
        <v>2024.19</v>
      </c>
      <c r="T1279">
        <v>26.23</v>
      </c>
      <c r="U1279">
        <v>0</v>
      </c>
      <c r="V1279">
        <v>0</v>
      </c>
      <c r="AA1279" s="29" t="s">
        <v>43</v>
      </c>
      <c r="AB1279">
        <v>31200</v>
      </c>
      <c r="AC1279">
        <v>120</v>
      </c>
      <c r="AD1279">
        <v>3</v>
      </c>
      <c r="AE1279">
        <v>246</v>
      </c>
      <c r="AF1279">
        <v>246</v>
      </c>
      <c r="AG1279" s="29" t="s">
        <v>1878</v>
      </c>
      <c r="AH1279" s="29" t="s">
        <v>1956</v>
      </c>
      <c r="AI1279" s="29" t="s">
        <v>1957</v>
      </c>
      <c r="AJ1279" s="29"/>
      <c r="AL1279" s="29" t="s">
        <v>1879</v>
      </c>
    </row>
    <row r="1280" spans="15:38">
      <c r="O1280" t="s">
        <v>24</v>
      </c>
      <c r="P1280" t="s">
        <v>43</v>
      </c>
      <c r="Q1280" t="s">
        <v>11</v>
      </c>
      <c r="R1280" t="s">
        <v>65</v>
      </c>
      <c r="S1280">
        <v>2024.2</v>
      </c>
      <c r="T1280">
        <v>26.23</v>
      </c>
      <c r="U1280">
        <v>0</v>
      </c>
      <c r="V1280">
        <v>0</v>
      </c>
      <c r="AA1280" s="29" t="s">
        <v>43</v>
      </c>
      <c r="AB1280">
        <v>31200</v>
      </c>
      <c r="AC1280">
        <v>120</v>
      </c>
      <c r="AD1280">
        <v>3</v>
      </c>
      <c r="AE1280">
        <v>95</v>
      </c>
      <c r="AF1280">
        <v>95</v>
      </c>
      <c r="AG1280" s="29" t="s">
        <v>1878</v>
      </c>
      <c r="AH1280" s="29" t="s">
        <v>1958</v>
      </c>
      <c r="AI1280" s="29" t="s">
        <v>1959</v>
      </c>
      <c r="AJ1280" s="29"/>
      <c r="AL1280" s="29" t="s">
        <v>1879</v>
      </c>
    </row>
    <row r="1281" spans="15:38">
      <c r="O1281" t="s">
        <v>24</v>
      </c>
      <c r="P1281" t="s">
        <v>43</v>
      </c>
      <c r="Q1281" t="s">
        <v>11</v>
      </c>
      <c r="R1281" t="s">
        <v>65</v>
      </c>
      <c r="S1281">
        <v>2024.21</v>
      </c>
      <c r="T1281">
        <v>26.23</v>
      </c>
      <c r="U1281">
        <v>0</v>
      </c>
      <c r="V1281">
        <v>0</v>
      </c>
      <c r="AA1281" s="29" t="s">
        <v>43</v>
      </c>
      <c r="AB1281">
        <v>31200</v>
      </c>
      <c r="AC1281">
        <v>120</v>
      </c>
      <c r="AD1281">
        <v>3</v>
      </c>
      <c r="AE1281">
        <v>4060</v>
      </c>
      <c r="AF1281">
        <v>4060</v>
      </c>
      <c r="AG1281" s="29" t="s">
        <v>1878</v>
      </c>
      <c r="AH1281" s="29" t="s">
        <v>1960</v>
      </c>
      <c r="AI1281" s="29" t="s">
        <v>1961</v>
      </c>
      <c r="AJ1281" s="29"/>
      <c r="AL1281" s="29" t="s">
        <v>1879</v>
      </c>
    </row>
    <row r="1282" spans="15:38">
      <c r="O1282" t="s">
        <v>24</v>
      </c>
      <c r="P1282" t="s">
        <v>43</v>
      </c>
      <c r="Q1282" t="s">
        <v>11</v>
      </c>
      <c r="R1282" t="s">
        <v>65</v>
      </c>
      <c r="S1282">
        <v>2024.28</v>
      </c>
      <c r="T1282">
        <v>26.23</v>
      </c>
      <c r="U1282">
        <v>0</v>
      </c>
      <c r="V1282">
        <v>0</v>
      </c>
      <c r="AA1282" s="29" t="s">
        <v>43</v>
      </c>
      <c r="AB1282">
        <v>31200</v>
      </c>
      <c r="AC1282">
        <v>120</v>
      </c>
      <c r="AD1282">
        <v>3</v>
      </c>
      <c r="AE1282">
        <v>478</v>
      </c>
      <c r="AF1282">
        <v>478</v>
      </c>
      <c r="AG1282" s="29" t="s">
        <v>1878</v>
      </c>
      <c r="AH1282" s="29" t="s">
        <v>1962</v>
      </c>
      <c r="AI1282" s="29" t="s">
        <v>1963</v>
      </c>
      <c r="AJ1282" s="29"/>
      <c r="AL1282" s="29" t="s">
        <v>1879</v>
      </c>
    </row>
    <row r="1283" spans="15:38">
      <c r="O1283" t="s">
        <v>24</v>
      </c>
      <c r="P1283" t="s">
        <v>43</v>
      </c>
      <c r="Q1283" t="s">
        <v>11</v>
      </c>
      <c r="R1283" t="s">
        <v>65</v>
      </c>
      <c r="S1283">
        <v>2024.38</v>
      </c>
      <c r="T1283">
        <v>26.23</v>
      </c>
      <c r="U1283">
        <v>0</v>
      </c>
      <c r="V1283">
        <v>0</v>
      </c>
      <c r="AA1283" s="29" t="s">
        <v>43</v>
      </c>
      <c r="AB1283">
        <v>31200</v>
      </c>
      <c r="AC1283">
        <v>120</v>
      </c>
      <c r="AD1283">
        <v>3</v>
      </c>
      <c r="AE1283">
        <v>448</v>
      </c>
      <c r="AF1283">
        <v>448</v>
      </c>
      <c r="AG1283" s="29" t="s">
        <v>1878</v>
      </c>
      <c r="AH1283" s="29" t="s">
        <v>1964</v>
      </c>
      <c r="AI1283" s="29" t="s">
        <v>1965</v>
      </c>
      <c r="AJ1283" s="29"/>
      <c r="AL1283" s="29" t="s">
        <v>1879</v>
      </c>
    </row>
    <row r="1284" spans="15:38">
      <c r="O1284" t="s">
        <v>24</v>
      </c>
      <c r="P1284" t="s">
        <v>43</v>
      </c>
      <c r="Q1284" t="s">
        <v>11</v>
      </c>
      <c r="R1284" t="s">
        <v>65</v>
      </c>
      <c r="S1284">
        <v>2024.39</v>
      </c>
      <c r="T1284">
        <v>26.23</v>
      </c>
      <c r="U1284">
        <v>0</v>
      </c>
      <c r="V1284">
        <v>0</v>
      </c>
      <c r="AA1284" s="29" t="s">
        <v>43</v>
      </c>
      <c r="AB1284">
        <v>31200</v>
      </c>
      <c r="AC1284">
        <v>120</v>
      </c>
      <c r="AD1284">
        <v>3</v>
      </c>
      <c r="AE1284">
        <v>672</v>
      </c>
      <c r="AF1284">
        <v>672</v>
      </c>
      <c r="AG1284" s="29" t="s">
        <v>1878</v>
      </c>
      <c r="AH1284" s="29" t="s">
        <v>1966</v>
      </c>
      <c r="AI1284" s="29" t="s">
        <v>1967</v>
      </c>
      <c r="AJ1284" s="29"/>
      <c r="AL1284" s="29" t="s">
        <v>1879</v>
      </c>
    </row>
    <row r="1285" spans="15:38">
      <c r="O1285" t="s">
        <v>24</v>
      </c>
      <c r="P1285" t="s">
        <v>43</v>
      </c>
      <c r="Q1285" t="s">
        <v>11</v>
      </c>
      <c r="R1285" t="s">
        <v>65</v>
      </c>
      <c r="S1285">
        <v>2024.41</v>
      </c>
      <c r="T1285">
        <v>26.23</v>
      </c>
      <c r="U1285">
        <v>0</v>
      </c>
      <c r="V1285">
        <v>0</v>
      </c>
      <c r="AA1285" s="29" t="s">
        <v>43</v>
      </c>
      <c r="AB1285">
        <v>31200</v>
      </c>
      <c r="AC1285">
        <v>120</v>
      </c>
      <c r="AD1285">
        <v>3</v>
      </c>
      <c r="AE1285">
        <v>652</v>
      </c>
      <c r="AF1285">
        <v>652</v>
      </c>
      <c r="AG1285" s="29" t="s">
        <v>1878</v>
      </c>
      <c r="AH1285" s="29" t="s">
        <v>1968</v>
      </c>
      <c r="AI1285" s="29" t="s">
        <v>1969</v>
      </c>
      <c r="AJ1285" s="29"/>
      <c r="AL1285" s="29" t="s">
        <v>1879</v>
      </c>
    </row>
    <row r="1286" spans="15:38">
      <c r="O1286" t="s">
        <v>24</v>
      </c>
      <c r="P1286" t="s">
        <v>43</v>
      </c>
      <c r="Q1286" t="s">
        <v>11</v>
      </c>
      <c r="R1286" t="s">
        <v>65</v>
      </c>
      <c r="S1286">
        <v>2024.43</v>
      </c>
      <c r="T1286">
        <v>26.23</v>
      </c>
      <c r="U1286">
        <v>0</v>
      </c>
      <c r="V1286">
        <v>0</v>
      </c>
      <c r="AA1286" s="29" t="s">
        <v>43</v>
      </c>
      <c r="AB1286">
        <v>31200</v>
      </c>
      <c r="AC1286">
        <v>120</v>
      </c>
      <c r="AD1286">
        <v>3</v>
      </c>
      <c r="AE1286">
        <v>192</v>
      </c>
      <c r="AF1286">
        <v>192</v>
      </c>
      <c r="AG1286" s="29" t="s">
        <v>1878</v>
      </c>
      <c r="AH1286" s="29" t="s">
        <v>1970</v>
      </c>
      <c r="AI1286" s="29" t="s">
        <v>1971</v>
      </c>
      <c r="AJ1286" s="29"/>
      <c r="AL1286" s="29" t="s">
        <v>1879</v>
      </c>
    </row>
    <row r="1287" spans="15:38">
      <c r="O1287" t="s">
        <v>24</v>
      </c>
      <c r="P1287" t="s">
        <v>43</v>
      </c>
      <c r="Q1287" t="s">
        <v>11</v>
      </c>
      <c r="R1287" t="s">
        <v>65</v>
      </c>
      <c r="S1287">
        <v>2024.44</v>
      </c>
      <c r="T1287">
        <v>26.23</v>
      </c>
      <c r="U1287">
        <v>0</v>
      </c>
      <c r="V1287">
        <v>0</v>
      </c>
      <c r="AA1287" s="29" t="s">
        <v>43</v>
      </c>
      <c r="AB1287">
        <v>31200</v>
      </c>
      <c r="AC1287">
        <v>120</v>
      </c>
      <c r="AD1287">
        <v>3</v>
      </c>
      <c r="AE1287">
        <v>700</v>
      </c>
      <c r="AF1287">
        <v>700</v>
      </c>
      <c r="AG1287" s="29" t="s">
        <v>1878</v>
      </c>
      <c r="AH1287" s="29" t="s">
        <v>1972</v>
      </c>
      <c r="AI1287" s="29" t="s">
        <v>1973</v>
      </c>
      <c r="AJ1287" s="29"/>
      <c r="AL1287" s="29" t="s">
        <v>1879</v>
      </c>
    </row>
    <row r="1288" spans="15:38">
      <c r="O1288" t="s">
        <v>24</v>
      </c>
      <c r="P1288" t="s">
        <v>43</v>
      </c>
      <c r="Q1288" t="s">
        <v>11</v>
      </c>
      <c r="R1288" t="s">
        <v>65</v>
      </c>
      <c r="S1288">
        <v>2024.45</v>
      </c>
      <c r="T1288">
        <v>26.23</v>
      </c>
      <c r="U1288">
        <v>0</v>
      </c>
      <c r="V1288">
        <v>0</v>
      </c>
      <c r="AA1288" s="29" t="s">
        <v>43</v>
      </c>
      <c r="AB1288">
        <v>31200</v>
      </c>
      <c r="AC1288">
        <v>120</v>
      </c>
      <c r="AD1288">
        <v>3</v>
      </c>
      <c r="AE1288">
        <v>1476</v>
      </c>
      <c r="AF1288">
        <v>1476</v>
      </c>
      <c r="AG1288" s="29" t="s">
        <v>1878</v>
      </c>
      <c r="AH1288" s="29" t="s">
        <v>1974</v>
      </c>
      <c r="AI1288" s="29" t="s">
        <v>1975</v>
      </c>
      <c r="AJ1288" s="29"/>
      <c r="AL1288" s="29" t="s">
        <v>1879</v>
      </c>
    </row>
    <row r="1289" spans="15:38">
      <c r="O1289" t="s">
        <v>24</v>
      </c>
      <c r="P1289" t="s">
        <v>43</v>
      </c>
      <c r="Q1289" t="s">
        <v>11</v>
      </c>
      <c r="R1289" t="s">
        <v>65</v>
      </c>
      <c r="S1289">
        <v>2024.47</v>
      </c>
      <c r="T1289">
        <v>26.23</v>
      </c>
      <c r="U1289">
        <v>0</v>
      </c>
      <c r="V1289">
        <v>0</v>
      </c>
      <c r="AA1289" s="29" t="s">
        <v>43</v>
      </c>
      <c r="AB1289">
        <v>31200</v>
      </c>
      <c r="AC1289">
        <v>120</v>
      </c>
      <c r="AD1289">
        <v>3</v>
      </c>
      <c r="AE1289">
        <v>153</v>
      </c>
      <c r="AF1289">
        <v>153</v>
      </c>
      <c r="AG1289" s="29" t="s">
        <v>1878</v>
      </c>
      <c r="AH1289" s="29" t="s">
        <v>1976</v>
      </c>
      <c r="AI1289" s="29" t="s">
        <v>1977</v>
      </c>
      <c r="AJ1289" s="29"/>
      <c r="AL1289" s="29" t="s">
        <v>1879</v>
      </c>
    </row>
    <row r="1290" spans="15:38">
      <c r="O1290" t="s">
        <v>24</v>
      </c>
      <c r="P1290" t="s">
        <v>43</v>
      </c>
      <c r="Q1290" t="s">
        <v>11</v>
      </c>
      <c r="R1290" t="s">
        <v>65</v>
      </c>
      <c r="S1290">
        <v>2024.48</v>
      </c>
      <c r="T1290">
        <v>26.23</v>
      </c>
      <c r="U1290">
        <v>0</v>
      </c>
      <c r="V1290">
        <v>26.23</v>
      </c>
      <c r="AA1290" s="29" t="s">
        <v>43</v>
      </c>
      <c r="AB1290">
        <v>31200</v>
      </c>
      <c r="AC1290">
        <v>120</v>
      </c>
      <c r="AD1290">
        <v>3</v>
      </c>
      <c r="AE1290">
        <v>307.5</v>
      </c>
      <c r="AF1290">
        <v>307.5</v>
      </c>
      <c r="AG1290" s="29" t="s">
        <v>1878</v>
      </c>
      <c r="AH1290" s="29" t="s">
        <v>1978</v>
      </c>
      <c r="AI1290" s="29" t="s">
        <v>1979</v>
      </c>
      <c r="AJ1290" s="29"/>
      <c r="AL1290" s="29" t="s">
        <v>1879</v>
      </c>
    </row>
    <row r="1291" spans="15:38">
      <c r="O1291" t="s">
        <v>24</v>
      </c>
      <c r="P1291" t="s">
        <v>43</v>
      </c>
      <c r="Q1291" t="s">
        <v>11</v>
      </c>
      <c r="R1291" t="s">
        <v>65</v>
      </c>
      <c r="S1291">
        <v>2024.49</v>
      </c>
      <c r="T1291">
        <v>26.23</v>
      </c>
      <c r="U1291">
        <v>0</v>
      </c>
      <c r="V1291">
        <v>26.23</v>
      </c>
      <c r="AA1291" s="29" t="s">
        <v>43</v>
      </c>
      <c r="AB1291">
        <v>31200</v>
      </c>
      <c r="AC1291">
        <v>120</v>
      </c>
      <c r="AD1291">
        <v>3</v>
      </c>
      <c r="AE1291">
        <v>10879.37</v>
      </c>
      <c r="AF1291">
        <v>10879.37</v>
      </c>
      <c r="AG1291" s="29" t="s">
        <v>1878</v>
      </c>
      <c r="AH1291" s="29" t="s">
        <v>1980</v>
      </c>
      <c r="AI1291" s="29" t="s">
        <v>1981</v>
      </c>
      <c r="AJ1291" s="29"/>
      <c r="AL1291" s="29" t="s">
        <v>1879</v>
      </c>
    </row>
    <row r="1292" spans="15:38">
      <c r="O1292" t="s">
        <v>24</v>
      </c>
      <c r="P1292" t="s">
        <v>43</v>
      </c>
      <c r="Q1292" t="s">
        <v>11</v>
      </c>
      <c r="R1292" t="s">
        <v>65</v>
      </c>
      <c r="S1292">
        <v>2025.03</v>
      </c>
      <c r="T1292">
        <v>26.23</v>
      </c>
      <c r="U1292">
        <v>0</v>
      </c>
      <c r="V1292">
        <v>26.23</v>
      </c>
      <c r="AA1292" s="29" t="s">
        <v>43</v>
      </c>
      <c r="AB1292">
        <v>31200</v>
      </c>
      <c r="AC1292">
        <v>120</v>
      </c>
      <c r="AD1292">
        <v>3</v>
      </c>
      <c r="AE1292">
        <v>736</v>
      </c>
      <c r="AF1292">
        <v>736</v>
      </c>
      <c r="AG1292" s="29" t="s">
        <v>1878</v>
      </c>
      <c r="AH1292" s="29" t="s">
        <v>1982</v>
      </c>
      <c r="AI1292" s="29" t="s">
        <v>1983</v>
      </c>
      <c r="AJ1292" s="29"/>
      <c r="AL1292" s="29" t="s">
        <v>1879</v>
      </c>
    </row>
    <row r="1293" spans="15:38">
      <c r="O1293" t="s">
        <v>24</v>
      </c>
      <c r="P1293" t="s">
        <v>43</v>
      </c>
      <c r="Q1293" t="s">
        <v>11</v>
      </c>
      <c r="R1293" t="s">
        <v>65</v>
      </c>
      <c r="S1293">
        <v>2025.08</v>
      </c>
      <c r="T1293">
        <v>26.23</v>
      </c>
      <c r="U1293">
        <v>0</v>
      </c>
      <c r="V1293">
        <v>26.23</v>
      </c>
      <c r="AA1293" s="29" t="s">
        <v>43</v>
      </c>
      <c r="AB1293">
        <v>31200</v>
      </c>
      <c r="AC1293">
        <v>120</v>
      </c>
      <c r="AD1293">
        <v>3</v>
      </c>
      <c r="AE1293">
        <v>2250</v>
      </c>
      <c r="AF1293">
        <v>2250</v>
      </c>
      <c r="AG1293" s="29" t="s">
        <v>1878</v>
      </c>
      <c r="AH1293" s="29" t="s">
        <v>1984</v>
      </c>
      <c r="AI1293" s="29" t="s">
        <v>1985</v>
      </c>
      <c r="AJ1293" s="29"/>
      <c r="AL1293" s="29" t="s">
        <v>1879</v>
      </c>
    </row>
    <row r="1294" spans="15:38">
      <c r="O1294" t="s">
        <v>24</v>
      </c>
      <c r="P1294" t="s">
        <v>43</v>
      </c>
      <c r="Q1294" t="s">
        <v>11</v>
      </c>
      <c r="R1294" t="s">
        <v>65</v>
      </c>
      <c r="S1294">
        <v>2025.1</v>
      </c>
      <c r="T1294">
        <v>26.23</v>
      </c>
      <c r="U1294">
        <v>0</v>
      </c>
      <c r="V1294">
        <v>26.23</v>
      </c>
      <c r="AA1294" s="29" t="s">
        <v>43</v>
      </c>
      <c r="AB1294">
        <v>31200</v>
      </c>
      <c r="AC1294">
        <v>120</v>
      </c>
      <c r="AD1294">
        <v>3</v>
      </c>
      <c r="AE1294">
        <v>10680</v>
      </c>
      <c r="AF1294">
        <v>10680</v>
      </c>
      <c r="AG1294" s="29" t="s">
        <v>1878</v>
      </c>
      <c r="AH1294" s="29" t="s">
        <v>1986</v>
      </c>
      <c r="AI1294" s="29" t="s">
        <v>1987</v>
      </c>
      <c r="AJ1294" s="29"/>
      <c r="AL1294" s="29" t="s">
        <v>1879</v>
      </c>
    </row>
    <row r="1295" spans="15:38">
      <c r="O1295" t="s">
        <v>24</v>
      </c>
      <c r="P1295" t="s">
        <v>43</v>
      </c>
      <c r="Q1295" t="s">
        <v>11</v>
      </c>
      <c r="R1295" t="s">
        <v>65</v>
      </c>
      <c r="S1295">
        <v>2025.11</v>
      </c>
      <c r="T1295">
        <v>26.23</v>
      </c>
      <c r="U1295">
        <v>0</v>
      </c>
      <c r="V1295">
        <v>26.23</v>
      </c>
      <c r="AA1295" s="29" t="s">
        <v>43</v>
      </c>
      <c r="AB1295">
        <v>31200</v>
      </c>
      <c r="AC1295">
        <v>120</v>
      </c>
      <c r="AD1295">
        <v>3</v>
      </c>
      <c r="AE1295">
        <v>570.02</v>
      </c>
      <c r="AF1295">
        <v>570.02</v>
      </c>
      <c r="AG1295" s="29" t="s">
        <v>1878</v>
      </c>
      <c r="AH1295" s="29" t="s">
        <v>1988</v>
      </c>
      <c r="AI1295" s="29" t="s">
        <v>1989</v>
      </c>
      <c r="AJ1295" s="29"/>
      <c r="AL1295" s="29" t="s">
        <v>1879</v>
      </c>
    </row>
    <row r="1296" spans="15:38">
      <c r="O1296" t="s">
        <v>24</v>
      </c>
      <c r="P1296" t="s">
        <v>43</v>
      </c>
      <c r="Q1296" t="s">
        <v>11</v>
      </c>
      <c r="R1296" t="s">
        <v>65</v>
      </c>
      <c r="S1296">
        <v>2025.12</v>
      </c>
      <c r="T1296">
        <v>26.23</v>
      </c>
      <c r="U1296">
        <v>0</v>
      </c>
      <c r="V1296">
        <v>26.23</v>
      </c>
      <c r="AA1296" s="29" t="s">
        <v>43</v>
      </c>
      <c r="AB1296">
        <v>31200</v>
      </c>
      <c r="AC1296">
        <v>120</v>
      </c>
      <c r="AD1296">
        <v>3</v>
      </c>
      <c r="AE1296">
        <v>4184.37</v>
      </c>
      <c r="AF1296">
        <v>4184.37</v>
      </c>
      <c r="AG1296" s="29" t="s">
        <v>1878</v>
      </c>
      <c r="AH1296" s="29" t="s">
        <v>1990</v>
      </c>
      <c r="AI1296" s="29" t="s">
        <v>1991</v>
      </c>
      <c r="AJ1296" s="29"/>
      <c r="AL1296" s="29" t="s">
        <v>1879</v>
      </c>
    </row>
    <row r="1297" spans="15:38">
      <c r="O1297" t="s">
        <v>24</v>
      </c>
      <c r="P1297" t="s">
        <v>43</v>
      </c>
      <c r="Q1297" t="s">
        <v>11</v>
      </c>
      <c r="R1297" t="s">
        <v>58</v>
      </c>
      <c r="S1297">
        <v>2024.11</v>
      </c>
      <c r="T1297">
        <v>20.8</v>
      </c>
      <c r="U1297">
        <v>0</v>
      </c>
      <c r="V1297">
        <v>0</v>
      </c>
      <c r="AA1297" s="29" t="s">
        <v>43</v>
      </c>
      <c r="AB1297">
        <v>31200</v>
      </c>
      <c r="AC1297">
        <v>120</v>
      </c>
      <c r="AD1297">
        <v>3</v>
      </c>
      <c r="AE1297">
        <v>0</v>
      </c>
      <c r="AF1297">
        <v>0</v>
      </c>
      <c r="AG1297" s="29" t="s">
        <v>1878</v>
      </c>
      <c r="AH1297" s="29" t="s">
        <v>1896</v>
      </c>
      <c r="AI1297" s="29" t="s">
        <v>1992</v>
      </c>
      <c r="AJ1297" s="29"/>
      <c r="AL1297" s="29" t="s">
        <v>1879</v>
      </c>
    </row>
    <row r="1298" spans="15:38">
      <c r="O1298" t="s">
        <v>24</v>
      </c>
      <c r="P1298" t="s">
        <v>43</v>
      </c>
      <c r="Q1298" t="s">
        <v>11</v>
      </c>
      <c r="R1298" t="s">
        <v>58</v>
      </c>
      <c r="S1298">
        <v>2024.12</v>
      </c>
      <c r="T1298">
        <v>20.8</v>
      </c>
      <c r="U1298">
        <v>0</v>
      </c>
      <c r="V1298">
        <v>0</v>
      </c>
      <c r="AA1298" s="29" t="s">
        <v>43</v>
      </c>
      <c r="AB1298">
        <v>31200</v>
      </c>
      <c r="AC1298">
        <v>120</v>
      </c>
      <c r="AD1298">
        <v>3</v>
      </c>
      <c r="AE1298">
        <v>0</v>
      </c>
      <c r="AF1298">
        <v>0</v>
      </c>
      <c r="AG1298" s="29" t="s">
        <v>1878</v>
      </c>
      <c r="AH1298" s="29" t="s">
        <v>1896</v>
      </c>
      <c r="AI1298" s="29" t="s">
        <v>1993</v>
      </c>
      <c r="AJ1298" s="29"/>
      <c r="AL1298" s="29" t="s">
        <v>1879</v>
      </c>
    </row>
    <row r="1299" spans="15:38">
      <c r="O1299" t="s">
        <v>24</v>
      </c>
      <c r="P1299" t="s">
        <v>43</v>
      </c>
      <c r="Q1299" t="s">
        <v>11</v>
      </c>
      <c r="R1299" t="s">
        <v>58</v>
      </c>
      <c r="S1299">
        <v>2024.14</v>
      </c>
      <c r="T1299">
        <v>20.8</v>
      </c>
      <c r="U1299">
        <v>0</v>
      </c>
      <c r="V1299">
        <v>0</v>
      </c>
      <c r="AA1299" s="29" t="s">
        <v>43</v>
      </c>
      <c r="AB1299">
        <v>31200</v>
      </c>
      <c r="AC1299">
        <v>120</v>
      </c>
      <c r="AD1299">
        <v>3</v>
      </c>
      <c r="AE1299">
        <v>26100</v>
      </c>
      <c r="AF1299">
        <v>26100</v>
      </c>
      <c r="AG1299" s="29" t="s">
        <v>1878</v>
      </c>
      <c r="AH1299" s="29" t="s">
        <v>1994</v>
      </c>
      <c r="AI1299" s="29" t="s">
        <v>1995</v>
      </c>
      <c r="AJ1299" s="29"/>
      <c r="AL1299" s="29" t="s">
        <v>1879</v>
      </c>
    </row>
    <row r="1300" spans="15:38">
      <c r="O1300" t="s">
        <v>24</v>
      </c>
      <c r="P1300" t="s">
        <v>43</v>
      </c>
      <c r="Q1300" t="s">
        <v>11</v>
      </c>
      <c r="R1300" t="s">
        <v>58</v>
      </c>
      <c r="S1300">
        <v>2024.17</v>
      </c>
      <c r="T1300">
        <v>20.8</v>
      </c>
      <c r="U1300">
        <v>0</v>
      </c>
      <c r="V1300">
        <v>0</v>
      </c>
      <c r="AA1300" s="29" t="s">
        <v>43</v>
      </c>
      <c r="AB1300">
        <v>31200</v>
      </c>
      <c r="AC1300">
        <v>120</v>
      </c>
      <c r="AD1300">
        <v>3</v>
      </c>
      <c r="AE1300">
        <v>52200</v>
      </c>
      <c r="AF1300">
        <v>52200</v>
      </c>
      <c r="AG1300" s="29" t="s">
        <v>1878</v>
      </c>
      <c r="AH1300" s="29" t="s">
        <v>1996</v>
      </c>
      <c r="AI1300" s="29" t="s">
        <v>1997</v>
      </c>
      <c r="AJ1300" s="29"/>
      <c r="AL1300" s="29" t="s">
        <v>1879</v>
      </c>
    </row>
    <row r="1301" spans="15:38">
      <c r="O1301" t="s">
        <v>24</v>
      </c>
      <c r="P1301" t="s">
        <v>43</v>
      </c>
      <c r="Q1301" t="s">
        <v>11</v>
      </c>
      <c r="R1301" t="s">
        <v>58</v>
      </c>
      <c r="S1301">
        <v>2024.18</v>
      </c>
      <c r="T1301">
        <v>20.8</v>
      </c>
      <c r="U1301">
        <v>0</v>
      </c>
      <c r="V1301">
        <v>0</v>
      </c>
      <c r="AA1301" s="29" t="s">
        <v>43</v>
      </c>
      <c r="AB1301">
        <v>31200</v>
      </c>
      <c r="AC1301">
        <v>120</v>
      </c>
      <c r="AD1301">
        <v>3</v>
      </c>
      <c r="AE1301">
        <v>0</v>
      </c>
      <c r="AF1301">
        <v>0</v>
      </c>
      <c r="AG1301" s="29" t="s">
        <v>1878</v>
      </c>
      <c r="AH1301" s="29" t="s">
        <v>1896</v>
      </c>
      <c r="AI1301" s="29" t="s">
        <v>1998</v>
      </c>
      <c r="AJ1301" s="29"/>
      <c r="AL1301" s="29" t="s">
        <v>1879</v>
      </c>
    </row>
    <row r="1302" spans="15:38">
      <c r="O1302" t="s">
        <v>24</v>
      </c>
      <c r="P1302" t="s">
        <v>43</v>
      </c>
      <c r="Q1302" t="s">
        <v>11</v>
      </c>
      <c r="R1302" t="s">
        <v>58</v>
      </c>
      <c r="S1302">
        <v>2024.19</v>
      </c>
      <c r="T1302">
        <v>20.8</v>
      </c>
      <c r="U1302">
        <v>0</v>
      </c>
      <c r="V1302">
        <v>0</v>
      </c>
      <c r="AA1302" s="29" t="s">
        <v>43</v>
      </c>
      <c r="AB1302">
        <v>31200</v>
      </c>
      <c r="AC1302">
        <v>120</v>
      </c>
      <c r="AD1302">
        <v>3</v>
      </c>
      <c r="AE1302">
        <v>0</v>
      </c>
      <c r="AF1302">
        <v>0</v>
      </c>
      <c r="AG1302" s="29" t="s">
        <v>1878</v>
      </c>
      <c r="AH1302" s="29" t="s">
        <v>1896</v>
      </c>
      <c r="AI1302" s="29" t="s">
        <v>1999</v>
      </c>
      <c r="AJ1302" s="29"/>
      <c r="AL1302" s="29" t="s">
        <v>1879</v>
      </c>
    </row>
    <row r="1303" spans="15:38">
      <c r="O1303" t="s">
        <v>24</v>
      </c>
      <c r="P1303" t="s">
        <v>43</v>
      </c>
      <c r="Q1303" t="s">
        <v>11</v>
      </c>
      <c r="R1303" t="s">
        <v>58</v>
      </c>
      <c r="S1303">
        <v>2024.2</v>
      </c>
      <c r="T1303">
        <v>20.8</v>
      </c>
      <c r="U1303">
        <v>0</v>
      </c>
      <c r="V1303">
        <v>0</v>
      </c>
      <c r="AA1303" s="29" t="s">
        <v>43</v>
      </c>
      <c r="AB1303">
        <v>31200</v>
      </c>
      <c r="AC1303">
        <v>120</v>
      </c>
      <c r="AD1303">
        <v>3</v>
      </c>
      <c r="AE1303">
        <v>94.5</v>
      </c>
      <c r="AF1303">
        <v>94.5</v>
      </c>
      <c r="AG1303" s="29" t="s">
        <v>1878</v>
      </c>
      <c r="AH1303" s="29" t="s">
        <v>2000</v>
      </c>
      <c r="AI1303" s="29" t="s">
        <v>2001</v>
      </c>
      <c r="AJ1303" s="29"/>
      <c r="AL1303" s="29" t="s">
        <v>1879</v>
      </c>
    </row>
    <row r="1304" spans="15:38">
      <c r="O1304" t="s">
        <v>24</v>
      </c>
      <c r="P1304" t="s">
        <v>43</v>
      </c>
      <c r="Q1304" t="s">
        <v>11</v>
      </c>
      <c r="R1304" t="s">
        <v>58</v>
      </c>
      <c r="S1304">
        <v>2024.21</v>
      </c>
      <c r="T1304">
        <v>20.8</v>
      </c>
      <c r="U1304">
        <v>0</v>
      </c>
      <c r="V1304">
        <v>0</v>
      </c>
      <c r="AA1304" s="29" t="s">
        <v>43</v>
      </c>
      <c r="AB1304">
        <v>31200</v>
      </c>
      <c r="AC1304">
        <v>120</v>
      </c>
      <c r="AD1304">
        <v>3</v>
      </c>
      <c r="AE1304">
        <v>700</v>
      </c>
      <c r="AF1304">
        <v>700</v>
      </c>
      <c r="AG1304" s="29" t="s">
        <v>1878</v>
      </c>
      <c r="AH1304" s="29" t="s">
        <v>1972</v>
      </c>
      <c r="AI1304" s="29" t="s">
        <v>2002</v>
      </c>
      <c r="AJ1304" s="29"/>
      <c r="AL1304" s="29" t="s">
        <v>1879</v>
      </c>
    </row>
    <row r="1305" spans="15:38">
      <c r="O1305" t="s">
        <v>24</v>
      </c>
      <c r="P1305" t="s">
        <v>43</v>
      </c>
      <c r="Q1305" t="s">
        <v>11</v>
      </c>
      <c r="R1305" t="s">
        <v>58</v>
      </c>
      <c r="S1305">
        <v>2024.28</v>
      </c>
      <c r="T1305">
        <v>20.8</v>
      </c>
      <c r="U1305">
        <v>0</v>
      </c>
      <c r="V1305">
        <v>0</v>
      </c>
      <c r="AA1305" s="29" t="s">
        <v>43</v>
      </c>
      <c r="AB1305">
        <v>31200</v>
      </c>
      <c r="AC1305">
        <v>120</v>
      </c>
      <c r="AD1305">
        <v>3</v>
      </c>
      <c r="AE1305">
        <v>4815</v>
      </c>
      <c r="AF1305">
        <v>4815</v>
      </c>
      <c r="AG1305" s="29" t="s">
        <v>1878</v>
      </c>
      <c r="AH1305" s="29" t="s">
        <v>2003</v>
      </c>
      <c r="AI1305" s="29" t="s">
        <v>2004</v>
      </c>
      <c r="AJ1305" s="29"/>
      <c r="AL1305" s="29" t="s">
        <v>1879</v>
      </c>
    </row>
    <row r="1306" spans="15:38">
      <c r="O1306" t="s">
        <v>24</v>
      </c>
      <c r="P1306" t="s">
        <v>43</v>
      </c>
      <c r="Q1306" t="s">
        <v>11</v>
      </c>
      <c r="R1306" t="s">
        <v>58</v>
      </c>
      <c r="S1306">
        <v>2024.38</v>
      </c>
      <c r="T1306">
        <v>20.8</v>
      </c>
      <c r="U1306">
        <v>0</v>
      </c>
      <c r="V1306">
        <v>0</v>
      </c>
      <c r="AA1306" s="29" t="s">
        <v>43</v>
      </c>
      <c r="AB1306">
        <v>31200</v>
      </c>
      <c r="AC1306">
        <v>120</v>
      </c>
      <c r="AD1306">
        <v>3</v>
      </c>
      <c r="AE1306">
        <v>12840</v>
      </c>
      <c r="AF1306">
        <v>12840</v>
      </c>
      <c r="AG1306" s="29" t="s">
        <v>1878</v>
      </c>
      <c r="AH1306" s="29" t="s">
        <v>2005</v>
      </c>
      <c r="AI1306" s="29" t="s">
        <v>2006</v>
      </c>
      <c r="AJ1306" s="29"/>
      <c r="AL1306" s="29" t="s">
        <v>1879</v>
      </c>
    </row>
    <row r="1307" spans="15:38">
      <c r="O1307" t="s">
        <v>24</v>
      </c>
      <c r="P1307" t="s">
        <v>43</v>
      </c>
      <c r="Q1307" t="s">
        <v>11</v>
      </c>
      <c r="R1307" t="s">
        <v>58</v>
      </c>
      <c r="S1307">
        <v>2024.39</v>
      </c>
      <c r="T1307">
        <v>20.8</v>
      </c>
      <c r="U1307">
        <v>0</v>
      </c>
      <c r="V1307">
        <v>0</v>
      </c>
      <c r="AA1307" s="29" t="s">
        <v>43</v>
      </c>
      <c r="AB1307">
        <v>31200</v>
      </c>
      <c r="AC1307">
        <v>120</v>
      </c>
      <c r="AD1307">
        <v>3</v>
      </c>
      <c r="AE1307">
        <v>0</v>
      </c>
      <c r="AF1307">
        <v>0</v>
      </c>
      <c r="AG1307" s="29" t="s">
        <v>1878</v>
      </c>
      <c r="AH1307" s="29" t="s">
        <v>1896</v>
      </c>
      <c r="AI1307" s="29" t="s">
        <v>2007</v>
      </c>
      <c r="AJ1307" s="29"/>
      <c r="AL1307" s="29" t="s">
        <v>1879</v>
      </c>
    </row>
    <row r="1308" spans="15:38">
      <c r="O1308" t="s">
        <v>24</v>
      </c>
      <c r="P1308" t="s">
        <v>43</v>
      </c>
      <c r="Q1308" t="s">
        <v>11</v>
      </c>
      <c r="R1308" t="s">
        <v>58</v>
      </c>
      <c r="S1308">
        <v>2024.41</v>
      </c>
      <c r="T1308">
        <v>20.8</v>
      </c>
      <c r="U1308">
        <v>0</v>
      </c>
      <c r="V1308">
        <v>0</v>
      </c>
      <c r="AA1308" s="29" t="s">
        <v>43</v>
      </c>
      <c r="AB1308">
        <v>31200</v>
      </c>
      <c r="AC1308">
        <v>120</v>
      </c>
      <c r="AD1308">
        <v>3</v>
      </c>
      <c r="AE1308">
        <v>0</v>
      </c>
      <c r="AF1308">
        <v>0</v>
      </c>
      <c r="AG1308" s="29" t="s">
        <v>1878</v>
      </c>
      <c r="AH1308" s="29" t="s">
        <v>1896</v>
      </c>
      <c r="AI1308" s="29" t="s">
        <v>2008</v>
      </c>
      <c r="AJ1308" s="29"/>
      <c r="AL1308" s="29" t="s">
        <v>1879</v>
      </c>
    </row>
    <row r="1309" spans="15:38">
      <c r="O1309" t="s">
        <v>24</v>
      </c>
      <c r="P1309" t="s">
        <v>43</v>
      </c>
      <c r="Q1309" t="s">
        <v>11</v>
      </c>
      <c r="R1309" t="s">
        <v>58</v>
      </c>
      <c r="S1309">
        <v>2024.43</v>
      </c>
      <c r="T1309">
        <v>20.8</v>
      </c>
      <c r="U1309">
        <v>0</v>
      </c>
      <c r="V1309">
        <v>0</v>
      </c>
      <c r="AA1309" s="29" t="s">
        <v>43</v>
      </c>
      <c r="AB1309">
        <v>31200</v>
      </c>
      <c r="AC1309">
        <v>120</v>
      </c>
      <c r="AD1309">
        <v>3</v>
      </c>
      <c r="AE1309">
        <v>0</v>
      </c>
      <c r="AF1309">
        <v>0</v>
      </c>
      <c r="AG1309" s="29" t="s">
        <v>1878</v>
      </c>
      <c r="AH1309" s="29" t="s">
        <v>1896</v>
      </c>
      <c r="AI1309" s="29" t="s">
        <v>2009</v>
      </c>
      <c r="AJ1309" s="29"/>
      <c r="AL1309" s="29" t="s">
        <v>1879</v>
      </c>
    </row>
    <row r="1310" spans="15:38">
      <c r="O1310" t="s">
        <v>24</v>
      </c>
      <c r="P1310" t="s">
        <v>43</v>
      </c>
      <c r="Q1310" t="s">
        <v>11</v>
      </c>
      <c r="R1310" t="s">
        <v>58</v>
      </c>
      <c r="S1310">
        <v>2024.44</v>
      </c>
      <c r="T1310">
        <v>20.8</v>
      </c>
      <c r="U1310">
        <v>0</v>
      </c>
      <c r="V1310">
        <v>0</v>
      </c>
      <c r="AA1310" s="29" t="s">
        <v>43</v>
      </c>
      <c r="AB1310">
        <v>31200</v>
      </c>
      <c r="AC1310">
        <v>120</v>
      </c>
      <c r="AD1310">
        <v>3</v>
      </c>
      <c r="AE1310">
        <v>1110</v>
      </c>
      <c r="AF1310">
        <v>1110</v>
      </c>
      <c r="AG1310" s="29" t="s">
        <v>1878</v>
      </c>
      <c r="AH1310" s="29" t="s">
        <v>2010</v>
      </c>
      <c r="AI1310" s="29" t="s">
        <v>2011</v>
      </c>
      <c r="AJ1310" s="29"/>
      <c r="AL1310" s="29" t="s">
        <v>1879</v>
      </c>
    </row>
    <row r="1311" spans="15:38">
      <c r="O1311" t="s">
        <v>24</v>
      </c>
      <c r="P1311" t="s">
        <v>43</v>
      </c>
      <c r="Q1311" t="s">
        <v>11</v>
      </c>
      <c r="R1311" t="s">
        <v>58</v>
      </c>
      <c r="S1311">
        <v>2024.45</v>
      </c>
      <c r="T1311">
        <v>20.8</v>
      </c>
      <c r="U1311">
        <v>0</v>
      </c>
      <c r="V1311">
        <v>0</v>
      </c>
      <c r="AA1311" s="29" t="s">
        <v>43</v>
      </c>
      <c r="AB1311">
        <v>31200</v>
      </c>
      <c r="AC1311">
        <v>120</v>
      </c>
      <c r="AD1311">
        <v>3</v>
      </c>
      <c r="AE1311">
        <v>1428.05</v>
      </c>
      <c r="AF1311">
        <v>1428.05</v>
      </c>
      <c r="AG1311" s="29" t="s">
        <v>1878</v>
      </c>
      <c r="AH1311" s="29" t="s">
        <v>2012</v>
      </c>
      <c r="AI1311" s="29" t="s">
        <v>2013</v>
      </c>
      <c r="AJ1311" s="29"/>
      <c r="AL1311" s="29" t="s">
        <v>1879</v>
      </c>
    </row>
    <row r="1312" spans="15:38">
      <c r="O1312" t="s">
        <v>24</v>
      </c>
      <c r="P1312" t="s">
        <v>43</v>
      </c>
      <c r="Q1312" t="s">
        <v>11</v>
      </c>
      <c r="R1312" t="s">
        <v>58</v>
      </c>
      <c r="S1312">
        <v>2024.47</v>
      </c>
      <c r="T1312">
        <v>20.8</v>
      </c>
      <c r="U1312">
        <v>0</v>
      </c>
      <c r="V1312">
        <v>0</v>
      </c>
      <c r="AA1312" s="29" t="s">
        <v>43</v>
      </c>
      <c r="AB1312">
        <v>31200</v>
      </c>
      <c r="AC1312">
        <v>120</v>
      </c>
      <c r="AD1312">
        <v>3</v>
      </c>
      <c r="AE1312">
        <v>0</v>
      </c>
      <c r="AF1312">
        <v>0</v>
      </c>
      <c r="AG1312" s="29" t="s">
        <v>1878</v>
      </c>
      <c r="AH1312" s="29" t="s">
        <v>1896</v>
      </c>
      <c r="AI1312" s="29" t="s">
        <v>2014</v>
      </c>
      <c r="AJ1312" s="29"/>
      <c r="AL1312" s="29" t="s">
        <v>1879</v>
      </c>
    </row>
    <row r="1313" spans="15:38">
      <c r="O1313" t="s">
        <v>24</v>
      </c>
      <c r="P1313" t="s">
        <v>43</v>
      </c>
      <c r="Q1313" t="s">
        <v>11</v>
      </c>
      <c r="R1313" t="s">
        <v>58</v>
      </c>
      <c r="S1313">
        <v>2024.48</v>
      </c>
      <c r="T1313">
        <v>20.8</v>
      </c>
      <c r="U1313">
        <v>0</v>
      </c>
      <c r="V1313">
        <v>20.8</v>
      </c>
      <c r="AA1313" s="29" t="s">
        <v>43</v>
      </c>
      <c r="AB1313">
        <v>31200</v>
      </c>
      <c r="AC1313">
        <v>120</v>
      </c>
      <c r="AD1313">
        <v>3</v>
      </c>
      <c r="AE1313">
        <v>16152</v>
      </c>
      <c r="AF1313">
        <v>16152</v>
      </c>
      <c r="AG1313" s="29" t="s">
        <v>1878</v>
      </c>
      <c r="AH1313" s="29" t="s">
        <v>2015</v>
      </c>
      <c r="AI1313" s="29" t="s">
        <v>2016</v>
      </c>
      <c r="AJ1313" s="29"/>
      <c r="AL1313" s="29" t="s">
        <v>1879</v>
      </c>
    </row>
    <row r="1314" spans="15:38">
      <c r="O1314" t="s">
        <v>24</v>
      </c>
      <c r="P1314" t="s">
        <v>43</v>
      </c>
      <c r="Q1314" t="s">
        <v>11</v>
      </c>
      <c r="R1314" t="s">
        <v>58</v>
      </c>
      <c r="S1314">
        <v>2024.49</v>
      </c>
      <c r="T1314">
        <v>20.8</v>
      </c>
      <c r="U1314">
        <v>0</v>
      </c>
      <c r="V1314">
        <v>20.8</v>
      </c>
      <c r="AA1314" s="29" t="s">
        <v>43</v>
      </c>
      <c r="AB1314">
        <v>31200</v>
      </c>
      <c r="AC1314">
        <v>120</v>
      </c>
      <c r="AD1314">
        <v>3</v>
      </c>
      <c r="AE1314">
        <v>10500</v>
      </c>
      <c r="AF1314">
        <v>10500</v>
      </c>
      <c r="AG1314" s="29" t="s">
        <v>1878</v>
      </c>
      <c r="AH1314" s="29" t="s">
        <v>2017</v>
      </c>
      <c r="AI1314" s="29" t="s">
        <v>2018</v>
      </c>
      <c r="AJ1314" s="29"/>
      <c r="AL1314" s="29" t="s">
        <v>1879</v>
      </c>
    </row>
    <row r="1315" spans="15:38">
      <c r="O1315" t="s">
        <v>24</v>
      </c>
      <c r="P1315" t="s">
        <v>43</v>
      </c>
      <c r="Q1315" t="s">
        <v>11</v>
      </c>
      <c r="R1315" t="s">
        <v>58</v>
      </c>
      <c r="S1315">
        <v>2025.03</v>
      </c>
      <c r="T1315">
        <v>20.8</v>
      </c>
      <c r="U1315">
        <v>0</v>
      </c>
      <c r="V1315">
        <v>20.8</v>
      </c>
      <c r="AA1315" s="29" t="s">
        <v>43</v>
      </c>
      <c r="AB1315">
        <v>31200</v>
      </c>
      <c r="AC1315">
        <v>120</v>
      </c>
      <c r="AD1315">
        <v>3</v>
      </c>
      <c r="AE1315">
        <v>170</v>
      </c>
      <c r="AF1315">
        <v>170</v>
      </c>
      <c r="AG1315" s="29" t="s">
        <v>1878</v>
      </c>
      <c r="AH1315" s="29" t="s">
        <v>2019</v>
      </c>
      <c r="AI1315" s="29" t="s">
        <v>2020</v>
      </c>
      <c r="AJ1315" s="29"/>
      <c r="AL1315" s="29" t="s">
        <v>1879</v>
      </c>
    </row>
    <row r="1316" spans="15:38">
      <c r="O1316" t="s">
        <v>24</v>
      </c>
      <c r="P1316" t="s">
        <v>43</v>
      </c>
      <c r="Q1316" t="s">
        <v>11</v>
      </c>
      <c r="R1316" t="s">
        <v>58</v>
      </c>
      <c r="S1316">
        <v>2025.08</v>
      </c>
      <c r="T1316">
        <v>20.8</v>
      </c>
      <c r="U1316">
        <v>0</v>
      </c>
      <c r="V1316">
        <v>20.8</v>
      </c>
      <c r="AA1316" s="29" t="s">
        <v>43</v>
      </c>
      <c r="AB1316">
        <v>31200</v>
      </c>
      <c r="AC1316">
        <v>120</v>
      </c>
      <c r="AD1316">
        <v>3</v>
      </c>
      <c r="AE1316">
        <v>430</v>
      </c>
      <c r="AF1316">
        <v>430</v>
      </c>
      <c r="AG1316" s="29" t="s">
        <v>1878</v>
      </c>
      <c r="AH1316" s="29" t="s">
        <v>2021</v>
      </c>
      <c r="AI1316" s="29" t="s">
        <v>2022</v>
      </c>
      <c r="AJ1316" s="29"/>
      <c r="AL1316" s="29" t="s">
        <v>1879</v>
      </c>
    </row>
    <row r="1317" spans="15:38">
      <c r="O1317" t="s">
        <v>24</v>
      </c>
      <c r="P1317" t="s">
        <v>43</v>
      </c>
      <c r="Q1317" t="s">
        <v>11</v>
      </c>
      <c r="R1317" t="s">
        <v>58</v>
      </c>
      <c r="S1317">
        <v>2025.1</v>
      </c>
      <c r="T1317">
        <v>20.8</v>
      </c>
      <c r="U1317">
        <v>0</v>
      </c>
      <c r="V1317">
        <v>20.8</v>
      </c>
      <c r="AA1317" s="29" t="s">
        <v>43</v>
      </c>
      <c r="AB1317">
        <v>31200</v>
      </c>
      <c r="AC1317">
        <v>120</v>
      </c>
      <c r="AD1317">
        <v>3</v>
      </c>
      <c r="AE1317">
        <v>3456</v>
      </c>
      <c r="AF1317">
        <v>3456</v>
      </c>
      <c r="AG1317" s="29" t="s">
        <v>1878</v>
      </c>
      <c r="AH1317" s="29" t="s">
        <v>2023</v>
      </c>
      <c r="AI1317" s="29" t="s">
        <v>2024</v>
      </c>
      <c r="AJ1317" s="29"/>
      <c r="AL1317" s="29" t="s">
        <v>1879</v>
      </c>
    </row>
    <row r="1318" spans="15:38">
      <c r="O1318" t="s">
        <v>24</v>
      </c>
      <c r="P1318" t="s">
        <v>43</v>
      </c>
      <c r="Q1318" t="s">
        <v>11</v>
      </c>
      <c r="R1318" t="s">
        <v>58</v>
      </c>
      <c r="S1318">
        <v>2025.11</v>
      </c>
      <c r="T1318">
        <v>20.8</v>
      </c>
      <c r="U1318">
        <v>0</v>
      </c>
      <c r="V1318">
        <v>20.8</v>
      </c>
      <c r="AA1318" s="29" t="s">
        <v>43</v>
      </c>
      <c r="AB1318">
        <v>31200</v>
      </c>
      <c r="AC1318">
        <v>120</v>
      </c>
      <c r="AD1318">
        <v>3</v>
      </c>
      <c r="AE1318">
        <v>672</v>
      </c>
      <c r="AF1318">
        <v>672</v>
      </c>
      <c r="AG1318" s="29" t="s">
        <v>1878</v>
      </c>
      <c r="AH1318" s="29" t="s">
        <v>1966</v>
      </c>
      <c r="AI1318" s="29" t="s">
        <v>2025</v>
      </c>
      <c r="AJ1318" s="29"/>
      <c r="AL1318" s="29" t="s">
        <v>1879</v>
      </c>
    </row>
    <row r="1319" spans="15:38">
      <c r="O1319" t="s">
        <v>24</v>
      </c>
      <c r="P1319" t="s">
        <v>43</v>
      </c>
      <c r="Q1319" t="s">
        <v>11</v>
      </c>
      <c r="R1319" t="s">
        <v>58</v>
      </c>
      <c r="S1319">
        <v>2025.12</v>
      </c>
      <c r="T1319">
        <v>20.8</v>
      </c>
      <c r="U1319">
        <v>0</v>
      </c>
      <c r="V1319">
        <v>20.8</v>
      </c>
      <c r="AA1319" s="29" t="s">
        <v>43</v>
      </c>
      <c r="AB1319">
        <v>31200</v>
      </c>
      <c r="AC1319">
        <v>120</v>
      </c>
      <c r="AD1319">
        <v>3</v>
      </c>
      <c r="AE1319">
        <v>6329</v>
      </c>
      <c r="AF1319">
        <v>6329</v>
      </c>
      <c r="AG1319" s="29" t="s">
        <v>1878</v>
      </c>
      <c r="AH1319" s="29" t="s">
        <v>2026</v>
      </c>
      <c r="AI1319" s="29" t="s">
        <v>2027</v>
      </c>
      <c r="AJ1319" s="29"/>
      <c r="AL1319" s="29" t="s">
        <v>1879</v>
      </c>
    </row>
    <row r="1320" spans="15:38">
      <c r="O1320" t="s">
        <v>24</v>
      </c>
      <c r="P1320" t="s">
        <v>43</v>
      </c>
      <c r="Q1320" t="s">
        <v>12</v>
      </c>
      <c r="R1320" t="s">
        <v>60</v>
      </c>
      <c r="S1320">
        <v>2023.47</v>
      </c>
      <c r="T1320">
        <v>0</v>
      </c>
      <c r="U1320">
        <v>67910.899099999995</v>
      </c>
      <c r="V1320">
        <v>67910.899099999995</v>
      </c>
      <c r="AA1320" s="29" t="s">
        <v>43</v>
      </c>
      <c r="AB1320">
        <v>31200</v>
      </c>
      <c r="AC1320">
        <v>120</v>
      </c>
      <c r="AD1320">
        <v>3</v>
      </c>
      <c r="AE1320">
        <v>0</v>
      </c>
      <c r="AF1320">
        <v>0</v>
      </c>
      <c r="AG1320" s="29" t="s">
        <v>1878</v>
      </c>
      <c r="AH1320" s="29" t="s">
        <v>1896</v>
      </c>
      <c r="AI1320" s="29" t="s">
        <v>2028</v>
      </c>
      <c r="AJ1320" s="29"/>
      <c r="AL1320" s="29" t="s">
        <v>1879</v>
      </c>
    </row>
    <row r="1321" spans="15:38">
      <c r="O1321" t="s">
        <v>24</v>
      </c>
      <c r="P1321" t="s">
        <v>43</v>
      </c>
      <c r="Q1321" t="s">
        <v>12</v>
      </c>
      <c r="R1321" t="s">
        <v>60</v>
      </c>
      <c r="S1321">
        <v>2023.51</v>
      </c>
      <c r="T1321">
        <v>20794.080000000002</v>
      </c>
      <c r="U1321">
        <v>67910.899099999995</v>
      </c>
      <c r="V1321">
        <v>29297.559099999999</v>
      </c>
      <c r="AA1321" s="29" t="s">
        <v>43</v>
      </c>
      <c r="AB1321">
        <v>31200</v>
      </c>
      <c r="AC1321">
        <v>120</v>
      </c>
      <c r="AD1321">
        <v>3</v>
      </c>
      <c r="AE1321">
        <v>0</v>
      </c>
      <c r="AF1321">
        <v>0</v>
      </c>
      <c r="AG1321" s="29" t="s">
        <v>1878</v>
      </c>
      <c r="AH1321" s="29" t="s">
        <v>1896</v>
      </c>
      <c r="AI1321" s="29" t="s">
        <v>2029</v>
      </c>
      <c r="AJ1321" s="29"/>
      <c r="AL1321" s="29" t="s">
        <v>1879</v>
      </c>
    </row>
    <row r="1322" spans="15:38">
      <c r="O1322" t="s">
        <v>24</v>
      </c>
      <c r="P1322" t="s">
        <v>43</v>
      </c>
      <c r="Q1322" t="s">
        <v>12</v>
      </c>
      <c r="R1322" t="s">
        <v>60</v>
      </c>
      <c r="S1322">
        <v>2024.05</v>
      </c>
      <c r="T1322">
        <v>20794.080000000002</v>
      </c>
      <c r="U1322">
        <v>67910.899099999995</v>
      </c>
      <c r="V1322">
        <v>29297.559099999999</v>
      </c>
      <c r="AA1322" s="29" t="s">
        <v>43</v>
      </c>
      <c r="AB1322">
        <v>31200</v>
      </c>
      <c r="AC1322">
        <v>120</v>
      </c>
      <c r="AD1322">
        <v>3</v>
      </c>
      <c r="AE1322">
        <v>0</v>
      </c>
      <c r="AF1322">
        <v>0</v>
      </c>
      <c r="AG1322" s="29" t="s">
        <v>1878</v>
      </c>
      <c r="AH1322" s="29" t="s">
        <v>1896</v>
      </c>
      <c r="AI1322" s="29" t="s">
        <v>2030</v>
      </c>
      <c r="AJ1322" s="29"/>
      <c r="AL1322" s="29" t="s">
        <v>1879</v>
      </c>
    </row>
    <row r="1323" spans="15:38">
      <c r="O1323" t="s">
        <v>24</v>
      </c>
      <c r="P1323" t="s">
        <v>43</v>
      </c>
      <c r="Q1323" t="s">
        <v>12</v>
      </c>
      <c r="R1323" t="s">
        <v>60</v>
      </c>
      <c r="S1323">
        <v>2024.06</v>
      </c>
      <c r="T1323">
        <v>20794.080000000002</v>
      </c>
      <c r="U1323">
        <v>67910.899099999995</v>
      </c>
      <c r="V1323">
        <v>29297.559099999999</v>
      </c>
      <c r="AA1323" s="29" t="s">
        <v>43</v>
      </c>
      <c r="AB1323">
        <v>31200</v>
      </c>
      <c r="AC1323">
        <v>120</v>
      </c>
      <c r="AD1323">
        <v>3</v>
      </c>
      <c r="AE1323">
        <v>0</v>
      </c>
      <c r="AF1323">
        <v>0</v>
      </c>
      <c r="AG1323" s="29" t="s">
        <v>1878</v>
      </c>
      <c r="AH1323" s="29" t="s">
        <v>1896</v>
      </c>
      <c r="AI1323" s="29" t="s">
        <v>2031</v>
      </c>
      <c r="AJ1323" s="29"/>
      <c r="AL1323" s="29" t="s">
        <v>1879</v>
      </c>
    </row>
    <row r="1324" spans="15:38">
      <c r="O1324" t="s">
        <v>24</v>
      </c>
      <c r="P1324" t="s">
        <v>43</v>
      </c>
      <c r="Q1324" t="s">
        <v>12</v>
      </c>
      <c r="R1324" t="s">
        <v>60</v>
      </c>
      <c r="S1324">
        <v>2024.07</v>
      </c>
      <c r="T1324">
        <v>20794.080000000002</v>
      </c>
      <c r="U1324">
        <v>67910.899099999995</v>
      </c>
      <c r="V1324">
        <v>29297.559099999999</v>
      </c>
      <c r="AA1324" s="29" t="s">
        <v>43</v>
      </c>
      <c r="AB1324">
        <v>31200</v>
      </c>
      <c r="AC1324">
        <v>120</v>
      </c>
      <c r="AD1324">
        <v>3</v>
      </c>
      <c r="AE1324">
        <v>0</v>
      </c>
      <c r="AF1324">
        <v>0</v>
      </c>
      <c r="AG1324" s="29" t="s">
        <v>1878</v>
      </c>
      <c r="AH1324" s="29" t="s">
        <v>1896</v>
      </c>
      <c r="AI1324" s="29" t="s">
        <v>2032</v>
      </c>
      <c r="AJ1324" s="29"/>
      <c r="AL1324" s="29" t="s">
        <v>1879</v>
      </c>
    </row>
    <row r="1325" spans="15:38">
      <c r="O1325" t="s">
        <v>24</v>
      </c>
      <c r="P1325" t="s">
        <v>43</v>
      </c>
      <c r="Q1325" t="s">
        <v>12</v>
      </c>
      <c r="R1325" t="s">
        <v>60</v>
      </c>
      <c r="S1325">
        <v>2024.08</v>
      </c>
      <c r="T1325">
        <v>20794.080000000002</v>
      </c>
      <c r="U1325">
        <v>67910.899099999995</v>
      </c>
      <c r="V1325">
        <v>29297.559099999999</v>
      </c>
      <c r="AA1325" s="29" t="s">
        <v>43</v>
      </c>
      <c r="AB1325">
        <v>31200</v>
      </c>
      <c r="AC1325">
        <v>120</v>
      </c>
      <c r="AD1325">
        <v>3</v>
      </c>
      <c r="AE1325">
        <v>0</v>
      </c>
      <c r="AF1325">
        <v>0</v>
      </c>
      <c r="AG1325" s="29" t="s">
        <v>1878</v>
      </c>
      <c r="AH1325" s="29" t="s">
        <v>1896</v>
      </c>
      <c r="AI1325" s="29" t="s">
        <v>2033</v>
      </c>
      <c r="AJ1325" s="29"/>
      <c r="AL1325" s="29" t="s">
        <v>1879</v>
      </c>
    </row>
    <row r="1326" spans="15:38">
      <c r="O1326" t="s">
        <v>24</v>
      </c>
      <c r="P1326" t="s">
        <v>43</v>
      </c>
      <c r="Q1326" t="s">
        <v>12</v>
      </c>
      <c r="R1326" t="s">
        <v>60</v>
      </c>
      <c r="S1326">
        <v>2024.09</v>
      </c>
      <c r="T1326">
        <v>20794.080000000002</v>
      </c>
      <c r="U1326">
        <v>67910.899099999995</v>
      </c>
      <c r="V1326">
        <v>29297.559099999999</v>
      </c>
      <c r="AA1326" s="29" t="s">
        <v>43</v>
      </c>
      <c r="AB1326">
        <v>31200</v>
      </c>
      <c r="AC1326">
        <v>120</v>
      </c>
      <c r="AD1326">
        <v>3</v>
      </c>
      <c r="AE1326">
        <v>0</v>
      </c>
      <c r="AF1326">
        <v>0</v>
      </c>
      <c r="AG1326" s="29" t="s">
        <v>1878</v>
      </c>
      <c r="AH1326" s="29" t="s">
        <v>1896</v>
      </c>
      <c r="AI1326" s="29" t="s">
        <v>2034</v>
      </c>
      <c r="AJ1326" s="29"/>
      <c r="AL1326" s="29" t="s">
        <v>1879</v>
      </c>
    </row>
    <row r="1327" spans="15:38">
      <c r="O1327" t="s">
        <v>24</v>
      </c>
      <c r="P1327" t="s">
        <v>43</v>
      </c>
      <c r="Q1327" t="s">
        <v>12</v>
      </c>
      <c r="R1327" t="s">
        <v>60</v>
      </c>
      <c r="S1327">
        <v>2024.1</v>
      </c>
      <c r="T1327">
        <v>27640.16</v>
      </c>
      <c r="U1327">
        <v>67910.899099999995</v>
      </c>
      <c r="V1327">
        <v>29297.559099999999</v>
      </c>
      <c r="AA1327" s="29" t="s">
        <v>43</v>
      </c>
      <c r="AB1327">
        <v>31200</v>
      </c>
      <c r="AC1327">
        <v>120</v>
      </c>
      <c r="AD1327">
        <v>3</v>
      </c>
      <c r="AE1327">
        <v>0</v>
      </c>
      <c r="AF1327">
        <v>0</v>
      </c>
      <c r="AG1327" s="29" t="s">
        <v>1878</v>
      </c>
      <c r="AH1327" s="29" t="s">
        <v>1896</v>
      </c>
      <c r="AI1327" s="29" t="s">
        <v>2035</v>
      </c>
      <c r="AJ1327" s="29"/>
      <c r="AL1327" s="29" t="s">
        <v>1879</v>
      </c>
    </row>
    <row r="1328" spans="15:38">
      <c r="O1328" t="s">
        <v>24</v>
      </c>
      <c r="P1328" t="s">
        <v>43</v>
      </c>
      <c r="Q1328" t="s">
        <v>12</v>
      </c>
      <c r="R1328" t="s">
        <v>60</v>
      </c>
      <c r="S1328">
        <v>2024.11</v>
      </c>
      <c r="T1328">
        <v>27640.16</v>
      </c>
      <c r="U1328">
        <v>67910.899099999995</v>
      </c>
      <c r="V1328">
        <v>29297.559099999999</v>
      </c>
      <c r="AA1328" s="29" t="s">
        <v>43</v>
      </c>
      <c r="AB1328">
        <v>31200</v>
      </c>
      <c r="AC1328">
        <v>120</v>
      </c>
      <c r="AD1328">
        <v>3</v>
      </c>
      <c r="AE1328">
        <v>0</v>
      </c>
      <c r="AF1328">
        <v>0</v>
      </c>
      <c r="AG1328" s="29" t="s">
        <v>1878</v>
      </c>
      <c r="AH1328" s="29" t="s">
        <v>1896</v>
      </c>
      <c r="AI1328" s="29" t="s">
        <v>2036</v>
      </c>
      <c r="AJ1328" s="29"/>
      <c r="AL1328" s="29" t="s">
        <v>1879</v>
      </c>
    </row>
    <row r="1329" spans="15:38">
      <c r="O1329" t="s">
        <v>24</v>
      </c>
      <c r="P1329" t="s">
        <v>43</v>
      </c>
      <c r="Q1329" t="s">
        <v>12</v>
      </c>
      <c r="R1329" t="s">
        <v>60</v>
      </c>
      <c r="S1329">
        <v>2024.12</v>
      </c>
      <c r="T1329">
        <v>27640.16</v>
      </c>
      <c r="U1329">
        <v>67910.899099999995</v>
      </c>
      <c r="V1329">
        <v>29297.559099999999</v>
      </c>
      <c r="AA1329" s="29" t="s">
        <v>43</v>
      </c>
      <c r="AB1329">
        <v>31200</v>
      </c>
      <c r="AC1329">
        <v>120</v>
      </c>
      <c r="AD1329">
        <v>3</v>
      </c>
      <c r="AE1329">
        <v>1017</v>
      </c>
      <c r="AF1329">
        <v>1017</v>
      </c>
      <c r="AG1329" s="29" t="s">
        <v>1878</v>
      </c>
      <c r="AH1329" s="29" t="s">
        <v>2037</v>
      </c>
      <c r="AI1329" s="29" t="s">
        <v>2038</v>
      </c>
      <c r="AJ1329" s="29"/>
      <c r="AL1329" s="29" t="s">
        <v>1879</v>
      </c>
    </row>
    <row r="1330" spans="15:38">
      <c r="O1330" t="s">
        <v>24</v>
      </c>
      <c r="P1330" t="s">
        <v>43</v>
      </c>
      <c r="Q1330" t="s">
        <v>12</v>
      </c>
      <c r="R1330" t="s">
        <v>60</v>
      </c>
      <c r="S1330">
        <v>2024.14</v>
      </c>
      <c r="T1330">
        <v>27640.16</v>
      </c>
      <c r="U1330">
        <v>67910.899099999995</v>
      </c>
      <c r="V1330">
        <v>29297.559099999999</v>
      </c>
      <c r="AA1330" s="29" t="s">
        <v>43</v>
      </c>
      <c r="AB1330">
        <v>31200</v>
      </c>
      <c r="AC1330">
        <v>120</v>
      </c>
      <c r="AD1330">
        <v>3</v>
      </c>
      <c r="AE1330">
        <v>57.8</v>
      </c>
      <c r="AF1330">
        <v>57.8</v>
      </c>
      <c r="AG1330" s="29" t="s">
        <v>1878</v>
      </c>
      <c r="AH1330" s="29" t="s">
        <v>2039</v>
      </c>
      <c r="AI1330" s="29" t="s">
        <v>2040</v>
      </c>
      <c r="AJ1330" s="29"/>
      <c r="AL1330" s="29" t="s">
        <v>1879</v>
      </c>
    </row>
    <row r="1331" spans="15:38">
      <c r="O1331" t="s">
        <v>24</v>
      </c>
      <c r="P1331" t="s">
        <v>43</v>
      </c>
      <c r="Q1331" t="s">
        <v>12</v>
      </c>
      <c r="R1331" t="s">
        <v>60</v>
      </c>
      <c r="S1331">
        <v>2024.17</v>
      </c>
      <c r="T1331">
        <v>27640.16</v>
      </c>
      <c r="U1331">
        <v>67910.899099999995</v>
      </c>
      <c r="V1331">
        <v>29297.559099999999</v>
      </c>
      <c r="AA1331" s="29" t="s">
        <v>43</v>
      </c>
      <c r="AB1331">
        <v>31200</v>
      </c>
      <c r="AC1331">
        <v>120</v>
      </c>
      <c r="AD1331">
        <v>3</v>
      </c>
      <c r="AE1331">
        <v>0</v>
      </c>
      <c r="AF1331">
        <v>0</v>
      </c>
      <c r="AG1331" s="29" t="s">
        <v>1878</v>
      </c>
      <c r="AH1331" s="29" t="s">
        <v>1896</v>
      </c>
      <c r="AI1331" s="29" t="s">
        <v>2041</v>
      </c>
      <c r="AJ1331" s="29"/>
      <c r="AL1331" s="29" t="s">
        <v>1879</v>
      </c>
    </row>
    <row r="1332" spans="15:38">
      <c r="O1332" t="s">
        <v>24</v>
      </c>
      <c r="P1332" t="s">
        <v>43</v>
      </c>
      <c r="Q1332" t="s">
        <v>12</v>
      </c>
      <c r="R1332" t="s">
        <v>60</v>
      </c>
      <c r="S1332">
        <v>2024.18</v>
      </c>
      <c r="T1332">
        <v>27640.16</v>
      </c>
      <c r="U1332">
        <v>67910.899099999995</v>
      </c>
      <c r="V1332">
        <v>29297.559099999999</v>
      </c>
      <c r="AA1332" s="29" t="s">
        <v>43</v>
      </c>
      <c r="AB1332">
        <v>31200</v>
      </c>
      <c r="AC1332">
        <v>120</v>
      </c>
      <c r="AD1332">
        <v>3</v>
      </c>
      <c r="AE1332">
        <v>38.53</v>
      </c>
      <c r="AF1332">
        <v>38.53</v>
      </c>
      <c r="AG1332" s="29" t="s">
        <v>1878</v>
      </c>
      <c r="AH1332" s="29" t="s">
        <v>2042</v>
      </c>
      <c r="AI1332" s="29" t="s">
        <v>2043</v>
      </c>
      <c r="AJ1332" s="29"/>
      <c r="AL1332" s="29" t="s">
        <v>1879</v>
      </c>
    </row>
    <row r="1333" spans="15:38">
      <c r="O1333" t="s">
        <v>24</v>
      </c>
      <c r="P1333" t="s">
        <v>43</v>
      </c>
      <c r="Q1333" t="s">
        <v>12</v>
      </c>
      <c r="R1333" t="s">
        <v>60</v>
      </c>
      <c r="S1333">
        <v>2024.19</v>
      </c>
      <c r="T1333">
        <v>27640.16</v>
      </c>
      <c r="U1333">
        <v>67910.899099999995</v>
      </c>
      <c r="V1333">
        <v>29297.559099999999</v>
      </c>
      <c r="AA1333" s="29" t="s">
        <v>43</v>
      </c>
      <c r="AB1333">
        <v>31200</v>
      </c>
      <c r="AC1333">
        <v>120</v>
      </c>
      <c r="AD1333">
        <v>4</v>
      </c>
      <c r="AE1333">
        <v>109.9</v>
      </c>
      <c r="AF1333">
        <v>109.9</v>
      </c>
      <c r="AG1333" s="29" t="s">
        <v>1878</v>
      </c>
      <c r="AH1333" s="29" t="s">
        <v>2044</v>
      </c>
      <c r="AI1333" s="29" t="s">
        <v>1931</v>
      </c>
      <c r="AJ1333" s="29" t="s">
        <v>2045</v>
      </c>
      <c r="AL1333" s="29" t="s">
        <v>1879</v>
      </c>
    </row>
    <row r="1334" spans="15:38">
      <c r="O1334" t="s">
        <v>24</v>
      </c>
      <c r="P1334" t="s">
        <v>43</v>
      </c>
      <c r="Q1334" t="s">
        <v>12</v>
      </c>
      <c r="R1334" t="s">
        <v>60</v>
      </c>
      <c r="S1334">
        <v>2024.2</v>
      </c>
      <c r="T1334">
        <v>27640.16</v>
      </c>
      <c r="U1334">
        <v>67910.899099999995</v>
      </c>
      <c r="V1334">
        <v>29297.559099999999</v>
      </c>
      <c r="AA1334" s="29" t="s">
        <v>43</v>
      </c>
      <c r="AB1334">
        <v>31200</v>
      </c>
      <c r="AC1334">
        <v>120</v>
      </c>
      <c r="AD1334">
        <v>4</v>
      </c>
      <c r="AE1334">
        <v>1831</v>
      </c>
      <c r="AF1334">
        <v>1831</v>
      </c>
      <c r="AG1334" s="29" t="s">
        <v>1878</v>
      </c>
      <c r="AH1334" s="29" t="s">
        <v>2046</v>
      </c>
      <c r="AI1334" s="29" t="s">
        <v>1931</v>
      </c>
      <c r="AJ1334" s="29" t="s">
        <v>2047</v>
      </c>
      <c r="AL1334" s="29" t="s">
        <v>1879</v>
      </c>
    </row>
    <row r="1335" spans="15:38">
      <c r="O1335" t="s">
        <v>24</v>
      </c>
      <c r="P1335" t="s">
        <v>43</v>
      </c>
      <c r="Q1335" t="s">
        <v>12</v>
      </c>
      <c r="R1335" t="s">
        <v>60</v>
      </c>
      <c r="S1335">
        <v>2024.21</v>
      </c>
      <c r="T1335">
        <v>27640.16</v>
      </c>
      <c r="U1335">
        <v>67910.899099999995</v>
      </c>
      <c r="V1335">
        <v>29297.559099999999</v>
      </c>
      <c r="AA1335" s="29" t="s">
        <v>43</v>
      </c>
      <c r="AB1335">
        <v>31200</v>
      </c>
      <c r="AC1335">
        <v>120</v>
      </c>
      <c r="AD1335">
        <v>4</v>
      </c>
      <c r="AE1335">
        <v>105.64</v>
      </c>
      <c r="AF1335">
        <v>105.64</v>
      </c>
      <c r="AG1335" s="29" t="s">
        <v>1878</v>
      </c>
      <c r="AH1335" s="29" t="s">
        <v>2048</v>
      </c>
      <c r="AI1335" s="29" t="s">
        <v>1931</v>
      </c>
      <c r="AJ1335" s="29" t="s">
        <v>2049</v>
      </c>
      <c r="AL1335" s="29" t="s">
        <v>1879</v>
      </c>
    </row>
    <row r="1336" spans="15:38">
      <c r="O1336" t="s">
        <v>24</v>
      </c>
      <c r="P1336" t="s">
        <v>43</v>
      </c>
      <c r="Q1336" t="s">
        <v>12</v>
      </c>
      <c r="R1336" t="s">
        <v>60</v>
      </c>
      <c r="S1336">
        <v>2024.28</v>
      </c>
      <c r="T1336">
        <v>27786.639999999999</v>
      </c>
      <c r="U1336">
        <v>67910.899099999995</v>
      </c>
      <c r="V1336">
        <v>29297.559099999999</v>
      </c>
      <c r="AA1336" s="29" t="s">
        <v>43</v>
      </c>
      <c r="AB1336">
        <v>31200</v>
      </c>
      <c r="AC1336">
        <v>120</v>
      </c>
      <c r="AD1336">
        <v>4</v>
      </c>
      <c r="AE1336">
        <v>961</v>
      </c>
      <c r="AF1336">
        <v>961</v>
      </c>
      <c r="AG1336" s="29" t="s">
        <v>1878</v>
      </c>
      <c r="AH1336" s="29" t="s">
        <v>2050</v>
      </c>
      <c r="AI1336" s="29" t="s">
        <v>1931</v>
      </c>
      <c r="AJ1336" s="29" t="s">
        <v>2051</v>
      </c>
      <c r="AL1336" s="29" t="s">
        <v>1879</v>
      </c>
    </row>
    <row r="1337" spans="15:38">
      <c r="O1337" t="s">
        <v>24</v>
      </c>
      <c r="P1337" t="s">
        <v>43</v>
      </c>
      <c r="Q1337" t="s">
        <v>12</v>
      </c>
      <c r="R1337" t="s">
        <v>60</v>
      </c>
      <c r="S1337">
        <v>2024.38</v>
      </c>
      <c r="T1337">
        <v>27786.639999999999</v>
      </c>
      <c r="U1337">
        <v>67910.899099999995</v>
      </c>
      <c r="V1337">
        <v>29297.559099999999</v>
      </c>
      <c r="AA1337" s="29" t="s">
        <v>43</v>
      </c>
      <c r="AB1337">
        <v>31200</v>
      </c>
      <c r="AC1337">
        <v>120</v>
      </c>
      <c r="AD1337">
        <v>4</v>
      </c>
      <c r="AE1337">
        <v>105.64</v>
      </c>
      <c r="AF1337">
        <v>105.64</v>
      </c>
      <c r="AG1337" s="29" t="s">
        <v>1878</v>
      </c>
      <c r="AH1337" s="29" t="s">
        <v>2048</v>
      </c>
      <c r="AI1337" s="29" t="s">
        <v>1931</v>
      </c>
      <c r="AJ1337" s="29" t="s">
        <v>2049</v>
      </c>
      <c r="AL1337" s="29" t="s">
        <v>1879</v>
      </c>
    </row>
    <row r="1338" spans="15:38">
      <c r="O1338" t="s">
        <v>24</v>
      </c>
      <c r="P1338" t="s">
        <v>43</v>
      </c>
      <c r="Q1338" t="s">
        <v>12</v>
      </c>
      <c r="R1338" t="s">
        <v>60</v>
      </c>
      <c r="S1338">
        <v>2024.39</v>
      </c>
      <c r="T1338">
        <v>11586.64</v>
      </c>
      <c r="U1338">
        <v>67910.899099999995</v>
      </c>
      <c r="V1338">
        <v>29297.559099999999</v>
      </c>
      <c r="AA1338" s="29" t="s">
        <v>43</v>
      </c>
      <c r="AB1338">
        <v>31200</v>
      </c>
      <c r="AC1338">
        <v>120</v>
      </c>
      <c r="AD1338">
        <v>4</v>
      </c>
      <c r="AE1338">
        <v>291.10000000000002</v>
      </c>
      <c r="AF1338">
        <v>291.10000000000002</v>
      </c>
      <c r="AG1338" s="29" t="s">
        <v>1878</v>
      </c>
      <c r="AH1338" s="29" t="s">
        <v>2052</v>
      </c>
      <c r="AI1338" s="29" t="s">
        <v>1931</v>
      </c>
      <c r="AJ1338" s="29" t="s">
        <v>2053</v>
      </c>
      <c r="AL1338" s="29" t="s">
        <v>1879</v>
      </c>
    </row>
    <row r="1339" spans="15:38">
      <c r="O1339" t="s">
        <v>24</v>
      </c>
      <c r="P1339" t="s">
        <v>43</v>
      </c>
      <c r="Q1339" t="s">
        <v>12</v>
      </c>
      <c r="R1339" t="s">
        <v>60</v>
      </c>
      <c r="S1339">
        <v>2024.41</v>
      </c>
      <c r="T1339">
        <v>11586.64</v>
      </c>
      <c r="U1339">
        <v>67910.899099999995</v>
      </c>
      <c r="V1339">
        <v>29297.559099999999</v>
      </c>
      <c r="AA1339" s="29" t="s">
        <v>43</v>
      </c>
      <c r="AB1339">
        <v>31200</v>
      </c>
      <c r="AC1339">
        <v>120</v>
      </c>
      <c r="AD1339">
        <v>4</v>
      </c>
      <c r="AE1339">
        <v>1153</v>
      </c>
      <c r="AF1339">
        <v>1153</v>
      </c>
      <c r="AG1339" s="29" t="s">
        <v>1878</v>
      </c>
      <c r="AH1339" s="29" t="s">
        <v>2054</v>
      </c>
      <c r="AI1339" s="29" t="s">
        <v>1931</v>
      </c>
      <c r="AJ1339" s="29" t="s">
        <v>2055</v>
      </c>
      <c r="AL1339" s="29" t="s">
        <v>1879</v>
      </c>
    </row>
    <row r="1340" spans="15:38">
      <c r="O1340" t="s">
        <v>24</v>
      </c>
      <c r="P1340" t="s">
        <v>43</v>
      </c>
      <c r="Q1340" t="s">
        <v>12</v>
      </c>
      <c r="R1340" t="s">
        <v>60</v>
      </c>
      <c r="S1340">
        <v>2024.43</v>
      </c>
      <c r="T1340">
        <v>11586.64</v>
      </c>
      <c r="U1340">
        <v>67910.899099999995</v>
      </c>
      <c r="V1340">
        <v>29297.559099999999</v>
      </c>
      <c r="AA1340" s="29" t="s">
        <v>43</v>
      </c>
      <c r="AB1340">
        <v>31200</v>
      </c>
      <c r="AC1340">
        <v>120</v>
      </c>
      <c r="AD1340">
        <v>4</v>
      </c>
      <c r="AE1340">
        <v>109.2</v>
      </c>
      <c r="AF1340">
        <v>109.2</v>
      </c>
      <c r="AG1340" s="29" t="s">
        <v>1878</v>
      </c>
      <c r="AH1340" s="29" t="s">
        <v>2056</v>
      </c>
      <c r="AI1340" s="29" t="s">
        <v>1931</v>
      </c>
      <c r="AJ1340" s="29" t="s">
        <v>2057</v>
      </c>
      <c r="AL1340" s="29" t="s">
        <v>1879</v>
      </c>
    </row>
    <row r="1341" spans="15:38">
      <c r="O1341" t="s">
        <v>24</v>
      </c>
      <c r="P1341" t="s">
        <v>43</v>
      </c>
      <c r="Q1341" t="s">
        <v>12</v>
      </c>
      <c r="R1341" t="s">
        <v>60</v>
      </c>
      <c r="S1341">
        <v>2024.44</v>
      </c>
      <c r="T1341">
        <v>12758.48</v>
      </c>
      <c r="U1341">
        <v>70484.031400000007</v>
      </c>
      <c r="V1341">
        <v>31870.6914</v>
      </c>
      <c r="AA1341" s="29" t="s">
        <v>43</v>
      </c>
      <c r="AB1341">
        <v>31200</v>
      </c>
      <c r="AC1341">
        <v>120</v>
      </c>
      <c r="AD1341">
        <v>4</v>
      </c>
      <c r="AE1341">
        <v>29.36</v>
      </c>
      <c r="AF1341">
        <v>29.36</v>
      </c>
      <c r="AG1341" s="29" t="s">
        <v>1878</v>
      </c>
      <c r="AH1341" s="29" t="s">
        <v>2058</v>
      </c>
      <c r="AI1341" s="29" t="s">
        <v>1931</v>
      </c>
      <c r="AJ1341" s="29" t="s">
        <v>2059</v>
      </c>
      <c r="AL1341" s="29" t="s">
        <v>1879</v>
      </c>
    </row>
    <row r="1342" spans="15:38">
      <c r="O1342" t="s">
        <v>24</v>
      </c>
      <c r="P1342" t="s">
        <v>43</v>
      </c>
      <c r="Q1342" t="s">
        <v>12</v>
      </c>
      <c r="R1342" t="s">
        <v>60</v>
      </c>
      <c r="S1342">
        <v>2024.45</v>
      </c>
      <c r="T1342">
        <v>12758.48</v>
      </c>
      <c r="U1342">
        <v>70484.031400000007</v>
      </c>
      <c r="V1342">
        <v>31870.6914</v>
      </c>
      <c r="AA1342" s="29" t="s">
        <v>43</v>
      </c>
      <c r="AB1342">
        <v>31200</v>
      </c>
      <c r="AC1342">
        <v>120</v>
      </c>
      <c r="AD1342">
        <v>4</v>
      </c>
      <c r="AE1342">
        <v>156.57</v>
      </c>
      <c r="AF1342">
        <v>156.57</v>
      </c>
      <c r="AG1342" s="29" t="s">
        <v>1878</v>
      </c>
      <c r="AH1342" s="29" t="s">
        <v>2060</v>
      </c>
      <c r="AI1342" s="29" t="s">
        <v>1931</v>
      </c>
      <c r="AJ1342" s="29" t="s">
        <v>2061</v>
      </c>
      <c r="AL1342" s="29" t="s">
        <v>1879</v>
      </c>
    </row>
    <row r="1343" spans="15:38">
      <c r="O1343" t="s">
        <v>24</v>
      </c>
      <c r="P1343" t="s">
        <v>43</v>
      </c>
      <c r="Q1343" t="s">
        <v>12</v>
      </c>
      <c r="R1343" t="s">
        <v>60</v>
      </c>
      <c r="S1343">
        <v>2024.47</v>
      </c>
      <c r="T1343">
        <v>12758.48</v>
      </c>
      <c r="U1343">
        <v>70484.031400000007</v>
      </c>
      <c r="V1343">
        <v>31870.6914</v>
      </c>
      <c r="AA1343" s="29" t="s">
        <v>43</v>
      </c>
      <c r="AB1343">
        <v>31200</v>
      </c>
      <c r="AC1343">
        <v>120</v>
      </c>
      <c r="AD1343">
        <v>4</v>
      </c>
      <c r="AE1343">
        <v>8</v>
      </c>
      <c r="AF1343">
        <v>8</v>
      </c>
      <c r="AG1343" s="29" t="s">
        <v>1878</v>
      </c>
      <c r="AH1343" s="29" t="s">
        <v>2062</v>
      </c>
      <c r="AI1343" s="29" t="s">
        <v>1931</v>
      </c>
      <c r="AJ1343" s="29" t="s">
        <v>2063</v>
      </c>
      <c r="AL1343" s="29" t="s">
        <v>1879</v>
      </c>
    </row>
    <row r="1344" spans="15:38">
      <c r="O1344" t="s">
        <v>24</v>
      </c>
      <c r="P1344" t="s">
        <v>43</v>
      </c>
      <c r="Q1344" t="s">
        <v>12</v>
      </c>
      <c r="R1344" t="s">
        <v>60</v>
      </c>
      <c r="S1344">
        <v>2024.48</v>
      </c>
      <c r="T1344">
        <v>12758.48</v>
      </c>
      <c r="U1344">
        <v>70484.031400000007</v>
      </c>
      <c r="V1344">
        <v>21870.6914</v>
      </c>
      <c r="AA1344" s="29" t="s">
        <v>43</v>
      </c>
      <c r="AB1344">
        <v>31200</v>
      </c>
      <c r="AC1344">
        <v>120</v>
      </c>
      <c r="AD1344">
        <v>4</v>
      </c>
      <c r="AE1344">
        <v>104</v>
      </c>
      <c r="AF1344">
        <v>104</v>
      </c>
      <c r="AG1344" s="29" t="s">
        <v>1878</v>
      </c>
      <c r="AH1344" s="29" t="s">
        <v>1894</v>
      </c>
      <c r="AI1344" s="29" t="s">
        <v>1931</v>
      </c>
      <c r="AJ1344" s="29" t="s">
        <v>2064</v>
      </c>
      <c r="AL1344" s="29" t="s">
        <v>1879</v>
      </c>
    </row>
    <row r="1345" spans="15:38">
      <c r="O1345" t="s">
        <v>24</v>
      </c>
      <c r="P1345" t="s">
        <v>43</v>
      </c>
      <c r="Q1345" t="s">
        <v>12</v>
      </c>
      <c r="R1345" t="s">
        <v>60</v>
      </c>
      <c r="S1345">
        <v>2024.49</v>
      </c>
      <c r="T1345">
        <v>12758.48</v>
      </c>
      <c r="U1345">
        <v>70484.031400000007</v>
      </c>
      <c r="V1345">
        <v>21870.6914</v>
      </c>
      <c r="AA1345" s="29" t="s">
        <v>43</v>
      </c>
      <c r="AB1345">
        <v>31200</v>
      </c>
      <c r="AC1345">
        <v>120</v>
      </c>
      <c r="AD1345">
        <v>4</v>
      </c>
      <c r="AE1345">
        <v>136</v>
      </c>
      <c r="AF1345">
        <v>136</v>
      </c>
      <c r="AG1345" s="29" t="s">
        <v>1878</v>
      </c>
      <c r="AH1345" s="29" t="s">
        <v>2065</v>
      </c>
      <c r="AI1345" s="29" t="s">
        <v>1931</v>
      </c>
      <c r="AJ1345" s="29" t="s">
        <v>2066</v>
      </c>
      <c r="AL1345" s="29" t="s">
        <v>1879</v>
      </c>
    </row>
    <row r="1346" spans="15:38">
      <c r="O1346" t="s">
        <v>24</v>
      </c>
      <c r="P1346" t="s">
        <v>43</v>
      </c>
      <c r="Q1346" t="s">
        <v>12</v>
      </c>
      <c r="R1346" t="s">
        <v>60</v>
      </c>
      <c r="S1346">
        <v>2025.03</v>
      </c>
      <c r="T1346">
        <v>12758.48</v>
      </c>
      <c r="U1346">
        <v>70484.031400000007</v>
      </c>
      <c r="V1346">
        <v>21870.6914</v>
      </c>
      <c r="AA1346" s="29" t="s">
        <v>43</v>
      </c>
      <c r="AB1346">
        <v>31200</v>
      </c>
      <c r="AC1346">
        <v>120</v>
      </c>
      <c r="AD1346">
        <v>4</v>
      </c>
      <c r="AE1346">
        <v>85.44</v>
      </c>
      <c r="AF1346">
        <v>85.44</v>
      </c>
      <c r="AG1346" s="29" t="s">
        <v>1878</v>
      </c>
      <c r="AH1346" s="29" t="s">
        <v>2067</v>
      </c>
      <c r="AI1346" s="29" t="s">
        <v>1931</v>
      </c>
      <c r="AJ1346" s="29" t="s">
        <v>2068</v>
      </c>
      <c r="AL1346" s="29" t="s">
        <v>1879</v>
      </c>
    </row>
    <row r="1347" spans="15:38">
      <c r="O1347" t="s">
        <v>24</v>
      </c>
      <c r="P1347" t="s">
        <v>43</v>
      </c>
      <c r="Q1347" t="s">
        <v>12</v>
      </c>
      <c r="R1347" t="s">
        <v>60</v>
      </c>
      <c r="S1347">
        <v>2025.08</v>
      </c>
      <c r="T1347">
        <v>12758.48</v>
      </c>
      <c r="U1347">
        <v>70484.031400000007</v>
      </c>
      <c r="V1347">
        <v>21870.6914</v>
      </c>
      <c r="AA1347" s="29" t="s">
        <v>43</v>
      </c>
      <c r="AB1347">
        <v>31200</v>
      </c>
      <c r="AC1347">
        <v>120</v>
      </c>
      <c r="AD1347">
        <v>4</v>
      </c>
      <c r="AE1347">
        <v>116.44</v>
      </c>
      <c r="AF1347">
        <v>116.44</v>
      </c>
      <c r="AG1347" s="29" t="s">
        <v>1878</v>
      </c>
      <c r="AH1347" s="29" t="s">
        <v>2069</v>
      </c>
      <c r="AI1347" s="29" t="s">
        <v>1931</v>
      </c>
      <c r="AJ1347" s="29" t="s">
        <v>2070</v>
      </c>
      <c r="AL1347" s="29" t="s">
        <v>1879</v>
      </c>
    </row>
    <row r="1348" spans="15:38">
      <c r="O1348" t="s">
        <v>24</v>
      </c>
      <c r="P1348" t="s">
        <v>43</v>
      </c>
      <c r="Q1348" t="s">
        <v>12</v>
      </c>
      <c r="R1348" t="s">
        <v>60</v>
      </c>
      <c r="S1348">
        <v>2025.1</v>
      </c>
      <c r="T1348">
        <v>12758.48</v>
      </c>
      <c r="U1348">
        <v>70484.031400000007</v>
      </c>
      <c r="V1348">
        <v>21870.6914</v>
      </c>
      <c r="AA1348" s="29" t="s">
        <v>43</v>
      </c>
      <c r="AB1348">
        <v>31200</v>
      </c>
      <c r="AC1348">
        <v>120</v>
      </c>
      <c r="AD1348">
        <v>4</v>
      </c>
      <c r="AE1348">
        <v>5.28</v>
      </c>
      <c r="AF1348">
        <v>5.28</v>
      </c>
      <c r="AG1348" s="29" t="s">
        <v>1878</v>
      </c>
      <c r="AH1348" s="29" t="s">
        <v>2071</v>
      </c>
      <c r="AI1348" s="29" t="s">
        <v>1931</v>
      </c>
      <c r="AJ1348" s="29" t="s">
        <v>445</v>
      </c>
      <c r="AL1348" s="29" t="s">
        <v>1879</v>
      </c>
    </row>
    <row r="1349" spans="15:38">
      <c r="O1349" t="s">
        <v>24</v>
      </c>
      <c r="P1349" t="s">
        <v>43</v>
      </c>
      <c r="Q1349" t="s">
        <v>12</v>
      </c>
      <c r="R1349" t="s">
        <v>60</v>
      </c>
      <c r="S1349">
        <v>2025.11</v>
      </c>
      <c r="T1349">
        <v>12758.48</v>
      </c>
      <c r="U1349">
        <v>70484.031400000007</v>
      </c>
      <c r="V1349">
        <v>21870.6914</v>
      </c>
      <c r="AA1349" s="29" t="s">
        <v>43</v>
      </c>
      <c r="AB1349">
        <v>31200</v>
      </c>
      <c r="AC1349">
        <v>120</v>
      </c>
      <c r="AD1349">
        <v>4</v>
      </c>
      <c r="AE1349">
        <v>95.44</v>
      </c>
      <c r="AF1349">
        <v>95.44</v>
      </c>
      <c r="AG1349" s="29" t="s">
        <v>1878</v>
      </c>
      <c r="AH1349" s="29" t="s">
        <v>2072</v>
      </c>
      <c r="AI1349" s="29" t="s">
        <v>1931</v>
      </c>
      <c r="AJ1349" s="29" t="s">
        <v>2073</v>
      </c>
      <c r="AL1349" s="29" t="s">
        <v>1879</v>
      </c>
    </row>
    <row r="1350" spans="15:38">
      <c r="O1350" t="s">
        <v>24</v>
      </c>
      <c r="P1350" t="s">
        <v>43</v>
      </c>
      <c r="Q1350" t="s">
        <v>12</v>
      </c>
      <c r="R1350" t="s">
        <v>60</v>
      </c>
      <c r="S1350">
        <v>2025.12</v>
      </c>
      <c r="T1350">
        <v>12758.48</v>
      </c>
      <c r="U1350">
        <v>70484.031400000007</v>
      </c>
      <c r="V1350">
        <v>21870.6914</v>
      </c>
      <c r="AA1350" s="29" t="s">
        <v>43</v>
      </c>
      <c r="AB1350">
        <v>31200</v>
      </c>
      <c r="AC1350">
        <v>120</v>
      </c>
      <c r="AD1350">
        <v>4</v>
      </c>
      <c r="AE1350">
        <v>53.5</v>
      </c>
      <c r="AF1350">
        <v>53.5</v>
      </c>
      <c r="AG1350" s="29" t="s">
        <v>1878</v>
      </c>
      <c r="AH1350" s="29" t="s">
        <v>2074</v>
      </c>
      <c r="AI1350" s="29" t="s">
        <v>1931</v>
      </c>
      <c r="AJ1350" s="29" t="s">
        <v>2075</v>
      </c>
      <c r="AL1350" s="29" t="s">
        <v>1879</v>
      </c>
    </row>
    <row r="1351" spans="15:38">
      <c r="O1351" t="s">
        <v>24</v>
      </c>
      <c r="P1351" t="s">
        <v>43</v>
      </c>
      <c r="Q1351" t="s">
        <v>12</v>
      </c>
      <c r="R1351" t="s">
        <v>62</v>
      </c>
      <c r="S1351">
        <v>2023.47</v>
      </c>
      <c r="T1351">
        <v>0</v>
      </c>
      <c r="U1351">
        <v>36617.209199999998</v>
      </c>
      <c r="V1351">
        <v>36617.209199999998</v>
      </c>
      <c r="AA1351" s="29" t="s">
        <v>43</v>
      </c>
      <c r="AB1351">
        <v>31200</v>
      </c>
      <c r="AC1351">
        <v>120</v>
      </c>
      <c r="AD1351">
        <v>4</v>
      </c>
      <c r="AE1351">
        <v>85.46</v>
      </c>
      <c r="AF1351">
        <v>85.46</v>
      </c>
      <c r="AG1351" s="29" t="s">
        <v>1878</v>
      </c>
      <c r="AH1351" s="29" t="s">
        <v>2076</v>
      </c>
      <c r="AI1351" s="29" t="s">
        <v>1931</v>
      </c>
      <c r="AJ1351" s="29" t="s">
        <v>2077</v>
      </c>
      <c r="AL1351" s="29" t="s">
        <v>1879</v>
      </c>
    </row>
    <row r="1352" spans="15:38">
      <c r="O1352" t="s">
        <v>24</v>
      </c>
      <c r="P1352" t="s">
        <v>43</v>
      </c>
      <c r="Q1352" t="s">
        <v>12</v>
      </c>
      <c r="R1352" t="s">
        <v>62</v>
      </c>
      <c r="S1352">
        <v>2023.51</v>
      </c>
      <c r="T1352">
        <v>19372.72</v>
      </c>
      <c r="U1352">
        <v>36617.209199999998</v>
      </c>
      <c r="V1352">
        <v>36617.209199999998</v>
      </c>
      <c r="AA1352" s="29" t="s">
        <v>43</v>
      </c>
      <c r="AB1352">
        <v>31200</v>
      </c>
      <c r="AC1352">
        <v>120</v>
      </c>
      <c r="AD1352">
        <v>4</v>
      </c>
      <c r="AE1352">
        <v>19.27</v>
      </c>
      <c r="AF1352">
        <v>19.27</v>
      </c>
      <c r="AG1352" s="29" t="s">
        <v>1878</v>
      </c>
      <c r="AH1352" s="29" t="s">
        <v>2078</v>
      </c>
      <c r="AI1352" s="29" t="s">
        <v>1931</v>
      </c>
      <c r="AJ1352" s="29" t="s">
        <v>2079</v>
      </c>
      <c r="AL1352" s="29" t="s">
        <v>1879</v>
      </c>
    </row>
    <row r="1353" spans="15:38">
      <c r="O1353" t="s">
        <v>24</v>
      </c>
      <c r="P1353" t="s">
        <v>43</v>
      </c>
      <c r="Q1353" t="s">
        <v>12</v>
      </c>
      <c r="R1353" t="s">
        <v>62</v>
      </c>
      <c r="S1353">
        <v>2024.05</v>
      </c>
      <c r="T1353">
        <v>12828.59</v>
      </c>
      <c r="U1353">
        <v>36617.209199999998</v>
      </c>
      <c r="V1353">
        <v>36617.209199999998</v>
      </c>
      <c r="AA1353" s="29" t="s">
        <v>43</v>
      </c>
      <c r="AB1353">
        <v>31200</v>
      </c>
      <c r="AC1353">
        <v>120</v>
      </c>
      <c r="AD1353">
        <v>4</v>
      </c>
      <c r="AE1353">
        <v>93.96</v>
      </c>
      <c r="AF1353">
        <v>93.96</v>
      </c>
      <c r="AG1353" s="29" t="s">
        <v>1878</v>
      </c>
      <c r="AH1353" s="29" t="s">
        <v>2080</v>
      </c>
      <c r="AI1353" s="29" t="s">
        <v>1931</v>
      </c>
      <c r="AJ1353" s="29" t="s">
        <v>2081</v>
      </c>
      <c r="AL1353" s="29" t="s">
        <v>1879</v>
      </c>
    </row>
    <row r="1354" spans="15:38">
      <c r="O1354" t="s">
        <v>24</v>
      </c>
      <c r="P1354" t="s">
        <v>43</v>
      </c>
      <c r="Q1354" t="s">
        <v>12</v>
      </c>
      <c r="R1354" t="s">
        <v>62</v>
      </c>
      <c r="S1354">
        <v>2024.06</v>
      </c>
      <c r="T1354">
        <v>12828.59</v>
      </c>
      <c r="U1354">
        <v>36617.209199999998</v>
      </c>
      <c r="V1354">
        <v>36617.209199999998</v>
      </c>
      <c r="AA1354" s="29" t="s">
        <v>43</v>
      </c>
      <c r="AB1354">
        <v>31200</v>
      </c>
      <c r="AC1354">
        <v>120</v>
      </c>
      <c r="AD1354">
        <v>4</v>
      </c>
      <c r="AE1354">
        <v>11.88</v>
      </c>
      <c r="AF1354">
        <v>11.88</v>
      </c>
      <c r="AG1354" s="29" t="s">
        <v>1878</v>
      </c>
      <c r="AH1354" s="29" t="s">
        <v>2082</v>
      </c>
      <c r="AI1354" s="29" t="s">
        <v>1931</v>
      </c>
      <c r="AJ1354" s="29" t="s">
        <v>2083</v>
      </c>
      <c r="AL1354" s="29" t="s">
        <v>1879</v>
      </c>
    </row>
    <row r="1355" spans="15:38">
      <c r="O1355" t="s">
        <v>24</v>
      </c>
      <c r="P1355" t="s">
        <v>43</v>
      </c>
      <c r="Q1355" t="s">
        <v>12</v>
      </c>
      <c r="R1355" t="s">
        <v>62</v>
      </c>
      <c r="S1355">
        <v>2024.07</v>
      </c>
      <c r="T1355">
        <v>12828.59</v>
      </c>
      <c r="U1355">
        <v>36617.209199999998</v>
      </c>
      <c r="V1355">
        <v>36617.209199999998</v>
      </c>
      <c r="AA1355" s="29" t="s">
        <v>43</v>
      </c>
      <c r="AB1355">
        <v>31200</v>
      </c>
      <c r="AC1355">
        <v>120</v>
      </c>
      <c r="AD1355">
        <v>4</v>
      </c>
      <c r="AE1355">
        <v>5.99</v>
      </c>
      <c r="AF1355">
        <v>5.99</v>
      </c>
      <c r="AG1355" s="29" t="s">
        <v>1878</v>
      </c>
      <c r="AH1355" s="29" t="s">
        <v>2084</v>
      </c>
      <c r="AI1355" s="29" t="s">
        <v>1931</v>
      </c>
      <c r="AJ1355" s="29" t="s">
        <v>2085</v>
      </c>
      <c r="AL1355" s="29" t="s">
        <v>1879</v>
      </c>
    </row>
    <row r="1356" spans="15:38">
      <c r="O1356" t="s">
        <v>24</v>
      </c>
      <c r="P1356" t="s">
        <v>43</v>
      </c>
      <c r="Q1356" t="s">
        <v>12</v>
      </c>
      <c r="R1356" t="s">
        <v>62</v>
      </c>
      <c r="S1356">
        <v>2024.08</v>
      </c>
      <c r="T1356">
        <v>12828.59</v>
      </c>
      <c r="U1356">
        <v>36617.209199999998</v>
      </c>
      <c r="V1356">
        <v>36617.209199999998</v>
      </c>
      <c r="AA1356" s="29" t="s">
        <v>43</v>
      </c>
      <c r="AB1356">
        <v>31200</v>
      </c>
      <c r="AC1356">
        <v>120</v>
      </c>
      <c r="AD1356">
        <v>4</v>
      </c>
      <c r="AE1356">
        <v>76</v>
      </c>
      <c r="AF1356">
        <v>76</v>
      </c>
      <c r="AG1356" s="29" t="s">
        <v>1878</v>
      </c>
      <c r="AH1356" s="29" t="s">
        <v>2086</v>
      </c>
      <c r="AI1356" s="29" t="s">
        <v>1931</v>
      </c>
      <c r="AJ1356" s="29" t="s">
        <v>2087</v>
      </c>
      <c r="AL1356" s="29" t="s">
        <v>1879</v>
      </c>
    </row>
    <row r="1357" spans="15:38">
      <c r="O1357" t="s">
        <v>24</v>
      </c>
      <c r="P1357" t="s">
        <v>43</v>
      </c>
      <c r="Q1357" t="s">
        <v>12</v>
      </c>
      <c r="R1357" t="s">
        <v>62</v>
      </c>
      <c r="S1357">
        <v>2024.09</v>
      </c>
      <c r="T1357">
        <v>19372.72</v>
      </c>
      <c r="U1357">
        <v>36617.209199999998</v>
      </c>
      <c r="V1357">
        <v>36617.209199999998</v>
      </c>
      <c r="AA1357" s="29" t="s">
        <v>43</v>
      </c>
      <c r="AB1357">
        <v>31200</v>
      </c>
      <c r="AC1357">
        <v>120</v>
      </c>
      <c r="AD1357">
        <v>4</v>
      </c>
      <c r="AE1357">
        <v>90</v>
      </c>
      <c r="AF1357">
        <v>90</v>
      </c>
      <c r="AG1357" s="29" t="s">
        <v>1878</v>
      </c>
      <c r="AH1357" s="29" t="s">
        <v>2088</v>
      </c>
      <c r="AI1357" s="29" t="s">
        <v>1931</v>
      </c>
      <c r="AJ1357" s="29" t="s">
        <v>2089</v>
      </c>
      <c r="AL1357" s="29" t="s">
        <v>1879</v>
      </c>
    </row>
    <row r="1358" spans="15:38">
      <c r="O1358" t="s">
        <v>24</v>
      </c>
      <c r="P1358" t="s">
        <v>43</v>
      </c>
      <c r="Q1358" t="s">
        <v>12</v>
      </c>
      <c r="R1358" t="s">
        <v>62</v>
      </c>
      <c r="S1358">
        <v>2024.1</v>
      </c>
      <c r="T1358">
        <v>19029.95</v>
      </c>
      <c r="U1358">
        <v>36617.209199999998</v>
      </c>
      <c r="V1358">
        <v>36617.209199999998</v>
      </c>
      <c r="AA1358" s="29" t="s">
        <v>43</v>
      </c>
      <c r="AB1358">
        <v>31200</v>
      </c>
      <c r="AC1358">
        <v>120</v>
      </c>
      <c r="AD1358">
        <v>4</v>
      </c>
      <c r="AE1358">
        <v>147</v>
      </c>
      <c r="AF1358">
        <v>147</v>
      </c>
      <c r="AG1358" s="29" t="s">
        <v>1878</v>
      </c>
      <c r="AH1358" s="29" t="s">
        <v>2090</v>
      </c>
      <c r="AI1358" s="29" t="s">
        <v>1931</v>
      </c>
      <c r="AJ1358" s="29" t="s">
        <v>2091</v>
      </c>
      <c r="AL1358" s="29" t="s">
        <v>1879</v>
      </c>
    </row>
    <row r="1359" spans="15:38">
      <c r="O1359" t="s">
        <v>24</v>
      </c>
      <c r="P1359" t="s">
        <v>43</v>
      </c>
      <c r="Q1359" t="s">
        <v>12</v>
      </c>
      <c r="R1359" t="s">
        <v>62</v>
      </c>
      <c r="S1359">
        <v>2024.11</v>
      </c>
      <c r="T1359">
        <v>20650.400000000001</v>
      </c>
      <c r="U1359">
        <v>36617.209199999998</v>
      </c>
      <c r="V1359">
        <v>36617.209199999998</v>
      </c>
      <c r="AA1359" s="29" t="s">
        <v>43</v>
      </c>
      <c r="AB1359">
        <v>31200</v>
      </c>
      <c r="AC1359">
        <v>120</v>
      </c>
      <c r="AD1359">
        <v>4</v>
      </c>
      <c r="AE1359">
        <v>58.22</v>
      </c>
      <c r="AF1359">
        <v>58.22</v>
      </c>
      <c r="AG1359" s="29" t="s">
        <v>1878</v>
      </c>
      <c r="AH1359" s="29" t="s">
        <v>2092</v>
      </c>
      <c r="AI1359" s="29" t="s">
        <v>1931</v>
      </c>
      <c r="AJ1359" s="29" t="s">
        <v>2093</v>
      </c>
      <c r="AL1359" s="29" t="s">
        <v>1879</v>
      </c>
    </row>
    <row r="1360" spans="15:38">
      <c r="O1360" t="s">
        <v>24</v>
      </c>
      <c r="P1360" t="s">
        <v>43</v>
      </c>
      <c r="Q1360" t="s">
        <v>12</v>
      </c>
      <c r="R1360" t="s">
        <v>62</v>
      </c>
      <c r="S1360">
        <v>2024.12</v>
      </c>
      <c r="T1360">
        <v>22280.19</v>
      </c>
      <c r="U1360">
        <v>36617.209199999998</v>
      </c>
      <c r="V1360">
        <v>36617.209199999998</v>
      </c>
      <c r="AA1360" s="29" t="s">
        <v>43</v>
      </c>
      <c r="AB1360">
        <v>31200</v>
      </c>
      <c r="AC1360">
        <v>120</v>
      </c>
      <c r="AD1360">
        <v>4</v>
      </c>
      <c r="AE1360">
        <v>616.32000000000005</v>
      </c>
      <c r="AF1360">
        <v>616.32000000000005</v>
      </c>
      <c r="AG1360" s="29" t="s">
        <v>1878</v>
      </c>
      <c r="AH1360" s="29" t="s">
        <v>2094</v>
      </c>
      <c r="AI1360" s="29" t="s">
        <v>1931</v>
      </c>
      <c r="AJ1360" s="29" t="s">
        <v>2095</v>
      </c>
      <c r="AL1360" s="29" t="s">
        <v>1879</v>
      </c>
    </row>
    <row r="1361" spans="15:38">
      <c r="O1361" t="s">
        <v>24</v>
      </c>
      <c r="P1361" t="s">
        <v>43</v>
      </c>
      <c r="Q1361" t="s">
        <v>12</v>
      </c>
      <c r="R1361" t="s">
        <v>62</v>
      </c>
      <c r="S1361">
        <v>2024.14</v>
      </c>
      <c r="T1361">
        <v>24999.45</v>
      </c>
      <c r="U1361">
        <v>36617.209199999998</v>
      </c>
      <c r="V1361">
        <v>36617.209199999998</v>
      </c>
      <c r="AA1361" s="29" t="s">
        <v>43</v>
      </c>
      <c r="AB1361">
        <v>31200</v>
      </c>
      <c r="AC1361">
        <v>120</v>
      </c>
      <c r="AD1361">
        <v>4</v>
      </c>
      <c r="AE1361">
        <v>53.5</v>
      </c>
      <c r="AF1361">
        <v>53.5</v>
      </c>
      <c r="AG1361" s="29" t="s">
        <v>1878</v>
      </c>
      <c r="AH1361" s="29" t="s">
        <v>2074</v>
      </c>
      <c r="AI1361" s="29" t="s">
        <v>1931</v>
      </c>
      <c r="AJ1361" s="29" t="s">
        <v>2096</v>
      </c>
      <c r="AL1361" s="29" t="s">
        <v>1879</v>
      </c>
    </row>
    <row r="1362" spans="15:38">
      <c r="O1362" t="s">
        <v>24</v>
      </c>
      <c r="P1362" t="s">
        <v>43</v>
      </c>
      <c r="Q1362" t="s">
        <v>12</v>
      </c>
      <c r="R1362" t="s">
        <v>62</v>
      </c>
      <c r="S1362">
        <v>2024.17</v>
      </c>
      <c r="T1362">
        <v>24999.45</v>
      </c>
      <c r="U1362">
        <v>36617.209199999998</v>
      </c>
      <c r="V1362">
        <v>36617.209199999998</v>
      </c>
      <c r="AA1362" s="29" t="s">
        <v>43</v>
      </c>
      <c r="AB1362">
        <v>31200</v>
      </c>
      <c r="AC1362">
        <v>120</v>
      </c>
      <c r="AD1362">
        <v>4</v>
      </c>
      <c r="AE1362">
        <v>63.12</v>
      </c>
      <c r="AF1362">
        <v>63.12</v>
      </c>
      <c r="AG1362" s="29" t="s">
        <v>1878</v>
      </c>
      <c r="AH1362" s="29" t="s">
        <v>2097</v>
      </c>
      <c r="AI1362" s="29" t="s">
        <v>1931</v>
      </c>
      <c r="AJ1362" s="29" t="s">
        <v>2098</v>
      </c>
      <c r="AL1362" s="29" t="s">
        <v>1879</v>
      </c>
    </row>
    <row r="1363" spans="15:38">
      <c r="O1363" t="s">
        <v>24</v>
      </c>
      <c r="P1363" t="s">
        <v>43</v>
      </c>
      <c r="Q1363" t="s">
        <v>12</v>
      </c>
      <c r="R1363" t="s">
        <v>62</v>
      </c>
      <c r="S1363">
        <v>2024.18</v>
      </c>
      <c r="T1363">
        <v>26460.95</v>
      </c>
      <c r="U1363">
        <v>36617.209199999998</v>
      </c>
      <c r="V1363">
        <v>36617.209199999998</v>
      </c>
      <c r="AA1363" s="29" t="s">
        <v>43</v>
      </c>
      <c r="AB1363">
        <v>31200</v>
      </c>
      <c r="AC1363">
        <v>120</v>
      </c>
      <c r="AD1363">
        <v>4</v>
      </c>
      <c r="AE1363">
        <v>79.900000000000006</v>
      </c>
      <c r="AF1363">
        <v>79.900000000000006</v>
      </c>
      <c r="AG1363" s="29" t="s">
        <v>1878</v>
      </c>
      <c r="AH1363" s="29" t="s">
        <v>2099</v>
      </c>
      <c r="AI1363" s="29" t="s">
        <v>1931</v>
      </c>
      <c r="AJ1363" s="29" t="s">
        <v>2100</v>
      </c>
      <c r="AL1363" s="29" t="s">
        <v>1879</v>
      </c>
    </row>
    <row r="1364" spans="15:38">
      <c r="O1364" t="s">
        <v>24</v>
      </c>
      <c r="P1364" t="s">
        <v>43</v>
      </c>
      <c r="Q1364" t="s">
        <v>12</v>
      </c>
      <c r="R1364" t="s">
        <v>62</v>
      </c>
      <c r="S1364">
        <v>2024.19</v>
      </c>
      <c r="T1364">
        <v>27169.55</v>
      </c>
      <c r="U1364">
        <v>36617.209199999998</v>
      </c>
      <c r="V1364">
        <v>36617.209199999998</v>
      </c>
      <c r="AA1364" s="29" t="s">
        <v>43</v>
      </c>
      <c r="AB1364">
        <v>31200</v>
      </c>
      <c r="AC1364">
        <v>120</v>
      </c>
      <c r="AD1364">
        <v>4</v>
      </c>
      <c r="AE1364">
        <v>142.80000000000001</v>
      </c>
      <c r="AF1364">
        <v>142.80000000000001</v>
      </c>
      <c r="AG1364" s="29" t="s">
        <v>1878</v>
      </c>
      <c r="AH1364" s="29" t="s">
        <v>2101</v>
      </c>
      <c r="AI1364" s="29" t="s">
        <v>1931</v>
      </c>
      <c r="AJ1364" s="29" t="s">
        <v>2102</v>
      </c>
      <c r="AL1364" s="29" t="s">
        <v>1879</v>
      </c>
    </row>
    <row r="1365" spans="15:38">
      <c r="O1365" t="s">
        <v>24</v>
      </c>
      <c r="P1365" t="s">
        <v>43</v>
      </c>
      <c r="Q1365" t="s">
        <v>12</v>
      </c>
      <c r="R1365" t="s">
        <v>62</v>
      </c>
      <c r="S1365">
        <v>2024.2</v>
      </c>
      <c r="T1365">
        <v>27488.42</v>
      </c>
      <c r="U1365">
        <v>36617.209199999998</v>
      </c>
      <c r="V1365">
        <v>36617.209199999998</v>
      </c>
      <c r="AA1365" s="29" t="s">
        <v>43</v>
      </c>
      <c r="AB1365">
        <v>31200</v>
      </c>
      <c r="AC1365">
        <v>120</v>
      </c>
      <c r="AD1365">
        <v>4</v>
      </c>
      <c r="AE1365">
        <v>201.29</v>
      </c>
      <c r="AF1365">
        <v>201.29</v>
      </c>
      <c r="AG1365" s="29" t="s">
        <v>1878</v>
      </c>
      <c r="AH1365" s="29" t="s">
        <v>2103</v>
      </c>
      <c r="AI1365" s="29" t="s">
        <v>1931</v>
      </c>
      <c r="AJ1365" s="29" t="s">
        <v>2104</v>
      </c>
      <c r="AL1365" s="29" t="s">
        <v>1879</v>
      </c>
    </row>
    <row r="1366" spans="15:38">
      <c r="O1366" t="s">
        <v>24</v>
      </c>
      <c r="P1366" t="s">
        <v>43</v>
      </c>
      <c r="Q1366" t="s">
        <v>12</v>
      </c>
      <c r="R1366" t="s">
        <v>62</v>
      </c>
      <c r="S1366">
        <v>2024.21</v>
      </c>
      <c r="T1366">
        <v>27488.42</v>
      </c>
      <c r="U1366">
        <v>36617.209199999998</v>
      </c>
      <c r="V1366">
        <v>36617.209199999998</v>
      </c>
      <c r="AA1366" s="29" t="s">
        <v>43</v>
      </c>
      <c r="AB1366">
        <v>31200</v>
      </c>
      <c r="AC1366">
        <v>120</v>
      </c>
      <c r="AD1366">
        <v>4</v>
      </c>
      <c r="AE1366">
        <v>42.4</v>
      </c>
      <c r="AF1366">
        <v>42.4</v>
      </c>
      <c r="AG1366" s="29" t="s">
        <v>1878</v>
      </c>
      <c r="AH1366" s="29" t="s">
        <v>2105</v>
      </c>
      <c r="AI1366" s="29" t="s">
        <v>1931</v>
      </c>
      <c r="AJ1366" s="29" t="s">
        <v>2106</v>
      </c>
      <c r="AL1366" s="29" t="s">
        <v>1879</v>
      </c>
    </row>
    <row r="1367" spans="15:38">
      <c r="O1367" t="s">
        <v>24</v>
      </c>
      <c r="P1367" t="s">
        <v>43</v>
      </c>
      <c r="Q1367" t="s">
        <v>12</v>
      </c>
      <c r="R1367" t="s">
        <v>62</v>
      </c>
      <c r="S1367">
        <v>2024.28</v>
      </c>
      <c r="T1367">
        <v>29995.11</v>
      </c>
      <c r="U1367">
        <v>36617.209199999998</v>
      </c>
      <c r="V1367">
        <v>36617.209199999998</v>
      </c>
      <c r="AA1367" s="29" t="s">
        <v>43</v>
      </c>
      <c r="AB1367">
        <v>31200</v>
      </c>
      <c r="AC1367">
        <v>120</v>
      </c>
      <c r="AD1367">
        <v>4</v>
      </c>
      <c r="AE1367">
        <v>7805</v>
      </c>
      <c r="AF1367">
        <v>7805</v>
      </c>
      <c r="AG1367" s="29" t="s">
        <v>1878</v>
      </c>
      <c r="AH1367" s="29" t="s">
        <v>2107</v>
      </c>
      <c r="AI1367" s="29" t="s">
        <v>1931</v>
      </c>
      <c r="AJ1367" s="29" t="s">
        <v>2108</v>
      </c>
      <c r="AL1367" s="29" t="s">
        <v>1879</v>
      </c>
    </row>
    <row r="1368" spans="15:38">
      <c r="O1368" t="s">
        <v>24</v>
      </c>
      <c r="P1368" t="s">
        <v>43</v>
      </c>
      <c r="Q1368" t="s">
        <v>12</v>
      </c>
      <c r="R1368" t="s">
        <v>62</v>
      </c>
      <c r="S1368">
        <v>2024.38</v>
      </c>
      <c r="T1368">
        <v>31217.46</v>
      </c>
      <c r="U1368">
        <v>36617.209199999998</v>
      </c>
      <c r="V1368">
        <v>36617.209199999998</v>
      </c>
      <c r="AA1368" s="29" t="s">
        <v>43</v>
      </c>
      <c r="AB1368">
        <v>31200</v>
      </c>
      <c r="AC1368">
        <v>120</v>
      </c>
      <c r="AD1368">
        <v>4</v>
      </c>
      <c r="AE1368">
        <v>415.4</v>
      </c>
      <c r="AF1368">
        <v>415.4</v>
      </c>
      <c r="AG1368" s="29" t="s">
        <v>1878</v>
      </c>
      <c r="AH1368" s="29" t="s">
        <v>2109</v>
      </c>
      <c r="AI1368" s="29" t="s">
        <v>1931</v>
      </c>
      <c r="AJ1368" s="29" t="s">
        <v>2110</v>
      </c>
      <c r="AL1368" s="29" t="s">
        <v>1879</v>
      </c>
    </row>
    <row r="1369" spans="15:38">
      <c r="O1369" t="s">
        <v>24</v>
      </c>
      <c r="P1369" t="s">
        <v>43</v>
      </c>
      <c r="Q1369" t="s">
        <v>12</v>
      </c>
      <c r="R1369" t="s">
        <v>62</v>
      </c>
      <c r="S1369">
        <v>2024.39</v>
      </c>
      <c r="T1369">
        <v>31217.46</v>
      </c>
      <c r="U1369">
        <v>36617.209199999998</v>
      </c>
      <c r="V1369">
        <v>36617.209199999998</v>
      </c>
      <c r="AA1369" s="29" t="s">
        <v>43</v>
      </c>
      <c r="AB1369">
        <v>31200</v>
      </c>
      <c r="AC1369">
        <v>120</v>
      </c>
      <c r="AD1369">
        <v>4</v>
      </c>
      <c r="AE1369">
        <v>826</v>
      </c>
      <c r="AF1369">
        <v>826</v>
      </c>
      <c r="AG1369" s="29" t="s">
        <v>1878</v>
      </c>
      <c r="AH1369" s="29" t="s">
        <v>2111</v>
      </c>
      <c r="AI1369" s="29" t="s">
        <v>1931</v>
      </c>
      <c r="AJ1369" s="29" t="s">
        <v>2112</v>
      </c>
      <c r="AL1369" s="29" t="s">
        <v>1879</v>
      </c>
    </row>
    <row r="1370" spans="15:38">
      <c r="O1370" t="s">
        <v>24</v>
      </c>
      <c r="P1370" t="s">
        <v>43</v>
      </c>
      <c r="Q1370" t="s">
        <v>12</v>
      </c>
      <c r="R1370" t="s">
        <v>62</v>
      </c>
      <c r="S1370">
        <v>2024.41</v>
      </c>
      <c r="T1370">
        <v>35247.65</v>
      </c>
      <c r="U1370">
        <v>36617.209199999998</v>
      </c>
      <c r="V1370">
        <v>36617.209199999998</v>
      </c>
      <c r="AA1370" s="29" t="s">
        <v>43</v>
      </c>
      <c r="AB1370">
        <v>31200</v>
      </c>
      <c r="AC1370">
        <v>120</v>
      </c>
      <c r="AD1370">
        <v>4</v>
      </c>
      <c r="AE1370">
        <v>106.52</v>
      </c>
      <c r="AF1370">
        <v>106.52</v>
      </c>
      <c r="AG1370" s="29" t="s">
        <v>1878</v>
      </c>
      <c r="AH1370" s="29" t="s">
        <v>2113</v>
      </c>
      <c r="AI1370" s="29" t="s">
        <v>1931</v>
      </c>
      <c r="AJ1370" s="29" t="s">
        <v>2114</v>
      </c>
      <c r="AL1370" s="29" t="s">
        <v>1879</v>
      </c>
    </row>
    <row r="1371" spans="15:38">
      <c r="O1371" t="s">
        <v>24</v>
      </c>
      <c r="P1371" t="s">
        <v>43</v>
      </c>
      <c r="Q1371" t="s">
        <v>12</v>
      </c>
      <c r="R1371" t="s">
        <v>62</v>
      </c>
      <c r="S1371">
        <v>2024.43</v>
      </c>
      <c r="T1371">
        <v>35247.65</v>
      </c>
      <c r="U1371">
        <v>36617.209199999998</v>
      </c>
      <c r="V1371">
        <v>36617.209199999998</v>
      </c>
      <c r="AA1371" s="29" t="s">
        <v>43</v>
      </c>
      <c r="AB1371">
        <v>31200</v>
      </c>
      <c r="AC1371">
        <v>120</v>
      </c>
      <c r="AD1371">
        <v>4</v>
      </c>
      <c r="AE1371">
        <v>90</v>
      </c>
      <c r="AF1371">
        <v>90</v>
      </c>
      <c r="AG1371" s="29" t="s">
        <v>1878</v>
      </c>
      <c r="AH1371" s="29" t="s">
        <v>2088</v>
      </c>
      <c r="AI1371" s="29" t="s">
        <v>1931</v>
      </c>
      <c r="AJ1371" s="29" t="s">
        <v>2089</v>
      </c>
      <c r="AL1371" s="29" t="s">
        <v>1879</v>
      </c>
    </row>
    <row r="1372" spans="15:38">
      <c r="O1372" t="s">
        <v>24</v>
      </c>
      <c r="P1372" t="s">
        <v>43</v>
      </c>
      <c r="Q1372" t="s">
        <v>12</v>
      </c>
      <c r="R1372" t="s">
        <v>62</v>
      </c>
      <c r="S1372">
        <v>2024.44</v>
      </c>
      <c r="T1372">
        <v>35247.65</v>
      </c>
      <c r="U1372">
        <v>51207.39</v>
      </c>
      <c r="V1372">
        <v>51207.39</v>
      </c>
      <c r="AA1372" s="29" t="s">
        <v>43</v>
      </c>
      <c r="AB1372">
        <v>31200</v>
      </c>
      <c r="AC1372">
        <v>120</v>
      </c>
      <c r="AD1372">
        <v>4</v>
      </c>
      <c r="AE1372">
        <v>30</v>
      </c>
      <c r="AF1372">
        <v>30</v>
      </c>
      <c r="AG1372" s="29" t="s">
        <v>1878</v>
      </c>
      <c r="AH1372" s="29" t="s">
        <v>2115</v>
      </c>
      <c r="AI1372" s="29" t="s">
        <v>1931</v>
      </c>
      <c r="AJ1372" s="29" t="s">
        <v>2116</v>
      </c>
      <c r="AL1372" s="29" t="s">
        <v>1879</v>
      </c>
    </row>
    <row r="1373" spans="15:38">
      <c r="O1373" t="s">
        <v>24</v>
      </c>
      <c r="P1373" t="s">
        <v>43</v>
      </c>
      <c r="Q1373" t="s">
        <v>12</v>
      </c>
      <c r="R1373" t="s">
        <v>62</v>
      </c>
      <c r="S1373">
        <v>2024.45</v>
      </c>
      <c r="T1373">
        <v>41102.53</v>
      </c>
      <c r="U1373">
        <v>51207.39</v>
      </c>
      <c r="V1373">
        <v>51207.39</v>
      </c>
      <c r="AA1373" s="29" t="s">
        <v>43</v>
      </c>
      <c r="AB1373">
        <v>31200</v>
      </c>
      <c r="AC1373">
        <v>120</v>
      </c>
      <c r="AD1373">
        <v>4</v>
      </c>
      <c r="AE1373">
        <v>19</v>
      </c>
      <c r="AF1373">
        <v>19</v>
      </c>
      <c r="AG1373" s="29" t="s">
        <v>1878</v>
      </c>
      <c r="AH1373" s="29" t="s">
        <v>2117</v>
      </c>
      <c r="AI1373" s="29" t="s">
        <v>1931</v>
      </c>
      <c r="AJ1373" s="29" t="s">
        <v>2118</v>
      </c>
      <c r="AL1373" s="29" t="s">
        <v>1879</v>
      </c>
    </row>
    <row r="1374" spans="15:38">
      <c r="O1374" t="s">
        <v>24</v>
      </c>
      <c r="P1374" t="s">
        <v>43</v>
      </c>
      <c r="Q1374" t="s">
        <v>12</v>
      </c>
      <c r="R1374" t="s">
        <v>62</v>
      </c>
      <c r="S1374">
        <v>2024.47</v>
      </c>
      <c r="T1374">
        <v>45354.13</v>
      </c>
      <c r="U1374">
        <v>51207.39</v>
      </c>
      <c r="V1374">
        <v>51207.39</v>
      </c>
      <c r="AA1374" s="29" t="s">
        <v>43</v>
      </c>
      <c r="AB1374">
        <v>31200</v>
      </c>
      <c r="AC1374">
        <v>120</v>
      </c>
      <c r="AD1374">
        <v>4</v>
      </c>
      <c r="AE1374">
        <v>4191</v>
      </c>
      <c r="AF1374">
        <v>4191</v>
      </c>
      <c r="AG1374" s="29" t="s">
        <v>1878</v>
      </c>
      <c r="AH1374" s="29" t="s">
        <v>2119</v>
      </c>
      <c r="AI1374" s="29" t="s">
        <v>1931</v>
      </c>
      <c r="AJ1374" s="29" t="s">
        <v>2120</v>
      </c>
      <c r="AL1374" s="29" t="s">
        <v>1879</v>
      </c>
    </row>
    <row r="1375" spans="15:38">
      <c r="O1375" t="s">
        <v>24</v>
      </c>
      <c r="P1375" t="s">
        <v>43</v>
      </c>
      <c r="Q1375" t="s">
        <v>12</v>
      </c>
      <c r="R1375" t="s">
        <v>62</v>
      </c>
      <c r="S1375">
        <v>2024.48</v>
      </c>
      <c r="T1375">
        <v>45354.13</v>
      </c>
      <c r="U1375">
        <v>51207.39</v>
      </c>
      <c r="V1375">
        <v>56207.39</v>
      </c>
      <c r="AA1375" s="29" t="s">
        <v>43</v>
      </c>
      <c r="AB1375">
        <v>31200</v>
      </c>
      <c r="AC1375">
        <v>120</v>
      </c>
      <c r="AD1375">
        <v>4</v>
      </c>
      <c r="AE1375">
        <v>193</v>
      </c>
      <c r="AF1375">
        <v>193</v>
      </c>
      <c r="AG1375" s="29" t="s">
        <v>1878</v>
      </c>
      <c r="AH1375" s="29" t="s">
        <v>2121</v>
      </c>
      <c r="AI1375" s="29" t="s">
        <v>1931</v>
      </c>
      <c r="AJ1375" s="29" t="s">
        <v>2122</v>
      </c>
      <c r="AL1375" s="29" t="s">
        <v>1879</v>
      </c>
    </row>
    <row r="1376" spans="15:38">
      <c r="O1376" t="s">
        <v>24</v>
      </c>
      <c r="P1376" t="s">
        <v>43</v>
      </c>
      <c r="Q1376" t="s">
        <v>12</v>
      </c>
      <c r="R1376" t="s">
        <v>62</v>
      </c>
      <c r="S1376">
        <v>2024.49</v>
      </c>
      <c r="T1376">
        <v>47426.8</v>
      </c>
      <c r="U1376">
        <v>51207.39</v>
      </c>
      <c r="V1376">
        <v>56207.39</v>
      </c>
      <c r="AA1376" s="29" t="s">
        <v>43</v>
      </c>
      <c r="AB1376">
        <v>31200</v>
      </c>
      <c r="AC1376">
        <v>120</v>
      </c>
      <c r="AD1376">
        <v>4</v>
      </c>
      <c r="AE1376">
        <v>53.5</v>
      </c>
      <c r="AF1376">
        <v>53.5</v>
      </c>
      <c r="AG1376" s="29" t="s">
        <v>1878</v>
      </c>
      <c r="AH1376" s="29" t="s">
        <v>2074</v>
      </c>
      <c r="AI1376" s="29" t="s">
        <v>1931</v>
      </c>
      <c r="AJ1376" s="29" t="s">
        <v>2123</v>
      </c>
      <c r="AL1376" s="29" t="s">
        <v>1879</v>
      </c>
    </row>
    <row r="1377" spans="15:38">
      <c r="O1377" t="s">
        <v>24</v>
      </c>
      <c r="P1377" t="s">
        <v>43</v>
      </c>
      <c r="Q1377" t="s">
        <v>12</v>
      </c>
      <c r="R1377" t="s">
        <v>62</v>
      </c>
      <c r="S1377">
        <v>2025.03</v>
      </c>
      <c r="T1377">
        <v>47426.8</v>
      </c>
      <c r="U1377">
        <v>51207.39</v>
      </c>
      <c r="V1377">
        <v>56207.39</v>
      </c>
      <c r="AA1377" s="29" t="s">
        <v>43</v>
      </c>
      <c r="AB1377">
        <v>31200</v>
      </c>
      <c r="AC1377">
        <v>120</v>
      </c>
      <c r="AD1377">
        <v>4</v>
      </c>
      <c r="AE1377">
        <v>252</v>
      </c>
      <c r="AF1377">
        <v>252</v>
      </c>
      <c r="AG1377" s="29" t="s">
        <v>1878</v>
      </c>
      <c r="AH1377" s="29" t="s">
        <v>2124</v>
      </c>
      <c r="AI1377" s="29" t="s">
        <v>1931</v>
      </c>
      <c r="AJ1377" s="29" t="s">
        <v>2125</v>
      </c>
      <c r="AL1377" s="29" t="s">
        <v>1879</v>
      </c>
    </row>
    <row r="1378" spans="15:38">
      <c r="O1378" t="s">
        <v>24</v>
      </c>
      <c r="P1378" t="s">
        <v>43</v>
      </c>
      <c r="Q1378" t="s">
        <v>12</v>
      </c>
      <c r="R1378" t="s">
        <v>62</v>
      </c>
      <c r="S1378">
        <v>2025.08</v>
      </c>
      <c r="T1378">
        <v>47993.68</v>
      </c>
      <c r="U1378">
        <v>51207.39</v>
      </c>
      <c r="V1378">
        <v>56207.39</v>
      </c>
      <c r="AA1378" s="29" t="s">
        <v>43</v>
      </c>
      <c r="AB1378">
        <v>31200</v>
      </c>
      <c r="AC1378">
        <v>120</v>
      </c>
      <c r="AD1378">
        <v>4</v>
      </c>
      <c r="AE1378">
        <v>2781</v>
      </c>
      <c r="AF1378">
        <v>2781</v>
      </c>
      <c r="AG1378" s="29" t="s">
        <v>1878</v>
      </c>
      <c r="AH1378" s="29" t="s">
        <v>2126</v>
      </c>
      <c r="AI1378" s="29" t="s">
        <v>1931</v>
      </c>
      <c r="AJ1378" s="29" t="s">
        <v>2127</v>
      </c>
      <c r="AL1378" s="29" t="s">
        <v>1879</v>
      </c>
    </row>
    <row r="1379" spans="15:38">
      <c r="O1379" t="s">
        <v>24</v>
      </c>
      <c r="P1379" t="s">
        <v>43</v>
      </c>
      <c r="Q1379" t="s">
        <v>12</v>
      </c>
      <c r="R1379" t="s">
        <v>62</v>
      </c>
      <c r="S1379">
        <v>2025.1</v>
      </c>
      <c r="T1379">
        <v>47993.68</v>
      </c>
      <c r="U1379">
        <v>51207.39</v>
      </c>
      <c r="V1379">
        <v>56207.39</v>
      </c>
      <c r="AA1379" s="29" t="s">
        <v>43</v>
      </c>
      <c r="AB1379">
        <v>31200</v>
      </c>
      <c r="AC1379">
        <v>120</v>
      </c>
      <c r="AD1379">
        <v>4</v>
      </c>
      <c r="AE1379">
        <v>318.86</v>
      </c>
      <c r="AF1379">
        <v>318.86</v>
      </c>
      <c r="AG1379" s="29" t="s">
        <v>1878</v>
      </c>
      <c r="AH1379" s="29" t="s">
        <v>2128</v>
      </c>
      <c r="AI1379" s="29" t="s">
        <v>1931</v>
      </c>
      <c r="AJ1379" s="29" t="s">
        <v>2129</v>
      </c>
      <c r="AL1379" s="29" t="s">
        <v>1879</v>
      </c>
    </row>
    <row r="1380" spans="15:38">
      <c r="O1380" t="s">
        <v>24</v>
      </c>
      <c r="P1380" t="s">
        <v>43</v>
      </c>
      <c r="Q1380" t="s">
        <v>12</v>
      </c>
      <c r="R1380" t="s">
        <v>62</v>
      </c>
      <c r="S1380">
        <v>2025.11</v>
      </c>
      <c r="T1380">
        <v>47993.68</v>
      </c>
      <c r="U1380">
        <v>51207.39</v>
      </c>
      <c r="V1380">
        <v>56207.39</v>
      </c>
      <c r="AA1380" s="29" t="s">
        <v>43</v>
      </c>
      <c r="AB1380">
        <v>31200</v>
      </c>
      <c r="AC1380">
        <v>120</v>
      </c>
      <c r="AD1380">
        <v>4</v>
      </c>
      <c r="AE1380">
        <v>58.22</v>
      </c>
      <c r="AF1380">
        <v>58.22</v>
      </c>
      <c r="AG1380" s="29" t="s">
        <v>1878</v>
      </c>
      <c r="AH1380" s="29" t="s">
        <v>2092</v>
      </c>
      <c r="AI1380" s="29" t="s">
        <v>1931</v>
      </c>
      <c r="AJ1380" s="29" t="s">
        <v>2093</v>
      </c>
      <c r="AL1380" s="29" t="s">
        <v>1879</v>
      </c>
    </row>
    <row r="1381" spans="15:38">
      <c r="O1381" t="s">
        <v>24</v>
      </c>
      <c r="P1381" t="s">
        <v>43</v>
      </c>
      <c r="Q1381" t="s">
        <v>12</v>
      </c>
      <c r="R1381" t="s">
        <v>62</v>
      </c>
      <c r="S1381">
        <v>2025.12</v>
      </c>
      <c r="T1381">
        <v>47993.68</v>
      </c>
      <c r="U1381">
        <v>51207.39</v>
      </c>
      <c r="V1381">
        <v>56207.39</v>
      </c>
      <c r="AA1381" s="29" t="s">
        <v>43</v>
      </c>
      <c r="AB1381">
        <v>31200</v>
      </c>
      <c r="AC1381">
        <v>120</v>
      </c>
      <c r="AD1381">
        <v>4</v>
      </c>
      <c r="AE1381">
        <v>507.02</v>
      </c>
      <c r="AF1381">
        <v>507.02</v>
      </c>
      <c r="AG1381" s="29" t="s">
        <v>1878</v>
      </c>
      <c r="AH1381" s="29" t="s">
        <v>2130</v>
      </c>
      <c r="AI1381" s="29" t="s">
        <v>1931</v>
      </c>
      <c r="AJ1381" s="29" t="s">
        <v>2131</v>
      </c>
      <c r="AL1381" s="29" t="s">
        <v>1879</v>
      </c>
    </row>
    <row r="1382" spans="15:38">
      <c r="O1382" t="s">
        <v>24</v>
      </c>
      <c r="P1382" t="s">
        <v>43</v>
      </c>
      <c r="Q1382" t="s">
        <v>26</v>
      </c>
      <c r="R1382" t="s">
        <v>53</v>
      </c>
      <c r="S1382">
        <v>2023.47</v>
      </c>
      <c r="T1382">
        <v>0</v>
      </c>
      <c r="U1382">
        <v>393287.57449999999</v>
      </c>
      <c r="V1382">
        <v>393287.57449999999</v>
      </c>
      <c r="AA1382" s="29" t="s">
        <v>43</v>
      </c>
      <c r="AB1382">
        <v>31200</v>
      </c>
      <c r="AC1382">
        <v>120</v>
      </c>
      <c r="AD1382">
        <v>4</v>
      </c>
      <c r="AE1382">
        <v>43.68</v>
      </c>
      <c r="AF1382">
        <v>43.68</v>
      </c>
      <c r="AG1382" s="29" t="s">
        <v>1878</v>
      </c>
      <c r="AH1382" s="29" t="s">
        <v>2132</v>
      </c>
      <c r="AI1382" s="29" t="s">
        <v>1931</v>
      </c>
      <c r="AJ1382" s="29" t="s">
        <v>2133</v>
      </c>
      <c r="AL1382" s="29" t="s">
        <v>1879</v>
      </c>
    </row>
    <row r="1383" spans="15:38">
      <c r="O1383" t="s">
        <v>24</v>
      </c>
      <c r="P1383" t="s">
        <v>43</v>
      </c>
      <c r="Q1383" t="s">
        <v>26</v>
      </c>
      <c r="R1383" t="s">
        <v>53</v>
      </c>
      <c r="S1383">
        <v>2023.51</v>
      </c>
      <c r="T1383">
        <v>233599.53</v>
      </c>
      <c r="U1383">
        <v>393287.57449999999</v>
      </c>
      <c r="V1383">
        <v>393287.57449999999</v>
      </c>
      <c r="AA1383" s="29" t="s">
        <v>43</v>
      </c>
      <c r="AB1383">
        <v>31200</v>
      </c>
      <c r="AC1383">
        <v>120</v>
      </c>
      <c r="AD1383">
        <v>4</v>
      </c>
      <c r="AE1383">
        <v>49</v>
      </c>
      <c r="AF1383">
        <v>49</v>
      </c>
      <c r="AG1383" s="29" t="s">
        <v>1878</v>
      </c>
      <c r="AH1383" s="29" t="s">
        <v>2134</v>
      </c>
      <c r="AI1383" s="29" t="s">
        <v>1931</v>
      </c>
      <c r="AJ1383" s="29" t="s">
        <v>2135</v>
      </c>
      <c r="AL1383" s="29" t="s">
        <v>1879</v>
      </c>
    </row>
    <row r="1384" spans="15:38">
      <c r="O1384" t="s">
        <v>24</v>
      </c>
      <c r="P1384" t="s">
        <v>43</v>
      </c>
      <c r="Q1384" t="s">
        <v>26</v>
      </c>
      <c r="R1384" t="s">
        <v>53</v>
      </c>
      <c r="S1384">
        <v>2024.05</v>
      </c>
      <c r="T1384">
        <v>140089.48000000001</v>
      </c>
      <c r="U1384">
        <v>393287.57449999999</v>
      </c>
      <c r="V1384">
        <v>393287.57449999999</v>
      </c>
      <c r="AA1384" s="29" t="s">
        <v>43</v>
      </c>
      <c r="AB1384">
        <v>31200</v>
      </c>
      <c r="AC1384">
        <v>120</v>
      </c>
      <c r="AD1384">
        <v>4</v>
      </c>
      <c r="AE1384">
        <v>147</v>
      </c>
      <c r="AF1384">
        <v>147</v>
      </c>
      <c r="AG1384" s="29" t="s">
        <v>1878</v>
      </c>
      <c r="AH1384" s="29" t="s">
        <v>2090</v>
      </c>
      <c r="AI1384" s="29" t="s">
        <v>1931</v>
      </c>
      <c r="AJ1384" s="29" t="s">
        <v>2091</v>
      </c>
      <c r="AL1384" s="29" t="s">
        <v>1879</v>
      </c>
    </row>
    <row r="1385" spans="15:38">
      <c r="O1385" t="s">
        <v>24</v>
      </c>
      <c r="P1385" t="s">
        <v>43</v>
      </c>
      <c r="Q1385" t="s">
        <v>26</v>
      </c>
      <c r="R1385" t="s">
        <v>53</v>
      </c>
      <c r="S1385">
        <v>2024.06</v>
      </c>
      <c r="T1385">
        <v>145732.48000000001</v>
      </c>
      <c r="U1385">
        <v>393287.57449999999</v>
      </c>
      <c r="V1385">
        <v>393287.57449999999</v>
      </c>
      <c r="AA1385" s="29" t="s">
        <v>43</v>
      </c>
      <c r="AB1385">
        <v>31200</v>
      </c>
      <c r="AC1385">
        <v>120</v>
      </c>
      <c r="AD1385">
        <v>4</v>
      </c>
      <c r="AE1385">
        <v>53.5</v>
      </c>
      <c r="AF1385">
        <v>53.5</v>
      </c>
      <c r="AG1385" s="29" t="s">
        <v>1878</v>
      </c>
      <c r="AH1385" s="29" t="s">
        <v>2074</v>
      </c>
      <c r="AI1385" s="29" t="s">
        <v>1931</v>
      </c>
      <c r="AJ1385" s="29" t="s">
        <v>2136</v>
      </c>
      <c r="AL1385" s="29" t="s">
        <v>1879</v>
      </c>
    </row>
    <row r="1386" spans="15:38">
      <c r="O1386" t="s">
        <v>24</v>
      </c>
      <c r="P1386" t="s">
        <v>43</v>
      </c>
      <c r="Q1386" t="s">
        <v>26</v>
      </c>
      <c r="R1386" t="s">
        <v>53</v>
      </c>
      <c r="S1386">
        <v>2024.07</v>
      </c>
      <c r="T1386">
        <v>150675.93</v>
      </c>
      <c r="U1386">
        <v>393287.57449999999</v>
      </c>
      <c r="V1386">
        <v>393287.57449999999</v>
      </c>
      <c r="AA1386" s="29" t="s">
        <v>43</v>
      </c>
      <c r="AB1386">
        <v>31200</v>
      </c>
      <c r="AC1386">
        <v>120</v>
      </c>
      <c r="AD1386">
        <v>4</v>
      </c>
      <c r="AE1386">
        <v>38</v>
      </c>
      <c r="AF1386">
        <v>38</v>
      </c>
      <c r="AG1386" s="29" t="s">
        <v>1878</v>
      </c>
      <c r="AH1386" s="29" t="s">
        <v>2137</v>
      </c>
      <c r="AI1386" s="29" t="s">
        <v>1931</v>
      </c>
      <c r="AJ1386" s="29" t="s">
        <v>2138</v>
      </c>
      <c r="AL1386" s="29" t="s">
        <v>1879</v>
      </c>
    </row>
    <row r="1387" spans="15:38">
      <c r="O1387" t="s">
        <v>24</v>
      </c>
      <c r="P1387" t="s">
        <v>43</v>
      </c>
      <c r="Q1387" t="s">
        <v>26</v>
      </c>
      <c r="R1387" t="s">
        <v>53</v>
      </c>
      <c r="S1387">
        <v>2024.08</v>
      </c>
      <c r="T1387">
        <v>150675.93</v>
      </c>
      <c r="U1387">
        <v>393287.57449999999</v>
      </c>
      <c r="V1387">
        <v>393287.57449999999</v>
      </c>
      <c r="AA1387" s="29" t="s">
        <v>43</v>
      </c>
      <c r="AB1387">
        <v>31200</v>
      </c>
      <c r="AC1387">
        <v>120</v>
      </c>
      <c r="AD1387">
        <v>4</v>
      </c>
      <c r="AE1387">
        <v>185</v>
      </c>
      <c r="AF1387">
        <v>185</v>
      </c>
      <c r="AG1387" s="29" t="s">
        <v>1878</v>
      </c>
      <c r="AH1387" s="29" t="s">
        <v>2139</v>
      </c>
      <c r="AI1387" s="29" t="s">
        <v>1931</v>
      </c>
      <c r="AJ1387" s="29" t="s">
        <v>2140</v>
      </c>
      <c r="AL1387" s="29" t="s">
        <v>1879</v>
      </c>
    </row>
    <row r="1388" spans="15:38">
      <c r="O1388" t="s">
        <v>24</v>
      </c>
      <c r="P1388" t="s">
        <v>43</v>
      </c>
      <c r="Q1388" t="s">
        <v>26</v>
      </c>
      <c r="R1388" t="s">
        <v>53</v>
      </c>
      <c r="S1388">
        <v>2024.09</v>
      </c>
      <c r="T1388">
        <v>233599.53</v>
      </c>
      <c r="U1388">
        <v>393287.57449999999</v>
      </c>
      <c r="V1388">
        <v>393287.57449999999</v>
      </c>
      <c r="AA1388" s="29" t="s">
        <v>43</v>
      </c>
      <c r="AB1388">
        <v>31200</v>
      </c>
      <c r="AC1388">
        <v>120</v>
      </c>
      <c r="AD1388">
        <v>4</v>
      </c>
      <c r="AE1388">
        <v>76</v>
      </c>
      <c r="AF1388">
        <v>76</v>
      </c>
      <c r="AG1388" s="29" t="s">
        <v>1878</v>
      </c>
      <c r="AH1388" s="29" t="s">
        <v>2086</v>
      </c>
      <c r="AI1388" s="29" t="s">
        <v>1931</v>
      </c>
      <c r="AJ1388" s="29" t="s">
        <v>2087</v>
      </c>
      <c r="AL1388" s="29" t="s">
        <v>1879</v>
      </c>
    </row>
    <row r="1389" spans="15:38">
      <c r="O1389" t="s">
        <v>24</v>
      </c>
      <c r="P1389" t="s">
        <v>43</v>
      </c>
      <c r="Q1389" t="s">
        <v>26</v>
      </c>
      <c r="R1389" t="s">
        <v>53</v>
      </c>
      <c r="S1389">
        <v>2024.1</v>
      </c>
      <c r="T1389">
        <v>173092.58</v>
      </c>
      <c r="U1389">
        <v>393287.57449999999</v>
      </c>
      <c r="V1389">
        <v>393287.57449999999</v>
      </c>
      <c r="AA1389" s="29" t="s">
        <v>43</v>
      </c>
      <c r="AB1389">
        <v>31200</v>
      </c>
      <c r="AC1389">
        <v>120</v>
      </c>
      <c r="AD1389">
        <v>4</v>
      </c>
      <c r="AE1389">
        <v>68</v>
      </c>
      <c r="AF1389">
        <v>68</v>
      </c>
      <c r="AG1389" s="29" t="s">
        <v>1878</v>
      </c>
      <c r="AH1389" s="29" t="s">
        <v>2141</v>
      </c>
      <c r="AI1389" s="29" t="s">
        <v>1931</v>
      </c>
      <c r="AJ1389" s="29" t="s">
        <v>2142</v>
      </c>
      <c r="AL1389" s="29" t="s">
        <v>1879</v>
      </c>
    </row>
    <row r="1390" spans="15:38">
      <c r="O1390" t="s">
        <v>24</v>
      </c>
      <c r="P1390" t="s">
        <v>43</v>
      </c>
      <c r="Q1390" t="s">
        <v>26</v>
      </c>
      <c r="R1390" t="s">
        <v>53</v>
      </c>
      <c r="S1390">
        <v>2024.11</v>
      </c>
      <c r="T1390">
        <v>174471.23</v>
      </c>
      <c r="U1390">
        <v>393287.57449999999</v>
      </c>
      <c r="V1390">
        <v>393287.57449999999</v>
      </c>
      <c r="AA1390" s="29" t="s">
        <v>43</v>
      </c>
      <c r="AB1390">
        <v>31200</v>
      </c>
      <c r="AC1390">
        <v>120</v>
      </c>
      <c r="AD1390">
        <v>4</v>
      </c>
      <c r="AE1390">
        <v>63.12</v>
      </c>
      <c r="AF1390">
        <v>63.12</v>
      </c>
      <c r="AG1390" s="29" t="s">
        <v>1878</v>
      </c>
      <c r="AH1390" s="29" t="s">
        <v>2097</v>
      </c>
      <c r="AI1390" s="29" t="s">
        <v>1931</v>
      </c>
      <c r="AJ1390" s="29" t="s">
        <v>2143</v>
      </c>
      <c r="AL1390" s="29" t="s">
        <v>1879</v>
      </c>
    </row>
    <row r="1391" spans="15:38">
      <c r="O1391" t="s">
        <v>24</v>
      </c>
      <c r="P1391" t="s">
        <v>43</v>
      </c>
      <c r="Q1391" t="s">
        <v>26</v>
      </c>
      <c r="R1391" t="s">
        <v>53</v>
      </c>
      <c r="S1391">
        <v>2024.12</v>
      </c>
      <c r="T1391">
        <v>174471.23</v>
      </c>
      <c r="U1391">
        <v>393287.57449999999</v>
      </c>
      <c r="V1391">
        <v>393287.57449999999</v>
      </c>
      <c r="AA1391" s="29" t="s">
        <v>43</v>
      </c>
      <c r="AB1391">
        <v>31200</v>
      </c>
      <c r="AC1391">
        <v>120</v>
      </c>
      <c r="AD1391">
        <v>4</v>
      </c>
      <c r="AE1391">
        <v>826</v>
      </c>
      <c r="AF1391">
        <v>826</v>
      </c>
      <c r="AG1391" s="29" t="s">
        <v>1878</v>
      </c>
      <c r="AH1391" s="29" t="s">
        <v>2111</v>
      </c>
      <c r="AI1391" s="29" t="s">
        <v>1931</v>
      </c>
      <c r="AJ1391" s="29" t="s">
        <v>2112</v>
      </c>
      <c r="AL1391" s="29" t="s">
        <v>1879</v>
      </c>
    </row>
    <row r="1392" spans="15:38">
      <c r="O1392" t="s">
        <v>24</v>
      </c>
      <c r="P1392" t="s">
        <v>43</v>
      </c>
      <c r="Q1392" t="s">
        <v>26</v>
      </c>
      <c r="R1392" t="s">
        <v>53</v>
      </c>
      <c r="S1392">
        <v>2024.14</v>
      </c>
      <c r="T1392">
        <v>180059.57</v>
      </c>
      <c r="U1392">
        <v>393287.57449999999</v>
      </c>
      <c r="V1392">
        <v>393287.57449999999</v>
      </c>
      <c r="AA1392" s="29" t="s">
        <v>43</v>
      </c>
      <c r="AB1392">
        <v>31200</v>
      </c>
      <c r="AC1392">
        <v>120</v>
      </c>
      <c r="AD1392">
        <v>4</v>
      </c>
      <c r="AE1392">
        <v>930</v>
      </c>
      <c r="AF1392">
        <v>930</v>
      </c>
      <c r="AG1392" s="29" t="s">
        <v>1878</v>
      </c>
      <c r="AH1392" s="29" t="s">
        <v>2144</v>
      </c>
      <c r="AI1392" s="29" t="s">
        <v>1931</v>
      </c>
      <c r="AJ1392" s="29" t="s">
        <v>2145</v>
      </c>
      <c r="AL1392" s="29" t="s">
        <v>1879</v>
      </c>
    </row>
    <row r="1393" spans="15:38">
      <c r="O1393" t="s">
        <v>24</v>
      </c>
      <c r="P1393" t="s">
        <v>43</v>
      </c>
      <c r="Q1393" t="s">
        <v>26</v>
      </c>
      <c r="R1393" t="s">
        <v>53</v>
      </c>
      <c r="S1393">
        <v>2024.17</v>
      </c>
      <c r="T1393">
        <v>180059.57</v>
      </c>
      <c r="U1393">
        <v>393287.57449999999</v>
      </c>
      <c r="V1393">
        <v>393287.57449999999</v>
      </c>
      <c r="AA1393" s="29" t="s">
        <v>43</v>
      </c>
      <c r="AB1393">
        <v>31200</v>
      </c>
      <c r="AC1393">
        <v>120</v>
      </c>
      <c r="AD1393">
        <v>4</v>
      </c>
      <c r="AE1393">
        <v>696.24</v>
      </c>
      <c r="AF1393">
        <v>696.24</v>
      </c>
      <c r="AG1393" s="29" t="s">
        <v>1878</v>
      </c>
      <c r="AH1393" s="29" t="s">
        <v>2146</v>
      </c>
      <c r="AI1393" s="29" t="s">
        <v>1931</v>
      </c>
      <c r="AJ1393" s="29" t="s">
        <v>2147</v>
      </c>
      <c r="AL1393" s="29" t="s">
        <v>1879</v>
      </c>
    </row>
    <row r="1394" spans="15:38">
      <c r="O1394" t="s">
        <v>24</v>
      </c>
      <c r="P1394" t="s">
        <v>43</v>
      </c>
      <c r="Q1394" t="s">
        <v>26</v>
      </c>
      <c r="R1394" t="s">
        <v>53</v>
      </c>
      <c r="S1394">
        <v>2024.18</v>
      </c>
      <c r="T1394">
        <v>186597.67</v>
      </c>
      <c r="U1394">
        <v>393287.57449999999</v>
      </c>
      <c r="V1394">
        <v>393287.57449999999</v>
      </c>
      <c r="AA1394" s="29" t="s">
        <v>43</v>
      </c>
      <c r="AB1394">
        <v>31200</v>
      </c>
      <c r="AC1394">
        <v>120</v>
      </c>
      <c r="AD1394">
        <v>4</v>
      </c>
      <c r="AE1394">
        <v>80.72</v>
      </c>
      <c r="AF1394">
        <v>80.72</v>
      </c>
      <c r="AG1394" s="29" t="s">
        <v>1878</v>
      </c>
      <c r="AH1394" s="29" t="s">
        <v>2148</v>
      </c>
      <c r="AI1394" s="29" t="s">
        <v>1931</v>
      </c>
      <c r="AJ1394" s="29" t="s">
        <v>2149</v>
      </c>
      <c r="AL1394" s="29" t="s">
        <v>1879</v>
      </c>
    </row>
    <row r="1395" spans="15:38">
      <c r="O1395" t="s">
        <v>24</v>
      </c>
      <c r="P1395" t="s">
        <v>43</v>
      </c>
      <c r="Q1395" t="s">
        <v>26</v>
      </c>
      <c r="R1395" t="s">
        <v>53</v>
      </c>
      <c r="S1395">
        <v>2024.19</v>
      </c>
      <c r="T1395">
        <v>186597.67</v>
      </c>
      <c r="U1395">
        <v>393287.57449999999</v>
      </c>
      <c r="V1395">
        <v>393287.57449999999</v>
      </c>
      <c r="AA1395" s="29" t="s">
        <v>43</v>
      </c>
      <c r="AB1395">
        <v>31200</v>
      </c>
      <c r="AC1395">
        <v>120</v>
      </c>
      <c r="AD1395">
        <v>4</v>
      </c>
      <c r="AE1395">
        <v>20639</v>
      </c>
      <c r="AF1395">
        <v>20639</v>
      </c>
      <c r="AG1395" s="29" t="s">
        <v>1878</v>
      </c>
      <c r="AH1395" s="29" t="s">
        <v>2150</v>
      </c>
      <c r="AI1395" s="29" t="s">
        <v>1931</v>
      </c>
      <c r="AJ1395" s="29" t="s">
        <v>2151</v>
      </c>
      <c r="AL1395" s="29" t="s">
        <v>1879</v>
      </c>
    </row>
    <row r="1396" spans="15:38">
      <c r="O1396" t="s">
        <v>24</v>
      </c>
      <c r="P1396" t="s">
        <v>43</v>
      </c>
      <c r="Q1396" t="s">
        <v>26</v>
      </c>
      <c r="R1396" t="s">
        <v>53</v>
      </c>
      <c r="S1396">
        <v>2024.2</v>
      </c>
      <c r="T1396">
        <v>186597.67</v>
      </c>
      <c r="U1396">
        <v>393287.57449999999</v>
      </c>
      <c r="V1396">
        <v>393287.57449999999</v>
      </c>
      <c r="AA1396" s="29" t="s">
        <v>43</v>
      </c>
      <c r="AB1396">
        <v>31200</v>
      </c>
      <c r="AC1396">
        <v>120</v>
      </c>
      <c r="AD1396">
        <v>4</v>
      </c>
      <c r="AE1396">
        <v>0</v>
      </c>
      <c r="AF1396">
        <v>0</v>
      </c>
      <c r="AG1396" s="29" t="s">
        <v>1878</v>
      </c>
      <c r="AH1396" s="29" t="s">
        <v>1896</v>
      </c>
      <c r="AI1396" s="29" t="s">
        <v>1931</v>
      </c>
      <c r="AJ1396" s="29" t="s">
        <v>485</v>
      </c>
      <c r="AL1396" s="29" t="s">
        <v>1879</v>
      </c>
    </row>
    <row r="1397" spans="15:38">
      <c r="O1397" t="s">
        <v>24</v>
      </c>
      <c r="P1397" t="s">
        <v>43</v>
      </c>
      <c r="Q1397" t="s">
        <v>26</v>
      </c>
      <c r="R1397" t="s">
        <v>53</v>
      </c>
      <c r="S1397">
        <v>2024.21</v>
      </c>
      <c r="T1397">
        <v>186597.67</v>
      </c>
      <c r="U1397">
        <v>393287.57449999999</v>
      </c>
      <c r="V1397">
        <v>393287.57449999999</v>
      </c>
      <c r="AA1397" s="29" t="s">
        <v>43</v>
      </c>
      <c r="AB1397">
        <v>31200</v>
      </c>
      <c r="AC1397">
        <v>120</v>
      </c>
      <c r="AD1397">
        <v>4</v>
      </c>
      <c r="AE1397">
        <v>10.98</v>
      </c>
      <c r="AF1397">
        <v>10.98</v>
      </c>
      <c r="AG1397" s="29" t="s">
        <v>1878</v>
      </c>
      <c r="AH1397" s="29" t="s">
        <v>2152</v>
      </c>
      <c r="AI1397" s="29" t="s">
        <v>1931</v>
      </c>
      <c r="AJ1397" s="29" t="s">
        <v>2153</v>
      </c>
      <c r="AL1397" s="29" t="s">
        <v>1879</v>
      </c>
    </row>
    <row r="1398" spans="15:38">
      <c r="O1398" t="s">
        <v>24</v>
      </c>
      <c r="P1398" t="s">
        <v>43</v>
      </c>
      <c r="Q1398" t="s">
        <v>26</v>
      </c>
      <c r="R1398" t="s">
        <v>53</v>
      </c>
      <c r="S1398">
        <v>2024.28</v>
      </c>
      <c r="T1398">
        <v>201855.44</v>
      </c>
      <c r="U1398">
        <v>393287.57449999999</v>
      </c>
      <c r="V1398">
        <v>393287.57449999999</v>
      </c>
      <c r="AA1398" s="29" t="s">
        <v>43</v>
      </c>
      <c r="AB1398">
        <v>31200</v>
      </c>
      <c r="AC1398">
        <v>120</v>
      </c>
      <c r="AD1398">
        <v>4</v>
      </c>
      <c r="AE1398">
        <v>15</v>
      </c>
      <c r="AF1398">
        <v>15</v>
      </c>
      <c r="AG1398" s="29" t="s">
        <v>1878</v>
      </c>
      <c r="AH1398" s="29" t="s">
        <v>2154</v>
      </c>
      <c r="AI1398" s="29" t="s">
        <v>1931</v>
      </c>
      <c r="AJ1398" s="29" t="s">
        <v>482</v>
      </c>
      <c r="AL1398" s="29" t="s">
        <v>1879</v>
      </c>
    </row>
    <row r="1399" spans="15:38">
      <c r="O1399" t="s">
        <v>24</v>
      </c>
      <c r="P1399" t="s">
        <v>43</v>
      </c>
      <c r="Q1399" t="s">
        <v>26</v>
      </c>
      <c r="R1399" t="s">
        <v>53</v>
      </c>
      <c r="S1399">
        <v>2024.38</v>
      </c>
      <c r="T1399">
        <v>212804.33</v>
      </c>
      <c r="U1399">
        <v>393287.57449999999</v>
      </c>
      <c r="V1399">
        <v>393287.57449999999</v>
      </c>
      <c r="AA1399" s="29" t="s">
        <v>43</v>
      </c>
      <c r="AB1399">
        <v>31200</v>
      </c>
      <c r="AC1399">
        <v>120</v>
      </c>
      <c r="AD1399">
        <v>4</v>
      </c>
      <c r="AE1399">
        <v>0</v>
      </c>
      <c r="AF1399">
        <v>0</v>
      </c>
      <c r="AG1399" s="29" t="s">
        <v>1878</v>
      </c>
      <c r="AH1399" s="29" t="s">
        <v>1896</v>
      </c>
      <c r="AI1399" s="29" t="s">
        <v>1931</v>
      </c>
      <c r="AJ1399" s="29" t="s">
        <v>506</v>
      </c>
      <c r="AL1399" s="29" t="s">
        <v>1879</v>
      </c>
    </row>
    <row r="1400" spans="15:38">
      <c r="O1400" t="s">
        <v>24</v>
      </c>
      <c r="P1400" t="s">
        <v>43</v>
      </c>
      <c r="Q1400" t="s">
        <v>26</v>
      </c>
      <c r="R1400" t="s">
        <v>53</v>
      </c>
      <c r="S1400">
        <v>2024.39</v>
      </c>
      <c r="T1400">
        <v>214536.83</v>
      </c>
      <c r="U1400">
        <v>393287.57449999999</v>
      </c>
      <c r="V1400">
        <v>393287.57449999999</v>
      </c>
      <c r="AA1400" s="29" t="s">
        <v>43</v>
      </c>
      <c r="AB1400">
        <v>31200</v>
      </c>
      <c r="AC1400">
        <v>120</v>
      </c>
      <c r="AD1400">
        <v>4</v>
      </c>
      <c r="AE1400">
        <v>0</v>
      </c>
      <c r="AF1400">
        <v>0</v>
      </c>
      <c r="AG1400" s="29" t="s">
        <v>1878</v>
      </c>
      <c r="AH1400" s="29" t="s">
        <v>1896</v>
      </c>
      <c r="AI1400" s="29" t="s">
        <v>1931</v>
      </c>
      <c r="AJ1400" s="29" t="s">
        <v>490</v>
      </c>
      <c r="AL1400" s="29" t="s">
        <v>1879</v>
      </c>
    </row>
    <row r="1401" spans="15:38">
      <c r="O1401" t="s">
        <v>24</v>
      </c>
      <c r="P1401" t="s">
        <v>43</v>
      </c>
      <c r="Q1401" t="s">
        <v>26</v>
      </c>
      <c r="R1401" t="s">
        <v>53</v>
      </c>
      <c r="S1401">
        <v>2024.41</v>
      </c>
      <c r="T1401">
        <v>219469.55</v>
      </c>
      <c r="U1401">
        <v>393287.57449999999</v>
      </c>
      <c r="V1401">
        <v>393287.57449999999</v>
      </c>
      <c r="AA1401" s="29" t="s">
        <v>43</v>
      </c>
      <c r="AB1401">
        <v>31200</v>
      </c>
      <c r="AC1401">
        <v>120</v>
      </c>
      <c r="AD1401">
        <v>4</v>
      </c>
      <c r="AE1401">
        <v>8.6</v>
      </c>
      <c r="AF1401">
        <v>8.6</v>
      </c>
      <c r="AG1401" s="29" t="s">
        <v>1878</v>
      </c>
      <c r="AH1401" s="29" t="s">
        <v>2155</v>
      </c>
      <c r="AI1401" s="29" t="s">
        <v>1931</v>
      </c>
      <c r="AJ1401" s="29" t="s">
        <v>487</v>
      </c>
      <c r="AL1401" s="29" t="s">
        <v>1879</v>
      </c>
    </row>
    <row r="1402" spans="15:38">
      <c r="O1402" t="s">
        <v>24</v>
      </c>
      <c r="P1402" t="s">
        <v>43</v>
      </c>
      <c r="Q1402" t="s">
        <v>26</v>
      </c>
      <c r="R1402" t="s">
        <v>53</v>
      </c>
      <c r="S1402">
        <v>2024.43</v>
      </c>
      <c r="T1402">
        <v>219469.55</v>
      </c>
      <c r="U1402">
        <v>393287.57449999999</v>
      </c>
      <c r="V1402">
        <v>393287.57449999999</v>
      </c>
      <c r="AA1402" s="29" t="s">
        <v>43</v>
      </c>
      <c r="AB1402">
        <v>31200</v>
      </c>
      <c r="AC1402">
        <v>120</v>
      </c>
      <c r="AD1402">
        <v>4</v>
      </c>
      <c r="AE1402">
        <v>0.84</v>
      </c>
      <c r="AF1402">
        <v>0.84</v>
      </c>
      <c r="AG1402" s="29" t="s">
        <v>1878</v>
      </c>
      <c r="AH1402" s="29" t="s">
        <v>2156</v>
      </c>
      <c r="AI1402" s="29" t="s">
        <v>1931</v>
      </c>
      <c r="AJ1402" s="29" t="s">
        <v>489</v>
      </c>
      <c r="AL1402" s="29" t="s">
        <v>1879</v>
      </c>
    </row>
    <row r="1403" spans="15:38">
      <c r="O1403" t="s">
        <v>24</v>
      </c>
      <c r="P1403" t="s">
        <v>43</v>
      </c>
      <c r="Q1403" t="s">
        <v>26</v>
      </c>
      <c r="R1403" t="s">
        <v>53</v>
      </c>
      <c r="S1403">
        <v>2024.44</v>
      </c>
      <c r="T1403">
        <v>219469.55</v>
      </c>
      <c r="U1403">
        <v>453767.48810000002</v>
      </c>
      <c r="V1403">
        <v>253767.48809999999</v>
      </c>
      <c r="AA1403" s="29" t="s">
        <v>43</v>
      </c>
      <c r="AB1403">
        <v>31200</v>
      </c>
      <c r="AC1403">
        <v>120</v>
      </c>
      <c r="AD1403">
        <v>4</v>
      </c>
      <c r="AE1403">
        <v>1.6</v>
      </c>
      <c r="AF1403">
        <v>1.6</v>
      </c>
      <c r="AG1403" s="29" t="s">
        <v>1878</v>
      </c>
      <c r="AH1403" s="29" t="s">
        <v>2157</v>
      </c>
      <c r="AI1403" s="29" t="s">
        <v>1931</v>
      </c>
      <c r="AJ1403" s="29" t="s">
        <v>479</v>
      </c>
      <c r="AL1403" s="29" t="s">
        <v>1879</v>
      </c>
    </row>
    <row r="1404" spans="15:38">
      <c r="O1404" t="s">
        <v>24</v>
      </c>
      <c r="P1404" t="s">
        <v>43</v>
      </c>
      <c r="Q1404" t="s">
        <v>26</v>
      </c>
      <c r="R1404" t="s">
        <v>53</v>
      </c>
      <c r="S1404">
        <v>2024.45</v>
      </c>
      <c r="T1404">
        <v>225937.08</v>
      </c>
      <c r="U1404">
        <v>453767.48810000002</v>
      </c>
      <c r="V1404">
        <v>253767.48809999999</v>
      </c>
      <c r="AA1404" s="29" t="s">
        <v>43</v>
      </c>
      <c r="AB1404">
        <v>31200</v>
      </c>
      <c r="AC1404">
        <v>120</v>
      </c>
      <c r="AD1404">
        <v>4</v>
      </c>
      <c r="AE1404">
        <v>52</v>
      </c>
      <c r="AF1404">
        <v>52</v>
      </c>
      <c r="AG1404" s="29" t="s">
        <v>1878</v>
      </c>
      <c r="AH1404" s="29" t="s">
        <v>2158</v>
      </c>
      <c r="AI1404" s="29" t="s">
        <v>1931</v>
      </c>
      <c r="AJ1404" s="29" t="s">
        <v>2159</v>
      </c>
      <c r="AL1404" s="29" t="s">
        <v>1879</v>
      </c>
    </row>
    <row r="1405" spans="15:38">
      <c r="O1405" t="s">
        <v>24</v>
      </c>
      <c r="P1405" t="s">
        <v>43</v>
      </c>
      <c r="Q1405" t="s">
        <v>26</v>
      </c>
      <c r="R1405" t="s">
        <v>53</v>
      </c>
      <c r="S1405">
        <v>2024.47</v>
      </c>
      <c r="T1405">
        <v>225937.08</v>
      </c>
      <c r="U1405">
        <v>453767.48810000002</v>
      </c>
      <c r="V1405">
        <v>253767.48809999999</v>
      </c>
      <c r="AA1405" s="29" t="s">
        <v>43</v>
      </c>
      <c r="AB1405">
        <v>31200</v>
      </c>
      <c r="AC1405">
        <v>120</v>
      </c>
      <c r="AD1405">
        <v>4</v>
      </c>
      <c r="AE1405">
        <v>826</v>
      </c>
      <c r="AF1405">
        <v>826</v>
      </c>
      <c r="AG1405" s="29" t="s">
        <v>1878</v>
      </c>
      <c r="AH1405" s="29" t="s">
        <v>2111</v>
      </c>
      <c r="AI1405" s="29" t="s">
        <v>1931</v>
      </c>
      <c r="AJ1405" s="29" t="s">
        <v>2112</v>
      </c>
      <c r="AL1405" s="29" t="s">
        <v>1879</v>
      </c>
    </row>
    <row r="1406" spans="15:38">
      <c r="O1406" t="s">
        <v>24</v>
      </c>
      <c r="P1406" t="s">
        <v>43</v>
      </c>
      <c r="Q1406" t="s">
        <v>26</v>
      </c>
      <c r="R1406" t="s">
        <v>53</v>
      </c>
      <c r="S1406">
        <v>2024.48</v>
      </c>
      <c r="T1406">
        <v>225937.08</v>
      </c>
      <c r="U1406">
        <v>453767.48810000002</v>
      </c>
      <c r="V1406">
        <v>273767.48810000002</v>
      </c>
      <c r="AA1406" s="29" t="s">
        <v>43</v>
      </c>
      <c r="AB1406">
        <v>31200</v>
      </c>
      <c r="AC1406">
        <v>120</v>
      </c>
      <c r="AD1406">
        <v>4</v>
      </c>
      <c r="AE1406">
        <v>318.86</v>
      </c>
      <c r="AF1406">
        <v>318.86</v>
      </c>
      <c r="AG1406" s="29" t="s">
        <v>1878</v>
      </c>
      <c r="AH1406" s="29" t="s">
        <v>2128</v>
      </c>
      <c r="AI1406" s="29" t="s">
        <v>1931</v>
      </c>
      <c r="AJ1406" s="29" t="s">
        <v>365</v>
      </c>
      <c r="AL1406" s="29" t="s">
        <v>1879</v>
      </c>
    </row>
    <row r="1407" spans="15:38">
      <c r="O1407" t="s">
        <v>24</v>
      </c>
      <c r="P1407" t="s">
        <v>43</v>
      </c>
      <c r="Q1407" t="s">
        <v>26</v>
      </c>
      <c r="R1407" t="s">
        <v>53</v>
      </c>
      <c r="S1407">
        <v>2024.49</v>
      </c>
      <c r="T1407">
        <v>230122.92</v>
      </c>
      <c r="U1407">
        <v>453767.48810000002</v>
      </c>
      <c r="V1407">
        <v>273767.48810000002</v>
      </c>
      <c r="AA1407" s="29" t="s">
        <v>43</v>
      </c>
      <c r="AB1407">
        <v>31200</v>
      </c>
      <c r="AC1407">
        <v>120</v>
      </c>
      <c r="AD1407">
        <v>4</v>
      </c>
      <c r="AE1407">
        <v>5758</v>
      </c>
      <c r="AF1407">
        <v>5758</v>
      </c>
      <c r="AG1407" s="29" t="s">
        <v>1878</v>
      </c>
      <c r="AH1407" s="29" t="s">
        <v>2160</v>
      </c>
      <c r="AI1407" s="29" t="s">
        <v>1931</v>
      </c>
      <c r="AJ1407" s="29" t="s">
        <v>2161</v>
      </c>
      <c r="AL1407" s="29" t="s">
        <v>1879</v>
      </c>
    </row>
    <row r="1408" spans="15:38">
      <c r="O1408" t="s">
        <v>24</v>
      </c>
      <c r="P1408" t="s">
        <v>43</v>
      </c>
      <c r="Q1408" t="s">
        <v>26</v>
      </c>
      <c r="R1408" t="s">
        <v>53</v>
      </c>
      <c r="S1408">
        <v>2025.03</v>
      </c>
      <c r="T1408">
        <v>230122.92</v>
      </c>
      <c r="U1408">
        <v>453767.48810000002</v>
      </c>
      <c r="V1408">
        <v>273767.48810000002</v>
      </c>
      <c r="AA1408" s="29" t="s">
        <v>43</v>
      </c>
      <c r="AB1408">
        <v>31200</v>
      </c>
      <c r="AC1408">
        <v>120</v>
      </c>
      <c r="AD1408">
        <v>4</v>
      </c>
      <c r="AE1408">
        <v>38.53</v>
      </c>
      <c r="AF1408">
        <v>38.53</v>
      </c>
      <c r="AG1408" s="29" t="s">
        <v>1878</v>
      </c>
      <c r="AH1408" s="29" t="s">
        <v>2042</v>
      </c>
      <c r="AI1408" s="29" t="s">
        <v>1931</v>
      </c>
      <c r="AJ1408" s="29" t="s">
        <v>2162</v>
      </c>
      <c r="AL1408" s="29" t="s">
        <v>1879</v>
      </c>
    </row>
    <row r="1409" spans="15:38">
      <c r="O1409" t="s">
        <v>24</v>
      </c>
      <c r="P1409" t="s">
        <v>43</v>
      </c>
      <c r="Q1409" t="s">
        <v>26</v>
      </c>
      <c r="R1409" t="s">
        <v>53</v>
      </c>
      <c r="S1409">
        <v>2025.08</v>
      </c>
      <c r="T1409">
        <v>231862.92</v>
      </c>
      <c r="U1409">
        <v>453767.48810000002</v>
      </c>
      <c r="V1409">
        <v>273767.48810000002</v>
      </c>
      <c r="AA1409" s="29" t="s">
        <v>43</v>
      </c>
      <c r="AB1409">
        <v>31200</v>
      </c>
      <c r="AC1409">
        <v>120</v>
      </c>
      <c r="AD1409">
        <v>4</v>
      </c>
      <c r="AE1409">
        <v>56.45</v>
      </c>
      <c r="AF1409">
        <v>56.45</v>
      </c>
      <c r="AG1409" s="29" t="s">
        <v>1878</v>
      </c>
      <c r="AH1409" s="29" t="s">
        <v>2163</v>
      </c>
      <c r="AI1409" s="29" t="s">
        <v>1931</v>
      </c>
      <c r="AJ1409" s="29" t="s">
        <v>2164</v>
      </c>
      <c r="AL1409" s="29" t="s">
        <v>1879</v>
      </c>
    </row>
    <row r="1410" spans="15:38">
      <c r="O1410" t="s">
        <v>24</v>
      </c>
      <c r="P1410" t="s">
        <v>43</v>
      </c>
      <c r="Q1410" t="s">
        <v>26</v>
      </c>
      <c r="R1410" t="s">
        <v>53</v>
      </c>
      <c r="S1410">
        <v>2025.1</v>
      </c>
      <c r="T1410">
        <v>238075.09</v>
      </c>
      <c r="U1410">
        <v>453767.48810000002</v>
      </c>
      <c r="V1410">
        <v>273767.48810000002</v>
      </c>
      <c r="AA1410" s="29" t="s">
        <v>43</v>
      </c>
      <c r="AB1410">
        <v>31200</v>
      </c>
      <c r="AC1410">
        <v>120</v>
      </c>
      <c r="AD1410">
        <v>4</v>
      </c>
      <c r="AE1410">
        <v>2.52</v>
      </c>
      <c r="AF1410">
        <v>2.52</v>
      </c>
      <c r="AG1410" s="29" t="s">
        <v>1878</v>
      </c>
      <c r="AH1410" s="29" t="s">
        <v>2165</v>
      </c>
      <c r="AI1410" s="29" t="s">
        <v>1931</v>
      </c>
      <c r="AJ1410" s="29" t="s">
        <v>2166</v>
      </c>
      <c r="AL1410" s="29" t="s">
        <v>1879</v>
      </c>
    </row>
    <row r="1411" spans="15:38">
      <c r="O1411" t="s">
        <v>24</v>
      </c>
      <c r="P1411" t="s">
        <v>43</v>
      </c>
      <c r="Q1411" t="s">
        <v>26</v>
      </c>
      <c r="R1411" t="s">
        <v>53</v>
      </c>
      <c r="S1411">
        <v>2025.11</v>
      </c>
      <c r="T1411">
        <v>238075.09</v>
      </c>
      <c r="U1411">
        <v>453767.48810000002</v>
      </c>
      <c r="V1411">
        <v>273767.48810000002</v>
      </c>
      <c r="AA1411" s="29" t="s">
        <v>43</v>
      </c>
      <c r="AB1411">
        <v>31200</v>
      </c>
      <c r="AC1411">
        <v>120</v>
      </c>
      <c r="AD1411">
        <v>4</v>
      </c>
      <c r="AE1411">
        <v>25.8</v>
      </c>
      <c r="AF1411">
        <v>25.8</v>
      </c>
      <c r="AG1411" s="29" t="s">
        <v>1878</v>
      </c>
      <c r="AH1411" s="29" t="s">
        <v>2167</v>
      </c>
      <c r="AI1411" s="29" t="s">
        <v>1931</v>
      </c>
      <c r="AJ1411" s="29" t="s">
        <v>2168</v>
      </c>
      <c r="AL1411" s="29" t="s">
        <v>1879</v>
      </c>
    </row>
    <row r="1412" spans="15:38">
      <c r="O1412" t="s">
        <v>24</v>
      </c>
      <c r="P1412" t="s">
        <v>43</v>
      </c>
      <c r="Q1412" t="s">
        <v>26</v>
      </c>
      <c r="R1412" t="s">
        <v>53</v>
      </c>
      <c r="S1412">
        <v>2025.12</v>
      </c>
      <c r="T1412">
        <v>238075.09</v>
      </c>
      <c r="U1412">
        <v>453767.48810000002</v>
      </c>
      <c r="V1412">
        <v>273767.48810000002</v>
      </c>
      <c r="AA1412" s="29" t="s">
        <v>43</v>
      </c>
      <c r="AB1412">
        <v>31200</v>
      </c>
      <c r="AC1412">
        <v>120</v>
      </c>
      <c r="AD1412">
        <v>4</v>
      </c>
      <c r="AE1412">
        <v>4.8</v>
      </c>
      <c r="AF1412">
        <v>4.8</v>
      </c>
      <c r="AG1412" s="29" t="s">
        <v>1878</v>
      </c>
      <c r="AH1412" s="29" t="s">
        <v>2169</v>
      </c>
      <c r="AI1412" s="29" t="s">
        <v>1931</v>
      </c>
      <c r="AJ1412" s="29" t="s">
        <v>2170</v>
      </c>
      <c r="AL1412" s="29" t="s">
        <v>1879</v>
      </c>
    </row>
    <row r="1413" spans="15:38">
      <c r="O1413" t="s">
        <v>24</v>
      </c>
      <c r="P1413" t="s">
        <v>43</v>
      </c>
      <c r="Q1413" t="s">
        <v>26</v>
      </c>
      <c r="R1413" t="s">
        <v>54</v>
      </c>
      <c r="S1413">
        <v>2024.11</v>
      </c>
      <c r="T1413">
        <v>25</v>
      </c>
      <c r="U1413">
        <v>0</v>
      </c>
      <c r="V1413">
        <v>0</v>
      </c>
      <c r="AA1413" s="29" t="s">
        <v>43</v>
      </c>
      <c r="AB1413">
        <v>31200</v>
      </c>
      <c r="AC1413">
        <v>120</v>
      </c>
      <c r="AD1413">
        <v>4</v>
      </c>
      <c r="AE1413">
        <v>44.88</v>
      </c>
      <c r="AF1413">
        <v>44.88</v>
      </c>
      <c r="AG1413" s="29" t="s">
        <v>1878</v>
      </c>
      <c r="AH1413" s="29" t="s">
        <v>2171</v>
      </c>
      <c r="AI1413" s="29" t="s">
        <v>1931</v>
      </c>
      <c r="AJ1413" s="29" t="s">
        <v>2172</v>
      </c>
      <c r="AL1413" s="29" t="s">
        <v>1879</v>
      </c>
    </row>
    <row r="1414" spans="15:38">
      <c r="O1414" t="s">
        <v>24</v>
      </c>
      <c r="P1414" t="s">
        <v>43</v>
      </c>
      <c r="Q1414" t="s">
        <v>26</v>
      </c>
      <c r="R1414" t="s">
        <v>54</v>
      </c>
      <c r="S1414">
        <v>2024.12</v>
      </c>
      <c r="T1414">
        <v>25</v>
      </c>
      <c r="U1414">
        <v>0</v>
      </c>
      <c r="V1414">
        <v>0</v>
      </c>
      <c r="AA1414" s="29" t="s">
        <v>43</v>
      </c>
      <c r="AB1414">
        <v>31200</v>
      </c>
      <c r="AC1414">
        <v>120</v>
      </c>
      <c r="AD1414">
        <v>4</v>
      </c>
      <c r="AE1414">
        <v>0</v>
      </c>
      <c r="AF1414">
        <v>0</v>
      </c>
      <c r="AG1414" s="29" t="s">
        <v>1878</v>
      </c>
      <c r="AH1414" s="29" t="s">
        <v>1896</v>
      </c>
      <c r="AI1414" s="29" t="s">
        <v>1931</v>
      </c>
      <c r="AJ1414" s="29" t="s">
        <v>506</v>
      </c>
      <c r="AL1414" s="29" t="s">
        <v>1879</v>
      </c>
    </row>
    <row r="1415" spans="15:38">
      <c r="O1415" t="s">
        <v>24</v>
      </c>
      <c r="P1415" t="s">
        <v>43</v>
      </c>
      <c r="Q1415" t="s">
        <v>26</v>
      </c>
      <c r="R1415" t="s">
        <v>54</v>
      </c>
      <c r="S1415">
        <v>2024.14</v>
      </c>
      <c r="T1415">
        <v>25</v>
      </c>
      <c r="U1415">
        <v>0</v>
      </c>
      <c r="V1415">
        <v>0</v>
      </c>
      <c r="AA1415" s="29" t="s">
        <v>43</v>
      </c>
      <c r="AB1415">
        <v>31200</v>
      </c>
      <c r="AC1415">
        <v>120</v>
      </c>
      <c r="AD1415">
        <v>4</v>
      </c>
      <c r="AE1415">
        <v>120.4</v>
      </c>
      <c r="AF1415">
        <v>120.4</v>
      </c>
      <c r="AG1415" s="29" t="s">
        <v>1878</v>
      </c>
      <c r="AH1415" s="29" t="s">
        <v>2173</v>
      </c>
      <c r="AI1415" s="29" t="s">
        <v>1931</v>
      </c>
      <c r="AJ1415" s="29" t="s">
        <v>2174</v>
      </c>
      <c r="AL1415" s="29" t="s">
        <v>1879</v>
      </c>
    </row>
    <row r="1416" spans="15:38">
      <c r="O1416" t="s">
        <v>24</v>
      </c>
      <c r="P1416" t="s">
        <v>43</v>
      </c>
      <c r="Q1416" t="s">
        <v>26</v>
      </c>
      <c r="R1416" t="s">
        <v>54</v>
      </c>
      <c r="S1416">
        <v>2024.17</v>
      </c>
      <c r="T1416">
        <v>25</v>
      </c>
      <c r="U1416">
        <v>0</v>
      </c>
      <c r="V1416">
        <v>0</v>
      </c>
      <c r="AA1416" s="29" t="s">
        <v>43</v>
      </c>
      <c r="AB1416">
        <v>31200</v>
      </c>
      <c r="AC1416">
        <v>120</v>
      </c>
      <c r="AD1416">
        <v>4</v>
      </c>
      <c r="AE1416">
        <v>11.76</v>
      </c>
      <c r="AF1416">
        <v>11.76</v>
      </c>
      <c r="AG1416" s="29" t="s">
        <v>1878</v>
      </c>
      <c r="AH1416" s="29" t="s">
        <v>2175</v>
      </c>
      <c r="AI1416" s="29" t="s">
        <v>1931</v>
      </c>
      <c r="AJ1416" s="29" t="s">
        <v>2176</v>
      </c>
      <c r="AL1416" s="29" t="s">
        <v>1879</v>
      </c>
    </row>
    <row r="1417" spans="15:38">
      <c r="O1417" t="s">
        <v>24</v>
      </c>
      <c r="P1417" t="s">
        <v>43</v>
      </c>
      <c r="Q1417" t="s">
        <v>26</v>
      </c>
      <c r="R1417" t="s">
        <v>54</v>
      </c>
      <c r="S1417">
        <v>2024.18</v>
      </c>
      <c r="T1417">
        <v>25</v>
      </c>
      <c r="U1417">
        <v>0</v>
      </c>
      <c r="V1417">
        <v>0</v>
      </c>
      <c r="AA1417" s="29" t="s">
        <v>43</v>
      </c>
      <c r="AB1417">
        <v>31200</v>
      </c>
      <c r="AC1417">
        <v>120</v>
      </c>
      <c r="AD1417">
        <v>4</v>
      </c>
      <c r="AE1417">
        <v>0</v>
      </c>
      <c r="AF1417">
        <v>0</v>
      </c>
      <c r="AG1417" s="29" t="s">
        <v>1878</v>
      </c>
      <c r="AH1417" s="29" t="s">
        <v>1896</v>
      </c>
      <c r="AI1417" s="29" t="s">
        <v>1931</v>
      </c>
      <c r="AJ1417" s="29" t="s">
        <v>2177</v>
      </c>
      <c r="AL1417" s="29" t="s">
        <v>1879</v>
      </c>
    </row>
    <row r="1418" spans="15:38">
      <c r="O1418" t="s">
        <v>24</v>
      </c>
      <c r="P1418" t="s">
        <v>43</v>
      </c>
      <c r="Q1418" t="s">
        <v>26</v>
      </c>
      <c r="R1418" t="s">
        <v>54</v>
      </c>
      <c r="S1418">
        <v>2024.19</v>
      </c>
      <c r="T1418">
        <v>25</v>
      </c>
      <c r="U1418">
        <v>0</v>
      </c>
      <c r="V1418">
        <v>0</v>
      </c>
      <c r="AA1418" s="29" t="s">
        <v>43</v>
      </c>
      <c r="AB1418">
        <v>31200</v>
      </c>
      <c r="AC1418">
        <v>120</v>
      </c>
      <c r="AD1418">
        <v>4</v>
      </c>
      <c r="AE1418">
        <v>22.4</v>
      </c>
      <c r="AF1418">
        <v>22.4</v>
      </c>
      <c r="AG1418" s="29" t="s">
        <v>1878</v>
      </c>
      <c r="AH1418" s="29" t="s">
        <v>2178</v>
      </c>
      <c r="AI1418" s="29" t="s">
        <v>1931</v>
      </c>
      <c r="AJ1418" s="29" t="s">
        <v>2179</v>
      </c>
      <c r="AL1418" s="29" t="s">
        <v>1879</v>
      </c>
    </row>
    <row r="1419" spans="15:38">
      <c r="O1419" t="s">
        <v>24</v>
      </c>
      <c r="P1419" t="s">
        <v>43</v>
      </c>
      <c r="Q1419" t="s">
        <v>26</v>
      </c>
      <c r="R1419" t="s">
        <v>54</v>
      </c>
      <c r="S1419">
        <v>2024.2</v>
      </c>
      <c r="T1419">
        <v>25</v>
      </c>
      <c r="U1419">
        <v>0</v>
      </c>
      <c r="V1419">
        <v>0</v>
      </c>
      <c r="AA1419" s="29" t="s">
        <v>43</v>
      </c>
      <c r="AB1419">
        <v>31200</v>
      </c>
      <c r="AC1419">
        <v>120</v>
      </c>
      <c r="AD1419">
        <v>4</v>
      </c>
      <c r="AE1419">
        <v>27864</v>
      </c>
      <c r="AF1419">
        <v>27864</v>
      </c>
      <c r="AG1419" s="29" t="s">
        <v>1878</v>
      </c>
      <c r="AH1419" s="29" t="s">
        <v>2180</v>
      </c>
      <c r="AI1419" s="29" t="s">
        <v>1931</v>
      </c>
      <c r="AJ1419" s="29" t="s">
        <v>2181</v>
      </c>
      <c r="AL1419" s="29" t="s">
        <v>1879</v>
      </c>
    </row>
    <row r="1420" spans="15:38">
      <c r="O1420" t="s">
        <v>24</v>
      </c>
      <c r="P1420" t="s">
        <v>43</v>
      </c>
      <c r="Q1420" t="s">
        <v>26</v>
      </c>
      <c r="R1420" t="s">
        <v>54</v>
      </c>
      <c r="S1420">
        <v>2024.21</v>
      </c>
      <c r="T1420">
        <v>25</v>
      </c>
      <c r="U1420">
        <v>0</v>
      </c>
      <c r="V1420">
        <v>0</v>
      </c>
      <c r="AA1420" s="29" t="s">
        <v>43</v>
      </c>
      <c r="AB1420">
        <v>31200</v>
      </c>
      <c r="AC1420">
        <v>120</v>
      </c>
      <c r="AD1420">
        <v>4</v>
      </c>
      <c r="AE1420">
        <v>205.7</v>
      </c>
      <c r="AF1420">
        <v>205.7</v>
      </c>
      <c r="AG1420" s="29" t="s">
        <v>1878</v>
      </c>
      <c r="AH1420" s="29" t="s">
        <v>2182</v>
      </c>
      <c r="AI1420" s="29" t="s">
        <v>1931</v>
      </c>
      <c r="AJ1420" s="29" t="s">
        <v>2183</v>
      </c>
      <c r="AL1420" s="29" t="s">
        <v>1879</v>
      </c>
    </row>
    <row r="1421" spans="15:38">
      <c r="O1421" t="s">
        <v>24</v>
      </c>
      <c r="P1421" t="s">
        <v>43</v>
      </c>
      <c r="Q1421" t="s">
        <v>26</v>
      </c>
      <c r="R1421" t="s">
        <v>54</v>
      </c>
      <c r="S1421">
        <v>2024.28</v>
      </c>
      <c r="T1421">
        <v>25</v>
      </c>
      <c r="U1421">
        <v>0</v>
      </c>
      <c r="V1421">
        <v>0</v>
      </c>
      <c r="AA1421" s="29" t="s">
        <v>43</v>
      </c>
      <c r="AB1421">
        <v>31200</v>
      </c>
      <c r="AC1421">
        <v>120</v>
      </c>
      <c r="AD1421">
        <v>4</v>
      </c>
      <c r="AE1421">
        <v>0</v>
      </c>
      <c r="AF1421">
        <v>0</v>
      </c>
      <c r="AG1421" s="29" t="s">
        <v>1878</v>
      </c>
      <c r="AH1421" s="29" t="s">
        <v>1896</v>
      </c>
      <c r="AI1421" s="29" t="s">
        <v>1931</v>
      </c>
      <c r="AJ1421" s="29" t="s">
        <v>506</v>
      </c>
      <c r="AL1421" s="29" t="s">
        <v>1879</v>
      </c>
    </row>
    <row r="1422" spans="15:38">
      <c r="O1422" t="s">
        <v>24</v>
      </c>
      <c r="P1422" t="s">
        <v>43</v>
      </c>
      <c r="Q1422" t="s">
        <v>26</v>
      </c>
      <c r="R1422" t="s">
        <v>54</v>
      </c>
      <c r="S1422">
        <v>2024.38</v>
      </c>
      <c r="T1422">
        <v>25</v>
      </c>
      <c r="U1422">
        <v>0</v>
      </c>
      <c r="V1422">
        <v>0</v>
      </c>
      <c r="AA1422" s="29" t="s">
        <v>43</v>
      </c>
      <c r="AB1422">
        <v>31200</v>
      </c>
      <c r="AC1422">
        <v>120</v>
      </c>
      <c r="AD1422">
        <v>4</v>
      </c>
      <c r="AE1422">
        <v>33.6</v>
      </c>
      <c r="AF1422">
        <v>33.6</v>
      </c>
      <c r="AG1422" s="29" t="s">
        <v>1878</v>
      </c>
      <c r="AH1422" s="29" t="s">
        <v>2184</v>
      </c>
      <c r="AI1422" s="29" t="s">
        <v>1931</v>
      </c>
      <c r="AJ1422" s="29" t="s">
        <v>2185</v>
      </c>
      <c r="AL1422" s="29" t="s">
        <v>1879</v>
      </c>
    </row>
    <row r="1423" spans="15:38">
      <c r="O1423" t="s">
        <v>24</v>
      </c>
      <c r="P1423" t="s">
        <v>43</v>
      </c>
      <c r="Q1423" t="s">
        <v>26</v>
      </c>
      <c r="R1423" t="s">
        <v>54</v>
      </c>
      <c r="S1423">
        <v>2024.39</v>
      </c>
      <c r="T1423">
        <v>25</v>
      </c>
      <c r="U1423">
        <v>0</v>
      </c>
      <c r="V1423">
        <v>0</v>
      </c>
      <c r="AA1423" s="29" t="s">
        <v>43</v>
      </c>
      <c r="AB1423">
        <v>31200</v>
      </c>
      <c r="AC1423">
        <v>120</v>
      </c>
      <c r="AD1423">
        <v>4</v>
      </c>
      <c r="AE1423">
        <v>64</v>
      </c>
      <c r="AF1423">
        <v>64</v>
      </c>
      <c r="AG1423" s="29" t="s">
        <v>1878</v>
      </c>
      <c r="AH1423" s="29" t="s">
        <v>2186</v>
      </c>
      <c r="AI1423" s="29" t="s">
        <v>1931</v>
      </c>
      <c r="AJ1423" s="29" t="s">
        <v>2187</v>
      </c>
      <c r="AL1423" s="29" t="s">
        <v>1879</v>
      </c>
    </row>
    <row r="1424" spans="15:38">
      <c r="O1424" t="s">
        <v>24</v>
      </c>
      <c r="P1424" t="s">
        <v>43</v>
      </c>
      <c r="Q1424" t="s">
        <v>26</v>
      </c>
      <c r="R1424" t="s">
        <v>54</v>
      </c>
      <c r="S1424">
        <v>2024.41</v>
      </c>
      <c r="T1424">
        <v>25</v>
      </c>
      <c r="U1424">
        <v>0</v>
      </c>
      <c r="V1424">
        <v>0</v>
      </c>
      <c r="AA1424" s="29" t="s">
        <v>43</v>
      </c>
      <c r="AB1424">
        <v>31200</v>
      </c>
      <c r="AC1424">
        <v>120</v>
      </c>
      <c r="AD1424">
        <v>4</v>
      </c>
      <c r="AE1424">
        <v>24232</v>
      </c>
      <c r="AF1424">
        <v>24232</v>
      </c>
      <c r="AG1424" s="29" t="s">
        <v>1878</v>
      </c>
      <c r="AH1424" s="29" t="s">
        <v>2188</v>
      </c>
      <c r="AI1424" s="29" t="s">
        <v>1931</v>
      </c>
      <c r="AJ1424" s="29" t="s">
        <v>2189</v>
      </c>
      <c r="AL1424" s="29" t="s">
        <v>1879</v>
      </c>
    </row>
    <row r="1425" spans="15:38">
      <c r="O1425" t="s">
        <v>24</v>
      </c>
      <c r="P1425" t="s">
        <v>43</v>
      </c>
      <c r="Q1425" t="s">
        <v>26</v>
      </c>
      <c r="R1425" t="s">
        <v>54</v>
      </c>
      <c r="S1425">
        <v>2024.43</v>
      </c>
      <c r="T1425">
        <v>25</v>
      </c>
      <c r="U1425">
        <v>0</v>
      </c>
      <c r="V1425">
        <v>0</v>
      </c>
      <c r="AA1425" s="29" t="s">
        <v>43</v>
      </c>
      <c r="AB1425">
        <v>31200</v>
      </c>
      <c r="AC1425">
        <v>120</v>
      </c>
      <c r="AD1425">
        <v>4</v>
      </c>
      <c r="AE1425">
        <v>24232</v>
      </c>
      <c r="AF1425">
        <v>24232</v>
      </c>
      <c r="AG1425" s="29" t="s">
        <v>1878</v>
      </c>
      <c r="AH1425" s="29" t="s">
        <v>2188</v>
      </c>
      <c r="AI1425" s="29" t="s">
        <v>1931</v>
      </c>
      <c r="AJ1425" s="29" t="s">
        <v>2189</v>
      </c>
      <c r="AL1425" s="29" t="s">
        <v>1879</v>
      </c>
    </row>
    <row r="1426" spans="15:38">
      <c r="O1426" t="s">
        <v>24</v>
      </c>
      <c r="P1426" t="s">
        <v>43</v>
      </c>
      <c r="Q1426" t="s">
        <v>26</v>
      </c>
      <c r="R1426" t="s">
        <v>54</v>
      </c>
      <c r="S1426">
        <v>2024.44</v>
      </c>
      <c r="T1426">
        <v>25</v>
      </c>
      <c r="U1426">
        <v>0</v>
      </c>
      <c r="V1426">
        <v>0</v>
      </c>
      <c r="AA1426" s="29" t="s">
        <v>43</v>
      </c>
      <c r="AB1426">
        <v>31200</v>
      </c>
      <c r="AC1426">
        <v>120</v>
      </c>
      <c r="AD1426">
        <v>4</v>
      </c>
      <c r="AE1426">
        <v>5472</v>
      </c>
      <c r="AF1426">
        <v>5472</v>
      </c>
      <c r="AG1426" s="29" t="s">
        <v>1878</v>
      </c>
      <c r="AH1426" s="29" t="s">
        <v>2190</v>
      </c>
      <c r="AI1426" s="29" t="s">
        <v>1931</v>
      </c>
      <c r="AJ1426" s="29" t="s">
        <v>2191</v>
      </c>
      <c r="AL1426" s="29" t="s">
        <v>1879</v>
      </c>
    </row>
    <row r="1427" spans="15:38">
      <c r="O1427" t="s">
        <v>24</v>
      </c>
      <c r="P1427" t="s">
        <v>43</v>
      </c>
      <c r="Q1427" t="s">
        <v>26</v>
      </c>
      <c r="R1427" t="s">
        <v>54</v>
      </c>
      <c r="S1427">
        <v>2024.45</v>
      </c>
      <c r="T1427">
        <v>25</v>
      </c>
      <c r="U1427">
        <v>0</v>
      </c>
      <c r="V1427">
        <v>0</v>
      </c>
      <c r="AA1427" s="29" t="s">
        <v>43</v>
      </c>
      <c r="AB1427">
        <v>31200</v>
      </c>
      <c r="AC1427">
        <v>120</v>
      </c>
      <c r="AD1427">
        <v>4</v>
      </c>
      <c r="AE1427">
        <v>598.4</v>
      </c>
      <c r="AF1427">
        <v>598.4</v>
      </c>
      <c r="AG1427" s="29" t="s">
        <v>1878</v>
      </c>
      <c r="AH1427" s="29" t="s">
        <v>2192</v>
      </c>
      <c r="AI1427" s="29" t="s">
        <v>1931</v>
      </c>
      <c r="AJ1427" s="29" t="s">
        <v>2193</v>
      </c>
      <c r="AL1427" s="29" t="s">
        <v>1879</v>
      </c>
    </row>
    <row r="1428" spans="15:38">
      <c r="O1428" t="s">
        <v>24</v>
      </c>
      <c r="P1428" t="s">
        <v>43</v>
      </c>
      <c r="Q1428" t="s">
        <v>26</v>
      </c>
      <c r="R1428" t="s">
        <v>54</v>
      </c>
      <c r="S1428">
        <v>2024.47</v>
      </c>
      <c r="T1428">
        <v>25</v>
      </c>
      <c r="U1428">
        <v>0</v>
      </c>
      <c r="V1428">
        <v>0</v>
      </c>
      <c r="AA1428" s="29" t="s">
        <v>43</v>
      </c>
      <c r="AB1428">
        <v>31200</v>
      </c>
      <c r="AC1428">
        <v>120</v>
      </c>
      <c r="AD1428">
        <v>4</v>
      </c>
      <c r="AE1428">
        <v>416</v>
      </c>
      <c r="AF1428">
        <v>416</v>
      </c>
      <c r="AG1428" s="29" t="s">
        <v>1878</v>
      </c>
      <c r="AH1428" s="29" t="s">
        <v>2194</v>
      </c>
      <c r="AI1428" s="29" t="s">
        <v>1931</v>
      </c>
      <c r="AJ1428" s="29" t="s">
        <v>2195</v>
      </c>
      <c r="AL1428" s="29" t="s">
        <v>1879</v>
      </c>
    </row>
    <row r="1429" spans="15:38">
      <c r="O1429" t="s">
        <v>24</v>
      </c>
      <c r="P1429" t="s">
        <v>43</v>
      </c>
      <c r="Q1429" t="s">
        <v>26</v>
      </c>
      <c r="R1429" t="s">
        <v>54</v>
      </c>
      <c r="S1429">
        <v>2024.48</v>
      </c>
      <c r="T1429">
        <v>25</v>
      </c>
      <c r="U1429">
        <v>0</v>
      </c>
      <c r="V1429">
        <v>25</v>
      </c>
      <c r="AA1429" s="29" t="s">
        <v>43</v>
      </c>
      <c r="AB1429">
        <v>31200</v>
      </c>
      <c r="AC1429">
        <v>120</v>
      </c>
      <c r="AD1429">
        <v>4</v>
      </c>
      <c r="AE1429">
        <v>617.55999999999995</v>
      </c>
      <c r="AF1429">
        <v>617.55999999999995</v>
      </c>
      <c r="AG1429" s="29" t="s">
        <v>1878</v>
      </c>
      <c r="AH1429" s="29" t="s">
        <v>2196</v>
      </c>
      <c r="AI1429" s="29" t="s">
        <v>1931</v>
      </c>
      <c r="AJ1429" s="29" t="s">
        <v>2197</v>
      </c>
      <c r="AL1429" s="29" t="s">
        <v>1879</v>
      </c>
    </row>
    <row r="1430" spans="15:38">
      <c r="O1430" t="s">
        <v>24</v>
      </c>
      <c r="P1430" t="s">
        <v>43</v>
      </c>
      <c r="Q1430" t="s">
        <v>26</v>
      </c>
      <c r="R1430" t="s">
        <v>54</v>
      </c>
      <c r="S1430">
        <v>2024.49</v>
      </c>
      <c r="T1430">
        <v>25</v>
      </c>
      <c r="U1430">
        <v>0</v>
      </c>
      <c r="V1430">
        <v>25</v>
      </c>
      <c r="AA1430" s="29" t="s">
        <v>43</v>
      </c>
      <c r="AB1430">
        <v>31200</v>
      </c>
      <c r="AC1430">
        <v>120</v>
      </c>
      <c r="AD1430">
        <v>4</v>
      </c>
      <c r="AE1430">
        <v>13074</v>
      </c>
      <c r="AF1430">
        <v>13074</v>
      </c>
      <c r="AG1430" s="29" t="s">
        <v>1878</v>
      </c>
      <c r="AH1430" s="29" t="s">
        <v>2198</v>
      </c>
      <c r="AI1430" s="29" t="s">
        <v>1931</v>
      </c>
      <c r="AJ1430" s="29" t="s">
        <v>2199</v>
      </c>
      <c r="AL1430" s="29" t="s">
        <v>1879</v>
      </c>
    </row>
    <row r="1431" spans="15:38">
      <c r="O1431" t="s">
        <v>24</v>
      </c>
      <c r="P1431" t="s">
        <v>43</v>
      </c>
      <c r="Q1431" t="s">
        <v>26</v>
      </c>
      <c r="R1431" t="s">
        <v>54</v>
      </c>
      <c r="S1431">
        <v>2025.03</v>
      </c>
      <c r="T1431">
        <v>25</v>
      </c>
      <c r="U1431">
        <v>0</v>
      </c>
      <c r="V1431">
        <v>25</v>
      </c>
      <c r="AA1431" s="29" t="s">
        <v>43</v>
      </c>
      <c r="AB1431">
        <v>31200</v>
      </c>
      <c r="AC1431">
        <v>120</v>
      </c>
      <c r="AD1431">
        <v>4</v>
      </c>
      <c r="AE1431">
        <v>108.8</v>
      </c>
      <c r="AF1431">
        <v>108.8</v>
      </c>
      <c r="AG1431" s="29" t="s">
        <v>1878</v>
      </c>
      <c r="AH1431" s="29" t="s">
        <v>2200</v>
      </c>
      <c r="AI1431" s="29" t="s">
        <v>1931</v>
      </c>
      <c r="AJ1431" s="29" t="s">
        <v>2201</v>
      </c>
      <c r="AL1431" s="29" t="s">
        <v>1879</v>
      </c>
    </row>
    <row r="1432" spans="15:38">
      <c r="O1432" t="s">
        <v>24</v>
      </c>
      <c r="P1432" t="s">
        <v>43</v>
      </c>
      <c r="Q1432" t="s">
        <v>26</v>
      </c>
      <c r="R1432" t="s">
        <v>54</v>
      </c>
      <c r="S1432">
        <v>2025.08</v>
      </c>
      <c r="T1432">
        <v>25</v>
      </c>
      <c r="U1432">
        <v>0</v>
      </c>
      <c r="V1432">
        <v>25</v>
      </c>
      <c r="AA1432" s="29" t="s">
        <v>43</v>
      </c>
      <c r="AB1432">
        <v>31200</v>
      </c>
      <c r="AC1432">
        <v>120</v>
      </c>
      <c r="AD1432">
        <v>4</v>
      </c>
      <c r="AE1432">
        <v>136</v>
      </c>
      <c r="AF1432">
        <v>136</v>
      </c>
      <c r="AG1432" s="29" t="s">
        <v>1878</v>
      </c>
      <c r="AH1432" s="29" t="s">
        <v>2065</v>
      </c>
      <c r="AI1432" s="29" t="s">
        <v>1931</v>
      </c>
      <c r="AJ1432" s="29" t="s">
        <v>2202</v>
      </c>
      <c r="AL1432" s="29" t="s">
        <v>1879</v>
      </c>
    </row>
    <row r="1433" spans="15:38">
      <c r="O1433" t="s">
        <v>24</v>
      </c>
      <c r="P1433" t="s">
        <v>43</v>
      </c>
      <c r="Q1433" t="s">
        <v>26</v>
      </c>
      <c r="R1433" t="s">
        <v>54</v>
      </c>
      <c r="S1433">
        <v>2025.1</v>
      </c>
      <c r="T1433">
        <v>25</v>
      </c>
      <c r="U1433">
        <v>0</v>
      </c>
      <c r="V1433">
        <v>25</v>
      </c>
      <c r="AA1433" s="29" t="s">
        <v>43</v>
      </c>
      <c r="AB1433">
        <v>31200</v>
      </c>
      <c r="AC1433">
        <v>120</v>
      </c>
      <c r="AD1433">
        <v>4</v>
      </c>
      <c r="AE1433">
        <v>3572</v>
      </c>
      <c r="AF1433">
        <v>3572</v>
      </c>
      <c r="AG1433" s="29" t="s">
        <v>1878</v>
      </c>
      <c r="AH1433" s="29" t="s">
        <v>2203</v>
      </c>
      <c r="AI1433" s="29" t="s">
        <v>1931</v>
      </c>
      <c r="AJ1433" s="29" t="s">
        <v>2204</v>
      </c>
      <c r="AL1433" s="29" t="s">
        <v>1879</v>
      </c>
    </row>
    <row r="1434" spans="15:38">
      <c r="O1434" t="s">
        <v>24</v>
      </c>
      <c r="P1434" t="s">
        <v>43</v>
      </c>
      <c r="Q1434" t="s">
        <v>26</v>
      </c>
      <c r="R1434" t="s">
        <v>54</v>
      </c>
      <c r="S1434">
        <v>2025.11</v>
      </c>
      <c r="T1434">
        <v>25</v>
      </c>
      <c r="U1434">
        <v>0</v>
      </c>
      <c r="V1434">
        <v>25</v>
      </c>
      <c r="AA1434" s="29" t="s">
        <v>43</v>
      </c>
      <c r="AB1434">
        <v>31200</v>
      </c>
      <c r="AC1434">
        <v>120</v>
      </c>
      <c r="AD1434">
        <v>4</v>
      </c>
      <c r="AE1434">
        <v>81.599999999999994</v>
      </c>
      <c r="AF1434">
        <v>81.599999999999994</v>
      </c>
      <c r="AG1434" s="29" t="s">
        <v>1878</v>
      </c>
      <c r="AH1434" s="29" t="s">
        <v>2205</v>
      </c>
      <c r="AI1434" s="29" t="s">
        <v>1931</v>
      </c>
      <c r="AJ1434" s="29" t="s">
        <v>2206</v>
      </c>
      <c r="AL1434" s="29" t="s">
        <v>1879</v>
      </c>
    </row>
    <row r="1435" spans="15:38">
      <c r="O1435" t="s">
        <v>24</v>
      </c>
      <c r="P1435" t="s">
        <v>43</v>
      </c>
      <c r="Q1435" t="s">
        <v>26</v>
      </c>
      <c r="R1435" t="s">
        <v>54</v>
      </c>
      <c r="S1435">
        <v>2025.12</v>
      </c>
      <c r="T1435">
        <v>25</v>
      </c>
      <c r="U1435">
        <v>0</v>
      </c>
      <c r="V1435">
        <v>25</v>
      </c>
      <c r="AA1435" s="29" t="s">
        <v>43</v>
      </c>
      <c r="AB1435">
        <v>31200</v>
      </c>
      <c r="AC1435">
        <v>120</v>
      </c>
      <c r="AD1435">
        <v>4</v>
      </c>
      <c r="AE1435">
        <v>1016</v>
      </c>
      <c r="AF1435">
        <v>1016</v>
      </c>
      <c r="AG1435" s="29" t="s">
        <v>1878</v>
      </c>
      <c r="AH1435" s="29" t="s">
        <v>2207</v>
      </c>
      <c r="AI1435" s="29" t="s">
        <v>1931</v>
      </c>
      <c r="AJ1435" s="29" t="s">
        <v>2208</v>
      </c>
      <c r="AL1435" s="29" t="s">
        <v>1879</v>
      </c>
    </row>
    <row r="1436" spans="15:38">
      <c r="O1436" t="s">
        <v>24</v>
      </c>
      <c r="P1436" t="s">
        <v>43</v>
      </c>
      <c r="Q1436" t="s">
        <v>26</v>
      </c>
      <c r="R1436" t="s">
        <v>65</v>
      </c>
      <c r="S1436">
        <v>2024.11</v>
      </c>
      <c r="T1436">
        <v>37.380000000000003</v>
      </c>
      <c r="U1436">
        <v>0</v>
      </c>
      <c r="V1436">
        <v>0</v>
      </c>
      <c r="AA1436" s="29" t="s">
        <v>43</v>
      </c>
      <c r="AB1436">
        <v>31200</v>
      </c>
      <c r="AC1436">
        <v>120</v>
      </c>
      <c r="AD1436">
        <v>4</v>
      </c>
      <c r="AE1436">
        <v>4320</v>
      </c>
      <c r="AF1436">
        <v>4320</v>
      </c>
      <c r="AG1436" s="29" t="s">
        <v>1878</v>
      </c>
      <c r="AH1436" s="29" t="s">
        <v>2209</v>
      </c>
      <c r="AI1436" s="29" t="s">
        <v>1931</v>
      </c>
      <c r="AJ1436" s="29" t="s">
        <v>2210</v>
      </c>
      <c r="AL1436" s="29" t="s">
        <v>1879</v>
      </c>
    </row>
    <row r="1437" spans="15:38">
      <c r="O1437" t="s">
        <v>24</v>
      </c>
      <c r="P1437" t="s">
        <v>43</v>
      </c>
      <c r="Q1437" t="s">
        <v>26</v>
      </c>
      <c r="R1437" t="s">
        <v>65</v>
      </c>
      <c r="S1437">
        <v>2024.12</v>
      </c>
      <c r="T1437">
        <v>59.88</v>
      </c>
      <c r="U1437">
        <v>0</v>
      </c>
      <c r="V1437">
        <v>0</v>
      </c>
      <c r="AA1437" s="29" t="s">
        <v>43</v>
      </c>
      <c r="AB1437">
        <v>31200</v>
      </c>
      <c r="AC1437">
        <v>120</v>
      </c>
      <c r="AD1437">
        <v>4</v>
      </c>
      <c r="AE1437">
        <v>24.7</v>
      </c>
      <c r="AF1437">
        <v>24.7</v>
      </c>
      <c r="AG1437" s="29" t="s">
        <v>1878</v>
      </c>
      <c r="AH1437" s="29" t="s">
        <v>2211</v>
      </c>
      <c r="AI1437" s="29" t="s">
        <v>1931</v>
      </c>
      <c r="AJ1437" s="29" t="s">
        <v>2212</v>
      </c>
      <c r="AL1437" s="29" t="s">
        <v>1879</v>
      </c>
    </row>
    <row r="1438" spans="15:38">
      <c r="O1438" t="s">
        <v>24</v>
      </c>
      <c r="P1438" t="s">
        <v>43</v>
      </c>
      <c r="Q1438" t="s">
        <v>26</v>
      </c>
      <c r="R1438" t="s">
        <v>65</v>
      </c>
      <c r="S1438">
        <v>2024.14</v>
      </c>
      <c r="T1438">
        <v>59.88</v>
      </c>
      <c r="U1438">
        <v>0</v>
      </c>
      <c r="V1438">
        <v>0</v>
      </c>
      <c r="AA1438" s="29" t="s">
        <v>43</v>
      </c>
      <c r="AB1438">
        <v>31200</v>
      </c>
      <c r="AC1438">
        <v>120</v>
      </c>
      <c r="AD1438">
        <v>4</v>
      </c>
      <c r="AE1438">
        <v>344</v>
      </c>
      <c r="AF1438">
        <v>344</v>
      </c>
      <c r="AG1438" s="29" t="s">
        <v>1878</v>
      </c>
      <c r="AH1438" s="29" t="s">
        <v>2213</v>
      </c>
      <c r="AI1438" s="29" t="s">
        <v>1931</v>
      </c>
      <c r="AJ1438" s="29" t="s">
        <v>2214</v>
      </c>
      <c r="AL1438" s="29" t="s">
        <v>1879</v>
      </c>
    </row>
    <row r="1439" spans="15:38">
      <c r="O1439" t="s">
        <v>24</v>
      </c>
      <c r="P1439" t="s">
        <v>43</v>
      </c>
      <c r="Q1439" t="s">
        <v>26</v>
      </c>
      <c r="R1439" t="s">
        <v>65</v>
      </c>
      <c r="S1439">
        <v>2024.17</v>
      </c>
      <c r="T1439">
        <v>86.78</v>
      </c>
      <c r="U1439">
        <v>0</v>
      </c>
      <c r="V1439">
        <v>0</v>
      </c>
      <c r="AA1439" s="29" t="s">
        <v>43</v>
      </c>
      <c r="AB1439">
        <v>31200</v>
      </c>
      <c r="AC1439">
        <v>120</v>
      </c>
      <c r="AD1439">
        <v>4</v>
      </c>
      <c r="AE1439">
        <v>0</v>
      </c>
      <c r="AF1439">
        <v>0</v>
      </c>
      <c r="AG1439" s="29" t="s">
        <v>1878</v>
      </c>
      <c r="AH1439" s="29" t="s">
        <v>1896</v>
      </c>
      <c r="AI1439" s="29" t="s">
        <v>1931</v>
      </c>
      <c r="AJ1439" s="29" t="s">
        <v>506</v>
      </c>
      <c r="AL1439" s="29" t="s">
        <v>1879</v>
      </c>
    </row>
    <row r="1440" spans="15:38">
      <c r="O1440" t="s">
        <v>24</v>
      </c>
      <c r="P1440" t="s">
        <v>43</v>
      </c>
      <c r="Q1440" t="s">
        <v>26</v>
      </c>
      <c r="R1440" t="s">
        <v>65</v>
      </c>
      <c r="S1440">
        <v>2024.18</v>
      </c>
      <c r="T1440">
        <v>86.78</v>
      </c>
      <c r="U1440">
        <v>0</v>
      </c>
      <c r="V1440">
        <v>0</v>
      </c>
      <c r="AA1440" s="29" t="s">
        <v>43</v>
      </c>
      <c r="AB1440">
        <v>31200</v>
      </c>
      <c r="AC1440">
        <v>120</v>
      </c>
      <c r="AD1440">
        <v>4</v>
      </c>
      <c r="AE1440">
        <v>5940</v>
      </c>
      <c r="AF1440">
        <v>5940</v>
      </c>
      <c r="AG1440" s="29" t="s">
        <v>1878</v>
      </c>
      <c r="AH1440" s="29" t="s">
        <v>2215</v>
      </c>
      <c r="AI1440" s="29" t="s">
        <v>1931</v>
      </c>
      <c r="AJ1440" s="29" t="s">
        <v>2216</v>
      </c>
      <c r="AL1440" s="29" t="s">
        <v>1879</v>
      </c>
    </row>
    <row r="1441" spans="15:38">
      <c r="O1441" t="s">
        <v>24</v>
      </c>
      <c r="P1441" t="s">
        <v>43</v>
      </c>
      <c r="Q1441" t="s">
        <v>26</v>
      </c>
      <c r="R1441" t="s">
        <v>65</v>
      </c>
      <c r="S1441">
        <v>2024.19</v>
      </c>
      <c r="T1441">
        <v>86.78</v>
      </c>
      <c r="U1441">
        <v>0</v>
      </c>
      <c r="V1441">
        <v>0</v>
      </c>
      <c r="AA1441" s="29" t="s">
        <v>43</v>
      </c>
      <c r="AB1441">
        <v>31200</v>
      </c>
      <c r="AC1441">
        <v>120</v>
      </c>
      <c r="AD1441">
        <v>4</v>
      </c>
      <c r="AE1441">
        <v>2478</v>
      </c>
      <c r="AF1441">
        <v>2478</v>
      </c>
      <c r="AG1441" s="29" t="s">
        <v>1878</v>
      </c>
      <c r="AH1441" s="29" t="s">
        <v>2217</v>
      </c>
      <c r="AI1441" s="29" t="s">
        <v>1931</v>
      </c>
      <c r="AJ1441" s="29" t="s">
        <v>2218</v>
      </c>
      <c r="AL1441" s="29" t="s">
        <v>1879</v>
      </c>
    </row>
    <row r="1442" spans="15:38">
      <c r="O1442" t="s">
        <v>24</v>
      </c>
      <c r="P1442" t="s">
        <v>43</v>
      </c>
      <c r="Q1442" t="s">
        <v>26</v>
      </c>
      <c r="R1442" t="s">
        <v>65</v>
      </c>
      <c r="S1442">
        <v>2024.2</v>
      </c>
      <c r="T1442">
        <v>86.78</v>
      </c>
      <c r="U1442">
        <v>0</v>
      </c>
      <c r="V1442">
        <v>0</v>
      </c>
      <c r="AA1442" s="29" t="s">
        <v>43</v>
      </c>
      <c r="AB1442">
        <v>31200</v>
      </c>
      <c r="AC1442">
        <v>120</v>
      </c>
      <c r="AD1442">
        <v>4</v>
      </c>
      <c r="AE1442">
        <v>52</v>
      </c>
      <c r="AF1442">
        <v>52</v>
      </c>
      <c r="AG1442" s="29" t="s">
        <v>1878</v>
      </c>
      <c r="AH1442" s="29" t="s">
        <v>2158</v>
      </c>
      <c r="AI1442" s="29" t="s">
        <v>1931</v>
      </c>
      <c r="AJ1442" s="29" t="s">
        <v>2219</v>
      </c>
      <c r="AL1442" s="29" t="s">
        <v>1879</v>
      </c>
    </row>
    <row r="1443" spans="15:38">
      <c r="O1443" t="s">
        <v>24</v>
      </c>
      <c r="P1443" t="s">
        <v>43</v>
      </c>
      <c r="Q1443" t="s">
        <v>26</v>
      </c>
      <c r="R1443" t="s">
        <v>65</v>
      </c>
      <c r="S1443">
        <v>2024.21</v>
      </c>
      <c r="T1443">
        <v>86.78</v>
      </c>
      <c r="U1443">
        <v>0</v>
      </c>
      <c r="V1443">
        <v>0</v>
      </c>
      <c r="AA1443" s="29" t="s">
        <v>43</v>
      </c>
      <c r="AB1443">
        <v>31200</v>
      </c>
      <c r="AC1443">
        <v>120</v>
      </c>
      <c r="AD1443">
        <v>4</v>
      </c>
      <c r="AE1443">
        <v>144</v>
      </c>
      <c r="AF1443">
        <v>144</v>
      </c>
      <c r="AG1443" s="29" t="s">
        <v>1878</v>
      </c>
      <c r="AH1443" s="29" t="s">
        <v>2220</v>
      </c>
      <c r="AI1443" s="29" t="s">
        <v>1931</v>
      </c>
      <c r="AJ1443" s="29" t="s">
        <v>2221</v>
      </c>
      <c r="AL1443" s="29" t="s">
        <v>1879</v>
      </c>
    </row>
    <row r="1444" spans="15:38">
      <c r="O1444" t="s">
        <v>24</v>
      </c>
      <c r="P1444" t="s">
        <v>43</v>
      </c>
      <c r="Q1444" t="s">
        <v>26</v>
      </c>
      <c r="R1444" t="s">
        <v>65</v>
      </c>
      <c r="S1444">
        <v>2024.28</v>
      </c>
      <c r="T1444">
        <v>86.78</v>
      </c>
      <c r="U1444">
        <v>0</v>
      </c>
      <c r="V1444">
        <v>0</v>
      </c>
      <c r="AA1444" s="29" t="s">
        <v>43</v>
      </c>
      <c r="AB1444">
        <v>31200</v>
      </c>
      <c r="AC1444">
        <v>120</v>
      </c>
      <c r="AD1444">
        <v>4</v>
      </c>
      <c r="AE1444">
        <v>115.6</v>
      </c>
      <c r="AF1444">
        <v>115.6</v>
      </c>
      <c r="AG1444" s="29" t="s">
        <v>1878</v>
      </c>
      <c r="AH1444" s="29" t="s">
        <v>2222</v>
      </c>
      <c r="AI1444" s="29" t="s">
        <v>1931</v>
      </c>
      <c r="AJ1444" s="29" t="s">
        <v>2223</v>
      </c>
      <c r="AL1444" s="29" t="s">
        <v>1879</v>
      </c>
    </row>
    <row r="1445" spans="15:38">
      <c r="O1445" t="s">
        <v>24</v>
      </c>
      <c r="P1445" t="s">
        <v>43</v>
      </c>
      <c r="Q1445" t="s">
        <v>26</v>
      </c>
      <c r="R1445" t="s">
        <v>65</v>
      </c>
      <c r="S1445">
        <v>2024.38</v>
      </c>
      <c r="T1445">
        <v>86.78</v>
      </c>
      <c r="U1445">
        <v>0</v>
      </c>
      <c r="V1445">
        <v>0</v>
      </c>
      <c r="AA1445" s="29" t="s">
        <v>43</v>
      </c>
      <c r="AB1445">
        <v>31200</v>
      </c>
      <c r="AC1445">
        <v>120</v>
      </c>
      <c r="AD1445">
        <v>4</v>
      </c>
      <c r="AE1445">
        <v>17820</v>
      </c>
      <c r="AF1445">
        <v>17820</v>
      </c>
      <c r="AG1445" s="29" t="s">
        <v>1878</v>
      </c>
      <c r="AH1445" s="29" t="s">
        <v>2224</v>
      </c>
      <c r="AI1445" s="29" t="s">
        <v>1931</v>
      </c>
      <c r="AJ1445" s="29" t="s">
        <v>2225</v>
      </c>
      <c r="AL1445" s="29" t="s">
        <v>1879</v>
      </c>
    </row>
    <row r="1446" spans="15:38">
      <c r="O1446" t="s">
        <v>24</v>
      </c>
      <c r="P1446" t="s">
        <v>43</v>
      </c>
      <c r="Q1446" t="s">
        <v>26</v>
      </c>
      <c r="R1446" t="s">
        <v>65</v>
      </c>
      <c r="S1446">
        <v>2024.39</v>
      </c>
      <c r="T1446">
        <v>86.78</v>
      </c>
      <c r="U1446">
        <v>0</v>
      </c>
      <c r="V1446">
        <v>0</v>
      </c>
      <c r="AA1446" s="29" t="s">
        <v>43</v>
      </c>
      <c r="AB1446">
        <v>31200</v>
      </c>
      <c r="AC1446">
        <v>120</v>
      </c>
      <c r="AD1446">
        <v>4</v>
      </c>
      <c r="AE1446">
        <v>156</v>
      </c>
      <c r="AF1446">
        <v>156</v>
      </c>
      <c r="AG1446" s="29" t="s">
        <v>1878</v>
      </c>
      <c r="AH1446" s="29" t="s">
        <v>2226</v>
      </c>
      <c r="AI1446" s="29" t="s">
        <v>1931</v>
      </c>
      <c r="AJ1446" s="29" t="s">
        <v>2227</v>
      </c>
      <c r="AL1446" s="29" t="s">
        <v>1879</v>
      </c>
    </row>
    <row r="1447" spans="15:38">
      <c r="O1447" t="s">
        <v>24</v>
      </c>
      <c r="P1447" t="s">
        <v>43</v>
      </c>
      <c r="Q1447" t="s">
        <v>26</v>
      </c>
      <c r="R1447" t="s">
        <v>65</v>
      </c>
      <c r="S1447">
        <v>2024.41</v>
      </c>
      <c r="T1447">
        <v>86.78</v>
      </c>
      <c r="U1447">
        <v>0</v>
      </c>
      <c r="V1447">
        <v>0</v>
      </c>
      <c r="AA1447" s="29" t="s">
        <v>43</v>
      </c>
      <c r="AB1447">
        <v>31200</v>
      </c>
      <c r="AC1447">
        <v>120</v>
      </c>
      <c r="AD1447">
        <v>4</v>
      </c>
      <c r="AE1447">
        <v>279</v>
      </c>
      <c r="AF1447">
        <v>279</v>
      </c>
      <c r="AG1447" s="29" t="s">
        <v>1878</v>
      </c>
      <c r="AH1447" s="29" t="s">
        <v>2228</v>
      </c>
      <c r="AI1447" s="29" t="s">
        <v>1931</v>
      </c>
      <c r="AJ1447" s="29" t="s">
        <v>2229</v>
      </c>
      <c r="AL1447" s="29" t="s">
        <v>1879</v>
      </c>
    </row>
    <row r="1448" spans="15:38">
      <c r="O1448" t="s">
        <v>24</v>
      </c>
      <c r="P1448" t="s">
        <v>43</v>
      </c>
      <c r="Q1448" t="s">
        <v>26</v>
      </c>
      <c r="R1448" t="s">
        <v>65</v>
      </c>
      <c r="S1448">
        <v>2024.43</v>
      </c>
      <c r="T1448">
        <v>86.78</v>
      </c>
      <c r="U1448">
        <v>0</v>
      </c>
      <c r="V1448">
        <v>0</v>
      </c>
      <c r="AA1448" s="29" t="s">
        <v>43</v>
      </c>
      <c r="AB1448">
        <v>31200</v>
      </c>
      <c r="AC1448">
        <v>120</v>
      </c>
      <c r="AD1448">
        <v>4</v>
      </c>
      <c r="AE1448">
        <v>2970</v>
      </c>
      <c r="AF1448">
        <v>2970</v>
      </c>
      <c r="AG1448" s="29" t="s">
        <v>1878</v>
      </c>
      <c r="AH1448" s="29" t="s">
        <v>2230</v>
      </c>
      <c r="AI1448" s="29" t="s">
        <v>1931</v>
      </c>
      <c r="AJ1448" s="29" t="s">
        <v>2231</v>
      </c>
      <c r="AL1448" s="29" t="s">
        <v>1879</v>
      </c>
    </row>
    <row r="1449" spans="15:38">
      <c r="O1449" t="s">
        <v>24</v>
      </c>
      <c r="P1449" t="s">
        <v>43</v>
      </c>
      <c r="Q1449" t="s">
        <v>26</v>
      </c>
      <c r="R1449" t="s">
        <v>65</v>
      </c>
      <c r="S1449">
        <v>2024.44</v>
      </c>
      <c r="T1449">
        <v>86.78</v>
      </c>
      <c r="U1449">
        <v>0</v>
      </c>
      <c r="V1449">
        <v>0</v>
      </c>
      <c r="AA1449" s="29" t="s">
        <v>43</v>
      </c>
      <c r="AB1449">
        <v>31200</v>
      </c>
      <c r="AC1449">
        <v>120</v>
      </c>
      <c r="AD1449">
        <v>4</v>
      </c>
      <c r="AE1449">
        <v>26</v>
      </c>
      <c r="AF1449">
        <v>26</v>
      </c>
      <c r="AG1449" s="29" t="s">
        <v>1878</v>
      </c>
      <c r="AH1449" s="29" t="s">
        <v>2232</v>
      </c>
      <c r="AI1449" s="29" t="s">
        <v>1931</v>
      </c>
      <c r="AJ1449" s="29" t="s">
        <v>2233</v>
      </c>
      <c r="AL1449" s="29" t="s">
        <v>1879</v>
      </c>
    </row>
    <row r="1450" spans="15:38">
      <c r="O1450" t="s">
        <v>24</v>
      </c>
      <c r="P1450" t="s">
        <v>43</v>
      </c>
      <c r="Q1450" t="s">
        <v>26</v>
      </c>
      <c r="R1450" t="s">
        <v>65</v>
      </c>
      <c r="S1450">
        <v>2024.45</v>
      </c>
      <c r="T1450">
        <v>86.78</v>
      </c>
      <c r="U1450">
        <v>0</v>
      </c>
      <c r="V1450">
        <v>0</v>
      </c>
      <c r="AA1450" s="29" t="s">
        <v>43</v>
      </c>
      <c r="AB1450">
        <v>31200</v>
      </c>
      <c r="AC1450">
        <v>120</v>
      </c>
      <c r="AD1450">
        <v>4</v>
      </c>
      <c r="AE1450">
        <v>8.99</v>
      </c>
      <c r="AF1450">
        <v>8.99</v>
      </c>
      <c r="AG1450" s="29" t="s">
        <v>1878</v>
      </c>
      <c r="AH1450" s="29" t="s">
        <v>2234</v>
      </c>
      <c r="AI1450" s="29" t="s">
        <v>1931</v>
      </c>
      <c r="AJ1450" s="29" t="s">
        <v>2235</v>
      </c>
      <c r="AL1450" s="29" t="s">
        <v>1879</v>
      </c>
    </row>
    <row r="1451" spans="15:38">
      <c r="O1451" t="s">
        <v>24</v>
      </c>
      <c r="P1451" t="s">
        <v>43</v>
      </c>
      <c r="Q1451" t="s">
        <v>26</v>
      </c>
      <c r="R1451" t="s">
        <v>65</v>
      </c>
      <c r="S1451">
        <v>2024.47</v>
      </c>
      <c r="T1451">
        <v>86.78</v>
      </c>
      <c r="U1451">
        <v>0</v>
      </c>
      <c r="V1451">
        <v>0</v>
      </c>
      <c r="AA1451" s="29" t="s">
        <v>43</v>
      </c>
      <c r="AB1451">
        <v>31200</v>
      </c>
      <c r="AC1451">
        <v>120</v>
      </c>
      <c r="AD1451">
        <v>4</v>
      </c>
      <c r="AE1451">
        <v>17.82</v>
      </c>
      <c r="AF1451">
        <v>17.82</v>
      </c>
      <c r="AG1451" s="29" t="s">
        <v>1878</v>
      </c>
      <c r="AH1451" s="29" t="s">
        <v>2236</v>
      </c>
      <c r="AI1451" s="29" t="s">
        <v>1931</v>
      </c>
      <c r="AJ1451" s="29" t="s">
        <v>2237</v>
      </c>
      <c r="AL1451" s="29" t="s">
        <v>1879</v>
      </c>
    </row>
    <row r="1452" spans="15:38">
      <c r="O1452" t="s">
        <v>24</v>
      </c>
      <c r="P1452" t="s">
        <v>43</v>
      </c>
      <c r="Q1452" t="s">
        <v>26</v>
      </c>
      <c r="R1452" t="s">
        <v>65</v>
      </c>
      <c r="S1452">
        <v>2024.48</v>
      </c>
      <c r="T1452">
        <v>86.78</v>
      </c>
      <c r="U1452">
        <v>0</v>
      </c>
      <c r="V1452">
        <v>86.78</v>
      </c>
      <c r="AA1452" s="29" t="s">
        <v>43</v>
      </c>
      <c r="AB1452">
        <v>31200</v>
      </c>
      <c r="AC1452">
        <v>120</v>
      </c>
      <c r="AD1452">
        <v>4</v>
      </c>
      <c r="AE1452">
        <v>6220</v>
      </c>
      <c r="AF1452">
        <v>6220</v>
      </c>
      <c r="AG1452" s="29" t="s">
        <v>1878</v>
      </c>
      <c r="AH1452" s="29" t="s">
        <v>2238</v>
      </c>
      <c r="AI1452" s="29" t="s">
        <v>1931</v>
      </c>
      <c r="AJ1452" s="29" t="s">
        <v>2239</v>
      </c>
      <c r="AL1452" s="29" t="s">
        <v>1879</v>
      </c>
    </row>
    <row r="1453" spans="15:38">
      <c r="O1453" t="s">
        <v>24</v>
      </c>
      <c r="P1453" t="s">
        <v>43</v>
      </c>
      <c r="Q1453" t="s">
        <v>26</v>
      </c>
      <c r="R1453" t="s">
        <v>65</v>
      </c>
      <c r="S1453">
        <v>2024.49</v>
      </c>
      <c r="T1453">
        <v>86.78</v>
      </c>
      <c r="U1453">
        <v>0</v>
      </c>
      <c r="V1453">
        <v>86.78</v>
      </c>
      <c r="AA1453" s="29" t="s">
        <v>43</v>
      </c>
      <c r="AB1453">
        <v>31200</v>
      </c>
      <c r="AC1453">
        <v>120</v>
      </c>
      <c r="AD1453">
        <v>4</v>
      </c>
      <c r="AE1453">
        <v>10981</v>
      </c>
      <c r="AF1453">
        <v>10981</v>
      </c>
      <c r="AG1453" s="29" t="s">
        <v>1878</v>
      </c>
      <c r="AH1453" s="29" t="s">
        <v>2240</v>
      </c>
      <c r="AI1453" s="29" t="s">
        <v>1931</v>
      </c>
      <c r="AJ1453" s="29" t="s">
        <v>2241</v>
      </c>
      <c r="AL1453" s="29" t="s">
        <v>1879</v>
      </c>
    </row>
    <row r="1454" spans="15:38">
      <c r="O1454" t="s">
        <v>24</v>
      </c>
      <c r="P1454" t="s">
        <v>43</v>
      </c>
      <c r="Q1454" t="s">
        <v>26</v>
      </c>
      <c r="R1454" t="s">
        <v>65</v>
      </c>
      <c r="S1454">
        <v>2025.03</v>
      </c>
      <c r="T1454">
        <v>86.78</v>
      </c>
      <c r="U1454">
        <v>0</v>
      </c>
      <c r="V1454">
        <v>86.78</v>
      </c>
      <c r="AA1454" s="29" t="s">
        <v>43</v>
      </c>
      <c r="AB1454">
        <v>31200</v>
      </c>
      <c r="AC1454">
        <v>120</v>
      </c>
      <c r="AD1454">
        <v>4</v>
      </c>
      <c r="AE1454">
        <v>19.27</v>
      </c>
      <c r="AF1454">
        <v>19.27</v>
      </c>
      <c r="AG1454" s="29" t="s">
        <v>1878</v>
      </c>
      <c r="AH1454" s="29" t="s">
        <v>2078</v>
      </c>
      <c r="AI1454" s="29" t="s">
        <v>1931</v>
      </c>
      <c r="AJ1454" s="29" t="s">
        <v>2242</v>
      </c>
      <c r="AL1454" s="29" t="s">
        <v>1879</v>
      </c>
    </row>
    <row r="1455" spans="15:38">
      <c r="O1455" t="s">
        <v>24</v>
      </c>
      <c r="P1455" t="s">
        <v>43</v>
      </c>
      <c r="Q1455" t="s">
        <v>26</v>
      </c>
      <c r="R1455" t="s">
        <v>65</v>
      </c>
      <c r="S1455">
        <v>2025.08</v>
      </c>
      <c r="T1455">
        <v>86.78</v>
      </c>
      <c r="U1455">
        <v>0</v>
      </c>
      <c r="V1455">
        <v>86.78</v>
      </c>
      <c r="AA1455" s="29" t="s">
        <v>43</v>
      </c>
      <c r="AB1455">
        <v>31200</v>
      </c>
      <c r="AC1455">
        <v>120</v>
      </c>
      <c r="AD1455">
        <v>4</v>
      </c>
      <c r="AE1455">
        <v>2515.6799999999998</v>
      </c>
      <c r="AF1455">
        <v>2515.6799999999998</v>
      </c>
      <c r="AG1455" s="29" t="s">
        <v>1878</v>
      </c>
      <c r="AH1455" s="29" t="s">
        <v>2243</v>
      </c>
      <c r="AI1455" s="29" t="s">
        <v>1931</v>
      </c>
      <c r="AJ1455" s="29" t="s">
        <v>2244</v>
      </c>
      <c r="AL1455" s="29" t="s">
        <v>1879</v>
      </c>
    </row>
    <row r="1456" spans="15:38">
      <c r="O1456" t="s">
        <v>24</v>
      </c>
      <c r="P1456" t="s">
        <v>43</v>
      </c>
      <c r="Q1456" t="s">
        <v>26</v>
      </c>
      <c r="R1456" t="s">
        <v>65</v>
      </c>
      <c r="S1456">
        <v>2025.1</v>
      </c>
      <c r="T1456">
        <v>86.78</v>
      </c>
      <c r="U1456">
        <v>0</v>
      </c>
      <c r="V1456">
        <v>86.78</v>
      </c>
      <c r="AA1456" s="29" t="s">
        <v>43</v>
      </c>
      <c r="AB1456">
        <v>31200</v>
      </c>
      <c r="AC1456">
        <v>120</v>
      </c>
      <c r="AD1456">
        <v>4</v>
      </c>
      <c r="AE1456">
        <v>204</v>
      </c>
      <c r="AF1456">
        <v>204</v>
      </c>
      <c r="AG1456" s="29" t="s">
        <v>1878</v>
      </c>
      <c r="AH1456" s="29" t="s">
        <v>2245</v>
      </c>
      <c r="AI1456" s="29" t="s">
        <v>1931</v>
      </c>
      <c r="AJ1456" s="29" t="s">
        <v>2246</v>
      </c>
      <c r="AL1456" s="29" t="s">
        <v>1879</v>
      </c>
    </row>
    <row r="1457" spans="15:38">
      <c r="O1457" t="s">
        <v>24</v>
      </c>
      <c r="P1457" t="s">
        <v>43</v>
      </c>
      <c r="Q1457" t="s">
        <v>26</v>
      </c>
      <c r="R1457" t="s">
        <v>65</v>
      </c>
      <c r="S1457">
        <v>2025.11</v>
      </c>
      <c r="T1457">
        <v>86.78</v>
      </c>
      <c r="U1457">
        <v>0</v>
      </c>
      <c r="V1457">
        <v>86.78</v>
      </c>
      <c r="AA1457" s="29" t="s">
        <v>43</v>
      </c>
      <c r="AB1457">
        <v>31200</v>
      </c>
      <c r="AC1457">
        <v>120</v>
      </c>
      <c r="AD1457">
        <v>4</v>
      </c>
      <c r="AE1457">
        <v>312</v>
      </c>
      <c r="AF1457">
        <v>312</v>
      </c>
      <c r="AG1457" s="29" t="s">
        <v>1878</v>
      </c>
      <c r="AH1457" s="29" t="s">
        <v>2247</v>
      </c>
      <c r="AI1457" s="29" t="s">
        <v>1931</v>
      </c>
      <c r="AJ1457" s="29" t="s">
        <v>2248</v>
      </c>
      <c r="AL1457" s="29" t="s">
        <v>1879</v>
      </c>
    </row>
    <row r="1458" spans="15:38">
      <c r="O1458" t="s">
        <v>24</v>
      </c>
      <c r="P1458" t="s">
        <v>43</v>
      </c>
      <c r="Q1458" t="s">
        <v>26</v>
      </c>
      <c r="R1458" t="s">
        <v>65</v>
      </c>
      <c r="S1458">
        <v>2025.12</v>
      </c>
      <c r="T1458">
        <v>86.78</v>
      </c>
      <c r="U1458">
        <v>0</v>
      </c>
      <c r="V1458">
        <v>86.78</v>
      </c>
      <c r="AA1458" s="29" t="s">
        <v>43</v>
      </c>
      <c r="AB1458">
        <v>31200</v>
      </c>
      <c r="AC1458">
        <v>120</v>
      </c>
      <c r="AD1458">
        <v>4</v>
      </c>
      <c r="AE1458">
        <v>4728</v>
      </c>
      <c r="AF1458">
        <v>4728</v>
      </c>
      <c r="AG1458" s="29" t="s">
        <v>1878</v>
      </c>
      <c r="AH1458" s="29" t="s">
        <v>2249</v>
      </c>
      <c r="AI1458" s="29" t="s">
        <v>1931</v>
      </c>
      <c r="AJ1458" s="29" t="s">
        <v>2250</v>
      </c>
      <c r="AL1458" s="29" t="s">
        <v>1879</v>
      </c>
    </row>
    <row r="1459" spans="15:38">
      <c r="O1459" t="s">
        <v>24</v>
      </c>
      <c r="P1459" t="s">
        <v>43</v>
      </c>
      <c r="Q1459" t="s">
        <v>28</v>
      </c>
      <c r="R1459" t="s">
        <v>54</v>
      </c>
      <c r="S1459">
        <v>2023.51</v>
      </c>
      <c r="T1459">
        <v>340</v>
      </c>
      <c r="U1459">
        <v>0</v>
      </c>
      <c r="V1459">
        <v>0</v>
      </c>
      <c r="AA1459" s="29" t="s">
        <v>43</v>
      </c>
      <c r="AB1459">
        <v>31200</v>
      </c>
      <c r="AC1459">
        <v>120</v>
      </c>
      <c r="AD1459">
        <v>4</v>
      </c>
      <c r="AE1459">
        <v>2.52</v>
      </c>
      <c r="AF1459">
        <v>2.52</v>
      </c>
      <c r="AG1459" s="29" t="s">
        <v>1878</v>
      </c>
      <c r="AH1459" s="29" t="s">
        <v>2165</v>
      </c>
      <c r="AI1459" s="29" t="s">
        <v>1931</v>
      </c>
      <c r="AJ1459" s="29" t="s">
        <v>2251</v>
      </c>
      <c r="AL1459" s="29" t="s">
        <v>1879</v>
      </c>
    </row>
    <row r="1460" spans="15:38">
      <c r="O1460" t="s">
        <v>24</v>
      </c>
      <c r="P1460" t="s">
        <v>43</v>
      </c>
      <c r="Q1460" t="s">
        <v>28</v>
      </c>
      <c r="R1460" t="s">
        <v>54</v>
      </c>
      <c r="S1460">
        <v>2024.06</v>
      </c>
      <c r="T1460">
        <v>340</v>
      </c>
      <c r="U1460">
        <v>0</v>
      </c>
      <c r="V1460">
        <v>0</v>
      </c>
      <c r="AA1460" s="29" t="s">
        <v>43</v>
      </c>
      <c r="AB1460">
        <v>31200</v>
      </c>
      <c r="AC1460">
        <v>120</v>
      </c>
      <c r="AD1460">
        <v>4</v>
      </c>
      <c r="AE1460">
        <v>77328</v>
      </c>
      <c r="AF1460">
        <v>77328</v>
      </c>
      <c r="AG1460" s="29" t="s">
        <v>1878</v>
      </c>
      <c r="AH1460" s="29" t="s">
        <v>2252</v>
      </c>
      <c r="AI1460" s="29" t="s">
        <v>1931</v>
      </c>
      <c r="AJ1460" s="29" t="s">
        <v>2253</v>
      </c>
      <c r="AL1460" s="29" t="s">
        <v>1879</v>
      </c>
    </row>
    <row r="1461" spans="15:38">
      <c r="O1461" t="s">
        <v>24</v>
      </c>
      <c r="P1461" t="s">
        <v>43</v>
      </c>
      <c r="Q1461" t="s">
        <v>28</v>
      </c>
      <c r="R1461" t="s">
        <v>54</v>
      </c>
      <c r="S1461">
        <v>2024.07</v>
      </c>
      <c r="T1461">
        <v>340</v>
      </c>
      <c r="U1461">
        <v>0</v>
      </c>
      <c r="V1461">
        <v>0</v>
      </c>
      <c r="AA1461" s="29" t="s">
        <v>43</v>
      </c>
      <c r="AB1461">
        <v>31200</v>
      </c>
      <c r="AC1461">
        <v>120</v>
      </c>
      <c r="AD1461">
        <v>4</v>
      </c>
      <c r="AE1461">
        <v>104.4</v>
      </c>
      <c r="AF1461">
        <v>104.4</v>
      </c>
      <c r="AG1461" s="29" t="s">
        <v>1878</v>
      </c>
      <c r="AH1461" s="29" t="s">
        <v>2254</v>
      </c>
      <c r="AI1461" s="29" t="s">
        <v>1931</v>
      </c>
      <c r="AJ1461" s="29" t="s">
        <v>2255</v>
      </c>
      <c r="AL1461" s="29" t="s">
        <v>1879</v>
      </c>
    </row>
    <row r="1462" spans="15:38">
      <c r="O1462" t="s">
        <v>24</v>
      </c>
      <c r="P1462" t="s">
        <v>43</v>
      </c>
      <c r="Q1462" t="s">
        <v>28</v>
      </c>
      <c r="R1462" t="s">
        <v>54</v>
      </c>
      <c r="S1462">
        <v>2024.08</v>
      </c>
      <c r="T1462">
        <v>340</v>
      </c>
      <c r="U1462">
        <v>0</v>
      </c>
      <c r="V1462">
        <v>0</v>
      </c>
      <c r="AA1462" s="29" t="s">
        <v>43</v>
      </c>
      <c r="AB1462">
        <v>31200</v>
      </c>
      <c r="AC1462">
        <v>120</v>
      </c>
      <c r="AD1462">
        <v>4</v>
      </c>
      <c r="AE1462">
        <v>92</v>
      </c>
      <c r="AF1462">
        <v>92</v>
      </c>
      <c r="AG1462" s="29" t="s">
        <v>1878</v>
      </c>
      <c r="AH1462" s="29" t="s">
        <v>2256</v>
      </c>
      <c r="AI1462" s="29" t="s">
        <v>1931</v>
      </c>
      <c r="AJ1462" s="29" t="s">
        <v>2257</v>
      </c>
      <c r="AL1462" s="29" t="s">
        <v>1879</v>
      </c>
    </row>
    <row r="1463" spans="15:38">
      <c r="O1463" t="s">
        <v>24</v>
      </c>
      <c r="P1463" t="s">
        <v>43</v>
      </c>
      <c r="Q1463" t="s">
        <v>28</v>
      </c>
      <c r="R1463" t="s">
        <v>54</v>
      </c>
      <c r="S1463">
        <v>2024.09</v>
      </c>
      <c r="T1463">
        <v>340</v>
      </c>
      <c r="U1463">
        <v>0</v>
      </c>
      <c r="V1463">
        <v>0</v>
      </c>
      <c r="AA1463" s="29" t="s">
        <v>43</v>
      </c>
      <c r="AB1463">
        <v>31200</v>
      </c>
      <c r="AC1463">
        <v>120</v>
      </c>
      <c r="AD1463">
        <v>4</v>
      </c>
      <c r="AE1463">
        <v>338.4</v>
      </c>
      <c r="AF1463">
        <v>338.4</v>
      </c>
      <c r="AG1463" s="29" t="s">
        <v>1878</v>
      </c>
      <c r="AH1463" s="29" t="s">
        <v>2258</v>
      </c>
      <c r="AI1463" s="29" t="s">
        <v>1931</v>
      </c>
      <c r="AJ1463" s="29" t="s">
        <v>2259</v>
      </c>
      <c r="AL1463" s="29" t="s">
        <v>1879</v>
      </c>
    </row>
    <row r="1464" spans="15:38">
      <c r="O1464" t="s">
        <v>24</v>
      </c>
      <c r="P1464" t="s">
        <v>43</v>
      </c>
      <c r="Q1464" t="s">
        <v>28</v>
      </c>
      <c r="R1464" t="s">
        <v>54</v>
      </c>
      <c r="S1464">
        <v>2024.1</v>
      </c>
      <c r="T1464">
        <v>340</v>
      </c>
      <c r="U1464">
        <v>0</v>
      </c>
      <c r="V1464">
        <v>0</v>
      </c>
      <c r="AA1464" s="29" t="s">
        <v>43</v>
      </c>
      <c r="AB1464">
        <v>31200</v>
      </c>
      <c r="AC1464">
        <v>120</v>
      </c>
      <c r="AD1464">
        <v>4</v>
      </c>
      <c r="AE1464">
        <v>7986</v>
      </c>
      <c r="AF1464">
        <v>7986</v>
      </c>
      <c r="AG1464" s="29" t="s">
        <v>1878</v>
      </c>
      <c r="AH1464" s="29" t="s">
        <v>2260</v>
      </c>
      <c r="AI1464" s="29" t="s">
        <v>1931</v>
      </c>
      <c r="AJ1464" s="29" t="s">
        <v>2261</v>
      </c>
      <c r="AL1464" s="29" t="s">
        <v>1879</v>
      </c>
    </row>
    <row r="1465" spans="15:38">
      <c r="O1465" t="s">
        <v>24</v>
      </c>
      <c r="P1465" t="s">
        <v>43</v>
      </c>
      <c r="Q1465" t="s">
        <v>28</v>
      </c>
      <c r="R1465" t="s">
        <v>54</v>
      </c>
      <c r="S1465">
        <v>2024.11</v>
      </c>
      <c r="T1465">
        <v>1903</v>
      </c>
      <c r="U1465">
        <v>0</v>
      </c>
      <c r="V1465">
        <v>0</v>
      </c>
      <c r="AA1465" s="29" t="s">
        <v>43</v>
      </c>
      <c r="AB1465">
        <v>31200</v>
      </c>
      <c r="AC1465">
        <v>120</v>
      </c>
      <c r="AD1465">
        <v>4</v>
      </c>
      <c r="AE1465">
        <v>1085.04</v>
      </c>
      <c r="AF1465">
        <v>1085.04</v>
      </c>
      <c r="AG1465" s="29" t="s">
        <v>1878</v>
      </c>
      <c r="AH1465" s="29" t="s">
        <v>2262</v>
      </c>
      <c r="AI1465" s="29" t="s">
        <v>1931</v>
      </c>
      <c r="AJ1465" s="29" t="s">
        <v>2263</v>
      </c>
      <c r="AL1465" s="29" t="s">
        <v>1879</v>
      </c>
    </row>
    <row r="1466" spans="15:38">
      <c r="O1466" t="s">
        <v>24</v>
      </c>
      <c r="P1466" t="s">
        <v>43</v>
      </c>
      <c r="Q1466" t="s">
        <v>28</v>
      </c>
      <c r="R1466" t="s">
        <v>54</v>
      </c>
      <c r="S1466">
        <v>2024.12</v>
      </c>
      <c r="T1466">
        <v>1903</v>
      </c>
      <c r="U1466">
        <v>0</v>
      </c>
      <c r="V1466">
        <v>0</v>
      </c>
      <c r="AA1466" s="29" t="s">
        <v>43</v>
      </c>
      <c r="AB1466">
        <v>31200</v>
      </c>
      <c r="AC1466">
        <v>120</v>
      </c>
      <c r="AD1466">
        <v>4</v>
      </c>
      <c r="AE1466">
        <v>16.8</v>
      </c>
      <c r="AF1466">
        <v>16.8</v>
      </c>
      <c r="AG1466" s="29" t="s">
        <v>1878</v>
      </c>
      <c r="AH1466" s="29" t="s">
        <v>2264</v>
      </c>
      <c r="AI1466" s="29" t="s">
        <v>1931</v>
      </c>
      <c r="AJ1466" s="29" t="s">
        <v>2265</v>
      </c>
      <c r="AL1466" s="29" t="s">
        <v>1879</v>
      </c>
    </row>
    <row r="1467" spans="15:38">
      <c r="O1467" t="s">
        <v>24</v>
      </c>
      <c r="P1467" t="s">
        <v>43</v>
      </c>
      <c r="Q1467" t="s">
        <v>28</v>
      </c>
      <c r="R1467" t="s">
        <v>54</v>
      </c>
      <c r="S1467">
        <v>2024.14</v>
      </c>
      <c r="T1467">
        <v>2135</v>
      </c>
      <c r="U1467">
        <v>0</v>
      </c>
      <c r="V1467">
        <v>0</v>
      </c>
      <c r="AA1467" s="29" t="s">
        <v>43</v>
      </c>
      <c r="AB1467">
        <v>31200</v>
      </c>
      <c r="AC1467">
        <v>120</v>
      </c>
      <c r="AD1467">
        <v>4</v>
      </c>
      <c r="AE1467">
        <v>1168</v>
      </c>
      <c r="AF1467">
        <v>1168</v>
      </c>
      <c r="AG1467" s="29" t="s">
        <v>1878</v>
      </c>
      <c r="AH1467" s="29" t="s">
        <v>2266</v>
      </c>
      <c r="AI1467" s="29" t="s">
        <v>1931</v>
      </c>
      <c r="AJ1467" s="29" t="s">
        <v>2267</v>
      </c>
      <c r="AL1467" s="29" t="s">
        <v>1879</v>
      </c>
    </row>
    <row r="1468" spans="15:38">
      <c r="O1468" t="s">
        <v>24</v>
      </c>
      <c r="P1468" t="s">
        <v>43</v>
      </c>
      <c r="Q1468" t="s">
        <v>28</v>
      </c>
      <c r="R1468" t="s">
        <v>54</v>
      </c>
      <c r="S1468">
        <v>2024.17</v>
      </c>
      <c r="T1468">
        <v>2135</v>
      </c>
      <c r="U1468">
        <v>0</v>
      </c>
      <c r="V1468">
        <v>0</v>
      </c>
      <c r="AA1468" s="29" t="s">
        <v>43</v>
      </c>
      <c r="AB1468">
        <v>31200</v>
      </c>
      <c r="AC1468">
        <v>120</v>
      </c>
      <c r="AD1468">
        <v>4</v>
      </c>
      <c r="AE1468">
        <v>195.84</v>
      </c>
      <c r="AF1468">
        <v>195.84</v>
      </c>
      <c r="AG1468" s="29" t="s">
        <v>1878</v>
      </c>
      <c r="AH1468" s="29" t="s">
        <v>2268</v>
      </c>
      <c r="AI1468" s="29" t="s">
        <v>1931</v>
      </c>
      <c r="AJ1468" s="29" t="s">
        <v>2269</v>
      </c>
      <c r="AL1468" s="29" t="s">
        <v>1879</v>
      </c>
    </row>
    <row r="1469" spans="15:38">
      <c r="O1469" t="s">
        <v>24</v>
      </c>
      <c r="P1469" t="s">
        <v>43</v>
      </c>
      <c r="Q1469" t="s">
        <v>28</v>
      </c>
      <c r="R1469" t="s">
        <v>54</v>
      </c>
      <c r="S1469">
        <v>2024.18</v>
      </c>
      <c r="T1469">
        <v>2135</v>
      </c>
      <c r="U1469">
        <v>0</v>
      </c>
      <c r="V1469">
        <v>0</v>
      </c>
      <c r="AA1469" s="29" t="s">
        <v>43</v>
      </c>
      <c r="AB1469">
        <v>31200</v>
      </c>
      <c r="AC1469">
        <v>130</v>
      </c>
      <c r="AD1469">
        <v>1</v>
      </c>
      <c r="AE1469">
        <v>0</v>
      </c>
      <c r="AF1469">
        <v>0</v>
      </c>
      <c r="AG1469" s="29" t="s">
        <v>2270</v>
      </c>
      <c r="AH1469" s="29"/>
      <c r="AI1469" s="29"/>
      <c r="AJ1469" s="29"/>
      <c r="AL1469" s="29" t="s">
        <v>2271</v>
      </c>
    </row>
    <row r="1470" spans="15:38">
      <c r="O1470" t="s">
        <v>24</v>
      </c>
      <c r="P1470" t="s">
        <v>43</v>
      </c>
      <c r="Q1470" t="s">
        <v>28</v>
      </c>
      <c r="R1470" t="s">
        <v>54</v>
      </c>
      <c r="S1470">
        <v>2024.19</v>
      </c>
      <c r="T1470">
        <v>2135</v>
      </c>
      <c r="U1470">
        <v>0</v>
      </c>
      <c r="V1470">
        <v>0</v>
      </c>
      <c r="AA1470" s="29" t="s">
        <v>43</v>
      </c>
      <c r="AB1470">
        <v>31200</v>
      </c>
      <c r="AC1470">
        <v>130</v>
      </c>
      <c r="AD1470">
        <v>3</v>
      </c>
      <c r="AE1470">
        <v>887.23</v>
      </c>
      <c r="AF1470">
        <v>887.23</v>
      </c>
      <c r="AG1470" s="29" t="s">
        <v>2270</v>
      </c>
      <c r="AH1470" s="29" t="s">
        <v>2272</v>
      </c>
      <c r="AI1470" s="29" t="s">
        <v>2273</v>
      </c>
      <c r="AJ1470" s="29"/>
      <c r="AL1470" s="29" t="s">
        <v>2271</v>
      </c>
    </row>
    <row r="1471" spans="15:38">
      <c r="O1471" t="s">
        <v>24</v>
      </c>
      <c r="P1471" t="s">
        <v>43</v>
      </c>
      <c r="Q1471" t="s">
        <v>28</v>
      </c>
      <c r="R1471" t="s">
        <v>54</v>
      </c>
      <c r="S1471">
        <v>2024.2</v>
      </c>
      <c r="T1471">
        <v>2135</v>
      </c>
      <c r="U1471">
        <v>0</v>
      </c>
      <c r="V1471">
        <v>0</v>
      </c>
      <c r="AA1471" s="29" t="s">
        <v>43</v>
      </c>
      <c r="AB1471">
        <v>31200</v>
      </c>
      <c r="AC1471">
        <v>130</v>
      </c>
      <c r="AD1471">
        <v>3</v>
      </c>
      <c r="AE1471">
        <v>0</v>
      </c>
      <c r="AF1471">
        <v>0</v>
      </c>
      <c r="AG1471" s="29" t="s">
        <v>2270</v>
      </c>
      <c r="AH1471" s="29" t="s">
        <v>2274</v>
      </c>
      <c r="AI1471" s="29" t="s">
        <v>2275</v>
      </c>
      <c r="AJ1471" s="29"/>
      <c r="AL1471" s="29" t="s">
        <v>2271</v>
      </c>
    </row>
    <row r="1472" spans="15:38">
      <c r="O1472" t="s">
        <v>24</v>
      </c>
      <c r="P1472" t="s">
        <v>43</v>
      </c>
      <c r="Q1472" t="s">
        <v>28</v>
      </c>
      <c r="R1472" t="s">
        <v>54</v>
      </c>
      <c r="S1472">
        <v>2024.21</v>
      </c>
      <c r="T1472">
        <v>2687</v>
      </c>
      <c r="U1472">
        <v>0</v>
      </c>
      <c r="V1472">
        <v>0</v>
      </c>
      <c r="AA1472" s="29" t="s">
        <v>43</v>
      </c>
      <c r="AB1472">
        <v>31200</v>
      </c>
      <c r="AC1472">
        <v>130</v>
      </c>
      <c r="AD1472">
        <v>3</v>
      </c>
      <c r="AE1472">
        <v>124.83</v>
      </c>
      <c r="AF1472">
        <v>124.83</v>
      </c>
      <c r="AG1472" s="29" t="s">
        <v>2270</v>
      </c>
      <c r="AH1472" s="29" t="s">
        <v>2276</v>
      </c>
      <c r="AI1472" s="29" t="s">
        <v>2277</v>
      </c>
      <c r="AJ1472" s="29"/>
      <c r="AL1472" s="29" t="s">
        <v>2271</v>
      </c>
    </row>
    <row r="1473" spans="15:38">
      <c r="O1473" t="s">
        <v>24</v>
      </c>
      <c r="P1473" t="s">
        <v>43</v>
      </c>
      <c r="Q1473" t="s">
        <v>28</v>
      </c>
      <c r="R1473" t="s">
        <v>54</v>
      </c>
      <c r="S1473">
        <v>2024.28</v>
      </c>
      <c r="T1473">
        <v>4613</v>
      </c>
      <c r="U1473">
        <v>0</v>
      </c>
      <c r="V1473">
        <v>0</v>
      </c>
      <c r="AA1473" s="29" t="s">
        <v>43</v>
      </c>
      <c r="AB1473">
        <v>31200</v>
      </c>
      <c r="AC1473">
        <v>130</v>
      </c>
      <c r="AD1473">
        <v>3</v>
      </c>
      <c r="AE1473">
        <v>7</v>
      </c>
      <c r="AF1473">
        <v>7</v>
      </c>
      <c r="AG1473" s="29" t="s">
        <v>2270</v>
      </c>
      <c r="AH1473" s="29" t="s">
        <v>2278</v>
      </c>
      <c r="AI1473" s="29" t="s">
        <v>2279</v>
      </c>
      <c r="AJ1473" s="29"/>
      <c r="AL1473" s="29" t="s">
        <v>2271</v>
      </c>
    </row>
    <row r="1474" spans="15:38">
      <c r="O1474" t="s">
        <v>24</v>
      </c>
      <c r="P1474" t="s">
        <v>43</v>
      </c>
      <c r="Q1474" t="s">
        <v>28</v>
      </c>
      <c r="R1474" t="s">
        <v>54</v>
      </c>
      <c r="S1474">
        <v>2024.38</v>
      </c>
      <c r="T1474">
        <v>4613</v>
      </c>
      <c r="U1474">
        <v>0</v>
      </c>
      <c r="V1474">
        <v>0</v>
      </c>
      <c r="AA1474" s="29" t="s">
        <v>43</v>
      </c>
      <c r="AB1474">
        <v>31200</v>
      </c>
      <c r="AC1474">
        <v>130</v>
      </c>
      <c r="AD1474">
        <v>3</v>
      </c>
      <c r="AE1474">
        <v>0</v>
      </c>
      <c r="AF1474">
        <v>0</v>
      </c>
      <c r="AG1474" s="29" t="s">
        <v>2270</v>
      </c>
      <c r="AH1474" s="29" t="s">
        <v>2274</v>
      </c>
      <c r="AI1474" s="29" t="s">
        <v>2280</v>
      </c>
      <c r="AJ1474" s="29"/>
      <c r="AL1474" s="29" t="s">
        <v>2271</v>
      </c>
    </row>
    <row r="1475" spans="15:38">
      <c r="O1475" t="s">
        <v>24</v>
      </c>
      <c r="P1475" t="s">
        <v>43</v>
      </c>
      <c r="Q1475" t="s">
        <v>28</v>
      </c>
      <c r="R1475" t="s">
        <v>54</v>
      </c>
      <c r="S1475">
        <v>2024.39</v>
      </c>
      <c r="T1475">
        <v>4613</v>
      </c>
      <c r="U1475">
        <v>0</v>
      </c>
      <c r="V1475">
        <v>0</v>
      </c>
      <c r="AA1475" s="29" t="s">
        <v>43</v>
      </c>
      <c r="AB1475">
        <v>31200</v>
      </c>
      <c r="AC1475">
        <v>130</v>
      </c>
      <c r="AD1475">
        <v>3</v>
      </c>
      <c r="AE1475">
        <v>5.65</v>
      </c>
      <c r="AF1475">
        <v>5.65</v>
      </c>
      <c r="AG1475" s="29" t="s">
        <v>2270</v>
      </c>
      <c r="AH1475" s="29" t="s">
        <v>2281</v>
      </c>
      <c r="AI1475" s="29" t="s">
        <v>2282</v>
      </c>
      <c r="AJ1475" s="29"/>
      <c r="AL1475" s="29" t="s">
        <v>2271</v>
      </c>
    </row>
    <row r="1476" spans="15:38">
      <c r="O1476" t="s">
        <v>24</v>
      </c>
      <c r="P1476" t="s">
        <v>43</v>
      </c>
      <c r="Q1476" t="s">
        <v>28</v>
      </c>
      <c r="R1476" t="s">
        <v>54</v>
      </c>
      <c r="S1476">
        <v>2024.41</v>
      </c>
      <c r="T1476">
        <v>4613</v>
      </c>
      <c r="U1476">
        <v>0</v>
      </c>
      <c r="V1476">
        <v>0</v>
      </c>
      <c r="AA1476" s="29" t="s">
        <v>43</v>
      </c>
      <c r="AB1476">
        <v>31200</v>
      </c>
      <c r="AC1476">
        <v>130</v>
      </c>
      <c r="AD1476">
        <v>3</v>
      </c>
      <c r="AE1476">
        <v>6.45</v>
      </c>
      <c r="AF1476">
        <v>6.45</v>
      </c>
      <c r="AG1476" s="29" t="s">
        <v>2270</v>
      </c>
      <c r="AH1476" s="29" t="s">
        <v>2283</v>
      </c>
      <c r="AI1476" s="29" t="s">
        <v>2284</v>
      </c>
      <c r="AJ1476" s="29"/>
      <c r="AL1476" s="29" t="s">
        <v>2271</v>
      </c>
    </row>
    <row r="1477" spans="15:38">
      <c r="O1477" t="s">
        <v>24</v>
      </c>
      <c r="P1477" t="s">
        <v>43</v>
      </c>
      <c r="Q1477" t="s">
        <v>28</v>
      </c>
      <c r="R1477" t="s">
        <v>54</v>
      </c>
      <c r="S1477">
        <v>2024.43</v>
      </c>
      <c r="T1477">
        <v>5459</v>
      </c>
      <c r="U1477">
        <v>0</v>
      </c>
      <c r="V1477">
        <v>0</v>
      </c>
      <c r="AA1477" s="29" t="s">
        <v>43</v>
      </c>
      <c r="AB1477">
        <v>31200</v>
      </c>
      <c r="AC1477">
        <v>130</v>
      </c>
      <c r="AD1477">
        <v>3</v>
      </c>
      <c r="AE1477">
        <v>1.8</v>
      </c>
      <c r="AF1477">
        <v>1.8</v>
      </c>
      <c r="AG1477" s="29" t="s">
        <v>2270</v>
      </c>
      <c r="AH1477" s="29" t="s">
        <v>2285</v>
      </c>
      <c r="AI1477" s="29" t="s">
        <v>2286</v>
      </c>
      <c r="AJ1477" s="29"/>
      <c r="AL1477" s="29" t="s">
        <v>2271</v>
      </c>
    </row>
    <row r="1478" spans="15:38">
      <c r="O1478" t="s">
        <v>24</v>
      </c>
      <c r="P1478" t="s">
        <v>43</v>
      </c>
      <c r="Q1478" t="s">
        <v>28</v>
      </c>
      <c r="R1478" t="s">
        <v>54</v>
      </c>
      <c r="S1478">
        <v>2024.44</v>
      </c>
      <c r="T1478">
        <v>5459</v>
      </c>
      <c r="U1478">
        <v>0</v>
      </c>
      <c r="V1478">
        <v>0</v>
      </c>
      <c r="AA1478" s="29" t="s">
        <v>43</v>
      </c>
      <c r="AB1478">
        <v>31200</v>
      </c>
      <c r="AC1478">
        <v>130</v>
      </c>
      <c r="AD1478">
        <v>3</v>
      </c>
      <c r="AE1478">
        <v>623.4</v>
      </c>
      <c r="AF1478">
        <v>623.4</v>
      </c>
      <c r="AG1478" s="29" t="s">
        <v>2270</v>
      </c>
      <c r="AH1478" s="29" t="s">
        <v>2287</v>
      </c>
      <c r="AI1478" s="29" t="s">
        <v>2288</v>
      </c>
      <c r="AJ1478" s="29"/>
      <c r="AL1478" s="29" t="s">
        <v>2271</v>
      </c>
    </row>
    <row r="1479" spans="15:38">
      <c r="O1479" t="s">
        <v>24</v>
      </c>
      <c r="P1479" t="s">
        <v>43</v>
      </c>
      <c r="Q1479" t="s">
        <v>28</v>
      </c>
      <c r="R1479" t="s">
        <v>54</v>
      </c>
      <c r="S1479">
        <v>2024.45</v>
      </c>
      <c r="T1479">
        <v>5459</v>
      </c>
      <c r="U1479">
        <v>0</v>
      </c>
      <c r="V1479">
        <v>0</v>
      </c>
      <c r="AA1479" s="29" t="s">
        <v>43</v>
      </c>
      <c r="AB1479">
        <v>31200</v>
      </c>
      <c r="AC1479">
        <v>130</v>
      </c>
      <c r="AD1479">
        <v>3</v>
      </c>
      <c r="AE1479">
        <v>870.9</v>
      </c>
      <c r="AF1479">
        <v>870.9</v>
      </c>
      <c r="AG1479" s="29" t="s">
        <v>2270</v>
      </c>
      <c r="AH1479" s="29" t="s">
        <v>2289</v>
      </c>
      <c r="AI1479" s="29" t="s">
        <v>2290</v>
      </c>
      <c r="AJ1479" s="29"/>
      <c r="AL1479" s="29" t="s">
        <v>2271</v>
      </c>
    </row>
    <row r="1480" spans="15:38">
      <c r="O1480" t="s">
        <v>24</v>
      </c>
      <c r="P1480" t="s">
        <v>43</v>
      </c>
      <c r="Q1480" t="s">
        <v>28</v>
      </c>
      <c r="R1480" t="s">
        <v>54</v>
      </c>
      <c r="S1480">
        <v>2024.47</v>
      </c>
      <c r="T1480">
        <v>5459</v>
      </c>
      <c r="U1480">
        <v>0</v>
      </c>
      <c r="V1480">
        <v>0</v>
      </c>
      <c r="AA1480" s="29" t="s">
        <v>43</v>
      </c>
      <c r="AB1480">
        <v>31200</v>
      </c>
      <c r="AC1480">
        <v>130</v>
      </c>
      <c r="AD1480">
        <v>3</v>
      </c>
      <c r="AE1480">
        <v>7</v>
      </c>
      <c r="AF1480">
        <v>7</v>
      </c>
      <c r="AG1480" s="29" t="s">
        <v>2270</v>
      </c>
      <c r="AH1480" s="29" t="s">
        <v>2278</v>
      </c>
      <c r="AI1480" s="29" t="s">
        <v>2279</v>
      </c>
      <c r="AJ1480" s="29"/>
      <c r="AL1480" s="29" t="s">
        <v>2271</v>
      </c>
    </row>
    <row r="1481" spans="15:38">
      <c r="O1481" t="s">
        <v>24</v>
      </c>
      <c r="P1481" t="s">
        <v>43</v>
      </c>
      <c r="Q1481" t="s">
        <v>28</v>
      </c>
      <c r="R1481" t="s">
        <v>54</v>
      </c>
      <c r="S1481">
        <v>2024.48</v>
      </c>
      <c r="T1481">
        <v>5799</v>
      </c>
      <c r="U1481">
        <v>0</v>
      </c>
      <c r="V1481">
        <v>5459</v>
      </c>
      <c r="AA1481" s="29" t="s">
        <v>43</v>
      </c>
      <c r="AB1481">
        <v>31200</v>
      </c>
      <c r="AC1481">
        <v>130</v>
      </c>
      <c r="AD1481">
        <v>3</v>
      </c>
      <c r="AE1481">
        <v>44.4</v>
      </c>
      <c r="AF1481">
        <v>44.4</v>
      </c>
      <c r="AG1481" s="29" t="s">
        <v>2270</v>
      </c>
      <c r="AH1481" s="29" t="s">
        <v>2291</v>
      </c>
      <c r="AI1481" s="29" t="s">
        <v>2292</v>
      </c>
      <c r="AJ1481" s="29"/>
      <c r="AL1481" s="29" t="s">
        <v>2271</v>
      </c>
    </row>
    <row r="1482" spans="15:38">
      <c r="O1482" t="s">
        <v>24</v>
      </c>
      <c r="P1482" t="s">
        <v>43</v>
      </c>
      <c r="Q1482" t="s">
        <v>28</v>
      </c>
      <c r="R1482" t="s">
        <v>54</v>
      </c>
      <c r="S1482">
        <v>2024.49</v>
      </c>
      <c r="T1482">
        <v>5799</v>
      </c>
      <c r="U1482">
        <v>0</v>
      </c>
      <c r="V1482">
        <v>5459</v>
      </c>
      <c r="AA1482" s="29" t="s">
        <v>43</v>
      </c>
      <c r="AB1482">
        <v>31200</v>
      </c>
      <c r="AC1482">
        <v>130</v>
      </c>
      <c r="AD1482">
        <v>3</v>
      </c>
      <c r="AE1482">
        <v>7.74</v>
      </c>
      <c r="AF1482">
        <v>7.74</v>
      </c>
      <c r="AG1482" s="29" t="s">
        <v>2270</v>
      </c>
      <c r="AH1482" s="29" t="s">
        <v>2293</v>
      </c>
      <c r="AI1482" s="29" t="s">
        <v>2294</v>
      </c>
      <c r="AJ1482" s="29"/>
      <c r="AL1482" s="29" t="s">
        <v>2271</v>
      </c>
    </row>
    <row r="1483" spans="15:38">
      <c r="O1483" t="s">
        <v>24</v>
      </c>
      <c r="P1483" t="s">
        <v>43</v>
      </c>
      <c r="Q1483" t="s">
        <v>28</v>
      </c>
      <c r="R1483" t="s">
        <v>54</v>
      </c>
      <c r="S1483">
        <v>2025.03</v>
      </c>
      <c r="T1483">
        <v>5874.8</v>
      </c>
      <c r="U1483">
        <v>0</v>
      </c>
      <c r="V1483">
        <v>5874.8</v>
      </c>
      <c r="AA1483" s="29" t="s">
        <v>43</v>
      </c>
      <c r="AB1483">
        <v>31200</v>
      </c>
      <c r="AC1483">
        <v>130</v>
      </c>
      <c r="AD1483">
        <v>3</v>
      </c>
      <c r="AE1483">
        <v>7.55</v>
      </c>
      <c r="AF1483">
        <v>7.55</v>
      </c>
      <c r="AG1483" s="29" t="s">
        <v>2270</v>
      </c>
      <c r="AH1483" s="29" t="s">
        <v>2295</v>
      </c>
      <c r="AI1483" s="29" t="s">
        <v>2296</v>
      </c>
      <c r="AJ1483" s="29"/>
      <c r="AL1483" s="29" t="s">
        <v>2271</v>
      </c>
    </row>
    <row r="1484" spans="15:38">
      <c r="O1484" t="s">
        <v>24</v>
      </c>
      <c r="P1484" t="s">
        <v>43</v>
      </c>
      <c r="Q1484" t="s">
        <v>28</v>
      </c>
      <c r="R1484" t="s">
        <v>54</v>
      </c>
      <c r="S1484">
        <v>2025.08</v>
      </c>
      <c r="T1484">
        <v>6498.8</v>
      </c>
      <c r="U1484">
        <v>0</v>
      </c>
      <c r="V1484">
        <v>5874.8</v>
      </c>
      <c r="AA1484" s="29" t="s">
        <v>43</v>
      </c>
      <c r="AB1484">
        <v>31200</v>
      </c>
      <c r="AC1484">
        <v>130</v>
      </c>
      <c r="AD1484">
        <v>3</v>
      </c>
      <c r="AE1484">
        <v>589.5</v>
      </c>
      <c r="AF1484">
        <v>589.5</v>
      </c>
      <c r="AG1484" s="29" t="s">
        <v>2270</v>
      </c>
      <c r="AH1484" s="29" t="s">
        <v>2297</v>
      </c>
      <c r="AI1484" s="29" t="s">
        <v>2298</v>
      </c>
      <c r="AJ1484" s="29"/>
      <c r="AL1484" s="29" t="s">
        <v>2271</v>
      </c>
    </row>
    <row r="1485" spans="15:38">
      <c r="O1485" t="s">
        <v>24</v>
      </c>
      <c r="P1485" t="s">
        <v>43</v>
      </c>
      <c r="Q1485" t="s">
        <v>28</v>
      </c>
      <c r="R1485" t="s">
        <v>54</v>
      </c>
      <c r="S1485">
        <v>2025.1</v>
      </c>
      <c r="T1485">
        <v>6498.8</v>
      </c>
      <c r="U1485">
        <v>0</v>
      </c>
      <c r="V1485">
        <v>5874.8</v>
      </c>
      <c r="AA1485" s="29" t="s">
        <v>43</v>
      </c>
      <c r="AB1485">
        <v>31200</v>
      </c>
      <c r="AC1485">
        <v>130</v>
      </c>
      <c r="AD1485">
        <v>3</v>
      </c>
      <c r="AE1485">
        <v>0</v>
      </c>
      <c r="AF1485">
        <v>0</v>
      </c>
      <c r="AG1485" s="29" t="s">
        <v>2270</v>
      </c>
      <c r="AH1485" s="29" t="s">
        <v>2274</v>
      </c>
      <c r="AI1485" s="29" t="s">
        <v>2299</v>
      </c>
      <c r="AJ1485" s="29"/>
      <c r="AL1485" s="29" t="s">
        <v>2271</v>
      </c>
    </row>
    <row r="1486" spans="15:38">
      <c r="O1486" t="s">
        <v>24</v>
      </c>
      <c r="P1486" t="s">
        <v>43</v>
      </c>
      <c r="Q1486" t="s">
        <v>28</v>
      </c>
      <c r="R1486" t="s">
        <v>54</v>
      </c>
      <c r="S1486">
        <v>2025.11</v>
      </c>
      <c r="T1486">
        <v>6498.8</v>
      </c>
      <c r="U1486">
        <v>0</v>
      </c>
      <c r="V1486">
        <v>5874.8</v>
      </c>
      <c r="AA1486" s="29" t="s">
        <v>43</v>
      </c>
      <c r="AB1486">
        <v>31200</v>
      </c>
      <c r="AC1486">
        <v>130</v>
      </c>
      <c r="AD1486">
        <v>3</v>
      </c>
      <c r="AE1486">
        <v>1418.63</v>
      </c>
      <c r="AF1486">
        <v>1418.63</v>
      </c>
      <c r="AG1486" s="29" t="s">
        <v>2270</v>
      </c>
      <c r="AH1486" s="29" t="s">
        <v>2300</v>
      </c>
      <c r="AI1486" s="29" t="s">
        <v>2301</v>
      </c>
      <c r="AJ1486" s="29"/>
      <c r="AL1486" s="29" t="s">
        <v>2271</v>
      </c>
    </row>
    <row r="1487" spans="15:38">
      <c r="O1487" t="s">
        <v>24</v>
      </c>
      <c r="P1487" t="s">
        <v>43</v>
      </c>
      <c r="Q1487" t="s">
        <v>28</v>
      </c>
      <c r="R1487" t="s">
        <v>54</v>
      </c>
      <c r="S1487">
        <v>2025.12</v>
      </c>
      <c r="T1487">
        <v>6498.8</v>
      </c>
      <c r="U1487">
        <v>0</v>
      </c>
      <c r="V1487">
        <v>5874.8</v>
      </c>
      <c r="AA1487" s="29" t="s">
        <v>43</v>
      </c>
      <c r="AB1487">
        <v>31200</v>
      </c>
      <c r="AC1487">
        <v>130</v>
      </c>
      <c r="AD1487">
        <v>3</v>
      </c>
      <c r="AE1487">
        <v>0</v>
      </c>
      <c r="AF1487">
        <v>0</v>
      </c>
      <c r="AG1487" s="29" t="s">
        <v>2270</v>
      </c>
      <c r="AH1487" s="29" t="s">
        <v>2274</v>
      </c>
      <c r="AI1487" s="29" t="s">
        <v>2302</v>
      </c>
      <c r="AJ1487" s="29"/>
      <c r="AL1487" s="29" t="s">
        <v>2271</v>
      </c>
    </row>
    <row r="1488" spans="15:38">
      <c r="O1488" t="s">
        <v>24</v>
      </c>
      <c r="P1488" t="s">
        <v>43</v>
      </c>
      <c r="Q1488" t="s">
        <v>28</v>
      </c>
      <c r="R1488" t="s">
        <v>64</v>
      </c>
      <c r="S1488">
        <v>2023.47</v>
      </c>
      <c r="T1488">
        <v>0</v>
      </c>
      <c r="U1488">
        <v>86563.656700000007</v>
      </c>
      <c r="V1488">
        <v>86563.656700000007</v>
      </c>
      <c r="AA1488" s="29" t="s">
        <v>43</v>
      </c>
      <c r="AB1488">
        <v>31200</v>
      </c>
      <c r="AC1488">
        <v>130</v>
      </c>
      <c r="AD1488">
        <v>3</v>
      </c>
      <c r="AE1488">
        <v>105</v>
      </c>
      <c r="AF1488">
        <v>105</v>
      </c>
      <c r="AG1488" s="29" t="s">
        <v>2270</v>
      </c>
      <c r="AH1488" s="29" t="s">
        <v>2303</v>
      </c>
      <c r="AI1488" s="29" t="s">
        <v>2304</v>
      </c>
      <c r="AJ1488" s="29"/>
      <c r="AL1488" s="29" t="s">
        <v>2271</v>
      </c>
    </row>
    <row r="1489" spans="15:38">
      <c r="O1489" t="s">
        <v>24</v>
      </c>
      <c r="P1489" t="s">
        <v>43</v>
      </c>
      <c r="Q1489" t="s">
        <v>28</v>
      </c>
      <c r="R1489" t="s">
        <v>64</v>
      </c>
      <c r="S1489">
        <v>2024.11</v>
      </c>
      <c r="T1489">
        <v>52355</v>
      </c>
      <c r="U1489">
        <v>86563.656700000007</v>
      </c>
      <c r="V1489">
        <v>86563.656700000007</v>
      </c>
      <c r="AA1489" s="29" t="s">
        <v>43</v>
      </c>
      <c r="AB1489">
        <v>31200</v>
      </c>
      <c r="AC1489">
        <v>130</v>
      </c>
      <c r="AD1489">
        <v>3</v>
      </c>
      <c r="AE1489">
        <v>0</v>
      </c>
      <c r="AF1489">
        <v>0</v>
      </c>
      <c r="AG1489" s="29" t="s">
        <v>2270</v>
      </c>
      <c r="AH1489" s="29" t="s">
        <v>2274</v>
      </c>
      <c r="AI1489" s="29" t="s">
        <v>2305</v>
      </c>
      <c r="AJ1489" s="29"/>
      <c r="AL1489" s="29" t="s">
        <v>2271</v>
      </c>
    </row>
    <row r="1490" spans="15:38">
      <c r="O1490" t="s">
        <v>24</v>
      </c>
      <c r="P1490" t="s">
        <v>43</v>
      </c>
      <c r="Q1490" t="s">
        <v>28</v>
      </c>
      <c r="R1490" t="s">
        <v>64</v>
      </c>
      <c r="S1490">
        <v>2024.12</v>
      </c>
      <c r="T1490">
        <v>52355</v>
      </c>
      <c r="U1490">
        <v>86563.656700000007</v>
      </c>
      <c r="V1490">
        <v>86563.656700000007</v>
      </c>
      <c r="AA1490" s="29" t="s">
        <v>43</v>
      </c>
      <c r="AB1490">
        <v>31200</v>
      </c>
      <c r="AC1490">
        <v>130</v>
      </c>
      <c r="AD1490">
        <v>3</v>
      </c>
      <c r="AE1490">
        <v>0</v>
      </c>
      <c r="AF1490">
        <v>0</v>
      </c>
      <c r="AG1490" s="29" t="s">
        <v>2270</v>
      </c>
      <c r="AH1490" s="29" t="s">
        <v>2274</v>
      </c>
      <c r="AI1490" s="29" t="s">
        <v>2306</v>
      </c>
      <c r="AJ1490" s="29"/>
      <c r="AL1490" s="29" t="s">
        <v>2271</v>
      </c>
    </row>
    <row r="1491" spans="15:38">
      <c r="O1491" t="s">
        <v>24</v>
      </c>
      <c r="P1491" t="s">
        <v>43</v>
      </c>
      <c r="Q1491" t="s">
        <v>28</v>
      </c>
      <c r="R1491" t="s">
        <v>64</v>
      </c>
      <c r="S1491">
        <v>2024.14</v>
      </c>
      <c r="T1491">
        <v>52355</v>
      </c>
      <c r="U1491">
        <v>86563.656700000007</v>
      </c>
      <c r="V1491">
        <v>86563.656700000007</v>
      </c>
      <c r="AA1491" s="29" t="s">
        <v>43</v>
      </c>
      <c r="AB1491">
        <v>31200</v>
      </c>
      <c r="AC1491">
        <v>130</v>
      </c>
      <c r="AD1491">
        <v>3</v>
      </c>
      <c r="AE1491">
        <v>0</v>
      </c>
      <c r="AF1491">
        <v>0</v>
      </c>
      <c r="AG1491" s="29" t="s">
        <v>2270</v>
      </c>
      <c r="AH1491" s="29" t="s">
        <v>2274</v>
      </c>
      <c r="AI1491" s="29" t="s">
        <v>2307</v>
      </c>
      <c r="AJ1491" s="29"/>
      <c r="AL1491" s="29" t="s">
        <v>2271</v>
      </c>
    </row>
    <row r="1492" spans="15:38">
      <c r="O1492" t="s">
        <v>24</v>
      </c>
      <c r="P1492" t="s">
        <v>43</v>
      </c>
      <c r="Q1492" t="s">
        <v>28</v>
      </c>
      <c r="R1492" t="s">
        <v>64</v>
      </c>
      <c r="S1492">
        <v>2024.17</v>
      </c>
      <c r="T1492">
        <v>52355</v>
      </c>
      <c r="U1492">
        <v>86563.656700000007</v>
      </c>
      <c r="V1492">
        <v>86563.656700000007</v>
      </c>
      <c r="AA1492" s="29" t="s">
        <v>43</v>
      </c>
      <c r="AB1492">
        <v>31200</v>
      </c>
      <c r="AC1492">
        <v>130</v>
      </c>
      <c r="AD1492">
        <v>3</v>
      </c>
      <c r="AE1492">
        <v>215.8</v>
      </c>
      <c r="AF1492">
        <v>215.8</v>
      </c>
      <c r="AG1492" s="29" t="s">
        <v>2270</v>
      </c>
      <c r="AH1492" s="29" t="s">
        <v>2308</v>
      </c>
      <c r="AI1492" s="29" t="s">
        <v>2309</v>
      </c>
      <c r="AJ1492" s="29"/>
      <c r="AL1492" s="29" t="s">
        <v>2271</v>
      </c>
    </row>
    <row r="1493" spans="15:38">
      <c r="O1493" t="s">
        <v>24</v>
      </c>
      <c r="P1493" t="s">
        <v>43</v>
      </c>
      <c r="Q1493" t="s">
        <v>28</v>
      </c>
      <c r="R1493" t="s">
        <v>64</v>
      </c>
      <c r="S1493">
        <v>2024.18</v>
      </c>
      <c r="T1493">
        <v>52355</v>
      </c>
      <c r="U1493">
        <v>86563.656700000007</v>
      </c>
      <c r="V1493">
        <v>86563.656700000007</v>
      </c>
      <c r="AA1493" s="29" t="s">
        <v>43</v>
      </c>
      <c r="AB1493">
        <v>31200</v>
      </c>
      <c r="AC1493">
        <v>130</v>
      </c>
      <c r="AD1493">
        <v>3</v>
      </c>
      <c r="AE1493">
        <v>0</v>
      </c>
      <c r="AF1493">
        <v>0</v>
      </c>
      <c r="AG1493" s="29" t="s">
        <v>2270</v>
      </c>
      <c r="AH1493" s="29" t="s">
        <v>2274</v>
      </c>
      <c r="AI1493" s="29" t="s">
        <v>2310</v>
      </c>
      <c r="AJ1493" s="29"/>
      <c r="AL1493" s="29" t="s">
        <v>2271</v>
      </c>
    </row>
    <row r="1494" spans="15:38">
      <c r="O1494" t="s">
        <v>24</v>
      </c>
      <c r="P1494" t="s">
        <v>43</v>
      </c>
      <c r="Q1494" t="s">
        <v>28</v>
      </c>
      <c r="R1494" t="s">
        <v>64</v>
      </c>
      <c r="S1494">
        <v>2024.19</v>
      </c>
      <c r="T1494">
        <v>52355</v>
      </c>
      <c r="U1494">
        <v>86563.656700000007</v>
      </c>
      <c r="V1494">
        <v>86563.656700000007</v>
      </c>
      <c r="AA1494" s="29" t="s">
        <v>43</v>
      </c>
      <c r="AB1494">
        <v>31200</v>
      </c>
      <c r="AC1494">
        <v>130</v>
      </c>
      <c r="AD1494">
        <v>3</v>
      </c>
      <c r="AE1494">
        <v>0</v>
      </c>
      <c r="AF1494">
        <v>0</v>
      </c>
      <c r="AG1494" s="29" t="s">
        <v>2270</v>
      </c>
      <c r="AH1494" s="29" t="s">
        <v>2274</v>
      </c>
      <c r="AI1494" s="29" t="s">
        <v>2311</v>
      </c>
      <c r="AJ1494" s="29"/>
      <c r="AL1494" s="29" t="s">
        <v>2271</v>
      </c>
    </row>
    <row r="1495" spans="15:38">
      <c r="O1495" t="s">
        <v>24</v>
      </c>
      <c r="P1495" t="s">
        <v>43</v>
      </c>
      <c r="Q1495" t="s">
        <v>28</v>
      </c>
      <c r="R1495" t="s">
        <v>64</v>
      </c>
      <c r="S1495">
        <v>2024.2</v>
      </c>
      <c r="T1495">
        <v>52355</v>
      </c>
      <c r="U1495">
        <v>86563.656700000007</v>
      </c>
      <c r="V1495">
        <v>86563.656700000007</v>
      </c>
      <c r="AA1495" s="29" t="s">
        <v>43</v>
      </c>
      <c r="AB1495">
        <v>31200</v>
      </c>
      <c r="AC1495">
        <v>130</v>
      </c>
      <c r="AD1495">
        <v>3</v>
      </c>
      <c r="AE1495">
        <v>63</v>
      </c>
      <c r="AF1495">
        <v>63</v>
      </c>
      <c r="AG1495" s="29" t="s">
        <v>2270</v>
      </c>
      <c r="AH1495" s="29" t="s">
        <v>2312</v>
      </c>
      <c r="AI1495" s="29" t="s">
        <v>2313</v>
      </c>
      <c r="AJ1495" s="29"/>
      <c r="AL1495" s="29" t="s">
        <v>2271</v>
      </c>
    </row>
    <row r="1496" spans="15:38">
      <c r="O1496" t="s">
        <v>24</v>
      </c>
      <c r="P1496" t="s">
        <v>43</v>
      </c>
      <c r="Q1496" t="s">
        <v>28</v>
      </c>
      <c r="R1496" t="s">
        <v>64</v>
      </c>
      <c r="S1496">
        <v>2024.21</v>
      </c>
      <c r="T1496">
        <v>52355</v>
      </c>
      <c r="U1496">
        <v>86563.656700000007</v>
      </c>
      <c r="V1496">
        <v>86563.656700000007</v>
      </c>
      <c r="AA1496" s="29" t="s">
        <v>43</v>
      </c>
      <c r="AB1496">
        <v>31200</v>
      </c>
      <c r="AC1496">
        <v>130</v>
      </c>
      <c r="AD1496">
        <v>3</v>
      </c>
      <c r="AE1496">
        <v>0</v>
      </c>
      <c r="AF1496">
        <v>0</v>
      </c>
      <c r="AG1496" s="29" t="s">
        <v>2270</v>
      </c>
      <c r="AH1496" s="29" t="s">
        <v>2274</v>
      </c>
      <c r="AI1496" s="29" t="s">
        <v>2314</v>
      </c>
      <c r="AJ1496" s="29"/>
      <c r="AL1496" s="29" t="s">
        <v>2271</v>
      </c>
    </row>
    <row r="1497" spans="15:38">
      <c r="O1497" t="s">
        <v>24</v>
      </c>
      <c r="P1497" t="s">
        <v>43</v>
      </c>
      <c r="Q1497" t="s">
        <v>28</v>
      </c>
      <c r="R1497" t="s">
        <v>64</v>
      </c>
      <c r="S1497">
        <v>2024.28</v>
      </c>
      <c r="T1497">
        <v>52355</v>
      </c>
      <c r="U1497">
        <v>86563.656700000007</v>
      </c>
      <c r="V1497">
        <v>86563.656700000007</v>
      </c>
      <c r="AA1497" s="29" t="s">
        <v>43</v>
      </c>
      <c r="AB1497">
        <v>31200</v>
      </c>
      <c r="AC1497">
        <v>130</v>
      </c>
      <c r="AD1497">
        <v>3</v>
      </c>
      <c r="AE1497">
        <v>37.5</v>
      </c>
      <c r="AF1497">
        <v>37.5</v>
      </c>
      <c r="AG1497" s="29" t="s">
        <v>2270</v>
      </c>
      <c r="AH1497" s="29" t="s">
        <v>2315</v>
      </c>
      <c r="AI1497" s="29" t="s">
        <v>2316</v>
      </c>
      <c r="AJ1497" s="29"/>
      <c r="AL1497" s="29" t="s">
        <v>2271</v>
      </c>
    </row>
    <row r="1498" spans="15:38">
      <c r="O1498" t="s">
        <v>24</v>
      </c>
      <c r="P1498" t="s">
        <v>43</v>
      </c>
      <c r="Q1498" t="s">
        <v>28</v>
      </c>
      <c r="R1498" t="s">
        <v>64</v>
      </c>
      <c r="S1498">
        <v>2024.38</v>
      </c>
      <c r="T1498">
        <v>52355</v>
      </c>
      <c r="U1498">
        <v>86563.656700000007</v>
      </c>
      <c r="V1498">
        <v>86563.656700000007</v>
      </c>
      <c r="AA1498" s="29" t="s">
        <v>43</v>
      </c>
      <c r="AB1498">
        <v>31200</v>
      </c>
      <c r="AC1498">
        <v>130</v>
      </c>
      <c r="AD1498">
        <v>3</v>
      </c>
      <c r="AE1498">
        <v>1188.5999999999999</v>
      </c>
      <c r="AF1498">
        <v>1188.5999999999999</v>
      </c>
      <c r="AG1498" s="29" t="s">
        <v>2270</v>
      </c>
      <c r="AH1498" s="29" t="s">
        <v>2317</v>
      </c>
      <c r="AI1498" s="29" t="s">
        <v>2318</v>
      </c>
      <c r="AJ1498" s="29"/>
      <c r="AL1498" s="29" t="s">
        <v>2271</v>
      </c>
    </row>
    <row r="1499" spans="15:38">
      <c r="O1499" t="s">
        <v>24</v>
      </c>
      <c r="P1499" t="s">
        <v>43</v>
      </c>
      <c r="Q1499" t="s">
        <v>28</v>
      </c>
      <c r="R1499" t="s">
        <v>64</v>
      </c>
      <c r="S1499">
        <v>2024.39</v>
      </c>
      <c r="T1499">
        <v>52427.86</v>
      </c>
      <c r="U1499">
        <v>86563.656700000007</v>
      </c>
      <c r="V1499">
        <v>86563.656700000007</v>
      </c>
      <c r="AA1499" s="29" t="s">
        <v>43</v>
      </c>
      <c r="AB1499">
        <v>31200</v>
      </c>
      <c r="AC1499">
        <v>130</v>
      </c>
      <c r="AD1499">
        <v>3</v>
      </c>
      <c r="AE1499">
        <v>0</v>
      </c>
      <c r="AF1499">
        <v>0</v>
      </c>
      <c r="AG1499" s="29" t="s">
        <v>2270</v>
      </c>
      <c r="AH1499" s="29" t="s">
        <v>2274</v>
      </c>
      <c r="AI1499" s="29" t="s">
        <v>2319</v>
      </c>
      <c r="AJ1499" s="29"/>
      <c r="AL1499" s="29" t="s">
        <v>2271</v>
      </c>
    </row>
    <row r="1500" spans="15:38">
      <c r="O1500" t="s">
        <v>24</v>
      </c>
      <c r="P1500" t="s">
        <v>43</v>
      </c>
      <c r="Q1500" t="s">
        <v>28</v>
      </c>
      <c r="R1500" t="s">
        <v>64</v>
      </c>
      <c r="S1500">
        <v>2024.41</v>
      </c>
      <c r="T1500">
        <v>52427.86</v>
      </c>
      <c r="U1500">
        <v>86563.656700000007</v>
      </c>
      <c r="V1500">
        <v>86563.656700000007</v>
      </c>
      <c r="AA1500" s="29" t="s">
        <v>43</v>
      </c>
      <c r="AB1500">
        <v>31200</v>
      </c>
      <c r="AC1500">
        <v>130</v>
      </c>
      <c r="AD1500">
        <v>3</v>
      </c>
      <c r="AE1500">
        <v>2510</v>
      </c>
      <c r="AF1500">
        <v>2510</v>
      </c>
      <c r="AG1500" s="29" t="s">
        <v>2270</v>
      </c>
      <c r="AH1500" s="29" t="s">
        <v>2320</v>
      </c>
      <c r="AI1500" s="29" t="s">
        <v>2321</v>
      </c>
      <c r="AJ1500" s="29"/>
      <c r="AL1500" s="29" t="s">
        <v>2271</v>
      </c>
    </row>
    <row r="1501" spans="15:38">
      <c r="O1501" t="s">
        <v>24</v>
      </c>
      <c r="P1501" t="s">
        <v>43</v>
      </c>
      <c r="Q1501" t="s">
        <v>28</v>
      </c>
      <c r="R1501" t="s">
        <v>64</v>
      </c>
      <c r="S1501">
        <v>2024.43</v>
      </c>
      <c r="T1501">
        <v>52537.15</v>
      </c>
      <c r="U1501">
        <v>86563.656700000007</v>
      </c>
      <c r="V1501">
        <v>86563.656700000007</v>
      </c>
      <c r="AA1501" s="29" t="s">
        <v>43</v>
      </c>
      <c r="AB1501">
        <v>31200</v>
      </c>
      <c r="AC1501">
        <v>130</v>
      </c>
      <c r="AD1501">
        <v>3</v>
      </c>
      <c r="AE1501">
        <v>2150</v>
      </c>
      <c r="AF1501">
        <v>2150</v>
      </c>
      <c r="AG1501" s="29" t="s">
        <v>2270</v>
      </c>
      <c r="AH1501" s="29" t="s">
        <v>2322</v>
      </c>
      <c r="AI1501" s="29" t="s">
        <v>2323</v>
      </c>
      <c r="AJ1501" s="29"/>
      <c r="AL1501" s="29" t="s">
        <v>2271</v>
      </c>
    </row>
    <row r="1502" spans="15:38">
      <c r="O1502" t="s">
        <v>24</v>
      </c>
      <c r="P1502" t="s">
        <v>43</v>
      </c>
      <c r="Q1502" t="s">
        <v>28</v>
      </c>
      <c r="R1502" t="s">
        <v>64</v>
      </c>
      <c r="S1502">
        <v>2024.44</v>
      </c>
      <c r="T1502">
        <v>53083.6</v>
      </c>
      <c r="U1502">
        <v>86563.656700000007</v>
      </c>
      <c r="V1502">
        <v>86563.656700000007</v>
      </c>
      <c r="AA1502" s="29" t="s">
        <v>43</v>
      </c>
      <c r="AB1502">
        <v>31200</v>
      </c>
      <c r="AC1502">
        <v>130</v>
      </c>
      <c r="AD1502">
        <v>3</v>
      </c>
      <c r="AE1502">
        <v>601.25</v>
      </c>
      <c r="AF1502">
        <v>601.25</v>
      </c>
      <c r="AG1502" s="29" t="s">
        <v>2270</v>
      </c>
      <c r="AH1502" s="29" t="s">
        <v>2324</v>
      </c>
      <c r="AI1502" s="29" t="s">
        <v>2325</v>
      </c>
      <c r="AJ1502" s="29"/>
      <c r="AL1502" s="29" t="s">
        <v>2271</v>
      </c>
    </row>
    <row r="1503" spans="15:38">
      <c r="O1503" t="s">
        <v>24</v>
      </c>
      <c r="P1503" t="s">
        <v>43</v>
      </c>
      <c r="Q1503" t="s">
        <v>28</v>
      </c>
      <c r="R1503" t="s">
        <v>64</v>
      </c>
      <c r="S1503">
        <v>2024.45</v>
      </c>
      <c r="T1503">
        <v>53083.6</v>
      </c>
      <c r="U1503">
        <v>86563.656700000007</v>
      </c>
      <c r="V1503">
        <v>86563.656700000007</v>
      </c>
      <c r="AA1503" s="29" t="s">
        <v>43</v>
      </c>
      <c r="AB1503">
        <v>31200</v>
      </c>
      <c r="AC1503">
        <v>130</v>
      </c>
      <c r="AD1503">
        <v>3</v>
      </c>
      <c r="AE1503">
        <v>1345.46</v>
      </c>
      <c r="AF1503">
        <v>1345.46</v>
      </c>
      <c r="AG1503" s="29" t="s">
        <v>2270</v>
      </c>
      <c r="AH1503" s="29" t="s">
        <v>2326</v>
      </c>
      <c r="AI1503" s="29" t="s">
        <v>2327</v>
      </c>
      <c r="AJ1503" s="29"/>
      <c r="AL1503" s="29" t="s">
        <v>2271</v>
      </c>
    </row>
    <row r="1504" spans="15:38">
      <c r="O1504" t="s">
        <v>24</v>
      </c>
      <c r="P1504" t="s">
        <v>43</v>
      </c>
      <c r="Q1504" t="s">
        <v>28</v>
      </c>
      <c r="R1504" t="s">
        <v>64</v>
      </c>
      <c r="S1504">
        <v>2024.47</v>
      </c>
      <c r="T1504">
        <v>53921.49</v>
      </c>
      <c r="U1504">
        <v>86563.656700000007</v>
      </c>
      <c r="V1504">
        <v>86563.656700000007</v>
      </c>
      <c r="AA1504" s="29" t="s">
        <v>43</v>
      </c>
      <c r="AB1504">
        <v>31200</v>
      </c>
      <c r="AC1504">
        <v>130</v>
      </c>
      <c r="AD1504">
        <v>3</v>
      </c>
      <c r="AE1504">
        <v>3.91</v>
      </c>
      <c r="AF1504">
        <v>3.91</v>
      </c>
      <c r="AG1504" s="29" t="s">
        <v>2270</v>
      </c>
      <c r="AH1504" s="29" t="s">
        <v>2328</v>
      </c>
      <c r="AI1504" s="29" t="s">
        <v>2329</v>
      </c>
      <c r="AJ1504" s="29"/>
      <c r="AL1504" s="29" t="s">
        <v>2271</v>
      </c>
    </row>
    <row r="1505" spans="15:38">
      <c r="O1505" t="s">
        <v>24</v>
      </c>
      <c r="P1505" t="s">
        <v>43</v>
      </c>
      <c r="Q1505" t="s">
        <v>28</v>
      </c>
      <c r="R1505" t="s">
        <v>64</v>
      </c>
      <c r="S1505">
        <v>2024.48</v>
      </c>
      <c r="T1505">
        <v>54786.7</v>
      </c>
      <c r="U1505">
        <v>86563.656700000007</v>
      </c>
      <c r="V1505">
        <v>66563.656700000007</v>
      </c>
      <c r="AA1505" s="29" t="s">
        <v>43</v>
      </c>
      <c r="AB1505">
        <v>31200</v>
      </c>
      <c r="AC1505">
        <v>130</v>
      </c>
      <c r="AD1505">
        <v>3</v>
      </c>
      <c r="AE1505">
        <v>3514</v>
      </c>
      <c r="AF1505">
        <v>3514</v>
      </c>
      <c r="AG1505" s="29" t="s">
        <v>2270</v>
      </c>
      <c r="AH1505" s="29" t="s">
        <v>2330</v>
      </c>
      <c r="AI1505" s="29" t="s">
        <v>2331</v>
      </c>
      <c r="AJ1505" s="29"/>
      <c r="AL1505" s="29" t="s">
        <v>2271</v>
      </c>
    </row>
    <row r="1506" spans="15:38">
      <c r="O1506" t="s">
        <v>24</v>
      </c>
      <c r="P1506" t="s">
        <v>43</v>
      </c>
      <c r="Q1506" t="s">
        <v>28</v>
      </c>
      <c r="R1506" t="s">
        <v>64</v>
      </c>
      <c r="S1506">
        <v>2024.49</v>
      </c>
      <c r="T1506">
        <v>55078.14</v>
      </c>
      <c r="U1506">
        <v>86563.656700000007</v>
      </c>
      <c r="V1506">
        <v>66563.656700000007</v>
      </c>
      <c r="AA1506" s="29" t="s">
        <v>43</v>
      </c>
      <c r="AB1506">
        <v>31200</v>
      </c>
      <c r="AC1506">
        <v>130</v>
      </c>
      <c r="AD1506">
        <v>3</v>
      </c>
      <c r="AE1506">
        <v>24</v>
      </c>
      <c r="AF1506">
        <v>24</v>
      </c>
      <c r="AG1506" s="29" t="s">
        <v>2270</v>
      </c>
      <c r="AH1506" s="29" t="s">
        <v>2332</v>
      </c>
      <c r="AI1506" s="29" t="s">
        <v>2333</v>
      </c>
      <c r="AJ1506" s="29"/>
      <c r="AL1506" s="29" t="s">
        <v>2271</v>
      </c>
    </row>
    <row r="1507" spans="15:38">
      <c r="O1507" t="s">
        <v>24</v>
      </c>
      <c r="P1507" t="s">
        <v>43</v>
      </c>
      <c r="Q1507" t="s">
        <v>28</v>
      </c>
      <c r="R1507" t="s">
        <v>64</v>
      </c>
      <c r="S1507">
        <v>2025.03</v>
      </c>
      <c r="T1507">
        <v>56316.76</v>
      </c>
      <c r="U1507">
        <v>86563.656700000007</v>
      </c>
      <c r="V1507">
        <v>66563.656700000007</v>
      </c>
      <c r="AA1507" s="29" t="s">
        <v>43</v>
      </c>
      <c r="AB1507">
        <v>31200</v>
      </c>
      <c r="AC1507">
        <v>130</v>
      </c>
      <c r="AD1507">
        <v>3</v>
      </c>
      <c r="AE1507">
        <v>15</v>
      </c>
      <c r="AF1507">
        <v>15</v>
      </c>
      <c r="AG1507" s="29" t="s">
        <v>2270</v>
      </c>
      <c r="AH1507" s="29" t="s">
        <v>2334</v>
      </c>
      <c r="AI1507" s="29" t="s">
        <v>2335</v>
      </c>
      <c r="AJ1507" s="29"/>
      <c r="AL1507" s="29" t="s">
        <v>2271</v>
      </c>
    </row>
    <row r="1508" spans="15:38">
      <c r="O1508" t="s">
        <v>24</v>
      </c>
      <c r="P1508" t="s">
        <v>43</v>
      </c>
      <c r="Q1508" t="s">
        <v>28</v>
      </c>
      <c r="R1508" t="s">
        <v>64</v>
      </c>
      <c r="S1508">
        <v>2025.08</v>
      </c>
      <c r="T1508">
        <v>59668.32</v>
      </c>
      <c r="U1508">
        <v>86563.656700000007</v>
      </c>
      <c r="V1508">
        <v>66563.656700000007</v>
      </c>
      <c r="AA1508" s="29" t="s">
        <v>43</v>
      </c>
      <c r="AB1508">
        <v>31200</v>
      </c>
      <c r="AC1508">
        <v>130</v>
      </c>
      <c r="AD1508">
        <v>3</v>
      </c>
      <c r="AE1508">
        <v>11.1</v>
      </c>
      <c r="AF1508">
        <v>11.1</v>
      </c>
      <c r="AG1508" s="29" t="s">
        <v>2270</v>
      </c>
      <c r="AH1508" s="29" t="s">
        <v>2336</v>
      </c>
      <c r="AI1508" s="29" t="s">
        <v>2337</v>
      </c>
      <c r="AJ1508" s="29"/>
      <c r="AL1508" s="29" t="s">
        <v>2271</v>
      </c>
    </row>
    <row r="1509" spans="15:38">
      <c r="O1509" t="s">
        <v>24</v>
      </c>
      <c r="P1509" t="s">
        <v>43</v>
      </c>
      <c r="Q1509" t="s">
        <v>28</v>
      </c>
      <c r="R1509" t="s">
        <v>64</v>
      </c>
      <c r="S1509">
        <v>2025.1</v>
      </c>
      <c r="T1509">
        <v>59959.76</v>
      </c>
      <c r="U1509">
        <v>86563.656700000007</v>
      </c>
      <c r="V1509">
        <v>66563.656700000007</v>
      </c>
      <c r="AA1509" s="29" t="s">
        <v>43</v>
      </c>
      <c r="AB1509">
        <v>31200</v>
      </c>
      <c r="AC1509">
        <v>130</v>
      </c>
      <c r="AD1509">
        <v>3</v>
      </c>
      <c r="AE1509">
        <v>0</v>
      </c>
      <c r="AF1509">
        <v>0</v>
      </c>
      <c r="AG1509" s="29" t="s">
        <v>2270</v>
      </c>
      <c r="AH1509" s="29" t="s">
        <v>2274</v>
      </c>
      <c r="AI1509" s="29" t="s">
        <v>2338</v>
      </c>
      <c r="AJ1509" s="29"/>
      <c r="AL1509" s="29" t="s">
        <v>2271</v>
      </c>
    </row>
    <row r="1510" spans="15:38">
      <c r="O1510" t="s">
        <v>24</v>
      </c>
      <c r="P1510" t="s">
        <v>43</v>
      </c>
      <c r="Q1510" t="s">
        <v>28</v>
      </c>
      <c r="R1510" t="s">
        <v>64</v>
      </c>
      <c r="S1510">
        <v>2025.11</v>
      </c>
      <c r="T1510">
        <v>59959.76</v>
      </c>
      <c r="U1510">
        <v>86563.656700000007</v>
      </c>
      <c r="V1510">
        <v>66563.656700000007</v>
      </c>
      <c r="AA1510" s="29" t="s">
        <v>43</v>
      </c>
      <c r="AB1510">
        <v>31200</v>
      </c>
      <c r="AC1510">
        <v>130</v>
      </c>
      <c r="AD1510">
        <v>3</v>
      </c>
      <c r="AE1510">
        <v>3.95</v>
      </c>
      <c r="AF1510">
        <v>3.95</v>
      </c>
      <c r="AG1510" s="29" t="s">
        <v>2270</v>
      </c>
      <c r="AH1510" s="29" t="s">
        <v>2339</v>
      </c>
      <c r="AI1510" s="29" t="s">
        <v>2340</v>
      </c>
      <c r="AJ1510" s="29"/>
      <c r="AL1510" s="29" t="s">
        <v>2271</v>
      </c>
    </row>
    <row r="1511" spans="15:38">
      <c r="O1511" t="s">
        <v>24</v>
      </c>
      <c r="P1511" t="s">
        <v>43</v>
      </c>
      <c r="Q1511" t="s">
        <v>28</v>
      </c>
      <c r="R1511" t="s">
        <v>64</v>
      </c>
      <c r="S1511">
        <v>2025.12</v>
      </c>
      <c r="T1511">
        <v>59959.76</v>
      </c>
      <c r="U1511">
        <v>86563.656700000007</v>
      </c>
      <c r="V1511">
        <v>66563.656700000007</v>
      </c>
      <c r="AA1511" s="29" t="s">
        <v>43</v>
      </c>
      <c r="AB1511">
        <v>31200</v>
      </c>
      <c r="AC1511">
        <v>130</v>
      </c>
      <c r="AD1511">
        <v>3</v>
      </c>
      <c r="AE1511">
        <v>6.4</v>
      </c>
      <c r="AF1511">
        <v>6.4</v>
      </c>
      <c r="AG1511" s="29" t="s">
        <v>2270</v>
      </c>
      <c r="AH1511" s="29" t="s">
        <v>2341</v>
      </c>
      <c r="AI1511" s="29" t="s">
        <v>2342</v>
      </c>
      <c r="AJ1511" s="29"/>
      <c r="AL1511" s="29" t="s">
        <v>2271</v>
      </c>
    </row>
    <row r="1512" spans="15:38">
      <c r="O1512" t="s">
        <v>24</v>
      </c>
      <c r="P1512" t="s">
        <v>43</v>
      </c>
      <c r="Q1512" t="s">
        <v>28</v>
      </c>
      <c r="R1512" t="s">
        <v>65</v>
      </c>
      <c r="S1512">
        <v>2023.47</v>
      </c>
      <c r="T1512">
        <v>0</v>
      </c>
      <c r="U1512">
        <v>94256.02</v>
      </c>
      <c r="V1512">
        <v>94256.02</v>
      </c>
      <c r="AA1512" s="29" t="s">
        <v>43</v>
      </c>
      <c r="AB1512">
        <v>31200</v>
      </c>
      <c r="AC1512">
        <v>130</v>
      </c>
      <c r="AD1512">
        <v>3</v>
      </c>
      <c r="AE1512">
        <v>7.4</v>
      </c>
      <c r="AF1512">
        <v>7.4</v>
      </c>
      <c r="AG1512" s="29" t="s">
        <v>2270</v>
      </c>
      <c r="AH1512" s="29" t="s">
        <v>2343</v>
      </c>
      <c r="AI1512" s="29" t="s">
        <v>2344</v>
      </c>
      <c r="AJ1512" s="29"/>
      <c r="AL1512" s="29" t="s">
        <v>2271</v>
      </c>
    </row>
    <row r="1513" spans="15:38">
      <c r="O1513" t="s">
        <v>24</v>
      </c>
      <c r="P1513" t="s">
        <v>43</v>
      </c>
      <c r="Q1513" t="s">
        <v>28</v>
      </c>
      <c r="R1513" t="s">
        <v>65</v>
      </c>
      <c r="S1513">
        <v>2023.51</v>
      </c>
      <c r="T1513">
        <v>182850.92</v>
      </c>
      <c r="U1513">
        <v>94256.02</v>
      </c>
      <c r="V1513">
        <v>94256.02</v>
      </c>
      <c r="AA1513" s="29" t="s">
        <v>43</v>
      </c>
      <c r="AB1513">
        <v>31200</v>
      </c>
      <c r="AC1513">
        <v>130</v>
      </c>
      <c r="AD1513">
        <v>3</v>
      </c>
      <c r="AE1513">
        <v>14.04</v>
      </c>
      <c r="AF1513">
        <v>14.04</v>
      </c>
      <c r="AG1513" s="29" t="s">
        <v>2270</v>
      </c>
      <c r="AH1513" s="29" t="s">
        <v>2345</v>
      </c>
      <c r="AI1513" s="29" t="s">
        <v>2346</v>
      </c>
      <c r="AJ1513" s="29"/>
      <c r="AL1513" s="29" t="s">
        <v>2271</v>
      </c>
    </row>
    <row r="1514" spans="15:38">
      <c r="O1514" t="s">
        <v>24</v>
      </c>
      <c r="P1514" t="s">
        <v>43</v>
      </c>
      <c r="Q1514" t="s">
        <v>28</v>
      </c>
      <c r="R1514" t="s">
        <v>65</v>
      </c>
      <c r="S1514">
        <v>2024.05</v>
      </c>
      <c r="T1514">
        <v>100735.52</v>
      </c>
      <c r="U1514">
        <v>94256.02</v>
      </c>
      <c r="V1514">
        <v>94256.02</v>
      </c>
      <c r="AA1514" s="29" t="s">
        <v>43</v>
      </c>
      <c r="AB1514">
        <v>31200</v>
      </c>
      <c r="AC1514">
        <v>130</v>
      </c>
      <c r="AD1514">
        <v>3</v>
      </c>
      <c r="AE1514">
        <v>105</v>
      </c>
      <c r="AF1514">
        <v>105</v>
      </c>
      <c r="AG1514" s="29" t="s">
        <v>2270</v>
      </c>
      <c r="AH1514" s="29" t="s">
        <v>2303</v>
      </c>
      <c r="AI1514" s="29" t="s">
        <v>2347</v>
      </c>
      <c r="AJ1514" s="29"/>
      <c r="AL1514" s="29" t="s">
        <v>2271</v>
      </c>
    </row>
    <row r="1515" spans="15:38">
      <c r="O1515" t="s">
        <v>24</v>
      </c>
      <c r="P1515" t="s">
        <v>43</v>
      </c>
      <c r="Q1515" t="s">
        <v>28</v>
      </c>
      <c r="R1515" t="s">
        <v>65</v>
      </c>
      <c r="S1515">
        <v>2024.06</v>
      </c>
      <c r="T1515">
        <v>100715.35</v>
      </c>
      <c r="U1515">
        <v>94256.02</v>
      </c>
      <c r="V1515">
        <v>94256.02</v>
      </c>
      <c r="AA1515" s="29" t="s">
        <v>43</v>
      </c>
      <c r="AB1515">
        <v>31200</v>
      </c>
      <c r="AC1515">
        <v>130</v>
      </c>
      <c r="AD1515">
        <v>3</v>
      </c>
      <c r="AE1515">
        <v>5</v>
      </c>
      <c r="AF1515">
        <v>5</v>
      </c>
      <c r="AG1515" s="29" t="s">
        <v>2270</v>
      </c>
      <c r="AH1515" s="29" t="s">
        <v>2348</v>
      </c>
      <c r="AI1515" s="29" t="s">
        <v>2349</v>
      </c>
      <c r="AJ1515" s="29"/>
      <c r="AL1515" s="29" t="s">
        <v>2271</v>
      </c>
    </row>
    <row r="1516" spans="15:38">
      <c r="O1516" t="s">
        <v>24</v>
      </c>
      <c r="P1516" t="s">
        <v>43</v>
      </c>
      <c r="Q1516" t="s">
        <v>28</v>
      </c>
      <c r="R1516" t="s">
        <v>65</v>
      </c>
      <c r="S1516">
        <v>2024.07</v>
      </c>
      <c r="T1516">
        <v>100728.97</v>
      </c>
      <c r="U1516">
        <v>94256.02</v>
      </c>
      <c r="V1516">
        <v>94256.02</v>
      </c>
      <c r="AA1516" s="29" t="s">
        <v>43</v>
      </c>
      <c r="AB1516">
        <v>31200</v>
      </c>
      <c r="AC1516">
        <v>130</v>
      </c>
      <c r="AD1516">
        <v>3</v>
      </c>
      <c r="AE1516">
        <v>5.0599999999999996</v>
      </c>
      <c r="AF1516">
        <v>5.0599999999999996</v>
      </c>
      <c r="AG1516" s="29" t="s">
        <v>2270</v>
      </c>
      <c r="AH1516" s="29" t="s">
        <v>2350</v>
      </c>
      <c r="AI1516" s="29" t="s">
        <v>2351</v>
      </c>
      <c r="AJ1516" s="29"/>
      <c r="AL1516" s="29" t="s">
        <v>2271</v>
      </c>
    </row>
    <row r="1517" spans="15:38">
      <c r="O1517" t="s">
        <v>24</v>
      </c>
      <c r="P1517" t="s">
        <v>43</v>
      </c>
      <c r="Q1517" t="s">
        <v>28</v>
      </c>
      <c r="R1517" t="s">
        <v>65</v>
      </c>
      <c r="S1517">
        <v>2024.08</v>
      </c>
      <c r="T1517">
        <v>101373.45</v>
      </c>
      <c r="U1517">
        <v>94256.02</v>
      </c>
      <c r="V1517">
        <v>94256.02</v>
      </c>
      <c r="AA1517" s="29" t="s">
        <v>43</v>
      </c>
      <c r="AB1517">
        <v>31200</v>
      </c>
      <c r="AC1517">
        <v>130</v>
      </c>
      <c r="AD1517">
        <v>3</v>
      </c>
      <c r="AE1517">
        <v>16.5</v>
      </c>
      <c r="AF1517">
        <v>16.5</v>
      </c>
      <c r="AG1517" s="29" t="s">
        <v>2270</v>
      </c>
      <c r="AH1517" s="29" t="s">
        <v>2352</v>
      </c>
      <c r="AI1517" s="29" t="s">
        <v>2353</v>
      </c>
      <c r="AJ1517" s="29"/>
      <c r="AL1517" s="29" t="s">
        <v>2271</v>
      </c>
    </row>
    <row r="1518" spans="15:38">
      <c r="O1518" t="s">
        <v>24</v>
      </c>
      <c r="P1518" t="s">
        <v>43</v>
      </c>
      <c r="Q1518" t="s">
        <v>28</v>
      </c>
      <c r="R1518" t="s">
        <v>65</v>
      </c>
      <c r="S1518">
        <v>2024.09</v>
      </c>
      <c r="T1518">
        <v>182850.92</v>
      </c>
      <c r="U1518">
        <v>94256.02</v>
      </c>
      <c r="V1518">
        <v>94256.02</v>
      </c>
      <c r="AA1518" s="29" t="s">
        <v>43</v>
      </c>
      <c r="AB1518">
        <v>31200</v>
      </c>
      <c r="AC1518">
        <v>130</v>
      </c>
      <c r="AD1518">
        <v>3</v>
      </c>
      <c r="AE1518">
        <v>5</v>
      </c>
      <c r="AF1518">
        <v>5</v>
      </c>
      <c r="AG1518" s="29" t="s">
        <v>2270</v>
      </c>
      <c r="AH1518" s="29" t="s">
        <v>2348</v>
      </c>
      <c r="AI1518" s="29" t="s">
        <v>2354</v>
      </c>
      <c r="AJ1518" s="29"/>
      <c r="AL1518" s="29" t="s">
        <v>2271</v>
      </c>
    </row>
    <row r="1519" spans="15:38">
      <c r="O1519" t="s">
        <v>24</v>
      </c>
      <c r="P1519" t="s">
        <v>43</v>
      </c>
      <c r="Q1519" t="s">
        <v>28</v>
      </c>
      <c r="R1519" t="s">
        <v>65</v>
      </c>
      <c r="S1519">
        <v>2024.1</v>
      </c>
      <c r="T1519">
        <v>101403.94</v>
      </c>
      <c r="U1519">
        <v>94256.02</v>
      </c>
      <c r="V1519">
        <v>94256.02</v>
      </c>
      <c r="AA1519" s="29" t="s">
        <v>43</v>
      </c>
      <c r="AB1519">
        <v>31200</v>
      </c>
      <c r="AC1519">
        <v>130</v>
      </c>
      <c r="AD1519">
        <v>3</v>
      </c>
      <c r="AE1519">
        <v>8.1</v>
      </c>
      <c r="AF1519">
        <v>8.1</v>
      </c>
      <c r="AG1519" s="29" t="s">
        <v>2270</v>
      </c>
      <c r="AH1519" s="29" t="s">
        <v>2355</v>
      </c>
      <c r="AI1519" s="29" t="s">
        <v>2356</v>
      </c>
      <c r="AJ1519" s="29"/>
      <c r="AL1519" s="29" t="s">
        <v>2271</v>
      </c>
    </row>
    <row r="1520" spans="15:38">
      <c r="O1520" t="s">
        <v>24</v>
      </c>
      <c r="P1520" t="s">
        <v>43</v>
      </c>
      <c r="Q1520" t="s">
        <v>28</v>
      </c>
      <c r="R1520" t="s">
        <v>65</v>
      </c>
      <c r="S1520">
        <v>2024.11</v>
      </c>
      <c r="T1520">
        <v>106038.8</v>
      </c>
      <c r="U1520">
        <v>94256.02</v>
      </c>
      <c r="V1520">
        <v>94256.02</v>
      </c>
      <c r="AA1520" s="29" t="s">
        <v>43</v>
      </c>
      <c r="AB1520">
        <v>31200</v>
      </c>
      <c r="AC1520">
        <v>130</v>
      </c>
      <c r="AD1520">
        <v>3</v>
      </c>
      <c r="AE1520">
        <v>7</v>
      </c>
      <c r="AF1520">
        <v>7</v>
      </c>
      <c r="AG1520" s="29" t="s">
        <v>2270</v>
      </c>
      <c r="AH1520" s="29" t="s">
        <v>2278</v>
      </c>
      <c r="AI1520" s="29" t="s">
        <v>2357</v>
      </c>
      <c r="AJ1520" s="29"/>
      <c r="AL1520" s="29" t="s">
        <v>2271</v>
      </c>
    </row>
    <row r="1521" spans="15:38">
      <c r="O1521" t="s">
        <v>24</v>
      </c>
      <c r="P1521" t="s">
        <v>43</v>
      </c>
      <c r="Q1521" t="s">
        <v>28</v>
      </c>
      <c r="R1521" t="s">
        <v>65</v>
      </c>
      <c r="S1521">
        <v>2024.12</v>
      </c>
      <c r="T1521">
        <v>106038.8</v>
      </c>
      <c r="U1521">
        <v>94256.02</v>
      </c>
      <c r="V1521">
        <v>94256.02</v>
      </c>
      <c r="AA1521" s="29" t="s">
        <v>43</v>
      </c>
      <c r="AB1521">
        <v>31200</v>
      </c>
      <c r="AC1521">
        <v>130</v>
      </c>
      <c r="AD1521">
        <v>3</v>
      </c>
      <c r="AE1521">
        <v>10.5</v>
      </c>
      <c r="AF1521">
        <v>10.5</v>
      </c>
      <c r="AG1521" s="29" t="s">
        <v>2270</v>
      </c>
      <c r="AH1521" s="29" t="s">
        <v>2358</v>
      </c>
      <c r="AI1521" s="29" t="s">
        <v>2359</v>
      </c>
      <c r="AJ1521" s="29"/>
      <c r="AL1521" s="29" t="s">
        <v>2271</v>
      </c>
    </row>
    <row r="1522" spans="15:38">
      <c r="O1522" t="s">
        <v>24</v>
      </c>
      <c r="P1522" t="s">
        <v>43</v>
      </c>
      <c r="Q1522" t="s">
        <v>28</v>
      </c>
      <c r="R1522" t="s">
        <v>65</v>
      </c>
      <c r="S1522">
        <v>2024.14</v>
      </c>
      <c r="T1522">
        <v>106038.8</v>
      </c>
      <c r="U1522">
        <v>94256.02</v>
      </c>
      <c r="V1522">
        <v>94256.02</v>
      </c>
      <c r="AA1522" s="29" t="s">
        <v>43</v>
      </c>
      <c r="AB1522">
        <v>31200</v>
      </c>
      <c r="AC1522">
        <v>130</v>
      </c>
      <c r="AD1522">
        <v>3</v>
      </c>
      <c r="AE1522">
        <v>3564</v>
      </c>
      <c r="AF1522">
        <v>3564</v>
      </c>
      <c r="AG1522" s="29" t="s">
        <v>2270</v>
      </c>
      <c r="AH1522" s="29" t="s">
        <v>2360</v>
      </c>
      <c r="AI1522" s="29" t="s">
        <v>2361</v>
      </c>
      <c r="AJ1522" s="29"/>
      <c r="AL1522" s="29" t="s">
        <v>2271</v>
      </c>
    </row>
    <row r="1523" spans="15:38">
      <c r="O1523" t="s">
        <v>24</v>
      </c>
      <c r="P1523" t="s">
        <v>43</v>
      </c>
      <c r="Q1523" t="s">
        <v>28</v>
      </c>
      <c r="R1523" t="s">
        <v>65</v>
      </c>
      <c r="S1523">
        <v>2024.17</v>
      </c>
      <c r="T1523">
        <v>104768</v>
      </c>
      <c r="U1523">
        <v>94256.02</v>
      </c>
      <c r="V1523">
        <v>94256.02</v>
      </c>
      <c r="AA1523" s="29" t="s">
        <v>43</v>
      </c>
      <c r="AB1523">
        <v>31200</v>
      </c>
      <c r="AC1523">
        <v>130</v>
      </c>
      <c r="AD1523">
        <v>3</v>
      </c>
      <c r="AE1523">
        <v>20</v>
      </c>
      <c r="AF1523">
        <v>20</v>
      </c>
      <c r="AG1523" s="29" t="s">
        <v>2270</v>
      </c>
      <c r="AH1523" s="29" t="s">
        <v>2362</v>
      </c>
      <c r="AI1523" s="29" t="s">
        <v>2363</v>
      </c>
      <c r="AJ1523" s="29"/>
      <c r="AL1523" s="29" t="s">
        <v>2271</v>
      </c>
    </row>
    <row r="1524" spans="15:38">
      <c r="O1524" t="s">
        <v>24</v>
      </c>
      <c r="P1524" t="s">
        <v>43</v>
      </c>
      <c r="Q1524" t="s">
        <v>28</v>
      </c>
      <c r="R1524" t="s">
        <v>65</v>
      </c>
      <c r="S1524">
        <v>2024.18</v>
      </c>
      <c r="T1524">
        <v>105051.64</v>
      </c>
      <c r="U1524">
        <v>94256.02</v>
      </c>
      <c r="V1524">
        <v>94256.02</v>
      </c>
      <c r="AA1524" s="29" t="s">
        <v>43</v>
      </c>
      <c r="AB1524">
        <v>31200</v>
      </c>
      <c r="AC1524">
        <v>130</v>
      </c>
      <c r="AD1524">
        <v>3</v>
      </c>
      <c r="AE1524">
        <v>12.6</v>
      </c>
      <c r="AF1524">
        <v>12.6</v>
      </c>
      <c r="AG1524" s="29" t="s">
        <v>2270</v>
      </c>
      <c r="AH1524" s="29" t="s">
        <v>2364</v>
      </c>
      <c r="AI1524" s="29" t="s">
        <v>2365</v>
      </c>
      <c r="AJ1524" s="29"/>
      <c r="AL1524" s="29" t="s">
        <v>2271</v>
      </c>
    </row>
    <row r="1525" spans="15:38">
      <c r="O1525" t="s">
        <v>24</v>
      </c>
      <c r="P1525" t="s">
        <v>43</v>
      </c>
      <c r="Q1525" t="s">
        <v>28</v>
      </c>
      <c r="R1525" t="s">
        <v>65</v>
      </c>
      <c r="S1525">
        <v>2024.19</v>
      </c>
      <c r="T1525">
        <v>105051.64</v>
      </c>
      <c r="U1525">
        <v>94256.02</v>
      </c>
      <c r="V1525">
        <v>94256.02</v>
      </c>
      <c r="AA1525" s="29" t="s">
        <v>43</v>
      </c>
      <c r="AB1525">
        <v>31200</v>
      </c>
      <c r="AC1525">
        <v>130</v>
      </c>
      <c r="AD1525">
        <v>3</v>
      </c>
      <c r="AE1525">
        <v>4.96</v>
      </c>
      <c r="AF1525">
        <v>4.96</v>
      </c>
      <c r="AG1525" s="29" t="s">
        <v>2270</v>
      </c>
      <c r="AH1525" s="29" t="s">
        <v>2366</v>
      </c>
      <c r="AI1525" s="29" t="s">
        <v>2367</v>
      </c>
      <c r="AJ1525" s="29"/>
      <c r="AL1525" s="29" t="s">
        <v>2271</v>
      </c>
    </row>
    <row r="1526" spans="15:38">
      <c r="O1526" t="s">
        <v>24</v>
      </c>
      <c r="P1526" t="s">
        <v>43</v>
      </c>
      <c r="Q1526" t="s">
        <v>28</v>
      </c>
      <c r="R1526" t="s">
        <v>65</v>
      </c>
      <c r="S1526">
        <v>2024.2</v>
      </c>
      <c r="T1526">
        <v>105055.91</v>
      </c>
      <c r="U1526">
        <v>94256.02</v>
      </c>
      <c r="V1526">
        <v>94256.02</v>
      </c>
      <c r="AA1526" s="29" t="s">
        <v>43</v>
      </c>
      <c r="AB1526">
        <v>31200</v>
      </c>
      <c r="AC1526">
        <v>130</v>
      </c>
      <c r="AD1526">
        <v>3</v>
      </c>
      <c r="AE1526">
        <v>4.5999999999999996</v>
      </c>
      <c r="AF1526">
        <v>4.5999999999999996</v>
      </c>
      <c r="AG1526" s="29" t="s">
        <v>2270</v>
      </c>
      <c r="AH1526" s="29" t="s">
        <v>2368</v>
      </c>
      <c r="AI1526" s="29" t="s">
        <v>2369</v>
      </c>
      <c r="AJ1526" s="29"/>
      <c r="AL1526" s="29" t="s">
        <v>2271</v>
      </c>
    </row>
    <row r="1527" spans="15:38">
      <c r="O1527" t="s">
        <v>24</v>
      </c>
      <c r="P1527" t="s">
        <v>43</v>
      </c>
      <c r="Q1527" t="s">
        <v>28</v>
      </c>
      <c r="R1527" t="s">
        <v>65</v>
      </c>
      <c r="S1527">
        <v>2024.21</v>
      </c>
      <c r="T1527">
        <v>105165.91</v>
      </c>
      <c r="U1527">
        <v>94256.02</v>
      </c>
      <c r="V1527">
        <v>94256.02</v>
      </c>
      <c r="AA1527" s="29" t="s">
        <v>43</v>
      </c>
      <c r="AB1527">
        <v>31200</v>
      </c>
      <c r="AC1527">
        <v>130</v>
      </c>
      <c r="AD1527">
        <v>3</v>
      </c>
      <c r="AE1527">
        <v>4.92</v>
      </c>
      <c r="AF1527">
        <v>4.92</v>
      </c>
      <c r="AG1527" s="29" t="s">
        <v>2270</v>
      </c>
      <c r="AH1527" s="29" t="s">
        <v>2370</v>
      </c>
      <c r="AI1527" s="29" t="s">
        <v>2371</v>
      </c>
      <c r="AJ1527" s="29"/>
      <c r="AL1527" s="29" t="s">
        <v>2271</v>
      </c>
    </row>
    <row r="1528" spans="15:38">
      <c r="O1528" t="s">
        <v>24</v>
      </c>
      <c r="P1528" t="s">
        <v>43</v>
      </c>
      <c r="Q1528" t="s">
        <v>28</v>
      </c>
      <c r="R1528" t="s">
        <v>65</v>
      </c>
      <c r="S1528">
        <v>2024.28</v>
      </c>
      <c r="T1528">
        <v>106647.54</v>
      </c>
      <c r="U1528">
        <v>94256.02</v>
      </c>
      <c r="V1528">
        <v>94256.02</v>
      </c>
      <c r="AA1528" s="29" t="s">
        <v>43</v>
      </c>
      <c r="AB1528">
        <v>31200</v>
      </c>
      <c r="AC1528">
        <v>130</v>
      </c>
      <c r="AD1528">
        <v>3</v>
      </c>
      <c r="AE1528">
        <v>5</v>
      </c>
      <c r="AF1528">
        <v>5</v>
      </c>
      <c r="AG1528" s="29" t="s">
        <v>2270</v>
      </c>
      <c r="AH1528" s="29" t="s">
        <v>2348</v>
      </c>
      <c r="AI1528" s="29" t="s">
        <v>2372</v>
      </c>
      <c r="AJ1528" s="29"/>
      <c r="AL1528" s="29" t="s">
        <v>2271</v>
      </c>
    </row>
    <row r="1529" spans="15:38">
      <c r="O1529" t="s">
        <v>24</v>
      </c>
      <c r="P1529" t="s">
        <v>43</v>
      </c>
      <c r="Q1529" t="s">
        <v>28</v>
      </c>
      <c r="R1529" t="s">
        <v>65</v>
      </c>
      <c r="S1529">
        <v>2024.38</v>
      </c>
      <c r="T1529">
        <v>106647.54</v>
      </c>
      <c r="U1529">
        <v>94256.02</v>
      </c>
      <c r="V1529">
        <v>94256.02</v>
      </c>
      <c r="AA1529" s="29" t="s">
        <v>43</v>
      </c>
      <c r="AB1529">
        <v>31200</v>
      </c>
      <c r="AC1529">
        <v>130</v>
      </c>
      <c r="AD1529">
        <v>3</v>
      </c>
      <c r="AE1529">
        <v>5</v>
      </c>
      <c r="AF1529">
        <v>5</v>
      </c>
      <c r="AG1529" s="29" t="s">
        <v>2270</v>
      </c>
      <c r="AH1529" s="29" t="s">
        <v>2348</v>
      </c>
      <c r="AI1529" s="29" t="s">
        <v>2354</v>
      </c>
      <c r="AJ1529" s="29"/>
      <c r="AL1529" s="29" t="s">
        <v>2271</v>
      </c>
    </row>
    <row r="1530" spans="15:38">
      <c r="O1530" t="s">
        <v>24</v>
      </c>
      <c r="P1530" t="s">
        <v>43</v>
      </c>
      <c r="Q1530" t="s">
        <v>28</v>
      </c>
      <c r="R1530" t="s">
        <v>65</v>
      </c>
      <c r="S1530">
        <v>2024.39</v>
      </c>
      <c r="T1530">
        <v>106647.54</v>
      </c>
      <c r="U1530">
        <v>94256.02</v>
      </c>
      <c r="V1530">
        <v>94256.02</v>
      </c>
      <c r="AA1530" s="29" t="s">
        <v>43</v>
      </c>
      <c r="AB1530">
        <v>31200</v>
      </c>
      <c r="AC1530">
        <v>130</v>
      </c>
      <c r="AD1530">
        <v>3</v>
      </c>
      <c r="AE1530">
        <v>0</v>
      </c>
      <c r="AF1530">
        <v>0</v>
      </c>
      <c r="AG1530" s="29" t="s">
        <v>2270</v>
      </c>
      <c r="AH1530" s="29" t="s">
        <v>2274</v>
      </c>
      <c r="AI1530" s="29" t="s">
        <v>2373</v>
      </c>
      <c r="AJ1530" s="29"/>
      <c r="AL1530" s="29" t="s">
        <v>2271</v>
      </c>
    </row>
    <row r="1531" spans="15:38">
      <c r="O1531" t="s">
        <v>24</v>
      </c>
      <c r="P1531" t="s">
        <v>43</v>
      </c>
      <c r="Q1531" t="s">
        <v>28</v>
      </c>
      <c r="R1531" t="s">
        <v>65</v>
      </c>
      <c r="S1531">
        <v>2024.41</v>
      </c>
      <c r="T1531">
        <v>106671.67</v>
      </c>
      <c r="U1531">
        <v>94256.02</v>
      </c>
      <c r="V1531">
        <v>94256.02</v>
      </c>
      <c r="AA1531" s="29" t="s">
        <v>43</v>
      </c>
      <c r="AB1531">
        <v>31200</v>
      </c>
      <c r="AC1531">
        <v>130</v>
      </c>
      <c r="AD1531">
        <v>3</v>
      </c>
      <c r="AE1531">
        <v>535.04</v>
      </c>
      <c r="AF1531">
        <v>535.04</v>
      </c>
      <c r="AG1531" s="29" t="s">
        <v>2270</v>
      </c>
      <c r="AH1531" s="29" t="s">
        <v>2374</v>
      </c>
      <c r="AI1531" s="29" t="s">
        <v>2375</v>
      </c>
      <c r="AJ1531" s="29"/>
      <c r="AL1531" s="29" t="s">
        <v>2271</v>
      </c>
    </row>
    <row r="1532" spans="15:38">
      <c r="O1532" t="s">
        <v>24</v>
      </c>
      <c r="P1532" t="s">
        <v>43</v>
      </c>
      <c r="Q1532" t="s">
        <v>28</v>
      </c>
      <c r="R1532" t="s">
        <v>65</v>
      </c>
      <c r="S1532">
        <v>2024.43</v>
      </c>
      <c r="T1532">
        <v>107038.32</v>
      </c>
      <c r="U1532">
        <v>94256.02</v>
      </c>
      <c r="V1532">
        <v>94256.02</v>
      </c>
      <c r="AA1532" s="29" t="s">
        <v>43</v>
      </c>
      <c r="AB1532">
        <v>31200</v>
      </c>
      <c r="AC1532">
        <v>130</v>
      </c>
      <c r="AD1532">
        <v>3</v>
      </c>
      <c r="AE1532">
        <v>571.74</v>
      </c>
      <c r="AF1532">
        <v>571.74</v>
      </c>
      <c r="AG1532" s="29" t="s">
        <v>2270</v>
      </c>
      <c r="AH1532" s="29" t="s">
        <v>2376</v>
      </c>
      <c r="AI1532" s="29" t="s">
        <v>2377</v>
      </c>
      <c r="AJ1532" s="29"/>
      <c r="AL1532" s="29" t="s">
        <v>2271</v>
      </c>
    </row>
    <row r="1533" spans="15:38">
      <c r="O1533" t="s">
        <v>24</v>
      </c>
      <c r="P1533" t="s">
        <v>43</v>
      </c>
      <c r="Q1533" t="s">
        <v>28</v>
      </c>
      <c r="R1533" t="s">
        <v>65</v>
      </c>
      <c r="S1533">
        <v>2024.44</v>
      </c>
      <c r="T1533">
        <v>107056.17</v>
      </c>
      <c r="U1533">
        <v>110165.53</v>
      </c>
      <c r="V1533">
        <v>110165.53</v>
      </c>
      <c r="AA1533" s="29" t="s">
        <v>43</v>
      </c>
      <c r="AB1533">
        <v>31200</v>
      </c>
      <c r="AC1533">
        <v>130</v>
      </c>
      <c r="AD1533">
        <v>3</v>
      </c>
      <c r="AE1533">
        <v>1334.06</v>
      </c>
      <c r="AF1533">
        <v>1334.06</v>
      </c>
      <c r="AG1533" s="29" t="s">
        <v>2270</v>
      </c>
      <c r="AH1533" s="29" t="s">
        <v>2378</v>
      </c>
      <c r="AI1533" s="29" t="s">
        <v>2379</v>
      </c>
      <c r="AJ1533" s="29"/>
      <c r="AL1533" s="29" t="s">
        <v>2271</v>
      </c>
    </row>
    <row r="1534" spans="15:38">
      <c r="O1534" t="s">
        <v>24</v>
      </c>
      <c r="P1534" t="s">
        <v>43</v>
      </c>
      <c r="Q1534" t="s">
        <v>28</v>
      </c>
      <c r="R1534" t="s">
        <v>65</v>
      </c>
      <c r="S1534">
        <v>2024.45</v>
      </c>
      <c r="T1534">
        <v>107146.35</v>
      </c>
      <c r="U1534">
        <v>110165.53</v>
      </c>
      <c r="V1534">
        <v>110165.53</v>
      </c>
      <c r="AA1534" s="29" t="s">
        <v>43</v>
      </c>
      <c r="AB1534">
        <v>31200</v>
      </c>
      <c r="AC1534">
        <v>130</v>
      </c>
      <c r="AD1534">
        <v>3</v>
      </c>
      <c r="AE1534">
        <v>876.67</v>
      </c>
      <c r="AF1534">
        <v>876.67</v>
      </c>
      <c r="AG1534" s="29" t="s">
        <v>2270</v>
      </c>
      <c r="AH1534" s="29" t="s">
        <v>2380</v>
      </c>
      <c r="AI1534" s="29" t="s">
        <v>2381</v>
      </c>
      <c r="AJ1534" s="29"/>
      <c r="AL1534" s="29" t="s">
        <v>2271</v>
      </c>
    </row>
    <row r="1535" spans="15:38">
      <c r="O1535" t="s">
        <v>24</v>
      </c>
      <c r="P1535" t="s">
        <v>43</v>
      </c>
      <c r="Q1535" t="s">
        <v>28</v>
      </c>
      <c r="R1535" t="s">
        <v>65</v>
      </c>
      <c r="S1535">
        <v>2024.47</v>
      </c>
      <c r="T1535">
        <v>107690.37</v>
      </c>
      <c r="U1535">
        <v>110165.53</v>
      </c>
      <c r="V1535">
        <v>110165.53</v>
      </c>
      <c r="AA1535" s="29" t="s">
        <v>43</v>
      </c>
      <c r="AB1535">
        <v>31200</v>
      </c>
      <c r="AC1535">
        <v>130</v>
      </c>
      <c r="AD1535">
        <v>3</v>
      </c>
      <c r="AE1535">
        <v>1029.1300000000001</v>
      </c>
      <c r="AF1535">
        <v>1029.1300000000001</v>
      </c>
      <c r="AG1535" s="29" t="s">
        <v>2270</v>
      </c>
      <c r="AH1535" s="29" t="s">
        <v>2382</v>
      </c>
      <c r="AI1535" s="29" t="s">
        <v>2383</v>
      </c>
      <c r="AJ1535" s="29"/>
      <c r="AL1535" s="29" t="s">
        <v>2271</v>
      </c>
    </row>
    <row r="1536" spans="15:38">
      <c r="O1536" t="s">
        <v>24</v>
      </c>
      <c r="P1536" t="s">
        <v>43</v>
      </c>
      <c r="Q1536" t="s">
        <v>28</v>
      </c>
      <c r="R1536" t="s">
        <v>65</v>
      </c>
      <c r="S1536">
        <v>2024.48</v>
      </c>
      <c r="T1536">
        <v>107704.51</v>
      </c>
      <c r="U1536">
        <v>110165.53</v>
      </c>
      <c r="V1536">
        <v>110165.53</v>
      </c>
      <c r="AA1536" s="29" t="s">
        <v>43</v>
      </c>
      <c r="AB1536">
        <v>31200</v>
      </c>
      <c r="AC1536">
        <v>130</v>
      </c>
      <c r="AD1536">
        <v>3</v>
      </c>
      <c r="AE1536">
        <v>14551.29</v>
      </c>
      <c r="AF1536">
        <v>14551.29</v>
      </c>
      <c r="AG1536" s="29" t="s">
        <v>2270</v>
      </c>
      <c r="AH1536" s="29" t="s">
        <v>2384</v>
      </c>
      <c r="AI1536" s="29" t="s">
        <v>2385</v>
      </c>
      <c r="AJ1536" s="29"/>
      <c r="AL1536" s="29" t="s">
        <v>2271</v>
      </c>
    </row>
    <row r="1537" spans="15:38">
      <c r="O1537" t="s">
        <v>24</v>
      </c>
      <c r="P1537" t="s">
        <v>43</v>
      </c>
      <c r="Q1537" t="s">
        <v>28</v>
      </c>
      <c r="R1537" t="s">
        <v>65</v>
      </c>
      <c r="S1537">
        <v>2024.49</v>
      </c>
      <c r="T1537">
        <v>107708.78</v>
      </c>
      <c r="U1537">
        <v>110165.53</v>
      </c>
      <c r="V1537">
        <v>110165.53</v>
      </c>
      <c r="AA1537" s="29" t="s">
        <v>43</v>
      </c>
      <c r="AB1537">
        <v>31200</v>
      </c>
      <c r="AC1537">
        <v>130</v>
      </c>
      <c r="AD1537">
        <v>3</v>
      </c>
      <c r="AE1537">
        <v>33953.01</v>
      </c>
      <c r="AF1537">
        <v>33953.01</v>
      </c>
      <c r="AG1537" s="29" t="s">
        <v>2270</v>
      </c>
      <c r="AH1537" s="29" t="s">
        <v>2386</v>
      </c>
      <c r="AI1537" s="29" t="s">
        <v>2387</v>
      </c>
      <c r="AJ1537" s="29"/>
      <c r="AL1537" s="29" t="s">
        <v>2271</v>
      </c>
    </row>
    <row r="1538" spans="15:38">
      <c r="O1538" t="s">
        <v>24</v>
      </c>
      <c r="P1538" t="s">
        <v>43</v>
      </c>
      <c r="Q1538" t="s">
        <v>28</v>
      </c>
      <c r="R1538" t="s">
        <v>65</v>
      </c>
      <c r="S1538">
        <v>2025.03</v>
      </c>
      <c r="T1538">
        <v>110264.88</v>
      </c>
      <c r="U1538">
        <v>110165.53</v>
      </c>
      <c r="V1538">
        <v>110264.88</v>
      </c>
      <c r="AA1538" s="29" t="s">
        <v>43</v>
      </c>
      <c r="AB1538">
        <v>31200</v>
      </c>
      <c r="AC1538">
        <v>130</v>
      </c>
      <c r="AD1538">
        <v>3</v>
      </c>
      <c r="AE1538">
        <v>22311.98</v>
      </c>
      <c r="AF1538">
        <v>22311.98</v>
      </c>
      <c r="AG1538" s="29" t="s">
        <v>2270</v>
      </c>
      <c r="AH1538" s="29" t="s">
        <v>2388</v>
      </c>
      <c r="AI1538" s="29" t="s">
        <v>2389</v>
      </c>
      <c r="AJ1538" s="29"/>
      <c r="AL1538" s="29" t="s">
        <v>2271</v>
      </c>
    </row>
    <row r="1539" spans="15:38">
      <c r="O1539" t="s">
        <v>24</v>
      </c>
      <c r="P1539" t="s">
        <v>43</v>
      </c>
      <c r="Q1539" t="s">
        <v>28</v>
      </c>
      <c r="R1539" t="s">
        <v>65</v>
      </c>
      <c r="S1539">
        <v>2025.08</v>
      </c>
      <c r="T1539">
        <v>110131.74</v>
      </c>
      <c r="U1539">
        <v>110165.53</v>
      </c>
      <c r="V1539">
        <v>110264.88</v>
      </c>
      <c r="AA1539" s="29" t="s">
        <v>43</v>
      </c>
      <c r="AB1539">
        <v>31200</v>
      </c>
      <c r="AC1539">
        <v>130</v>
      </c>
      <c r="AD1539">
        <v>3</v>
      </c>
      <c r="AE1539">
        <v>26192.32</v>
      </c>
      <c r="AF1539">
        <v>26192.32</v>
      </c>
      <c r="AG1539" s="29" t="s">
        <v>2270</v>
      </c>
      <c r="AH1539" s="29" t="s">
        <v>2390</v>
      </c>
      <c r="AI1539" s="29" t="s">
        <v>2391</v>
      </c>
      <c r="AJ1539" s="29"/>
      <c r="AL1539" s="29" t="s">
        <v>2271</v>
      </c>
    </row>
    <row r="1540" spans="15:38">
      <c r="O1540" t="s">
        <v>24</v>
      </c>
      <c r="P1540" t="s">
        <v>43</v>
      </c>
      <c r="Q1540" t="s">
        <v>28</v>
      </c>
      <c r="R1540" t="s">
        <v>65</v>
      </c>
      <c r="S1540">
        <v>2025.1</v>
      </c>
      <c r="T1540">
        <v>110134.24</v>
      </c>
      <c r="U1540">
        <v>110165.53</v>
      </c>
      <c r="V1540">
        <v>110264.88</v>
      </c>
      <c r="AA1540" s="29" t="s">
        <v>43</v>
      </c>
      <c r="AB1540">
        <v>31200</v>
      </c>
      <c r="AC1540">
        <v>130</v>
      </c>
      <c r="AD1540">
        <v>3</v>
      </c>
      <c r="AE1540">
        <v>0</v>
      </c>
      <c r="AF1540">
        <v>0</v>
      </c>
      <c r="AG1540" s="29" t="s">
        <v>2270</v>
      </c>
      <c r="AH1540" s="29" t="s">
        <v>2274</v>
      </c>
      <c r="AI1540" s="29" t="s">
        <v>2392</v>
      </c>
      <c r="AJ1540" s="29"/>
      <c r="AL1540" s="29" t="s">
        <v>2271</v>
      </c>
    </row>
    <row r="1541" spans="15:38">
      <c r="O1541" t="s">
        <v>24</v>
      </c>
      <c r="P1541" t="s">
        <v>43</v>
      </c>
      <c r="Q1541" t="s">
        <v>28</v>
      </c>
      <c r="R1541" t="s">
        <v>65</v>
      </c>
      <c r="S1541">
        <v>2025.11</v>
      </c>
      <c r="T1541">
        <v>110451.84</v>
      </c>
      <c r="U1541">
        <v>110165.53</v>
      </c>
      <c r="V1541">
        <v>110264.88</v>
      </c>
      <c r="AA1541" s="29" t="s">
        <v>43</v>
      </c>
      <c r="AB1541">
        <v>31200</v>
      </c>
      <c r="AC1541">
        <v>130</v>
      </c>
      <c r="AD1541">
        <v>3</v>
      </c>
      <c r="AE1541">
        <v>2700</v>
      </c>
      <c r="AF1541">
        <v>2700</v>
      </c>
      <c r="AG1541" s="29" t="s">
        <v>2270</v>
      </c>
      <c r="AH1541" s="29" t="s">
        <v>2393</v>
      </c>
      <c r="AI1541" s="29" t="s">
        <v>2394</v>
      </c>
      <c r="AJ1541" s="29"/>
      <c r="AL1541" s="29" t="s">
        <v>2271</v>
      </c>
    </row>
    <row r="1542" spans="15:38">
      <c r="O1542" t="s">
        <v>24</v>
      </c>
      <c r="P1542" t="s">
        <v>43</v>
      </c>
      <c r="Q1542" t="s">
        <v>28</v>
      </c>
      <c r="R1542" t="s">
        <v>65</v>
      </c>
      <c r="S1542">
        <v>2025.12</v>
      </c>
      <c r="T1542">
        <v>110462.9</v>
      </c>
      <c r="U1542">
        <v>110165.53</v>
      </c>
      <c r="V1542">
        <v>110264.88</v>
      </c>
      <c r="AA1542" s="29" t="s">
        <v>43</v>
      </c>
      <c r="AB1542">
        <v>31200</v>
      </c>
      <c r="AC1542">
        <v>130</v>
      </c>
      <c r="AD1542">
        <v>3</v>
      </c>
      <c r="AE1542">
        <v>5</v>
      </c>
      <c r="AF1542">
        <v>5</v>
      </c>
      <c r="AG1542" s="29" t="s">
        <v>2270</v>
      </c>
      <c r="AH1542" s="29" t="s">
        <v>2348</v>
      </c>
      <c r="AI1542" s="29" t="s">
        <v>2354</v>
      </c>
      <c r="AJ1542" s="29"/>
      <c r="AL1542" s="29" t="s">
        <v>2271</v>
      </c>
    </row>
    <row r="1543" spans="15:38">
      <c r="O1543" t="s">
        <v>24</v>
      </c>
      <c r="P1543" t="s">
        <v>43</v>
      </c>
      <c r="Q1543" t="s">
        <v>28</v>
      </c>
      <c r="R1543" t="s">
        <v>57</v>
      </c>
      <c r="S1543">
        <v>2023.47</v>
      </c>
      <c r="T1543">
        <v>0</v>
      </c>
      <c r="U1543">
        <v>95150.52</v>
      </c>
      <c r="V1543">
        <v>95150.52</v>
      </c>
      <c r="AA1543" s="29" t="s">
        <v>43</v>
      </c>
      <c r="AB1543">
        <v>31200</v>
      </c>
      <c r="AC1543">
        <v>130</v>
      </c>
      <c r="AD1543">
        <v>3</v>
      </c>
      <c r="AE1543">
        <v>6.78</v>
      </c>
      <c r="AF1543">
        <v>6.78</v>
      </c>
      <c r="AG1543" s="29" t="s">
        <v>2270</v>
      </c>
      <c r="AH1543" s="29" t="s">
        <v>2395</v>
      </c>
      <c r="AI1543" s="29" t="s">
        <v>2396</v>
      </c>
      <c r="AJ1543" s="29"/>
      <c r="AL1543" s="29" t="s">
        <v>2271</v>
      </c>
    </row>
    <row r="1544" spans="15:38">
      <c r="O1544" t="s">
        <v>24</v>
      </c>
      <c r="P1544" t="s">
        <v>43</v>
      </c>
      <c r="Q1544" t="s">
        <v>28</v>
      </c>
      <c r="R1544" t="s">
        <v>57</v>
      </c>
      <c r="S1544">
        <v>2023.51</v>
      </c>
      <c r="T1544">
        <v>148142.57999999999</v>
      </c>
      <c r="U1544">
        <v>95150.52</v>
      </c>
      <c r="V1544">
        <v>95150.52</v>
      </c>
      <c r="AA1544" s="29" t="s">
        <v>43</v>
      </c>
      <c r="AB1544">
        <v>31200</v>
      </c>
      <c r="AC1544">
        <v>130</v>
      </c>
      <c r="AD1544">
        <v>3</v>
      </c>
      <c r="AE1544">
        <v>21</v>
      </c>
      <c r="AF1544">
        <v>21</v>
      </c>
      <c r="AG1544" s="29" t="s">
        <v>2270</v>
      </c>
      <c r="AH1544" s="29" t="s">
        <v>2397</v>
      </c>
      <c r="AI1544" s="29" t="s">
        <v>2398</v>
      </c>
      <c r="AJ1544" s="29"/>
      <c r="AL1544" s="29" t="s">
        <v>2271</v>
      </c>
    </row>
    <row r="1545" spans="15:38">
      <c r="O1545" t="s">
        <v>24</v>
      </c>
      <c r="P1545" t="s">
        <v>43</v>
      </c>
      <c r="Q1545" t="s">
        <v>28</v>
      </c>
      <c r="R1545" t="s">
        <v>57</v>
      </c>
      <c r="S1545">
        <v>2024.05</v>
      </c>
      <c r="T1545">
        <v>83900.82</v>
      </c>
      <c r="U1545">
        <v>95150.52</v>
      </c>
      <c r="V1545">
        <v>95150.52</v>
      </c>
      <c r="AA1545" s="29" t="s">
        <v>43</v>
      </c>
      <c r="AB1545">
        <v>31200</v>
      </c>
      <c r="AC1545">
        <v>130</v>
      </c>
      <c r="AD1545">
        <v>3</v>
      </c>
      <c r="AE1545">
        <v>5.08</v>
      </c>
      <c r="AF1545">
        <v>5.08</v>
      </c>
      <c r="AG1545" s="29" t="s">
        <v>2270</v>
      </c>
      <c r="AH1545" s="29" t="s">
        <v>2399</v>
      </c>
      <c r="AI1545" s="29" t="s">
        <v>2400</v>
      </c>
      <c r="AJ1545" s="29"/>
      <c r="AL1545" s="29" t="s">
        <v>2271</v>
      </c>
    </row>
    <row r="1546" spans="15:38">
      <c r="O1546" t="s">
        <v>24</v>
      </c>
      <c r="P1546" t="s">
        <v>43</v>
      </c>
      <c r="Q1546" t="s">
        <v>28</v>
      </c>
      <c r="R1546" t="s">
        <v>57</v>
      </c>
      <c r="S1546">
        <v>2024.06</v>
      </c>
      <c r="T1546">
        <v>85766.86</v>
      </c>
      <c r="U1546">
        <v>95150.52</v>
      </c>
      <c r="V1546">
        <v>95150.52</v>
      </c>
      <c r="AA1546" s="29" t="s">
        <v>43</v>
      </c>
      <c r="AB1546">
        <v>31200</v>
      </c>
      <c r="AC1546">
        <v>130</v>
      </c>
      <c r="AD1546">
        <v>3</v>
      </c>
      <c r="AE1546">
        <v>0.77</v>
      </c>
      <c r="AF1546">
        <v>0.77</v>
      </c>
      <c r="AG1546" s="29" t="s">
        <v>2270</v>
      </c>
      <c r="AH1546" s="29" t="s">
        <v>2401</v>
      </c>
      <c r="AI1546" s="29" t="s">
        <v>2402</v>
      </c>
      <c r="AJ1546" s="29"/>
      <c r="AL1546" s="29" t="s">
        <v>2271</v>
      </c>
    </row>
    <row r="1547" spans="15:38">
      <c r="O1547" t="s">
        <v>24</v>
      </c>
      <c r="P1547" t="s">
        <v>43</v>
      </c>
      <c r="Q1547" t="s">
        <v>28</v>
      </c>
      <c r="R1547" t="s">
        <v>57</v>
      </c>
      <c r="S1547">
        <v>2024.07</v>
      </c>
      <c r="T1547">
        <v>91611.04</v>
      </c>
      <c r="U1547">
        <v>95150.52</v>
      </c>
      <c r="V1547">
        <v>95150.52</v>
      </c>
      <c r="AA1547" s="29" t="s">
        <v>43</v>
      </c>
      <c r="AB1547">
        <v>31200</v>
      </c>
      <c r="AC1547">
        <v>130</v>
      </c>
      <c r="AD1547">
        <v>3</v>
      </c>
      <c r="AE1547">
        <v>0.33</v>
      </c>
      <c r="AF1547">
        <v>0.33</v>
      </c>
      <c r="AG1547" s="29" t="s">
        <v>2270</v>
      </c>
      <c r="AH1547" s="29" t="s">
        <v>2403</v>
      </c>
      <c r="AI1547" s="29" t="s">
        <v>2404</v>
      </c>
      <c r="AJ1547" s="29"/>
      <c r="AL1547" s="29" t="s">
        <v>2271</v>
      </c>
    </row>
    <row r="1548" spans="15:38">
      <c r="O1548" t="s">
        <v>24</v>
      </c>
      <c r="P1548" t="s">
        <v>43</v>
      </c>
      <c r="Q1548" t="s">
        <v>28</v>
      </c>
      <c r="R1548" t="s">
        <v>57</v>
      </c>
      <c r="S1548">
        <v>2024.08</v>
      </c>
      <c r="T1548">
        <v>91826.6</v>
      </c>
      <c r="U1548">
        <v>95150.52</v>
      </c>
      <c r="V1548">
        <v>95150.52</v>
      </c>
      <c r="AA1548" s="29" t="s">
        <v>43</v>
      </c>
      <c r="AB1548">
        <v>31200</v>
      </c>
      <c r="AC1548">
        <v>130</v>
      </c>
      <c r="AD1548">
        <v>3</v>
      </c>
      <c r="AE1548">
        <v>2542</v>
      </c>
      <c r="AF1548">
        <v>2542</v>
      </c>
      <c r="AG1548" s="29" t="s">
        <v>2270</v>
      </c>
      <c r="AH1548" s="29" t="s">
        <v>2405</v>
      </c>
      <c r="AI1548" s="29" t="s">
        <v>2406</v>
      </c>
      <c r="AJ1548" s="29"/>
      <c r="AL1548" s="29" t="s">
        <v>2271</v>
      </c>
    </row>
    <row r="1549" spans="15:38">
      <c r="O1549" t="s">
        <v>24</v>
      </c>
      <c r="P1549" t="s">
        <v>43</v>
      </c>
      <c r="Q1549" t="s">
        <v>28</v>
      </c>
      <c r="R1549" t="s">
        <v>57</v>
      </c>
      <c r="S1549">
        <v>2024.09</v>
      </c>
      <c r="T1549">
        <v>148142.57999999999</v>
      </c>
      <c r="U1549">
        <v>95150.52</v>
      </c>
      <c r="V1549">
        <v>95150.52</v>
      </c>
      <c r="AA1549" s="29" t="s">
        <v>43</v>
      </c>
      <c r="AB1549">
        <v>31200</v>
      </c>
      <c r="AC1549">
        <v>130</v>
      </c>
      <c r="AD1549">
        <v>3</v>
      </c>
      <c r="AE1549">
        <v>1944</v>
      </c>
      <c r="AF1549">
        <v>1944</v>
      </c>
      <c r="AG1549" s="29" t="s">
        <v>2270</v>
      </c>
      <c r="AH1549" s="29" t="s">
        <v>2407</v>
      </c>
      <c r="AI1549" s="29" t="s">
        <v>2408</v>
      </c>
      <c r="AJ1549" s="29"/>
      <c r="AL1549" s="29" t="s">
        <v>2271</v>
      </c>
    </row>
    <row r="1550" spans="15:38">
      <c r="O1550" t="s">
        <v>24</v>
      </c>
      <c r="P1550" t="s">
        <v>43</v>
      </c>
      <c r="Q1550" t="s">
        <v>28</v>
      </c>
      <c r="R1550" t="s">
        <v>57</v>
      </c>
      <c r="S1550">
        <v>2024.1</v>
      </c>
      <c r="T1550">
        <v>91826.6</v>
      </c>
      <c r="U1550">
        <v>95150.52</v>
      </c>
      <c r="V1550">
        <v>95150.52</v>
      </c>
      <c r="AA1550" s="29" t="s">
        <v>43</v>
      </c>
      <c r="AB1550">
        <v>31200</v>
      </c>
      <c r="AC1550">
        <v>130</v>
      </c>
      <c r="AD1550">
        <v>3</v>
      </c>
      <c r="AE1550">
        <v>0</v>
      </c>
      <c r="AF1550">
        <v>0</v>
      </c>
      <c r="AG1550" s="29" t="s">
        <v>2270</v>
      </c>
      <c r="AH1550" s="29" t="s">
        <v>2274</v>
      </c>
      <c r="AI1550" s="29" t="s">
        <v>2409</v>
      </c>
      <c r="AJ1550" s="29"/>
      <c r="AL1550" s="29" t="s">
        <v>2271</v>
      </c>
    </row>
    <row r="1551" spans="15:38">
      <c r="O1551" t="s">
        <v>24</v>
      </c>
      <c r="P1551" t="s">
        <v>43</v>
      </c>
      <c r="Q1551" t="s">
        <v>28</v>
      </c>
      <c r="R1551" t="s">
        <v>57</v>
      </c>
      <c r="S1551">
        <v>2024.11</v>
      </c>
      <c r="T1551">
        <v>91826.6</v>
      </c>
      <c r="U1551">
        <v>95150.52</v>
      </c>
      <c r="V1551">
        <v>95150.52</v>
      </c>
      <c r="AA1551" s="29" t="s">
        <v>43</v>
      </c>
      <c r="AB1551">
        <v>31200</v>
      </c>
      <c r="AC1551">
        <v>130</v>
      </c>
      <c r="AD1551">
        <v>3</v>
      </c>
      <c r="AE1551">
        <v>9.73</v>
      </c>
      <c r="AF1551">
        <v>9.73</v>
      </c>
      <c r="AG1551" s="29" t="s">
        <v>2270</v>
      </c>
      <c r="AH1551" s="29" t="s">
        <v>2410</v>
      </c>
      <c r="AI1551" s="29" t="s">
        <v>2411</v>
      </c>
      <c r="AJ1551" s="29"/>
      <c r="AL1551" s="29" t="s">
        <v>2271</v>
      </c>
    </row>
    <row r="1552" spans="15:38">
      <c r="O1552" t="s">
        <v>24</v>
      </c>
      <c r="P1552" t="s">
        <v>43</v>
      </c>
      <c r="Q1552" t="s">
        <v>28</v>
      </c>
      <c r="R1552" t="s">
        <v>57</v>
      </c>
      <c r="S1552">
        <v>2024.12</v>
      </c>
      <c r="T1552">
        <v>91826.6</v>
      </c>
      <c r="U1552">
        <v>95150.52</v>
      </c>
      <c r="V1552">
        <v>95150.52</v>
      </c>
      <c r="AA1552" s="29" t="s">
        <v>43</v>
      </c>
      <c r="AB1552">
        <v>31200</v>
      </c>
      <c r="AC1552">
        <v>130</v>
      </c>
      <c r="AD1552">
        <v>3</v>
      </c>
      <c r="AE1552">
        <v>1.32</v>
      </c>
      <c r="AF1552">
        <v>1.32</v>
      </c>
      <c r="AG1552" s="29" t="s">
        <v>2270</v>
      </c>
      <c r="AH1552" s="29" t="s">
        <v>2412</v>
      </c>
      <c r="AI1552" s="29" t="s">
        <v>2413</v>
      </c>
      <c r="AJ1552" s="29"/>
      <c r="AL1552" s="29" t="s">
        <v>2271</v>
      </c>
    </row>
    <row r="1553" spans="15:38">
      <c r="O1553" t="s">
        <v>24</v>
      </c>
      <c r="P1553" t="s">
        <v>43</v>
      </c>
      <c r="Q1553" t="s">
        <v>28</v>
      </c>
      <c r="R1553" t="s">
        <v>57</v>
      </c>
      <c r="S1553">
        <v>2024.14</v>
      </c>
      <c r="T1553">
        <v>91826.6</v>
      </c>
      <c r="U1553">
        <v>95150.52</v>
      </c>
      <c r="V1553">
        <v>95150.52</v>
      </c>
      <c r="AA1553" s="29" t="s">
        <v>43</v>
      </c>
      <c r="AB1553">
        <v>31200</v>
      </c>
      <c r="AC1553">
        <v>130</v>
      </c>
      <c r="AD1553">
        <v>3</v>
      </c>
      <c r="AE1553">
        <v>0.35</v>
      </c>
      <c r="AF1553">
        <v>0.35</v>
      </c>
      <c r="AG1553" s="29" t="s">
        <v>2270</v>
      </c>
      <c r="AH1553" s="29" t="s">
        <v>2414</v>
      </c>
      <c r="AI1553" s="29" t="s">
        <v>752</v>
      </c>
      <c r="AJ1553" s="29"/>
      <c r="AL1553" s="29" t="s">
        <v>2271</v>
      </c>
    </row>
    <row r="1554" spans="15:38">
      <c r="O1554" t="s">
        <v>24</v>
      </c>
      <c r="P1554" t="s">
        <v>43</v>
      </c>
      <c r="Q1554" t="s">
        <v>28</v>
      </c>
      <c r="R1554" t="s">
        <v>57</v>
      </c>
      <c r="S1554">
        <v>2024.17</v>
      </c>
      <c r="T1554">
        <v>91826.6</v>
      </c>
      <c r="U1554">
        <v>95150.52</v>
      </c>
      <c r="V1554">
        <v>95150.52</v>
      </c>
      <c r="AA1554" s="29" t="s">
        <v>43</v>
      </c>
      <c r="AB1554">
        <v>31200</v>
      </c>
      <c r="AC1554">
        <v>130</v>
      </c>
      <c r="AD1554">
        <v>3</v>
      </c>
      <c r="AE1554">
        <v>4</v>
      </c>
      <c r="AF1554">
        <v>4</v>
      </c>
      <c r="AG1554" s="29" t="s">
        <v>2270</v>
      </c>
      <c r="AH1554" s="29" t="s">
        <v>2415</v>
      </c>
      <c r="AI1554" s="29" t="s">
        <v>2416</v>
      </c>
      <c r="AJ1554" s="29"/>
      <c r="AL1554" s="29" t="s">
        <v>2271</v>
      </c>
    </row>
    <row r="1555" spans="15:38">
      <c r="O1555" t="s">
        <v>24</v>
      </c>
      <c r="P1555" t="s">
        <v>43</v>
      </c>
      <c r="Q1555" t="s">
        <v>28</v>
      </c>
      <c r="R1555" t="s">
        <v>57</v>
      </c>
      <c r="S1555">
        <v>2024.18</v>
      </c>
      <c r="T1555">
        <v>92702.5</v>
      </c>
      <c r="U1555">
        <v>95150.52</v>
      </c>
      <c r="V1555">
        <v>95150.52</v>
      </c>
      <c r="AA1555" s="29" t="s">
        <v>43</v>
      </c>
      <c r="AB1555">
        <v>31200</v>
      </c>
      <c r="AC1555">
        <v>130</v>
      </c>
      <c r="AD1555">
        <v>3</v>
      </c>
      <c r="AE1555">
        <v>9.6</v>
      </c>
      <c r="AF1555">
        <v>9.6</v>
      </c>
      <c r="AG1555" s="29" t="s">
        <v>2270</v>
      </c>
      <c r="AH1555" s="29" t="s">
        <v>2417</v>
      </c>
      <c r="AI1555" s="29" t="s">
        <v>2418</v>
      </c>
      <c r="AJ1555" s="29"/>
      <c r="AL1555" s="29" t="s">
        <v>2271</v>
      </c>
    </row>
    <row r="1556" spans="15:38">
      <c r="O1556" t="s">
        <v>24</v>
      </c>
      <c r="P1556" t="s">
        <v>43</v>
      </c>
      <c r="Q1556" t="s">
        <v>28</v>
      </c>
      <c r="R1556" t="s">
        <v>57</v>
      </c>
      <c r="S1556">
        <v>2024.19</v>
      </c>
      <c r="T1556">
        <v>92702.5</v>
      </c>
      <c r="U1556">
        <v>95150.52</v>
      </c>
      <c r="V1556">
        <v>95150.52</v>
      </c>
      <c r="AA1556" s="29" t="s">
        <v>43</v>
      </c>
      <c r="AB1556">
        <v>31200</v>
      </c>
      <c r="AC1556">
        <v>130</v>
      </c>
      <c r="AD1556">
        <v>3</v>
      </c>
      <c r="AE1556">
        <v>10.23</v>
      </c>
      <c r="AF1556">
        <v>10.23</v>
      </c>
      <c r="AG1556" s="29" t="s">
        <v>2270</v>
      </c>
      <c r="AH1556" s="29" t="s">
        <v>2419</v>
      </c>
      <c r="AI1556" s="29" t="s">
        <v>2420</v>
      </c>
      <c r="AJ1556" s="29"/>
      <c r="AL1556" s="29" t="s">
        <v>2271</v>
      </c>
    </row>
    <row r="1557" spans="15:38">
      <c r="O1557" t="s">
        <v>24</v>
      </c>
      <c r="P1557" t="s">
        <v>43</v>
      </c>
      <c r="Q1557" t="s">
        <v>28</v>
      </c>
      <c r="R1557" t="s">
        <v>57</v>
      </c>
      <c r="S1557">
        <v>2024.2</v>
      </c>
      <c r="T1557">
        <v>92851.75</v>
      </c>
      <c r="U1557">
        <v>95150.52</v>
      </c>
      <c r="V1557">
        <v>95150.52</v>
      </c>
      <c r="AA1557" s="29" t="s">
        <v>43</v>
      </c>
      <c r="AB1557">
        <v>31200</v>
      </c>
      <c r="AC1557">
        <v>130</v>
      </c>
      <c r="AD1557">
        <v>3</v>
      </c>
      <c r="AE1557">
        <v>36.72</v>
      </c>
      <c r="AF1557">
        <v>36.72</v>
      </c>
      <c r="AG1557" s="29" t="s">
        <v>2270</v>
      </c>
      <c r="AH1557" s="29" t="s">
        <v>2421</v>
      </c>
      <c r="AI1557" s="29" t="s">
        <v>2422</v>
      </c>
      <c r="AJ1557" s="29"/>
      <c r="AL1557" s="29" t="s">
        <v>2271</v>
      </c>
    </row>
    <row r="1558" spans="15:38">
      <c r="O1558" t="s">
        <v>24</v>
      </c>
      <c r="P1558" t="s">
        <v>43</v>
      </c>
      <c r="Q1558" t="s">
        <v>28</v>
      </c>
      <c r="R1558" t="s">
        <v>57</v>
      </c>
      <c r="S1558">
        <v>2024.21</v>
      </c>
      <c r="T1558">
        <v>92851.75</v>
      </c>
      <c r="U1558">
        <v>95150.52</v>
      </c>
      <c r="V1558">
        <v>95150.52</v>
      </c>
      <c r="AA1558" s="29" t="s">
        <v>43</v>
      </c>
      <c r="AB1558">
        <v>31200</v>
      </c>
      <c r="AC1558">
        <v>130</v>
      </c>
      <c r="AD1558">
        <v>3</v>
      </c>
      <c r="AE1558">
        <v>0</v>
      </c>
      <c r="AF1558">
        <v>0</v>
      </c>
      <c r="AG1558" s="29" t="s">
        <v>2270</v>
      </c>
      <c r="AH1558" s="29" t="s">
        <v>2274</v>
      </c>
      <c r="AI1558" s="29" t="s">
        <v>2423</v>
      </c>
      <c r="AJ1558" s="29"/>
      <c r="AL1558" s="29" t="s">
        <v>2271</v>
      </c>
    </row>
    <row r="1559" spans="15:38">
      <c r="O1559" t="s">
        <v>24</v>
      </c>
      <c r="P1559" t="s">
        <v>43</v>
      </c>
      <c r="Q1559" t="s">
        <v>28</v>
      </c>
      <c r="R1559" t="s">
        <v>57</v>
      </c>
      <c r="S1559">
        <v>2024.28</v>
      </c>
      <c r="T1559">
        <v>93889</v>
      </c>
      <c r="U1559">
        <v>95150.52</v>
      </c>
      <c r="V1559">
        <v>95150.52</v>
      </c>
      <c r="AA1559" s="29" t="s">
        <v>43</v>
      </c>
      <c r="AB1559">
        <v>31200</v>
      </c>
      <c r="AC1559">
        <v>130</v>
      </c>
      <c r="AD1559">
        <v>3</v>
      </c>
      <c r="AE1559">
        <v>0</v>
      </c>
      <c r="AF1559">
        <v>0</v>
      </c>
      <c r="AG1559" s="29" t="s">
        <v>2270</v>
      </c>
      <c r="AH1559" s="29" t="s">
        <v>2274</v>
      </c>
      <c r="AI1559" s="29" t="s">
        <v>2424</v>
      </c>
      <c r="AJ1559" s="29"/>
      <c r="AL1559" s="29" t="s">
        <v>2271</v>
      </c>
    </row>
    <row r="1560" spans="15:38">
      <c r="O1560" t="s">
        <v>24</v>
      </c>
      <c r="P1560" t="s">
        <v>43</v>
      </c>
      <c r="Q1560" t="s">
        <v>28</v>
      </c>
      <c r="R1560" t="s">
        <v>57</v>
      </c>
      <c r="S1560">
        <v>2024.38</v>
      </c>
      <c r="T1560">
        <v>94036.18</v>
      </c>
      <c r="U1560">
        <v>95150.52</v>
      </c>
      <c r="V1560">
        <v>95150.52</v>
      </c>
      <c r="AA1560" s="29" t="s">
        <v>43</v>
      </c>
      <c r="AB1560">
        <v>31200</v>
      </c>
      <c r="AC1560">
        <v>130</v>
      </c>
      <c r="AD1560">
        <v>3</v>
      </c>
      <c r="AE1560">
        <v>1334</v>
      </c>
      <c r="AF1560">
        <v>1334</v>
      </c>
      <c r="AG1560" s="29" t="s">
        <v>2270</v>
      </c>
      <c r="AH1560" s="29" t="s">
        <v>2425</v>
      </c>
      <c r="AI1560" s="29" t="s">
        <v>2426</v>
      </c>
      <c r="AJ1560" s="29"/>
      <c r="AL1560" s="29" t="s">
        <v>2271</v>
      </c>
    </row>
    <row r="1561" spans="15:38">
      <c r="O1561" t="s">
        <v>24</v>
      </c>
      <c r="P1561" t="s">
        <v>43</v>
      </c>
      <c r="Q1561" t="s">
        <v>28</v>
      </c>
      <c r="R1561" t="s">
        <v>57</v>
      </c>
      <c r="S1561">
        <v>2024.39</v>
      </c>
      <c r="T1561">
        <v>94036.18</v>
      </c>
      <c r="U1561">
        <v>95150.52</v>
      </c>
      <c r="V1561">
        <v>95150.52</v>
      </c>
      <c r="AA1561" s="29" t="s">
        <v>43</v>
      </c>
      <c r="AB1561">
        <v>31200</v>
      </c>
      <c r="AC1561">
        <v>130</v>
      </c>
      <c r="AD1561">
        <v>3</v>
      </c>
      <c r="AE1561">
        <v>1450</v>
      </c>
      <c r="AF1561">
        <v>1450</v>
      </c>
      <c r="AG1561" s="29" t="s">
        <v>2270</v>
      </c>
      <c r="AH1561" s="29" t="s">
        <v>2427</v>
      </c>
      <c r="AI1561" s="29" t="s">
        <v>2428</v>
      </c>
      <c r="AJ1561" s="29"/>
      <c r="AL1561" s="29" t="s">
        <v>2271</v>
      </c>
    </row>
    <row r="1562" spans="15:38">
      <c r="O1562" t="s">
        <v>24</v>
      </c>
      <c r="P1562" t="s">
        <v>43</v>
      </c>
      <c r="Q1562" t="s">
        <v>28</v>
      </c>
      <c r="R1562" t="s">
        <v>57</v>
      </c>
      <c r="S1562">
        <v>2024.41</v>
      </c>
      <c r="T1562">
        <v>94086.87</v>
      </c>
      <c r="U1562">
        <v>95150.52</v>
      </c>
      <c r="V1562">
        <v>95150.52</v>
      </c>
      <c r="AA1562" s="29" t="s">
        <v>43</v>
      </c>
      <c r="AB1562">
        <v>31200</v>
      </c>
      <c r="AC1562">
        <v>130</v>
      </c>
      <c r="AD1562">
        <v>3</v>
      </c>
      <c r="AE1562">
        <v>1.9</v>
      </c>
      <c r="AF1562">
        <v>1.9</v>
      </c>
      <c r="AG1562" s="29" t="s">
        <v>2270</v>
      </c>
      <c r="AH1562" s="29" t="s">
        <v>2429</v>
      </c>
      <c r="AI1562" s="29" t="s">
        <v>2430</v>
      </c>
      <c r="AJ1562" s="29"/>
      <c r="AL1562" s="29" t="s">
        <v>2271</v>
      </c>
    </row>
    <row r="1563" spans="15:38">
      <c r="O1563" t="s">
        <v>24</v>
      </c>
      <c r="P1563" t="s">
        <v>43</v>
      </c>
      <c r="Q1563" t="s">
        <v>28</v>
      </c>
      <c r="R1563" t="s">
        <v>57</v>
      </c>
      <c r="S1563">
        <v>2024.43</v>
      </c>
      <c r="T1563">
        <v>94369.86</v>
      </c>
      <c r="U1563">
        <v>95150.52</v>
      </c>
      <c r="V1563">
        <v>95150.52</v>
      </c>
      <c r="AA1563" s="29" t="s">
        <v>43</v>
      </c>
      <c r="AB1563">
        <v>31200</v>
      </c>
      <c r="AC1563">
        <v>130</v>
      </c>
      <c r="AD1563">
        <v>3</v>
      </c>
      <c r="AE1563">
        <v>15650.33</v>
      </c>
      <c r="AF1563">
        <v>15650.33</v>
      </c>
      <c r="AG1563" s="29" t="s">
        <v>2270</v>
      </c>
      <c r="AH1563" s="29" t="s">
        <v>2431</v>
      </c>
      <c r="AI1563" s="29" t="s">
        <v>2432</v>
      </c>
      <c r="AJ1563" s="29"/>
      <c r="AL1563" s="29" t="s">
        <v>2271</v>
      </c>
    </row>
    <row r="1564" spans="15:38">
      <c r="O1564" t="s">
        <v>24</v>
      </c>
      <c r="P1564" t="s">
        <v>43</v>
      </c>
      <c r="Q1564" t="s">
        <v>28</v>
      </c>
      <c r="R1564" t="s">
        <v>57</v>
      </c>
      <c r="S1564">
        <v>2024.44</v>
      </c>
      <c r="T1564">
        <v>94604.36</v>
      </c>
      <c r="U1564">
        <v>109931.57</v>
      </c>
      <c r="V1564">
        <v>109931.57</v>
      </c>
      <c r="AA1564" s="29" t="s">
        <v>43</v>
      </c>
      <c r="AB1564">
        <v>31200</v>
      </c>
      <c r="AC1564">
        <v>130</v>
      </c>
      <c r="AD1564">
        <v>3</v>
      </c>
      <c r="AE1564">
        <v>30908.400000000001</v>
      </c>
      <c r="AF1564">
        <v>30908.400000000001</v>
      </c>
      <c r="AG1564" s="29" t="s">
        <v>2270</v>
      </c>
      <c r="AH1564" s="29" t="s">
        <v>2433</v>
      </c>
      <c r="AI1564" s="29" t="s">
        <v>2434</v>
      </c>
      <c r="AJ1564" s="29"/>
      <c r="AL1564" s="29" t="s">
        <v>2271</v>
      </c>
    </row>
    <row r="1565" spans="15:38">
      <c r="O1565" t="s">
        <v>24</v>
      </c>
      <c r="P1565" t="s">
        <v>43</v>
      </c>
      <c r="Q1565" t="s">
        <v>28</v>
      </c>
      <c r="R1565" t="s">
        <v>57</v>
      </c>
      <c r="S1565">
        <v>2024.45</v>
      </c>
      <c r="T1565">
        <v>94820.65</v>
      </c>
      <c r="U1565">
        <v>109931.57</v>
      </c>
      <c r="V1565">
        <v>109931.57</v>
      </c>
      <c r="AA1565" s="29" t="s">
        <v>43</v>
      </c>
      <c r="AB1565">
        <v>31200</v>
      </c>
      <c r="AC1565">
        <v>130</v>
      </c>
      <c r="AD1565">
        <v>3</v>
      </c>
      <c r="AE1565">
        <v>0</v>
      </c>
      <c r="AF1565">
        <v>0</v>
      </c>
      <c r="AG1565" s="29" t="s">
        <v>2270</v>
      </c>
      <c r="AH1565" s="29" t="s">
        <v>2274</v>
      </c>
      <c r="AI1565" s="29" t="s">
        <v>2435</v>
      </c>
      <c r="AJ1565" s="29"/>
      <c r="AL1565" s="29" t="s">
        <v>2271</v>
      </c>
    </row>
    <row r="1566" spans="15:38">
      <c r="O1566" t="s">
        <v>24</v>
      </c>
      <c r="P1566" t="s">
        <v>43</v>
      </c>
      <c r="Q1566" t="s">
        <v>28</v>
      </c>
      <c r="R1566" t="s">
        <v>57</v>
      </c>
      <c r="S1566">
        <v>2024.47</v>
      </c>
      <c r="T1566">
        <v>96834.19</v>
      </c>
      <c r="U1566">
        <v>109931.57</v>
      </c>
      <c r="V1566">
        <v>109931.57</v>
      </c>
      <c r="AA1566" s="29" t="s">
        <v>43</v>
      </c>
      <c r="AB1566">
        <v>31200</v>
      </c>
      <c r="AC1566">
        <v>130</v>
      </c>
      <c r="AD1566">
        <v>3</v>
      </c>
      <c r="AE1566">
        <v>0</v>
      </c>
      <c r="AF1566">
        <v>0</v>
      </c>
      <c r="AG1566" s="29" t="s">
        <v>2270</v>
      </c>
      <c r="AH1566" s="29" t="s">
        <v>2274</v>
      </c>
      <c r="AI1566" s="29" t="s">
        <v>2436</v>
      </c>
      <c r="AJ1566" s="29"/>
      <c r="AL1566" s="29" t="s">
        <v>2271</v>
      </c>
    </row>
    <row r="1567" spans="15:38">
      <c r="O1567" t="s">
        <v>24</v>
      </c>
      <c r="P1567" t="s">
        <v>43</v>
      </c>
      <c r="Q1567" t="s">
        <v>28</v>
      </c>
      <c r="R1567" t="s">
        <v>57</v>
      </c>
      <c r="S1567">
        <v>2024.48</v>
      </c>
      <c r="T1567">
        <v>96963.8</v>
      </c>
      <c r="U1567">
        <v>109931.57</v>
      </c>
      <c r="V1567">
        <v>109931.57</v>
      </c>
      <c r="AA1567" s="29" t="s">
        <v>43</v>
      </c>
      <c r="AB1567">
        <v>31200</v>
      </c>
      <c r="AC1567">
        <v>130</v>
      </c>
      <c r="AD1567">
        <v>3</v>
      </c>
      <c r="AE1567">
        <v>0</v>
      </c>
      <c r="AF1567">
        <v>0</v>
      </c>
      <c r="AG1567" s="29" t="s">
        <v>2270</v>
      </c>
      <c r="AH1567" s="29" t="s">
        <v>2274</v>
      </c>
      <c r="AI1567" s="29" t="s">
        <v>2437</v>
      </c>
      <c r="AJ1567" s="29"/>
      <c r="AL1567" s="29" t="s">
        <v>2271</v>
      </c>
    </row>
    <row r="1568" spans="15:38">
      <c r="O1568" t="s">
        <v>24</v>
      </c>
      <c r="P1568" t="s">
        <v>43</v>
      </c>
      <c r="Q1568" t="s">
        <v>28</v>
      </c>
      <c r="R1568" t="s">
        <v>57</v>
      </c>
      <c r="S1568">
        <v>2024.49</v>
      </c>
      <c r="T1568">
        <v>97018.34</v>
      </c>
      <c r="U1568">
        <v>109931.57</v>
      </c>
      <c r="V1568">
        <v>109931.57</v>
      </c>
      <c r="AA1568" s="29" t="s">
        <v>43</v>
      </c>
      <c r="AB1568">
        <v>31200</v>
      </c>
      <c r="AC1568">
        <v>130</v>
      </c>
      <c r="AD1568">
        <v>3</v>
      </c>
      <c r="AE1568">
        <v>1.5</v>
      </c>
      <c r="AF1568">
        <v>1.5</v>
      </c>
      <c r="AG1568" s="29" t="s">
        <v>2270</v>
      </c>
      <c r="AH1568" s="29" t="s">
        <v>2438</v>
      </c>
      <c r="AI1568" s="29" t="s">
        <v>2439</v>
      </c>
      <c r="AJ1568" s="29"/>
      <c r="AL1568" s="29" t="s">
        <v>2271</v>
      </c>
    </row>
    <row r="1569" spans="15:38">
      <c r="O1569" t="s">
        <v>24</v>
      </c>
      <c r="P1569" t="s">
        <v>43</v>
      </c>
      <c r="Q1569" t="s">
        <v>28</v>
      </c>
      <c r="R1569" t="s">
        <v>57</v>
      </c>
      <c r="S1569">
        <v>2025.03</v>
      </c>
      <c r="T1569">
        <v>99323.31</v>
      </c>
      <c r="U1569">
        <v>109931.57</v>
      </c>
      <c r="V1569">
        <v>109931.57</v>
      </c>
      <c r="AA1569" s="29" t="s">
        <v>43</v>
      </c>
      <c r="AB1569">
        <v>31200</v>
      </c>
      <c r="AC1569">
        <v>130</v>
      </c>
      <c r="AD1569">
        <v>3</v>
      </c>
      <c r="AE1569">
        <v>10.5</v>
      </c>
      <c r="AF1569">
        <v>10.5</v>
      </c>
      <c r="AG1569" s="29" t="s">
        <v>2270</v>
      </c>
      <c r="AH1569" s="29" t="s">
        <v>2358</v>
      </c>
      <c r="AI1569" s="29" t="s">
        <v>2440</v>
      </c>
      <c r="AJ1569" s="29"/>
      <c r="AL1569" s="29" t="s">
        <v>2271</v>
      </c>
    </row>
    <row r="1570" spans="15:38">
      <c r="O1570" t="s">
        <v>24</v>
      </c>
      <c r="P1570" t="s">
        <v>43</v>
      </c>
      <c r="Q1570" t="s">
        <v>28</v>
      </c>
      <c r="R1570" t="s">
        <v>57</v>
      </c>
      <c r="S1570">
        <v>2025.08</v>
      </c>
      <c r="T1570">
        <v>99340</v>
      </c>
      <c r="U1570">
        <v>109931.57</v>
      </c>
      <c r="V1570">
        <v>109931.57</v>
      </c>
      <c r="AA1570" s="29" t="s">
        <v>43</v>
      </c>
      <c r="AB1570">
        <v>31200</v>
      </c>
      <c r="AC1570">
        <v>130</v>
      </c>
      <c r="AD1570">
        <v>3</v>
      </c>
      <c r="AE1570">
        <v>3.5</v>
      </c>
      <c r="AF1570">
        <v>3.5</v>
      </c>
      <c r="AG1570" s="29" t="s">
        <v>2270</v>
      </c>
      <c r="AH1570" s="29" t="s">
        <v>2441</v>
      </c>
      <c r="AI1570" s="29" t="s">
        <v>2442</v>
      </c>
      <c r="AJ1570" s="29"/>
      <c r="AL1570" s="29" t="s">
        <v>2271</v>
      </c>
    </row>
    <row r="1571" spans="15:38">
      <c r="O1571" t="s">
        <v>24</v>
      </c>
      <c r="P1571" t="s">
        <v>43</v>
      </c>
      <c r="Q1571" t="s">
        <v>28</v>
      </c>
      <c r="R1571" t="s">
        <v>57</v>
      </c>
      <c r="S1571">
        <v>2025.1</v>
      </c>
      <c r="T1571">
        <v>99608.44</v>
      </c>
      <c r="U1571">
        <v>109931.57</v>
      </c>
      <c r="V1571">
        <v>109931.57</v>
      </c>
      <c r="AA1571" s="29" t="s">
        <v>43</v>
      </c>
      <c r="AB1571">
        <v>31200</v>
      </c>
      <c r="AC1571">
        <v>130</v>
      </c>
      <c r="AD1571">
        <v>3</v>
      </c>
      <c r="AE1571">
        <v>6.4</v>
      </c>
      <c r="AF1571">
        <v>6.4</v>
      </c>
      <c r="AG1571" s="29" t="s">
        <v>2270</v>
      </c>
      <c r="AH1571" s="29" t="s">
        <v>2341</v>
      </c>
      <c r="AI1571" s="29" t="s">
        <v>2342</v>
      </c>
      <c r="AJ1571" s="29"/>
      <c r="AL1571" s="29" t="s">
        <v>2271</v>
      </c>
    </row>
    <row r="1572" spans="15:38">
      <c r="O1572" t="s">
        <v>24</v>
      </c>
      <c r="P1572" t="s">
        <v>43</v>
      </c>
      <c r="Q1572" t="s">
        <v>28</v>
      </c>
      <c r="R1572" t="s">
        <v>57</v>
      </c>
      <c r="S1572">
        <v>2025.11</v>
      </c>
      <c r="T1572">
        <v>99608.44</v>
      </c>
      <c r="U1572">
        <v>109931.57</v>
      </c>
      <c r="V1572">
        <v>109931.57</v>
      </c>
      <c r="AA1572" s="29" t="s">
        <v>43</v>
      </c>
      <c r="AB1572">
        <v>31200</v>
      </c>
      <c r="AC1572">
        <v>130</v>
      </c>
      <c r="AD1572">
        <v>3</v>
      </c>
      <c r="AE1572">
        <v>2.1</v>
      </c>
      <c r="AF1572">
        <v>2.1</v>
      </c>
      <c r="AG1572" s="29" t="s">
        <v>2270</v>
      </c>
      <c r="AH1572" s="29" t="s">
        <v>2443</v>
      </c>
      <c r="AI1572" s="29" t="s">
        <v>2444</v>
      </c>
      <c r="AJ1572" s="29"/>
      <c r="AL1572" s="29" t="s">
        <v>2271</v>
      </c>
    </row>
    <row r="1573" spans="15:38">
      <c r="O1573" t="s">
        <v>24</v>
      </c>
      <c r="P1573" t="s">
        <v>43</v>
      </c>
      <c r="Q1573" t="s">
        <v>28</v>
      </c>
      <c r="R1573" t="s">
        <v>57</v>
      </c>
      <c r="S1573">
        <v>2025.12</v>
      </c>
      <c r="T1573">
        <v>99610.74</v>
      </c>
      <c r="U1573">
        <v>109931.57</v>
      </c>
      <c r="V1573">
        <v>109931.57</v>
      </c>
      <c r="AA1573" s="29" t="s">
        <v>43</v>
      </c>
      <c r="AB1573">
        <v>31200</v>
      </c>
      <c r="AC1573">
        <v>130</v>
      </c>
      <c r="AD1573">
        <v>3</v>
      </c>
      <c r="AE1573">
        <v>2.1</v>
      </c>
      <c r="AF1573">
        <v>2.1</v>
      </c>
      <c r="AG1573" s="29" t="s">
        <v>2270</v>
      </c>
      <c r="AH1573" s="29" t="s">
        <v>2443</v>
      </c>
      <c r="AI1573" s="29" t="s">
        <v>2445</v>
      </c>
      <c r="AJ1573" s="29"/>
      <c r="AL1573" s="29" t="s">
        <v>2271</v>
      </c>
    </row>
    <row r="1574" spans="15:38">
      <c r="O1574" t="s">
        <v>24</v>
      </c>
      <c r="P1574" t="s">
        <v>43</v>
      </c>
      <c r="Q1574" t="s">
        <v>28</v>
      </c>
      <c r="R1574" t="s">
        <v>58</v>
      </c>
      <c r="S1574">
        <v>2023.51</v>
      </c>
      <c r="T1574">
        <v>16065.97</v>
      </c>
      <c r="U1574">
        <v>0</v>
      </c>
      <c r="V1574">
        <v>0</v>
      </c>
      <c r="AA1574" s="29" t="s">
        <v>43</v>
      </c>
      <c r="AB1574">
        <v>31200</v>
      </c>
      <c r="AC1574">
        <v>130</v>
      </c>
      <c r="AD1574">
        <v>3</v>
      </c>
      <c r="AE1574">
        <v>729.6</v>
      </c>
      <c r="AF1574">
        <v>729.6</v>
      </c>
      <c r="AG1574" s="29" t="s">
        <v>2270</v>
      </c>
      <c r="AH1574" s="29" t="s">
        <v>2446</v>
      </c>
      <c r="AI1574" s="29" t="s">
        <v>2447</v>
      </c>
      <c r="AJ1574" s="29"/>
      <c r="AL1574" s="29" t="s">
        <v>2271</v>
      </c>
    </row>
    <row r="1575" spans="15:38">
      <c r="O1575" t="s">
        <v>24</v>
      </c>
      <c r="P1575" t="s">
        <v>43</v>
      </c>
      <c r="Q1575" t="s">
        <v>28</v>
      </c>
      <c r="R1575" t="s">
        <v>58</v>
      </c>
      <c r="S1575">
        <v>2024.05</v>
      </c>
      <c r="T1575">
        <v>8525.6200000000008</v>
      </c>
      <c r="U1575">
        <v>0</v>
      </c>
      <c r="V1575">
        <v>0</v>
      </c>
      <c r="AA1575" s="29" t="s">
        <v>43</v>
      </c>
      <c r="AB1575">
        <v>31200</v>
      </c>
      <c r="AC1575">
        <v>130</v>
      </c>
      <c r="AD1575">
        <v>3</v>
      </c>
      <c r="AE1575">
        <v>1392</v>
      </c>
      <c r="AF1575">
        <v>1392</v>
      </c>
      <c r="AG1575" s="29" t="s">
        <v>2270</v>
      </c>
      <c r="AH1575" s="29" t="s">
        <v>2448</v>
      </c>
      <c r="AI1575" s="29" t="s">
        <v>2449</v>
      </c>
      <c r="AJ1575" s="29"/>
      <c r="AL1575" s="29" t="s">
        <v>2271</v>
      </c>
    </row>
    <row r="1576" spans="15:38">
      <c r="O1576" t="s">
        <v>24</v>
      </c>
      <c r="P1576" t="s">
        <v>43</v>
      </c>
      <c r="Q1576" t="s">
        <v>28</v>
      </c>
      <c r="R1576" t="s">
        <v>58</v>
      </c>
      <c r="S1576">
        <v>2024.06</v>
      </c>
      <c r="T1576">
        <v>8575.49</v>
      </c>
      <c r="U1576">
        <v>0</v>
      </c>
      <c r="V1576">
        <v>0</v>
      </c>
      <c r="AA1576" s="29" t="s">
        <v>43</v>
      </c>
      <c r="AB1576">
        <v>31200</v>
      </c>
      <c r="AC1576">
        <v>130</v>
      </c>
      <c r="AD1576">
        <v>3</v>
      </c>
      <c r="AE1576">
        <v>0</v>
      </c>
      <c r="AF1576">
        <v>0</v>
      </c>
      <c r="AG1576" s="29" t="s">
        <v>2270</v>
      </c>
      <c r="AH1576" s="29" t="s">
        <v>2274</v>
      </c>
      <c r="AI1576" s="29" t="s">
        <v>2450</v>
      </c>
      <c r="AJ1576" s="29"/>
      <c r="AL1576" s="29" t="s">
        <v>2271</v>
      </c>
    </row>
    <row r="1577" spans="15:38">
      <c r="O1577" t="s">
        <v>24</v>
      </c>
      <c r="P1577" t="s">
        <v>43</v>
      </c>
      <c r="Q1577" t="s">
        <v>28</v>
      </c>
      <c r="R1577" t="s">
        <v>58</v>
      </c>
      <c r="S1577">
        <v>2024.07</v>
      </c>
      <c r="T1577">
        <v>8575.49</v>
      </c>
      <c r="U1577">
        <v>0</v>
      </c>
      <c r="V1577">
        <v>0</v>
      </c>
      <c r="AA1577" s="29" t="s">
        <v>43</v>
      </c>
      <c r="AB1577">
        <v>31200</v>
      </c>
      <c r="AC1577">
        <v>130</v>
      </c>
      <c r="AD1577">
        <v>3</v>
      </c>
      <c r="AE1577">
        <v>1188.5999999999999</v>
      </c>
      <c r="AF1577">
        <v>1188.5999999999999</v>
      </c>
      <c r="AG1577" s="29" t="s">
        <v>2270</v>
      </c>
      <c r="AH1577" s="29" t="s">
        <v>2317</v>
      </c>
      <c r="AI1577" s="29" t="s">
        <v>2318</v>
      </c>
      <c r="AJ1577" s="29"/>
      <c r="AL1577" s="29" t="s">
        <v>2271</v>
      </c>
    </row>
    <row r="1578" spans="15:38">
      <c r="O1578" t="s">
        <v>24</v>
      </c>
      <c r="P1578" t="s">
        <v>43</v>
      </c>
      <c r="Q1578" t="s">
        <v>28</v>
      </c>
      <c r="R1578" t="s">
        <v>58</v>
      </c>
      <c r="S1578">
        <v>2024.08</v>
      </c>
      <c r="T1578">
        <v>8575.49</v>
      </c>
      <c r="U1578">
        <v>0</v>
      </c>
      <c r="V1578">
        <v>0</v>
      </c>
      <c r="AA1578" s="29" t="s">
        <v>43</v>
      </c>
      <c r="AB1578">
        <v>31200</v>
      </c>
      <c r="AC1578">
        <v>130</v>
      </c>
      <c r="AD1578">
        <v>3</v>
      </c>
      <c r="AE1578">
        <v>5.74</v>
      </c>
      <c r="AF1578">
        <v>5.74</v>
      </c>
      <c r="AG1578" s="29" t="s">
        <v>2270</v>
      </c>
      <c r="AH1578" s="29" t="s">
        <v>2451</v>
      </c>
      <c r="AI1578" s="29" t="s">
        <v>2452</v>
      </c>
      <c r="AJ1578" s="29"/>
      <c r="AL1578" s="29" t="s">
        <v>2271</v>
      </c>
    </row>
    <row r="1579" spans="15:38">
      <c r="O1579" t="s">
        <v>24</v>
      </c>
      <c r="P1579" t="s">
        <v>43</v>
      </c>
      <c r="Q1579" t="s">
        <v>28</v>
      </c>
      <c r="R1579" t="s">
        <v>58</v>
      </c>
      <c r="S1579">
        <v>2024.09</v>
      </c>
      <c r="T1579">
        <v>16065.97</v>
      </c>
      <c r="U1579">
        <v>0</v>
      </c>
      <c r="V1579">
        <v>0</v>
      </c>
      <c r="AA1579" s="29" t="s">
        <v>43</v>
      </c>
      <c r="AB1579">
        <v>31200</v>
      </c>
      <c r="AC1579">
        <v>130</v>
      </c>
      <c r="AD1579">
        <v>3</v>
      </c>
      <c r="AE1579">
        <v>972</v>
      </c>
      <c r="AF1579">
        <v>972</v>
      </c>
      <c r="AG1579" s="29" t="s">
        <v>2270</v>
      </c>
      <c r="AH1579" s="29" t="s">
        <v>2453</v>
      </c>
      <c r="AI1579" s="29" t="s">
        <v>2454</v>
      </c>
      <c r="AJ1579" s="29"/>
      <c r="AL1579" s="29" t="s">
        <v>2271</v>
      </c>
    </row>
    <row r="1580" spans="15:38">
      <c r="O1580" t="s">
        <v>24</v>
      </c>
      <c r="P1580" t="s">
        <v>43</v>
      </c>
      <c r="Q1580" t="s">
        <v>28</v>
      </c>
      <c r="R1580" t="s">
        <v>58</v>
      </c>
      <c r="S1580">
        <v>2024.1</v>
      </c>
      <c r="T1580">
        <v>8575.49</v>
      </c>
      <c r="U1580">
        <v>0</v>
      </c>
      <c r="V1580">
        <v>0</v>
      </c>
      <c r="AA1580" s="29" t="s">
        <v>43</v>
      </c>
      <c r="AB1580">
        <v>31200</v>
      </c>
      <c r="AC1580">
        <v>130</v>
      </c>
      <c r="AD1580">
        <v>3</v>
      </c>
      <c r="AE1580">
        <v>800</v>
      </c>
      <c r="AF1580">
        <v>800</v>
      </c>
      <c r="AG1580" s="29" t="s">
        <v>2270</v>
      </c>
      <c r="AH1580" s="29" t="s">
        <v>2455</v>
      </c>
      <c r="AI1580" s="29" t="s">
        <v>2456</v>
      </c>
      <c r="AJ1580" s="29"/>
      <c r="AL1580" s="29" t="s">
        <v>2271</v>
      </c>
    </row>
    <row r="1581" spans="15:38">
      <c r="O1581" t="s">
        <v>24</v>
      </c>
      <c r="P1581" t="s">
        <v>43</v>
      </c>
      <c r="Q1581" t="s">
        <v>28</v>
      </c>
      <c r="R1581" t="s">
        <v>58</v>
      </c>
      <c r="S1581">
        <v>2024.11</v>
      </c>
      <c r="T1581">
        <v>8738.58</v>
      </c>
      <c r="U1581">
        <v>0</v>
      </c>
      <c r="V1581">
        <v>0</v>
      </c>
      <c r="AA1581" s="29" t="s">
        <v>43</v>
      </c>
      <c r="AB1581">
        <v>31200</v>
      </c>
      <c r="AC1581">
        <v>130</v>
      </c>
      <c r="AD1581">
        <v>3</v>
      </c>
      <c r="AE1581">
        <v>7.0000000000000007E-2</v>
      </c>
      <c r="AF1581">
        <v>7.0000000000000007E-2</v>
      </c>
      <c r="AG1581" s="29" t="s">
        <v>2270</v>
      </c>
      <c r="AH1581" s="29" t="s">
        <v>2457</v>
      </c>
      <c r="AI1581" s="29" t="s">
        <v>2458</v>
      </c>
      <c r="AJ1581" s="29"/>
      <c r="AL1581" s="29" t="s">
        <v>2271</v>
      </c>
    </row>
    <row r="1582" spans="15:38">
      <c r="O1582" t="s">
        <v>24</v>
      </c>
      <c r="P1582" t="s">
        <v>43</v>
      </c>
      <c r="Q1582" t="s">
        <v>28</v>
      </c>
      <c r="R1582" t="s">
        <v>58</v>
      </c>
      <c r="S1582">
        <v>2024.12</v>
      </c>
      <c r="T1582">
        <v>8738.58</v>
      </c>
      <c r="U1582">
        <v>0</v>
      </c>
      <c r="V1582">
        <v>0</v>
      </c>
      <c r="AA1582" s="29" t="s">
        <v>43</v>
      </c>
      <c r="AB1582">
        <v>31200</v>
      </c>
      <c r="AC1582">
        <v>130</v>
      </c>
      <c r="AD1582">
        <v>3</v>
      </c>
      <c r="AE1582">
        <v>0.09</v>
      </c>
      <c r="AF1582">
        <v>0.09</v>
      </c>
      <c r="AG1582" s="29" t="s">
        <v>2270</v>
      </c>
      <c r="AH1582" s="29" t="s">
        <v>2459</v>
      </c>
      <c r="AI1582" s="29" t="s">
        <v>2460</v>
      </c>
      <c r="AJ1582" s="29"/>
      <c r="AL1582" s="29" t="s">
        <v>2271</v>
      </c>
    </row>
    <row r="1583" spans="15:38">
      <c r="O1583" t="s">
        <v>24</v>
      </c>
      <c r="P1583" t="s">
        <v>43</v>
      </c>
      <c r="Q1583" t="s">
        <v>28</v>
      </c>
      <c r="R1583" t="s">
        <v>58</v>
      </c>
      <c r="S1583">
        <v>2024.14</v>
      </c>
      <c r="T1583">
        <v>8738.58</v>
      </c>
      <c r="U1583">
        <v>0</v>
      </c>
      <c r="V1583">
        <v>0</v>
      </c>
      <c r="AA1583" s="29" t="s">
        <v>43</v>
      </c>
      <c r="AB1583">
        <v>31200</v>
      </c>
      <c r="AC1583">
        <v>130</v>
      </c>
      <c r="AD1583">
        <v>3</v>
      </c>
      <c r="AE1583">
        <v>0.54</v>
      </c>
      <c r="AF1583">
        <v>0.54</v>
      </c>
      <c r="AG1583" s="29" t="s">
        <v>2270</v>
      </c>
      <c r="AH1583" s="29" t="s">
        <v>2461</v>
      </c>
      <c r="AI1583" s="29" t="s">
        <v>2462</v>
      </c>
      <c r="AJ1583" s="29"/>
      <c r="AL1583" s="29" t="s">
        <v>2271</v>
      </c>
    </row>
    <row r="1584" spans="15:38">
      <c r="O1584" t="s">
        <v>24</v>
      </c>
      <c r="P1584" t="s">
        <v>43</v>
      </c>
      <c r="Q1584" t="s">
        <v>28</v>
      </c>
      <c r="R1584" t="s">
        <v>58</v>
      </c>
      <c r="S1584">
        <v>2024.17</v>
      </c>
      <c r="T1584">
        <v>8738.58</v>
      </c>
      <c r="U1584">
        <v>0</v>
      </c>
      <c r="V1584">
        <v>0</v>
      </c>
      <c r="AA1584" s="29" t="s">
        <v>43</v>
      </c>
      <c r="AB1584">
        <v>31200</v>
      </c>
      <c r="AC1584">
        <v>130</v>
      </c>
      <c r="AD1584">
        <v>3</v>
      </c>
      <c r="AE1584">
        <v>3.39</v>
      </c>
      <c r="AF1584">
        <v>3.39</v>
      </c>
      <c r="AG1584" s="29" t="s">
        <v>2270</v>
      </c>
      <c r="AH1584" s="29" t="s">
        <v>2463</v>
      </c>
      <c r="AI1584" s="29" t="s">
        <v>2464</v>
      </c>
      <c r="AJ1584" s="29"/>
      <c r="AL1584" s="29" t="s">
        <v>2271</v>
      </c>
    </row>
    <row r="1585" spans="15:38">
      <c r="O1585" t="s">
        <v>24</v>
      </c>
      <c r="P1585" t="s">
        <v>43</v>
      </c>
      <c r="Q1585" t="s">
        <v>28</v>
      </c>
      <c r="R1585" t="s">
        <v>58</v>
      </c>
      <c r="S1585">
        <v>2024.18</v>
      </c>
      <c r="T1585">
        <v>8741.48</v>
      </c>
      <c r="U1585">
        <v>0</v>
      </c>
      <c r="V1585">
        <v>0</v>
      </c>
      <c r="AA1585" s="29" t="s">
        <v>43</v>
      </c>
      <c r="AB1585">
        <v>31200</v>
      </c>
      <c r="AC1585">
        <v>130</v>
      </c>
      <c r="AD1585">
        <v>3</v>
      </c>
      <c r="AE1585">
        <v>0</v>
      </c>
      <c r="AF1585">
        <v>0</v>
      </c>
      <c r="AG1585" s="29" t="s">
        <v>2270</v>
      </c>
      <c r="AH1585" s="29" t="s">
        <v>2274</v>
      </c>
      <c r="AI1585" s="29" t="s">
        <v>2465</v>
      </c>
      <c r="AJ1585" s="29"/>
      <c r="AL1585" s="29" t="s">
        <v>2271</v>
      </c>
    </row>
    <row r="1586" spans="15:38">
      <c r="O1586" t="s">
        <v>24</v>
      </c>
      <c r="P1586" t="s">
        <v>43</v>
      </c>
      <c r="Q1586" t="s">
        <v>28</v>
      </c>
      <c r="R1586" t="s">
        <v>58</v>
      </c>
      <c r="S1586">
        <v>2024.19</v>
      </c>
      <c r="T1586">
        <v>8744.36</v>
      </c>
      <c r="U1586">
        <v>0</v>
      </c>
      <c r="V1586">
        <v>0</v>
      </c>
      <c r="AA1586" s="29" t="s">
        <v>43</v>
      </c>
      <c r="AB1586">
        <v>31200</v>
      </c>
      <c r="AC1586">
        <v>130</v>
      </c>
      <c r="AD1586">
        <v>3</v>
      </c>
      <c r="AE1586">
        <v>9.66</v>
      </c>
      <c r="AF1586">
        <v>9.66</v>
      </c>
      <c r="AG1586" s="29" t="s">
        <v>2270</v>
      </c>
      <c r="AH1586" s="29" t="s">
        <v>2466</v>
      </c>
      <c r="AI1586" s="29" t="s">
        <v>2467</v>
      </c>
      <c r="AJ1586" s="29"/>
      <c r="AL1586" s="29" t="s">
        <v>2271</v>
      </c>
    </row>
    <row r="1587" spans="15:38">
      <c r="O1587" t="s">
        <v>24</v>
      </c>
      <c r="P1587" t="s">
        <v>43</v>
      </c>
      <c r="Q1587" t="s">
        <v>28</v>
      </c>
      <c r="R1587" t="s">
        <v>58</v>
      </c>
      <c r="S1587">
        <v>2024.2</v>
      </c>
      <c r="T1587">
        <v>8747.9599999999991</v>
      </c>
      <c r="U1587">
        <v>0</v>
      </c>
      <c r="V1587">
        <v>0</v>
      </c>
      <c r="AA1587" s="29" t="s">
        <v>43</v>
      </c>
      <c r="AB1587">
        <v>31200</v>
      </c>
      <c r="AC1587">
        <v>130</v>
      </c>
      <c r="AD1587">
        <v>3</v>
      </c>
      <c r="AE1587">
        <v>0.02</v>
      </c>
      <c r="AF1587">
        <v>0.02</v>
      </c>
      <c r="AG1587" s="29" t="s">
        <v>2270</v>
      </c>
      <c r="AH1587" s="29" t="s">
        <v>2468</v>
      </c>
      <c r="AI1587" s="29" t="s">
        <v>2469</v>
      </c>
      <c r="AJ1587" s="29"/>
      <c r="AL1587" s="29" t="s">
        <v>2271</v>
      </c>
    </row>
    <row r="1588" spans="15:38">
      <c r="O1588" t="s">
        <v>24</v>
      </c>
      <c r="P1588" t="s">
        <v>43</v>
      </c>
      <c r="Q1588" t="s">
        <v>28</v>
      </c>
      <c r="R1588" t="s">
        <v>58</v>
      </c>
      <c r="S1588">
        <v>2024.21</v>
      </c>
      <c r="T1588">
        <v>8747.9599999999991</v>
      </c>
      <c r="U1588">
        <v>0</v>
      </c>
      <c r="V1588">
        <v>0</v>
      </c>
      <c r="AA1588" s="29" t="s">
        <v>43</v>
      </c>
      <c r="AB1588">
        <v>31200</v>
      </c>
      <c r="AC1588">
        <v>130</v>
      </c>
      <c r="AD1588">
        <v>3</v>
      </c>
      <c r="AE1588">
        <v>2.2599999999999998</v>
      </c>
      <c r="AF1588">
        <v>2.2599999999999998</v>
      </c>
      <c r="AG1588" s="29" t="s">
        <v>2270</v>
      </c>
      <c r="AH1588" s="29" t="s">
        <v>2470</v>
      </c>
      <c r="AI1588" s="29" t="s">
        <v>2471</v>
      </c>
      <c r="AJ1588" s="29"/>
      <c r="AL1588" s="29" t="s">
        <v>2271</v>
      </c>
    </row>
    <row r="1589" spans="15:38">
      <c r="O1589" t="s">
        <v>24</v>
      </c>
      <c r="P1589" t="s">
        <v>43</v>
      </c>
      <c r="Q1589" t="s">
        <v>28</v>
      </c>
      <c r="R1589" t="s">
        <v>58</v>
      </c>
      <c r="S1589">
        <v>2024.28</v>
      </c>
      <c r="T1589">
        <v>8846.85</v>
      </c>
      <c r="U1589">
        <v>0</v>
      </c>
      <c r="V1589">
        <v>0</v>
      </c>
      <c r="AA1589" s="29" t="s">
        <v>43</v>
      </c>
      <c r="AB1589">
        <v>31200</v>
      </c>
      <c r="AC1589">
        <v>130</v>
      </c>
      <c r="AD1589">
        <v>3</v>
      </c>
      <c r="AE1589">
        <v>12.24</v>
      </c>
      <c r="AF1589">
        <v>12.24</v>
      </c>
      <c r="AG1589" s="29" t="s">
        <v>2270</v>
      </c>
      <c r="AH1589" s="29" t="s">
        <v>2472</v>
      </c>
      <c r="AI1589" s="29" t="s">
        <v>2473</v>
      </c>
      <c r="AJ1589" s="29"/>
      <c r="AL1589" s="29" t="s">
        <v>2271</v>
      </c>
    </row>
    <row r="1590" spans="15:38">
      <c r="O1590" t="s">
        <v>24</v>
      </c>
      <c r="P1590" t="s">
        <v>43</v>
      </c>
      <c r="Q1590" t="s">
        <v>28</v>
      </c>
      <c r="R1590" t="s">
        <v>58</v>
      </c>
      <c r="S1590">
        <v>2024.38</v>
      </c>
      <c r="T1590">
        <v>8944.16</v>
      </c>
      <c r="U1590">
        <v>0</v>
      </c>
      <c r="V1590">
        <v>0</v>
      </c>
      <c r="AA1590" s="29" t="s">
        <v>43</v>
      </c>
      <c r="AB1590">
        <v>31200</v>
      </c>
      <c r="AC1590">
        <v>130</v>
      </c>
      <c r="AD1590">
        <v>3</v>
      </c>
      <c r="AE1590">
        <v>0</v>
      </c>
      <c r="AF1590">
        <v>0</v>
      </c>
      <c r="AG1590" s="29" t="s">
        <v>2270</v>
      </c>
      <c r="AH1590" s="29" t="s">
        <v>2274</v>
      </c>
      <c r="AI1590" s="29" t="s">
        <v>2423</v>
      </c>
      <c r="AJ1590" s="29"/>
      <c r="AL1590" s="29" t="s">
        <v>2271</v>
      </c>
    </row>
    <row r="1591" spans="15:38">
      <c r="O1591" t="s">
        <v>24</v>
      </c>
      <c r="P1591" t="s">
        <v>43</v>
      </c>
      <c r="Q1591" t="s">
        <v>28</v>
      </c>
      <c r="R1591" t="s">
        <v>58</v>
      </c>
      <c r="S1591">
        <v>2024.39</v>
      </c>
      <c r="T1591">
        <v>8944.16</v>
      </c>
      <c r="U1591">
        <v>0</v>
      </c>
      <c r="V1591">
        <v>0</v>
      </c>
      <c r="AA1591" s="29" t="s">
        <v>43</v>
      </c>
      <c r="AB1591">
        <v>31200</v>
      </c>
      <c r="AC1591">
        <v>130</v>
      </c>
      <c r="AD1591">
        <v>3</v>
      </c>
      <c r="AE1591">
        <v>37.5</v>
      </c>
      <c r="AF1591">
        <v>37.5</v>
      </c>
      <c r="AG1591" s="29" t="s">
        <v>2270</v>
      </c>
      <c r="AH1591" s="29" t="s">
        <v>2315</v>
      </c>
      <c r="AI1591" s="29" t="s">
        <v>2316</v>
      </c>
      <c r="AJ1591" s="29"/>
      <c r="AL1591" s="29" t="s">
        <v>2271</v>
      </c>
    </row>
    <row r="1592" spans="15:38">
      <c r="O1592" t="s">
        <v>24</v>
      </c>
      <c r="P1592" t="s">
        <v>43</v>
      </c>
      <c r="Q1592" t="s">
        <v>28</v>
      </c>
      <c r="R1592" t="s">
        <v>58</v>
      </c>
      <c r="S1592">
        <v>2024.41</v>
      </c>
      <c r="T1592">
        <v>8944.16</v>
      </c>
      <c r="U1592">
        <v>0</v>
      </c>
      <c r="V1592">
        <v>0</v>
      </c>
      <c r="AA1592" s="29" t="s">
        <v>43</v>
      </c>
      <c r="AB1592">
        <v>31200</v>
      </c>
      <c r="AC1592">
        <v>130</v>
      </c>
      <c r="AD1592">
        <v>3</v>
      </c>
      <c r="AE1592">
        <v>4</v>
      </c>
      <c r="AF1592">
        <v>4</v>
      </c>
      <c r="AG1592" s="29" t="s">
        <v>2270</v>
      </c>
      <c r="AH1592" s="29" t="s">
        <v>2415</v>
      </c>
      <c r="AI1592" s="29" t="s">
        <v>2474</v>
      </c>
      <c r="AJ1592" s="29"/>
      <c r="AL1592" s="29" t="s">
        <v>2271</v>
      </c>
    </row>
    <row r="1593" spans="15:38">
      <c r="O1593" t="s">
        <v>24</v>
      </c>
      <c r="P1593" t="s">
        <v>43</v>
      </c>
      <c r="Q1593" t="s">
        <v>28</v>
      </c>
      <c r="R1593" t="s">
        <v>58</v>
      </c>
      <c r="S1593">
        <v>2024.43</v>
      </c>
      <c r="T1593">
        <v>9002.8799999999992</v>
      </c>
      <c r="U1593">
        <v>0</v>
      </c>
      <c r="V1593">
        <v>0</v>
      </c>
      <c r="AA1593" s="29" t="s">
        <v>43</v>
      </c>
      <c r="AB1593">
        <v>31200</v>
      </c>
      <c r="AC1593">
        <v>130</v>
      </c>
      <c r="AD1593">
        <v>3</v>
      </c>
      <c r="AE1593">
        <v>4</v>
      </c>
      <c r="AF1593">
        <v>4</v>
      </c>
      <c r="AG1593" s="29" t="s">
        <v>2270</v>
      </c>
      <c r="AH1593" s="29" t="s">
        <v>2415</v>
      </c>
      <c r="AI1593" s="29" t="s">
        <v>2475</v>
      </c>
      <c r="AJ1593" s="29"/>
      <c r="AL1593" s="29" t="s">
        <v>2271</v>
      </c>
    </row>
    <row r="1594" spans="15:38">
      <c r="O1594" t="s">
        <v>24</v>
      </c>
      <c r="P1594" t="s">
        <v>43</v>
      </c>
      <c r="Q1594" t="s">
        <v>28</v>
      </c>
      <c r="R1594" t="s">
        <v>58</v>
      </c>
      <c r="S1594">
        <v>2024.44</v>
      </c>
      <c r="T1594">
        <v>9156.65</v>
      </c>
      <c r="U1594">
        <v>0</v>
      </c>
      <c r="V1594">
        <v>0</v>
      </c>
      <c r="AA1594" s="29" t="s">
        <v>43</v>
      </c>
      <c r="AB1594">
        <v>31200</v>
      </c>
      <c r="AC1594">
        <v>130</v>
      </c>
      <c r="AD1594">
        <v>3</v>
      </c>
      <c r="AE1594">
        <v>2.16</v>
      </c>
      <c r="AF1594">
        <v>2.16</v>
      </c>
      <c r="AG1594" s="29" t="s">
        <v>2270</v>
      </c>
      <c r="AH1594" s="29" t="s">
        <v>2476</v>
      </c>
      <c r="AI1594" s="29" t="s">
        <v>2477</v>
      </c>
      <c r="AJ1594" s="29"/>
      <c r="AL1594" s="29" t="s">
        <v>2271</v>
      </c>
    </row>
    <row r="1595" spans="15:38">
      <c r="O1595" t="s">
        <v>24</v>
      </c>
      <c r="P1595" t="s">
        <v>43</v>
      </c>
      <c r="Q1595" t="s">
        <v>28</v>
      </c>
      <c r="R1595" t="s">
        <v>58</v>
      </c>
      <c r="S1595">
        <v>2024.45</v>
      </c>
      <c r="T1595">
        <v>9157.56</v>
      </c>
      <c r="U1595">
        <v>0</v>
      </c>
      <c r="V1595">
        <v>0</v>
      </c>
      <c r="AA1595" s="29" t="s">
        <v>43</v>
      </c>
      <c r="AB1595">
        <v>31200</v>
      </c>
      <c r="AC1595">
        <v>130</v>
      </c>
      <c r="AD1595">
        <v>3</v>
      </c>
      <c r="AE1595">
        <v>3.41</v>
      </c>
      <c r="AF1595">
        <v>3.41</v>
      </c>
      <c r="AG1595" s="29" t="s">
        <v>2270</v>
      </c>
      <c r="AH1595" s="29" t="s">
        <v>2478</v>
      </c>
      <c r="AI1595" s="29" t="s">
        <v>2479</v>
      </c>
      <c r="AJ1595" s="29"/>
      <c r="AL1595" s="29" t="s">
        <v>2271</v>
      </c>
    </row>
    <row r="1596" spans="15:38">
      <c r="O1596" t="s">
        <v>24</v>
      </c>
      <c r="P1596" t="s">
        <v>43</v>
      </c>
      <c r="Q1596" t="s">
        <v>28</v>
      </c>
      <c r="R1596" t="s">
        <v>58</v>
      </c>
      <c r="S1596">
        <v>2024.47</v>
      </c>
      <c r="T1596">
        <v>9192.16</v>
      </c>
      <c r="U1596">
        <v>0</v>
      </c>
      <c r="V1596">
        <v>0</v>
      </c>
      <c r="AA1596" s="29" t="s">
        <v>43</v>
      </c>
      <c r="AB1596">
        <v>31200</v>
      </c>
      <c r="AC1596">
        <v>130</v>
      </c>
      <c r="AD1596">
        <v>3</v>
      </c>
      <c r="AE1596">
        <v>59.2</v>
      </c>
      <c r="AF1596">
        <v>59.2</v>
      </c>
      <c r="AG1596" s="29" t="s">
        <v>2270</v>
      </c>
      <c r="AH1596" s="29" t="s">
        <v>2480</v>
      </c>
      <c r="AI1596" s="29" t="s">
        <v>2481</v>
      </c>
      <c r="AJ1596" s="29"/>
      <c r="AL1596" s="29" t="s">
        <v>2271</v>
      </c>
    </row>
    <row r="1597" spans="15:38">
      <c r="O1597" t="s">
        <v>24</v>
      </c>
      <c r="P1597" t="s">
        <v>43</v>
      </c>
      <c r="Q1597" t="s">
        <v>28</v>
      </c>
      <c r="R1597" t="s">
        <v>58</v>
      </c>
      <c r="S1597">
        <v>2024.48</v>
      </c>
      <c r="T1597">
        <v>9225.2999999999993</v>
      </c>
      <c r="U1597">
        <v>0</v>
      </c>
      <c r="V1597">
        <v>9192.16</v>
      </c>
      <c r="AA1597" s="29" t="s">
        <v>43</v>
      </c>
      <c r="AB1597">
        <v>31200</v>
      </c>
      <c r="AC1597">
        <v>130</v>
      </c>
      <c r="AD1597">
        <v>3</v>
      </c>
      <c r="AE1597">
        <v>37.5</v>
      </c>
      <c r="AF1597">
        <v>37.5</v>
      </c>
      <c r="AG1597" s="29" t="s">
        <v>2270</v>
      </c>
      <c r="AH1597" s="29" t="s">
        <v>2315</v>
      </c>
      <c r="AI1597" s="29" t="s">
        <v>2316</v>
      </c>
      <c r="AJ1597" s="29"/>
      <c r="AL1597" s="29" t="s">
        <v>2271</v>
      </c>
    </row>
    <row r="1598" spans="15:38">
      <c r="O1598" t="s">
        <v>24</v>
      </c>
      <c r="P1598" t="s">
        <v>43</v>
      </c>
      <c r="Q1598" t="s">
        <v>28</v>
      </c>
      <c r="R1598" t="s">
        <v>58</v>
      </c>
      <c r="S1598">
        <v>2024.49</v>
      </c>
      <c r="T1598">
        <v>9225.2999999999993</v>
      </c>
      <c r="U1598">
        <v>0</v>
      </c>
      <c r="V1598">
        <v>9192.16</v>
      </c>
      <c r="AA1598" s="29" t="s">
        <v>43</v>
      </c>
      <c r="AB1598">
        <v>31200</v>
      </c>
      <c r="AC1598">
        <v>130</v>
      </c>
      <c r="AD1598">
        <v>3</v>
      </c>
      <c r="AE1598">
        <v>3825</v>
      </c>
      <c r="AF1598">
        <v>3825</v>
      </c>
      <c r="AG1598" s="29" t="s">
        <v>2270</v>
      </c>
      <c r="AH1598" s="29" t="s">
        <v>2482</v>
      </c>
      <c r="AI1598" s="29" t="s">
        <v>2483</v>
      </c>
      <c r="AJ1598" s="29"/>
      <c r="AL1598" s="29" t="s">
        <v>2271</v>
      </c>
    </row>
    <row r="1599" spans="15:38">
      <c r="O1599" t="s">
        <v>24</v>
      </c>
      <c r="P1599" t="s">
        <v>43</v>
      </c>
      <c r="Q1599" t="s">
        <v>28</v>
      </c>
      <c r="R1599" t="s">
        <v>58</v>
      </c>
      <c r="S1599">
        <v>2025.03</v>
      </c>
      <c r="T1599">
        <v>9656.65</v>
      </c>
      <c r="U1599">
        <v>0</v>
      </c>
      <c r="V1599">
        <v>9656.65</v>
      </c>
      <c r="AA1599" s="29" t="s">
        <v>43</v>
      </c>
      <c r="AB1599">
        <v>31200</v>
      </c>
      <c r="AC1599">
        <v>130</v>
      </c>
      <c r="AD1599">
        <v>3</v>
      </c>
      <c r="AE1599">
        <v>9.9</v>
      </c>
      <c r="AF1599">
        <v>9.9</v>
      </c>
      <c r="AG1599" s="29" t="s">
        <v>2270</v>
      </c>
      <c r="AH1599" s="29" t="s">
        <v>2484</v>
      </c>
      <c r="AI1599" s="29" t="s">
        <v>1294</v>
      </c>
      <c r="AJ1599" s="29"/>
      <c r="AL1599" s="29" t="s">
        <v>2271</v>
      </c>
    </row>
    <row r="1600" spans="15:38">
      <c r="O1600" t="s">
        <v>24</v>
      </c>
      <c r="P1600" t="s">
        <v>43</v>
      </c>
      <c r="Q1600" t="s">
        <v>28</v>
      </c>
      <c r="R1600" t="s">
        <v>58</v>
      </c>
      <c r="S1600">
        <v>2025.08</v>
      </c>
      <c r="T1600">
        <v>10223.629999999999</v>
      </c>
      <c r="U1600">
        <v>0</v>
      </c>
      <c r="V1600">
        <v>9656.65</v>
      </c>
      <c r="AA1600" s="29" t="s">
        <v>43</v>
      </c>
      <c r="AB1600">
        <v>31200</v>
      </c>
      <c r="AC1600">
        <v>130</v>
      </c>
      <c r="AD1600">
        <v>3</v>
      </c>
      <c r="AE1600">
        <v>4</v>
      </c>
      <c r="AF1600">
        <v>4</v>
      </c>
      <c r="AG1600" s="29" t="s">
        <v>2270</v>
      </c>
      <c r="AH1600" s="29" t="s">
        <v>2415</v>
      </c>
      <c r="AI1600" s="29" t="s">
        <v>2485</v>
      </c>
      <c r="AJ1600" s="29"/>
      <c r="AL1600" s="29" t="s">
        <v>2271</v>
      </c>
    </row>
    <row r="1601" spans="15:38">
      <c r="O1601" t="s">
        <v>24</v>
      </c>
      <c r="P1601" t="s">
        <v>43</v>
      </c>
      <c r="Q1601" t="s">
        <v>28</v>
      </c>
      <c r="R1601" t="s">
        <v>58</v>
      </c>
      <c r="S1601">
        <v>2025.1</v>
      </c>
      <c r="T1601">
        <v>10223.629999999999</v>
      </c>
      <c r="U1601">
        <v>0</v>
      </c>
      <c r="V1601">
        <v>9656.65</v>
      </c>
      <c r="AA1601" s="29" t="s">
        <v>43</v>
      </c>
      <c r="AB1601">
        <v>31200</v>
      </c>
      <c r="AC1601">
        <v>130</v>
      </c>
      <c r="AD1601">
        <v>3</v>
      </c>
      <c r="AE1601">
        <v>0.7</v>
      </c>
      <c r="AF1601">
        <v>0.7</v>
      </c>
      <c r="AG1601" s="29" t="s">
        <v>2270</v>
      </c>
      <c r="AH1601" s="29" t="s">
        <v>2486</v>
      </c>
      <c r="AI1601" s="29" t="s">
        <v>2487</v>
      </c>
      <c r="AJ1601" s="29"/>
      <c r="AL1601" s="29" t="s">
        <v>2271</v>
      </c>
    </row>
    <row r="1602" spans="15:38">
      <c r="O1602" t="s">
        <v>24</v>
      </c>
      <c r="P1602" t="s">
        <v>43</v>
      </c>
      <c r="Q1602" t="s">
        <v>28</v>
      </c>
      <c r="R1602" t="s">
        <v>58</v>
      </c>
      <c r="S1602">
        <v>2025.11</v>
      </c>
      <c r="T1602">
        <v>10231.18</v>
      </c>
      <c r="U1602">
        <v>0</v>
      </c>
      <c r="V1602">
        <v>9656.65</v>
      </c>
      <c r="AA1602" s="29" t="s">
        <v>43</v>
      </c>
      <c r="AB1602">
        <v>31200</v>
      </c>
      <c r="AC1602">
        <v>130</v>
      </c>
      <c r="AD1602">
        <v>3</v>
      </c>
      <c r="AE1602">
        <v>1.9</v>
      </c>
      <c r="AF1602">
        <v>1.9</v>
      </c>
      <c r="AG1602" s="29" t="s">
        <v>2270</v>
      </c>
      <c r="AH1602" s="29" t="s">
        <v>2429</v>
      </c>
      <c r="AI1602" s="29" t="s">
        <v>2430</v>
      </c>
      <c r="AJ1602" s="29"/>
      <c r="AL1602" s="29" t="s">
        <v>2271</v>
      </c>
    </row>
    <row r="1603" spans="15:38">
      <c r="O1603" t="s">
        <v>24</v>
      </c>
      <c r="P1603" t="s">
        <v>43</v>
      </c>
      <c r="Q1603" t="s">
        <v>28</v>
      </c>
      <c r="R1603" t="s">
        <v>58</v>
      </c>
      <c r="S1603">
        <v>2025.12</v>
      </c>
      <c r="T1603">
        <v>10452.9</v>
      </c>
      <c r="U1603">
        <v>0</v>
      </c>
      <c r="V1603">
        <v>9656.65</v>
      </c>
      <c r="AA1603" s="29" t="s">
        <v>43</v>
      </c>
      <c r="AB1603">
        <v>31200</v>
      </c>
      <c r="AC1603">
        <v>130</v>
      </c>
      <c r="AD1603">
        <v>3</v>
      </c>
      <c r="AE1603">
        <v>2.7</v>
      </c>
      <c r="AF1603">
        <v>2.7</v>
      </c>
      <c r="AG1603" s="29" t="s">
        <v>2270</v>
      </c>
      <c r="AH1603" s="29" t="s">
        <v>2488</v>
      </c>
      <c r="AI1603" s="29" t="s">
        <v>1028</v>
      </c>
      <c r="AJ1603" s="29"/>
      <c r="AL1603" s="29" t="s">
        <v>2271</v>
      </c>
    </row>
    <row r="1604" spans="15:38">
      <c r="O1604" t="s">
        <v>24</v>
      </c>
      <c r="P1604" t="s">
        <v>43</v>
      </c>
      <c r="Q1604" t="s">
        <v>6</v>
      </c>
      <c r="R1604" t="s">
        <v>54</v>
      </c>
      <c r="S1604">
        <v>2023.47</v>
      </c>
      <c r="T1604">
        <v>0</v>
      </c>
      <c r="U1604">
        <v>279421.96759999997</v>
      </c>
      <c r="V1604">
        <v>279421.96759999997</v>
      </c>
      <c r="AA1604" s="29" t="s">
        <v>43</v>
      </c>
      <c r="AB1604">
        <v>31200</v>
      </c>
      <c r="AC1604">
        <v>130</v>
      </c>
      <c r="AD1604">
        <v>3</v>
      </c>
      <c r="AE1604">
        <v>7.4</v>
      </c>
      <c r="AF1604">
        <v>7.4</v>
      </c>
      <c r="AG1604" s="29" t="s">
        <v>2270</v>
      </c>
      <c r="AH1604" s="29" t="s">
        <v>2343</v>
      </c>
      <c r="AI1604" s="29" t="s">
        <v>2344</v>
      </c>
      <c r="AJ1604" s="29"/>
      <c r="AL1604" s="29" t="s">
        <v>2271</v>
      </c>
    </row>
    <row r="1605" spans="15:38">
      <c r="O1605" t="s">
        <v>24</v>
      </c>
      <c r="P1605" t="s">
        <v>43</v>
      </c>
      <c r="Q1605" t="s">
        <v>6</v>
      </c>
      <c r="R1605" t="s">
        <v>54</v>
      </c>
      <c r="S1605">
        <v>2023.51</v>
      </c>
      <c r="T1605">
        <v>413084.05</v>
      </c>
      <c r="U1605">
        <v>279421.96759999997</v>
      </c>
      <c r="V1605">
        <v>279421.96759999997</v>
      </c>
      <c r="AA1605" s="29" t="s">
        <v>43</v>
      </c>
      <c r="AB1605">
        <v>31200</v>
      </c>
      <c r="AC1605">
        <v>130</v>
      </c>
      <c r="AD1605">
        <v>3</v>
      </c>
      <c r="AE1605">
        <v>5</v>
      </c>
      <c r="AF1605">
        <v>5</v>
      </c>
      <c r="AG1605" s="29" t="s">
        <v>2270</v>
      </c>
      <c r="AH1605" s="29" t="s">
        <v>2348</v>
      </c>
      <c r="AI1605" s="29" t="s">
        <v>2372</v>
      </c>
      <c r="AJ1605" s="29"/>
      <c r="AL1605" s="29" t="s">
        <v>2271</v>
      </c>
    </row>
    <row r="1606" spans="15:38">
      <c r="O1606" t="s">
        <v>24</v>
      </c>
      <c r="P1606" t="s">
        <v>43</v>
      </c>
      <c r="Q1606" t="s">
        <v>6</v>
      </c>
      <c r="R1606" t="s">
        <v>54</v>
      </c>
      <c r="S1606">
        <v>2024.05</v>
      </c>
      <c r="T1606">
        <v>202185</v>
      </c>
      <c r="U1606">
        <v>279421.96759999997</v>
      </c>
      <c r="V1606">
        <v>279421.96759999997</v>
      </c>
      <c r="AA1606" s="29" t="s">
        <v>43</v>
      </c>
      <c r="AB1606">
        <v>31200</v>
      </c>
      <c r="AC1606">
        <v>130</v>
      </c>
      <c r="AD1606">
        <v>3</v>
      </c>
      <c r="AE1606">
        <v>7</v>
      </c>
      <c r="AF1606">
        <v>7</v>
      </c>
      <c r="AG1606" s="29" t="s">
        <v>2270</v>
      </c>
      <c r="AH1606" s="29" t="s">
        <v>2278</v>
      </c>
      <c r="AI1606" s="29" t="s">
        <v>2489</v>
      </c>
      <c r="AJ1606" s="29"/>
      <c r="AL1606" s="29" t="s">
        <v>2271</v>
      </c>
    </row>
    <row r="1607" spans="15:38">
      <c r="O1607" t="s">
        <v>24</v>
      </c>
      <c r="P1607" t="s">
        <v>43</v>
      </c>
      <c r="Q1607" t="s">
        <v>6</v>
      </c>
      <c r="R1607" t="s">
        <v>54</v>
      </c>
      <c r="S1607">
        <v>2024.06</v>
      </c>
      <c r="T1607">
        <v>217473.05</v>
      </c>
      <c r="U1607">
        <v>279421.96759999997</v>
      </c>
      <c r="V1607">
        <v>279421.96759999997</v>
      </c>
      <c r="AA1607" s="29" t="s">
        <v>43</v>
      </c>
      <c r="AB1607">
        <v>31200</v>
      </c>
      <c r="AC1607">
        <v>130</v>
      </c>
      <c r="AD1607">
        <v>3</v>
      </c>
      <c r="AE1607">
        <v>7.89</v>
      </c>
      <c r="AF1607">
        <v>7.89</v>
      </c>
      <c r="AG1607" s="29" t="s">
        <v>2270</v>
      </c>
      <c r="AH1607" s="29" t="s">
        <v>2490</v>
      </c>
      <c r="AI1607" s="29" t="s">
        <v>2491</v>
      </c>
      <c r="AJ1607" s="29"/>
      <c r="AL1607" s="29" t="s">
        <v>2271</v>
      </c>
    </row>
    <row r="1608" spans="15:38">
      <c r="O1608" t="s">
        <v>24</v>
      </c>
      <c r="P1608" t="s">
        <v>43</v>
      </c>
      <c r="Q1608" t="s">
        <v>6</v>
      </c>
      <c r="R1608" t="s">
        <v>54</v>
      </c>
      <c r="S1608">
        <v>2024.07</v>
      </c>
      <c r="T1608">
        <v>228153.05</v>
      </c>
      <c r="U1608">
        <v>279421.96759999997</v>
      </c>
      <c r="V1608">
        <v>279421.96759999997</v>
      </c>
      <c r="AA1608" s="29" t="s">
        <v>43</v>
      </c>
      <c r="AB1608">
        <v>31200</v>
      </c>
      <c r="AC1608">
        <v>130</v>
      </c>
      <c r="AD1608">
        <v>3</v>
      </c>
      <c r="AE1608">
        <v>5.26</v>
      </c>
      <c r="AF1608">
        <v>5.26</v>
      </c>
      <c r="AG1608" s="29" t="s">
        <v>2270</v>
      </c>
      <c r="AH1608" s="29" t="s">
        <v>2492</v>
      </c>
      <c r="AI1608" s="29" t="s">
        <v>2493</v>
      </c>
      <c r="AJ1608" s="29"/>
      <c r="AL1608" s="29" t="s">
        <v>2271</v>
      </c>
    </row>
    <row r="1609" spans="15:38">
      <c r="O1609" t="s">
        <v>24</v>
      </c>
      <c r="P1609" t="s">
        <v>43</v>
      </c>
      <c r="Q1609" t="s">
        <v>6</v>
      </c>
      <c r="R1609" t="s">
        <v>54</v>
      </c>
      <c r="S1609">
        <v>2024.08</v>
      </c>
      <c r="T1609">
        <v>236139.05</v>
      </c>
      <c r="U1609">
        <v>279421.96759999997</v>
      </c>
      <c r="V1609">
        <v>279421.96759999997</v>
      </c>
      <c r="AA1609" s="29" t="s">
        <v>43</v>
      </c>
      <c r="AB1609">
        <v>31200</v>
      </c>
      <c r="AC1609">
        <v>130</v>
      </c>
      <c r="AD1609">
        <v>3</v>
      </c>
      <c r="AE1609">
        <v>1048</v>
      </c>
      <c r="AF1609">
        <v>1048</v>
      </c>
      <c r="AG1609" s="29" t="s">
        <v>2270</v>
      </c>
      <c r="AH1609" s="29" t="s">
        <v>2494</v>
      </c>
      <c r="AI1609" s="29" t="s">
        <v>2495</v>
      </c>
      <c r="AJ1609" s="29"/>
      <c r="AL1609" s="29" t="s">
        <v>2271</v>
      </c>
    </row>
    <row r="1610" spans="15:38">
      <c r="O1610" t="s">
        <v>24</v>
      </c>
      <c r="P1610" t="s">
        <v>43</v>
      </c>
      <c r="Q1610" t="s">
        <v>6</v>
      </c>
      <c r="R1610" t="s">
        <v>54</v>
      </c>
      <c r="S1610">
        <v>2024.09</v>
      </c>
      <c r="T1610">
        <v>413084.05</v>
      </c>
      <c r="U1610">
        <v>279421.96759999997</v>
      </c>
      <c r="V1610">
        <v>279421.96759999997</v>
      </c>
      <c r="AA1610" s="29" t="s">
        <v>43</v>
      </c>
      <c r="AB1610">
        <v>31200</v>
      </c>
      <c r="AC1610">
        <v>130</v>
      </c>
      <c r="AD1610">
        <v>3</v>
      </c>
      <c r="AE1610">
        <v>0</v>
      </c>
      <c r="AF1610">
        <v>0</v>
      </c>
      <c r="AG1610" s="29" t="s">
        <v>2270</v>
      </c>
      <c r="AH1610" s="29" t="s">
        <v>2274</v>
      </c>
      <c r="AI1610" s="29" t="s">
        <v>2496</v>
      </c>
      <c r="AJ1610" s="29"/>
      <c r="AL1610" s="29" t="s">
        <v>2271</v>
      </c>
    </row>
    <row r="1611" spans="15:38">
      <c r="O1611" t="s">
        <v>24</v>
      </c>
      <c r="P1611" t="s">
        <v>43</v>
      </c>
      <c r="Q1611" t="s">
        <v>6</v>
      </c>
      <c r="R1611" t="s">
        <v>54</v>
      </c>
      <c r="S1611">
        <v>2024.1</v>
      </c>
      <c r="T1611">
        <v>346820.05</v>
      </c>
      <c r="U1611">
        <v>279421.96759999997</v>
      </c>
      <c r="V1611">
        <v>279421.96759999997</v>
      </c>
      <c r="AA1611" s="29" t="s">
        <v>43</v>
      </c>
      <c r="AB1611">
        <v>31200</v>
      </c>
      <c r="AC1611">
        <v>130</v>
      </c>
      <c r="AD1611">
        <v>3</v>
      </c>
      <c r="AE1611">
        <v>950</v>
      </c>
      <c r="AF1611">
        <v>950</v>
      </c>
      <c r="AG1611" s="29" t="s">
        <v>2270</v>
      </c>
      <c r="AH1611" s="29" t="s">
        <v>2497</v>
      </c>
      <c r="AI1611" s="29" t="s">
        <v>2498</v>
      </c>
      <c r="AJ1611" s="29"/>
      <c r="AL1611" s="29" t="s">
        <v>2271</v>
      </c>
    </row>
    <row r="1612" spans="15:38">
      <c r="O1612" t="s">
        <v>24</v>
      </c>
      <c r="P1612" t="s">
        <v>43</v>
      </c>
      <c r="Q1612" t="s">
        <v>6</v>
      </c>
      <c r="R1612" t="s">
        <v>54</v>
      </c>
      <c r="S1612">
        <v>2024.11</v>
      </c>
      <c r="T1612">
        <v>337296.05</v>
      </c>
      <c r="U1612">
        <v>279421.96759999997</v>
      </c>
      <c r="V1612">
        <v>279421.96759999997</v>
      </c>
      <c r="AA1612" s="29" t="s">
        <v>43</v>
      </c>
      <c r="AB1612">
        <v>31200</v>
      </c>
      <c r="AC1612">
        <v>130</v>
      </c>
      <c r="AD1612">
        <v>3</v>
      </c>
      <c r="AE1612">
        <v>1102</v>
      </c>
      <c r="AF1612">
        <v>1102</v>
      </c>
      <c r="AG1612" s="29" t="s">
        <v>2270</v>
      </c>
      <c r="AH1612" s="29" t="s">
        <v>2499</v>
      </c>
      <c r="AI1612" s="29" t="s">
        <v>2500</v>
      </c>
      <c r="AJ1612" s="29"/>
      <c r="AL1612" s="29" t="s">
        <v>2271</v>
      </c>
    </row>
    <row r="1613" spans="15:38">
      <c r="O1613" t="s">
        <v>24</v>
      </c>
      <c r="P1613" t="s">
        <v>43</v>
      </c>
      <c r="Q1613" t="s">
        <v>6</v>
      </c>
      <c r="R1613" t="s">
        <v>54</v>
      </c>
      <c r="S1613">
        <v>2024.12</v>
      </c>
      <c r="T1613">
        <v>343625.05</v>
      </c>
      <c r="U1613">
        <v>279421.96759999997</v>
      </c>
      <c r="V1613">
        <v>279421.96759999997</v>
      </c>
      <c r="AA1613" s="29" t="s">
        <v>43</v>
      </c>
      <c r="AB1613">
        <v>31200</v>
      </c>
      <c r="AC1613">
        <v>130</v>
      </c>
      <c r="AD1613">
        <v>3</v>
      </c>
      <c r="AE1613">
        <v>4379</v>
      </c>
      <c r="AF1613">
        <v>4379</v>
      </c>
      <c r="AG1613" s="29" t="s">
        <v>2270</v>
      </c>
      <c r="AH1613" s="29" t="s">
        <v>2501</v>
      </c>
      <c r="AI1613" s="29" t="s">
        <v>2502</v>
      </c>
      <c r="AJ1613" s="29"/>
      <c r="AL1613" s="29" t="s">
        <v>2271</v>
      </c>
    </row>
    <row r="1614" spans="15:38">
      <c r="O1614" t="s">
        <v>24</v>
      </c>
      <c r="P1614" t="s">
        <v>43</v>
      </c>
      <c r="Q1614" t="s">
        <v>6</v>
      </c>
      <c r="R1614" t="s">
        <v>54</v>
      </c>
      <c r="S1614">
        <v>2024.14</v>
      </c>
      <c r="T1614">
        <v>344297.05</v>
      </c>
      <c r="U1614">
        <v>279421.96759999997</v>
      </c>
      <c r="V1614">
        <v>279421.96759999997</v>
      </c>
      <c r="AA1614" s="29" t="s">
        <v>43</v>
      </c>
      <c r="AB1614">
        <v>31200</v>
      </c>
      <c r="AC1614">
        <v>130</v>
      </c>
      <c r="AD1614">
        <v>3</v>
      </c>
      <c r="AE1614">
        <v>2190</v>
      </c>
      <c r="AF1614">
        <v>2190</v>
      </c>
      <c r="AG1614" s="29" t="s">
        <v>2270</v>
      </c>
      <c r="AH1614" s="29" t="s">
        <v>2503</v>
      </c>
      <c r="AI1614" s="29" t="s">
        <v>2504</v>
      </c>
      <c r="AJ1614" s="29"/>
      <c r="AL1614" s="29" t="s">
        <v>2271</v>
      </c>
    </row>
    <row r="1615" spans="15:38">
      <c r="O1615" t="s">
        <v>24</v>
      </c>
      <c r="P1615" t="s">
        <v>43</v>
      </c>
      <c r="Q1615" t="s">
        <v>6</v>
      </c>
      <c r="R1615" t="s">
        <v>54</v>
      </c>
      <c r="S1615">
        <v>2024.17</v>
      </c>
      <c r="T1615">
        <v>347753.5</v>
      </c>
      <c r="U1615">
        <v>279421.96759999997</v>
      </c>
      <c r="V1615">
        <v>279421.96759999997</v>
      </c>
      <c r="AA1615" s="29" t="s">
        <v>43</v>
      </c>
      <c r="AB1615">
        <v>31200</v>
      </c>
      <c r="AC1615">
        <v>130</v>
      </c>
      <c r="AD1615">
        <v>3</v>
      </c>
      <c r="AE1615">
        <v>10</v>
      </c>
      <c r="AF1615">
        <v>10</v>
      </c>
      <c r="AG1615" s="29" t="s">
        <v>2270</v>
      </c>
      <c r="AH1615" s="29" t="s">
        <v>2505</v>
      </c>
      <c r="AI1615" s="29" t="s">
        <v>2506</v>
      </c>
      <c r="AJ1615" s="29"/>
      <c r="AL1615" s="29" t="s">
        <v>2271</v>
      </c>
    </row>
    <row r="1616" spans="15:38">
      <c r="O1616" t="s">
        <v>24</v>
      </c>
      <c r="P1616" t="s">
        <v>43</v>
      </c>
      <c r="Q1616" t="s">
        <v>6</v>
      </c>
      <c r="R1616" t="s">
        <v>54</v>
      </c>
      <c r="S1616">
        <v>2024.18</v>
      </c>
      <c r="T1616">
        <v>362356.05</v>
      </c>
      <c r="U1616">
        <v>279421.96759999997</v>
      </c>
      <c r="V1616">
        <v>279421.96759999997</v>
      </c>
      <c r="AA1616" s="29" t="s">
        <v>43</v>
      </c>
      <c r="AB1616">
        <v>31200</v>
      </c>
      <c r="AC1616">
        <v>130</v>
      </c>
      <c r="AD1616">
        <v>3</v>
      </c>
      <c r="AE1616">
        <v>1.1000000000000001</v>
      </c>
      <c r="AF1616">
        <v>1.1000000000000001</v>
      </c>
      <c r="AG1616" s="29" t="s">
        <v>2270</v>
      </c>
      <c r="AH1616" s="29" t="s">
        <v>2507</v>
      </c>
      <c r="AI1616" s="29" t="s">
        <v>2508</v>
      </c>
      <c r="AJ1616" s="29"/>
      <c r="AL1616" s="29" t="s">
        <v>2271</v>
      </c>
    </row>
    <row r="1617" spans="15:38">
      <c r="O1617" t="s">
        <v>24</v>
      </c>
      <c r="P1617" t="s">
        <v>43</v>
      </c>
      <c r="Q1617" t="s">
        <v>6</v>
      </c>
      <c r="R1617" t="s">
        <v>54</v>
      </c>
      <c r="S1617">
        <v>2024.19</v>
      </c>
      <c r="T1617">
        <v>362356.05</v>
      </c>
      <c r="U1617">
        <v>279421.96759999997</v>
      </c>
      <c r="V1617">
        <v>279421.96759999997</v>
      </c>
      <c r="AA1617" s="29" t="s">
        <v>43</v>
      </c>
      <c r="AB1617">
        <v>31200</v>
      </c>
      <c r="AC1617">
        <v>130</v>
      </c>
      <c r="AD1617">
        <v>3</v>
      </c>
      <c r="AE1617">
        <v>11.1</v>
      </c>
      <c r="AF1617">
        <v>11.1</v>
      </c>
      <c r="AG1617" s="29" t="s">
        <v>2270</v>
      </c>
      <c r="AH1617" s="29" t="s">
        <v>2336</v>
      </c>
      <c r="AI1617" s="29" t="s">
        <v>2509</v>
      </c>
      <c r="AJ1617" s="29"/>
      <c r="AL1617" s="29" t="s">
        <v>2271</v>
      </c>
    </row>
    <row r="1618" spans="15:38">
      <c r="O1618" t="s">
        <v>24</v>
      </c>
      <c r="P1618" t="s">
        <v>43</v>
      </c>
      <c r="Q1618" t="s">
        <v>6</v>
      </c>
      <c r="R1618" t="s">
        <v>54</v>
      </c>
      <c r="S1618">
        <v>2024.2</v>
      </c>
      <c r="T1618">
        <v>362356.05</v>
      </c>
      <c r="U1618">
        <v>279421.96759999997</v>
      </c>
      <c r="V1618">
        <v>279421.96759999997</v>
      </c>
      <c r="AA1618" s="29" t="s">
        <v>43</v>
      </c>
      <c r="AB1618">
        <v>31200</v>
      </c>
      <c r="AC1618">
        <v>130</v>
      </c>
      <c r="AD1618">
        <v>3</v>
      </c>
      <c r="AE1618">
        <v>7.5</v>
      </c>
      <c r="AF1618">
        <v>7.5</v>
      </c>
      <c r="AG1618" s="29" t="s">
        <v>2270</v>
      </c>
      <c r="AH1618" s="29" t="s">
        <v>2510</v>
      </c>
      <c r="AI1618" s="29" t="s">
        <v>2511</v>
      </c>
      <c r="AJ1618" s="29"/>
      <c r="AL1618" s="29" t="s">
        <v>2271</v>
      </c>
    </row>
    <row r="1619" spans="15:38">
      <c r="O1619" t="s">
        <v>24</v>
      </c>
      <c r="P1619" t="s">
        <v>43</v>
      </c>
      <c r="Q1619" t="s">
        <v>6</v>
      </c>
      <c r="R1619" t="s">
        <v>54</v>
      </c>
      <c r="S1619">
        <v>2024.21</v>
      </c>
      <c r="T1619">
        <v>371344.55</v>
      </c>
      <c r="U1619">
        <v>279421.96759999997</v>
      </c>
      <c r="V1619">
        <v>279421.96759999997</v>
      </c>
      <c r="AA1619" s="29" t="s">
        <v>43</v>
      </c>
      <c r="AB1619">
        <v>31200</v>
      </c>
      <c r="AC1619">
        <v>130</v>
      </c>
      <c r="AD1619">
        <v>3</v>
      </c>
      <c r="AE1619">
        <v>6.06</v>
      </c>
      <c r="AF1619">
        <v>6.06</v>
      </c>
      <c r="AG1619" s="29" t="s">
        <v>2270</v>
      </c>
      <c r="AH1619" s="29" t="s">
        <v>2512</v>
      </c>
      <c r="AI1619" s="29" t="s">
        <v>2513</v>
      </c>
      <c r="AJ1619" s="29"/>
      <c r="AL1619" s="29" t="s">
        <v>2271</v>
      </c>
    </row>
    <row r="1620" spans="15:38">
      <c r="O1620" t="s">
        <v>24</v>
      </c>
      <c r="P1620" t="s">
        <v>43</v>
      </c>
      <c r="Q1620" t="s">
        <v>6</v>
      </c>
      <c r="R1620" t="s">
        <v>54</v>
      </c>
      <c r="S1620">
        <v>2024.28</v>
      </c>
      <c r="T1620">
        <v>372084.55</v>
      </c>
      <c r="U1620">
        <v>279421.96759999997</v>
      </c>
      <c r="V1620">
        <v>279421.96759999997</v>
      </c>
      <c r="AA1620" s="29" t="s">
        <v>43</v>
      </c>
      <c r="AB1620">
        <v>31200</v>
      </c>
      <c r="AC1620">
        <v>130</v>
      </c>
      <c r="AD1620">
        <v>3</v>
      </c>
      <c r="AE1620">
        <v>9.2100000000000009</v>
      </c>
      <c r="AF1620">
        <v>9.2100000000000009</v>
      </c>
      <c r="AG1620" s="29" t="s">
        <v>2270</v>
      </c>
      <c r="AH1620" s="29" t="s">
        <v>2514</v>
      </c>
      <c r="AI1620" s="29" t="s">
        <v>2515</v>
      </c>
      <c r="AJ1620" s="29"/>
      <c r="AL1620" s="29" t="s">
        <v>2271</v>
      </c>
    </row>
    <row r="1621" spans="15:38">
      <c r="O1621" t="s">
        <v>24</v>
      </c>
      <c r="P1621" t="s">
        <v>43</v>
      </c>
      <c r="Q1621" t="s">
        <v>6</v>
      </c>
      <c r="R1621" t="s">
        <v>54</v>
      </c>
      <c r="S1621">
        <v>2024.38</v>
      </c>
      <c r="T1621">
        <v>372424.55</v>
      </c>
      <c r="U1621">
        <v>279421.96759999997</v>
      </c>
      <c r="V1621">
        <v>279421.96759999997</v>
      </c>
      <c r="AA1621" s="29" t="s">
        <v>43</v>
      </c>
      <c r="AB1621">
        <v>31200</v>
      </c>
      <c r="AC1621">
        <v>130</v>
      </c>
      <c r="AD1621">
        <v>3</v>
      </c>
      <c r="AE1621">
        <v>4.32</v>
      </c>
      <c r="AF1621">
        <v>4.32</v>
      </c>
      <c r="AG1621" s="29" t="s">
        <v>2270</v>
      </c>
      <c r="AH1621" s="29" t="s">
        <v>2516</v>
      </c>
      <c r="AI1621" s="29" t="s">
        <v>2517</v>
      </c>
      <c r="AJ1621" s="29"/>
      <c r="AL1621" s="29" t="s">
        <v>2271</v>
      </c>
    </row>
    <row r="1622" spans="15:38">
      <c r="O1622" t="s">
        <v>24</v>
      </c>
      <c r="P1622" t="s">
        <v>43</v>
      </c>
      <c r="Q1622" t="s">
        <v>6</v>
      </c>
      <c r="R1622" t="s">
        <v>54</v>
      </c>
      <c r="S1622">
        <v>2024.39</v>
      </c>
      <c r="T1622">
        <v>372424.55</v>
      </c>
      <c r="U1622">
        <v>279421.96759999997</v>
      </c>
      <c r="V1622">
        <v>279421.96759999997</v>
      </c>
      <c r="AA1622" s="29" t="s">
        <v>43</v>
      </c>
      <c r="AB1622">
        <v>31200</v>
      </c>
      <c r="AC1622">
        <v>130</v>
      </c>
      <c r="AD1622">
        <v>3</v>
      </c>
      <c r="AE1622">
        <v>6.25</v>
      </c>
      <c r="AF1622">
        <v>6.25</v>
      </c>
      <c r="AG1622" s="29" t="s">
        <v>2270</v>
      </c>
      <c r="AH1622" s="29" t="s">
        <v>2518</v>
      </c>
      <c r="AI1622" s="29" t="s">
        <v>2519</v>
      </c>
      <c r="AJ1622" s="29"/>
      <c r="AL1622" s="29" t="s">
        <v>2271</v>
      </c>
    </row>
    <row r="1623" spans="15:38">
      <c r="O1623" t="s">
        <v>24</v>
      </c>
      <c r="P1623" t="s">
        <v>43</v>
      </c>
      <c r="Q1623" t="s">
        <v>6</v>
      </c>
      <c r="R1623" t="s">
        <v>54</v>
      </c>
      <c r="S1623">
        <v>2024.41</v>
      </c>
      <c r="T1623">
        <v>372424.55</v>
      </c>
      <c r="U1623">
        <v>279421.96759999997</v>
      </c>
      <c r="V1623">
        <v>279421.96759999997</v>
      </c>
      <c r="AA1623" s="29" t="s">
        <v>43</v>
      </c>
      <c r="AB1623">
        <v>31200</v>
      </c>
      <c r="AC1623">
        <v>130</v>
      </c>
      <c r="AD1623">
        <v>3</v>
      </c>
      <c r="AE1623">
        <v>40.71</v>
      </c>
      <c r="AF1623">
        <v>40.71</v>
      </c>
      <c r="AG1623" s="29" t="s">
        <v>2270</v>
      </c>
      <c r="AH1623" s="29" t="s">
        <v>2520</v>
      </c>
      <c r="AI1623" s="29" t="s">
        <v>2521</v>
      </c>
      <c r="AJ1623" s="29"/>
      <c r="AL1623" s="29" t="s">
        <v>2271</v>
      </c>
    </row>
    <row r="1624" spans="15:38">
      <c r="O1624" t="s">
        <v>24</v>
      </c>
      <c r="P1624" t="s">
        <v>43</v>
      </c>
      <c r="Q1624" t="s">
        <v>6</v>
      </c>
      <c r="R1624" t="s">
        <v>54</v>
      </c>
      <c r="S1624">
        <v>2024.43</v>
      </c>
      <c r="T1624">
        <v>372424.55</v>
      </c>
      <c r="U1624">
        <v>279421.96759999997</v>
      </c>
      <c r="V1624">
        <v>279421.96759999997</v>
      </c>
      <c r="AA1624" s="29" t="s">
        <v>43</v>
      </c>
      <c r="AB1624">
        <v>31200</v>
      </c>
      <c r="AC1624">
        <v>130</v>
      </c>
      <c r="AD1624">
        <v>3</v>
      </c>
      <c r="AE1624">
        <v>4.5</v>
      </c>
      <c r="AF1624">
        <v>4.5</v>
      </c>
      <c r="AG1624" s="29" t="s">
        <v>2270</v>
      </c>
      <c r="AH1624" s="29" t="s">
        <v>2522</v>
      </c>
      <c r="AI1624" s="29" t="s">
        <v>2523</v>
      </c>
      <c r="AJ1624" s="29"/>
      <c r="AL1624" s="29" t="s">
        <v>2271</v>
      </c>
    </row>
    <row r="1625" spans="15:38">
      <c r="O1625" t="s">
        <v>24</v>
      </c>
      <c r="P1625" t="s">
        <v>43</v>
      </c>
      <c r="Q1625" t="s">
        <v>6</v>
      </c>
      <c r="R1625" t="s">
        <v>54</v>
      </c>
      <c r="S1625">
        <v>2024.44</v>
      </c>
      <c r="T1625">
        <v>372424.55</v>
      </c>
      <c r="U1625">
        <v>385777.33880000003</v>
      </c>
      <c r="V1625">
        <v>385777.33880000003</v>
      </c>
      <c r="AA1625" s="29" t="s">
        <v>43</v>
      </c>
      <c r="AB1625">
        <v>31200</v>
      </c>
      <c r="AC1625">
        <v>130</v>
      </c>
      <c r="AD1625">
        <v>3</v>
      </c>
      <c r="AE1625">
        <v>20.7</v>
      </c>
      <c r="AF1625">
        <v>20.7</v>
      </c>
      <c r="AG1625" s="29" t="s">
        <v>2270</v>
      </c>
      <c r="AH1625" s="29" t="s">
        <v>2524</v>
      </c>
      <c r="AI1625" s="29" t="s">
        <v>2525</v>
      </c>
      <c r="AJ1625" s="29"/>
      <c r="AL1625" s="29" t="s">
        <v>2271</v>
      </c>
    </row>
    <row r="1626" spans="15:38">
      <c r="O1626" t="s">
        <v>24</v>
      </c>
      <c r="P1626" t="s">
        <v>43</v>
      </c>
      <c r="Q1626" t="s">
        <v>6</v>
      </c>
      <c r="R1626" t="s">
        <v>54</v>
      </c>
      <c r="S1626">
        <v>2024.45</v>
      </c>
      <c r="T1626">
        <v>372424.55</v>
      </c>
      <c r="U1626">
        <v>385777.33880000003</v>
      </c>
      <c r="V1626">
        <v>385777.33880000003</v>
      </c>
      <c r="AA1626" s="29" t="s">
        <v>43</v>
      </c>
      <c r="AB1626">
        <v>31200</v>
      </c>
      <c r="AC1626">
        <v>130</v>
      </c>
      <c r="AD1626">
        <v>3</v>
      </c>
      <c r="AE1626">
        <v>20</v>
      </c>
      <c r="AF1626">
        <v>20</v>
      </c>
      <c r="AG1626" s="29" t="s">
        <v>2270</v>
      </c>
      <c r="AH1626" s="29" t="s">
        <v>2362</v>
      </c>
      <c r="AI1626" s="29" t="s">
        <v>2363</v>
      </c>
      <c r="AJ1626" s="29"/>
      <c r="AL1626" s="29" t="s">
        <v>2271</v>
      </c>
    </row>
    <row r="1627" spans="15:38">
      <c r="O1627" t="s">
        <v>24</v>
      </c>
      <c r="P1627" t="s">
        <v>43</v>
      </c>
      <c r="Q1627" t="s">
        <v>6</v>
      </c>
      <c r="R1627" t="s">
        <v>54</v>
      </c>
      <c r="S1627">
        <v>2024.47</v>
      </c>
      <c r="T1627">
        <v>397009</v>
      </c>
      <c r="U1627">
        <v>385777.33880000003</v>
      </c>
      <c r="V1627">
        <v>385777.33880000003</v>
      </c>
      <c r="AA1627" s="29" t="s">
        <v>43</v>
      </c>
      <c r="AB1627">
        <v>31200</v>
      </c>
      <c r="AC1627">
        <v>130</v>
      </c>
      <c r="AD1627">
        <v>3</v>
      </c>
      <c r="AE1627">
        <v>9.6</v>
      </c>
      <c r="AF1627">
        <v>9.6</v>
      </c>
      <c r="AG1627" s="29" t="s">
        <v>2270</v>
      </c>
      <c r="AH1627" s="29" t="s">
        <v>2417</v>
      </c>
      <c r="AI1627" s="29" t="s">
        <v>2526</v>
      </c>
      <c r="AJ1627" s="29"/>
      <c r="AL1627" s="29" t="s">
        <v>2271</v>
      </c>
    </row>
    <row r="1628" spans="15:38">
      <c r="O1628" t="s">
        <v>24</v>
      </c>
      <c r="P1628" t="s">
        <v>43</v>
      </c>
      <c r="Q1628" t="s">
        <v>6</v>
      </c>
      <c r="R1628" t="s">
        <v>54</v>
      </c>
      <c r="S1628">
        <v>2024.48</v>
      </c>
      <c r="T1628">
        <v>398178.55</v>
      </c>
      <c r="U1628">
        <v>385777.33880000003</v>
      </c>
      <c r="V1628">
        <v>435777.33880000003</v>
      </c>
      <c r="AA1628" s="29" t="s">
        <v>43</v>
      </c>
      <c r="AB1628">
        <v>31200</v>
      </c>
      <c r="AC1628">
        <v>130</v>
      </c>
      <c r="AD1628">
        <v>3</v>
      </c>
      <c r="AE1628">
        <v>1.54</v>
      </c>
      <c r="AF1628">
        <v>1.54</v>
      </c>
      <c r="AG1628" s="29" t="s">
        <v>2270</v>
      </c>
      <c r="AH1628" s="29" t="s">
        <v>2527</v>
      </c>
      <c r="AI1628" s="29" t="s">
        <v>2528</v>
      </c>
      <c r="AJ1628" s="29"/>
      <c r="AL1628" s="29" t="s">
        <v>2271</v>
      </c>
    </row>
    <row r="1629" spans="15:38">
      <c r="O1629" t="s">
        <v>24</v>
      </c>
      <c r="P1629" t="s">
        <v>43</v>
      </c>
      <c r="Q1629" t="s">
        <v>6</v>
      </c>
      <c r="R1629" t="s">
        <v>54</v>
      </c>
      <c r="S1629">
        <v>2024.49</v>
      </c>
      <c r="T1629">
        <v>415238.55</v>
      </c>
      <c r="U1629">
        <v>385777.33880000003</v>
      </c>
      <c r="V1629">
        <v>435777.33880000003</v>
      </c>
      <c r="AA1629" s="29" t="s">
        <v>43</v>
      </c>
      <c r="AB1629">
        <v>31200</v>
      </c>
      <c r="AC1629">
        <v>130</v>
      </c>
      <c r="AD1629">
        <v>3</v>
      </c>
      <c r="AE1629">
        <v>0.23</v>
      </c>
      <c r="AF1629">
        <v>0.23</v>
      </c>
      <c r="AG1629" s="29" t="s">
        <v>2270</v>
      </c>
      <c r="AH1629" s="29" t="s">
        <v>2529</v>
      </c>
      <c r="AI1629" s="29" t="s">
        <v>2530</v>
      </c>
      <c r="AJ1629" s="29"/>
      <c r="AL1629" s="29" t="s">
        <v>2271</v>
      </c>
    </row>
    <row r="1630" spans="15:38">
      <c r="O1630" t="s">
        <v>24</v>
      </c>
      <c r="P1630" t="s">
        <v>43</v>
      </c>
      <c r="Q1630" t="s">
        <v>6</v>
      </c>
      <c r="R1630" t="s">
        <v>54</v>
      </c>
      <c r="S1630">
        <v>2025.03</v>
      </c>
      <c r="T1630">
        <v>422635.55</v>
      </c>
      <c r="U1630">
        <v>385777.33880000003</v>
      </c>
      <c r="V1630">
        <v>435777.33880000003</v>
      </c>
      <c r="AA1630" s="29" t="s">
        <v>43</v>
      </c>
      <c r="AB1630">
        <v>31200</v>
      </c>
      <c r="AC1630">
        <v>130</v>
      </c>
      <c r="AD1630">
        <v>3</v>
      </c>
      <c r="AE1630">
        <v>1.06</v>
      </c>
      <c r="AF1630">
        <v>1.06</v>
      </c>
      <c r="AG1630" s="29" t="s">
        <v>2270</v>
      </c>
      <c r="AH1630" s="29" t="s">
        <v>2531</v>
      </c>
      <c r="AI1630" s="29" t="s">
        <v>2532</v>
      </c>
      <c r="AJ1630" s="29"/>
      <c r="AL1630" s="29" t="s">
        <v>2271</v>
      </c>
    </row>
    <row r="1631" spans="15:38">
      <c r="O1631" t="s">
        <v>24</v>
      </c>
      <c r="P1631" t="s">
        <v>43</v>
      </c>
      <c r="Q1631" t="s">
        <v>6</v>
      </c>
      <c r="R1631" t="s">
        <v>54</v>
      </c>
      <c r="S1631">
        <v>2025.08</v>
      </c>
      <c r="T1631">
        <v>435135</v>
      </c>
      <c r="U1631">
        <v>385777.33880000003</v>
      </c>
      <c r="V1631">
        <v>435777.33880000003</v>
      </c>
      <c r="AA1631" s="29" t="s">
        <v>43</v>
      </c>
      <c r="AB1631">
        <v>31200</v>
      </c>
      <c r="AC1631">
        <v>130</v>
      </c>
      <c r="AD1631">
        <v>3</v>
      </c>
      <c r="AE1631">
        <v>5.82</v>
      </c>
      <c r="AF1631">
        <v>5.82</v>
      </c>
      <c r="AG1631" s="29" t="s">
        <v>2270</v>
      </c>
      <c r="AH1631" s="29" t="s">
        <v>2533</v>
      </c>
      <c r="AI1631" s="29" t="s">
        <v>2534</v>
      </c>
      <c r="AJ1631" s="29"/>
      <c r="AL1631" s="29" t="s">
        <v>2271</v>
      </c>
    </row>
    <row r="1632" spans="15:38">
      <c r="O1632" t="s">
        <v>24</v>
      </c>
      <c r="P1632" t="s">
        <v>43</v>
      </c>
      <c r="Q1632" t="s">
        <v>6</v>
      </c>
      <c r="R1632" t="s">
        <v>54</v>
      </c>
      <c r="S1632">
        <v>2025.1</v>
      </c>
      <c r="T1632">
        <v>439184</v>
      </c>
      <c r="U1632">
        <v>385777.33880000003</v>
      </c>
      <c r="V1632">
        <v>435777.33880000003</v>
      </c>
      <c r="AA1632" s="29" t="s">
        <v>43</v>
      </c>
      <c r="AB1632">
        <v>31200</v>
      </c>
      <c r="AC1632">
        <v>130</v>
      </c>
      <c r="AD1632">
        <v>3</v>
      </c>
      <c r="AE1632">
        <v>7</v>
      </c>
      <c r="AF1632">
        <v>7</v>
      </c>
      <c r="AG1632" s="29" t="s">
        <v>2270</v>
      </c>
      <c r="AH1632" s="29" t="s">
        <v>2278</v>
      </c>
      <c r="AI1632" s="29" t="s">
        <v>2357</v>
      </c>
      <c r="AJ1632" s="29"/>
      <c r="AL1632" s="29" t="s">
        <v>2271</v>
      </c>
    </row>
    <row r="1633" spans="15:38">
      <c r="O1633" t="s">
        <v>24</v>
      </c>
      <c r="P1633" t="s">
        <v>43</v>
      </c>
      <c r="Q1633" t="s">
        <v>6</v>
      </c>
      <c r="R1633" t="s">
        <v>54</v>
      </c>
      <c r="S1633">
        <v>2025.11</v>
      </c>
      <c r="T1633">
        <v>439184</v>
      </c>
      <c r="U1633">
        <v>385777.33880000003</v>
      </c>
      <c r="V1633">
        <v>435777.33880000003</v>
      </c>
      <c r="AA1633" s="29" t="s">
        <v>43</v>
      </c>
      <c r="AB1633">
        <v>31200</v>
      </c>
      <c r="AC1633">
        <v>130</v>
      </c>
      <c r="AD1633">
        <v>3</v>
      </c>
      <c r="AE1633">
        <v>1.06</v>
      </c>
      <c r="AF1633">
        <v>1.06</v>
      </c>
      <c r="AG1633" s="29" t="s">
        <v>2270</v>
      </c>
      <c r="AH1633" s="29" t="s">
        <v>2531</v>
      </c>
      <c r="AI1633" s="29" t="s">
        <v>2535</v>
      </c>
      <c r="AJ1633" s="29"/>
      <c r="AL1633" s="29" t="s">
        <v>2271</v>
      </c>
    </row>
    <row r="1634" spans="15:38">
      <c r="O1634" t="s">
        <v>24</v>
      </c>
      <c r="P1634" t="s">
        <v>43</v>
      </c>
      <c r="Q1634" t="s">
        <v>6</v>
      </c>
      <c r="R1634" t="s">
        <v>54</v>
      </c>
      <c r="S1634">
        <v>2025.12</v>
      </c>
      <c r="T1634">
        <v>442406</v>
      </c>
      <c r="U1634">
        <v>385777.33880000003</v>
      </c>
      <c r="V1634">
        <v>435777.33880000003</v>
      </c>
      <c r="AA1634" s="29" t="s">
        <v>43</v>
      </c>
      <c r="AB1634">
        <v>31200</v>
      </c>
      <c r="AC1634">
        <v>130</v>
      </c>
      <c r="AD1634">
        <v>3</v>
      </c>
      <c r="AE1634">
        <v>3.36</v>
      </c>
      <c r="AF1634">
        <v>3.36</v>
      </c>
      <c r="AG1634" s="29" t="s">
        <v>2270</v>
      </c>
      <c r="AH1634" s="29" t="s">
        <v>2536</v>
      </c>
      <c r="AI1634" s="29" t="s">
        <v>2537</v>
      </c>
      <c r="AJ1634" s="29"/>
      <c r="AL1634" s="29" t="s">
        <v>2271</v>
      </c>
    </row>
    <row r="1635" spans="15:38">
      <c r="O1635" t="s">
        <v>24</v>
      </c>
      <c r="P1635" t="s">
        <v>43</v>
      </c>
      <c r="Q1635" t="s">
        <v>6</v>
      </c>
      <c r="R1635" t="s">
        <v>65</v>
      </c>
      <c r="S1635">
        <v>2023.51</v>
      </c>
      <c r="T1635">
        <v>5244</v>
      </c>
      <c r="U1635">
        <v>0</v>
      </c>
      <c r="V1635">
        <v>0</v>
      </c>
      <c r="AA1635" s="29" t="s">
        <v>43</v>
      </c>
      <c r="AB1635">
        <v>31200</v>
      </c>
      <c r="AC1635">
        <v>130</v>
      </c>
      <c r="AD1635">
        <v>3</v>
      </c>
      <c r="AE1635">
        <v>0</v>
      </c>
      <c r="AF1635">
        <v>0</v>
      </c>
      <c r="AG1635" s="29" t="s">
        <v>2270</v>
      </c>
      <c r="AH1635" s="29" t="s">
        <v>2274</v>
      </c>
      <c r="AI1635" s="29" t="s">
        <v>2538</v>
      </c>
      <c r="AJ1635" s="29"/>
      <c r="AL1635" s="29" t="s">
        <v>2271</v>
      </c>
    </row>
    <row r="1636" spans="15:38">
      <c r="O1636" t="s">
        <v>24</v>
      </c>
      <c r="P1636" t="s">
        <v>43</v>
      </c>
      <c r="Q1636" t="s">
        <v>6</v>
      </c>
      <c r="R1636" t="s">
        <v>65</v>
      </c>
      <c r="S1636">
        <v>2024.09</v>
      </c>
      <c r="T1636">
        <v>5244</v>
      </c>
      <c r="U1636">
        <v>0</v>
      </c>
      <c r="V1636">
        <v>0</v>
      </c>
      <c r="AA1636" s="29" t="s">
        <v>43</v>
      </c>
      <c r="AB1636">
        <v>31200</v>
      </c>
      <c r="AC1636">
        <v>130</v>
      </c>
      <c r="AD1636">
        <v>3</v>
      </c>
      <c r="AE1636">
        <v>0.11</v>
      </c>
      <c r="AF1636">
        <v>0.11</v>
      </c>
      <c r="AG1636" s="29" t="s">
        <v>2270</v>
      </c>
      <c r="AH1636" s="29" t="s">
        <v>2539</v>
      </c>
      <c r="AI1636" s="29" t="s">
        <v>2540</v>
      </c>
      <c r="AJ1636" s="29"/>
      <c r="AL1636" s="29" t="s">
        <v>2271</v>
      </c>
    </row>
    <row r="1637" spans="15:38">
      <c r="O1637" t="s">
        <v>24</v>
      </c>
      <c r="P1637" t="s">
        <v>43</v>
      </c>
      <c r="Q1637" t="s">
        <v>6</v>
      </c>
      <c r="R1637" t="s">
        <v>65</v>
      </c>
      <c r="S1637">
        <v>2024.1</v>
      </c>
      <c r="T1637">
        <v>32208</v>
      </c>
      <c r="U1637">
        <v>0</v>
      </c>
      <c r="V1637">
        <v>0</v>
      </c>
      <c r="AA1637" s="29" t="s">
        <v>43</v>
      </c>
      <c r="AB1637">
        <v>31200</v>
      </c>
      <c r="AC1637">
        <v>130</v>
      </c>
      <c r="AD1637">
        <v>3</v>
      </c>
      <c r="AE1637">
        <v>0.32</v>
      </c>
      <c r="AF1637">
        <v>0.32</v>
      </c>
      <c r="AG1637" s="29" t="s">
        <v>2270</v>
      </c>
      <c r="AH1637" s="29" t="s">
        <v>2541</v>
      </c>
      <c r="AI1637" s="29" t="s">
        <v>2542</v>
      </c>
      <c r="AJ1637" s="29"/>
      <c r="AL1637" s="29" t="s">
        <v>2271</v>
      </c>
    </row>
    <row r="1638" spans="15:38">
      <c r="O1638" t="s">
        <v>24</v>
      </c>
      <c r="P1638" t="s">
        <v>43</v>
      </c>
      <c r="Q1638" t="s">
        <v>6</v>
      </c>
      <c r="R1638" t="s">
        <v>65</v>
      </c>
      <c r="S1638">
        <v>2024.11</v>
      </c>
      <c r="T1638">
        <v>32208</v>
      </c>
      <c r="U1638">
        <v>0</v>
      </c>
      <c r="V1638">
        <v>0</v>
      </c>
      <c r="AA1638" s="29" t="s">
        <v>43</v>
      </c>
      <c r="AB1638">
        <v>31200</v>
      </c>
      <c r="AC1638">
        <v>130</v>
      </c>
      <c r="AD1638">
        <v>3</v>
      </c>
      <c r="AE1638">
        <v>4.33</v>
      </c>
      <c r="AF1638">
        <v>4.33</v>
      </c>
      <c r="AG1638" s="29" t="s">
        <v>2270</v>
      </c>
      <c r="AH1638" s="29" t="s">
        <v>2543</v>
      </c>
      <c r="AI1638" s="29" t="s">
        <v>2544</v>
      </c>
      <c r="AJ1638" s="29"/>
      <c r="AL1638" s="29" t="s">
        <v>2271</v>
      </c>
    </row>
    <row r="1639" spans="15:38">
      <c r="O1639" t="s">
        <v>24</v>
      </c>
      <c r="P1639" t="s">
        <v>43</v>
      </c>
      <c r="Q1639" t="s">
        <v>6</v>
      </c>
      <c r="R1639" t="s">
        <v>65</v>
      </c>
      <c r="S1639">
        <v>2024.12</v>
      </c>
      <c r="T1639">
        <v>32208</v>
      </c>
      <c r="U1639">
        <v>0</v>
      </c>
      <c r="V1639">
        <v>0</v>
      </c>
      <c r="AA1639" s="29" t="s">
        <v>43</v>
      </c>
      <c r="AB1639">
        <v>31200</v>
      </c>
      <c r="AC1639">
        <v>130</v>
      </c>
      <c r="AD1639">
        <v>3</v>
      </c>
      <c r="AE1639">
        <v>0.6</v>
      </c>
      <c r="AF1639">
        <v>0.6</v>
      </c>
      <c r="AG1639" s="29" t="s">
        <v>2270</v>
      </c>
      <c r="AH1639" s="29" t="s">
        <v>2545</v>
      </c>
      <c r="AI1639" s="29" t="s">
        <v>2546</v>
      </c>
      <c r="AJ1639" s="29"/>
      <c r="AL1639" s="29" t="s">
        <v>2271</v>
      </c>
    </row>
    <row r="1640" spans="15:38">
      <c r="O1640" t="s">
        <v>24</v>
      </c>
      <c r="P1640" t="s">
        <v>43</v>
      </c>
      <c r="Q1640" t="s">
        <v>6</v>
      </c>
      <c r="R1640" t="s">
        <v>65</v>
      </c>
      <c r="S1640">
        <v>2024.14</v>
      </c>
      <c r="T1640">
        <v>32208</v>
      </c>
      <c r="U1640">
        <v>0</v>
      </c>
      <c r="V1640">
        <v>0</v>
      </c>
      <c r="AA1640" s="29" t="s">
        <v>43</v>
      </c>
      <c r="AB1640">
        <v>31200</v>
      </c>
      <c r="AC1640">
        <v>130</v>
      </c>
      <c r="AD1640">
        <v>3</v>
      </c>
      <c r="AE1640">
        <v>1.58</v>
      </c>
      <c r="AF1640">
        <v>1.58</v>
      </c>
      <c r="AG1640" s="29" t="s">
        <v>2270</v>
      </c>
      <c r="AH1640" s="29" t="s">
        <v>2547</v>
      </c>
      <c r="AI1640" s="29" t="s">
        <v>2548</v>
      </c>
      <c r="AJ1640" s="29"/>
      <c r="AL1640" s="29" t="s">
        <v>2271</v>
      </c>
    </row>
    <row r="1641" spans="15:38">
      <c r="O1641" t="s">
        <v>24</v>
      </c>
      <c r="P1641" t="s">
        <v>43</v>
      </c>
      <c r="Q1641" t="s">
        <v>6</v>
      </c>
      <c r="R1641" t="s">
        <v>65</v>
      </c>
      <c r="S1641">
        <v>2024.17</v>
      </c>
      <c r="T1641">
        <v>32208</v>
      </c>
      <c r="U1641">
        <v>0</v>
      </c>
      <c r="V1641">
        <v>0</v>
      </c>
      <c r="AA1641" s="29" t="s">
        <v>43</v>
      </c>
      <c r="AB1641">
        <v>31200</v>
      </c>
      <c r="AC1641">
        <v>130</v>
      </c>
      <c r="AD1641">
        <v>3</v>
      </c>
      <c r="AE1641">
        <v>9.8800000000000008</v>
      </c>
      <c r="AF1641">
        <v>9.8800000000000008</v>
      </c>
      <c r="AG1641" s="29" t="s">
        <v>2270</v>
      </c>
      <c r="AH1641" s="29" t="s">
        <v>2549</v>
      </c>
      <c r="AI1641" s="29" t="s">
        <v>2550</v>
      </c>
      <c r="AJ1641" s="29"/>
      <c r="AL1641" s="29" t="s">
        <v>2271</v>
      </c>
    </row>
    <row r="1642" spans="15:38">
      <c r="O1642" t="s">
        <v>24</v>
      </c>
      <c r="P1642" t="s">
        <v>43</v>
      </c>
      <c r="Q1642" t="s">
        <v>6</v>
      </c>
      <c r="R1642" t="s">
        <v>65</v>
      </c>
      <c r="S1642">
        <v>2024.18</v>
      </c>
      <c r="T1642">
        <v>32208</v>
      </c>
      <c r="U1642">
        <v>0</v>
      </c>
      <c r="V1642">
        <v>0</v>
      </c>
      <c r="AA1642" s="29" t="s">
        <v>43</v>
      </c>
      <c r="AB1642">
        <v>31200</v>
      </c>
      <c r="AC1642">
        <v>130</v>
      </c>
      <c r="AD1642">
        <v>3</v>
      </c>
      <c r="AE1642">
        <v>0</v>
      </c>
      <c r="AF1642">
        <v>0</v>
      </c>
      <c r="AG1642" s="29" t="s">
        <v>2270</v>
      </c>
      <c r="AH1642" s="29" t="s">
        <v>2274</v>
      </c>
      <c r="AI1642" s="29" t="s">
        <v>2551</v>
      </c>
      <c r="AJ1642" s="29"/>
      <c r="AL1642" s="29" t="s">
        <v>2271</v>
      </c>
    </row>
    <row r="1643" spans="15:38">
      <c r="O1643" t="s">
        <v>24</v>
      </c>
      <c r="P1643" t="s">
        <v>43</v>
      </c>
      <c r="Q1643" t="s">
        <v>6</v>
      </c>
      <c r="R1643" t="s">
        <v>65</v>
      </c>
      <c r="S1643">
        <v>2024.19</v>
      </c>
      <c r="T1643">
        <v>32208</v>
      </c>
      <c r="U1643">
        <v>0</v>
      </c>
      <c r="V1643">
        <v>0</v>
      </c>
      <c r="AA1643" s="29" t="s">
        <v>43</v>
      </c>
      <c r="AB1643">
        <v>31200</v>
      </c>
      <c r="AC1643">
        <v>130</v>
      </c>
      <c r="AD1643">
        <v>3</v>
      </c>
      <c r="AE1643">
        <v>2.88</v>
      </c>
      <c r="AF1643">
        <v>2.88</v>
      </c>
      <c r="AG1643" s="29" t="s">
        <v>2270</v>
      </c>
      <c r="AH1643" s="29" t="s">
        <v>2552</v>
      </c>
      <c r="AI1643" s="29" t="s">
        <v>2553</v>
      </c>
      <c r="AJ1643" s="29"/>
      <c r="AL1643" s="29" t="s">
        <v>2271</v>
      </c>
    </row>
    <row r="1644" spans="15:38">
      <c r="O1644" t="s">
        <v>24</v>
      </c>
      <c r="P1644" t="s">
        <v>43</v>
      </c>
      <c r="Q1644" t="s">
        <v>6</v>
      </c>
      <c r="R1644" t="s">
        <v>65</v>
      </c>
      <c r="S1644">
        <v>2024.2</v>
      </c>
      <c r="T1644">
        <v>32208</v>
      </c>
      <c r="U1644">
        <v>0</v>
      </c>
      <c r="V1644">
        <v>0</v>
      </c>
      <c r="AA1644" s="29" t="s">
        <v>43</v>
      </c>
      <c r="AB1644">
        <v>31200</v>
      </c>
      <c r="AC1644">
        <v>130</v>
      </c>
      <c r="AD1644">
        <v>3</v>
      </c>
      <c r="AE1644">
        <v>13.47</v>
      </c>
      <c r="AF1644">
        <v>13.47</v>
      </c>
      <c r="AG1644" s="29" t="s">
        <v>2270</v>
      </c>
      <c r="AH1644" s="29" t="s">
        <v>2554</v>
      </c>
      <c r="AI1644" s="29" t="s">
        <v>2555</v>
      </c>
      <c r="AJ1644" s="29"/>
      <c r="AL1644" s="29" t="s">
        <v>2271</v>
      </c>
    </row>
    <row r="1645" spans="15:38">
      <c r="O1645" t="s">
        <v>24</v>
      </c>
      <c r="P1645" t="s">
        <v>43</v>
      </c>
      <c r="Q1645" t="s">
        <v>6</v>
      </c>
      <c r="R1645" t="s">
        <v>65</v>
      </c>
      <c r="S1645">
        <v>2024.21</v>
      </c>
      <c r="T1645">
        <v>32208</v>
      </c>
      <c r="U1645">
        <v>0</v>
      </c>
      <c r="V1645">
        <v>0</v>
      </c>
      <c r="AA1645" s="29" t="s">
        <v>43</v>
      </c>
      <c r="AB1645">
        <v>31200</v>
      </c>
      <c r="AC1645">
        <v>130</v>
      </c>
      <c r="AD1645">
        <v>3</v>
      </c>
      <c r="AE1645">
        <v>19.600000000000001</v>
      </c>
      <c r="AF1645">
        <v>19.600000000000001</v>
      </c>
      <c r="AG1645" s="29" t="s">
        <v>2270</v>
      </c>
      <c r="AH1645" s="29" t="s">
        <v>2556</v>
      </c>
      <c r="AI1645" s="29" t="s">
        <v>2557</v>
      </c>
      <c r="AJ1645" s="29"/>
      <c r="AL1645" s="29" t="s">
        <v>2271</v>
      </c>
    </row>
    <row r="1646" spans="15:38">
      <c r="O1646" t="s">
        <v>24</v>
      </c>
      <c r="P1646" t="s">
        <v>43</v>
      </c>
      <c r="Q1646" t="s">
        <v>6</v>
      </c>
      <c r="R1646" t="s">
        <v>65</v>
      </c>
      <c r="S1646">
        <v>2024.28</v>
      </c>
      <c r="T1646">
        <v>32208</v>
      </c>
      <c r="U1646">
        <v>0</v>
      </c>
      <c r="V1646">
        <v>0</v>
      </c>
      <c r="AA1646" s="29" t="s">
        <v>43</v>
      </c>
      <c r="AB1646">
        <v>31200</v>
      </c>
      <c r="AC1646">
        <v>130</v>
      </c>
      <c r="AD1646">
        <v>3</v>
      </c>
      <c r="AE1646">
        <v>4.33</v>
      </c>
      <c r="AF1646">
        <v>4.33</v>
      </c>
      <c r="AG1646" s="29" t="s">
        <v>2270</v>
      </c>
      <c r="AH1646" s="29" t="s">
        <v>2543</v>
      </c>
      <c r="AI1646" s="29" t="s">
        <v>2544</v>
      </c>
      <c r="AJ1646" s="29"/>
      <c r="AL1646" s="29" t="s">
        <v>2271</v>
      </c>
    </row>
    <row r="1647" spans="15:38">
      <c r="O1647" t="s">
        <v>24</v>
      </c>
      <c r="P1647" t="s">
        <v>43</v>
      </c>
      <c r="Q1647" t="s">
        <v>6</v>
      </c>
      <c r="R1647" t="s">
        <v>65</v>
      </c>
      <c r="S1647">
        <v>2024.38</v>
      </c>
      <c r="T1647">
        <v>32208</v>
      </c>
      <c r="U1647">
        <v>0</v>
      </c>
      <c r="V1647">
        <v>0</v>
      </c>
      <c r="AA1647" s="29" t="s">
        <v>43</v>
      </c>
      <c r="AB1647">
        <v>31200</v>
      </c>
      <c r="AC1647">
        <v>130</v>
      </c>
      <c r="AD1647">
        <v>3</v>
      </c>
      <c r="AE1647">
        <v>27.39</v>
      </c>
      <c r="AF1647">
        <v>27.39</v>
      </c>
      <c r="AG1647" s="29" t="s">
        <v>2270</v>
      </c>
      <c r="AH1647" s="29" t="s">
        <v>2558</v>
      </c>
      <c r="AI1647" s="29" t="s">
        <v>2559</v>
      </c>
      <c r="AJ1647" s="29"/>
      <c r="AL1647" s="29" t="s">
        <v>2271</v>
      </c>
    </row>
    <row r="1648" spans="15:38">
      <c r="O1648" t="s">
        <v>24</v>
      </c>
      <c r="P1648" t="s">
        <v>43</v>
      </c>
      <c r="Q1648" t="s">
        <v>6</v>
      </c>
      <c r="R1648" t="s">
        <v>65</v>
      </c>
      <c r="S1648">
        <v>2024.39</v>
      </c>
      <c r="T1648">
        <v>32208</v>
      </c>
      <c r="U1648">
        <v>0</v>
      </c>
      <c r="V1648">
        <v>0</v>
      </c>
      <c r="AA1648" s="29" t="s">
        <v>43</v>
      </c>
      <c r="AB1648">
        <v>31200</v>
      </c>
      <c r="AC1648">
        <v>130</v>
      </c>
      <c r="AD1648">
        <v>3</v>
      </c>
      <c r="AE1648">
        <v>5.0199999999999996</v>
      </c>
      <c r="AF1648">
        <v>5.0199999999999996</v>
      </c>
      <c r="AG1648" s="29" t="s">
        <v>2270</v>
      </c>
      <c r="AH1648" s="29" t="s">
        <v>2560</v>
      </c>
      <c r="AI1648" s="29" t="s">
        <v>2561</v>
      </c>
      <c r="AJ1648" s="29"/>
      <c r="AL1648" s="29" t="s">
        <v>2271</v>
      </c>
    </row>
    <row r="1649" spans="15:38">
      <c r="O1649" t="s">
        <v>24</v>
      </c>
      <c r="P1649" t="s">
        <v>43</v>
      </c>
      <c r="Q1649" t="s">
        <v>6</v>
      </c>
      <c r="R1649" t="s">
        <v>65</v>
      </c>
      <c r="S1649">
        <v>2024.41</v>
      </c>
      <c r="T1649">
        <v>32208</v>
      </c>
      <c r="U1649">
        <v>0</v>
      </c>
      <c r="V1649">
        <v>0</v>
      </c>
      <c r="AA1649" s="29" t="s">
        <v>43</v>
      </c>
      <c r="AB1649">
        <v>31200</v>
      </c>
      <c r="AC1649">
        <v>130</v>
      </c>
      <c r="AD1649">
        <v>3</v>
      </c>
      <c r="AE1649">
        <v>3.01</v>
      </c>
      <c r="AF1649">
        <v>3.01</v>
      </c>
      <c r="AG1649" s="29" t="s">
        <v>2270</v>
      </c>
      <c r="AH1649" s="29" t="s">
        <v>2562</v>
      </c>
      <c r="AI1649" s="29" t="s">
        <v>2563</v>
      </c>
      <c r="AJ1649" s="29"/>
      <c r="AL1649" s="29" t="s">
        <v>2271</v>
      </c>
    </row>
    <row r="1650" spans="15:38">
      <c r="O1650" t="s">
        <v>24</v>
      </c>
      <c r="P1650" t="s">
        <v>43</v>
      </c>
      <c r="Q1650" t="s">
        <v>6</v>
      </c>
      <c r="R1650" t="s">
        <v>65</v>
      </c>
      <c r="S1650">
        <v>2024.43</v>
      </c>
      <c r="T1650">
        <v>32208</v>
      </c>
      <c r="U1650">
        <v>0</v>
      </c>
      <c r="V1650">
        <v>0</v>
      </c>
      <c r="AA1650" s="29" t="s">
        <v>43</v>
      </c>
      <c r="AB1650">
        <v>31200</v>
      </c>
      <c r="AC1650">
        <v>130</v>
      </c>
      <c r="AD1650">
        <v>3</v>
      </c>
      <c r="AE1650">
        <v>7.2</v>
      </c>
      <c r="AF1650">
        <v>7.2</v>
      </c>
      <c r="AG1650" s="29" t="s">
        <v>2270</v>
      </c>
      <c r="AH1650" s="29" t="s">
        <v>2564</v>
      </c>
      <c r="AI1650" s="29" t="s">
        <v>2565</v>
      </c>
      <c r="AJ1650" s="29"/>
      <c r="AL1650" s="29" t="s">
        <v>2271</v>
      </c>
    </row>
    <row r="1651" spans="15:38">
      <c r="O1651" t="s">
        <v>24</v>
      </c>
      <c r="P1651" t="s">
        <v>43</v>
      </c>
      <c r="Q1651" t="s">
        <v>6</v>
      </c>
      <c r="R1651" t="s">
        <v>65</v>
      </c>
      <c r="S1651">
        <v>2024.44</v>
      </c>
      <c r="T1651">
        <v>32208</v>
      </c>
      <c r="U1651">
        <v>0</v>
      </c>
      <c r="V1651">
        <v>0</v>
      </c>
      <c r="AA1651" s="29" t="s">
        <v>43</v>
      </c>
      <c r="AB1651">
        <v>31200</v>
      </c>
      <c r="AC1651">
        <v>130</v>
      </c>
      <c r="AD1651">
        <v>3</v>
      </c>
      <c r="AE1651">
        <v>1.02</v>
      </c>
      <c r="AF1651">
        <v>1.02</v>
      </c>
      <c r="AG1651" s="29" t="s">
        <v>2270</v>
      </c>
      <c r="AH1651" s="29" t="s">
        <v>2566</v>
      </c>
      <c r="AI1651" s="29" t="s">
        <v>2567</v>
      </c>
      <c r="AJ1651" s="29"/>
      <c r="AL1651" s="29" t="s">
        <v>2271</v>
      </c>
    </row>
    <row r="1652" spans="15:38">
      <c r="O1652" t="s">
        <v>24</v>
      </c>
      <c r="P1652" t="s">
        <v>43</v>
      </c>
      <c r="Q1652" t="s">
        <v>6</v>
      </c>
      <c r="R1652" t="s">
        <v>65</v>
      </c>
      <c r="S1652">
        <v>2024.45</v>
      </c>
      <c r="T1652">
        <v>32208</v>
      </c>
      <c r="U1652">
        <v>0</v>
      </c>
      <c r="V1652">
        <v>0</v>
      </c>
      <c r="AA1652" s="29" t="s">
        <v>43</v>
      </c>
      <c r="AB1652">
        <v>31200</v>
      </c>
      <c r="AC1652">
        <v>130</v>
      </c>
      <c r="AD1652">
        <v>3</v>
      </c>
      <c r="AE1652">
        <v>2030.39</v>
      </c>
      <c r="AF1652">
        <v>2030.39</v>
      </c>
      <c r="AG1652" s="29" t="s">
        <v>2270</v>
      </c>
      <c r="AH1652" s="29" t="s">
        <v>2568</v>
      </c>
      <c r="AI1652" s="29" t="s">
        <v>2569</v>
      </c>
      <c r="AJ1652" s="29"/>
      <c r="AL1652" s="29" t="s">
        <v>2271</v>
      </c>
    </row>
    <row r="1653" spans="15:38">
      <c r="O1653" t="s">
        <v>24</v>
      </c>
      <c r="P1653" t="s">
        <v>43</v>
      </c>
      <c r="Q1653" t="s">
        <v>6</v>
      </c>
      <c r="R1653" t="s">
        <v>65</v>
      </c>
      <c r="S1653">
        <v>2024.47</v>
      </c>
      <c r="T1653">
        <v>35150</v>
      </c>
      <c r="U1653">
        <v>0</v>
      </c>
      <c r="V1653">
        <v>0</v>
      </c>
      <c r="AA1653" s="29" t="s">
        <v>43</v>
      </c>
      <c r="AB1653">
        <v>31200</v>
      </c>
      <c r="AC1653">
        <v>130</v>
      </c>
      <c r="AD1653">
        <v>3</v>
      </c>
      <c r="AE1653">
        <v>2030.39</v>
      </c>
      <c r="AF1653">
        <v>2030.39</v>
      </c>
      <c r="AG1653" s="29" t="s">
        <v>2270</v>
      </c>
      <c r="AH1653" s="29" t="s">
        <v>2568</v>
      </c>
      <c r="AI1653" s="29" t="s">
        <v>2569</v>
      </c>
      <c r="AJ1653" s="29"/>
      <c r="AL1653" s="29" t="s">
        <v>2271</v>
      </c>
    </row>
    <row r="1654" spans="15:38">
      <c r="O1654" t="s">
        <v>24</v>
      </c>
      <c r="P1654" t="s">
        <v>43</v>
      </c>
      <c r="Q1654" t="s">
        <v>6</v>
      </c>
      <c r="R1654" t="s">
        <v>65</v>
      </c>
      <c r="S1654">
        <v>2024.48</v>
      </c>
      <c r="T1654">
        <v>36132.57</v>
      </c>
      <c r="U1654">
        <v>0</v>
      </c>
      <c r="V1654">
        <v>35150</v>
      </c>
      <c r="AA1654" s="29" t="s">
        <v>43</v>
      </c>
      <c r="AB1654">
        <v>31200</v>
      </c>
      <c r="AC1654">
        <v>130</v>
      </c>
      <c r="AD1654">
        <v>3</v>
      </c>
      <c r="AE1654">
        <v>4060.78</v>
      </c>
      <c r="AF1654">
        <v>4060.78</v>
      </c>
      <c r="AG1654" s="29" t="s">
        <v>2270</v>
      </c>
      <c r="AH1654" s="29" t="s">
        <v>2570</v>
      </c>
      <c r="AI1654" s="29" t="s">
        <v>2571</v>
      </c>
      <c r="AJ1654" s="29"/>
      <c r="AL1654" s="29" t="s">
        <v>2271</v>
      </c>
    </row>
    <row r="1655" spans="15:38">
      <c r="O1655" t="s">
        <v>24</v>
      </c>
      <c r="P1655" t="s">
        <v>43</v>
      </c>
      <c r="Q1655" t="s">
        <v>6</v>
      </c>
      <c r="R1655" t="s">
        <v>65</v>
      </c>
      <c r="S1655">
        <v>2024.49</v>
      </c>
      <c r="T1655">
        <v>36132.57</v>
      </c>
      <c r="U1655">
        <v>0</v>
      </c>
      <c r="V1655">
        <v>35150</v>
      </c>
      <c r="AA1655" s="29" t="s">
        <v>43</v>
      </c>
      <c r="AB1655">
        <v>31200</v>
      </c>
      <c r="AC1655">
        <v>130</v>
      </c>
      <c r="AD1655">
        <v>3</v>
      </c>
      <c r="AE1655">
        <v>1015.2</v>
      </c>
      <c r="AF1655">
        <v>1015.2</v>
      </c>
      <c r="AG1655" s="29" t="s">
        <v>2270</v>
      </c>
      <c r="AH1655" s="29" t="s">
        <v>2572</v>
      </c>
      <c r="AI1655" s="29" t="s">
        <v>2573</v>
      </c>
      <c r="AJ1655" s="29"/>
      <c r="AL1655" s="29" t="s">
        <v>2271</v>
      </c>
    </row>
    <row r="1656" spans="15:38">
      <c r="O1656" t="s">
        <v>24</v>
      </c>
      <c r="P1656" t="s">
        <v>43</v>
      </c>
      <c r="Q1656" t="s">
        <v>6</v>
      </c>
      <c r="R1656" t="s">
        <v>65</v>
      </c>
      <c r="S1656">
        <v>2025.03</v>
      </c>
      <c r="T1656">
        <v>36132.57</v>
      </c>
      <c r="U1656">
        <v>0</v>
      </c>
      <c r="V1656">
        <v>36132.57</v>
      </c>
      <c r="AA1656" s="29" t="s">
        <v>43</v>
      </c>
      <c r="AB1656">
        <v>31200</v>
      </c>
      <c r="AC1656">
        <v>130</v>
      </c>
      <c r="AD1656">
        <v>3</v>
      </c>
      <c r="AE1656">
        <v>1015.2</v>
      </c>
      <c r="AF1656">
        <v>1015.2</v>
      </c>
      <c r="AG1656" s="29" t="s">
        <v>2270</v>
      </c>
      <c r="AH1656" s="29" t="s">
        <v>2572</v>
      </c>
      <c r="AI1656" s="29" t="s">
        <v>2573</v>
      </c>
      <c r="AJ1656" s="29"/>
      <c r="AL1656" s="29" t="s">
        <v>2271</v>
      </c>
    </row>
    <row r="1657" spans="15:38">
      <c r="O1657" t="s">
        <v>24</v>
      </c>
      <c r="P1657" t="s">
        <v>43</v>
      </c>
      <c r="Q1657" t="s">
        <v>6</v>
      </c>
      <c r="R1657" t="s">
        <v>65</v>
      </c>
      <c r="S1657">
        <v>2025.08</v>
      </c>
      <c r="T1657">
        <v>36132.57</v>
      </c>
      <c r="U1657">
        <v>0</v>
      </c>
      <c r="V1657">
        <v>36132.57</v>
      </c>
      <c r="AA1657" s="29" t="s">
        <v>43</v>
      </c>
      <c r="AB1657">
        <v>31200</v>
      </c>
      <c r="AC1657">
        <v>130</v>
      </c>
      <c r="AD1657">
        <v>3</v>
      </c>
      <c r="AE1657">
        <v>0</v>
      </c>
      <c r="AF1657">
        <v>0</v>
      </c>
      <c r="AG1657" s="29" t="s">
        <v>2270</v>
      </c>
      <c r="AH1657" s="29" t="s">
        <v>2274</v>
      </c>
      <c r="AI1657" s="29" t="s">
        <v>2574</v>
      </c>
      <c r="AJ1657" s="29"/>
      <c r="AL1657" s="29" t="s">
        <v>2271</v>
      </c>
    </row>
    <row r="1658" spans="15:38">
      <c r="O1658" t="s">
        <v>24</v>
      </c>
      <c r="P1658" t="s">
        <v>43</v>
      </c>
      <c r="Q1658" t="s">
        <v>6</v>
      </c>
      <c r="R1658" t="s">
        <v>65</v>
      </c>
      <c r="S1658">
        <v>2025.1</v>
      </c>
      <c r="T1658">
        <v>36132.57</v>
      </c>
      <c r="U1658">
        <v>0</v>
      </c>
      <c r="V1658">
        <v>36132.57</v>
      </c>
      <c r="AA1658" s="29" t="s">
        <v>43</v>
      </c>
      <c r="AB1658">
        <v>31200</v>
      </c>
      <c r="AC1658">
        <v>130</v>
      </c>
      <c r="AD1658">
        <v>3</v>
      </c>
      <c r="AE1658">
        <v>2604.44</v>
      </c>
      <c r="AF1658">
        <v>2604.44</v>
      </c>
      <c r="AG1658" s="29" t="s">
        <v>2270</v>
      </c>
      <c r="AH1658" s="29" t="s">
        <v>2575</v>
      </c>
      <c r="AI1658" s="29" t="s">
        <v>2576</v>
      </c>
      <c r="AJ1658" s="29"/>
      <c r="AL1658" s="29" t="s">
        <v>2271</v>
      </c>
    </row>
    <row r="1659" spans="15:38">
      <c r="O1659" t="s">
        <v>24</v>
      </c>
      <c r="P1659" t="s">
        <v>43</v>
      </c>
      <c r="Q1659" t="s">
        <v>6</v>
      </c>
      <c r="R1659" t="s">
        <v>65</v>
      </c>
      <c r="S1659">
        <v>2025.11</v>
      </c>
      <c r="T1659">
        <v>36132.57</v>
      </c>
      <c r="U1659">
        <v>0</v>
      </c>
      <c r="V1659">
        <v>36132.57</v>
      </c>
      <c r="AA1659" s="29" t="s">
        <v>43</v>
      </c>
      <c r="AB1659">
        <v>31200</v>
      </c>
      <c r="AC1659">
        <v>130</v>
      </c>
      <c r="AD1659">
        <v>3</v>
      </c>
      <c r="AE1659">
        <v>2407.7800000000002</v>
      </c>
      <c r="AF1659">
        <v>2407.7800000000002</v>
      </c>
      <c r="AG1659" s="29" t="s">
        <v>2270</v>
      </c>
      <c r="AH1659" s="29" t="s">
        <v>2577</v>
      </c>
      <c r="AI1659" s="29" t="s">
        <v>2578</v>
      </c>
      <c r="AJ1659" s="29"/>
      <c r="AL1659" s="29" t="s">
        <v>2271</v>
      </c>
    </row>
    <row r="1660" spans="15:38">
      <c r="O1660" t="s">
        <v>24</v>
      </c>
      <c r="P1660" t="s">
        <v>43</v>
      </c>
      <c r="Q1660" t="s">
        <v>6</v>
      </c>
      <c r="R1660" t="s">
        <v>65</v>
      </c>
      <c r="S1660">
        <v>2025.12</v>
      </c>
      <c r="T1660">
        <v>36132.57</v>
      </c>
      <c r="U1660">
        <v>0</v>
      </c>
      <c r="V1660">
        <v>36132.57</v>
      </c>
      <c r="AA1660" s="29" t="s">
        <v>43</v>
      </c>
      <c r="AB1660">
        <v>31200</v>
      </c>
      <c r="AC1660">
        <v>130</v>
      </c>
      <c r="AD1660">
        <v>3</v>
      </c>
      <c r="AE1660">
        <v>0</v>
      </c>
      <c r="AF1660">
        <v>0</v>
      </c>
      <c r="AG1660" s="29" t="s">
        <v>2270</v>
      </c>
      <c r="AH1660" s="29" t="s">
        <v>2274</v>
      </c>
      <c r="AI1660" s="29" t="s">
        <v>2579</v>
      </c>
      <c r="AJ1660" s="29"/>
      <c r="AL1660" s="29" t="s">
        <v>2271</v>
      </c>
    </row>
    <row r="1661" spans="15:38">
      <c r="O1661" t="s">
        <v>24</v>
      </c>
      <c r="P1661" t="s">
        <v>43</v>
      </c>
      <c r="Q1661" t="s">
        <v>6</v>
      </c>
      <c r="R1661" t="s">
        <v>57</v>
      </c>
      <c r="S1661">
        <v>2024.18</v>
      </c>
      <c r="T1661">
        <v>201.29</v>
      </c>
      <c r="U1661">
        <v>0</v>
      </c>
      <c r="V1661">
        <v>0</v>
      </c>
      <c r="AA1661" s="29" t="s">
        <v>43</v>
      </c>
      <c r="AB1661">
        <v>31200</v>
      </c>
      <c r="AC1661">
        <v>130</v>
      </c>
      <c r="AD1661">
        <v>3</v>
      </c>
      <c r="AE1661">
        <v>0</v>
      </c>
      <c r="AF1661">
        <v>0</v>
      </c>
      <c r="AG1661" s="29" t="s">
        <v>2270</v>
      </c>
      <c r="AH1661" s="29" t="s">
        <v>2274</v>
      </c>
      <c r="AI1661" s="29" t="s">
        <v>2580</v>
      </c>
      <c r="AJ1661" s="29"/>
      <c r="AL1661" s="29" t="s">
        <v>2271</v>
      </c>
    </row>
    <row r="1662" spans="15:38">
      <c r="O1662" t="s">
        <v>24</v>
      </c>
      <c r="P1662" t="s">
        <v>43</v>
      </c>
      <c r="Q1662" t="s">
        <v>6</v>
      </c>
      <c r="R1662" t="s">
        <v>57</v>
      </c>
      <c r="S1662">
        <v>2024.19</v>
      </c>
      <c r="T1662">
        <v>201.29</v>
      </c>
      <c r="U1662">
        <v>0</v>
      </c>
      <c r="V1662">
        <v>0</v>
      </c>
      <c r="AA1662" s="29" t="s">
        <v>43</v>
      </c>
      <c r="AB1662">
        <v>31200</v>
      </c>
      <c r="AC1662">
        <v>130</v>
      </c>
      <c r="AD1662">
        <v>3</v>
      </c>
      <c r="AE1662">
        <v>0</v>
      </c>
      <c r="AF1662">
        <v>0</v>
      </c>
      <c r="AG1662" s="29" t="s">
        <v>2270</v>
      </c>
      <c r="AH1662" s="29" t="s">
        <v>2274</v>
      </c>
      <c r="AI1662" s="29" t="s">
        <v>2581</v>
      </c>
      <c r="AJ1662" s="29"/>
      <c r="AL1662" s="29" t="s">
        <v>2271</v>
      </c>
    </row>
    <row r="1663" spans="15:38">
      <c r="O1663" t="s">
        <v>24</v>
      </c>
      <c r="P1663" t="s">
        <v>43</v>
      </c>
      <c r="Q1663" t="s">
        <v>6</v>
      </c>
      <c r="R1663" t="s">
        <v>57</v>
      </c>
      <c r="S1663">
        <v>2024.2</v>
      </c>
      <c r="T1663">
        <v>201.29</v>
      </c>
      <c r="U1663">
        <v>0</v>
      </c>
      <c r="V1663">
        <v>0</v>
      </c>
      <c r="AA1663" s="29" t="s">
        <v>43</v>
      </c>
      <c r="AB1663">
        <v>31200</v>
      </c>
      <c r="AC1663">
        <v>130</v>
      </c>
      <c r="AD1663">
        <v>3</v>
      </c>
      <c r="AE1663">
        <v>0</v>
      </c>
      <c r="AF1663">
        <v>0</v>
      </c>
      <c r="AG1663" s="29" t="s">
        <v>2270</v>
      </c>
      <c r="AH1663" s="29" t="s">
        <v>2274</v>
      </c>
      <c r="AI1663" s="29" t="s">
        <v>2582</v>
      </c>
      <c r="AJ1663" s="29"/>
      <c r="AL1663" s="29" t="s">
        <v>2271</v>
      </c>
    </row>
    <row r="1664" spans="15:38">
      <c r="O1664" t="s">
        <v>24</v>
      </c>
      <c r="P1664" t="s">
        <v>43</v>
      </c>
      <c r="Q1664" t="s">
        <v>6</v>
      </c>
      <c r="R1664" t="s">
        <v>57</v>
      </c>
      <c r="S1664">
        <v>2024.21</v>
      </c>
      <c r="T1664">
        <v>201.29</v>
      </c>
      <c r="U1664">
        <v>0</v>
      </c>
      <c r="V1664">
        <v>0</v>
      </c>
      <c r="AA1664" s="29" t="s">
        <v>43</v>
      </c>
      <c r="AB1664">
        <v>31200</v>
      </c>
      <c r="AC1664">
        <v>130</v>
      </c>
      <c r="AD1664">
        <v>3</v>
      </c>
      <c r="AE1664">
        <v>8910</v>
      </c>
      <c r="AF1664">
        <v>8910</v>
      </c>
      <c r="AG1664" s="29" t="s">
        <v>2270</v>
      </c>
      <c r="AH1664" s="29" t="s">
        <v>2583</v>
      </c>
      <c r="AI1664" s="29" t="s">
        <v>2584</v>
      </c>
      <c r="AJ1664" s="29"/>
      <c r="AL1664" s="29" t="s">
        <v>2271</v>
      </c>
    </row>
    <row r="1665" spans="15:38">
      <c r="O1665" t="s">
        <v>24</v>
      </c>
      <c r="P1665" t="s">
        <v>43</v>
      </c>
      <c r="Q1665" t="s">
        <v>6</v>
      </c>
      <c r="R1665" t="s">
        <v>57</v>
      </c>
      <c r="S1665">
        <v>2024.28</v>
      </c>
      <c r="T1665">
        <v>201.29</v>
      </c>
      <c r="U1665">
        <v>0</v>
      </c>
      <c r="V1665">
        <v>0</v>
      </c>
      <c r="AA1665" s="29" t="s">
        <v>43</v>
      </c>
      <c r="AB1665">
        <v>31200</v>
      </c>
      <c r="AC1665">
        <v>130</v>
      </c>
      <c r="AD1665">
        <v>3</v>
      </c>
      <c r="AE1665">
        <v>8910</v>
      </c>
      <c r="AF1665">
        <v>8910</v>
      </c>
      <c r="AG1665" s="29" t="s">
        <v>2270</v>
      </c>
      <c r="AH1665" s="29" t="s">
        <v>2583</v>
      </c>
      <c r="AI1665" s="29" t="s">
        <v>2584</v>
      </c>
      <c r="AJ1665" s="29"/>
      <c r="AL1665" s="29" t="s">
        <v>2271</v>
      </c>
    </row>
    <row r="1666" spans="15:38">
      <c r="O1666" t="s">
        <v>24</v>
      </c>
      <c r="P1666" t="s">
        <v>43</v>
      </c>
      <c r="Q1666" t="s">
        <v>6</v>
      </c>
      <c r="R1666" t="s">
        <v>57</v>
      </c>
      <c r="S1666">
        <v>2024.38</v>
      </c>
      <c r="T1666">
        <v>201.29</v>
      </c>
      <c r="U1666">
        <v>0</v>
      </c>
      <c r="V1666">
        <v>0</v>
      </c>
      <c r="AA1666" s="29" t="s">
        <v>43</v>
      </c>
      <c r="AB1666">
        <v>31200</v>
      </c>
      <c r="AC1666">
        <v>130</v>
      </c>
      <c r="AD1666">
        <v>3</v>
      </c>
      <c r="AE1666">
        <v>4.75</v>
      </c>
      <c r="AF1666">
        <v>4.75</v>
      </c>
      <c r="AG1666" s="29" t="s">
        <v>2270</v>
      </c>
      <c r="AH1666" s="29" t="s">
        <v>2585</v>
      </c>
      <c r="AI1666" s="29" t="s">
        <v>2586</v>
      </c>
      <c r="AJ1666" s="29"/>
      <c r="AL1666" s="29" t="s">
        <v>2271</v>
      </c>
    </row>
    <row r="1667" spans="15:38">
      <c r="O1667" t="s">
        <v>24</v>
      </c>
      <c r="P1667" t="s">
        <v>43</v>
      </c>
      <c r="Q1667" t="s">
        <v>6</v>
      </c>
      <c r="R1667" t="s">
        <v>57</v>
      </c>
      <c r="S1667">
        <v>2024.39</v>
      </c>
      <c r="T1667">
        <v>201.29</v>
      </c>
      <c r="U1667">
        <v>0</v>
      </c>
      <c r="V1667">
        <v>0</v>
      </c>
      <c r="AA1667" s="29" t="s">
        <v>43</v>
      </c>
      <c r="AB1667">
        <v>31200</v>
      </c>
      <c r="AC1667">
        <v>130</v>
      </c>
      <c r="AD1667">
        <v>3</v>
      </c>
      <c r="AE1667">
        <v>316</v>
      </c>
      <c r="AF1667">
        <v>316</v>
      </c>
      <c r="AG1667" s="29" t="s">
        <v>2270</v>
      </c>
      <c r="AH1667" s="29" t="s">
        <v>2587</v>
      </c>
      <c r="AI1667" s="29" t="s">
        <v>2588</v>
      </c>
      <c r="AJ1667" s="29"/>
      <c r="AL1667" s="29" t="s">
        <v>2271</v>
      </c>
    </row>
    <row r="1668" spans="15:38">
      <c r="O1668" t="s">
        <v>24</v>
      </c>
      <c r="P1668" t="s">
        <v>43</v>
      </c>
      <c r="Q1668" t="s">
        <v>6</v>
      </c>
      <c r="R1668" t="s">
        <v>57</v>
      </c>
      <c r="S1668">
        <v>2024.41</v>
      </c>
      <c r="T1668">
        <v>201.29</v>
      </c>
      <c r="U1668">
        <v>0</v>
      </c>
      <c r="V1668">
        <v>0</v>
      </c>
      <c r="AA1668" s="29" t="s">
        <v>43</v>
      </c>
      <c r="AB1668">
        <v>31200</v>
      </c>
      <c r="AC1668">
        <v>130</v>
      </c>
      <c r="AD1668">
        <v>3</v>
      </c>
      <c r="AE1668">
        <v>0</v>
      </c>
      <c r="AF1668">
        <v>0</v>
      </c>
      <c r="AG1668" s="29" t="s">
        <v>2270</v>
      </c>
      <c r="AH1668" s="29" t="s">
        <v>2274</v>
      </c>
      <c r="AI1668" s="29" t="s">
        <v>2589</v>
      </c>
      <c r="AJ1668" s="29"/>
      <c r="AL1668" s="29" t="s">
        <v>2271</v>
      </c>
    </row>
    <row r="1669" spans="15:38">
      <c r="O1669" t="s">
        <v>24</v>
      </c>
      <c r="P1669" t="s">
        <v>43</v>
      </c>
      <c r="Q1669" t="s">
        <v>6</v>
      </c>
      <c r="R1669" t="s">
        <v>57</v>
      </c>
      <c r="S1669">
        <v>2024.43</v>
      </c>
      <c r="T1669">
        <v>201.29</v>
      </c>
      <c r="U1669">
        <v>0</v>
      </c>
      <c r="V1669">
        <v>0</v>
      </c>
      <c r="AA1669" s="29" t="s">
        <v>43</v>
      </c>
      <c r="AB1669">
        <v>31200</v>
      </c>
      <c r="AC1669">
        <v>130</v>
      </c>
      <c r="AD1669">
        <v>3</v>
      </c>
      <c r="AE1669">
        <v>1217.74</v>
      </c>
      <c r="AF1669">
        <v>1217.74</v>
      </c>
      <c r="AG1669" s="29" t="s">
        <v>2270</v>
      </c>
      <c r="AH1669" s="29" t="s">
        <v>2590</v>
      </c>
      <c r="AI1669" s="29" t="s">
        <v>2591</v>
      </c>
      <c r="AJ1669" s="29"/>
      <c r="AL1669" s="29" t="s">
        <v>2271</v>
      </c>
    </row>
    <row r="1670" spans="15:38">
      <c r="O1670" t="s">
        <v>24</v>
      </c>
      <c r="P1670" t="s">
        <v>43</v>
      </c>
      <c r="Q1670" t="s">
        <v>6</v>
      </c>
      <c r="R1670" t="s">
        <v>57</v>
      </c>
      <c r="S1670">
        <v>2024.44</v>
      </c>
      <c r="T1670">
        <v>201.29</v>
      </c>
      <c r="U1670">
        <v>0</v>
      </c>
      <c r="V1670">
        <v>0</v>
      </c>
      <c r="AA1670" s="29" t="s">
        <v>43</v>
      </c>
      <c r="AB1670">
        <v>31200</v>
      </c>
      <c r="AC1670">
        <v>130</v>
      </c>
      <c r="AD1670">
        <v>3</v>
      </c>
      <c r="AE1670">
        <v>32.71</v>
      </c>
      <c r="AF1670">
        <v>32.71</v>
      </c>
      <c r="AG1670" s="29" t="s">
        <v>2270</v>
      </c>
      <c r="AH1670" s="29" t="s">
        <v>2592</v>
      </c>
      <c r="AI1670" s="29" t="s">
        <v>2593</v>
      </c>
      <c r="AJ1670" s="29"/>
      <c r="AL1670" s="29" t="s">
        <v>2271</v>
      </c>
    </row>
    <row r="1671" spans="15:38">
      <c r="O1671" t="s">
        <v>24</v>
      </c>
      <c r="P1671" t="s">
        <v>43</v>
      </c>
      <c r="Q1671" t="s">
        <v>6</v>
      </c>
      <c r="R1671" t="s">
        <v>57</v>
      </c>
      <c r="S1671">
        <v>2024.45</v>
      </c>
      <c r="T1671">
        <v>201.29</v>
      </c>
      <c r="U1671">
        <v>0</v>
      </c>
      <c r="V1671">
        <v>0</v>
      </c>
      <c r="AA1671" s="29" t="s">
        <v>43</v>
      </c>
      <c r="AB1671">
        <v>31200</v>
      </c>
      <c r="AC1671">
        <v>130</v>
      </c>
      <c r="AD1671">
        <v>3</v>
      </c>
      <c r="AE1671">
        <v>58.91</v>
      </c>
      <c r="AF1671">
        <v>58.91</v>
      </c>
      <c r="AG1671" s="29" t="s">
        <v>2270</v>
      </c>
      <c r="AH1671" s="29" t="s">
        <v>2594</v>
      </c>
      <c r="AI1671" s="29" t="s">
        <v>2595</v>
      </c>
      <c r="AJ1671" s="29"/>
      <c r="AL1671" s="29" t="s">
        <v>2271</v>
      </c>
    </row>
    <row r="1672" spans="15:38">
      <c r="O1672" t="s">
        <v>24</v>
      </c>
      <c r="P1672" t="s">
        <v>43</v>
      </c>
      <c r="Q1672" t="s">
        <v>6</v>
      </c>
      <c r="R1672" t="s">
        <v>57</v>
      </c>
      <c r="S1672">
        <v>2024.47</v>
      </c>
      <c r="T1672">
        <v>201.29</v>
      </c>
      <c r="U1672">
        <v>0</v>
      </c>
      <c r="V1672">
        <v>0</v>
      </c>
      <c r="AA1672" s="29" t="s">
        <v>43</v>
      </c>
      <c r="AB1672">
        <v>31200</v>
      </c>
      <c r="AC1672">
        <v>130</v>
      </c>
      <c r="AD1672">
        <v>3</v>
      </c>
      <c r="AE1672">
        <v>0</v>
      </c>
      <c r="AF1672">
        <v>0</v>
      </c>
      <c r="AG1672" s="29" t="s">
        <v>2270</v>
      </c>
      <c r="AH1672" s="29" t="s">
        <v>2274</v>
      </c>
      <c r="AI1672" s="29" t="s">
        <v>770</v>
      </c>
      <c r="AJ1672" s="29"/>
      <c r="AL1672" s="29" t="s">
        <v>2271</v>
      </c>
    </row>
    <row r="1673" spans="15:38">
      <c r="O1673" t="s">
        <v>24</v>
      </c>
      <c r="P1673" t="s">
        <v>43</v>
      </c>
      <c r="Q1673" t="s">
        <v>6</v>
      </c>
      <c r="R1673" t="s">
        <v>57</v>
      </c>
      <c r="S1673">
        <v>2024.48</v>
      </c>
      <c r="T1673">
        <v>201.29</v>
      </c>
      <c r="U1673">
        <v>0</v>
      </c>
      <c r="V1673">
        <v>201.29</v>
      </c>
      <c r="AA1673" s="29" t="s">
        <v>43</v>
      </c>
      <c r="AB1673">
        <v>31200</v>
      </c>
      <c r="AC1673">
        <v>130</v>
      </c>
      <c r="AD1673">
        <v>3</v>
      </c>
      <c r="AE1673">
        <v>118000</v>
      </c>
      <c r="AF1673">
        <v>118000</v>
      </c>
      <c r="AG1673" s="29" t="s">
        <v>2270</v>
      </c>
      <c r="AH1673" s="29" t="s">
        <v>2596</v>
      </c>
      <c r="AI1673" s="29" t="s">
        <v>2597</v>
      </c>
      <c r="AJ1673" s="29"/>
      <c r="AL1673" s="29" t="s">
        <v>2271</v>
      </c>
    </row>
    <row r="1674" spans="15:38">
      <c r="O1674" t="s">
        <v>24</v>
      </c>
      <c r="P1674" t="s">
        <v>43</v>
      </c>
      <c r="Q1674" t="s">
        <v>6</v>
      </c>
      <c r="R1674" t="s">
        <v>57</v>
      </c>
      <c r="S1674">
        <v>2024.49</v>
      </c>
      <c r="T1674">
        <v>201.29</v>
      </c>
      <c r="U1674">
        <v>0</v>
      </c>
      <c r="V1674">
        <v>201.29</v>
      </c>
      <c r="AA1674" s="29" t="s">
        <v>43</v>
      </c>
      <c r="AB1674">
        <v>31200</v>
      </c>
      <c r="AC1674">
        <v>130</v>
      </c>
      <c r="AD1674">
        <v>3</v>
      </c>
      <c r="AE1674">
        <v>0</v>
      </c>
      <c r="AF1674">
        <v>0</v>
      </c>
      <c r="AG1674" s="29" t="s">
        <v>2270</v>
      </c>
      <c r="AH1674" s="29" t="s">
        <v>2274</v>
      </c>
      <c r="AI1674" s="29" t="s">
        <v>2598</v>
      </c>
      <c r="AJ1674" s="29"/>
      <c r="AL1674" s="29" t="s">
        <v>2271</v>
      </c>
    </row>
    <row r="1675" spans="15:38">
      <c r="O1675" t="s">
        <v>24</v>
      </c>
      <c r="P1675" t="s">
        <v>43</v>
      </c>
      <c r="Q1675" t="s">
        <v>6</v>
      </c>
      <c r="R1675" t="s">
        <v>57</v>
      </c>
      <c r="S1675">
        <v>2025.03</v>
      </c>
      <c r="T1675">
        <v>201.29</v>
      </c>
      <c r="U1675">
        <v>0</v>
      </c>
      <c r="V1675">
        <v>201.29</v>
      </c>
      <c r="AA1675" s="29" t="s">
        <v>43</v>
      </c>
      <c r="AB1675">
        <v>31200</v>
      </c>
      <c r="AC1675">
        <v>130</v>
      </c>
      <c r="AD1675">
        <v>3</v>
      </c>
      <c r="AE1675">
        <v>321.62</v>
      </c>
      <c r="AF1675">
        <v>321.62</v>
      </c>
      <c r="AG1675" s="29" t="s">
        <v>2270</v>
      </c>
      <c r="AH1675" s="29" t="s">
        <v>2599</v>
      </c>
      <c r="AI1675" s="29" t="s">
        <v>2600</v>
      </c>
      <c r="AJ1675" s="29"/>
      <c r="AL1675" s="29" t="s">
        <v>2271</v>
      </c>
    </row>
    <row r="1676" spans="15:38">
      <c r="O1676" t="s">
        <v>24</v>
      </c>
      <c r="P1676" t="s">
        <v>43</v>
      </c>
      <c r="Q1676" t="s">
        <v>6</v>
      </c>
      <c r="R1676" t="s">
        <v>57</v>
      </c>
      <c r="S1676">
        <v>2025.08</v>
      </c>
      <c r="T1676">
        <v>201.29</v>
      </c>
      <c r="U1676">
        <v>0</v>
      </c>
      <c r="V1676">
        <v>201.29</v>
      </c>
      <c r="AA1676" s="29" t="s">
        <v>43</v>
      </c>
      <c r="AB1676">
        <v>31200</v>
      </c>
      <c r="AC1676">
        <v>130</v>
      </c>
      <c r="AD1676">
        <v>3</v>
      </c>
      <c r="AE1676">
        <v>45.95</v>
      </c>
      <c r="AF1676">
        <v>45.95</v>
      </c>
      <c r="AG1676" s="29" t="s">
        <v>2270</v>
      </c>
      <c r="AH1676" s="29" t="s">
        <v>2601</v>
      </c>
      <c r="AI1676" s="29" t="s">
        <v>2602</v>
      </c>
      <c r="AJ1676" s="29"/>
      <c r="AL1676" s="29" t="s">
        <v>2271</v>
      </c>
    </row>
    <row r="1677" spans="15:38">
      <c r="O1677" t="s">
        <v>24</v>
      </c>
      <c r="P1677" t="s">
        <v>43</v>
      </c>
      <c r="Q1677" t="s">
        <v>6</v>
      </c>
      <c r="R1677" t="s">
        <v>57</v>
      </c>
      <c r="S1677">
        <v>2025.1</v>
      </c>
      <c r="T1677">
        <v>201.29</v>
      </c>
      <c r="U1677">
        <v>0</v>
      </c>
      <c r="V1677">
        <v>201.29</v>
      </c>
      <c r="AA1677" s="29" t="s">
        <v>43</v>
      </c>
      <c r="AB1677">
        <v>31200</v>
      </c>
      <c r="AC1677">
        <v>130</v>
      </c>
      <c r="AD1677">
        <v>3</v>
      </c>
      <c r="AE1677">
        <v>54</v>
      </c>
      <c r="AF1677">
        <v>54</v>
      </c>
      <c r="AG1677" s="29" t="s">
        <v>2270</v>
      </c>
      <c r="AH1677" s="29" t="s">
        <v>2603</v>
      </c>
      <c r="AI1677" s="29" t="s">
        <v>2604</v>
      </c>
      <c r="AJ1677" s="29"/>
      <c r="AL1677" s="29" t="s">
        <v>2271</v>
      </c>
    </row>
    <row r="1678" spans="15:38">
      <c r="O1678" t="s">
        <v>24</v>
      </c>
      <c r="P1678" t="s">
        <v>43</v>
      </c>
      <c r="Q1678" t="s">
        <v>6</v>
      </c>
      <c r="R1678" t="s">
        <v>57</v>
      </c>
      <c r="S1678">
        <v>2025.11</v>
      </c>
      <c r="T1678">
        <v>201.29</v>
      </c>
      <c r="U1678">
        <v>0</v>
      </c>
      <c r="V1678">
        <v>201.29</v>
      </c>
      <c r="AA1678" s="29" t="s">
        <v>43</v>
      </c>
      <c r="AB1678">
        <v>31200</v>
      </c>
      <c r="AC1678">
        <v>130</v>
      </c>
      <c r="AD1678">
        <v>3</v>
      </c>
      <c r="AE1678">
        <v>0</v>
      </c>
      <c r="AF1678">
        <v>0</v>
      </c>
      <c r="AG1678" s="29" t="s">
        <v>2270</v>
      </c>
      <c r="AH1678" s="29" t="s">
        <v>2274</v>
      </c>
      <c r="AI1678" s="29" t="s">
        <v>2605</v>
      </c>
      <c r="AJ1678" s="29"/>
      <c r="AL1678" s="29" t="s">
        <v>2271</v>
      </c>
    </row>
    <row r="1679" spans="15:38">
      <c r="O1679" t="s">
        <v>24</v>
      </c>
      <c r="P1679" t="s">
        <v>43</v>
      </c>
      <c r="Q1679" t="s">
        <v>6</v>
      </c>
      <c r="R1679" t="s">
        <v>57</v>
      </c>
      <c r="S1679">
        <v>2025.12</v>
      </c>
      <c r="T1679">
        <v>201.29</v>
      </c>
      <c r="U1679">
        <v>0</v>
      </c>
      <c r="V1679">
        <v>201.29</v>
      </c>
      <c r="AA1679" s="29" t="s">
        <v>43</v>
      </c>
      <c r="AB1679">
        <v>31200</v>
      </c>
      <c r="AC1679">
        <v>130</v>
      </c>
      <c r="AD1679">
        <v>3</v>
      </c>
      <c r="AE1679">
        <v>11.88</v>
      </c>
      <c r="AF1679">
        <v>11.88</v>
      </c>
      <c r="AG1679" s="29" t="s">
        <v>2270</v>
      </c>
      <c r="AH1679" s="29" t="s">
        <v>2606</v>
      </c>
      <c r="AI1679" s="29" t="s">
        <v>2607</v>
      </c>
      <c r="AJ1679" s="29"/>
      <c r="AL1679" s="29" t="s">
        <v>2271</v>
      </c>
    </row>
    <row r="1680" spans="15:38">
      <c r="O1680" t="s">
        <v>24</v>
      </c>
      <c r="P1680" t="s">
        <v>43</v>
      </c>
      <c r="Q1680" t="s">
        <v>6</v>
      </c>
      <c r="R1680" t="s">
        <v>58</v>
      </c>
      <c r="S1680">
        <v>2023.47</v>
      </c>
      <c r="T1680">
        <v>0</v>
      </c>
      <c r="U1680">
        <v>296175.97590000002</v>
      </c>
      <c r="V1680">
        <v>296175.97590000002</v>
      </c>
      <c r="AA1680" s="29" t="s">
        <v>43</v>
      </c>
      <c r="AB1680">
        <v>31200</v>
      </c>
      <c r="AC1680">
        <v>130</v>
      </c>
      <c r="AD1680">
        <v>3</v>
      </c>
      <c r="AE1680">
        <v>10.72</v>
      </c>
      <c r="AF1680">
        <v>10.72</v>
      </c>
      <c r="AG1680" s="29" t="s">
        <v>2270</v>
      </c>
      <c r="AH1680" s="29" t="s">
        <v>2608</v>
      </c>
      <c r="AI1680" s="29" t="s">
        <v>2609</v>
      </c>
      <c r="AJ1680" s="29"/>
      <c r="AL1680" s="29" t="s">
        <v>2271</v>
      </c>
    </row>
    <row r="1681" spans="15:38">
      <c r="O1681" t="s">
        <v>24</v>
      </c>
      <c r="P1681" t="s">
        <v>43</v>
      </c>
      <c r="Q1681" t="s">
        <v>6</v>
      </c>
      <c r="R1681" t="s">
        <v>58</v>
      </c>
      <c r="S1681">
        <v>2023.51</v>
      </c>
      <c r="T1681">
        <v>34764.949999999997</v>
      </c>
      <c r="U1681">
        <v>296175.97590000002</v>
      </c>
      <c r="V1681">
        <v>296175.97590000002</v>
      </c>
      <c r="AA1681" s="29" t="s">
        <v>43</v>
      </c>
      <c r="AB1681">
        <v>31200</v>
      </c>
      <c r="AC1681">
        <v>130</v>
      </c>
      <c r="AD1681">
        <v>3</v>
      </c>
      <c r="AE1681">
        <v>0.75</v>
      </c>
      <c r="AF1681">
        <v>0.75</v>
      </c>
      <c r="AG1681" s="29" t="s">
        <v>2270</v>
      </c>
      <c r="AH1681" s="29" t="s">
        <v>2610</v>
      </c>
      <c r="AI1681" s="29" t="s">
        <v>2611</v>
      </c>
      <c r="AJ1681" s="29"/>
      <c r="AL1681" s="29" t="s">
        <v>2271</v>
      </c>
    </row>
    <row r="1682" spans="15:38">
      <c r="O1682" t="s">
        <v>24</v>
      </c>
      <c r="P1682" t="s">
        <v>43</v>
      </c>
      <c r="Q1682" t="s">
        <v>6</v>
      </c>
      <c r="R1682" t="s">
        <v>58</v>
      </c>
      <c r="S1682">
        <v>2024.05</v>
      </c>
      <c r="T1682">
        <v>23908.71</v>
      </c>
      <c r="U1682">
        <v>296175.97590000002</v>
      </c>
      <c r="V1682">
        <v>296175.97590000002</v>
      </c>
      <c r="AA1682" s="29" t="s">
        <v>43</v>
      </c>
      <c r="AB1682">
        <v>31200</v>
      </c>
      <c r="AC1682">
        <v>130</v>
      </c>
      <c r="AD1682">
        <v>3</v>
      </c>
      <c r="AE1682">
        <v>316</v>
      </c>
      <c r="AF1682">
        <v>316</v>
      </c>
      <c r="AG1682" s="29" t="s">
        <v>2270</v>
      </c>
      <c r="AH1682" s="29" t="s">
        <v>2587</v>
      </c>
      <c r="AI1682" s="29" t="s">
        <v>2588</v>
      </c>
      <c r="AJ1682" s="29"/>
      <c r="AL1682" s="29" t="s">
        <v>2271</v>
      </c>
    </row>
    <row r="1683" spans="15:38">
      <c r="O1683" t="s">
        <v>24</v>
      </c>
      <c r="P1683" t="s">
        <v>43</v>
      </c>
      <c r="Q1683" t="s">
        <v>6</v>
      </c>
      <c r="R1683" t="s">
        <v>58</v>
      </c>
      <c r="S1683">
        <v>2024.06</v>
      </c>
      <c r="T1683">
        <v>24110.37</v>
      </c>
      <c r="U1683">
        <v>296175.97590000002</v>
      </c>
      <c r="V1683">
        <v>296175.97590000002</v>
      </c>
      <c r="AA1683" s="29" t="s">
        <v>43</v>
      </c>
      <c r="AB1683">
        <v>31200</v>
      </c>
      <c r="AC1683">
        <v>130</v>
      </c>
      <c r="AD1683">
        <v>3</v>
      </c>
      <c r="AE1683">
        <v>16.649999999999999</v>
      </c>
      <c r="AF1683">
        <v>16.649999999999999</v>
      </c>
      <c r="AG1683" s="29" t="s">
        <v>2270</v>
      </c>
      <c r="AH1683" s="29" t="s">
        <v>2612</v>
      </c>
      <c r="AI1683" s="29" t="s">
        <v>2613</v>
      </c>
      <c r="AJ1683" s="29"/>
      <c r="AL1683" s="29" t="s">
        <v>2271</v>
      </c>
    </row>
    <row r="1684" spans="15:38">
      <c r="O1684" t="s">
        <v>24</v>
      </c>
      <c r="P1684" t="s">
        <v>43</v>
      </c>
      <c r="Q1684" t="s">
        <v>6</v>
      </c>
      <c r="R1684" t="s">
        <v>58</v>
      </c>
      <c r="S1684">
        <v>2024.07</v>
      </c>
      <c r="T1684">
        <v>24110.37</v>
      </c>
      <c r="U1684">
        <v>296175.97590000002</v>
      </c>
      <c r="V1684">
        <v>296175.97590000002</v>
      </c>
      <c r="AA1684" s="29" t="s">
        <v>43</v>
      </c>
      <c r="AB1684">
        <v>31200</v>
      </c>
      <c r="AC1684">
        <v>130</v>
      </c>
      <c r="AD1684">
        <v>3</v>
      </c>
      <c r="AE1684">
        <v>8.08</v>
      </c>
      <c r="AF1684">
        <v>8.08</v>
      </c>
      <c r="AG1684" s="29" t="s">
        <v>2270</v>
      </c>
      <c r="AH1684" s="29" t="s">
        <v>2614</v>
      </c>
      <c r="AI1684" s="29" t="s">
        <v>2615</v>
      </c>
      <c r="AJ1684" s="29"/>
      <c r="AL1684" s="29" t="s">
        <v>2271</v>
      </c>
    </row>
    <row r="1685" spans="15:38">
      <c r="O1685" t="s">
        <v>24</v>
      </c>
      <c r="P1685" t="s">
        <v>43</v>
      </c>
      <c r="Q1685" t="s">
        <v>6</v>
      </c>
      <c r="R1685" t="s">
        <v>58</v>
      </c>
      <c r="S1685">
        <v>2024.08</v>
      </c>
      <c r="T1685">
        <v>27711.09</v>
      </c>
      <c r="U1685">
        <v>296175.97590000002</v>
      </c>
      <c r="V1685">
        <v>296175.97590000002</v>
      </c>
      <c r="AA1685" s="29" t="s">
        <v>43</v>
      </c>
      <c r="AB1685">
        <v>31200</v>
      </c>
      <c r="AC1685">
        <v>130</v>
      </c>
      <c r="AD1685">
        <v>3</v>
      </c>
      <c r="AE1685">
        <v>6.16</v>
      </c>
      <c r="AF1685">
        <v>6.16</v>
      </c>
      <c r="AG1685" s="29" t="s">
        <v>2270</v>
      </c>
      <c r="AH1685" s="29" t="s">
        <v>2616</v>
      </c>
      <c r="AI1685" s="29" t="s">
        <v>2617</v>
      </c>
      <c r="AJ1685" s="29"/>
      <c r="AL1685" s="29" t="s">
        <v>2271</v>
      </c>
    </row>
    <row r="1686" spans="15:38">
      <c r="O1686" t="s">
        <v>24</v>
      </c>
      <c r="P1686" t="s">
        <v>43</v>
      </c>
      <c r="Q1686" t="s">
        <v>6</v>
      </c>
      <c r="R1686" t="s">
        <v>58</v>
      </c>
      <c r="S1686">
        <v>2024.09</v>
      </c>
      <c r="T1686">
        <v>34764.949999999997</v>
      </c>
      <c r="U1686">
        <v>296175.97590000002</v>
      </c>
      <c r="V1686">
        <v>296175.97590000002</v>
      </c>
      <c r="AA1686" s="29" t="s">
        <v>43</v>
      </c>
      <c r="AB1686">
        <v>31200</v>
      </c>
      <c r="AC1686">
        <v>130</v>
      </c>
      <c r="AD1686">
        <v>3</v>
      </c>
      <c r="AE1686">
        <v>0</v>
      </c>
      <c r="AF1686">
        <v>0</v>
      </c>
      <c r="AG1686" s="29" t="s">
        <v>2270</v>
      </c>
      <c r="AH1686" s="29" t="s">
        <v>2274</v>
      </c>
      <c r="AI1686" s="29" t="s">
        <v>2618</v>
      </c>
      <c r="AJ1686" s="29"/>
      <c r="AL1686" s="29" t="s">
        <v>2271</v>
      </c>
    </row>
    <row r="1687" spans="15:38">
      <c r="O1687" t="s">
        <v>24</v>
      </c>
      <c r="P1687" t="s">
        <v>43</v>
      </c>
      <c r="Q1687" t="s">
        <v>6</v>
      </c>
      <c r="R1687" t="s">
        <v>58</v>
      </c>
      <c r="S1687">
        <v>2024.1</v>
      </c>
      <c r="T1687">
        <v>28409.75</v>
      </c>
      <c r="U1687">
        <v>296175.97590000002</v>
      </c>
      <c r="V1687">
        <v>296175.97590000002</v>
      </c>
      <c r="AA1687" s="29" t="s">
        <v>43</v>
      </c>
      <c r="AB1687">
        <v>31200</v>
      </c>
      <c r="AC1687">
        <v>130</v>
      </c>
      <c r="AD1687">
        <v>3</v>
      </c>
      <c r="AE1687">
        <v>0</v>
      </c>
      <c r="AF1687">
        <v>0</v>
      </c>
      <c r="AG1687" s="29" t="s">
        <v>2270</v>
      </c>
      <c r="AH1687" s="29" t="s">
        <v>2274</v>
      </c>
      <c r="AI1687" s="29" t="s">
        <v>2619</v>
      </c>
      <c r="AJ1687" s="29"/>
      <c r="AL1687" s="29" t="s">
        <v>2271</v>
      </c>
    </row>
    <row r="1688" spans="15:38">
      <c r="O1688" t="s">
        <v>24</v>
      </c>
      <c r="P1688" t="s">
        <v>43</v>
      </c>
      <c r="Q1688" t="s">
        <v>6</v>
      </c>
      <c r="R1688" t="s">
        <v>58</v>
      </c>
      <c r="S1688">
        <v>2024.11</v>
      </c>
      <c r="T1688">
        <v>28454.43</v>
      </c>
      <c r="U1688">
        <v>296175.97590000002</v>
      </c>
      <c r="V1688">
        <v>296175.97590000002</v>
      </c>
      <c r="AA1688" s="29" t="s">
        <v>43</v>
      </c>
      <c r="AB1688">
        <v>31200</v>
      </c>
      <c r="AC1688">
        <v>130</v>
      </c>
      <c r="AD1688">
        <v>3</v>
      </c>
      <c r="AE1688">
        <v>0</v>
      </c>
      <c r="AF1688">
        <v>0</v>
      </c>
      <c r="AG1688" s="29" t="s">
        <v>2270</v>
      </c>
      <c r="AH1688" s="29" t="s">
        <v>2274</v>
      </c>
      <c r="AI1688" s="29" t="s">
        <v>2620</v>
      </c>
      <c r="AJ1688" s="29"/>
      <c r="AL1688" s="29" t="s">
        <v>2271</v>
      </c>
    </row>
    <row r="1689" spans="15:38">
      <c r="O1689" t="s">
        <v>24</v>
      </c>
      <c r="P1689" t="s">
        <v>43</v>
      </c>
      <c r="Q1689" t="s">
        <v>6</v>
      </c>
      <c r="R1689" t="s">
        <v>58</v>
      </c>
      <c r="S1689">
        <v>2024.12</v>
      </c>
      <c r="T1689">
        <v>28454.43</v>
      </c>
      <c r="U1689">
        <v>296175.97590000002</v>
      </c>
      <c r="V1689">
        <v>296175.97590000002</v>
      </c>
      <c r="AA1689" s="29" t="s">
        <v>43</v>
      </c>
      <c r="AB1689">
        <v>31200</v>
      </c>
      <c r="AC1689">
        <v>130</v>
      </c>
      <c r="AD1689">
        <v>3</v>
      </c>
      <c r="AE1689">
        <v>0</v>
      </c>
      <c r="AF1689">
        <v>0</v>
      </c>
      <c r="AG1689" s="29" t="s">
        <v>2270</v>
      </c>
      <c r="AH1689" s="29" t="s">
        <v>2274</v>
      </c>
      <c r="AI1689" s="29" t="s">
        <v>2621</v>
      </c>
      <c r="AJ1689" s="29"/>
      <c r="AL1689" s="29" t="s">
        <v>2271</v>
      </c>
    </row>
    <row r="1690" spans="15:38">
      <c r="O1690" t="s">
        <v>24</v>
      </c>
      <c r="P1690" t="s">
        <v>43</v>
      </c>
      <c r="Q1690" t="s">
        <v>6</v>
      </c>
      <c r="R1690" t="s">
        <v>58</v>
      </c>
      <c r="S1690">
        <v>2024.14</v>
      </c>
      <c r="T1690">
        <v>28454.43</v>
      </c>
      <c r="U1690">
        <v>296175.97590000002</v>
      </c>
      <c r="V1690">
        <v>296175.97590000002</v>
      </c>
      <c r="AA1690" s="29" t="s">
        <v>43</v>
      </c>
      <c r="AB1690">
        <v>31200</v>
      </c>
      <c r="AC1690">
        <v>130</v>
      </c>
      <c r="AD1690">
        <v>3</v>
      </c>
      <c r="AE1690">
        <v>40.98</v>
      </c>
      <c r="AF1690">
        <v>40.98</v>
      </c>
      <c r="AG1690" s="29" t="s">
        <v>2270</v>
      </c>
      <c r="AH1690" s="29" t="s">
        <v>2622</v>
      </c>
      <c r="AI1690" s="29" t="s">
        <v>2623</v>
      </c>
      <c r="AJ1690" s="29"/>
      <c r="AL1690" s="29" t="s">
        <v>2271</v>
      </c>
    </row>
    <row r="1691" spans="15:38">
      <c r="O1691" t="s">
        <v>24</v>
      </c>
      <c r="P1691" t="s">
        <v>43</v>
      </c>
      <c r="Q1691" t="s">
        <v>6</v>
      </c>
      <c r="R1691" t="s">
        <v>58</v>
      </c>
      <c r="S1691">
        <v>2024.17</v>
      </c>
      <c r="T1691">
        <v>28884.83</v>
      </c>
      <c r="U1691">
        <v>296175.97590000002</v>
      </c>
      <c r="V1691">
        <v>296175.97590000002</v>
      </c>
      <c r="AA1691" s="29" t="s">
        <v>43</v>
      </c>
      <c r="AB1691">
        <v>31200</v>
      </c>
      <c r="AC1691">
        <v>130</v>
      </c>
      <c r="AD1691">
        <v>3</v>
      </c>
      <c r="AE1691">
        <v>39</v>
      </c>
      <c r="AF1691">
        <v>39</v>
      </c>
      <c r="AG1691" s="29" t="s">
        <v>2270</v>
      </c>
      <c r="AH1691" s="29" t="s">
        <v>2624</v>
      </c>
      <c r="AI1691" s="29" t="s">
        <v>2625</v>
      </c>
      <c r="AJ1691" s="29"/>
      <c r="AL1691" s="29" t="s">
        <v>2271</v>
      </c>
    </row>
    <row r="1692" spans="15:38">
      <c r="O1692" t="s">
        <v>24</v>
      </c>
      <c r="P1692" t="s">
        <v>43</v>
      </c>
      <c r="Q1692" t="s">
        <v>6</v>
      </c>
      <c r="R1692" t="s">
        <v>58</v>
      </c>
      <c r="S1692">
        <v>2024.18</v>
      </c>
      <c r="T1692">
        <v>30350.65</v>
      </c>
      <c r="U1692">
        <v>296175.97590000002</v>
      </c>
      <c r="V1692">
        <v>296175.97590000002</v>
      </c>
      <c r="AA1692" s="29" t="s">
        <v>43</v>
      </c>
      <c r="AB1692">
        <v>31200</v>
      </c>
      <c r="AC1692">
        <v>130</v>
      </c>
      <c r="AD1692">
        <v>3</v>
      </c>
      <c r="AE1692">
        <v>100.98</v>
      </c>
      <c r="AF1692">
        <v>100.98</v>
      </c>
      <c r="AG1692" s="29" t="s">
        <v>2270</v>
      </c>
      <c r="AH1692" s="29" t="s">
        <v>2626</v>
      </c>
      <c r="AI1692" s="29" t="s">
        <v>2627</v>
      </c>
      <c r="AJ1692" s="29"/>
      <c r="AL1692" s="29" t="s">
        <v>2271</v>
      </c>
    </row>
    <row r="1693" spans="15:38">
      <c r="O1693" t="s">
        <v>24</v>
      </c>
      <c r="P1693" t="s">
        <v>43</v>
      </c>
      <c r="Q1693" t="s">
        <v>6</v>
      </c>
      <c r="R1693" t="s">
        <v>58</v>
      </c>
      <c r="S1693">
        <v>2024.19</v>
      </c>
      <c r="T1693">
        <v>30350.65</v>
      </c>
      <c r="U1693">
        <v>296175.97590000002</v>
      </c>
      <c r="V1693">
        <v>296175.97590000002</v>
      </c>
      <c r="AA1693" s="29" t="s">
        <v>43</v>
      </c>
      <c r="AB1693">
        <v>31200</v>
      </c>
      <c r="AC1693">
        <v>130</v>
      </c>
      <c r="AD1693">
        <v>3</v>
      </c>
      <c r="AE1693">
        <v>11.34</v>
      </c>
      <c r="AF1693">
        <v>11.34</v>
      </c>
      <c r="AG1693" s="29" t="s">
        <v>2270</v>
      </c>
      <c r="AH1693" s="29" t="s">
        <v>2628</v>
      </c>
      <c r="AI1693" s="29" t="s">
        <v>2629</v>
      </c>
      <c r="AJ1693" s="29"/>
      <c r="AL1693" s="29" t="s">
        <v>2271</v>
      </c>
    </row>
    <row r="1694" spans="15:38">
      <c r="O1694" t="s">
        <v>24</v>
      </c>
      <c r="P1694" t="s">
        <v>43</v>
      </c>
      <c r="Q1694" t="s">
        <v>6</v>
      </c>
      <c r="R1694" t="s">
        <v>58</v>
      </c>
      <c r="S1694">
        <v>2024.2</v>
      </c>
      <c r="T1694">
        <v>30393.05</v>
      </c>
      <c r="U1694">
        <v>296175.97590000002</v>
      </c>
      <c r="V1694">
        <v>296175.97590000002</v>
      </c>
      <c r="AA1694" s="29" t="s">
        <v>43</v>
      </c>
      <c r="AB1694">
        <v>31200</v>
      </c>
      <c r="AC1694">
        <v>130</v>
      </c>
      <c r="AD1694">
        <v>3</v>
      </c>
      <c r="AE1694">
        <v>1.1000000000000001</v>
      </c>
      <c r="AF1694">
        <v>1.1000000000000001</v>
      </c>
      <c r="AG1694" s="29" t="s">
        <v>2270</v>
      </c>
      <c r="AH1694" s="29" t="s">
        <v>2507</v>
      </c>
      <c r="AI1694" s="29" t="s">
        <v>2630</v>
      </c>
      <c r="AJ1694" s="29"/>
      <c r="AL1694" s="29" t="s">
        <v>2271</v>
      </c>
    </row>
    <row r="1695" spans="15:38">
      <c r="O1695" t="s">
        <v>24</v>
      </c>
      <c r="P1695" t="s">
        <v>43</v>
      </c>
      <c r="Q1695" t="s">
        <v>6</v>
      </c>
      <c r="R1695" t="s">
        <v>58</v>
      </c>
      <c r="S1695">
        <v>2024.21</v>
      </c>
      <c r="T1695">
        <v>30393.05</v>
      </c>
      <c r="U1695">
        <v>296175.97590000002</v>
      </c>
      <c r="V1695">
        <v>296175.97590000002</v>
      </c>
      <c r="AA1695" s="29" t="s">
        <v>43</v>
      </c>
      <c r="AB1695">
        <v>31200</v>
      </c>
      <c r="AC1695">
        <v>130</v>
      </c>
      <c r="AD1695">
        <v>3</v>
      </c>
      <c r="AE1695">
        <v>10.88</v>
      </c>
      <c r="AF1695">
        <v>10.88</v>
      </c>
      <c r="AG1695" s="29" t="s">
        <v>2270</v>
      </c>
      <c r="AH1695" s="29" t="s">
        <v>2631</v>
      </c>
      <c r="AI1695" s="29" t="s">
        <v>2632</v>
      </c>
      <c r="AJ1695" s="29"/>
      <c r="AL1695" s="29" t="s">
        <v>2271</v>
      </c>
    </row>
    <row r="1696" spans="15:38">
      <c r="O1696" t="s">
        <v>24</v>
      </c>
      <c r="P1696" t="s">
        <v>43</v>
      </c>
      <c r="Q1696" t="s">
        <v>6</v>
      </c>
      <c r="R1696" t="s">
        <v>58</v>
      </c>
      <c r="S1696">
        <v>2024.28</v>
      </c>
      <c r="T1696">
        <v>30395.57</v>
      </c>
      <c r="U1696">
        <v>296175.97590000002</v>
      </c>
      <c r="V1696">
        <v>296175.97590000002</v>
      </c>
      <c r="AA1696" s="29" t="s">
        <v>43</v>
      </c>
      <c r="AB1696">
        <v>31200</v>
      </c>
      <c r="AC1696">
        <v>130</v>
      </c>
      <c r="AD1696">
        <v>3</v>
      </c>
      <c r="AE1696">
        <v>210.24</v>
      </c>
      <c r="AF1696">
        <v>210.24</v>
      </c>
      <c r="AG1696" s="29" t="s">
        <v>2270</v>
      </c>
      <c r="AH1696" s="29" t="s">
        <v>2633</v>
      </c>
      <c r="AI1696" s="29" t="s">
        <v>2634</v>
      </c>
      <c r="AJ1696" s="29"/>
      <c r="AL1696" s="29" t="s">
        <v>2271</v>
      </c>
    </row>
    <row r="1697" spans="15:38">
      <c r="O1697" t="s">
        <v>24</v>
      </c>
      <c r="P1697" t="s">
        <v>43</v>
      </c>
      <c r="Q1697" t="s">
        <v>6</v>
      </c>
      <c r="R1697" t="s">
        <v>58</v>
      </c>
      <c r="S1697">
        <v>2024.38</v>
      </c>
      <c r="T1697">
        <v>30395.57</v>
      </c>
      <c r="U1697">
        <v>296175.97590000002</v>
      </c>
      <c r="V1697">
        <v>296175.97590000002</v>
      </c>
      <c r="AA1697" s="29" t="s">
        <v>43</v>
      </c>
      <c r="AB1697">
        <v>31200</v>
      </c>
      <c r="AC1697">
        <v>130</v>
      </c>
      <c r="AD1697">
        <v>3</v>
      </c>
      <c r="AE1697">
        <v>11.72</v>
      </c>
      <c r="AF1697">
        <v>11.72</v>
      </c>
      <c r="AG1697" s="29" t="s">
        <v>2270</v>
      </c>
      <c r="AH1697" s="29" t="s">
        <v>2635</v>
      </c>
      <c r="AI1697" s="29" t="s">
        <v>2636</v>
      </c>
      <c r="AJ1697" s="29"/>
      <c r="AL1697" s="29" t="s">
        <v>2271</v>
      </c>
    </row>
    <row r="1698" spans="15:38">
      <c r="O1698" t="s">
        <v>24</v>
      </c>
      <c r="P1698" t="s">
        <v>43</v>
      </c>
      <c r="Q1698" t="s">
        <v>6</v>
      </c>
      <c r="R1698" t="s">
        <v>58</v>
      </c>
      <c r="S1698">
        <v>2024.39</v>
      </c>
      <c r="T1698">
        <v>30395.57</v>
      </c>
      <c r="U1698">
        <v>296175.97590000002</v>
      </c>
      <c r="V1698">
        <v>296175.97590000002</v>
      </c>
      <c r="AA1698" s="29" t="s">
        <v>43</v>
      </c>
      <c r="AB1698">
        <v>31200</v>
      </c>
      <c r="AC1698">
        <v>130</v>
      </c>
      <c r="AD1698">
        <v>3</v>
      </c>
      <c r="AE1698">
        <v>15.52</v>
      </c>
      <c r="AF1698">
        <v>15.52</v>
      </c>
      <c r="AG1698" s="29" t="s">
        <v>2270</v>
      </c>
      <c r="AH1698" s="29" t="s">
        <v>2637</v>
      </c>
      <c r="AI1698" s="29" t="s">
        <v>2638</v>
      </c>
      <c r="AJ1698" s="29"/>
      <c r="AL1698" s="29" t="s">
        <v>2271</v>
      </c>
    </row>
    <row r="1699" spans="15:38">
      <c r="O1699" t="s">
        <v>24</v>
      </c>
      <c r="P1699" t="s">
        <v>43</v>
      </c>
      <c r="Q1699" t="s">
        <v>6</v>
      </c>
      <c r="R1699" t="s">
        <v>58</v>
      </c>
      <c r="S1699">
        <v>2024.41</v>
      </c>
      <c r="T1699">
        <v>30395.57</v>
      </c>
      <c r="U1699">
        <v>296175.97590000002</v>
      </c>
      <c r="V1699">
        <v>296175.97590000002</v>
      </c>
      <c r="AA1699" s="29" t="s">
        <v>43</v>
      </c>
      <c r="AB1699">
        <v>31200</v>
      </c>
      <c r="AC1699">
        <v>130</v>
      </c>
      <c r="AD1699">
        <v>3</v>
      </c>
      <c r="AE1699">
        <v>24.96</v>
      </c>
      <c r="AF1699">
        <v>24.96</v>
      </c>
      <c r="AG1699" s="29" t="s">
        <v>2270</v>
      </c>
      <c r="AH1699" s="29" t="s">
        <v>2639</v>
      </c>
      <c r="AI1699" s="29" t="s">
        <v>2640</v>
      </c>
      <c r="AJ1699" s="29"/>
      <c r="AL1699" s="29" t="s">
        <v>2271</v>
      </c>
    </row>
    <row r="1700" spans="15:38">
      <c r="O1700" t="s">
        <v>24</v>
      </c>
      <c r="P1700" t="s">
        <v>43</v>
      </c>
      <c r="Q1700" t="s">
        <v>6</v>
      </c>
      <c r="R1700" t="s">
        <v>58</v>
      </c>
      <c r="S1700">
        <v>2024.43</v>
      </c>
      <c r="T1700">
        <v>30395.57</v>
      </c>
      <c r="U1700">
        <v>296175.97590000002</v>
      </c>
      <c r="V1700">
        <v>296175.97590000002</v>
      </c>
      <c r="AA1700" s="29" t="s">
        <v>43</v>
      </c>
      <c r="AB1700">
        <v>31200</v>
      </c>
      <c r="AC1700">
        <v>130</v>
      </c>
      <c r="AD1700">
        <v>3</v>
      </c>
      <c r="AE1700">
        <v>0.52</v>
      </c>
      <c r="AF1700">
        <v>0.52</v>
      </c>
      <c r="AG1700" s="29" t="s">
        <v>2270</v>
      </c>
      <c r="AH1700" s="29" t="s">
        <v>2641</v>
      </c>
      <c r="AI1700" s="29" t="s">
        <v>2642</v>
      </c>
      <c r="AJ1700" s="29"/>
      <c r="AL1700" s="29" t="s">
        <v>2271</v>
      </c>
    </row>
    <row r="1701" spans="15:38">
      <c r="O1701" t="s">
        <v>24</v>
      </c>
      <c r="P1701" t="s">
        <v>43</v>
      </c>
      <c r="Q1701" t="s">
        <v>6</v>
      </c>
      <c r="R1701" t="s">
        <v>58</v>
      </c>
      <c r="S1701">
        <v>2024.44</v>
      </c>
      <c r="T1701">
        <v>31014.39</v>
      </c>
      <c r="U1701">
        <v>316535.35950000002</v>
      </c>
      <c r="V1701">
        <v>316535.35950000002</v>
      </c>
      <c r="AA1701" s="29" t="s">
        <v>43</v>
      </c>
      <c r="AB1701">
        <v>31200</v>
      </c>
      <c r="AC1701">
        <v>130</v>
      </c>
      <c r="AD1701">
        <v>3</v>
      </c>
      <c r="AE1701">
        <v>215.56</v>
      </c>
      <c r="AF1701">
        <v>215.56</v>
      </c>
      <c r="AG1701" s="29" t="s">
        <v>2270</v>
      </c>
      <c r="AH1701" s="29" t="s">
        <v>2643</v>
      </c>
      <c r="AI1701" s="29" t="s">
        <v>2644</v>
      </c>
      <c r="AJ1701" s="29"/>
      <c r="AL1701" s="29" t="s">
        <v>2271</v>
      </c>
    </row>
    <row r="1702" spans="15:38">
      <c r="O1702" t="s">
        <v>24</v>
      </c>
      <c r="P1702" t="s">
        <v>43</v>
      </c>
      <c r="Q1702" t="s">
        <v>6</v>
      </c>
      <c r="R1702" t="s">
        <v>58</v>
      </c>
      <c r="S1702">
        <v>2024.45</v>
      </c>
      <c r="T1702">
        <v>31014.39</v>
      </c>
      <c r="U1702">
        <v>316535.35950000002</v>
      </c>
      <c r="V1702">
        <v>316535.35950000002</v>
      </c>
      <c r="AA1702" s="29" t="s">
        <v>43</v>
      </c>
      <c r="AB1702">
        <v>31200</v>
      </c>
      <c r="AC1702">
        <v>130</v>
      </c>
      <c r="AD1702">
        <v>3</v>
      </c>
      <c r="AE1702">
        <v>143</v>
      </c>
      <c r="AF1702">
        <v>143</v>
      </c>
      <c r="AG1702" s="29" t="s">
        <v>2270</v>
      </c>
      <c r="AH1702" s="29" t="s">
        <v>2645</v>
      </c>
      <c r="AI1702" s="29" t="s">
        <v>2646</v>
      </c>
      <c r="AJ1702" s="29"/>
      <c r="AL1702" s="29" t="s">
        <v>2271</v>
      </c>
    </row>
    <row r="1703" spans="15:38">
      <c r="O1703" t="s">
        <v>24</v>
      </c>
      <c r="P1703" t="s">
        <v>43</v>
      </c>
      <c r="Q1703" t="s">
        <v>6</v>
      </c>
      <c r="R1703" t="s">
        <v>58</v>
      </c>
      <c r="S1703">
        <v>2024.47</v>
      </c>
      <c r="T1703">
        <v>32972.28</v>
      </c>
      <c r="U1703">
        <v>316535.35950000002</v>
      </c>
      <c r="V1703">
        <v>316535.35950000002</v>
      </c>
      <c r="AA1703" s="29" t="s">
        <v>43</v>
      </c>
      <c r="AB1703">
        <v>31200</v>
      </c>
      <c r="AC1703">
        <v>130</v>
      </c>
      <c r="AD1703">
        <v>3</v>
      </c>
      <c r="AE1703">
        <v>6.75</v>
      </c>
      <c r="AF1703">
        <v>6.75</v>
      </c>
      <c r="AG1703" s="29" t="s">
        <v>2270</v>
      </c>
      <c r="AH1703" s="29" t="s">
        <v>2647</v>
      </c>
      <c r="AI1703" s="29" t="s">
        <v>2648</v>
      </c>
      <c r="AJ1703" s="29"/>
      <c r="AL1703" s="29" t="s">
        <v>2271</v>
      </c>
    </row>
    <row r="1704" spans="15:38">
      <c r="O1704" t="s">
        <v>24</v>
      </c>
      <c r="P1704" t="s">
        <v>43</v>
      </c>
      <c r="Q1704" t="s">
        <v>6</v>
      </c>
      <c r="R1704" t="s">
        <v>58</v>
      </c>
      <c r="S1704">
        <v>2024.48</v>
      </c>
      <c r="T1704">
        <v>33458.44</v>
      </c>
      <c r="U1704">
        <v>316535.35950000002</v>
      </c>
      <c r="V1704">
        <v>216535.35949999999</v>
      </c>
      <c r="AA1704" s="29" t="s">
        <v>43</v>
      </c>
      <c r="AB1704">
        <v>31200</v>
      </c>
      <c r="AC1704">
        <v>130</v>
      </c>
      <c r="AD1704">
        <v>3</v>
      </c>
      <c r="AE1704">
        <v>0</v>
      </c>
      <c r="AF1704">
        <v>0</v>
      </c>
      <c r="AG1704" s="29" t="s">
        <v>2270</v>
      </c>
      <c r="AH1704" s="29" t="s">
        <v>2274</v>
      </c>
      <c r="AI1704" s="29" t="s">
        <v>2649</v>
      </c>
      <c r="AJ1704" s="29"/>
      <c r="AL1704" s="29" t="s">
        <v>2271</v>
      </c>
    </row>
    <row r="1705" spans="15:38">
      <c r="O1705" t="s">
        <v>24</v>
      </c>
      <c r="P1705" t="s">
        <v>43</v>
      </c>
      <c r="Q1705" t="s">
        <v>6</v>
      </c>
      <c r="R1705" t="s">
        <v>58</v>
      </c>
      <c r="S1705">
        <v>2024.49</v>
      </c>
      <c r="T1705">
        <v>33459.54</v>
      </c>
      <c r="U1705">
        <v>316535.35950000002</v>
      </c>
      <c r="V1705">
        <v>216535.35949999999</v>
      </c>
      <c r="AA1705" s="29" t="s">
        <v>43</v>
      </c>
      <c r="AB1705">
        <v>31200</v>
      </c>
      <c r="AC1705">
        <v>130</v>
      </c>
      <c r="AD1705">
        <v>3</v>
      </c>
      <c r="AE1705">
        <v>0</v>
      </c>
      <c r="AF1705">
        <v>0</v>
      </c>
      <c r="AG1705" s="29" t="s">
        <v>2270</v>
      </c>
      <c r="AH1705" s="29" t="s">
        <v>2274</v>
      </c>
      <c r="AI1705" s="29" t="s">
        <v>2650</v>
      </c>
      <c r="AJ1705" s="29"/>
      <c r="AL1705" s="29" t="s">
        <v>2271</v>
      </c>
    </row>
    <row r="1706" spans="15:38">
      <c r="O1706" t="s">
        <v>24</v>
      </c>
      <c r="P1706" t="s">
        <v>43</v>
      </c>
      <c r="Q1706" t="s">
        <v>6</v>
      </c>
      <c r="R1706" t="s">
        <v>58</v>
      </c>
      <c r="S1706">
        <v>2025.03</v>
      </c>
      <c r="T1706">
        <v>41678.620000000003</v>
      </c>
      <c r="U1706">
        <v>316535.35950000002</v>
      </c>
      <c r="V1706">
        <v>98429.129499999995</v>
      </c>
      <c r="AA1706" s="29" t="s">
        <v>43</v>
      </c>
      <c r="AB1706">
        <v>31200</v>
      </c>
      <c r="AC1706">
        <v>130</v>
      </c>
      <c r="AD1706">
        <v>3</v>
      </c>
      <c r="AE1706">
        <v>44.04</v>
      </c>
      <c r="AF1706">
        <v>44.04</v>
      </c>
      <c r="AG1706" s="29" t="s">
        <v>2270</v>
      </c>
      <c r="AH1706" s="29" t="s">
        <v>2651</v>
      </c>
      <c r="AI1706" s="29" t="s">
        <v>2652</v>
      </c>
      <c r="AJ1706" s="29"/>
      <c r="AL1706" s="29" t="s">
        <v>2271</v>
      </c>
    </row>
    <row r="1707" spans="15:38">
      <c r="O1707" t="s">
        <v>24</v>
      </c>
      <c r="P1707" t="s">
        <v>43</v>
      </c>
      <c r="Q1707" t="s">
        <v>6</v>
      </c>
      <c r="R1707" t="s">
        <v>58</v>
      </c>
      <c r="S1707">
        <v>2025.08</v>
      </c>
      <c r="T1707">
        <v>50351.54</v>
      </c>
      <c r="U1707">
        <v>316535.35950000002</v>
      </c>
      <c r="V1707">
        <v>98429.129499999995</v>
      </c>
      <c r="AA1707" s="29" t="s">
        <v>43</v>
      </c>
      <c r="AB1707">
        <v>31200</v>
      </c>
      <c r="AC1707">
        <v>130</v>
      </c>
      <c r="AD1707">
        <v>3</v>
      </c>
      <c r="AE1707">
        <v>4569.2</v>
      </c>
      <c r="AF1707">
        <v>4569.2</v>
      </c>
      <c r="AG1707" s="29" t="s">
        <v>2270</v>
      </c>
      <c r="AH1707" s="29" t="s">
        <v>2653</v>
      </c>
      <c r="AI1707" s="29" t="s">
        <v>2654</v>
      </c>
      <c r="AJ1707" s="29"/>
      <c r="AL1707" s="29" t="s">
        <v>2271</v>
      </c>
    </row>
    <row r="1708" spans="15:38">
      <c r="O1708" t="s">
        <v>24</v>
      </c>
      <c r="P1708" t="s">
        <v>43</v>
      </c>
      <c r="Q1708" t="s">
        <v>6</v>
      </c>
      <c r="R1708" t="s">
        <v>58</v>
      </c>
      <c r="S1708">
        <v>2025.1</v>
      </c>
      <c r="T1708">
        <v>53281.54</v>
      </c>
      <c r="U1708">
        <v>316535.35950000002</v>
      </c>
      <c r="V1708">
        <v>98429.129499999995</v>
      </c>
      <c r="AA1708" s="29" t="s">
        <v>43</v>
      </c>
      <c r="AB1708">
        <v>31200</v>
      </c>
      <c r="AC1708">
        <v>130</v>
      </c>
      <c r="AD1708">
        <v>3</v>
      </c>
      <c r="AE1708">
        <v>17.5</v>
      </c>
      <c r="AF1708">
        <v>17.5</v>
      </c>
      <c r="AG1708" s="29" t="s">
        <v>2270</v>
      </c>
      <c r="AH1708" s="29" t="s">
        <v>2655</v>
      </c>
      <c r="AI1708" s="29" t="s">
        <v>1172</v>
      </c>
      <c r="AJ1708" s="29"/>
      <c r="AL1708" s="29" t="s">
        <v>2271</v>
      </c>
    </row>
    <row r="1709" spans="15:38">
      <c r="O1709" t="s">
        <v>24</v>
      </c>
      <c r="P1709" t="s">
        <v>43</v>
      </c>
      <c r="Q1709" t="s">
        <v>6</v>
      </c>
      <c r="R1709" t="s">
        <v>58</v>
      </c>
      <c r="S1709">
        <v>2025.11</v>
      </c>
      <c r="T1709">
        <v>53281.54</v>
      </c>
      <c r="U1709">
        <v>316535.35950000002</v>
      </c>
      <c r="V1709">
        <v>98429.129499999995</v>
      </c>
      <c r="AA1709" s="29" t="s">
        <v>43</v>
      </c>
      <c r="AB1709">
        <v>31200</v>
      </c>
      <c r="AC1709">
        <v>130</v>
      </c>
      <c r="AD1709">
        <v>3</v>
      </c>
      <c r="AE1709">
        <v>12.5</v>
      </c>
      <c r="AF1709">
        <v>12.5</v>
      </c>
      <c r="AG1709" s="29" t="s">
        <v>2270</v>
      </c>
      <c r="AH1709" s="29" t="s">
        <v>2656</v>
      </c>
      <c r="AI1709" s="29" t="s">
        <v>2657</v>
      </c>
      <c r="AJ1709" s="29"/>
      <c r="AL1709" s="29" t="s">
        <v>2271</v>
      </c>
    </row>
    <row r="1710" spans="15:38">
      <c r="O1710" t="s">
        <v>24</v>
      </c>
      <c r="P1710" t="s">
        <v>43</v>
      </c>
      <c r="Q1710" t="s">
        <v>6</v>
      </c>
      <c r="R1710" t="s">
        <v>58</v>
      </c>
      <c r="S1710">
        <v>2025.12</v>
      </c>
      <c r="T1710">
        <v>53281.54</v>
      </c>
      <c r="U1710">
        <v>316535.35950000002</v>
      </c>
      <c r="V1710">
        <v>98429.129499999995</v>
      </c>
      <c r="AA1710" s="29" t="s">
        <v>43</v>
      </c>
      <c r="AB1710">
        <v>31200</v>
      </c>
      <c r="AC1710">
        <v>130</v>
      </c>
      <c r="AD1710">
        <v>3</v>
      </c>
      <c r="AE1710">
        <v>12.9</v>
      </c>
      <c r="AF1710">
        <v>12.9</v>
      </c>
      <c r="AG1710" s="29" t="s">
        <v>2270</v>
      </c>
      <c r="AH1710" s="29" t="s">
        <v>2658</v>
      </c>
      <c r="AI1710" s="29" t="s">
        <v>2659</v>
      </c>
      <c r="AJ1710" s="29"/>
      <c r="AL1710" s="29" t="s">
        <v>2271</v>
      </c>
    </row>
    <row r="1711" spans="15:38">
      <c r="O1711" t="s">
        <v>24</v>
      </c>
      <c r="P1711" t="s">
        <v>43</v>
      </c>
      <c r="Q1711" t="s">
        <v>27</v>
      </c>
      <c r="R1711" t="s">
        <v>54</v>
      </c>
      <c r="S1711">
        <v>2023.47</v>
      </c>
      <c r="T1711">
        <v>0</v>
      </c>
      <c r="U1711">
        <v>848525.47710000002</v>
      </c>
      <c r="V1711">
        <v>848525.47710000002</v>
      </c>
      <c r="AA1711" s="29" t="s">
        <v>43</v>
      </c>
      <c r="AB1711">
        <v>31200</v>
      </c>
      <c r="AC1711">
        <v>130</v>
      </c>
      <c r="AD1711">
        <v>3</v>
      </c>
      <c r="AE1711">
        <v>5.6</v>
      </c>
      <c r="AF1711">
        <v>5.6</v>
      </c>
      <c r="AG1711" s="29" t="s">
        <v>2270</v>
      </c>
      <c r="AH1711" s="29" t="s">
        <v>2660</v>
      </c>
      <c r="AI1711" s="29" t="s">
        <v>2661</v>
      </c>
      <c r="AJ1711" s="29"/>
      <c r="AL1711" s="29" t="s">
        <v>2271</v>
      </c>
    </row>
    <row r="1712" spans="15:38">
      <c r="O1712" t="s">
        <v>24</v>
      </c>
      <c r="P1712" t="s">
        <v>43</v>
      </c>
      <c r="Q1712" t="s">
        <v>27</v>
      </c>
      <c r="R1712" t="s">
        <v>54</v>
      </c>
      <c r="S1712">
        <v>2023.51</v>
      </c>
      <c r="T1712">
        <v>376902.3</v>
      </c>
      <c r="U1712">
        <v>848525.47710000002</v>
      </c>
      <c r="V1712">
        <v>848525.47710000002</v>
      </c>
      <c r="AA1712" s="29" t="s">
        <v>43</v>
      </c>
      <c r="AB1712">
        <v>31200</v>
      </c>
      <c r="AC1712">
        <v>130</v>
      </c>
      <c r="AD1712">
        <v>3</v>
      </c>
      <c r="AE1712">
        <v>9.59</v>
      </c>
      <c r="AF1712">
        <v>9.59</v>
      </c>
      <c r="AG1712" s="29" t="s">
        <v>2270</v>
      </c>
      <c r="AH1712" s="29" t="s">
        <v>2662</v>
      </c>
      <c r="AI1712" s="29" t="s">
        <v>2663</v>
      </c>
      <c r="AJ1712" s="29"/>
      <c r="AL1712" s="29" t="s">
        <v>2271</v>
      </c>
    </row>
    <row r="1713" spans="15:38">
      <c r="O1713" t="s">
        <v>24</v>
      </c>
      <c r="P1713" t="s">
        <v>43</v>
      </c>
      <c r="Q1713" t="s">
        <v>27</v>
      </c>
      <c r="R1713" t="s">
        <v>54</v>
      </c>
      <c r="S1713">
        <v>2024.05</v>
      </c>
      <c r="T1713">
        <v>262455.3</v>
      </c>
      <c r="U1713">
        <v>848525.47710000002</v>
      </c>
      <c r="V1713">
        <v>848525.47710000002</v>
      </c>
      <c r="AA1713" s="29" t="s">
        <v>43</v>
      </c>
      <c r="AB1713">
        <v>31200</v>
      </c>
      <c r="AC1713">
        <v>130</v>
      </c>
      <c r="AD1713">
        <v>3</v>
      </c>
      <c r="AE1713">
        <v>12.5</v>
      </c>
      <c r="AF1713">
        <v>12.5</v>
      </c>
      <c r="AG1713" s="29" t="s">
        <v>2270</v>
      </c>
      <c r="AH1713" s="29" t="s">
        <v>2656</v>
      </c>
      <c r="AI1713" s="29" t="s">
        <v>2664</v>
      </c>
      <c r="AJ1713" s="29"/>
      <c r="AL1713" s="29" t="s">
        <v>2271</v>
      </c>
    </row>
    <row r="1714" spans="15:38">
      <c r="O1714" t="s">
        <v>24</v>
      </c>
      <c r="P1714" t="s">
        <v>43</v>
      </c>
      <c r="Q1714" t="s">
        <v>27</v>
      </c>
      <c r="R1714" t="s">
        <v>54</v>
      </c>
      <c r="S1714">
        <v>2024.06</v>
      </c>
      <c r="T1714">
        <v>262455.3</v>
      </c>
      <c r="U1714">
        <v>848525.47710000002</v>
      </c>
      <c r="V1714">
        <v>848525.47710000002</v>
      </c>
      <c r="AA1714" s="29" t="s">
        <v>43</v>
      </c>
      <c r="AB1714">
        <v>31200</v>
      </c>
      <c r="AC1714">
        <v>130</v>
      </c>
      <c r="AD1714">
        <v>3</v>
      </c>
      <c r="AE1714">
        <v>5.21</v>
      </c>
      <c r="AF1714">
        <v>5.21</v>
      </c>
      <c r="AG1714" s="29" t="s">
        <v>2270</v>
      </c>
      <c r="AH1714" s="29" t="s">
        <v>2665</v>
      </c>
      <c r="AI1714" s="29" t="s">
        <v>2666</v>
      </c>
      <c r="AJ1714" s="29"/>
      <c r="AL1714" s="29" t="s">
        <v>2271</v>
      </c>
    </row>
    <row r="1715" spans="15:38">
      <c r="O1715" t="s">
        <v>24</v>
      </c>
      <c r="P1715" t="s">
        <v>43</v>
      </c>
      <c r="Q1715" t="s">
        <v>27</v>
      </c>
      <c r="R1715" t="s">
        <v>54</v>
      </c>
      <c r="S1715">
        <v>2024.07</v>
      </c>
      <c r="T1715">
        <v>324048.3</v>
      </c>
      <c r="U1715">
        <v>848525.47710000002</v>
      </c>
      <c r="V1715">
        <v>848525.47710000002</v>
      </c>
      <c r="AA1715" s="29" t="s">
        <v>43</v>
      </c>
      <c r="AB1715">
        <v>31200</v>
      </c>
      <c r="AC1715">
        <v>130</v>
      </c>
      <c r="AD1715">
        <v>3</v>
      </c>
      <c r="AE1715">
        <v>10.5</v>
      </c>
      <c r="AF1715">
        <v>10.5</v>
      </c>
      <c r="AG1715" s="29" t="s">
        <v>2270</v>
      </c>
      <c r="AH1715" s="29" t="s">
        <v>2358</v>
      </c>
      <c r="AI1715" s="29" t="s">
        <v>2440</v>
      </c>
      <c r="AJ1715" s="29"/>
      <c r="AL1715" s="29" t="s">
        <v>2271</v>
      </c>
    </row>
    <row r="1716" spans="15:38">
      <c r="O1716" t="s">
        <v>24</v>
      </c>
      <c r="P1716" t="s">
        <v>43</v>
      </c>
      <c r="Q1716" t="s">
        <v>27</v>
      </c>
      <c r="R1716" t="s">
        <v>54</v>
      </c>
      <c r="S1716">
        <v>2024.08</v>
      </c>
      <c r="T1716">
        <v>324048.3</v>
      </c>
      <c r="U1716">
        <v>848525.47710000002</v>
      </c>
      <c r="V1716">
        <v>848525.47710000002</v>
      </c>
      <c r="AA1716" s="29" t="s">
        <v>43</v>
      </c>
      <c r="AB1716">
        <v>31200</v>
      </c>
      <c r="AC1716">
        <v>130</v>
      </c>
      <c r="AD1716">
        <v>3</v>
      </c>
      <c r="AE1716">
        <v>536.9</v>
      </c>
      <c r="AF1716">
        <v>536.9</v>
      </c>
      <c r="AG1716" s="29" t="s">
        <v>2270</v>
      </c>
      <c r="AH1716" s="29" t="s">
        <v>2667</v>
      </c>
      <c r="AI1716" s="29" t="s">
        <v>2668</v>
      </c>
      <c r="AJ1716" s="29"/>
      <c r="AL1716" s="29" t="s">
        <v>2271</v>
      </c>
    </row>
    <row r="1717" spans="15:38">
      <c r="O1717" t="s">
        <v>24</v>
      </c>
      <c r="P1717" t="s">
        <v>43</v>
      </c>
      <c r="Q1717" t="s">
        <v>27</v>
      </c>
      <c r="R1717" t="s">
        <v>54</v>
      </c>
      <c r="S1717">
        <v>2024.09</v>
      </c>
      <c r="T1717">
        <v>376902.3</v>
      </c>
      <c r="U1717">
        <v>848525.47710000002</v>
      </c>
      <c r="V1717">
        <v>848525.47710000002</v>
      </c>
      <c r="AA1717" s="29" t="s">
        <v>43</v>
      </c>
      <c r="AB1717">
        <v>31200</v>
      </c>
      <c r="AC1717">
        <v>130</v>
      </c>
      <c r="AD1717">
        <v>3</v>
      </c>
      <c r="AE1717">
        <v>0.36</v>
      </c>
      <c r="AF1717">
        <v>0.36</v>
      </c>
      <c r="AG1717" s="29" t="s">
        <v>2270</v>
      </c>
      <c r="AH1717" s="29" t="s">
        <v>2669</v>
      </c>
      <c r="AI1717" s="29" t="s">
        <v>2670</v>
      </c>
      <c r="AJ1717" s="29"/>
      <c r="AL1717" s="29" t="s">
        <v>2271</v>
      </c>
    </row>
    <row r="1718" spans="15:38">
      <c r="O1718" t="s">
        <v>24</v>
      </c>
      <c r="P1718" t="s">
        <v>43</v>
      </c>
      <c r="Q1718" t="s">
        <v>27</v>
      </c>
      <c r="R1718" t="s">
        <v>54</v>
      </c>
      <c r="S1718">
        <v>2024.1</v>
      </c>
      <c r="T1718">
        <v>343808.3</v>
      </c>
      <c r="U1718">
        <v>848525.47710000002</v>
      </c>
      <c r="V1718">
        <v>848525.47710000002</v>
      </c>
      <c r="AA1718" s="29" t="s">
        <v>43</v>
      </c>
      <c r="AB1718">
        <v>31200</v>
      </c>
      <c r="AC1718">
        <v>130</v>
      </c>
      <c r="AD1718">
        <v>3</v>
      </c>
      <c r="AE1718">
        <v>7.89</v>
      </c>
      <c r="AF1718">
        <v>7.89</v>
      </c>
      <c r="AG1718" s="29" t="s">
        <v>2270</v>
      </c>
      <c r="AH1718" s="29" t="s">
        <v>2490</v>
      </c>
      <c r="AI1718" s="29" t="s">
        <v>2491</v>
      </c>
      <c r="AJ1718" s="29"/>
      <c r="AL1718" s="29" t="s">
        <v>2271</v>
      </c>
    </row>
    <row r="1719" spans="15:38">
      <c r="O1719" t="s">
        <v>24</v>
      </c>
      <c r="P1719" t="s">
        <v>43</v>
      </c>
      <c r="Q1719" t="s">
        <v>27</v>
      </c>
      <c r="R1719" t="s">
        <v>54</v>
      </c>
      <c r="S1719">
        <v>2024.11</v>
      </c>
      <c r="T1719">
        <v>352774.3</v>
      </c>
      <c r="U1719">
        <v>848525.47710000002</v>
      </c>
      <c r="V1719">
        <v>848525.47710000002</v>
      </c>
      <c r="AA1719" s="29" t="s">
        <v>43</v>
      </c>
      <c r="AB1719">
        <v>31200</v>
      </c>
      <c r="AC1719">
        <v>130</v>
      </c>
      <c r="AD1719">
        <v>3</v>
      </c>
      <c r="AE1719">
        <v>16.559999999999999</v>
      </c>
      <c r="AF1719">
        <v>16.559999999999999</v>
      </c>
      <c r="AG1719" s="29" t="s">
        <v>2270</v>
      </c>
      <c r="AH1719" s="29" t="s">
        <v>2671</v>
      </c>
      <c r="AI1719" s="29" t="s">
        <v>2672</v>
      </c>
      <c r="AJ1719" s="29"/>
      <c r="AL1719" s="29" t="s">
        <v>2271</v>
      </c>
    </row>
    <row r="1720" spans="15:38">
      <c r="O1720" t="s">
        <v>24</v>
      </c>
      <c r="P1720" t="s">
        <v>43</v>
      </c>
      <c r="Q1720" t="s">
        <v>27</v>
      </c>
      <c r="R1720" t="s">
        <v>54</v>
      </c>
      <c r="S1720">
        <v>2024.12</v>
      </c>
      <c r="T1720">
        <v>352774.3</v>
      </c>
      <c r="U1720">
        <v>848525.47710000002</v>
      </c>
      <c r="V1720">
        <v>848525.47710000002</v>
      </c>
      <c r="AA1720" s="29" t="s">
        <v>43</v>
      </c>
      <c r="AB1720">
        <v>31200</v>
      </c>
      <c r="AC1720">
        <v>130</v>
      </c>
      <c r="AD1720">
        <v>3</v>
      </c>
      <c r="AE1720">
        <v>16</v>
      </c>
      <c r="AF1720">
        <v>16</v>
      </c>
      <c r="AG1720" s="29" t="s">
        <v>2270</v>
      </c>
      <c r="AH1720" s="29" t="s">
        <v>2673</v>
      </c>
      <c r="AI1720" s="29" t="s">
        <v>2674</v>
      </c>
      <c r="AJ1720" s="29"/>
      <c r="AL1720" s="29" t="s">
        <v>2271</v>
      </c>
    </row>
    <row r="1721" spans="15:38">
      <c r="O1721" t="s">
        <v>24</v>
      </c>
      <c r="P1721" t="s">
        <v>43</v>
      </c>
      <c r="Q1721" t="s">
        <v>27</v>
      </c>
      <c r="R1721" t="s">
        <v>54</v>
      </c>
      <c r="S1721">
        <v>2024.14</v>
      </c>
      <c r="T1721">
        <v>352774.3</v>
      </c>
      <c r="U1721">
        <v>848525.47710000002</v>
      </c>
      <c r="V1721">
        <v>848525.47710000002</v>
      </c>
      <c r="AA1721" s="29" t="s">
        <v>43</v>
      </c>
      <c r="AB1721">
        <v>31200</v>
      </c>
      <c r="AC1721">
        <v>130</v>
      </c>
      <c r="AD1721">
        <v>3</v>
      </c>
      <c r="AE1721">
        <v>0</v>
      </c>
      <c r="AF1721">
        <v>0</v>
      </c>
      <c r="AG1721" s="29" t="s">
        <v>2270</v>
      </c>
      <c r="AH1721" s="29" t="s">
        <v>2274</v>
      </c>
      <c r="AI1721" s="29" t="s">
        <v>2675</v>
      </c>
      <c r="AJ1721" s="29"/>
      <c r="AL1721" s="29" t="s">
        <v>2271</v>
      </c>
    </row>
    <row r="1722" spans="15:38">
      <c r="O1722" t="s">
        <v>24</v>
      </c>
      <c r="P1722" t="s">
        <v>43</v>
      </c>
      <c r="Q1722" t="s">
        <v>27</v>
      </c>
      <c r="R1722" t="s">
        <v>54</v>
      </c>
      <c r="S1722">
        <v>2024.17</v>
      </c>
      <c r="T1722">
        <v>352774.3</v>
      </c>
      <c r="U1722">
        <v>848525.47710000002</v>
      </c>
      <c r="V1722">
        <v>848525.47710000002</v>
      </c>
      <c r="AA1722" s="29" t="s">
        <v>43</v>
      </c>
      <c r="AB1722">
        <v>31200</v>
      </c>
      <c r="AC1722">
        <v>130</v>
      </c>
      <c r="AD1722">
        <v>3</v>
      </c>
      <c r="AE1722">
        <v>6.3</v>
      </c>
      <c r="AF1722">
        <v>6.3</v>
      </c>
      <c r="AG1722" s="29" t="s">
        <v>2270</v>
      </c>
      <c r="AH1722" s="29" t="s">
        <v>2676</v>
      </c>
      <c r="AI1722" s="29" t="s">
        <v>2677</v>
      </c>
      <c r="AJ1722" s="29"/>
      <c r="AL1722" s="29" t="s">
        <v>2271</v>
      </c>
    </row>
    <row r="1723" spans="15:38">
      <c r="O1723" t="s">
        <v>24</v>
      </c>
      <c r="P1723" t="s">
        <v>43</v>
      </c>
      <c r="Q1723" t="s">
        <v>27</v>
      </c>
      <c r="R1723" t="s">
        <v>54</v>
      </c>
      <c r="S1723">
        <v>2024.18</v>
      </c>
      <c r="T1723">
        <v>340537.3</v>
      </c>
      <c r="U1723">
        <v>848525.47710000002</v>
      </c>
      <c r="V1723">
        <v>848525.47710000002</v>
      </c>
      <c r="AA1723" s="29" t="s">
        <v>43</v>
      </c>
      <c r="AB1723">
        <v>31200</v>
      </c>
      <c r="AC1723">
        <v>130</v>
      </c>
      <c r="AD1723">
        <v>3</v>
      </c>
      <c r="AE1723">
        <v>68.22</v>
      </c>
      <c r="AF1723">
        <v>68.22</v>
      </c>
      <c r="AG1723" s="29" t="s">
        <v>2270</v>
      </c>
      <c r="AH1723" s="29" t="s">
        <v>2678</v>
      </c>
      <c r="AI1723" s="29" t="s">
        <v>2679</v>
      </c>
      <c r="AJ1723" s="29"/>
      <c r="AL1723" s="29" t="s">
        <v>2271</v>
      </c>
    </row>
    <row r="1724" spans="15:38">
      <c r="O1724" t="s">
        <v>24</v>
      </c>
      <c r="P1724" t="s">
        <v>43</v>
      </c>
      <c r="Q1724" t="s">
        <v>27</v>
      </c>
      <c r="R1724" t="s">
        <v>54</v>
      </c>
      <c r="S1724">
        <v>2024.19</v>
      </c>
      <c r="T1724">
        <v>340537.3</v>
      </c>
      <c r="U1724">
        <v>848525.47710000002</v>
      </c>
      <c r="V1724">
        <v>848525.47710000002</v>
      </c>
      <c r="AA1724" s="29" t="s">
        <v>43</v>
      </c>
      <c r="AB1724">
        <v>31200</v>
      </c>
      <c r="AC1724">
        <v>130</v>
      </c>
      <c r="AD1724">
        <v>3</v>
      </c>
      <c r="AE1724">
        <v>4.12</v>
      </c>
      <c r="AF1724">
        <v>4.12</v>
      </c>
      <c r="AG1724" s="29" t="s">
        <v>2270</v>
      </c>
      <c r="AH1724" s="29" t="s">
        <v>2680</v>
      </c>
      <c r="AI1724" s="29" t="s">
        <v>2681</v>
      </c>
      <c r="AJ1724" s="29"/>
      <c r="AL1724" s="29" t="s">
        <v>2271</v>
      </c>
    </row>
    <row r="1725" spans="15:38">
      <c r="O1725" t="s">
        <v>24</v>
      </c>
      <c r="P1725" t="s">
        <v>43</v>
      </c>
      <c r="Q1725" t="s">
        <v>27</v>
      </c>
      <c r="R1725" t="s">
        <v>54</v>
      </c>
      <c r="S1725">
        <v>2024.2</v>
      </c>
      <c r="T1725">
        <v>340537.3</v>
      </c>
      <c r="U1725">
        <v>848525.47710000002</v>
      </c>
      <c r="V1725">
        <v>848525.47710000002</v>
      </c>
      <c r="AA1725" s="29" t="s">
        <v>43</v>
      </c>
      <c r="AB1725">
        <v>31200</v>
      </c>
      <c r="AC1725">
        <v>130</v>
      </c>
      <c r="AD1725">
        <v>3</v>
      </c>
      <c r="AE1725">
        <v>0</v>
      </c>
      <c r="AF1725">
        <v>0</v>
      </c>
      <c r="AG1725" s="29" t="s">
        <v>2270</v>
      </c>
      <c r="AH1725" s="29" t="s">
        <v>2274</v>
      </c>
      <c r="AI1725" s="29" t="s">
        <v>2551</v>
      </c>
      <c r="AJ1725" s="29"/>
      <c r="AL1725" s="29" t="s">
        <v>2271</v>
      </c>
    </row>
    <row r="1726" spans="15:38">
      <c r="O1726" t="s">
        <v>24</v>
      </c>
      <c r="P1726" t="s">
        <v>43</v>
      </c>
      <c r="Q1726" t="s">
        <v>27</v>
      </c>
      <c r="R1726" t="s">
        <v>54</v>
      </c>
      <c r="S1726">
        <v>2024.21</v>
      </c>
      <c r="T1726">
        <v>342287.3</v>
      </c>
      <c r="U1726">
        <v>848525.47710000002</v>
      </c>
      <c r="V1726">
        <v>848525.47710000002</v>
      </c>
      <c r="AA1726" s="29" t="s">
        <v>43</v>
      </c>
      <c r="AB1726">
        <v>31200</v>
      </c>
      <c r="AC1726">
        <v>130</v>
      </c>
      <c r="AD1726">
        <v>3</v>
      </c>
      <c r="AE1726">
        <v>1.92</v>
      </c>
      <c r="AF1726">
        <v>1.92</v>
      </c>
      <c r="AG1726" s="29" t="s">
        <v>2270</v>
      </c>
      <c r="AH1726" s="29" t="s">
        <v>2682</v>
      </c>
      <c r="AI1726" s="29" t="s">
        <v>2683</v>
      </c>
      <c r="AJ1726" s="29"/>
      <c r="AL1726" s="29" t="s">
        <v>2271</v>
      </c>
    </row>
    <row r="1727" spans="15:38">
      <c r="O1727" t="s">
        <v>24</v>
      </c>
      <c r="P1727" t="s">
        <v>43</v>
      </c>
      <c r="Q1727" t="s">
        <v>27</v>
      </c>
      <c r="R1727" t="s">
        <v>54</v>
      </c>
      <c r="S1727">
        <v>2024.28</v>
      </c>
      <c r="T1727">
        <v>344848.3</v>
      </c>
      <c r="U1727">
        <v>848525.47710000002</v>
      </c>
      <c r="V1727">
        <v>848525.47710000002</v>
      </c>
      <c r="AA1727" s="29" t="s">
        <v>43</v>
      </c>
      <c r="AB1727">
        <v>31200</v>
      </c>
      <c r="AC1727">
        <v>130</v>
      </c>
      <c r="AD1727">
        <v>3</v>
      </c>
      <c r="AE1727">
        <v>0</v>
      </c>
      <c r="AF1727">
        <v>0</v>
      </c>
      <c r="AG1727" s="29" t="s">
        <v>2270</v>
      </c>
      <c r="AH1727" s="29" t="s">
        <v>2274</v>
      </c>
      <c r="AI1727" s="29" t="s">
        <v>2684</v>
      </c>
      <c r="AJ1727" s="29"/>
      <c r="AL1727" s="29" t="s">
        <v>2271</v>
      </c>
    </row>
    <row r="1728" spans="15:38">
      <c r="O1728" t="s">
        <v>24</v>
      </c>
      <c r="P1728" t="s">
        <v>43</v>
      </c>
      <c r="Q1728" t="s">
        <v>27</v>
      </c>
      <c r="R1728" t="s">
        <v>54</v>
      </c>
      <c r="S1728">
        <v>2024.38</v>
      </c>
      <c r="T1728">
        <v>356265.3</v>
      </c>
      <c r="U1728">
        <v>848525.47710000002</v>
      </c>
      <c r="V1728">
        <v>848525.47710000002</v>
      </c>
      <c r="AA1728" s="29" t="s">
        <v>43</v>
      </c>
      <c r="AB1728">
        <v>31200</v>
      </c>
      <c r="AC1728">
        <v>130</v>
      </c>
      <c r="AD1728">
        <v>3</v>
      </c>
      <c r="AE1728">
        <v>18.809999999999999</v>
      </c>
      <c r="AF1728">
        <v>18.809999999999999</v>
      </c>
      <c r="AG1728" s="29" t="s">
        <v>2270</v>
      </c>
      <c r="AH1728" s="29" t="s">
        <v>2685</v>
      </c>
      <c r="AI1728" s="29" t="s">
        <v>2686</v>
      </c>
      <c r="AJ1728" s="29"/>
      <c r="AL1728" s="29" t="s">
        <v>2271</v>
      </c>
    </row>
    <row r="1729" spans="15:38">
      <c r="O1729" t="s">
        <v>24</v>
      </c>
      <c r="P1729" t="s">
        <v>43</v>
      </c>
      <c r="Q1729" t="s">
        <v>27</v>
      </c>
      <c r="R1729" t="s">
        <v>54</v>
      </c>
      <c r="S1729">
        <v>2024.39</v>
      </c>
      <c r="T1729">
        <v>365974.3</v>
      </c>
      <c r="U1729">
        <v>848525.47710000002</v>
      </c>
      <c r="V1729">
        <v>848525.47710000002</v>
      </c>
      <c r="AA1729" s="29" t="s">
        <v>43</v>
      </c>
      <c r="AB1729">
        <v>31200</v>
      </c>
      <c r="AC1729">
        <v>130</v>
      </c>
      <c r="AD1729">
        <v>3</v>
      </c>
      <c r="AE1729">
        <v>0</v>
      </c>
      <c r="AF1729">
        <v>0</v>
      </c>
      <c r="AG1729" s="29" t="s">
        <v>2270</v>
      </c>
      <c r="AH1729" s="29" t="s">
        <v>2274</v>
      </c>
      <c r="AI1729" s="29" t="s">
        <v>2687</v>
      </c>
      <c r="AJ1729" s="29"/>
      <c r="AL1729" s="29" t="s">
        <v>2271</v>
      </c>
    </row>
    <row r="1730" spans="15:38">
      <c r="O1730" t="s">
        <v>24</v>
      </c>
      <c r="P1730" t="s">
        <v>43</v>
      </c>
      <c r="Q1730" t="s">
        <v>27</v>
      </c>
      <c r="R1730" t="s">
        <v>54</v>
      </c>
      <c r="S1730">
        <v>2024.41</v>
      </c>
      <c r="T1730">
        <v>365974.3</v>
      </c>
      <c r="U1730">
        <v>848525.47710000002</v>
      </c>
      <c r="V1730">
        <v>848525.47710000002</v>
      </c>
      <c r="AA1730" s="29" t="s">
        <v>43</v>
      </c>
      <c r="AB1730">
        <v>31200</v>
      </c>
      <c r="AC1730">
        <v>130</v>
      </c>
      <c r="AD1730">
        <v>3</v>
      </c>
      <c r="AE1730">
        <v>198.62</v>
      </c>
      <c r="AF1730">
        <v>198.62</v>
      </c>
      <c r="AG1730" s="29" t="s">
        <v>2270</v>
      </c>
      <c r="AH1730" s="29" t="s">
        <v>2688</v>
      </c>
      <c r="AI1730" s="29" t="s">
        <v>2689</v>
      </c>
      <c r="AJ1730" s="29"/>
      <c r="AL1730" s="29" t="s">
        <v>2271</v>
      </c>
    </row>
    <row r="1731" spans="15:38">
      <c r="O1731" t="s">
        <v>24</v>
      </c>
      <c r="P1731" t="s">
        <v>43</v>
      </c>
      <c r="Q1731" t="s">
        <v>27</v>
      </c>
      <c r="R1731" t="s">
        <v>54</v>
      </c>
      <c r="S1731">
        <v>2024.43</v>
      </c>
      <c r="T1731">
        <v>365974.3</v>
      </c>
      <c r="U1731">
        <v>848525.47710000002</v>
      </c>
      <c r="V1731">
        <v>848525.47710000002</v>
      </c>
      <c r="AA1731" s="29" t="s">
        <v>43</v>
      </c>
      <c r="AB1731">
        <v>31200</v>
      </c>
      <c r="AC1731">
        <v>130</v>
      </c>
      <c r="AD1731">
        <v>3</v>
      </c>
      <c r="AE1731">
        <v>3.42</v>
      </c>
      <c r="AF1731">
        <v>3.42</v>
      </c>
      <c r="AG1731" s="29" t="s">
        <v>2270</v>
      </c>
      <c r="AH1731" s="29" t="s">
        <v>2690</v>
      </c>
      <c r="AI1731" s="29" t="s">
        <v>2691</v>
      </c>
      <c r="AJ1731" s="29"/>
      <c r="AL1731" s="29" t="s">
        <v>2271</v>
      </c>
    </row>
    <row r="1732" spans="15:38">
      <c r="O1732" t="s">
        <v>24</v>
      </c>
      <c r="P1732" t="s">
        <v>43</v>
      </c>
      <c r="Q1732" t="s">
        <v>27</v>
      </c>
      <c r="R1732" t="s">
        <v>54</v>
      </c>
      <c r="S1732">
        <v>2024.44</v>
      </c>
      <c r="T1732">
        <v>486912.3</v>
      </c>
      <c r="U1732">
        <v>858533.92839999998</v>
      </c>
      <c r="V1732">
        <v>847777.85840000003</v>
      </c>
      <c r="AA1732" s="29" t="s">
        <v>43</v>
      </c>
      <c r="AB1732">
        <v>31200</v>
      </c>
      <c r="AC1732">
        <v>130</v>
      </c>
      <c r="AD1732">
        <v>3</v>
      </c>
      <c r="AE1732">
        <v>0.49</v>
      </c>
      <c r="AF1732">
        <v>0.49</v>
      </c>
      <c r="AG1732" s="29" t="s">
        <v>2270</v>
      </c>
      <c r="AH1732" s="29" t="s">
        <v>2692</v>
      </c>
      <c r="AI1732" s="29" t="s">
        <v>2693</v>
      </c>
      <c r="AJ1732" s="29"/>
      <c r="AL1732" s="29" t="s">
        <v>2271</v>
      </c>
    </row>
    <row r="1733" spans="15:38">
      <c r="O1733" t="s">
        <v>24</v>
      </c>
      <c r="P1733" t="s">
        <v>43</v>
      </c>
      <c r="Q1733" t="s">
        <v>27</v>
      </c>
      <c r="R1733" t="s">
        <v>54</v>
      </c>
      <c r="S1733">
        <v>2024.45</v>
      </c>
      <c r="T1733">
        <v>486912.3</v>
      </c>
      <c r="U1733">
        <v>858533.92839999998</v>
      </c>
      <c r="V1733">
        <v>713699.47979999997</v>
      </c>
      <c r="AA1733" s="29" t="s">
        <v>43</v>
      </c>
      <c r="AB1733">
        <v>31200</v>
      </c>
      <c r="AC1733">
        <v>130</v>
      </c>
      <c r="AD1733">
        <v>3</v>
      </c>
      <c r="AE1733">
        <v>2.1</v>
      </c>
      <c r="AF1733">
        <v>2.1</v>
      </c>
      <c r="AG1733" s="29" t="s">
        <v>2270</v>
      </c>
      <c r="AH1733" s="29" t="s">
        <v>2443</v>
      </c>
      <c r="AI1733" s="29" t="s">
        <v>2694</v>
      </c>
      <c r="AJ1733" s="29"/>
      <c r="AL1733" s="29" t="s">
        <v>2271</v>
      </c>
    </row>
    <row r="1734" spans="15:38">
      <c r="O1734" t="s">
        <v>24</v>
      </c>
      <c r="P1734" t="s">
        <v>43</v>
      </c>
      <c r="Q1734" t="s">
        <v>27</v>
      </c>
      <c r="R1734" t="s">
        <v>54</v>
      </c>
      <c r="S1734">
        <v>2024.47</v>
      </c>
      <c r="T1734">
        <v>508168.05</v>
      </c>
      <c r="U1734">
        <v>858533.92839999998</v>
      </c>
      <c r="V1734">
        <v>713699.47979999997</v>
      </c>
      <c r="AA1734" s="29" t="s">
        <v>43</v>
      </c>
      <c r="AB1734">
        <v>31200</v>
      </c>
      <c r="AC1734">
        <v>130</v>
      </c>
      <c r="AD1734">
        <v>3</v>
      </c>
      <c r="AE1734">
        <v>2100</v>
      </c>
      <c r="AF1734">
        <v>2100</v>
      </c>
      <c r="AG1734" s="29" t="s">
        <v>2270</v>
      </c>
      <c r="AH1734" s="29" t="s">
        <v>2695</v>
      </c>
      <c r="AI1734" s="29" t="s">
        <v>2696</v>
      </c>
      <c r="AJ1734" s="29"/>
      <c r="AL1734" s="29" t="s">
        <v>2271</v>
      </c>
    </row>
    <row r="1735" spans="15:38">
      <c r="O1735" t="s">
        <v>24</v>
      </c>
      <c r="P1735" t="s">
        <v>43</v>
      </c>
      <c r="Q1735" t="s">
        <v>27</v>
      </c>
      <c r="R1735" t="s">
        <v>54</v>
      </c>
      <c r="S1735">
        <v>2024.48</v>
      </c>
      <c r="T1735">
        <v>510938.05</v>
      </c>
      <c r="U1735">
        <v>858533.92839999998</v>
      </c>
      <c r="V1735">
        <v>673699.47979999997</v>
      </c>
      <c r="AA1735" s="29" t="s">
        <v>43</v>
      </c>
      <c r="AB1735">
        <v>31200</v>
      </c>
      <c r="AC1735">
        <v>130</v>
      </c>
      <c r="AD1735">
        <v>3</v>
      </c>
      <c r="AE1735">
        <v>0</v>
      </c>
      <c r="AF1735">
        <v>0</v>
      </c>
      <c r="AG1735" s="29" t="s">
        <v>2270</v>
      </c>
      <c r="AH1735" s="29" t="s">
        <v>2274</v>
      </c>
      <c r="AI1735" s="29" t="s">
        <v>2697</v>
      </c>
      <c r="AJ1735" s="29"/>
      <c r="AL1735" s="29" t="s">
        <v>2271</v>
      </c>
    </row>
    <row r="1736" spans="15:38">
      <c r="O1736" t="s">
        <v>24</v>
      </c>
      <c r="P1736" t="s">
        <v>43</v>
      </c>
      <c r="Q1736" t="s">
        <v>27</v>
      </c>
      <c r="R1736" t="s">
        <v>54</v>
      </c>
      <c r="S1736">
        <v>2024.49</v>
      </c>
      <c r="T1736">
        <v>519616.05</v>
      </c>
      <c r="U1736">
        <v>858533.92839999998</v>
      </c>
      <c r="V1736">
        <v>673699.47979999997</v>
      </c>
      <c r="AA1736" s="29" t="s">
        <v>43</v>
      </c>
      <c r="AB1736">
        <v>31200</v>
      </c>
      <c r="AC1736">
        <v>130</v>
      </c>
      <c r="AD1736">
        <v>3</v>
      </c>
      <c r="AE1736">
        <v>20.52</v>
      </c>
      <c r="AF1736">
        <v>20.52</v>
      </c>
      <c r="AG1736" s="29" t="s">
        <v>2270</v>
      </c>
      <c r="AH1736" s="29" t="s">
        <v>2698</v>
      </c>
      <c r="AI1736" s="29" t="s">
        <v>2699</v>
      </c>
      <c r="AJ1736" s="29"/>
      <c r="AL1736" s="29" t="s">
        <v>2271</v>
      </c>
    </row>
    <row r="1737" spans="15:38">
      <c r="O1737" t="s">
        <v>24</v>
      </c>
      <c r="P1737" t="s">
        <v>43</v>
      </c>
      <c r="Q1737" t="s">
        <v>27</v>
      </c>
      <c r="R1737" t="s">
        <v>54</v>
      </c>
      <c r="S1737">
        <v>2025.03</v>
      </c>
      <c r="T1737">
        <v>524455.55000000005</v>
      </c>
      <c r="U1737">
        <v>858533.92839999998</v>
      </c>
      <c r="V1737">
        <v>673699.47979999997</v>
      </c>
      <c r="AA1737" s="29" t="s">
        <v>43</v>
      </c>
      <c r="AB1737">
        <v>31200</v>
      </c>
      <c r="AC1737">
        <v>130</v>
      </c>
      <c r="AD1737">
        <v>3</v>
      </c>
      <c r="AE1737">
        <v>60</v>
      </c>
      <c r="AF1737">
        <v>60</v>
      </c>
      <c r="AG1737" s="29" t="s">
        <v>2270</v>
      </c>
      <c r="AH1737" s="29" t="s">
        <v>2700</v>
      </c>
      <c r="AI1737" s="29" t="s">
        <v>2701</v>
      </c>
      <c r="AJ1737" s="29"/>
      <c r="AL1737" s="29" t="s">
        <v>2271</v>
      </c>
    </row>
    <row r="1738" spans="15:38">
      <c r="O1738" t="s">
        <v>24</v>
      </c>
      <c r="P1738" t="s">
        <v>43</v>
      </c>
      <c r="Q1738" t="s">
        <v>27</v>
      </c>
      <c r="R1738" t="s">
        <v>54</v>
      </c>
      <c r="S1738">
        <v>2025.08</v>
      </c>
      <c r="T1738">
        <v>528381.55000000005</v>
      </c>
      <c r="U1738">
        <v>858533.92839999998</v>
      </c>
      <c r="V1738">
        <v>673699.47979999997</v>
      </c>
      <c r="AA1738" s="29" t="s">
        <v>43</v>
      </c>
      <c r="AB1738">
        <v>31200</v>
      </c>
      <c r="AC1738">
        <v>130</v>
      </c>
      <c r="AD1738">
        <v>3</v>
      </c>
      <c r="AE1738">
        <v>73.44</v>
      </c>
      <c r="AF1738">
        <v>73.44</v>
      </c>
      <c r="AG1738" s="29" t="s">
        <v>2270</v>
      </c>
      <c r="AH1738" s="29" t="s">
        <v>2702</v>
      </c>
      <c r="AI1738" s="29" t="s">
        <v>2703</v>
      </c>
      <c r="AJ1738" s="29"/>
      <c r="AL1738" s="29" t="s">
        <v>2271</v>
      </c>
    </row>
    <row r="1739" spans="15:38">
      <c r="O1739" t="s">
        <v>24</v>
      </c>
      <c r="P1739" t="s">
        <v>43</v>
      </c>
      <c r="Q1739" t="s">
        <v>27</v>
      </c>
      <c r="R1739" t="s">
        <v>54</v>
      </c>
      <c r="S1739">
        <v>2025.1</v>
      </c>
      <c r="T1739">
        <v>530457.75</v>
      </c>
      <c r="U1739">
        <v>858533.92839999998</v>
      </c>
      <c r="V1739">
        <v>673699.47979999997</v>
      </c>
      <c r="AA1739" s="29" t="s">
        <v>43</v>
      </c>
      <c r="AB1739">
        <v>31200</v>
      </c>
      <c r="AC1739">
        <v>130</v>
      </c>
      <c r="AD1739">
        <v>3</v>
      </c>
      <c r="AE1739">
        <v>0</v>
      </c>
      <c r="AF1739">
        <v>0</v>
      </c>
      <c r="AG1739" s="29" t="s">
        <v>2270</v>
      </c>
      <c r="AH1739" s="29" t="s">
        <v>2274</v>
      </c>
      <c r="AI1739" s="29" t="s">
        <v>2704</v>
      </c>
      <c r="AJ1739" s="29"/>
      <c r="AL1739" s="29" t="s">
        <v>2271</v>
      </c>
    </row>
    <row r="1740" spans="15:38">
      <c r="O1740" t="s">
        <v>24</v>
      </c>
      <c r="P1740" t="s">
        <v>43</v>
      </c>
      <c r="Q1740" t="s">
        <v>27</v>
      </c>
      <c r="R1740" t="s">
        <v>54</v>
      </c>
      <c r="S1740">
        <v>2025.11</v>
      </c>
      <c r="T1740">
        <v>530457.75</v>
      </c>
      <c r="U1740">
        <v>858533.92839999998</v>
      </c>
      <c r="V1740">
        <v>673699.47979999997</v>
      </c>
      <c r="AA1740" s="29" t="s">
        <v>43</v>
      </c>
      <c r="AB1740">
        <v>31200</v>
      </c>
      <c r="AC1740">
        <v>130</v>
      </c>
      <c r="AD1740">
        <v>3</v>
      </c>
      <c r="AE1740">
        <v>0</v>
      </c>
      <c r="AF1740">
        <v>0</v>
      </c>
      <c r="AG1740" s="29" t="s">
        <v>2270</v>
      </c>
      <c r="AH1740" s="29" t="s">
        <v>2274</v>
      </c>
      <c r="AI1740" s="29" t="s">
        <v>2705</v>
      </c>
      <c r="AJ1740" s="29"/>
      <c r="AL1740" s="29" t="s">
        <v>2271</v>
      </c>
    </row>
    <row r="1741" spans="15:38">
      <c r="O1741" t="s">
        <v>24</v>
      </c>
      <c r="P1741" t="s">
        <v>43</v>
      </c>
      <c r="Q1741" t="s">
        <v>27</v>
      </c>
      <c r="R1741" t="s">
        <v>54</v>
      </c>
      <c r="S1741">
        <v>2025.12</v>
      </c>
      <c r="T1741">
        <v>530457.75</v>
      </c>
      <c r="U1741">
        <v>858533.92839999998</v>
      </c>
      <c r="V1741">
        <v>673699.47979999997</v>
      </c>
      <c r="AA1741" s="29" t="s">
        <v>43</v>
      </c>
      <c r="AB1741">
        <v>31200</v>
      </c>
      <c r="AC1741">
        <v>130</v>
      </c>
      <c r="AD1741">
        <v>3</v>
      </c>
      <c r="AE1741">
        <v>0</v>
      </c>
      <c r="AF1741">
        <v>0</v>
      </c>
      <c r="AG1741" s="29" t="s">
        <v>2270</v>
      </c>
      <c r="AH1741" s="29" t="s">
        <v>2274</v>
      </c>
      <c r="AI1741" s="29" t="s">
        <v>2706</v>
      </c>
      <c r="AJ1741" s="29"/>
      <c r="AL1741" s="29" t="s">
        <v>2271</v>
      </c>
    </row>
    <row r="1742" spans="15:38">
      <c r="O1742" t="s">
        <v>24</v>
      </c>
      <c r="P1742" t="s">
        <v>43</v>
      </c>
      <c r="Q1742" t="s">
        <v>27</v>
      </c>
      <c r="R1742" t="s">
        <v>65</v>
      </c>
      <c r="S1742">
        <v>2024.18</v>
      </c>
      <c r="T1742">
        <v>48.56</v>
      </c>
      <c r="U1742">
        <v>0</v>
      </c>
      <c r="V1742">
        <v>0</v>
      </c>
      <c r="AA1742" s="29" t="s">
        <v>43</v>
      </c>
      <c r="AB1742">
        <v>31200</v>
      </c>
      <c r="AC1742">
        <v>130</v>
      </c>
      <c r="AD1742">
        <v>3</v>
      </c>
      <c r="AE1742">
        <v>0</v>
      </c>
      <c r="AF1742">
        <v>0</v>
      </c>
      <c r="AG1742" s="29" t="s">
        <v>2270</v>
      </c>
      <c r="AH1742" s="29" t="s">
        <v>2274</v>
      </c>
      <c r="AI1742" s="29" t="s">
        <v>2707</v>
      </c>
      <c r="AJ1742" s="29"/>
      <c r="AL1742" s="29" t="s">
        <v>2271</v>
      </c>
    </row>
    <row r="1743" spans="15:38">
      <c r="O1743" t="s">
        <v>24</v>
      </c>
      <c r="P1743" t="s">
        <v>43</v>
      </c>
      <c r="Q1743" t="s">
        <v>27</v>
      </c>
      <c r="R1743" t="s">
        <v>65</v>
      </c>
      <c r="S1743">
        <v>2024.19</v>
      </c>
      <c r="T1743">
        <v>48.56</v>
      </c>
      <c r="U1743">
        <v>0</v>
      </c>
      <c r="V1743">
        <v>0</v>
      </c>
      <c r="AA1743" s="29" t="s">
        <v>43</v>
      </c>
      <c r="AB1743">
        <v>31200</v>
      </c>
      <c r="AC1743">
        <v>130</v>
      </c>
      <c r="AD1743">
        <v>3</v>
      </c>
      <c r="AE1743">
        <v>45.12</v>
      </c>
      <c r="AF1743">
        <v>45.12</v>
      </c>
      <c r="AG1743" s="29" t="s">
        <v>2270</v>
      </c>
      <c r="AH1743" s="29" t="s">
        <v>2708</v>
      </c>
      <c r="AI1743" s="29" t="s">
        <v>2709</v>
      </c>
      <c r="AJ1743" s="29"/>
      <c r="AL1743" s="29" t="s">
        <v>2271</v>
      </c>
    </row>
    <row r="1744" spans="15:38">
      <c r="O1744" t="s">
        <v>24</v>
      </c>
      <c r="P1744" t="s">
        <v>43</v>
      </c>
      <c r="Q1744" t="s">
        <v>27</v>
      </c>
      <c r="R1744" t="s">
        <v>65</v>
      </c>
      <c r="S1744">
        <v>2024.2</v>
      </c>
      <c r="T1744">
        <v>48.56</v>
      </c>
      <c r="U1744">
        <v>0</v>
      </c>
      <c r="V1744">
        <v>0</v>
      </c>
      <c r="AA1744" s="29" t="s">
        <v>43</v>
      </c>
      <c r="AB1744">
        <v>31200</v>
      </c>
      <c r="AC1744">
        <v>130</v>
      </c>
      <c r="AD1744">
        <v>3</v>
      </c>
      <c r="AE1744">
        <v>1.54</v>
      </c>
      <c r="AF1744">
        <v>1.54</v>
      </c>
      <c r="AG1744" s="29" t="s">
        <v>2270</v>
      </c>
      <c r="AH1744" s="29" t="s">
        <v>2527</v>
      </c>
      <c r="AI1744" s="29" t="s">
        <v>2710</v>
      </c>
      <c r="AJ1744" s="29"/>
      <c r="AL1744" s="29" t="s">
        <v>2271</v>
      </c>
    </row>
    <row r="1745" spans="15:38">
      <c r="O1745" t="s">
        <v>24</v>
      </c>
      <c r="P1745" t="s">
        <v>43</v>
      </c>
      <c r="Q1745" t="s">
        <v>27</v>
      </c>
      <c r="R1745" t="s">
        <v>65</v>
      </c>
      <c r="S1745">
        <v>2024.21</v>
      </c>
      <c r="T1745">
        <v>48.56</v>
      </c>
      <c r="U1745">
        <v>0</v>
      </c>
      <c r="V1745">
        <v>0</v>
      </c>
      <c r="AA1745" s="29" t="s">
        <v>43</v>
      </c>
      <c r="AB1745">
        <v>31200</v>
      </c>
      <c r="AC1745">
        <v>130</v>
      </c>
      <c r="AD1745">
        <v>3</v>
      </c>
      <c r="AE1745">
        <v>26</v>
      </c>
      <c r="AF1745">
        <v>26</v>
      </c>
      <c r="AG1745" s="29" t="s">
        <v>2270</v>
      </c>
      <c r="AH1745" s="29" t="s">
        <v>2711</v>
      </c>
      <c r="AI1745" s="29" t="s">
        <v>2712</v>
      </c>
      <c r="AJ1745" s="29"/>
      <c r="AL1745" s="29" t="s">
        <v>2271</v>
      </c>
    </row>
    <row r="1746" spans="15:38">
      <c r="O1746" t="s">
        <v>24</v>
      </c>
      <c r="P1746" t="s">
        <v>43</v>
      </c>
      <c r="Q1746" t="s">
        <v>27</v>
      </c>
      <c r="R1746" t="s">
        <v>65</v>
      </c>
      <c r="S1746">
        <v>2024.28</v>
      </c>
      <c r="T1746">
        <v>48.56</v>
      </c>
      <c r="U1746">
        <v>0</v>
      </c>
      <c r="V1746">
        <v>0</v>
      </c>
      <c r="AA1746" s="29" t="s">
        <v>43</v>
      </c>
      <c r="AB1746">
        <v>31200</v>
      </c>
      <c r="AC1746">
        <v>130</v>
      </c>
      <c r="AD1746">
        <v>3</v>
      </c>
      <c r="AE1746">
        <v>195</v>
      </c>
      <c r="AF1746">
        <v>195</v>
      </c>
      <c r="AG1746" s="29" t="s">
        <v>2270</v>
      </c>
      <c r="AH1746" s="29" t="s">
        <v>2713</v>
      </c>
      <c r="AI1746" s="29" t="s">
        <v>2714</v>
      </c>
      <c r="AJ1746" s="29"/>
      <c r="AL1746" s="29" t="s">
        <v>2271</v>
      </c>
    </row>
    <row r="1747" spans="15:38">
      <c r="O1747" t="s">
        <v>24</v>
      </c>
      <c r="P1747" t="s">
        <v>43</v>
      </c>
      <c r="Q1747" t="s">
        <v>27</v>
      </c>
      <c r="R1747" t="s">
        <v>65</v>
      </c>
      <c r="S1747">
        <v>2024.38</v>
      </c>
      <c r="T1747">
        <v>48.56</v>
      </c>
      <c r="U1747">
        <v>0</v>
      </c>
      <c r="V1747">
        <v>0</v>
      </c>
      <c r="AA1747" s="29" t="s">
        <v>43</v>
      </c>
      <c r="AB1747">
        <v>31200</v>
      </c>
      <c r="AC1747">
        <v>130</v>
      </c>
      <c r="AD1747">
        <v>3</v>
      </c>
      <c r="AE1747">
        <v>16.100000000000001</v>
      </c>
      <c r="AF1747">
        <v>16.100000000000001</v>
      </c>
      <c r="AG1747" s="29" t="s">
        <v>2270</v>
      </c>
      <c r="AH1747" s="29" t="s">
        <v>2715</v>
      </c>
      <c r="AI1747" s="29" t="s">
        <v>2716</v>
      </c>
      <c r="AJ1747" s="29"/>
      <c r="AL1747" s="29" t="s">
        <v>2271</v>
      </c>
    </row>
    <row r="1748" spans="15:38">
      <c r="O1748" t="s">
        <v>24</v>
      </c>
      <c r="P1748" t="s">
        <v>43</v>
      </c>
      <c r="Q1748" t="s">
        <v>27</v>
      </c>
      <c r="R1748" t="s">
        <v>65</v>
      </c>
      <c r="S1748">
        <v>2024.39</v>
      </c>
      <c r="T1748">
        <v>48.56</v>
      </c>
      <c r="U1748">
        <v>0</v>
      </c>
      <c r="V1748">
        <v>0</v>
      </c>
      <c r="AA1748" s="29" t="s">
        <v>43</v>
      </c>
      <c r="AB1748">
        <v>31200</v>
      </c>
      <c r="AC1748">
        <v>130</v>
      </c>
      <c r="AD1748">
        <v>3</v>
      </c>
      <c r="AE1748">
        <v>13.2</v>
      </c>
      <c r="AF1748">
        <v>13.2</v>
      </c>
      <c r="AG1748" s="29" t="s">
        <v>2270</v>
      </c>
      <c r="AH1748" s="29" t="s">
        <v>2717</v>
      </c>
      <c r="AI1748" s="29" t="s">
        <v>2718</v>
      </c>
      <c r="AJ1748" s="29"/>
      <c r="AL1748" s="29" t="s">
        <v>2271</v>
      </c>
    </row>
    <row r="1749" spans="15:38">
      <c r="O1749" t="s">
        <v>24</v>
      </c>
      <c r="P1749" t="s">
        <v>43</v>
      </c>
      <c r="Q1749" t="s">
        <v>27</v>
      </c>
      <c r="R1749" t="s">
        <v>65</v>
      </c>
      <c r="S1749">
        <v>2024.41</v>
      </c>
      <c r="T1749">
        <v>48.56</v>
      </c>
      <c r="U1749">
        <v>0</v>
      </c>
      <c r="V1749">
        <v>0</v>
      </c>
      <c r="AA1749" s="29" t="s">
        <v>43</v>
      </c>
      <c r="AB1749">
        <v>31200</v>
      </c>
      <c r="AC1749">
        <v>130</v>
      </c>
      <c r="AD1749">
        <v>3</v>
      </c>
      <c r="AE1749">
        <v>59.98</v>
      </c>
      <c r="AF1749">
        <v>59.98</v>
      </c>
      <c r="AG1749" s="29" t="s">
        <v>2270</v>
      </c>
      <c r="AH1749" s="29" t="s">
        <v>2719</v>
      </c>
      <c r="AI1749" s="29" t="s">
        <v>2720</v>
      </c>
      <c r="AJ1749" s="29"/>
      <c r="AL1749" s="29" t="s">
        <v>2271</v>
      </c>
    </row>
    <row r="1750" spans="15:38">
      <c r="O1750" t="s">
        <v>24</v>
      </c>
      <c r="P1750" t="s">
        <v>43</v>
      </c>
      <c r="Q1750" t="s">
        <v>27</v>
      </c>
      <c r="R1750" t="s">
        <v>65</v>
      </c>
      <c r="S1750">
        <v>2024.43</v>
      </c>
      <c r="T1750">
        <v>48.56</v>
      </c>
      <c r="U1750">
        <v>0</v>
      </c>
      <c r="V1750">
        <v>0</v>
      </c>
      <c r="AA1750" s="29" t="s">
        <v>43</v>
      </c>
      <c r="AB1750">
        <v>31200</v>
      </c>
      <c r="AC1750">
        <v>130</v>
      </c>
      <c r="AD1750">
        <v>3</v>
      </c>
      <c r="AE1750">
        <v>52.1</v>
      </c>
      <c r="AF1750">
        <v>52.1</v>
      </c>
      <c r="AG1750" s="29" t="s">
        <v>2270</v>
      </c>
      <c r="AH1750" s="29" t="s">
        <v>2721</v>
      </c>
      <c r="AI1750" s="29" t="s">
        <v>2722</v>
      </c>
      <c r="AJ1750" s="29"/>
      <c r="AL1750" s="29" t="s">
        <v>2271</v>
      </c>
    </row>
    <row r="1751" spans="15:38">
      <c r="O1751" t="s">
        <v>24</v>
      </c>
      <c r="P1751" t="s">
        <v>43</v>
      </c>
      <c r="Q1751" t="s">
        <v>27</v>
      </c>
      <c r="R1751" t="s">
        <v>65</v>
      </c>
      <c r="S1751">
        <v>2024.44</v>
      </c>
      <c r="T1751">
        <v>48.56</v>
      </c>
      <c r="U1751">
        <v>0</v>
      </c>
      <c r="V1751">
        <v>0</v>
      </c>
      <c r="AA1751" s="29" t="s">
        <v>43</v>
      </c>
      <c r="AB1751">
        <v>31200</v>
      </c>
      <c r="AC1751">
        <v>130</v>
      </c>
      <c r="AD1751">
        <v>4</v>
      </c>
      <c r="AE1751">
        <v>204.77</v>
      </c>
      <c r="AF1751">
        <v>204.77</v>
      </c>
      <c r="AG1751" s="29" t="s">
        <v>2270</v>
      </c>
      <c r="AH1751" s="29" t="s">
        <v>2723</v>
      </c>
      <c r="AI1751" s="29" t="s">
        <v>2432</v>
      </c>
      <c r="AJ1751" s="29" t="s">
        <v>2724</v>
      </c>
      <c r="AL1751" s="29" t="s">
        <v>2271</v>
      </c>
    </row>
    <row r="1752" spans="15:38">
      <c r="O1752" t="s">
        <v>24</v>
      </c>
      <c r="P1752" t="s">
        <v>43</v>
      </c>
      <c r="Q1752" t="s">
        <v>27</v>
      </c>
      <c r="R1752" t="s">
        <v>65</v>
      </c>
      <c r="S1752">
        <v>2024.45</v>
      </c>
      <c r="T1752">
        <v>48.56</v>
      </c>
      <c r="U1752">
        <v>0</v>
      </c>
      <c r="V1752">
        <v>0</v>
      </c>
      <c r="AA1752" s="29" t="s">
        <v>43</v>
      </c>
      <c r="AB1752">
        <v>31200</v>
      </c>
      <c r="AC1752">
        <v>130</v>
      </c>
      <c r="AD1752">
        <v>4</v>
      </c>
      <c r="AE1752">
        <v>867.04</v>
      </c>
      <c r="AF1752">
        <v>867.04</v>
      </c>
      <c r="AG1752" s="29" t="s">
        <v>2270</v>
      </c>
      <c r="AH1752" s="29" t="s">
        <v>2725</v>
      </c>
      <c r="AI1752" s="29" t="s">
        <v>2432</v>
      </c>
      <c r="AJ1752" s="29" t="s">
        <v>2726</v>
      </c>
      <c r="AL1752" s="29" t="s">
        <v>2271</v>
      </c>
    </row>
    <row r="1753" spans="15:38">
      <c r="O1753" t="s">
        <v>24</v>
      </c>
      <c r="P1753" t="s">
        <v>43</v>
      </c>
      <c r="Q1753" t="s">
        <v>27</v>
      </c>
      <c r="R1753" t="s">
        <v>65</v>
      </c>
      <c r="S1753">
        <v>2024.47</v>
      </c>
      <c r="T1753">
        <v>48.56</v>
      </c>
      <c r="U1753">
        <v>0</v>
      </c>
      <c r="V1753">
        <v>0</v>
      </c>
      <c r="AA1753" s="29" t="s">
        <v>43</v>
      </c>
      <c r="AB1753">
        <v>31200</v>
      </c>
      <c r="AC1753">
        <v>130</v>
      </c>
      <c r="AD1753">
        <v>4</v>
      </c>
      <c r="AE1753">
        <v>571.52</v>
      </c>
      <c r="AF1753">
        <v>571.52</v>
      </c>
      <c r="AG1753" s="29" t="s">
        <v>2270</v>
      </c>
      <c r="AH1753" s="29" t="s">
        <v>2727</v>
      </c>
      <c r="AI1753" s="29" t="s">
        <v>2432</v>
      </c>
      <c r="AJ1753" s="29" t="s">
        <v>2728</v>
      </c>
      <c r="AL1753" s="29" t="s">
        <v>2271</v>
      </c>
    </row>
    <row r="1754" spans="15:38">
      <c r="O1754" t="s">
        <v>24</v>
      </c>
      <c r="P1754" t="s">
        <v>43</v>
      </c>
      <c r="Q1754" t="s">
        <v>27</v>
      </c>
      <c r="R1754" t="s">
        <v>65</v>
      </c>
      <c r="S1754">
        <v>2024.48</v>
      </c>
      <c r="T1754">
        <v>48.56</v>
      </c>
      <c r="U1754">
        <v>0</v>
      </c>
      <c r="V1754">
        <v>48.56</v>
      </c>
      <c r="AA1754" s="29" t="s">
        <v>43</v>
      </c>
      <c r="AB1754">
        <v>31200</v>
      </c>
      <c r="AC1754">
        <v>130</v>
      </c>
      <c r="AD1754">
        <v>4</v>
      </c>
      <c r="AE1754">
        <v>39.28</v>
      </c>
      <c r="AF1754">
        <v>39.28</v>
      </c>
      <c r="AG1754" s="29" t="s">
        <v>2270</v>
      </c>
      <c r="AH1754" s="29" t="s">
        <v>2729</v>
      </c>
      <c r="AI1754" s="29" t="s">
        <v>2432</v>
      </c>
      <c r="AJ1754" s="29" t="s">
        <v>2730</v>
      </c>
      <c r="AL1754" s="29" t="s">
        <v>2271</v>
      </c>
    </row>
    <row r="1755" spans="15:38">
      <c r="O1755" t="s">
        <v>24</v>
      </c>
      <c r="P1755" t="s">
        <v>43</v>
      </c>
      <c r="Q1755" t="s">
        <v>27</v>
      </c>
      <c r="R1755" t="s">
        <v>65</v>
      </c>
      <c r="S1755">
        <v>2024.49</v>
      </c>
      <c r="T1755">
        <v>48.56</v>
      </c>
      <c r="U1755">
        <v>0</v>
      </c>
      <c r="V1755">
        <v>48.56</v>
      </c>
      <c r="AA1755" s="29" t="s">
        <v>43</v>
      </c>
      <c r="AB1755">
        <v>31200</v>
      </c>
      <c r="AC1755">
        <v>130</v>
      </c>
      <c r="AD1755">
        <v>4</v>
      </c>
      <c r="AE1755">
        <v>358.32</v>
      </c>
      <c r="AF1755">
        <v>358.32</v>
      </c>
      <c r="AG1755" s="29" t="s">
        <v>2270</v>
      </c>
      <c r="AH1755" s="29" t="s">
        <v>2731</v>
      </c>
      <c r="AI1755" s="29" t="s">
        <v>2432</v>
      </c>
      <c r="AJ1755" s="29" t="s">
        <v>2732</v>
      </c>
      <c r="AL1755" s="29" t="s">
        <v>2271</v>
      </c>
    </row>
    <row r="1756" spans="15:38">
      <c r="O1756" t="s">
        <v>24</v>
      </c>
      <c r="P1756" t="s">
        <v>43</v>
      </c>
      <c r="Q1756" t="s">
        <v>27</v>
      </c>
      <c r="R1756" t="s">
        <v>65</v>
      </c>
      <c r="S1756">
        <v>2025.03</v>
      </c>
      <c r="T1756">
        <v>48.56</v>
      </c>
      <c r="U1756">
        <v>0</v>
      </c>
      <c r="V1756">
        <v>48.56</v>
      </c>
      <c r="AA1756" s="29" t="s">
        <v>43</v>
      </c>
      <c r="AB1756">
        <v>31200</v>
      </c>
      <c r="AC1756">
        <v>130</v>
      </c>
      <c r="AD1756">
        <v>4</v>
      </c>
      <c r="AE1756">
        <v>0</v>
      </c>
      <c r="AF1756">
        <v>0</v>
      </c>
      <c r="AG1756" s="29" t="s">
        <v>2270</v>
      </c>
      <c r="AH1756" s="29" t="s">
        <v>2274</v>
      </c>
      <c r="AI1756" s="29" t="s">
        <v>2432</v>
      </c>
      <c r="AJ1756" s="29" t="s">
        <v>2733</v>
      </c>
      <c r="AL1756" s="29" t="s">
        <v>2271</v>
      </c>
    </row>
    <row r="1757" spans="15:38">
      <c r="O1757" t="s">
        <v>24</v>
      </c>
      <c r="P1757" t="s">
        <v>43</v>
      </c>
      <c r="Q1757" t="s">
        <v>27</v>
      </c>
      <c r="R1757" t="s">
        <v>65</v>
      </c>
      <c r="S1757">
        <v>2025.08</v>
      </c>
      <c r="T1757">
        <v>48.56</v>
      </c>
      <c r="U1757">
        <v>0</v>
      </c>
      <c r="V1757">
        <v>48.56</v>
      </c>
      <c r="AA1757" s="29" t="s">
        <v>43</v>
      </c>
      <c r="AB1757">
        <v>31200</v>
      </c>
      <c r="AC1757">
        <v>130</v>
      </c>
      <c r="AD1757">
        <v>4</v>
      </c>
      <c r="AE1757">
        <v>0</v>
      </c>
      <c r="AF1757">
        <v>0</v>
      </c>
      <c r="AG1757" s="29" t="s">
        <v>2270</v>
      </c>
      <c r="AH1757" s="29" t="s">
        <v>2274</v>
      </c>
      <c r="AI1757" s="29" t="s">
        <v>2432</v>
      </c>
      <c r="AJ1757" s="29" t="s">
        <v>2733</v>
      </c>
      <c r="AL1757" s="29" t="s">
        <v>2271</v>
      </c>
    </row>
    <row r="1758" spans="15:38">
      <c r="O1758" t="s">
        <v>24</v>
      </c>
      <c r="P1758" t="s">
        <v>43</v>
      </c>
      <c r="Q1758" t="s">
        <v>27</v>
      </c>
      <c r="R1758" t="s">
        <v>65</v>
      </c>
      <c r="S1758">
        <v>2025.1</v>
      </c>
      <c r="T1758">
        <v>48.56</v>
      </c>
      <c r="U1758">
        <v>0</v>
      </c>
      <c r="V1758">
        <v>48.56</v>
      </c>
      <c r="AA1758" s="29" t="s">
        <v>43</v>
      </c>
      <c r="AB1758">
        <v>31200</v>
      </c>
      <c r="AC1758">
        <v>130</v>
      </c>
      <c r="AD1758">
        <v>4</v>
      </c>
      <c r="AE1758">
        <v>1291.05</v>
      </c>
      <c r="AF1758">
        <v>1291.05</v>
      </c>
      <c r="AG1758" s="29" t="s">
        <v>2270</v>
      </c>
      <c r="AH1758" s="29" t="s">
        <v>2734</v>
      </c>
      <c r="AI1758" s="29" t="s">
        <v>2432</v>
      </c>
      <c r="AJ1758" s="29" t="s">
        <v>2735</v>
      </c>
      <c r="AL1758" s="29" t="s">
        <v>2271</v>
      </c>
    </row>
    <row r="1759" spans="15:38">
      <c r="O1759" t="s">
        <v>24</v>
      </c>
      <c r="P1759" t="s">
        <v>43</v>
      </c>
      <c r="Q1759" t="s">
        <v>27</v>
      </c>
      <c r="R1759" t="s">
        <v>65</v>
      </c>
      <c r="S1759">
        <v>2025.11</v>
      </c>
      <c r="T1759">
        <v>48.56</v>
      </c>
      <c r="U1759">
        <v>0</v>
      </c>
      <c r="V1759">
        <v>48.56</v>
      </c>
      <c r="AA1759" s="29" t="s">
        <v>43</v>
      </c>
      <c r="AB1759">
        <v>31200</v>
      </c>
      <c r="AC1759">
        <v>130</v>
      </c>
      <c r="AD1759">
        <v>4</v>
      </c>
      <c r="AE1759">
        <v>1291.05</v>
      </c>
      <c r="AF1759">
        <v>1291.05</v>
      </c>
      <c r="AG1759" s="29" t="s">
        <v>2270</v>
      </c>
      <c r="AH1759" s="29" t="s">
        <v>2734</v>
      </c>
      <c r="AI1759" s="29" t="s">
        <v>2432</v>
      </c>
      <c r="AJ1759" s="29" t="s">
        <v>2735</v>
      </c>
      <c r="AL1759" s="29" t="s">
        <v>2271</v>
      </c>
    </row>
    <row r="1760" spans="15:38">
      <c r="O1760" t="s">
        <v>24</v>
      </c>
      <c r="P1760" t="s">
        <v>43</v>
      </c>
      <c r="Q1760" t="s">
        <v>27</v>
      </c>
      <c r="R1760" t="s">
        <v>65</v>
      </c>
      <c r="S1760">
        <v>2025.12</v>
      </c>
      <c r="T1760">
        <v>48.56</v>
      </c>
      <c r="U1760">
        <v>0</v>
      </c>
      <c r="V1760">
        <v>48.56</v>
      </c>
      <c r="AA1760" s="29" t="s">
        <v>43</v>
      </c>
      <c r="AB1760">
        <v>31200</v>
      </c>
      <c r="AC1760">
        <v>130</v>
      </c>
      <c r="AD1760">
        <v>4</v>
      </c>
      <c r="AE1760">
        <v>198.62</v>
      </c>
      <c r="AF1760">
        <v>198.62</v>
      </c>
      <c r="AG1760" s="29" t="s">
        <v>2270</v>
      </c>
      <c r="AH1760" s="29" t="s">
        <v>2688</v>
      </c>
      <c r="AI1760" s="29" t="s">
        <v>2432</v>
      </c>
      <c r="AJ1760" s="29" t="s">
        <v>2736</v>
      </c>
      <c r="AL1760" s="29" t="s">
        <v>2271</v>
      </c>
    </row>
    <row r="1761" spans="15:38">
      <c r="O1761" t="s">
        <v>24</v>
      </c>
      <c r="P1761" t="s">
        <v>43</v>
      </c>
      <c r="Q1761" t="s">
        <v>27</v>
      </c>
      <c r="R1761" t="s">
        <v>57</v>
      </c>
      <c r="S1761">
        <v>2024.18</v>
      </c>
      <c r="T1761">
        <v>807.91</v>
      </c>
      <c r="U1761">
        <v>0</v>
      </c>
      <c r="V1761">
        <v>0</v>
      </c>
      <c r="AA1761" s="29" t="s">
        <v>43</v>
      </c>
      <c r="AB1761">
        <v>31200</v>
      </c>
      <c r="AC1761">
        <v>130</v>
      </c>
      <c r="AD1761">
        <v>4</v>
      </c>
      <c r="AE1761">
        <v>358.32</v>
      </c>
      <c r="AF1761">
        <v>358.32</v>
      </c>
      <c r="AG1761" s="29" t="s">
        <v>2270</v>
      </c>
      <c r="AH1761" s="29" t="s">
        <v>2731</v>
      </c>
      <c r="AI1761" s="29" t="s">
        <v>2432</v>
      </c>
      <c r="AJ1761" s="29" t="s">
        <v>2737</v>
      </c>
      <c r="AL1761" s="29" t="s">
        <v>2271</v>
      </c>
    </row>
    <row r="1762" spans="15:38">
      <c r="O1762" t="s">
        <v>24</v>
      </c>
      <c r="P1762" t="s">
        <v>43</v>
      </c>
      <c r="Q1762" t="s">
        <v>27</v>
      </c>
      <c r="R1762" t="s">
        <v>57</v>
      </c>
      <c r="S1762">
        <v>2024.19</v>
      </c>
      <c r="T1762">
        <v>807.91</v>
      </c>
      <c r="U1762">
        <v>0</v>
      </c>
      <c r="V1762">
        <v>0</v>
      </c>
      <c r="AA1762" s="29" t="s">
        <v>43</v>
      </c>
      <c r="AB1762">
        <v>31200</v>
      </c>
      <c r="AC1762">
        <v>130</v>
      </c>
      <c r="AD1762">
        <v>4</v>
      </c>
      <c r="AE1762">
        <v>44.4</v>
      </c>
      <c r="AF1762">
        <v>44.4</v>
      </c>
      <c r="AG1762" s="29" t="s">
        <v>2270</v>
      </c>
      <c r="AH1762" s="29" t="s">
        <v>2291</v>
      </c>
      <c r="AI1762" s="29" t="s">
        <v>2432</v>
      </c>
      <c r="AJ1762" s="29" t="s">
        <v>2738</v>
      </c>
      <c r="AL1762" s="29" t="s">
        <v>2271</v>
      </c>
    </row>
    <row r="1763" spans="15:38">
      <c r="O1763" t="s">
        <v>24</v>
      </c>
      <c r="P1763" t="s">
        <v>43</v>
      </c>
      <c r="Q1763" t="s">
        <v>27</v>
      </c>
      <c r="R1763" t="s">
        <v>57</v>
      </c>
      <c r="S1763">
        <v>2024.2</v>
      </c>
      <c r="T1763">
        <v>809.14</v>
      </c>
      <c r="U1763">
        <v>0</v>
      </c>
      <c r="V1763">
        <v>0</v>
      </c>
      <c r="AA1763" s="29" t="s">
        <v>43</v>
      </c>
      <c r="AB1763">
        <v>31200</v>
      </c>
      <c r="AC1763">
        <v>130</v>
      </c>
      <c r="AD1763">
        <v>4</v>
      </c>
      <c r="AE1763">
        <v>30.9</v>
      </c>
      <c r="AF1763">
        <v>30.9</v>
      </c>
      <c r="AG1763" s="29" t="s">
        <v>2270</v>
      </c>
      <c r="AH1763" s="29" t="s">
        <v>2739</v>
      </c>
      <c r="AI1763" s="29" t="s">
        <v>2432</v>
      </c>
      <c r="AJ1763" s="29" t="s">
        <v>2740</v>
      </c>
      <c r="AL1763" s="29" t="s">
        <v>2271</v>
      </c>
    </row>
    <row r="1764" spans="15:38">
      <c r="O1764" t="s">
        <v>24</v>
      </c>
      <c r="P1764" t="s">
        <v>43</v>
      </c>
      <c r="Q1764" t="s">
        <v>27</v>
      </c>
      <c r="R1764" t="s">
        <v>57</v>
      </c>
      <c r="S1764">
        <v>2024.21</v>
      </c>
      <c r="T1764">
        <v>809.14</v>
      </c>
      <c r="U1764">
        <v>0</v>
      </c>
      <c r="V1764">
        <v>0</v>
      </c>
      <c r="AA1764" s="29" t="s">
        <v>43</v>
      </c>
      <c r="AB1764">
        <v>31200</v>
      </c>
      <c r="AC1764">
        <v>130</v>
      </c>
      <c r="AD1764">
        <v>4</v>
      </c>
      <c r="AE1764">
        <v>173.52</v>
      </c>
      <c r="AF1764">
        <v>173.52</v>
      </c>
      <c r="AG1764" s="29" t="s">
        <v>2270</v>
      </c>
      <c r="AH1764" s="29" t="s">
        <v>2741</v>
      </c>
      <c r="AI1764" s="29" t="s">
        <v>2432</v>
      </c>
      <c r="AJ1764" s="29" t="s">
        <v>2742</v>
      </c>
      <c r="AL1764" s="29" t="s">
        <v>2271</v>
      </c>
    </row>
    <row r="1765" spans="15:38">
      <c r="O1765" t="s">
        <v>24</v>
      </c>
      <c r="P1765" t="s">
        <v>43</v>
      </c>
      <c r="Q1765" t="s">
        <v>27</v>
      </c>
      <c r="R1765" t="s">
        <v>57</v>
      </c>
      <c r="S1765">
        <v>2024.28</v>
      </c>
      <c r="T1765">
        <v>809.14</v>
      </c>
      <c r="U1765">
        <v>0</v>
      </c>
      <c r="V1765">
        <v>0</v>
      </c>
      <c r="AA1765" s="29" t="s">
        <v>43</v>
      </c>
      <c r="AB1765">
        <v>31200</v>
      </c>
      <c r="AC1765">
        <v>130</v>
      </c>
      <c r="AD1765">
        <v>4</v>
      </c>
      <c r="AE1765">
        <v>52</v>
      </c>
      <c r="AF1765">
        <v>52</v>
      </c>
      <c r="AG1765" s="29" t="s">
        <v>2270</v>
      </c>
      <c r="AH1765" s="29" t="s">
        <v>2743</v>
      </c>
      <c r="AI1765" s="29" t="s">
        <v>2432</v>
      </c>
      <c r="AJ1765" s="29" t="s">
        <v>2744</v>
      </c>
      <c r="AL1765" s="29" t="s">
        <v>2271</v>
      </c>
    </row>
    <row r="1766" spans="15:38">
      <c r="O1766" t="s">
        <v>24</v>
      </c>
      <c r="P1766" t="s">
        <v>43</v>
      </c>
      <c r="Q1766" t="s">
        <v>27</v>
      </c>
      <c r="R1766" t="s">
        <v>57</v>
      </c>
      <c r="S1766">
        <v>2024.38</v>
      </c>
      <c r="T1766">
        <v>809.14</v>
      </c>
      <c r="U1766">
        <v>0</v>
      </c>
      <c r="V1766">
        <v>0</v>
      </c>
      <c r="AA1766" s="29" t="s">
        <v>43</v>
      </c>
      <c r="AB1766">
        <v>31200</v>
      </c>
      <c r="AC1766">
        <v>130</v>
      </c>
      <c r="AD1766">
        <v>4</v>
      </c>
      <c r="AE1766">
        <v>40</v>
      </c>
      <c r="AF1766">
        <v>40</v>
      </c>
      <c r="AG1766" s="29" t="s">
        <v>2270</v>
      </c>
      <c r="AH1766" s="29" t="s">
        <v>2745</v>
      </c>
      <c r="AI1766" s="29" t="s">
        <v>2432</v>
      </c>
      <c r="AJ1766" s="29" t="s">
        <v>2746</v>
      </c>
      <c r="AL1766" s="29" t="s">
        <v>2271</v>
      </c>
    </row>
    <row r="1767" spans="15:38">
      <c r="O1767" t="s">
        <v>24</v>
      </c>
      <c r="P1767" t="s">
        <v>43</v>
      </c>
      <c r="Q1767" t="s">
        <v>27</v>
      </c>
      <c r="R1767" t="s">
        <v>57</v>
      </c>
      <c r="S1767">
        <v>2024.39</v>
      </c>
      <c r="T1767">
        <v>809.14</v>
      </c>
      <c r="U1767">
        <v>0</v>
      </c>
      <c r="V1767">
        <v>0</v>
      </c>
      <c r="AA1767" s="29" t="s">
        <v>43</v>
      </c>
      <c r="AB1767">
        <v>31200</v>
      </c>
      <c r="AC1767">
        <v>130</v>
      </c>
      <c r="AD1767">
        <v>4</v>
      </c>
      <c r="AE1767">
        <v>142.4</v>
      </c>
      <c r="AF1767">
        <v>142.4</v>
      </c>
      <c r="AG1767" s="29" t="s">
        <v>2270</v>
      </c>
      <c r="AH1767" s="29" t="s">
        <v>2747</v>
      </c>
      <c r="AI1767" s="29" t="s">
        <v>2432</v>
      </c>
      <c r="AJ1767" s="29" t="s">
        <v>2748</v>
      </c>
      <c r="AL1767" s="29" t="s">
        <v>2271</v>
      </c>
    </row>
    <row r="1768" spans="15:38">
      <c r="O1768" t="s">
        <v>24</v>
      </c>
      <c r="P1768" t="s">
        <v>43</v>
      </c>
      <c r="Q1768" t="s">
        <v>27</v>
      </c>
      <c r="R1768" t="s">
        <v>57</v>
      </c>
      <c r="S1768">
        <v>2024.41</v>
      </c>
      <c r="T1768">
        <v>809.14</v>
      </c>
      <c r="U1768">
        <v>0</v>
      </c>
      <c r="V1768">
        <v>0</v>
      </c>
      <c r="AA1768" s="29" t="s">
        <v>43</v>
      </c>
      <c r="AB1768">
        <v>31200</v>
      </c>
      <c r="AC1768">
        <v>130</v>
      </c>
      <c r="AD1768">
        <v>4</v>
      </c>
      <c r="AE1768">
        <v>35.5</v>
      </c>
      <c r="AF1768">
        <v>35.5</v>
      </c>
      <c r="AG1768" s="29" t="s">
        <v>2270</v>
      </c>
      <c r="AH1768" s="29" t="s">
        <v>2749</v>
      </c>
      <c r="AI1768" s="29" t="s">
        <v>2432</v>
      </c>
      <c r="AJ1768" s="29" t="s">
        <v>2750</v>
      </c>
      <c r="AL1768" s="29" t="s">
        <v>2271</v>
      </c>
    </row>
    <row r="1769" spans="15:38">
      <c r="O1769" t="s">
        <v>24</v>
      </c>
      <c r="P1769" t="s">
        <v>43</v>
      </c>
      <c r="Q1769" t="s">
        <v>27</v>
      </c>
      <c r="R1769" t="s">
        <v>57</v>
      </c>
      <c r="S1769">
        <v>2024.43</v>
      </c>
      <c r="T1769">
        <v>809.14</v>
      </c>
      <c r="U1769">
        <v>0</v>
      </c>
      <c r="V1769">
        <v>0</v>
      </c>
      <c r="AA1769" s="29" t="s">
        <v>43</v>
      </c>
      <c r="AB1769">
        <v>31200</v>
      </c>
      <c r="AC1769">
        <v>130</v>
      </c>
      <c r="AD1769">
        <v>4</v>
      </c>
      <c r="AE1769">
        <v>4.7300000000000004</v>
      </c>
      <c r="AF1769">
        <v>4.7300000000000004</v>
      </c>
      <c r="AG1769" s="29" t="s">
        <v>2270</v>
      </c>
      <c r="AH1769" s="29" t="s">
        <v>2751</v>
      </c>
      <c r="AI1769" s="29" t="s">
        <v>2432</v>
      </c>
      <c r="AJ1769" s="29" t="s">
        <v>2752</v>
      </c>
      <c r="AL1769" s="29" t="s">
        <v>2271</v>
      </c>
    </row>
    <row r="1770" spans="15:38">
      <c r="O1770" t="s">
        <v>24</v>
      </c>
      <c r="P1770" t="s">
        <v>43</v>
      </c>
      <c r="Q1770" t="s">
        <v>27</v>
      </c>
      <c r="R1770" t="s">
        <v>57</v>
      </c>
      <c r="S1770">
        <v>2024.44</v>
      </c>
      <c r="T1770">
        <v>809.14</v>
      </c>
      <c r="U1770">
        <v>0</v>
      </c>
      <c r="V1770">
        <v>0</v>
      </c>
      <c r="AA1770" s="29" t="s">
        <v>43</v>
      </c>
      <c r="AB1770">
        <v>31200</v>
      </c>
      <c r="AC1770">
        <v>130</v>
      </c>
      <c r="AD1770">
        <v>4</v>
      </c>
      <c r="AE1770">
        <v>66.88</v>
      </c>
      <c r="AF1770">
        <v>66.88</v>
      </c>
      <c r="AG1770" s="29" t="s">
        <v>2270</v>
      </c>
      <c r="AH1770" s="29" t="s">
        <v>2753</v>
      </c>
      <c r="AI1770" s="29" t="s">
        <v>2432</v>
      </c>
      <c r="AJ1770" s="29" t="s">
        <v>2754</v>
      </c>
      <c r="AL1770" s="29" t="s">
        <v>2271</v>
      </c>
    </row>
    <row r="1771" spans="15:38">
      <c r="O1771" t="s">
        <v>24</v>
      </c>
      <c r="P1771" t="s">
        <v>43</v>
      </c>
      <c r="Q1771" t="s">
        <v>27</v>
      </c>
      <c r="R1771" t="s">
        <v>57</v>
      </c>
      <c r="S1771">
        <v>2024.45</v>
      </c>
      <c r="T1771">
        <v>809.14</v>
      </c>
      <c r="U1771">
        <v>0</v>
      </c>
      <c r="V1771">
        <v>0</v>
      </c>
      <c r="AA1771" s="29" t="s">
        <v>43</v>
      </c>
      <c r="AB1771">
        <v>31200</v>
      </c>
      <c r="AC1771">
        <v>130</v>
      </c>
      <c r="AD1771">
        <v>4</v>
      </c>
      <c r="AE1771">
        <v>15.45</v>
      </c>
      <c r="AF1771">
        <v>15.45</v>
      </c>
      <c r="AG1771" s="29" t="s">
        <v>2270</v>
      </c>
      <c r="AH1771" s="29" t="s">
        <v>2755</v>
      </c>
      <c r="AI1771" s="29" t="s">
        <v>2432</v>
      </c>
      <c r="AJ1771" s="29" t="s">
        <v>2756</v>
      </c>
      <c r="AL1771" s="29" t="s">
        <v>2271</v>
      </c>
    </row>
    <row r="1772" spans="15:38">
      <c r="O1772" t="s">
        <v>24</v>
      </c>
      <c r="P1772" t="s">
        <v>43</v>
      </c>
      <c r="Q1772" t="s">
        <v>27</v>
      </c>
      <c r="R1772" t="s">
        <v>57</v>
      </c>
      <c r="S1772">
        <v>2024.47</v>
      </c>
      <c r="T1772">
        <v>809.14</v>
      </c>
      <c r="U1772">
        <v>0</v>
      </c>
      <c r="V1772">
        <v>0</v>
      </c>
      <c r="AA1772" s="29" t="s">
        <v>43</v>
      </c>
      <c r="AB1772">
        <v>31200</v>
      </c>
      <c r="AC1772">
        <v>130</v>
      </c>
      <c r="AD1772">
        <v>4</v>
      </c>
      <c r="AE1772">
        <v>108.15</v>
      </c>
      <c r="AF1772">
        <v>108.15</v>
      </c>
      <c r="AG1772" s="29" t="s">
        <v>2270</v>
      </c>
      <c r="AH1772" s="29" t="s">
        <v>2757</v>
      </c>
      <c r="AI1772" s="29" t="s">
        <v>2432</v>
      </c>
      <c r="AJ1772" s="29" t="s">
        <v>2758</v>
      </c>
      <c r="AL1772" s="29" t="s">
        <v>2271</v>
      </c>
    </row>
    <row r="1773" spans="15:38">
      <c r="O1773" t="s">
        <v>24</v>
      </c>
      <c r="P1773" t="s">
        <v>43</v>
      </c>
      <c r="Q1773" t="s">
        <v>27</v>
      </c>
      <c r="R1773" t="s">
        <v>57</v>
      </c>
      <c r="S1773">
        <v>2024.48</v>
      </c>
      <c r="T1773">
        <v>809.14</v>
      </c>
      <c r="U1773">
        <v>0</v>
      </c>
      <c r="V1773">
        <v>809.14</v>
      </c>
      <c r="AA1773" s="29" t="s">
        <v>43</v>
      </c>
      <c r="AB1773">
        <v>31200</v>
      </c>
      <c r="AC1773">
        <v>130</v>
      </c>
      <c r="AD1773">
        <v>4</v>
      </c>
      <c r="AE1773">
        <v>0</v>
      </c>
      <c r="AF1773">
        <v>0</v>
      </c>
      <c r="AG1773" s="29" t="s">
        <v>2270</v>
      </c>
      <c r="AH1773" s="29" t="s">
        <v>2274</v>
      </c>
      <c r="AI1773" s="29" t="s">
        <v>2432</v>
      </c>
      <c r="AJ1773" s="29" t="s">
        <v>2759</v>
      </c>
      <c r="AL1773" s="29" t="s">
        <v>2271</v>
      </c>
    </row>
    <row r="1774" spans="15:38">
      <c r="O1774" t="s">
        <v>24</v>
      </c>
      <c r="P1774" t="s">
        <v>43</v>
      </c>
      <c r="Q1774" t="s">
        <v>27</v>
      </c>
      <c r="R1774" t="s">
        <v>57</v>
      </c>
      <c r="S1774">
        <v>2024.49</v>
      </c>
      <c r="T1774">
        <v>809.14</v>
      </c>
      <c r="U1774">
        <v>0</v>
      </c>
      <c r="V1774">
        <v>809.14</v>
      </c>
      <c r="AA1774" s="29" t="s">
        <v>43</v>
      </c>
      <c r="AB1774">
        <v>31200</v>
      </c>
      <c r="AC1774">
        <v>130</v>
      </c>
      <c r="AD1774">
        <v>4</v>
      </c>
      <c r="AE1774">
        <v>101.4</v>
      </c>
      <c r="AF1774">
        <v>101.4</v>
      </c>
      <c r="AG1774" s="29" t="s">
        <v>2270</v>
      </c>
      <c r="AH1774" s="29" t="s">
        <v>2760</v>
      </c>
      <c r="AI1774" s="29" t="s">
        <v>2432</v>
      </c>
      <c r="AJ1774" s="29" t="s">
        <v>2761</v>
      </c>
      <c r="AL1774" s="29" t="s">
        <v>2271</v>
      </c>
    </row>
    <row r="1775" spans="15:38">
      <c r="O1775" t="s">
        <v>24</v>
      </c>
      <c r="P1775" t="s">
        <v>43</v>
      </c>
      <c r="Q1775" t="s">
        <v>27</v>
      </c>
      <c r="R1775" t="s">
        <v>57</v>
      </c>
      <c r="S1775">
        <v>2025.03</v>
      </c>
      <c r="T1775">
        <v>809.14</v>
      </c>
      <c r="U1775">
        <v>0</v>
      </c>
      <c r="V1775">
        <v>809.14</v>
      </c>
      <c r="AA1775" s="29" t="s">
        <v>43</v>
      </c>
      <c r="AB1775">
        <v>31200</v>
      </c>
      <c r="AC1775">
        <v>130</v>
      </c>
      <c r="AD1775">
        <v>4</v>
      </c>
      <c r="AE1775">
        <v>43.9</v>
      </c>
      <c r="AF1775">
        <v>43.9</v>
      </c>
      <c r="AG1775" s="29" t="s">
        <v>2270</v>
      </c>
      <c r="AH1775" s="29" t="s">
        <v>2762</v>
      </c>
      <c r="AI1775" s="29" t="s">
        <v>2432</v>
      </c>
      <c r="AJ1775" s="29" t="s">
        <v>2763</v>
      </c>
      <c r="AL1775" s="29" t="s">
        <v>2271</v>
      </c>
    </row>
    <row r="1776" spans="15:38">
      <c r="O1776" t="s">
        <v>24</v>
      </c>
      <c r="P1776" t="s">
        <v>43</v>
      </c>
      <c r="Q1776" t="s">
        <v>27</v>
      </c>
      <c r="R1776" t="s">
        <v>57</v>
      </c>
      <c r="S1776">
        <v>2025.08</v>
      </c>
      <c r="T1776">
        <v>809.14</v>
      </c>
      <c r="U1776">
        <v>0</v>
      </c>
      <c r="V1776">
        <v>809.14</v>
      </c>
      <c r="AA1776" s="29" t="s">
        <v>43</v>
      </c>
      <c r="AB1776">
        <v>31200</v>
      </c>
      <c r="AC1776">
        <v>130</v>
      </c>
      <c r="AD1776">
        <v>4</v>
      </c>
      <c r="AE1776">
        <v>1234.7</v>
      </c>
      <c r="AF1776">
        <v>1234.7</v>
      </c>
      <c r="AG1776" s="29" t="s">
        <v>2270</v>
      </c>
      <c r="AH1776" s="29" t="s">
        <v>2764</v>
      </c>
      <c r="AI1776" s="29" t="s">
        <v>2432</v>
      </c>
      <c r="AJ1776" s="29" t="s">
        <v>2765</v>
      </c>
      <c r="AL1776" s="29" t="s">
        <v>2271</v>
      </c>
    </row>
    <row r="1777" spans="15:38">
      <c r="O1777" t="s">
        <v>24</v>
      </c>
      <c r="P1777" t="s">
        <v>43</v>
      </c>
      <c r="Q1777" t="s">
        <v>27</v>
      </c>
      <c r="R1777" t="s">
        <v>57</v>
      </c>
      <c r="S1777">
        <v>2025.1</v>
      </c>
      <c r="T1777">
        <v>809.14</v>
      </c>
      <c r="U1777">
        <v>0</v>
      </c>
      <c r="V1777">
        <v>809.14</v>
      </c>
      <c r="AA1777" s="29" t="s">
        <v>43</v>
      </c>
      <c r="AB1777">
        <v>31200</v>
      </c>
      <c r="AC1777">
        <v>130</v>
      </c>
      <c r="AD1777">
        <v>4</v>
      </c>
      <c r="AE1777">
        <v>520.79999999999995</v>
      </c>
      <c r="AF1777">
        <v>520.79999999999995</v>
      </c>
      <c r="AG1777" s="29" t="s">
        <v>2270</v>
      </c>
      <c r="AH1777" s="29" t="s">
        <v>2766</v>
      </c>
      <c r="AI1777" s="29" t="s">
        <v>2432</v>
      </c>
      <c r="AJ1777" s="29" t="s">
        <v>2767</v>
      </c>
      <c r="AL1777" s="29" t="s">
        <v>2271</v>
      </c>
    </row>
    <row r="1778" spans="15:38">
      <c r="O1778" t="s">
        <v>24</v>
      </c>
      <c r="P1778" t="s">
        <v>43</v>
      </c>
      <c r="Q1778" t="s">
        <v>27</v>
      </c>
      <c r="R1778" t="s">
        <v>57</v>
      </c>
      <c r="S1778">
        <v>2025.11</v>
      </c>
      <c r="T1778">
        <v>809.14</v>
      </c>
      <c r="U1778">
        <v>0</v>
      </c>
      <c r="V1778">
        <v>809.14</v>
      </c>
      <c r="AA1778" s="29" t="s">
        <v>43</v>
      </c>
      <c r="AB1778">
        <v>31200</v>
      </c>
      <c r="AC1778">
        <v>130</v>
      </c>
      <c r="AD1778">
        <v>4</v>
      </c>
      <c r="AE1778">
        <v>52.65</v>
      </c>
      <c r="AF1778">
        <v>52.65</v>
      </c>
      <c r="AG1778" s="29" t="s">
        <v>2270</v>
      </c>
      <c r="AH1778" s="29" t="s">
        <v>2768</v>
      </c>
      <c r="AI1778" s="29" t="s">
        <v>2432</v>
      </c>
      <c r="AJ1778" s="29" t="s">
        <v>2769</v>
      </c>
      <c r="AL1778" s="29" t="s">
        <v>2271</v>
      </c>
    </row>
    <row r="1779" spans="15:38">
      <c r="O1779" t="s">
        <v>24</v>
      </c>
      <c r="P1779" t="s">
        <v>43</v>
      </c>
      <c r="Q1779" t="s">
        <v>27</v>
      </c>
      <c r="R1779" t="s">
        <v>57</v>
      </c>
      <c r="S1779">
        <v>2025.12</v>
      </c>
      <c r="T1779">
        <v>809.14</v>
      </c>
      <c r="U1779">
        <v>0</v>
      </c>
      <c r="V1779">
        <v>809.14</v>
      </c>
      <c r="AA1779" s="29" t="s">
        <v>43</v>
      </c>
      <c r="AB1779">
        <v>31200</v>
      </c>
      <c r="AC1779">
        <v>130</v>
      </c>
      <c r="AD1779">
        <v>4</v>
      </c>
      <c r="AE1779">
        <v>92.5</v>
      </c>
      <c r="AF1779">
        <v>92.5</v>
      </c>
      <c r="AG1779" s="29" t="s">
        <v>2270</v>
      </c>
      <c r="AH1779" s="29" t="s">
        <v>2770</v>
      </c>
      <c r="AI1779" s="29" t="s">
        <v>2432</v>
      </c>
      <c r="AJ1779" s="29" t="s">
        <v>2771</v>
      </c>
      <c r="AL1779" s="29" t="s">
        <v>2271</v>
      </c>
    </row>
    <row r="1780" spans="15:38">
      <c r="O1780" t="s">
        <v>24</v>
      </c>
      <c r="P1780" t="s">
        <v>43</v>
      </c>
      <c r="Q1780" t="s">
        <v>27</v>
      </c>
      <c r="R1780" t="s">
        <v>58</v>
      </c>
      <c r="S1780">
        <v>2023.47</v>
      </c>
      <c r="T1780">
        <v>0</v>
      </c>
      <c r="U1780">
        <v>184051.54800000001</v>
      </c>
      <c r="V1780">
        <v>184051.54800000001</v>
      </c>
      <c r="AA1780" s="29" t="s">
        <v>43</v>
      </c>
      <c r="AB1780">
        <v>31200</v>
      </c>
      <c r="AC1780">
        <v>130</v>
      </c>
      <c r="AD1780">
        <v>4</v>
      </c>
      <c r="AE1780">
        <v>32.5</v>
      </c>
      <c r="AF1780">
        <v>32.5</v>
      </c>
      <c r="AG1780" s="29" t="s">
        <v>2270</v>
      </c>
      <c r="AH1780" s="29" t="s">
        <v>2772</v>
      </c>
      <c r="AI1780" s="29" t="s">
        <v>2432</v>
      </c>
      <c r="AJ1780" s="29" t="s">
        <v>2773</v>
      </c>
      <c r="AL1780" s="29" t="s">
        <v>2271</v>
      </c>
    </row>
    <row r="1781" spans="15:38">
      <c r="O1781" t="s">
        <v>24</v>
      </c>
      <c r="P1781" t="s">
        <v>43</v>
      </c>
      <c r="Q1781" t="s">
        <v>27</v>
      </c>
      <c r="R1781" t="s">
        <v>58</v>
      </c>
      <c r="S1781">
        <v>2023.51</v>
      </c>
      <c r="T1781">
        <v>94021.37</v>
      </c>
      <c r="U1781">
        <v>184051.54800000001</v>
      </c>
      <c r="V1781">
        <v>184051.54800000001</v>
      </c>
      <c r="AA1781" s="29" t="s">
        <v>43</v>
      </c>
      <c r="AB1781">
        <v>31200</v>
      </c>
      <c r="AC1781">
        <v>130</v>
      </c>
      <c r="AD1781">
        <v>4</v>
      </c>
      <c r="AE1781">
        <v>27.24</v>
      </c>
      <c r="AF1781">
        <v>27.24</v>
      </c>
      <c r="AG1781" s="29" t="s">
        <v>2270</v>
      </c>
      <c r="AH1781" s="29" t="s">
        <v>2774</v>
      </c>
      <c r="AI1781" s="29" t="s">
        <v>2432</v>
      </c>
      <c r="AJ1781" s="29" t="s">
        <v>2775</v>
      </c>
      <c r="AL1781" s="29" t="s">
        <v>2271</v>
      </c>
    </row>
    <row r="1782" spans="15:38">
      <c r="O1782" t="s">
        <v>24</v>
      </c>
      <c r="P1782" t="s">
        <v>43</v>
      </c>
      <c r="Q1782" t="s">
        <v>27</v>
      </c>
      <c r="R1782" t="s">
        <v>58</v>
      </c>
      <c r="S1782">
        <v>2024.05</v>
      </c>
      <c r="T1782">
        <v>86352.639999999999</v>
      </c>
      <c r="U1782">
        <v>184051.54800000001</v>
      </c>
      <c r="V1782">
        <v>184051.54800000001</v>
      </c>
      <c r="AA1782" s="29" t="s">
        <v>43</v>
      </c>
      <c r="AB1782">
        <v>31200</v>
      </c>
      <c r="AC1782">
        <v>130</v>
      </c>
      <c r="AD1782">
        <v>4</v>
      </c>
      <c r="AE1782">
        <v>3.2</v>
      </c>
      <c r="AF1782">
        <v>3.2</v>
      </c>
      <c r="AG1782" s="29" t="s">
        <v>2270</v>
      </c>
      <c r="AH1782" s="29" t="s">
        <v>2776</v>
      </c>
      <c r="AI1782" s="29" t="s">
        <v>2432</v>
      </c>
      <c r="AJ1782" s="29" t="s">
        <v>2777</v>
      </c>
      <c r="AL1782" s="29" t="s">
        <v>2271</v>
      </c>
    </row>
    <row r="1783" spans="15:38">
      <c r="O1783" t="s">
        <v>24</v>
      </c>
      <c r="P1783" t="s">
        <v>43</v>
      </c>
      <c r="Q1783" t="s">
        <v>27</v>
      </c>
      <c r="R1783" t="s">
        <v>58</v>
      </c>
      <c r="S1783">
        <v>2024.06</v>
      </c>
      <c r="T1783">
        <v>87727.74</v>
      </c>
      <c r="U1783">
        <v>184051.54800000001</v>
      </c>
      <c r="V1783">
        <v>184051.54800000001</v>
      </c>
      <c r="AA1783" s="29" t="s">
        <v>43</v>
      </c>
      <c r="AB1783">
        <v>31200</v>
      </c>
      <c r="AC1783">
        <v>130</v>
      </c>
      <c r="AD1783">
        <v>4</v>
      </c>
      <c r="AE1783">
        <v>0</v>
      </c>
      <c r="AF1783">
        <v>0</v>
      </c>
      <c r="AG1783" s="29" t="s">
        <v>2270</v>
      </c>
      <c r="AH1783" s="29" t="s">
        <v>2274</v>
      </c>
      <c r="AI1783" s="29" t="s">
        <v>2432</v>
      </c>
      <c r="AJ1783" s="29" t="s">
        <v>1479</v>
      </c>
      <c r="AL1783" s="29" t="s">
        <v>2271</v>
      </c>
    </row>
    <row r="1784" spans="15:38">
      <c r="O1784" t="s">
        <v>24</v>
      </c>
      <c r="P1784" t="s">
        <v>43</v>
      </c>
      <c r="Q1784" t="s">
        <v>27</v>
      </c>
      <c r="R1784" t="s">
        <v>58</v>
      </c>
      <c r="S1784">
        <v>2024.07</v>
      </c>
      <c r="T1784">
        <v>87981.96</v>
      </c>
      <c r="U1784">
        <v>184051.54800000001</v>
      </c>
      <c r="V1784">
        <v>184051.54800000001</v>
      </c>
      <c r="AA1784" s="29" t="s">
        <v>43</v>
      </c>
      <c r="AB1784">
        <v>31200</v>
      </c>
      <c r="AC1784">
        <v>130</v>
      </c>
      <c r="AD1784">
        <v>4</v>
      </c>
      <c r="AE1784">
        <v>9</v>
      </c>
      <c r="AF1784">
        <v>9</v>
      </c>
      <c r="AG1784" s="29" t="s">
        <v>2270</v>
      </c>
      <c r="AH1784" s="29" t="s">
        <v>2778</v>
      </c>
      <c r="AI1784" s="29" t="s">
        <v>2432</v>
      </c>
      <c r="AJ1784" s="29" t="s">
        <v>2779</v>
      </c>
      <c r="AL1784" s="29" t="s">
        <v>2271</v>
      </c>
    </row>
    <row r="1785" spans="15:38">
      <c r="O1785" t="s">
        <v>24</v>
      </c>
      <c r="P1785" t="s">
        <v>43</v>
      </c>
      <c r="Q1785" t="s">
        <v>27</v>
      </c>
      <c r="R1785" t="s">
        <v>58</v>
      </c>
      <c r="S1785">
        <v>2024.08</v>
      </c>
      <c r="T1785">
        <v>91108.78</v>
      </c>
      <c r="U1785">
        <v>184051.54800000001</v>
      </c>
      <c r="V1785">
        <v>184051.54800000001</v>
      </c>
      <c r="AA1785" s="29" t="s">
        <v>43</v>
      </c>
      <c r="AB1785">
        <v>31200</v>
      </c>
      <c r="AC1785">
        <v>130</v>
      </c>
      <c r="AD1785">
        <v>4</v>
      </c>
      <c r="AE1785">
        <v>6.24</v>
      </c>
      <c r="AF1785">
        <v>6.24</v>
      </c>
      <c r="AG1785" s="29" t="s">
        <v>2270</v>
      </c>
      <c r="AH1785" s="29" t="s">
        <v>2780</v>
      </c>
      <c r="AI1785" s="29" t="s">
        <v>2432</v>
      </c>
      <c r="AJ1785" s="29" t="s">
        <v>2781</v>
      </c>
      <c r="AL1785" s="29" t="s">
        <v>2271</v>
      </c>
    </row>
    <row r="1786" spans="15:38">
      <c r="O1786" t="s">
        <v>24</v>
      </c>
      <c r="P1786" t="s">
        <v>43</v>
      </c>
      <c r="Q1786" t="s">
        <v>27</v>
      </c>
      <c r="R1786" t="s">
        <v>58</v>
      </c>
      <c r="S1786">
        <v>2024.09</v>
      </c>
      <c r="T1786">
        <v>94021.37</v>
      </c>
      <c r="U1786">
        <v>184051.54800000001</v>
      </c>
      <c r="V1786">
        <v>184051.54800000001</v>
      </c>
      <c r="AA1786" s="29" t="s">
        <v>43</v>
      </c>
      <c r="AB1786">
        <v>31200</v>
      </c>
      <c r="AC1786">
        <v>130</v>
      </c>
      <c r="AD1786">
        <v>4</v>
      </c>
      <c r="AE1786">
        <v>5.13</v>
      </c>
      <c r="AF1786">
        <v>5.13</v>
      </c>
      <c r="AG1786" s="29" t="s">
        <v>2270</v>
      </c>
      <c r="AH1786" s="29" t="s">
        <v>2782</v>
      </c>
      <c r="AI1786" s="29" t="s">
        <v>2432</v>
      </c>
      <c r="AJ1786" s="29" t="s">
        <v>2783</v>
      </c>
      <c r="AL1786" s="29" t="s">
        <v>2271</v>
      </c>
    </row>
    <row r="1787" spans="15:38">
      <c r="O1787" t="s">
        <v>24</v>
      </c>
      <c r="P1787" t="s">
        <v>43</v>
      </c>
      <c r="Q1787" t="s">
        <v>27</v>
      </c>
      <c r="R1787" t="s">
        <v>58</v>
      </c>
      <c r="S1787">
        <v>2024.1</v>
      </c>
      <c r="T1787">
        <v>93835.23</v>
      </c>
      <c r="U1787">
        <v>184051.54800000001</v>
      </c>
      <c r="V1787">
        <v>184051.54800000001</v>
      </c>
      <c r="AA1787" s="29" t="s">
        <v>43</v>
      </c>
      <c r="AB1787">
        <v>31200</v>
      </c>
      <c r="AC1787">
        <v>130</v>
      </c>
      <c r="AD1787">
        <v>4</v>
      </c>
      <c r="AE1787">
        <v>7.44</v>
      </c>
      <c r="AF1787">
        <v>7.44</v>
      </c>
      <c r="AG1787" s="29" t="s">
        <v>2270</v>
      </c>
      <c r="AH1787" s="29" t="s">
        <v>2784</v>
      </c>
      <c r="AI1787" s="29" t="s">
        <v>2432</v>
      </c>
      <c r="AJ1787" s="29" t="s">
        <v>2785</v>
      </c>
      <c r="AL1787" s="29" t="s">
        <v>2271</v>
      </c>
    </row>
    <row r="1788" spans="15:38">
      <c r="O1788" t="s">
        <v>24</v>
      </c>
      <c r="P1788" t="s">
        <v>43</v>
      </c>
      <c r="Q1788" t="s">
        <v>27</v>
      </c>
      <c r="R1788" t="s">
        <v>58</v>
      </c>
      <c r="S1788">
        <v>2024.11</v>
      </c>
      <c r="T1788">
        <v>93740.01</v>
      </c>
      <c r="U1788">
        <v>184051.54800000001</v>
      </c>
      <c r="V1788">
        <v>184051.54800000001</v>
      </c>
      <c r="AA1788" s="29" t="s">
        <v>43</v>
      </c>
      <c r="AB1788">
        <v>31200</v>
      </c>
      <c r="AC1788">
        <v>130</v>
      </c>
      <c r="AD1788">
        <v>4</v>
      </c>
      <c r="AE1788">
        <v>8.16</v>
      </c>
      <c r="AF1788">
        <v>8.16</v>
      </c>
      <c r="AG1788" s="29" t="s">
        <v>2270</v>
      </c>
      <c r="AH1788" s="29" t="s">
        <v>2786</v>
      </c>
      <c r="AI1788" s="29" t="s">
        <v>2432</v>
      </c>
      <c r="AJ1788" s="29" t="s">
        <v>2787</v>
      </c>
      <c r="AL1788" s="29" t="s">
        <v>2271</v>
      </c>
    </row>
    <row r="1789" spans="15:38">
      <c r="O1789" t="s">
        <v>24</v>
      </c>
      <c r="P1789" t="s">
        <v>43</v>
      </c>
      <c r="Q1789" t="s">
        <v>27</v>
      </c>
      <c r="R1789" t="s">
        <v>58</v>
      </c>
      <c r="S1789">
        <v>2024.12</v>
      </c>
      <c r="T1789">
        <v>93803.13</v>
      </c>
      <c r="U1789">
        <v>184051.54800000001</v>
      </c>
      <c r="V1789">
        <v>184051.54800000001</v>
      </c>
      <c r="AA1789" s="29" t="s">
        <v>43</v>
      </c>
      <c r="AB1789">
        <v>31200</v>
      </c>
      <c r="AC1789">
        <v>130</v>
      </c>
      <c r="AD1789">
        <v>4</v>
      </c>
      <c r="AE1789">
        <v>1248.78</v>
      </c>
      <c r="AF1789">
        <v>1248.78</v>
      </c>
      <c r="AG1789" s="29" t="s">
        <v>2270</v>
      </c>
      <c r="AH1789" s="29" t="s">
        <v>2788</v>
      </c>
      <c r="AI1789" s="29" t="s">
        <v>2432</v>
      </c>
      <c r="AJ1789" s="29" t="s">
        <v>2789</v>
      </c>
      <c r="AL1789" s="29" t="s">
        <v>2271</v>
      </c>
    </row>
    <row r="1790" spans="15:38">
      <c r="O1790" t="s">
        <v>24</v>
      </c>
      <c r="P1790" t="s">
        <v>43</v>
      </c>
      <c r="Q1790" t="s">
        <v>27</v>
      </c>
      <c r="R1790" t="s">
        <v>58</v>
      </c>
      <c r="S1790">
        <v>2024.14</v>
      </c>
      <c r="T1790">
        <v>94308.09</v>
      </c>
      <c r="U1790">
        <v>184051.54800000001</v>
      </c>
      <c r="V1790">
        <v>184051.54800000001</v>
      </c>
      <c r="AA1790" s="29" t="s">
        <v>43</v>
      </c>
      <c r="AB1790">
        <v>31200</v>
      </c>
      <c r="AC1790">
        <v>130</v>
      </c>
      <c r="AD1790">
        <v>4</v>
      </c>
      <c r="AE1790">
        <v>0</v>
      </c>
      <c r="AF1790">
        <v>0</v>
      </c>
      <c r="AG1790" s="29" t="s">
        <v>2270</v>
      </c>
      <c r="AH1790" s="29" t="s">
        <v>2274</v>
      </c>
      <c r="AI1790" s="29" t="s">
        <v>2432</v>
      </c>
      <c r="AJ1790" s="29" t="s">
        <v>2790</v>
      </c>
      <c r="AL1790" s="29" t="s">
        <v>2271</v>
      </c>
    </row>
    <row r="1791" spans="15:38">
      <c r="O1791" t="s">
        <v>24</v>
      </c>
      <c r="P1791" t="s">
        <v>43</v>
      </c>
      <c r="Q1791" t="s">
        <v>27</v>
      </c>
      <c r="R1791" t="s">
        <v>58</v>
      </c>
      <c r="S1791">
        <v>2024.17</v>
      </c>
      <c r="T1791">
        <v>94308.9</v>
      </c>
      <c r="U1791">
        <v>184051.54800000001</v>
      </c>
      <c r="V1791">
        <v>184051.54800000001</v>
      </c>
      <c r="AA1791" s="29" t="s">
        <v>43</v>
      </c>
      <c r="AB1791">
        <v>31200</v>
      </c>
      <c r="AC1791">
        <v>130</v>
      </c>
      <c r="AD1791">
        <v>4</v>
      </c>
      <c r="AE1791">
        <v>35.5</v>
      </c>
      <c r="AF1791">
        <v>35.5</v>
      </c>
      <c r="AG1791" s="29" t="s">
        <v>2270</v>
      </c>
      <c r="AH1791" s="29" t="s">
        <v>2749</v>
      </c>
      <c r="AI1791" s="29" t="s">
        <v>2432</v>
      </c>
      <c r="AJ1791" s="29" t="s">
        <v>2750</v>
      </c>
      <c r="AL1791" s="29" t="s">
        <v>2271</v>
      </c>
    </row>
    <row r="1792" spans="15:38">
      <c r="O1792" t="s">
        <v>24</v>
      </c>
      <c r="P1792" t="s">
        <v>43</v>
      </c>
      <c r="Q1792" t="s">
        <v>27</v>
      </c>
      <c r="R1792" t="s">
        <v>58</v>
      </c>
      <c r="S1792">
        <v>2024.18</v>
      </c>
      <c r="T1792">
        <v>92569.06</v>
      </c>
      <c r="U1792">
        <v>184051.54800000001</v>
      </c>
      <c r="V1792">
        <v>184051.54800000001</v>
      </c>
      <c r="AA1792" s="29" t="s">
        <v>43</v>
      </c>
      <c r="AB1792">
        <v>31200</v>
      </c>
      <c r="AC1792">
        <v>130</v>
      </c>
      <c r="AD1792">
        <v>4</v>
      </c>
      <c r="AE1792">
        <v>247.8</v>
      </c>
      <c r="AF1792">
        <v>247.8</v>
      </c>
      <c r="AG1792" s="29" t="s">
        <v>2270</v>
      </c>
      <c r="AH1792" s="29" t="s">
        <v>2791</v>
      </c>
      <c r="AI1792" s="29" t="s">
        <v>2432</v>
      </c>
      <c r="AJ1792" s="29" t="s">
        <v>2792</v>
      </c>
      <c r="AL1792" s="29" t="s">
        <v>2271</v>
      </c>
    </row>
    <row r="1793" spans="15:38">
      <c r="O1793" t="s">
        <v>24</v>
      </c>
      <c r="P1793" t="s">
        <v>43</v>
      </c>
      <c r="Q1793" t="s">
        <v>27</v>
      </c>
      <c r="R1793" t="s">
        <v>58</v>
      </c>
      <c r="S1793">
        <v>2024.19</v>
      </c>
      <c r="T1793">
        <v>92714.61</v>
      </c>
      <c r="U1793">
        <v>184051.54800000001</v>
      </c>
      <c r="V1793">
        <v>184051.54800000001</v>
      </c>
      <c r="AA1793" s="29" t="s">
        <v>43</v>
      </c>
      <c r="AB1793">
        <v>31200</v>
      </c>
      <c r="AC1793">
        <v>130</v>
      </c>
      <c r="AD1793">
        <v>4</v>
      </c>
      <c r="AE1793">
        <v>92.5</v>
      </c>
      <c r="AF1793">
        <v>92.5</v>
      </c>
      <c r="AG1793" s="29" t="s">
        <v>2270</v>
      </c>
      <c r="AH1793" s="29" t="s">
        <v>2770</v>
      </c>
      <c r="AI1793" s="29" t="s">
        <v>2432</v>
      </c>
      <c r="AJ1793" s="29" t="s">
        <v>2771</v>
      </c>
      <c r="AL1793" s="29" t="s">
        <v>2271</v>
      </c>
    </row>
    <row r="1794" spans="15:38">
      <c r="O1794" t="s">
        <v>24</v>
      </c>
      <c r="P1794" t="s">
        <v>43</v>
      </c>
      <c r="Q1794" t="s">
        <v>27</v>
      </c>
      <c r="R1794" t="s">
        <v>58</v>
      </c>
      <c r="S1794">
        <v>2024.2</v>
      </c>
      <c r="T1794">
        <v>94744.8</v>
      </c>
      <c r="U1794">
        <v>184051.54800000001</v>
      </c>
      <c r="V1794">
        <v>184051.54800000001</v>
      </c>
      <c r="AA1794" s="29" t="s">
        <v>43</v>
      </c>
      <c r="AB1794">
        <v>31200</v>
      </c>
      <c r="AC1794">
        <v>130</v>
      </c>
      <c r="AD1794">
        <v>4</v>
      </c>
      <c r="AE1794">
        <v>210.24</v>
      </c>
      <c r="AF1794">
        <v>210.24</v>
      </c>
      <c r="AG1794" s="29" t="s">
        <v>2270</v>
      </c>
      <c r="AH1794" s="29" t="s">
        <v>2633</v>
      </c>
      <c r="AI1794" s="29" t="s">
        <v>2432</v>
      </c>
      <c r="AJ1794" s="29" t="s">
        <v>2793</v>
      </c>
      <c r="AL1794" s="29" t="s">
        <v>2271</v>
      </c>
    </row>
    <row r="1795" spans="15:38">
      <c r="O1795" t="s">
        <v>24</v>
      </c>
      <c r="P1795" t="s">
        <v>43</v>
      </c>
      <c r="Q1795" t="s">
        <v>27</v>
      </c>
      <c r="R1795" t="s">
        <v>58</v>
      </c>
      <c r="S1795">
        <v>2024.21</v>
      </c>
      <c r="T1795">
        <v>94392.2</v>
      </c>
      <c r="U1795">
        <v>184051.54800000001</v>
      </c>
      <c r="V1795">
        <v>184051.54800000001</v>
      </c>
      <c r="AA1795" s="29" t="s">
        <v>43</v>
      </c>
      <c r="AB1795">
        <v>31200</v>
      </c>
      <c r="AC1795">
        <v>130</v>
      </c>
      <c r="AD1795">
        <v>4</v>
      </c>
      <c r="AE1795">
        <v>153.4</v>
      </c>
      <c r="AF1795">
        <v>153.4</v>
      </c>
      <c r="AG1795" s="29" t="s">
        <v>2270</v>
      </c>
      <c r="AH1795" s="29" t="s">
        <v>2794</v>
      </c>
      <c r="AI1795" s="29" t="s">
        <v>2432</v>
      </c>
      <c r="AJ1795" s="29" t="s">
        <v>2795</v>
      </c>
      <c r="AL1795" s="29" t="s">
        <v>2271</v>
      </c>
    </row>
    <row r="1796" spans="15:38">
      <c r="O1796" t="s">
        <v>24</v>
      </c>
      <c r="P1796" t="s">
        <v>43</v>
      </c>
      <c r="Q1796" t="s">
        <v>27</v>
      </c>
      <c r="R1796" t="s">
        <v>58</v>
      </c>
      <c r="S1796">
        <v>2024.28</v>
      </c>
      <c r="T1796">
        <v>94403.96</v>
      </c>
      <c r="U1796">
        <v>184051.54800000001</v>
      </c>
      <c r="V1796">
        <v>184051.54800000001</v>
      </c>
      <c r="AA1796" s="29" t="s">
        <v>43</v>
      </c>
      <c r="AB1796">
        <v>31200</v>
      </c>
      <c r="AC1796">
        <v>130</v>
      </c>
      <c r="AD1796">
        <v>4</v>
      </c>
      <c r="AE1796">
        <v>35.5</v>
      </c>
      <c r="AF1796">
        <v>35.5</v>
      </c>
      <c r="AG1796" s="29" t="s">
        <v>2270</v>
      </c>
      <c r="AH1796" s="29" t="s">
        <v>2749</v>
      </c>
      <c r="AI1796" s="29" t="s">
        <v>2432</v>
      </c>
      <c r="AJ1796" s="29" t="s">
        <v>2750</v>
      </c>
      <c r="AL1796" s="29" t="s">
        <v>2271</v>
      </c>
    </row>
    <row r="1797" spans="15:38">
      <c r="O1797" t="s">
        <v>24</v>
      </c>
      <c r="P1797" t="s">
        <v>43</v>
      </c>
      <c r="Q1797" t="s">
        <v>27</v>
      </c>
      <c r="R1797" t="s">
        <v>58</v>
      </c>
      <c r="S1797">
        <v>2024.38</v>
      </c>
      <c r="T1797">
        <v>94403.96</v>
      </c>
      <c r="U1797">
        <v>184051.54800000001</v>
      </c>
      <c r="V1797">
        <v>184051.54800000001</v>
      </c>
      <c r="AA1797" s="29" t="s">
        <v>43</v>
      </c>
      <c r="AB1797">
        <v>31200</v>
      </c>
      <c r="AC1797">
        <v>130</v>
      </c>
      <c r="AD1797">
        <v>4</v>
      </c>
      <c r="AE1797">
        <v>247.8</v>
      </c>
      <c r="AF1797">
        <v>247.8</v>
      </c>
      <c r="AG1797" s="29" t="s">
        <v>2270</v>
      </c>
      <c r="AH1797" s="29" t="s">
        <v>2791</v>
      </c>
      <c r="AI1797" s="29" t="s">
        <v>2432</v>
      </c>
      <c r="AJ1797" s="29" t="s">
        <v>2792</v>
      </c>
      <c r="AL1797" s="29" t="s">
        <v>2271</v>
      </c>
    </row>
    <row r="1798" spans="15:38">
      <c r="O1798" t="s">
        <v>24</v>
      </c>
      <c r="P1798" t="s">
        <v>43</v>
      </c>
      <c r="Q1798" t="s">
        <v>27</v>
      </c>
      <c r="R1798" t="s">
        <v>58</v>
      </c>
      <c r="S1798">
        <v>2024.39</v>
      </c>
      <c r="T1798">
        <v>94403.96</v>
      </c>
      <c r="U1798">
        <v>184051.54800000001</v>
      </c>
      <c r="V1798">
        <v>184051.54800000001</v>
      </c>
      <c r="AA1798" s="29" t="s">
        <v>43</v>
      </c>
      <c r="AB1798">
        <v>31200</v>
      </c>
      <c r="AC1798">
        <v>130</v>
      </c>
      <c r="AD1798">
        <v>4</v>
      </c>
      <c r="AE1798">
        <v>204.77</v>
      </c>
      <c r="AF1798">
        <v>204.77</v>
      </c>
      <c r="AG1798" s="29" t="s">
        <v>2270</v>
      </c>
      <c r="AH1798" s="29" t="s">
        <v>2723</v>
      </c>
      <c r="AI1798" s="29" t="s">
        <v>2432</v>
      </c>
      <c r="AJ1798" s="29" t="s">
        <v>2724</v>
      </c>
      <c r="AL1798" s="29" t="s">
        <v>2271</v>
      </c>
    </row>
    <row r="1799" spans="15:38">
      <c r="O1799" t="s">
        <v>24</v>
      </c>
      <c r="P1799" t="s">
        <v>43</v>
      </c>
      <c r="Q1799" t="s">
        <v>27</v>
      </c>
      <c r="R1799" t="s">
        <v>58</v>
      </c>
      <c r="S1799">
        <v>2024.41</v>
      </c>
      <c r="T1799">
        <v>96848.12</v>
      </c>
      <c r="U1799">
        <v>184051.54800000001</v>
      </c>
      <c r="V1799">
        <v>184051.54800000001</v>
      </c>
      <c r="AA1799" s="29" t="s">
        <v>43</v>
      </c>
      <c r="AB1799">
        <v>31200</v>
      </c>
      <c r="AC1799">
        <v>130</v>
      </c>
      <c r="AD1799">
        <v>4</v>
      </c>
      <c r="AE1799">
        <v>216.76</v>
      </c>
      <c r="AF1799">
        <v>216.76</v>
      </c>
      <c r="AG1799" s="29" t="s">
        <v>2270</v>
      </c>
      <c r="AH1799" s="29" t="s">
        <v>2796</v>
      </c>
      <c r="AI1799" s="29" t="s">
        <v>2432</v>
      </c>
      <c r="AJ1799" s="29" t="s">
        <v>2797</v>
      </c>
      <c r="AL1799" s="29" t="s">
        <v>2271</v>
      </c>
    </row>
    <row r="1800" spans="15:38">
      <c r="O1800" t="s">
        <v>24</v>
      </c>
      <c r="P1800" t="s">
        <v>43</v>
      </c>
      <c r="Q1800" t="s">
        <v>27</v>
      </c>
      <c r="R1800" t="s">
        <v>58</v>
      </c>
      <c r="S1800">
        <v>2024.43</v>
      </c>
      <c r="T1800">
        <v>120639.8</v>
      </c>
      <c r="U1800">
        <v>184051.54800000001</v>
      </c>
      <c r="V1800">
        <v>184051.54800000001</v>
      </c>
      <c r="AA1800" s="29" t="s">
        <v>43</v>
      </c>
      <c r="AB1800">
        <v>31200</v>
      </c>
      <c r="AC1800">
        <v>130</v>
      </c>
      <c r="AD1800">
        <v>4</v>
      </c>
      <c r="AE1800">
        <v>165.6</v>
      </c>
      <c r="AF1800">
        <v>165.6</v>
      </c>
      <c r="AG1800" s="29" t="s">
        <v>2270</v>
      </c>
      <c r="AH1800" s="29" t="s">
        <v>2798</v>
      </c>
      <c r="AI1800" s="29" t="s">
        <v>2432</v>
      </c>
      <c r="AJ1800" s="29" t="s">
        <v>2799</v>
      </c>
      <c r="AL1800" s="29" t="s">
        <v>2271</v>
      </c>
    </row>
    <row r="1801" spans="15:38">
      <c r="O1801" t="s">
        <v>24</v>
      </c>
      <c r="P1801" t="s">
        <v>43</v>
      </c>
      <c r="Q1801" t="s">
        <v>27</v>
      </c>
      <c r="R1801" t="s">
        <v>58</v>
      </c>
      <c r="S1801">
        <v>2024.44</v>
      </c>
      <c r="T1801">
        <v>120812.64</v>
      </c>
      <c r="U1801">
        <v>215028.45490000001</v>
      </c>
      <c r="V1801">
        <v>215028.45490000001</v>
      </c>
      <c r="AA1801" s="29" t="s">
        <v>43</v>
      </c>
      <c r="AB1801">
        <v>31200</v>
      </c>
      <c r="AC1801">
        <v>130</v>
      </c>
      <c r="AD1801">
        <v>4</v>
      </c>
      <c r="AE1801">
        <v>386.4</v>
      </c>
      <c r="AF1801">
        <v>386.4</v>
      </c>
      <c r="AG1801" s="29" t="s">
        <v>2270</v>
      </c>
      <c r="AH1801" s="29" t="s">
        <v>2800</v>
      </c>
      <c r="AI1801" s="29" t="s">
        <v>2432</v>
      </c>
      <c r="AJ1801" s="29" t="s">
        <v>2801</v>
      </c>
      <c r="AL1801" s="29" t="s">
        <v>2271</v>
      </c>
    </row>
    <row r="1802" spans="15:38">
      <c r="O1802" t="s">
        <v>24</v>
      </c>
      <c r="P1802" t="s">
        <v>43</v>
      </c>
      <c r="Q1802" t="s">
        <v>27</v>
      </c>
      <c r="R1802" t="s">
        <v>58</v>
      </c>
      <c r="S1802">
        <v>2024.45</v>
      </c>
      <c r="T1802">
        <v>120918.28</v>
      </c>
      <c r="U1802">
        <v>215028.45490000001</v>
      </c>
      <c r="V1802">
        <v>215028.45490000001</v>
      </c>
      <c r="AA1802" s="29" t="s">
        <v>43</v>
      </c>
      <c r="AB1802">
        <v>31200</v>
      </c>
      <c r="AC1802">
        <v>130</v>
      </c>
      <c r="AD1802">
        <v>4</v>
      </c>
      <c r="AE1802">
        <v>37.200000000000003</v>
      </c>
      <c r="AF1802">
        <v>37.200000000000003</v>
      </c>
      <c r="AG1802" s="29" t="s">
        <v>2270</v>
      </c>
      <c r="AH1802" s="29" t="s">
        <v>2802</v>
      </c>
      <c r="AI1802" s="29" t="s">
        <v>2432</v>
      </c>
      <c r="AJ1802" s="29" t="s">
        <v>2803</v>
      </c>
      <c r="AL1802" s="29" t="s">
        <v>2271</v>
      </c>
    </row>
    <row r="1803" spans="15:38">
      <c r="O1803" t="s">
        <v>24</v>
      </c>
      <c r="P1803" t="s">
        <v>43</v>
      </c>
      <c r="Q1803" t="s">
        <v>27</v>
      </c>
      <c r="R1803" t="s">
        <v>58</v>
      </c>
      <c r="S1803">
        <v>2024.47</v>
      </c>
      <c r="T1803">
        <v>123185.24</v>
      </c>
      <c r="U1803">
        <v>215028.45490000001</v>
      </c>
      <c r="V1803">
        <v>215028.45490000001</v>
      </c>
      <c r="AA1803" s="29" t="s">
        <v>43</v>
      </c>
      <c r="AB1803">
        <v>31200</v>
      </c>
      <c r="AC1803">
        <v>130</v>
      </c>
      <c r="AD1803">
        <v>4</v>
      </c>
      <c r="AE1803">
        <v>35.04</v>
      </c>
      <c r="AF1803">
        <v>35.04</v>
      </c>
      <c r="AG1803" s="29" t="s">
        <v>2270</v>
      </c>
      <c r="AH1803" s="29" t="s">
        <v>2804</v>
      </c>
      <c r="AI1803" s="29" t="s">
        <v>2432</v>
      </c>
      <c r="AJ1803" s="29" t="s">
        <v>2805</v>
      </c>
      <c r="AL1803" s="29" t="s">
        <v>2271</v>
      </c>
    </row>
    <row r="1804" spans="15:38">
      <c r="O1804" t="s">
        <v>24</v>
      </c>
      <c r="P1804" t="s">
        <v>43</v>
      </c>
      <c r="Q1804" t="s">
        <v>27</v>
      </c>
      <c r="R1804" t="s">
        <v>58</v>
      </c>
      <c r="S1804">
        <v>2024.48</v>
      </c>
      <c r="T1804">
        <v>123901.96</v>
      </c>
      <c r="U1804">
        <v>215028.45490000001</v>
      </c>
      <c r="V1804">
        <v>145028.45490000001</v>
      </c>
      <c r="AA1804" s="29" t="s">
        <v>43</v>
      </c>
      <c r="AB1804">
        <v>31200</v>
      </c>
      <c r="AC1804">
        <v>130</v>
      </c>
      <c r="AD1804">
        <v>4</v>
      </c>
      <c r="AE1804">
        <v>20.47</v>
      </c>
      <c r="AF1804">
        <v>20.47</v>
      </c>
      <c r="AG1804" s="29" t="s">
        <v>2270</v>
      </c>
      <c r="AH1804" s="29" t="s">
        <v>2806</v>
      </c>
      <c r="AI1804" s="29" t="s">
        <v>2432</v>
      </c>
      <c r="AJ1804" s="29" t="s">
        <v>2807</v>
      </c>
      <c r="AL1804" s="29" t="s">
        <v>2271</v>
      </c>
    </row>
    <row r="1805" spans="15:38">
      <c r="O1805" t="s">
        <v>24</v>
      </c>
      <c r="P1805" t="s">
        <v>43</v>
      </c>
      <c r="Q1805" t="s">
        <v>27</v>
      </c>
      <c r="R1805" t="s">
        <v>58</v>
      </c>
      <c r="S1805">
        <v>2024.49</v>
      </c>
      <c r="T1805">
        <v>124402.24000000001</v>
      </c>
      <c r="U1805">
        <v>215028.45490000001</v>
      </c>
      <c r="V1805">
        <v>145028.45490000001</v>
      </c>
      <c r="AA1805" s="29" t="s">
        <v>43</v>
      </c>
      <c r="AB1805">
        <v>31200</v>
      </c>
      <c r="AC1805">
        <v>130</v>
      </c>
      <c r="AD1805">
        <v>4</v>
      </c>
      <c r="AE1805">
        <v>346.68</v>
      </c>
      <c r="AF1805">
        <v>346.68</v>
      </c>
      <c r="AG1805" s="29" t="s">
        <v>2270</v>
      </c>
      <c r="AH1805" s="29" t="s">
        <v>2808</v>
      </c>
      <c r="AI1805" s="29" t="s">
        <v>2432</v>
      </c>
      <c r="AJ1805" s="29" t="s">
        <v>2809</v>
      </c>
      <c r="AL1805" s="29" t="s">
        <v>2271</v>
      </c>
    </row>
    <row r="1806" spans="15:38">
      <c r="O1806" t="s">
        <v>24</v>
      </c>
      <c r="P1806" t="s">
        <v>43</v>
      </c>
      <c r="Q1806" t="s">
        <v>27</v>
      </c>
      <c r="R1806" t="s">
        <v>58</v>
      </c>
      <c r="S1806">
        <v>2025.03</v>
      </c>
      <c r="T1806">
        <v>125263.05</v>
      </c>
      <c r="U1806">
        <v>215028.45490000001</v>
      </c>
      <c r="V1806">
        <v>145028.45490000001</v>
      </c>
      <c r="AA1806" s="29" t="s">
        <v>43</v>
      </c>
      <c r="AB1806">
        <v>31200</v>
      </c>
      <c r="AC1806">
        <v>130</v>
      </c>
      <c r="AD1806">
        <v>4</v>
      </c>
      <c r="AE1806">
        <v>20.47</v>
      </c>
      <c r="AF1806">
        <v>20.47</v>
      </c>
      <c r="AG1806" s="29" t="s">
        <v>2270</v>
      </c>
      <c r="AH1806" s="29" t="s">
        <v>2806</v>
      </c>
      <c r="AI1806" s="29" t="s">
        <v>2432</v>
      </c>
      <c r="AJ1806" s="29" t="s">
        <v>2807</v>
      </c>
      <c r="AL1806" s="29" t="s">
        <v>2271</v>
      </c>
    </row>
    <row r="1807" spans="15:38">
      <c r="O1807" t="s">
        <v>24</v>
      </c>
      <c r="P1807" t="s">
        <v>43</v>
      </c>
      <c r="Q1807" t="s">
        <v>27</v>
      </c>
      <c r="R1807" t="s">
        <v>58</v>
      </c>
      <c r="S1807">
        <v>2025.08</v>
      </c>
      <c r="T1807">
        <v>126283.51</v>
      </c>
      <c r="U1807">
        <v>215028.45490000001</v>
      </c>
      <c r="V1807">
        <v>145028.45490000001</v>
      </c>
      <c r="AA1807" s="29" t="s">
        <v>43</v>
      </c>
      <c r="AB1807">
        <v>31200</v>
      </c>
      <c r="AC1807">
        <v>130</v>
      </c>
      <c r="AD1807">
        <v>4</v>
      </c>
      <c r="AE1807">
        <v>0.77</v>
      </c>
      <c r="AF1807">
        <v>0.77</v>
      </c>
      <c r="AG1807" s="29" t="s">
        <v>2270</v>
      </c>
      <c r="AH1807" s="29" t="s">
        <v>2401</v>
      </c>
      <c r="AI1807" s="29" t="s">
        <v>2432</v>
      </c>
      <c r="AJ1807" s="29" t="s">
        <v>2810</v>
      </c>
      <c r="AL1807" s="29" t="s">
        <v>2271</v>
      </c>
    </row>
    <row r="1808" spans="15:38">
      <c r="O1808" t="s">
        <v>24</v>
      </c>
      <c r="P1808" t="s">
        <v>43</v>
      </c>
      <c r="Q1808" t="s">
        <v>27</v>
      </c>
      <c r="R1808" t="s">
        <v>58</v>
      </c>
      <c r="S1808">
        <v>2025.1</v>
      </c>
      <c r="T1808">
        <v>126283.51</v>
      </c>
      <c r="U1808">
        <v>215028.45490000001</v>
      </c>
      <c r="V1808">
        <v>145028.45490000001</v>
      </c>
      <c r="AA1808" s="29" t="s">
        <v>43</v>
      </c>
      <c r="AB1808">
        <v>31200</v>
      </c>
      <c r="AC1808">
        <v>130</v>
      </c>
      <c r="AD1808">
        <v>4</v>
      </c>
      <c r="AE1808">
        <v>355.86</v>
      </c>
      <c r="AF1808">
        <v>355.86</v>
      </c>
      <c r="AG1808" s="29" t="s">
        <v>2270</v>
      </c>
      <c r="AH1808" s="29" t="s">
        <v>2811</v>
      </c>
      <c r="AI1808" s="29" t="s">
        <v>2432</v>
      </c>
      <c r="AJ1808" s="29" t="s">
        <v>2812</v>
      </c>
      <c r="AL1808" s="29" t="s">
        <v>2271</v>
      </c>
    </row>
    <row r="1809" spans="15:38">
      <c r="O1809" t="s">
        <v>24</v>
      </c>
      <c r="P1809" t="s">
        <v>43</v>
      </c>
      <c r="Q1809" t="s">
        <v>27</v>
      </c>
      <c r="R1809" t="s">
        <v>58</v>
      </c>
      <c r="S1809">
        <v>2025.11</v>
      </c>
      <c r="T1809">
        <v>126308.17</v>
      </c>
      <c r="U1809">
        <v>215028.45490000001</v>
      </c>
      <c r="V1809">
        <v>145028.45490000001</v>
      </c>
      <c r="AA1809" s="29" t="s">
        <v>43</v>
      </c>
      <c r="AB1809">
        <v>31200</v>
      </c>
      <c r="AC1809">
        <v>130</v>
      </c>
      <c r="AD1809">
        <v>4</v>
      </c>
      <c r="AE1809">
        <v>296</v>
      </c>
      <c r="AF1809">
        <v>296</v>
      </c>
      <c r="AG1809" s="29" t="s">
        <v>2270</v>
      </c>
      <c r="AH1809" s="29" t="s">
        <v>2813</v>
      </c>
      <c r="AI1809" s="29" t="s">
        <v>2432</v>
      </c>
      <c r="AJ1809" s="29" t="s">
        <v>2814</v>
      </c>
      <c r="AL1809" s="29" t="s">
        <v>2271</v>
      </c>
    </row>
    <row r="1810" spans="15:38">
      <c r="O1810" t="s">
        <v>24</v>
      </c>
      <c r="P1810" t="s">
        <v>43</v>
      </c>
      <c r="Q1810" t="s">
        <v>27</v>
      </c>
      <c r="R1810" t="s">
        <v>58</v>
      </c>
      <c r="S1810">
        <v>2025.12</v>
      </c>
      <c r="T1810">
        <v>126308.17</v>
      </c>
      <c r="U1810">
        <v>215028.45490000001</v>
      </c>
      <c r="V1810">
        <v>145028.45490000001</v>
      </c>
      <c r="AA1810" s="29" t="s">
        <v>43</v>
      </c>
      <c r="AB1810">
        <v>31200</v>
      </c>
      <c r="AC1810">
        <v>130</v>
      </c>
      <c r="AD1810">
        <v>4</v>
      </c>
      <c r="AE1810">
        <v>933</v>
      </c>
      <c r="AF1810">
        <v>933</v>
      </c>
      <c r="AG1810" s="29" t="s">
        <v>2270</v>
      </c>
      <c r="AH1810" s="29" t="s">
        <v>2815</v>
      </c>
      <c r="AI1810" s="29" t="s">
        <v>2432</v>
      </c>
      <c r="AJ1810" s="29" t="s">
        <v>2816</v>
      </c>
      <c r="AL1810" s="29" t="s">
        <v>2271</v>
      </c>
    </row>
    <row r="1811" spans="15:38">
      <c r="O1811" t="s">
        <v>24</v>
      </c>
      <c r="P1811" t="s">
        <v>43</v>
      </c>
      <c r="Q1811" t="s">
        <v>27</v>
      </c>
      <c r="R1811" t="s">
        <v>55</v>
      </c>
      <c r="S1811">
        <v>2023.51</v>
      </c>
      <c r="T1811">
        <v>3121.97</v>
      </c>
      <c r="U1811">
        <v>0</v>
      </c>
      <c r="V1811">
        <v>0</v>
      </c>
      <c r="AA1811" s="29" t="s">
        <v>43</v>
      </c>
      <c r="AB1811">
        <v>31200</v>
      </c>
      <c r="AC1811">
        <v>130</v>
      </c>
      <c r="AD1811">
        <v>4</v>
      </c>
      <c r="AE1811">
        <v>35</v>
      </c>
      <c r="AF1811">
        <v>35</v>
      </c>
      <c r="AG1811" s="29" t="s">
        <v>2270</v>
      </c>
      <c r="AH1811" s="29" t="s">
        <v>2817</v>
      </c>
      <c r="AI1811" s="29" t="s">
        <v>2432</v>
      </c>
      <c r="AJ1811" s="29" t="s">
        <v>2818</v>
      </c>
      <c r="AL1811" s="29" t="s">
        <v>2271</v>
      </c>
    </row>
    <row r="1812" spans="15:38">
      <c r="O1812" t="s">
        <v>24</v>
      </c>
      <c r="P1812" t="s">
        <v>43</v>
      </c>
      <c r="Q1812" t="s">
        <v>27</v>
      </c>
      <c r="R1812" t="s">
        <v>55</v>
      </c>
      <c r="S1812">
        <v>2024.05</v>
      </c>
      <c r="T1812">
        <v>1708.25</v>
      </c>
      <c r="U1812">
        <v>0</v>
      </c>
      <c r="V1812">
        <v>0</v>
      </c>
      <c r="AA1812" s="29" t="s">
        <v>43</v>
      </c>
      <c r="AB1812">
        <v>31200</v>
      </c>
      <c r="AC1812">
        <v>130</v>
      </c>
      <c r="AD1812">
        <v>4</v>
      </c>
      <c r="AE1812">
        <v>17.5</v>
      </c>
      <c r="AF1812">
        <v>17.5</v>
      </c>
      <c r="AG1812" s="29" t="s">
        <v>2270</v>
      </c>
      <c r="AH1812" s="29" t="s">
        <v>2655</v>
      </c>
      <c r="AI1812" s="29" t="s">
        <v>2432</v>
      </c>
      <c r="AJ1812" s="29" t="s">
        <v>2819</v>
      </c>
      <c r="AL1812" s="29" t="s">
        <v>2271</v>
      </c>
    </row>
    <row r="1813" spans="15:38">
      <c r="O1813" t="s">
        <v>24</v>
      </c>
      <c r="P1813" t="s">
        <v>43</v>
      </c>
      <c r="Q1813" t="s">
        <v>27</v>
      </c>
      <c r="R1813" t="s">
        <v>55</v>
      </c>
      <c r="S1813">
        <v>2024.06</v>
      </c>
      <c r="T1813">
        <v>2258.0300000000002</v>
      </c>
      <c r="U1813">
        <v>0</v>
      </c>
      <c r="V1813">
        <v>0</v>
      </c>
      <c r="AA1813" s="29" t="s">
        <v>43</v>
      </c>
      <c r="AB1813">
        <v>31200</v>
      </c>
      <c r="AC1813">
        <v>130</v>
      </c>
      <c r="AD1813">
        <v>4</v>
      </c>
      <c r="AE1813">
        <v>45</v>
      </c>
      <c r="AF1813">
        <v>45</v>
      </c>
      <c r="AG1813" s="29" t="s">
        <v>2270</v>
      </c>
      <c r="AH1813" s="29" t="s">
        <v>2820</v>
      </c>
      <c r="AI1813" s="29" t="s">
        <v>2432</v>
      </c>
      <c r="AJ1813" s="29" t="s">
        <v>2821</v>
      </c>
      <c r="AL1813" s="29" t="s">
        <v>2271</v>
      </c>
    </row>
    <row r="1814" spans="15:38">
      <c r="O1814" t="s">
        <v>24</v>
      </c>
      <c r="P1814" t="s">
        <v>43</v>
      </c>
      <c r="Q1814" t="s">
        <v>27</v>
      </c>
      <c r="R1814" t="s">
        <v>55</v>
      </c>
      <c r="S1814">
        <v>2024.07</v>
      </c>
      <c r="T1814">
        <v>2572.19</v>
      </c>
      <c r="U1814">
        <v>0</v>
      </c>
      <c r="V1814">
        <v>0</v>
      </c>
      <c r="AA1814" s="29" t="s">
        <v>43</v>
      </c>
      <c r="AB1814">
        <v>31200</v>
      </c>
      <c r="AC1814">
        <v>130</v>
      </c>
      <c r="AD1814">
        <v>4</v>
      </c>
      <c r="AE1814">
        <v>22.5</v>
      </c>
      <c r="AF1814">
        <v>22.5</v>
      </c>
      <c r="AG1814" s="29" t="s">
        <v>2270</v>
      </c>
      <c r="AH1814" s="29" t="s">
        <v>2822</v>
      </c>
      <c r="AI1814" s="29" t="s">
        <v>2432</v>
      </c>
      <c r="AJ1814" s="29" t="s">
        <v>2823</v>
      </c>
      <c r="AL1814" s="29" t="s">
        <v>2271</v>
      </c>
    </row>
    <row r="1815" spans="15:38">
      <c r="O1815" t="s">
        <v>24</v>
      </c>
      <c r="P1815" t="s">
        <v>43</v>
      </c>
      <c r="Q1815" t="s">
        <v>27</v>
      </c>
      <c r="R1815" t="s">
        <v>55</v>
      </c>
      <c r="S1815">
        <v>2024.08</v>
      </c>
      <c r="T1815">
        <v>2611.46</v>
      </c>
      <c r="U1815">
        <v>0</v>
      </c>
      <c r="V1815">
        <v>0</v>
      </c>
      <c r="AA1815" s="29" t="s">
        <v>43</v>
      </c>
      <c r="AB1815">
        <v>31200</v>
      </c>
      <c r="AC1815">
        <v>130</v>
      </c>
      <c r="AD1815">
        <v>4</v>
      </c>
      <c r="AE1815">
        <v>16.100000000000001</v>
      </c>
      <c r="AF1815">
        <v>16.100000000000001</v>
      </c>
      <c r="AG1815" s="29" t="s">
        <v>2270</v>
      </c>
      <c r="AH1815" s="29" t="s">
        <v>2715</v>
      </c>
      <c r="AI1815" s="29" t="s">
        <v>2432</v>
      </c>
      <c r="AJ1815" s="29" t="s">
        <v>2824</v>
      </c>
      <c r="AL1815" s="29" t="s">
        <v>2271</v>
      </c>
    </row>
    <row r="1816" spans="15:38">
      <c r="O1816" t="s">
        <v>24</v>
      </c>
      <c r="P1816" t="s">
        <v>43</v>
      </c>
      <c r="Q1816" t="s">
        <v>27</v>
      </c>
      <c r="R1816" t="s">
        <v>55</v>
      </c>
      <c r="S1816">
        <v>2024.09</v>
      </c>
      <c r="T1816">
        <v>3121.97</v>
      </c>
      <c r="U1816">
        <v>0</v>
      </c>
      <c r="V1816">
        <v>0</v>
      </c>
      <c r="AA1816" s="29" t="s">
        <v>43</v>
      </c>
      <c r="AB1816">
        <v>31200</v>
      </c>
      <c r="AC1816">
        <v>130</v>
      </c>
      <c r="AD1816">
        <v>4</v>
      </c>
      <c r="AE1816">
        <v>55</v>
      </c>
      <c r="AF1816">
        <v>55</v>
      </c>
      <c r="AG1816" s="29" t="s">
        <v>2270</v>
      </c>
      <c r="AH1816" s="29" t="s">
        <v>2825</v>
      </c>
      <c r="AI1816" s="29" t="s">
        <v>2432</v>
      </c>
      <c r="AJ1816" s="29" t="s">
        <v>2826</v>
      </c>
      <c r="AL1816" s="29" t="s">
        <v>2271</v>
      </c>
    </row>
    <row r="1817" spans="15:38">
      <c r="O1817" t="s">
        <v>24</v>
      </c>
      <c r="P1817" t="s">
        <v>43</v>
      </c>
      <c r="Q1817" t="s">
        <v>27</v>
      </c>
      <c r="R1817" t="s">
        <v>55</v>
      </c>
      <c r="S1817">
        <v>2024.1</v>
      </c>
      <c r="T1817">
        <v>4064.45</v>
      </c>
      <c r="U1817">
        <v>0</v>
      </c>
      <c r="V1817">
        <v>0</v>
      </c>
      <c r="AA1817" s="29" t="s">
        <v>43</v>
      </c>
      <c r="AB1817">
        <v>31200</v>
      </c>
      <c r="AC1817">
        <v>130</v>
      </c>
      <c r="AD1817">
        <v>4</v>
      </c>
      <c r="AE1817">
        <v>46.55</v>
      </c>
      <c r="AF1817">
        <v>46.55</v>
      </c>
      <c r="AG1817" s="29" t="s">
        <v>2270</v>
      </c>
      <c r="AH1817" s="29" t="s">
        <v>2827</v>
      </c>
      <c r="AI1817" s="29" t="s">
        <v>2432</v>
      </c>
      <c r="AJ1817" s="29" t="s">
        <v>2828</v>
      </c>
      <c r="AL1817" s="29" t="s">
        <v>2271</v>
      </c>
    </row>
    <row r="1818" spans="15:38">
      <c r="O1818" t="s">
        <v>24</v>
      </c>
      <c r="P1818" t="s">
        <v>43</v>
      </c>
      <c r="Q1818" t="s">
        <v>27</v>
      </c>
      <c r="R1818" t="s">
        <v>55</v>
      </c>
      <c r="S1818">
        <v>2024.11</v>
      </c>
      <c r="T1818">
        <v>4457.1499999999996</v>
      </c>
      <c r="U1818">
        <v>0</v>
      </c>
      <c r="V1818">
        <v>0</v>
      </c>
      <c r="AA1818" s="29" t="s">
        <v>43</v>
      </c>
      <c r="AB1818">
        <v>31200</v>
      </c>
      <c r="AC1818">
        <v>130</v>
      </c>
      <c r="AD1818">
        <v>4</v>
      </c>
      <c r="AE1818">
        <v>55</v>
      </c>
      <c r="AF1818">
        <v>55</v>
      </c>
      <c r="AG1818" s="29" t="s">
        <v>2270</v>
      </c>
      <c r="AH1818" s="29" t="s">
        <v>2825</v>
      </c>
      <c r="AI1818" s="29" t="s">
        <v>2432</v>
      </c>
      <c r="AJ1818" s="29" t="s">
        <v>2826</v>
      </c>
      <c r="AL1818" s="29" t="s">
        <v>2271</v>
      </c>
    </row>
    <row r="1819" spans="15:38">
      <c r="O1819" t="s">
        <v>24</v>
      </c>
      <c r="P1819" t="s">
        <v>43</v>
      </c>
      <c r="Q1819" t="s">
        <v>27</v>
      </c>
      <c r="R1819" t="s">
        <v>55</v>
      </c>
      <c r="S1819">
        <v>2024.12</v>
      </c>
      <c r="T1819">
        <v>4457.1499999999996</v>
      </c>
      <c r="U1819">
        <v>0</v>
      </c>
      <c r="V1819">
        <v>0</v>
      </c>
      <c r="AA1819" s="29" t="s">
        <v>43</v>
      </c>
      <c r="AB1819">
        <v>31200</v>
      </c>
      <c r="AC1819">
        <v>130</v>
      </c>
      <c r="AD1819">
        <v>4</v>
      </c>
      <c r="AE1819">
        <v>188.64</v>
      </c>
      <c r="AF1819">
        <v>188.64</v>
      </c>
      <c r="AG1819" s="29" t="s">
        <v>2270</v>
      </c>
      <c r="AH1819" s="29" t="s">
        <v>2829</v>
      </c>
      <c r="AI1819" s="29" t="s">
        <v>2432</v>
      </c>
      <c r="AJ1819" s="29" t="s">
        <v>2830</v>
      </c>
      <c r="AL1819" s="29" t="s">
        <v>2271</v>
      </c>
    </row>
    <row r="1820" spans="15:38">
      <c r="O1820" t="s">
        <v>24</v>
      </c>
      <c r="P1820" t="s">
        <v>43</v>
      </c>
      <c r="Q1820" t="s">
        <v>27</v>
      </c>
      <c r="R1820" t="s">
        <v>55</v>
      </c>
      <c r="S1820">
        <v>2024.14</v>
      </c>
      <c r="T1820">
        <v>4682.97</v>
      </c>
      <c r="U1820">
        <v>0</v>
      </c>
      <c r="V1820">
        <v>0</v>
      </c>
      <c r="AA1820" s="29" t="s">
        <v>43</v>
      </c>
      <c r="AB1820">
        <v>31200</v>
      </c>
      <c r="AC1820">
        <v>130</v>
      </c>
      <c r="AD1820">
        <v>4</v>
      </c>
      <c r="AE1820">
        <v>189.9</v>
      </c>
      <c r="AF1820">
        <v>189.9</v>
      </c>
      <c r="AG1820" s="29" t="s">
        <v>2270</v>
      </c>
      <c r="AH1820" s="29" t="s">
        <v>2831</v>
      </c>
      <c r="AI1820" s="29" t="s">
        <v>2432</v>
      </c>
      <c r="AJ1820" s="29" t="s">
        <v>2832</v>
      </c>
      <c r="AL1820" s="29" t="s">
        <v>2271</v>
      </c>
    </row>
    <row r="1821" spans="15:38">
      <c r="O1821" t="s">
        <v>24</v>
      </c>
      <c r="P1821" t="s">
        <v>43</v>
      </c>
      <c r="Q1821" t="s">
        <v>27</v>
      </c>
      <c r="R1821" t="s">
        <v>55</v>
      </c>
      <c r="S1821">
        <v>2024.17</v>
      </c>
      <c r="T1821">
        <v>5401.61</v>
      </c>
      <c r="U1821">
        <v>0</v>
      </c>
      <c r="V1821">
        <v>0</v>
      </c>
      <c r="AA1821" s="29" t="s">
        <v>43</v>
      </c>
      <c r="AB1821">
        <v>31200</v>
      </c>
      <c r="AC1821">
        <v>130</v>
      </c>
      <c r="AD1821">
        <v>4</v>
      </c>
      <c r="AE1821">
        <v>1250</v>
      </c>
      <c r="AF1821">
        <v>1250</v>
      </c>
      <c r="AG1821" s="29" t="s">
        <v>2270</v>
      </c>
      <c r="AH1821" s="29" t="s">
        <v>2833</v>
      </c>
      <c r="AI1821" s="29" t="s">
        <v>2432</v>
      </c>
      <c r="AJ1821" s="29" t="s">
        <v>2834</v>
      </c>
      <c r="AL1821" s="29" t="s">
        <v>2271</v>
      </c>
    </row>
    <row r="1822" spans="15:38">
      <c r="O1822" t="s">
        <v>24</v>
      </c>
      <c r="P1822" t="s">
        <v>43</v>
      </c>
      <c r="Q1822" t="s">
        <v>27</v>
      </c>
      <c r="R1822" t="s">
        <v>55</v>
      </c>
      <c r="S1822">
        <v>2024.18</v>
      </c>
      <c r="T1822">
        <v>5843.85</v>
      </c>
      <c r="U1822">
        <v>0</v>
      </c>
      <c r="V1822">
        <v>0</v>
      </c>
      <c r="AA1822" s="29" t="s">
        <v>43</v>
      </c>
      <c r="AB1822">
        <v>31200</v>
      </c>
      <c r="AC1822">
        <v>130</v>
      </c>
      <c r="AD1822">
        <v>4</v>
      </c>
      <c r="AE1822">
        <v>0.9</v>
      </c>
      <c r="AF1822">
        <v>0.9</v>
      </c>
      <c r="AG1822" s="29" t="s">
        <v>2270</v>
      </c>
      <c r="AH1822" s="29" t="s">
        <v>2835</v>
      </c>
      <c r="AI1822" s="29" t="s">
        <v>2432</v>
      </c>
      <c r="AJ1822" s="29" t="s">
        <v>2836</v>
      </c>
      <c r="AL1822" s="29" t="s">
        <v>2271</v>
      </c>
    </row>
    <row r="1823" spans="15:38">
      <c r="O1823" t="s">
        <v>24</v>
      </c>
      <c r="P1823" t="s">
        <v>43</v>
      </c>
      <c r="Q1823" t="s">
        <v>27</v>
      </c>
      <c r="R1823" t="s">
        <v>55</v>
      </c>
      <c r="S1823">
        <v>2024.19</v>
      </c>
      <c r="T1823">
        <v>5954.41</v>
      </c>
      <c r="U1823">
        <v>0</v>
      </c>
      <c r="V1823">
        <v>0</v>
      </c>
      <c r="AA1823" s="29" t="s">
        <v>43</v>
      </c>
      <c r="AB1823">
        <v>31200</v>
      </c>
      <c r="AC1823">
        <v>130</v>
      </c>
      <c r="AD1823">
        <v>4</v>
      </c>
      <c r="AE1823">
        <v>54.9</v>
      </c>
      <c r="AF1823">
        <v>54.9</v>
      </c>
      <c r="AG1823" s="29" t="s">
        <v>2270</v>
      </c>
      <c r="AH1823" s="29" t="s">
        <v>2837</v>
      </c>
      <c r="AI1823" s="29" t="s">
        <v>2432</v>
      </c>
      <c r="AJ1823" s="29" t="s">
        <v>2838</v>
      </c>
      <c r="AL1823" s="29" t="s">
        <v>2271</v>
      </c>
    </row>
    <row r="1824" spans="15:38">
      <c r="O1824" t="s">
        <v>24</v>
      </c>
      <c r="P1824" t="s">
        <v>43</v>
      </c>
      <c r="Q1824" t="s">
        <v>27</v>
      </c>
      <c r="R1824" t="s">
        <v>55</v>
      </c>
      <c r="S1824">
        <v>2024.2</v>
      </c>
      <c r="T1824">
        <v>6203.17</v>
      </c>
      <c r="U1824">
        <v>0</v>
      </c>
      <c r="V1824">
        <v>0</v>
      </c>
      <c r="AA1824" s="29" t="s">
        <v>43</v>
      </c>
      <c r="AB1824">
        <v>31200</v>
      </c>
      <c r="AC1824">
        <v>130</v>
      </c>
      <c r="AD1824">
        <v>4</v>
      </c>
      <c r="AE1824">
        <v>74.25</v>
      </c>
      <c r="AF1824">
        <v>74.25</v>
      </c>
      <c r="AG1824" s="29" t="s">
        <v>2270</v>
      </c>
      <c r="AH1824" s="29" t="s">
        <v>2839</v>
      </c>
      <c r="AI1824" s="29" t="s">
        <v>2432</v>
      </c>
      <c r="AJ1824" s="29" t="s">
        <v>2840</v>
      </c>
      <c r="AL1824" s="29" t="s">
        <v>2271</v>
      </c>
    </row>
    <row r="1825" spans="15:38">
      <c r="O1825" t="s">
        <v>24</v>
      </c>
      <c r="P1825" t="s">
        <v>43</v>
      </c>
      <c r="Q1825" t="s">
        <v>27</v>
      </c>
      <c r="R1825" t="s">
        <v>55</v>
      </c>
      <c r="S1825">
        <v>2024.21</v>
      </c>
      <c r="T1825">
        <v>6396.65</v>
      </c>
      <c r="U1825">
        <v>0</v>
      </c>
      <c r="V1825">
        <v>0</v>
      </c>
      <c r="AA1825" s="29" t="s">
        <v>43</v>
      </c>
      <c r="AB1825">
        <v>31200</v>
      </c>
      <c r="AC1825">
        <v>130</v>
      </c>
      <c r="AD1825">
        <v>4</v>
      </c>
      <c r="AE1825">
        <v>191.9</v>
      </c>
      <c r="AF1825">
        <v>191.9</v>
      </c>
      <c r="AG1825" s="29" t="s">
        <v>2270</v>
      </c>
      <c r="AH1825" s="29" t="s">
        <v>2841</v>
      </c>
      <c r="AI1825" s="29" t="s">
        <v>2432</v>
      </c>
      <c r="AJ1825" s="29" t="s">
        <v>2842</v>
      </c>
      <c r="AL1825" s="29" t="s">
        <v>2271</v>
      </c>
    </row>
    <row r="1826" spans="15:38">
      <c r="O1826" t="s">
        <v>24</v>
      </c>
      <c r="P1826" t="s">
        <v>43</v>
      </c>
      <c r="Q1826" t="s">
        <v>27</v>
      </c>
      <c r="R1826" t="s">
        <v>55</v>
      </c>
      <c r="S1826">
        <v>2024.28</v>
      </c>
      <c r="T1826">
        <v>6783.61</v>
      </c>
      <c r="U1826">
        <v>0</v>
      </c>
      <c r="V1826">
        <v>0</v>
      </c>
      <c r="AA1826" s="29" t="s">
        <v>43</v>
      </c>
      <c r="AB1826">
        <v>31200</v>
      </c>
      <c r="AC1826">
        <v>130</v>
      </c>
      <c r="AD1826">
        <v>4</v>
      </c>
      <c r="AE1826">
        <v>75.33</v>
      </c>
      <c r="AF1826">
        <v>75.33</v>
      </c>
      <c r="AG1826" s="29" t="s">
        <v>2270</v>
      </c>
      <c r="AH1826" s="29" t="s">
        <v>2843</v>
      </c>
      <c r="AI1826" s="29" t="s">
        <v>2432</v>
      </c>
      <c r="AJ1826" s="29" t="s">
        <v>2844</v>
      </c>
      <c r="AL1826" s="29" t="s">
        <v>2271</v>
      </c>
    </row>
    <row r="1827" spans="15:38">
      <c r="O1827" t="s">
        <v>24</v>
      </c>
      <c r="P1827" t="s">
        <v>43</v>
      </c>
      <c r="Q1827" t="s">
        <v>27</v>
      </c>
      <c r="R1827" t="s">
        <v>55</v>
      </c>
      <c r="S1827">
        <v>2024.38</v>
      </c>
      <c r="T1827">
        <v>6783.61</v>
      </c>
      <c r="U1827">
        <v>0</v>
      </c>
      <c r="V1827">
        <v>0</v>
      </c>
      <c r="AA1827" s="29" t="s">
        <v>43</v>
      </c>
      <c r="AB1827">
        <v>31200</v>
      </c>
      <c r="AC1827">
        <v>130</v>
      </c>
      <c r="AD1827">
        <v>4</v>
      </c>
      <c r="AE1827">
        <v>234.75</v>
      </c>
      <c r="AF1827">
        <v>234.75</v>
      </c>
      <c r="AG1827" s="29" t="s">
        <v>2270</v>
      </c>
      <c r="AH1827" s="29" t="s">
        <v>2845</v>
      </c>
      <c r="AI1827" s="29" t="s">
        <v>2432</v>
      </c>
      <c r="AJ1827" s="29" t="s">
        <v>2846</v>
      </c>
      <c r="AL1827" s="29" t="s">
        <v>2271</v>
      </c>
    </row>
    <row r="1828" spans="15:38">
      <c r="O1828" t="s">
        <v>24</v>
      </c>
      <c r="P1828" t="s">
        <v>43</v>
      </c>
      <c r="Q1828" t="s">
        <v>27</v>
      </c>
      <c r="R1828" t="s">
        <v>55</v>
      </c>
      <c r="S1828">
        <v>2024.39</v>
      </c>
      <c r="T1828">
        <v>6783.61</v>
      </c>
      <c r="U1828">
        <v>0</v>
      </c>
      <c r="V1828">
        <v>0</v>
      </c>
      <c r="AA1828" s="29" t="s">
        <v>43</v>
      </c>
      <c r="AB1828">
        <v>31200</v>
      </c>
      <c r="AC1828">
        <v>130</v>
      </c>
      <c r="AD1828">
        <v>4</v>
      </c>
      <c r="AE1828">
        <v>115.56</v>
      </c>
      <c r="AF1828">
        <v>115.56</v>
      </c>
      <c r="AG1828" s="29" t="s">
        <v>2270</v>
      </c>
      <c r="AH1828" s="29" t="s">
        <v>2847</v>
      </c>
      <c r="AI1828" s="29" t="s">
        <v>2432</v>
      </c>
      <c r="AJ1828" s="29" t="s">
        <v>2848</v>
      </c>
      <c r="AL1828" s="29" t="s">
        <v>2271</v>
      </c>
    </row>
    <row r="1829" spans="15:38">
      <c r="O1829" t="s">
        <v>24</v>
      </c>
      <c r="P1829" t="s">
        <v>43</v>
      </c>
      <c r="Q1829" t="s">
        <v>27</v>
      </c>
      <c r="R1829" t="s">
        <v>55</v>
      </c>
      <c r="S1829">
        <v>2024.41</v>
      </c>
      <c r="T1829">
        <v>7281.13</v>
      </c>
      <c r="U1829">
        <v>0</v>
      </c>
      <c r="V1829">
        <v>0</v>
      </c>
      <c r="AA1829" s="29" t="s">
        <v>43</v>
      </c>
      <c r="AB1829">
        <v>31200</v>
      </c>
      <c r="AC1829">
        <v>130</v>
      </c>
      <c r="AD1829">
        <v>4</v>
      </c>
      <c r="AE1829">
        <v>244.95</v>
      </c>
      <c r="AF1829">
        <v>244.95</v>
      </c>
      <c r="AG1829" s="29" t="s">
        <v>2270</v>
      </c>
      <c r="AH1829" s="29" t="s">
        <v>2849</v>
      </c>
      <c r="AI1829" s="29" t="s">
        <v>2432</v>
      </c>
      <c r="AJ1829" s="29" t="s">
        <v>2850</v>
      </c>
      <c r="AL1829" s="29" t="s">
        <v>2271</v>
      </c>
    </row>
    <row r="1830" spans="15:38">
      <c r="O1830" t="s">
        <v>24</v>
      </c>
      <c r="P1830" t="s">
        <v>43</v>
      </c>
      <c r="Q1830" t="s">
        <v>27</v>
      </c>
      <c r="R1830" t="s">
        <v>55</v>
      </c>
      <c r="S1830">
        <v>2024.43</v>
      </c>
      <c r="T1830">
        <v>8359.09</v>
      </c>
      <c r="U1830">
        <v>0</v>
      </c>
      <c r="V1830">
        <v>0</v>
      </c>
      <c r="AA1830" s="29" t="s">
        <v>43</v>
      </c>
      <c r="AB1830">
        <v>31200</v>
      </c>
      <c r="AC1830">
        <v>130</v>
      </c>
      <c r="AD1830">
        <v>4</v>
      </c>
      <c r="AE1830">
        <v>118.62</v>
      </c>
      <c r="AF1830">
        <v>118.62</v>
      </c>
      <c r="AG1830" s="29" t="s">
        <v>2270</v>
      </c>
      <c r="AH1830" s="29" t="s">
        <v>2851</v>
      </c>
      <c r="AI1830" s="29" t="s">
        <v>2432</v>
      </c>
      <c r="AJ1830" s="29" t="s">
        <v>2852</v>
      </c>
      <c r="AL1830" s="29" t="s">
        <v>2271</v>
      </c>
    </row>
    <row r="1831" spans="15:38">
      <c r="O1831" t="s">
        <v>24</v>
      </c>
      <c r="P1831" t="s">
        <v>43</v>
      </c>
      <c r="Q1831" t="s">
        <v>27</v>
      </c>
      <c r="R1831" t="s">
        <v>55</v>
      </c>
      <c r="S1831">
        <v>2024.44</v>
      </c>
      <c r="T1831">
        <v>8994.81</v>
      </c>
      <c r="U1831">
        <v>0</v>
      </c>
      <c r="V1831">
        <v>8994.81</v>
      </c>
      <c r="AA1831" s="29" t="s">
        <v>43</v>
      </c>
      <c r="AB1831">
        <v>31200</v>
      </c>
      <c r="AC1831">
        <v>130</v>
      </c>
      <c r="AD1831">
        <v>4</v>
      </c>
      <c r="AE1831">
        <v>253.5</v>
      </c>
      <c r="AF1831">
        <v>253.5</v>
      </c>
      <c r="AG1831" s="29" t="s">
        <v>2270</v>
      </c>
      <c r="AH1831" s="29" t="s">
        <v>2853</v>
      </c>
      <c r="AI1831" s="29" t="s">
        <v>2432</v>
      </c>
      <c r="AJ1831" s="29" t="s">
        <v>2854</v>
      </c>
      <c r="AL1831" s="29" t="s">
        <v>2271</v>
      </c>
    </row>
    <row r="1832" spans="15:38">
      <c r="O1832" t="s">
        <v>24</v>
      </c>
      <c r="P1832" t="s">
        <v>43</v>
      </c>
      <c r="Q1832" t="s">
        <v>27</v>
      </c>
      <c r="R1832" t="s">
        <v>55</v>
      </c>
      <c r="S1832">
        <v>2024.45</v>
      </c>
      <c r="T1832">
        <v>8994.81</v>
      </c>
      <c r="U1832">
        <v>0</v>
      </c>
      <c r="V1832">
        <v>8994.81</v>
      </c>
      <c r="AA1832" s="29" t="s">
        <v>43</v>
      </c>
      <c r="AB1832">
        <v>31200</v>
      </c>
      <c r="AC1832">
        <v>130</v>
      </c>
      <c r="AD1832">
        <v>4</v>
      </c>
      <c r="AE1832">
        <v>45</v>
      </c>
      <c r="AF1832">
        <v>45</v>
      </c>
      <c r="AG1832" s="29" t="s">
        <v>2270</v>
      </c>
      <c r="AH1832" s="29" t="s">
        <v>2820</v>
      </c>
      <c r="AI1832" s="29" t="s">
        <v>2432</v>
      </c>
      <c r="AJ1832" s="29" t="s">
        <v>2821</v>
      </c>
      <c r="AL1832" s="29" t="s">
        <v>2271</v>
      </c>
    </row>
    <row r="1833" spans="15:38">
      <c r="O1833" t="s">
        <v>24</v>
      </c>
      <c r="P1833" t="s">
        <v>43</v>
      </c>
      <c r="Q1833" t="s">
        <v>27</v>
      </c>
      <c r="R1833" t="s">
        <v>55</v>
      </c>
      <c r="S1833">
        <v>2024.47</v>
      </c>
      <c r="T1833">
        <v>10383.719999999999</v>
      </c>
      <c r="U1833">
        <v>0</v>
      </c>
      <c r="V1833">
        <v>10383.719999999999</v>
      </c>
      <c r="AA1833" s="29" t="s">
        <v>43</v>
      </c>
      <c r="AB1833">
        <v>31200</v>
      </c>
      <c r="AC1833">
        <v>130</v>
      </c>
      <c r="AD1833">
        <v>4</v>
      </c>
      <c r="AE1833">
        <v>15.6</v>
      </c>
      <c r="AF1833">
        <v>15.6</v>
      </c>
      <c r="AG1833" s="29" t="s">
        <v>2270</v>
      </c>
      <c r="AH1833" s="29" t="s">
        <v>2855</v>
      </c>
      <c r="AI1833" s="29" t="s">
        <v>2432</v>
      </c>
      <c r="AJ1833" s="29" t="s">
        <v>2856</v>
      </c>
      <c r="AL1833" s="29" t="s">
        <v>2271</v>
      </c>
    </row>
    <row r="1834" spans="15:38">
      <c r="O1834" t="s">
        <v>24</v>
      </c>
      <c r="P1834" t="s">
        <v>43</v>
      </c>
      <c r="Q1834" t="s">
        <v>27</v>
      </c>
      <c r="R1834" t="s">
        <v>55</v>
      </c>
      <c r="S1834">
        <v>2024.48</v>
      </c>
      <c r="T1834">
        <v>12429.08</v>
      </c>
      <c r="U1834">
        <v>0</v>
      </c>
      <c r="V1834">
        <v>10383.719999999999</v>
      </c>
      <c r="AA1834" s="29" t="s">
        <v>43</v>
      </c>
      <c r="AB1834">
        <v>31200</v>
      </c>
      <c r="AC1834">
        <v>130</v>
      </c>
      <c r="AD1834">
        <v>4</v>
      </c>
      <c r="AE1834">
        <v>9</v>
      </c>
      <c r="AF1834">
        <v>9</v>
      </c>
      <c r="AG1834" s="29" t="s">
        <v>2270</v>
      </c>
      <c r="AH1834" s="29" t="s">
        <v>2778</v>
      </c>
      <c r="AI1834" s="29" t="s">
        <v>2432</v>
      </c>
      <c r="AJ1834" s="29" t="s">
        <v>2857</v>
      </c>
      <c r="AL1834" s="29" t="s">
        <v>2271</v>
      </c>
    </row>
    <row r="1835" spans="15:38">
      <c r="O1835" t="s">
        <v>24</v>
      </c>
      <c r="P1835" t="s">
        <v>43</v>
      </c>
      <c r="Q1835" t="s">
        <v>27</v>
      </c>
      <c r="R1835" t="s">
        <v>55</v>
      </c>
      <c r="S1835">
        <v>2024.49</v>
      </c>
      <c r="T1835">
        <v>12677.84</v>
      </c>
      <c r="U1835">
        <v>0</v>
      </c>
      <c r="V1835">
        <v>10383.719999999999</v>
      </c>
      <c r="AA1835" s="29" t="s">
        <v>43</v>
      </c>
      <c r="AB1835">
        <v>31200</v>
      </c>
      <c r="AC1835">
        <v>130</v>
      </c>
      <c r="AD1835">
        <v>4</v>
      </c>
      <c r="AE1835">
        <v>125.31</v>
      </c>
      <c r="AF1835">
        <v>125.31</v>
      </c>
      <c r="AG1835" s="29" t="s">
        <v>2270</v>
      </c>
      <c r="AH1835" s="29" t="s">
        <v>2858</v>
      </c>
      <c r="AI1835" s="29" t="s">
        <v>2432</v>
      </c>
      <c r="AJ1835" s="29" t="s">
        <v>2859</v>
      </c>
      <c r="AL1835" s="29" t="s">
        <v>2271</v>
      </c>
    </row>
    <row r="1836" spans="15:38">
      <c r="O1836" t="s">
        <v>24</v>
      </c>
      <c r="P1836" t="s">
        <v>43</v>
      </c>
      <c r="Q1836" t="s">
        <v>27</v>
      </c>
      <c r="R1836" t="s">
        <v>55</v>
      </c>
      <c r="S1836">
        <v>2025.03</v>
      </c>
      <c r="T1836">
        <v>13037.16</v>
      </c>
      <c r="U1836">
        <v>0</v>
      </c>
      <c r="V1836">
        <v>13037.16</v>
      </c>
      <c r="AA1836" s="29" t="s">
        <v>43</v>
      </c>
      <c r="AB1836">
        <v>31200</v>
      </c>
      <c r="AC1836">
        <v>130</v>
      </c>
      <c r="AD1836">
        <v>4</v>
      </c>
      <c r="AE1836">
        <v>62.97</v>
      </c>
      <c r="AF1836">
        <v>62.97</v>
      </c>
      <c r="AG1836" s="29" t="s">
        <v>2270</v>
      </c>
      <c r="AH1836" s="29" t="s">
        <v>2860</v>
      </c>
      <c r="AI1836" s="29" t="s">
        <v>2432</v>
      </c>
      <c r="AJ1836" s="29" t="s">
        <v>2861</v>
      </c>
      <c r="AL1836" s="29" t="s">
        <v>2271</v>
      </c>
    </row>
    <row r="1837" spans="15:38">
      <c r="O1837" t="s">
        <v>24</v>
      </c>
      <c r="P1837" t="s">
        <v>43</v>
      </c>
      <c r="Q1837" t="s">
        <v>27</v>
      </c>
      <c r="R1837" t="s">
        <v>55</v>
      </c>
      <c r="S1837">
        <v>2025.08</v>
      </c>
      <c r="T1837">
        <v>14253.32</v>
      </c>
      <c r="U1837">
        <v>0</v>
      </c>
      <c r="V1837">
        <v>13037.16</v>
      </c>
      <c r="AA1837" s="29" t="s">
        <v>43</v>
      </c>
      <c r="AB1837">
        <v>31200</v>
      </c>
      <c r="AC1837">
        <v>130</v>
      </c>
      <c r="AD1837">
        <v>4</v>
      </c>
      <c r="AE1837">
        <v>198.62</v>
      </c>
      <c r="AF1837">
        <v>198.62</v>
      </c>
      <c r="AG1837" s="29" t="s">
        <v>2270</v>
      </c>
      <c r="AH1837" s="29" t="s">
        <v>2688</v>
      </c>
      <c r="AI1837" s="29" t="s">
        <v>2432</v>
      </c>
      <c r="AJ1837" s="29" t="s">
        <v>2736</v>
      </c>
      <c r="AL1837" s="29" t="s">
        <v>2271</v>
      </c>
    </row>
    <row r="1838" spans="15:38">
      <c r="O1838" t="s">
        <v>24</v>
      </c>
      <c r="P1838" t="s">
        <v>43</v>
      </c>
      <c r="Q1838" t="s">
        <v>27</v>
      </c>
      <c r="R1838" t="s">
        <v>55</v>
      </c>
      <c r="S1838">
        <v>2025.1</v>
      </c>
      <c r="T1838">
        <v>15383.88</v>
      </c>
      <c r="U1838">
        <v>0</v>
      </c>
      <c r="V1838">
        <v>13037.16</v>
      </c>
      <c r="AA1838" s="29" t="s">
        <v>43</v>
      </c>
      <c r="AB1838">
        <v>31200</v>
      </c>
      <c r="AC1838">
        <v>130</v>
      </c>
      <c r="AD1838">
        <v>4</v>
      </c>
      <c r="AE1838">
        <v>530</v>
      </c>
      <c r="AF1838">
        <v>530</v>
      </c>
      <c r="AG1838" s="29" t="s">
        <v>2270</v>
      </c>
      <c r="AH1838" s="29" t="s">
        <v>2862</v>
      </c>
      <c r="AI1838" s="29" t="s">
        <v>2432</v>
      </c>
      <c r="AJ1838" s="29" t="s">
        <v>2863</v>
      </c>
      <c r="AL1838" s="29" t="s">
        <v>2271</v>
      </c>
    </row>
    <row r="1839" spans="15:38">
      <c r="O1839" t="s">
        <v>24</v>
      </c>
      <c r="P1839" t="s">
        <v>43</v>
      </c>
      <c r="Q1839" t="s">
        <v>27</v>
      </c>
      <c r="R1839" t="s">
        <v>55</v>
      </c>
      <c r="S1839">
        <v>2025.11</v>
      </c>
      <c r="T1839">
        <v>16231.8</v>
      </c>
      <c r="U1839">
        <v>0</v>
      </c>
      <c r="V1839">
        <v>13037.16</v>
      </c>
      <c r="AA1839" s="29" t="s">
        <v>43</v>
      </c>
      <c r="AB1839">
        <v>31200</v>
      </c>
      <c r="AC1839">
        <v>130</v>
      </c>
      <c r="AD1839">
        <v>4</v>
      </c>
      <c r="AE1839">
        <v>225</v>
      </c>
      <c r="AF1839">
        <v>225</v>
      </c>
      <c r="AG1839" s="29" t="s">
        <v>2270</v>
      </c>
      <c r="AH1839" s="29" t="s">
        <v>2864</v>
      </c>
      <c r="AI1839" s="29" t="s">
        <v>2432</v>
      </c>
      <c r="AJ1839" s="29" t="s">
        <v>2865</v>
      </c>
      <c r="AL1839" s="29" t="s">
        <v>2271</v>
      </c>
    </row>
    <row r="1840" spans="15:38">
      <c r="O1840" t="s">
        <v>24</v>
      </c>
      <c r="P1840" t="s">
        <v>43</v>
      </c>
      <c r="Q1840" t="s">
        <v>27</v>
      </c>
      <c r="R1840" t="s">
        <v>55</v>
      </c>
      <c r="S1840">
        <v>2025.12</v>
      </c>
      <c r="T1840">
        <v>16514.439999999999</v>
      </c>
      <c r="U1840">
        <v>0</v>
      </c>
      <c r="V1840">
        <v>13037.16</v>
      </c>
      <c r="AA1840" s="29" t="s">
        <v>43</v>
      </c>
      <c r="AB1840">
        <v>31200</v>
      </c>
      <c r="AC1840">
        <v>130</v>
      </c>
      <c r="AD1840">
        <v>4</v>
      </c>
      <c r="AE1840">
        <v>530</v>
      </c>
      <c r="AF1840">
        <v>530</v>
      </c>
      <c r="AG1840" s="29" t="s">
        <v>2270</v>
      </c>
      <c r="AH1840" s="29" t="s">
        <v>2862</v>
      </c>
      <c r="AI1840" s="29" t="s">
        <v>2432</v>
      </c>
      <c r="AJ1840" s="29" t="s">
        <v>2866</v>
      </c>
      <c r="AL1840" s="29" t="s">
        <v>2271</v>
      </c>
    </row>
    <row r="1841" spans="15:38">
      <c r="O1841" t="s">
        <v>24</v>
      </c>
      <c r="P1841" t="s">
        <v>43</v>
      </c>
      <c r="Q1841" t="s">
        <v>27</v>
      </c>
      <c r="R1841" t="s">
        <v>56</v>
      </c>
      <c r="S1841">
        <v>2024.1</v>
      </c>
      <c r="T1841">
        <v>935.07</v>
      </c>
      <c r="U1841">
        <v>0</v>
      </c>
      <c r="V1841">
        <v>0</v>
      </c>
      <c r="AA1841" s="29" t="s">
        <v>43</v>
      </c>
      <c r="AB1841">
        <v>31200</v>
      </c>
      <c r="AC1841">
        <v>130</v>
      </c>
      <c r="AD1841">
        <v>4</v>
      </c>
      <c r="AE1841">
        <v>169.51</v>
      </c>
      <c r="AF1841">
        <v>169.51</v>
      </c>
      <c r="AG1841" s="29" t="s">
        <v>2270</v>
      </c>
      <c r="AH1841" s="29" t="s">
        <v>2867</v>
      </c>
      <c r="AI1841" s="29" t="s">
        <v>2432</v>
      </c>
      <c r="AJ1841" s="29" t="s">
        <v>2868</v>
      </c>
      <c r="AL1841" s="29" t="s">
        <v>2271</v>
      </c>
    </row>
    <row r="1842" spans="15:38">
      <c r="O1842" t="s">
        <v>24</v>
      </c>
      <c r="P1842" t="s">
        <v>43</v>
      </c>
      <c r="Q1842" t="s">
        <v>27</v>
      </c>
      <c r="R1842" t="s">
        <v>56</v>
      </c>
      <c r="S1842">
        <v>2024.11</v>
      </c>
      <c r="T1842">
        <v>1246.76</v>
      </c>
      <c r="U1842">
        <v>0</v>
      </c>
      <c r="V1842">
        <v>0</v>
      </c>
      <c r="AA1842" s="29" t="s">
        <v>43</v>
      </c>
      <c r="AB1842">
        <v>31200</v>
      </c>
      <c r="AC1842">
        <v>130</v>
      </c>
      <c r="AD1842">
        <v>4</v>
      </c>
      <c r="AE1842">
        <v>0</v>
      </c>
      <c r="AF1842">
        <v>0</v>
      </c>
      <c r="AG1842" s="29" t="s">
        <v>2270</v>
      </c>
      <c r="AH1842" s="29" t="s">
        <v>2274</v>
      </c>
      <c r="AI1842" s="29" t="s">
        <v>2432</v>
      </c>
      <c r="AJ1842" s="29" t="s">
        <v>2869</v>
      </c>
      <c r="AL1842" s="29" t="s">
        <v>2271</v>
      </c>
    </row>
    <row r="1843" spans="15:38">
      <c r="O1843" t="s">
        <v>24</v>
      </c>
      <c r="P1843" t="s">
        <v>43</v>
      </c>
      <c r="Q1843" t="s">
        <v>27</v>
      </c>
      <c r="R1843" t="s">
        <v>56</v>
      </c>
      <c r="S1843">
        <v>2024.12</v>
      </c>
      <c r="T1843">
        <v>1246.76</v>
      </c>
      <c r="U1843">
        <v>0</v>
      </c>
      <c r="V1843">
        <v>0</v>
      </c>
      <c r="AA1843" s="29" t="s">
        <v>43</v>
      </c>
      <c r="AB1843">
        <v>31200</v>
      </c>
      <c r="AC1843">
        <v>130</v>
      </c>
      <c r="AD1843">
        <v>4</v>
      </c>
      <c r="AE1843">
        <v>118.24</v>
      </c>
      <c r="AF1843">
        <v>118.24</v>
      </c>
      <c r="AG1843" s="29" t="s">
        <v>2270</v>
      </c>
      <c r="AH1843" s="29" t="s">
        <v>2870</v>
      </c>
      <c r="AI1843" s="29" t="s">
        <v>2432</v>
      </c>
      <c r="AJ1843" s="29" t="s">
        <v>2871</v>
      </c>
      <c r="AL1843" s="29" t="s">
        <v>2271</v>
      </c>
    </row>
    <row r="1844" spans="15:38">
      <c r="O1844" t="s">
        <v>24</v>
      </c>
      <c r="P1844" t="s">
        <v>43</v>
      </c>
      <c r="Q1844" t="s">
        <v>27</v>
      </c>
      <c r="R1844" t="s">
        <v>56</v>
      </c>
      <c r="S1844">
        <v>2024.14</v>
      </c>
      <c r="T1844">
        <v>1521.16</v>
      </c>
      <c r="U1844">
        <v>0</v>
      </c>
      <c r="V1844">
        <v>0</v>
      </c>
      <c r="AA1844" s="29" t="s">
        <v>43</v>
      </c>
      <c r="AB1844">
        <v>31200</v>
      </c>
      <c r="AC1844">
        <v>130</v>
      </c>
      <c r="AD1844">
        <v>4</v>
      </c>
      <c r="AE1844">
        <v>-118.24</v>
      </c>
      <c r="AF1844">
        <v>-118.24</v>
      </c>
      <c r="AG1844" s="29" t="s">
        <v>2270</v>
      </c>
      <c r="AH1844" s="29" t="s">
        <v>2872</v>
      </c>
      <c r="AI1844" s="29" t="s">
        <v>2432</v>
      </c>
      <c r="AJ1844" s="29" t="s">
        <v>2873</v>
      </c>
      <c r="AL1844" s="29" t="s">
        <v>2271</v>
      </c>
    </row>
    <row r="1845" spans="15:38">
      <c r="O1845" t="s">
        <v>24</v>
      </c>
      <c r="P1845" t="s">
        <v>43</v>
      </c>
      <c r="Q1845" t="s">
        <v>27</v>
      </c>
      <c r="R1845" t="s">
        <v>56</v>
      </c>
      <c r="S1845">
        <v>2024.17</v>
      </c>
      <c r="T1845">
        <v>1521.16</v>
      </c>
      <c r="U1845">
        <v>0</v>
      </c>
      <c r="V1845">
        <v>0</v>
      </c>
      <c r="AA1845" s="29" t="s">
        <v>43</v>
      </c>
      <c r="AB1845">
        <v>31200</v>
      </c>
      <c r="AC1845">
        <v>130</v>
      </c>
      <c r="AD1845">
        <v>4</v>
      </c>
      <c r="AE1845">
        <v>118.24</v>
      </c>
      <c r="AF1845">
        <v>118.24</v>
      </c>
      <c r="AG1845" s="29" t="s">
        <v>2270</v>
      </c>
      <c r="AH1845" s="29" t="s">
        <v>2870</v>
      </c>
      <c r="AI1845" s="29" t="s">
        <v>2432</v>
      </c>
      <c r="AJ1845" s="29" t="s">
        <v>2871</v>
      </c>
      <c r="AL1845" s="29" t="s">
        <v>2271</v>
      </c>
    </row>
    <row r="1846" spans="15:38">
      <c r="O1846" t="s">
        <v>24</v>
      </c>
      <c r="P1846" t="s">
        <v>43</v>
      </c>
      <c r="Q1846" t="s">
        <v>27</v>
      </c>
      <c r="R1846" t="s">
        <v>56</v>
      </c>
      <c r="S1846">
        <v>2024.18</v>
      </c>
      <c r="T1846">
        <v>1521.16</v>
      </c>
      <c r="U1846">
        <v>0</v>
      </c>
      <c r="V1846">
        <v>0</v>
      </c>
      <c r="AA1846" s="29" t="s">
        <v>43</v>
      </c>
      <c r="AB1846">
        <v>31200</v>
      </c>
      <c r="AC1846">
        <v>130</v>
      </c>
      <c r="AD1846">
        <v>4</v>
      </c>
      <c r="AE1846">
        <v>31.14</v>
      </c>
      <c r="AF1846">
        <v>31.14</v>
      </c>
      <c r="AG1846" s="29" t="s">
        <v>2270</v>
      </c>
      <c r="AH1846" s="29" t="s">
        <v>2874</v>
      </c>
      <c r="AI1846" s="29" t="s">
        <v>2432</v>
      </c>
      <c r="AJ1846" s="29" t="s">
        <v>2875</v>
      </c>
      <c r="AL1846" s="29" t="s">
        <v>2271</v>
      </c>
    </row>
    <row r="1847" spans="15:38">
      <c r="O1847" t="s">
        <v>24</v>
      </c>
      <c r="P1847" t="s">
        <v>43</v>
      </c>
      <c r="Q1847" t="s">
        <v>27</v>
      </c>
      <c r="R1847" t="s">
        <v>56</v>
      </c>
      <c r="S1847">
        <v>2024.19</v>
      </c>
      <c r="T1847">
        <v>1521.16</v>
      </c>
      <c r="U1847">
        <v>0</v>
      </c>
      <c r="V1847">
        <v>0</v>
      </c>
      <c r="AA1847" s="29" t="s">
        <v>43</v>
      </c>
      <c r="AB1847">
        <v>31200</v>
      </c>
      <c r="AC1847">
        <v>130</v>
      </c>
      <c r="AD1847">
        <v>4</v>
      </c>
      <c r="AE1847">
        <v>8.16</v>
      </c>
      <c r="AF1847">
        <v>8.16</v>
      </c>
      <c r="AG1847" s="29" t="s">
        <v>2270</v>
      </c>
      <c r="AH1847" s="29" t="s">
        <v>2786</v>
      </c>
      <c r="AI1847" s="29" t="s">
        <v>2432</v>
      </c>
      <c r="AJ1847" s="29" t="s">
        <v>2876</v>
      </c>
      <c r="AL1847" s="29" t="s">
        <v>2271</v>
      </c>
    </row>
    <row r="1848" spans="15:38">
      <c r="O1848" t="s">
        <v>24</v>
      </c>
      <c r="P1848" t="s">
        <v>43</v>
      </c>
      <c r="Q1848" t="s">
        <v>27</v>
      </c>
      <c r="R1848" t="s">
        <v>56</v>
      </c>
      <c r="S1848">
        <v>2024.2</v>
      </c>
      <c r="T1848">
        <v>1521.16</v>
      </c>
      <c r="U1848">
        <v>0</v>
      </c>
      <c r="V1848">
        <v>0</v>
      </c>
      <c r="AA1848" s="29" t="s">
        <v>43</v>
      </c>
      <c r="AB1848">
        <v>31200</v>
      </c>
      <c r="AC1848">
        <v>130</v>
      </c>
      <c r="AD1848">
        <v>4</v>
      </c>
      <c r="AE1848">
        <v>156.57</v>
      </c>
      <c r="AF1848">
        <v>156.57</v>
      </c>
      <c r="AG1848" s="29" t="s">
        <v>2270</v>
      </c>
      <c r="AH1848" s="29" t="s">
        <v>2877</v>
      </c>
      <c r="AI1848" s="29" t="s">
        <v>2432</v>
      </c>
      <c r="AJ1848" s="29" t="s">
        <v>2061</v>
      </c>
      <c r="AL1848" s="29" t="s">
        <v>2271</v>
      </c>
    </row>
    <row r="1849" spans="15:38">
      <c r="O1849" t="s">
        <v>24</v>
      </c>
      <c r="P1849" t="s">
        <v>43</v>
      </c>
      <c r="Q1849" t="s">
        <v>27</v>
      </c>
      <c r="R1849" t="s">
        <v>56</v>
      </c>
      <c r="S1849">
        <v>2024.21</v>
      </c>
      <c r="T1849">
        <v>1521.16</v>
      </c>
      <c r="U1849">
        <v>0</v>
      </c>
      <c r="V1849">
        <v>0</v>
      </c>
      <c r="AA1849" s="29" t="s">
        <v>43</v>
      </c>
      <c r="AB1849">
        <v>31200</v>
      </c>
      <c r="AC1849">
        <v>130</v>
      </c>
      <c r="AD1849">
        <v>4</v>
      </c>
      <c r="AE1849">
        <v>62</v>
      </c>
      <c r="AF1849">
        <v>62</v>
      </c>
      <c r="AG1849" s="29" t="s">
        <v>2270</v>
      </c>
      <c r="AH1849" s="29" t="s">
        <v>2878</v>
      </c>
      <c r="AI1849" s="29" t="s">
        <v>2432</v>
      </c>
      <c r="AJ1849" s="29" t="s">
        <v>2879</v>
      </c>
      <c r="AL1849" s="29" t="s">
        <v>2271</v>
      </c>
    </row>
    <row r="1850" spans="15:38">
      <c r="O1850" t="s">
        <v>24</v>
      </c>
      <c r="P1850" t="s">
        <v>43</v>
      </c>
      <c r="Q1850" t="s">
        <v>27</v>
      </c>
      <c r="R1850" t="s">
        <v>56</v>
      </c>
      <c r="S1850">
        <v>2024.28</v>
      </c>
      <c r="T1850">
        <v>1521.16</v>
      </c>
      <c r="U1850">
        <v>0</v>
      </c>
      <c r="V1850">
        <v>0</v>
      </c>
      <c r="AA1850" s="29" t="s">
        <v>43</v>
      </c>
      <c r="AB1850">
        <v>31200</v>
      </c>
      <c r="AC1850">
        <v>130</v>
      </c>
      <c r="AD1850">
        <v>4</v>
      </c>
      <c r="AE1850">
        <v>336</v>
      </c>
      <c r="AF1850">
        <v>336</v>
      </c>
      <c r="AG1850" s="29" t="s">
        <v>2270</v>
      </c>
      <c r="AH1850" s="29" t="s">
        <v>2880</v>
      </c>
      <c r="AI1850" s="29" t="s">
        <v>2432</v>
      </c>
      <c r="AJ1850" s="29" t="s">
        <v>2881</v>
      </c>
      <c r="AL1850" s="29" t="s">
        <v>2271</v>
      </c>
    </row>
    <row r="1851" spans="15:38">
      <c r="O1851" t="s">
        <v>24</v>
      </c>
      <c r="P1851" t="s">
        <v>43</v>
      </c>
      <c r="Q1851" t="s">
        <v>27</v>
      </c>
      <c r="R1851" t="s">
        <v>56</v>
      </c>
      <c r="S1851">
        <v>2024.38</v>
      </c>
      <c r="T1851">
        <v>1521.16</v>
      </c>
      <c r="U1851">
        <v>0</v>
      </c>
      <c r="V1851">
        <v>0</v>
      </c>
      <c r="AA1851" s="29" t="s">
        <v>43</v>
      </c>
      <c r="AB1851">
        <v>31200</v>
      </c>
      <c r="AC1851">
        <v>130</v>
      </c>
      <c r="AD1851">
        <v>4</v>
      </c>
      <c r="AE1851">
        <v>104</v>
      </c>
      <c r="AF1851">
        <v>104</v>
      </c>
      <c r="AG1851" s="29" t="s">
        <v>2270</v>
      </c>
      <c r="AH1851" s="29" t="s">
        <v>2882</v>
      </c>
      <c r="AI1851" s="29" t="s">
        <v>2432</v>
      </c>
      <c r="AJ1851" s="29" t="s">
        <v>2883</v>
      </c>
      <c r="AL1851" s="29" t="s">
        <v>2271</v>
      </c>
    </row>
    <row r="1852" spans="15:38">
      <c r="O1852" t="s">
        <v>24</v>
      </c>
      <c r="P1852" t="s">
        <v>43</v>
      </c>
      <c r="Q1852" t="s">
        <v>27</v>
      </c>
      <c r="R1852" t="s">
        <v>56</v>
      </c>
      <c r="S1852">
        <v>2024.39</v>
      </c>
      <c r="T1852">
        <v>1521.16</v>
      </c>
      <c r="U1852">
        <v>0</v>
      </c>
      <c r="V1852">
        <v>0</v>
      </c>
      <c r="AA1852" s="29" t="s">
        <v>43</v>
      </c>
      <c r="AB1852">
        <v>31200</v>
      </c>
      <c r="AC1852">
        <v>130</v>
      </c>
      <c r="AD1852">
        <v>4</v>
      </c>
      <c r="AE1852">
        <v>11880</v>
      </c>
      <c r="AF1852">
        <v>11880</v>
      </c>
      <c r="AG1852" s="29" t="s">
        <v>2270</v>
      </c>
      <c r="AH1852" s="29" t="s">
        <v>2884</v>
      </c>
      <c r="AI1852" s="29" t="s">
        <v>2432</v>
      </c>
      <c r="AJ1852" s="29" t="s">
        <v>2885</v>
      </c>
      <c r="AL1852" s="29" t="s">
        <v>2271</v>
      </c>
    </row>
    <row r="1853" spans="15:38">
      <c r="O1853" t="s">
        <v>24</v>
      </c>
      <c r="P1853" t="s">
        <v>43</v>
      </c>
      <c r="Q1853" t="s">
        <v>27</v>
      </c>
      <c r="R1853" t="s">
        <v>56</v>
      </c>
      <c r="S1853">
        <v>2024.41</v>
      </c>
      <c r="T1853">
        <v>1521.16</v>
      </c>
      <c r="U1853">
        <v>0</v>
      </c>
      <c r="V1853">
        <v>0</v>
      </c>
      <c r="AA1853" s="29" t="s">
        <v>43</v>
      </c>
      <c r="AB1853">
        <v>31200</v>
      </c>
      <c r="AC1853">
        <v>130</v>
      </c>
      <c r="AD1853">
        <v>4</v>
      </c>
      <c r="AE1853">
        <v>400</v>
      </c>
      <c r="AF1853">
        <v>400</v>
      </c>
      <c r="AG1853" s="29" t="s">
        <v>2270</v>
      </c>
      <c r="AH1853" s="29" t="s">
        <v>2886</v>
      </c>
      <c r="AI1853" s="29" t="s">
        <v>2432</v>
      </c>
      <c r="AJ1853" s="29" t="s">
        <v>2887</v>
      </c>
      <c r="AL1853" s="29" t="s">
        <v>2271</v>
      </c>
    </row>
    <row r="1854" spans="15:38">
      <c r="O1854" t="s">
        <v>24</v>
      </c>
      <c r="P1854" t="s">
        <v>43</v>
      </c>
      <c r="Q1854" t="s">
        <v>27</v>
      </c>
      <c r="R1854" t="s">
        <v>56</v>
      </c>
      <c r="S1854">
        <v>2024.43</v>
      </c>
      <c r="T1854">
        <v>1521.16</v>
      </c>
      <c r="U1854">
        <v>0</v>
      </c>
      <c r="V1854">
        <v>0</v>
      </c>
      <c r="AA1854" s="29" t="s">
        <v>43</v>
      </c>
      <c r="AB1854">
        <v>31200</v>
      </c>
      <c r="AC1854">
        <v>130</v>
      </c>
      <c r="AD1854">
        <v>4</v>
      </c>
      <c r="AE1854">
        <v>74.28</v>
      </c>
      <c r="AF1854">
        <v>74.28</v>
      </c>
      <c r="AG1854" s="29" t="s">
        <v>2270</v>
      </c>
      <c r="AH1854" s="29" t="s">
        <v>2888</v>
      </c>
      <c r="AI1854" s="29" t="s">
        <v>2432</v>
      </c>
      <c r="AJ1854" s="29" t="s">
        <v>2889</v>
      </c>
      <c r="AL1854" s="29" t="s">
        <v>2271</v>
      </c>
    </row>
    <row r="1855" spans="15:38">
      <c r="O1855" t="s">
        <v>24</v>
      </c>
      <c r="P1855" t="s">
        <v>43</v>
      </c>
      <c r="Q1855" t="s">
        <v>27</v>
      </c>
      <c r="R1855" t="s">
        <v>56</v>
      </c>
      <c r="S1855">
        <v>2024.44</v>
      </c>
      <c r="T1855">
        <v>1761.26</v>
      </c>
      <c r="U1855">
        <v>0</v>
      </c>
      <c r="V1855">
        <v>1761.26</v>
      </c>
      <c r="AA1855" s="29" t="s">
        <v>43</v>
      </c>
      <c r="AB1855">
        <v>31200</v>
      </c>
      <c r="AC1855">
        <v>130</v>
      </c>
      <c r="AD1855">
        <v>4</v>
      </c>
      <c r="AE1855">
        <v>64.5</v>
      </c>
      <c r="AF1855">
        <v>64.5</v>
      </c>
      <c r="AG1855" s="29" t="s">
        <v>2270</v>
      </c>
      <c r="AH1855" s="29" t="s">
        <v>2890</v>
      </c>
      <c r="AI1855" s="29" t="s">
        <v>2432</v>
      </c>
      <c r="AJ1855" s="29" t="s">
        <v>2891</v>
      </c>
      <c r="AL1855" s="29" t="s">
        <v>2271</v>
      </c>
    </row>
    <row r="1856" spans="15:38">
      <c r="O1856" t="s">
        <v>24</v>
      </c>
      <c r="P1856" t="s">
        <v>43</v>
      </c>
      <c r="Q1856" t="s">
        <v>27</v>
      </c>
      <c r="R1856" t="s">
        <v>56</v>
      </c>
      <c r="S1856">
        <v>2024.45</v>
      </c>
      <c r="T1856">
        <v>2447.2600000000002</v>
      </c>
      <c r="U1856">
        <v>0</v>
      </c>
      <c r="V1856">
        <v>2447.2600000000002</v>
      </c>
      <c r="AA1856" s="29" t="s">
        <v>43</v>
      </c>
      <c r="AB1856">
        <v>31200</v>
      </c>
      <c r="AC1856">
        <v>130</v>
      </c>
      <c r="AD1856">
        <v>4</v>
      </c>
      <c r="AE1856">
        <v>37.200000000000003</v>
      </c>
      <c r="AF1856">
        <v>37.200000000000003</v>
      </c>
      <c r="AG1856" s="29" t="s">
        <v>2270</v>
      </c>
      <c r="AH1856" s="29" t="s">
        <v>2802</v>
      </c>
      <c r="AI1856" s="29" t="s">
        <v>2432</v>
      </c>
      <c r="AJ1856" s="29" t="s">
        <v>2803</v>
      </c>
      <c r="AL1856" s="29" t="s">
        <v>2271</v>
      </c>
    </row>
    <row r="1857" spans="15:38">
      <c r="O1857" t="s">
        <v>24</v>
      </c>
      <c r="P1857" t="s">
        <v>43</v>
      </c>
      <c r="Q1857" t="s">
        <v>27</v>
      </c>
      <c r="R1857" t="s">
        <v>56</v>
      </c>
      <c r="S1857">
        <v>2024.47</v>
      </c>
      <c r="T1857">
        <v>3819.28</v>
      </c>
      <c r="U1857">
        <v>0</v>
      </c>
      <c r="V1857">
        <v>3819.28</v>
      </c>
      <c r="AA1857" s="29" t="s">
        <v>43</v>
      </c>
      <c r="AB1857">
        <v>31200</v>
      </c>
      <c r="AC1857">
        <v>130</v>
      </c>
      <c r="AD1857">
        <v>4</v>
      </c>
      <c r="AE1857">
        <v>148.80000000000001</v>
      </c>
      <c r="AF1857">
        <v>148.80000000000001</v>
      </c>
      <c r="AG1857" s="29" t="s">
        <v>2270</v>
      </c>
      <c r="AH1857" s="29" t="s">
        <v>2892</v>
      </c>
      <c r="AI1857" s="29" t="s">
        <v>2432</v>
      </c>
      <c r="AJ1857" s="29" t="s">
        <v>2893</v>
      </c>
      <c r="AL1857" s="29" t="s">
        <v>2271</v>
      </c>
    </row>
    <row r="1858" spans="15:38">
      <c r="O1858" t="s">
        <v>24</v>
      </c>
      <c r="P1858" t="s">
        <v>43</v>
      </c>
      <c r="Q1858" t="s">
        <v>27</v>
      </c>
      <c r="R1858" t="s">
        <v>56</v>
      </c>
      <c r="S1858">
        <v>2024.48</v>
      </c>
      <c r="T1858">
        <v>3819.28</v>
      </c>
      <c r="U1858">
        <v>0</v>
      </c>
      <c r="V1858">
        <v>3819.28</v>
      </c>
      <c r="AA1858" s="29" t="s">
        <v>43</v>
      </c>
      <c r="AB1858">
        <v>31200</v>
      </c>
      <c r="AC1858">
        <v>130</v>
      </c>
      <c r="AD1858">
        <v>4</v>
      </c>
      <c r="AE1858">
        <v>43.2</v>
      </c>
      <c r="AF1858">
        <v>43.2</v>
      </c>
      <c r="AG1858" s="29" t="s">
        <v>2270</v>
      </c>
      <c r="AH1858" s="29" t="s">
        <v>2894</v>
      </c>
      <c r="AI1858" s="29" t="s">
        <v>2432</v>
      </c>
      <c r="AJ1858" s="29" t="s">
        <v>2895</v>
      </c>
      <c r="AL1858" s="29" t="s">
        <v>2271</v>
      </c>
    </row>
    <row r="1859" spans="15:38">
      <c r="O1859" t="s">
        <v>24</v>
      </c>
      <c r="P1859" t="s">
        <v>43</v>
      </c>
      <c r="Q1859" t="s">
        <v>27</v>
      </c>
      <c r="R1859" t="s">
        <v>56</v>
      </c>
      <c r="S1859">
        <v>2024.49</v>
      </c>
      <c r="T1859">
        <v>3819.28</v>
      </c>
      <c r="U1859">
        <v>0</v>
      </c>
      <c r="V1859">
        <v>3819.28</v>
      </c>
      <c r="AA1859" s="29" t="s">
        <v>43</v>
      </c>
      <c r="AB1859">
        <v>31200</v>
      </c>
      <c r="AC1859">
        <v>130</v>
      </c>
      <c r="AD1859">
        <v>4</v>
      </c>
      <c r="AE1859">
        <v>3.6</v>
      </c>
      <c r="AF1859">
        <v>3.6</v>
      </c>
      <c r="AG1859" s="29" t="s">
        <v>2270</v>
      </c>
      <c r="AH1859" s="29" t="s">
        <v>2896</v>
      </c>
      <c r="AI1859" s="29" t="s">
        <v>2432</v>
      </c>
      <c r="AJ1859" s="29" t="s">
        <v>2897</v>
      </c>
      <c r="AL1859" s="29" t="s">
        <v>2271</v>
      </c>
    </row>
    <row r="1860" spans="15:38">
      <c r="O1860" t="s">
        <v>24</v>
      </c>
      <c r="P1860" t="s">
        <v>43</v>
      </c>
      <c r="Q1860" t="s">
        <v>27</v>
      </c>
      <c r="R1860" t="s">
        <v>56</v>
      </c>
      <c r="S1860">
        <v>2025.03</v>
      </c>
      <c r="T1860">
        <v>4676.79</v>
      </c>
      <c r="U1860">
        <v>0</v>
      </c>
      <c r="V1860">
        <v>4676.79</v>
      </c>
      <c r="AA1860" s="29" t="s">
        <v>43</v>
      </c>
      <c r="AB1860">
        <v>31200</v>
      </c>
      <c r="AC1860">
        <v>130</v>
      </c>
      <c r="AD1860">
        <v>4</v>
      </c>
      <c r="AE1860">
        <v>-20.47</v>
      </c>
      <c r="AF1860">
        <v>-20.47</v>
      </c>
      <c r="AG1860" s="29" t="s">
        <v>2270</v>
      </c>
      <c r="AH1860" s="29" t="s">
        <v>2898</v>
      </c>
      <c r="AI1860" s="29" t="s">
        <v>2432</v>
      </c>
      <c r="AJ1860" s="29" t="s">
        <v>2899</v>
      </c>
      <c r="AL1860" s="29" t="s">
        <v>2271</v>
      </c>
    </row>
    <row r="1861" spans="15:38">
      <c r="O1861" t="s">
        <v>24</v>
      </c>
      <c r="P1861" t="s">
        <v>43</v>
      </c>
      <c r="Q1861" t="s">
        <v>27</v>
      </c>
      <c r="R1861" t="s">
        <v>56</v>
      </c>
      <c r="S1861">
        <v>2025.08</v>
      </c>
      <c r="T1861">
        <v>6083.11</v>
      </c>
      <c r="U1861">
        <v>0</v>
      </c>
      <c r="V1861">
        <v>4676.79</v>
      </c>
      <c r="AA1861" s="29" t="s">
        <v>43</v>
      </c>
      <c r="AB1861">
        <v>31200</v>
      </c>
      <c r="AC1861">
        <v>130</v>
      </c>
      <c r="AD1861">
        <v>4</v>
      </c>
      <c r="AE1861">
        <v>0.26</v>
      </c>
      <c r="AF1861">
        <v>0.26</v>
      </c>
      <c r="AG1861" s="29" t="s">
        <v>2270</v>
      </c>
      <c r="AH1861" s="29" t="s">
        <v>2900</v>
      </c>
      <c r="AI1861" s="29" t="s">
        <v>2432</v>
      </c>
      <c r="AJ1861" s="29" t="s">
        <v>2901</v>
      </c>
      <c r="AL1861" s="29" t="s">
        <v>2271</v>
      </c>
    </row>
    <row r="1862" spans="15:38">
      <c r="O1862" t="s">
        <v>24</v>
      </c>
      <c r="P1862" t="s">
        <v>43</v>
      </c>
      <c r="Q1862" t="s">
        <v>27</v>
      </c>
      <c r="R1862" t="s">
        <v>56</v>
      </c>
      <c r="S1862">
        <v>2025.1</v>
      </c>
      <c r="T1862">
        <v>6921.42</v>
      </c>
      <c r="U1862">
        <v>0</v>
      </c>
      <c r="V1862">
        <v>4676.79</v>
      </c>
      <c r="AA1862" s="29" t="s">
        <v>43</v>
      </c>
      <c r="AB1862">
        <v>31200</v>
      </c>
      <c r="AC1862">
        <v>130</v>
      </c>
      <c r="AD1862">
        <v>4</v>
      </c>
      <c r="AE1862">
        <v>0.13</v>
      </c>
      <c r="AF1862">
        <v>0.13</v>
      </c>
      <c r="AG1862" s="29" t="s">
        <v>2270</v>
      </c>
      <c r="AH1862" s="29" t="s">
        <v>2902</v>
      </c>
      <c r="AI1862" s="29" t="s">
        <v>2432</v>
      </c>
      <c r="AJ1862" s="29" t="s">
        <v>2903</v>
      </c>
      <c r="AL1862" s="29" t="s">
        <v>2271</v>
      </c>
    </row>
    <row r="1863" spans="15:38">
      <c r="O1863" t="s">
        <v>24</v>
      </c>
      <c r="P1863" t="s">
        <v>43</v>
      </c>
      <c r="Q1863" t="s">
        <v>27</v>
      </c>
      <c r="R1863" t="s">
        <v>56</v>
      </c>
      <c r="S1863">
        <v>2025.11</v>
      </c>
      <c r="T1863">
        <v>6921.42</v>
      </c>
      <c r="U1863">
        <v>0</v>
      </c>
      <c r="V1863">
        <v>4676.79</v>
      </c>
      <c r="AA1863" s="29" t="s">
        <v>43</v>
      </c>
      <c r="AB1863">
        <v>31200</v>
      </c>
      <c r="AC1863">
        <v>130</v>
      </c>
      <c r="AD1863">
        <v>4</v>
      </c>
      <c r="AE1863">
        <v>4.9000000000000004</v>
      </c>
      <c r="AF1863">
        <v>4.9000000000000004</v>
      </c>
      <c r="AG1863" s="29" t="s">
        <v>2270</v>
      </c>
      <c r="AH1863" s="29" t="s">
        <v>2904</v>
      </c>
      <c r="AI1863" s="29" t="s">
        <v>2432</v>
      </c>
      <c r="AJ1863" s="29" t="s">
        <v>863</v>
      </c>
      <c r="AL1863" s="29" t="s">
        <v>2271</v>
      </c>
    </row>
    <row r="1864" spans="15:38">
      <c r="O1864" t="s">
        <v>24</v>
      </c>
      <c r="P1864" t="s">
        <v>43</v>
      </c>
      <c r="Q1864" t="s">
        <v>27</v>
      </c>
      <c r="R1864" t="s">
        <v>56</v>
      </c>
      <c r="S1864">
        <v>2025.12</v>
      </c>
      <c r="T1864">
        <v>7207.43</v>
      </c>
      <c r="U1864">
        <v>0</v>
      </c>
      <c r="V1864">
        <v>4676.79</v>
      </c>
      <c r="AA1864" s="29" t="s">
        <v>43</v>
      </c>
      <c r="AB1864">
        <v>31200</v>
      </c>
      <c r="AC1864">
        <v>130</v>
      </c>
      <c r="AD1864">
        <v>4</v>
      </c>
      <c r="AE1864">
        <v>2873.7</v>
      </c>
      <c r="AF1864">
        <v>2873.7</v>
      </c>
      <c r="AG1864" s="29" t="s">
        <v>2270</v>
      </c>
      <c r="AH1864" s="29" t="s">
        <v>2905</v>
      </c>
      <c r="AI1864" s="29" t="s">
        <v>2432</v>
      </c>
      <c r="AJ1864" s="29" t="s">
        <v>2906</v>
      </c>
      <c r="AL1864" s="29" t="s">
        <v>2271</v>
      </c>
    </row>
    <row r="1865" spans="15:38">
      <c r="O1865" t="s">
        <v>24</v>
      </c>
      <c r="P1865" t="s">
        <v>43</v>
      </c>
      <c r="Q1865" t="s">
        <v>48</v>
      </c>
      <c r="R1865" t="s">
        <v>59</v>
      </c>
      <c r="S1865">
        <v>2024.44</v>
      </c>
      <c r="T1865">
        <v>0</v>
      </c>
      <c r="U1865">
        <v>0</v>
      </c>
      <c r="V1865">
        <v>9779.9405999999999</v>
      </c>
      <c r="AA1865" s="29" t="s">
        <v>43</v>
      </c>
      <c r="AB1865">
        <v>31200</v>
      </c>
      <c r="AC1865">
        <v>130</v>
      </c>
      <c r="AD1865">
        <v>4</v>
      </c>
      <c r="AE1865">
        <v>2385</v>
      </c>
      <c r="AF1865">
        <v>2385</v>
      </c>
      <c r="AG1865" s="29" t="s">
        <v>2270</v>
      </c>
      <c r="AH1865" s="29" t="s">
        <v>2907</v>
      </c>
      <c r="AI1865" s="29" t="s">
        <v>2432</v>
      </c>
      <c r="AJ1865" s="29" t="s">
        <v>2908</v>
      </c>
      <c r="AL1865" s="29" t="s">
        <v>2271</v>
      </c>
    </row>
    <row r="1866" spans="15:38">
      <c r="O1866" t="s">
        <v>24</v>
      </c>
      <c r="P1866" t="s">
        <v>43</v>
      </c>
      <c r="Q1866" t="s">
        <v>48</v>
      </c>
      <c r="R1866" t="s">
        <v>59</v>
      </c>
      <c r="S1866">
        <v>2025.03</v>
      </c>
      <c r="T1866">
        <v>0</v>
      </c>
      <c r="U1866">
        <v>0</v>
      </c>
      <c r="V1866">
        <v>58825.09</v>
      </c>
      <c r="AA1866" s="29" t="s">
        <v>43</v>
      </c>
      <c r="AB1866">
        <v>31200</v>
      </c>
      <c r="AC1866">
        <v>130</v>
      </c>
      <c r="AD1866">
        <v>4</v>
      </c>
      <c r="AE1866">
        <v>90</v>
      </c>
      <c r="AF1866">
        <v>90</v>
      </c>
      <c r="AG1866" s="29" t="s">
        <v>2270</v>
      </c>
      <c r="AH1866" s="29" t="s">
        <v>2909</v>
      </c>
      <c r="AI1866" s="29" t="s">
        <v>2432</v>
      </c>
      <c r="AJ1866" s="29" t="s">
        <v>2910</v>
      </c>
      <c r="AL1866" s="29" t="s">
        <v>2271</v>
      </c>
    </row>
    <row r="1867" spans="15:38">
      <c r="O1867" t="s">
        <v>24</v>
      </c>
      <c r="P1867" t="s">
        <v>43</v>
      </c>
      <c r="Q1867" t="s">
        <v>47</v>
      </c>
      <c r="R1867" t="s">
        <v>59</v>
      </c>
      <c r="S1867">
        <v>2023.47</v>
      </c>
      <c r="T1867">
        <v>0</v>
      </c>
      <c r="U1867">
        <v>233207.6263</v>
      </c>
      <c r="V1867">
        <v>233207.6263</v>
      </c>
      <c r="AA1867" s="29" t="s">
        <v>43</v>
      </c>
      <c r="AB1867">
        <v>31200</v>
      </c>
      <c r="AC1867">
        <v>130</v>
      </c>
      <c r="AD1867">
        <v>4</v>
      </c>
      <c r="AE1867">
        <v>1290</v>
      </c>
      <c r="AF1867">
        <v>1290</v>
      </c>
      <c r="AG1867" s="29" t="s">
        <v>2270</v>
      </c>
      <c r="AH1867" s="29" t="s">
        <v>2911</v>
      </c>
      <c r="AI1867" s="29" t="s">
        <v>2432</v>
      </c>
      <c r="AJ1867" s="29" t="s">
        <v>2912</v>
      </c>
      <c r="AL1867" s="29" t="s">
        <v>2271</v>
      </c>
    </row>
    <row r="1868" spans="15:38">
      <c r="O1868" t="s">
        <v>24</v>
      </c>
      <c r="P1868" t="s">
        <v>43</v>
      </c>
      <c r="Q1868" t="s">
        <v>47</v>
      </c>
      <c r="R1868" t="s">
        <v>59</v>
      </c>
      <c r="S1868">
        <v>2024.48</v>
      </c>
      <c r="T1868">
        <v>0</v>
      </c>
      <c r="U1868">
        <v>233207.6263</v>
      </c>
      <c r="V1868">
        <v>283207.6263</v>
      </c>
      <c r="AA1868" s="29" t="s">
        <v>43</v>
      </c>
      <c r="AB1868">
        <v>31200</v>
      </c>
      <c r="AC1868">
        <v>130</v>
      </c>
      <c r="AD1868">
        <v>4</v>
      </c>
      <c r="AE1868">
        <v>1861.62</v>
      </c>
      <c r="AF1868">
        <v>1861.62</v>
      </c>
      <c r="AG1868" s="29" t="s">
        <v>2270</v>
      </c>
      <c r="AH1868" s="29" t="s">
        <v>2913</v>
      </c>
      <c r="AI1868" s="29" t="s">
        <v>2432</v>
      </c>
      <c r="AJ1868" s="29" t="s">
        <v>2914</v>
      </c>
      <c r="AL1868" s="29" t="s">
        <v>2271</v>
      </c>
    </row>
    <row r="1869" spans="15:38">
      <c r="O1869" t="s">
        <v>24</v>
      </c>
      <c r="P1869" t="s">
        <v>43</v>
      </c>
      <c r="Q1869" t="s">
        <v>45</v>
      </c>
      <c r="R1869" t="s">
        <v>59</v>
      </c>
      <c r="S1869">
        <v>2024.45</v>
      </c>
      <c r="T1869">
        <v>0</v>
      </c>
      <c r="U1869">
        <v>0</v>
      </c>
      <c r="V1869">
        <v>-17388.61</v>
      </c>
      <c r="AA1869" s="29" t="s">
        <v>43</v>
      </c>
      <c r="AB1869">
        <v>31200</v>
      </c>
      <c r="AC1869">
        <v>130</v>
      </c>
      <c r="AD1869">
        <v>4</v>
      </c>
      <c r="AE1869">
        <v>2010.84</v>
      </c>
      <c r="AF1869">
        <v>2010.84</v>
      </c>
      <c r="AG1869" s="29" t="s">
        <v>2270</v>
      </c>
      <c r="AH1869" s="29" t="s">
        <v>2915</v>
      </c>
      <c r="AI1869" s="29" t="s">
        <v>2432</v>
      </c>
      <c r="AJ1869" s="29" t="s">
        <v>2916</v>
      </c>
      <c r="AL1869" s="29" t="s">
        <v>2271</v>
      </c>
    </row>
    <row r="1870" spans="15:38">
      <c r="O1870" t="s">
        <v>24</v>
      </c>
      <c r="P1870" t="s">
        <v>43</v>
      </c>
      <c r="Q1870" t="s">
        <v>45</v>
      </c>
      <c r="R1870" t="s">
        <v>59</v>
      </c>
      <c r="S1870">
        <v>2024.48</v>
      </c>
      <c r="T1870">
        <v>0</v>
      </c>
      <c r="U1870">
        <v>0</v>
      </c>
      <c r="V1870">
        <v>-17232.310000000001</v>
      </c>
      <c r="AA1870" s="29" t="s">
        <v>43</v>
      </c>
      <c r="AB1870">
        <v>31200</v>
      </c>
      <c r="AC1870">
        <v>130</v>
      </c>
      <c r="AD1870">
        <v>4</v>
      </c>
      <c r="AE1870">
        <v>303.89999999999998</v>
      </c>
      <c r="AF1870">
        <v>303.89999999999998</v>
      </c>
      <c r="AG1870" s="29" t="s">
        <v>2270</v>
      </c>
      <c r="AH1870" s="29" t="s">
        <v>2917</v>
      </c>
      <c r="AI1870" s="29" t="s">
        <v>2432</v>
      </c>
      <c r="AJ1870" s="29" t="s">
        <v>2918</v>
      </c>
      <c r="AL1870" s="29" t="s">
        <v>2271</v>
      </c>
    </row>
    <row r="1871" spans="15:38">
      <c r="O1871" t="s">
        <v>24</v>
      </c>
      <c r="P1871" t="s">
        <v>43</v>
      </c>
      <c r="Q1871" t="s">
        <v>3</v>
      </c>
      <c r="R1871" t="s">
        <v>60</v>
      </c>
      <c r="S1871">
        <v>2023.47</v>
      </c>
      <c r="T1871">
        <v>0</v>
      </c>
      <c r="U1871">
        <v>59071.971700000002</v>
      </c>
      <c r="V1871">
        <v>59071.971700000002</v>
      </c>
      <c r="AA1871" s="29" t="s">
        <v>43</v>
      </c>
      <c r="AB1871">
        <v>31200</v>
      </c>
      <c r="AC1871">
        <v>130</v>
      </c>
      <c r="AD1871">
        <v>4</v>
      </c>
      <c r="AE1871">
        <v>225.8</v>
      </c>
      <c r="AF1871">
        <v>225.8</v>
      </c>
      <c r="AG1871" s="29" t="s">
        <v>2270</v>
      </c>
      <c r="AH1871" s="29" t="s">
        <v>2919</v>
      </c>
      <c r="AI1871" s="29" t="s">
        <v>2432</v>
      </c>
      <c r="AJ1871" s="29" t="s">
        <v>2920</v>
      </c>
      <c r="AL1871" s="29" t="s">
        <v>2271</v>
      </c>
    </row>
    <row r="1872" spans="15:38">
      <c r="O1872" t="s">
        <v>24</v>
      </c>
      <c r="P1872" t="s">
        <v>43</v>
      </c>
      <c r="Q1872" t="s">
        <v>3</v>
      </c>
      <c r="R1872" t="s">
        <v>60</v>
      </c>
      <c r="S1872">
        <v>2023.51</v>
      </c>
      <c r="T1872">
        <v>16011.72</v>
      </c>
      <c r="U1872">
        <v>59071.971700000002</v>
      </c>
      <c r="V1872">
        <v>59071.971700000002</v>
      </c>
      <c r="AA1872" s="29" t="s">
        <v>43</v>
      </c>
      <c r="AB1872">
        <v>31200</v>
      </c>
      <c r="AC1872">
        <v>130</v>
      </c>
      <c r="AD1872">
        <v>4</v>
      </c>
      <c r="AE1872">
        <v>3084.12</v>
      </c>
      <c r="AF1872">
        <v>3084.12</v>
      </c>
      <c r="AG1872" s="29" t="s">
        <v>2270</v>
      </c>
      <c r="AH1872" s="29" t="s">
        <v>2921</v>
      </c>
      <c r="AI1872" s="29" t="s">
        <v>2432</v>
      </c>
      <c r="AJ1872" s="29" t="s">
        <v>2922</v>
      </c>
      <c r="AL1872" s="29" t="s">
        <v>2271</v>
      </c>
    </row>
    <row r="1873" spans="15:38">
      <c r="O1873" t="s">
        <v>24</v>
      </c>
      <c r="P1873" t="s">
        <v>43</v>
      </c>
      <c r="Q1873" t="s">
        <v>3</v>
      </c>
      <c r="R1873" t="s">
        <v>60</v>
      </c>
      <c r="S1873">
        <v>2024.05</v>
      </c>
      <c r="T1873">
        <v>10167.780000000001</v>
      </c>
      <c r="U1873">
        <v>59071.971700000002</v>
      </c>
      <c r="V1873">
        <v>59071.971700000002</v>
      </c>
      <c r="AA1873" s="29" t="s">
        <v>43</v>
      </c>
      <c r="AB1873">
        <v>31200</v>
      </c>
      <c r="AC1873">
        <v>130</v>
      </c>
      <c r="AD1873">
        <v>4</v>
      </c>
      <c r="AE1873">
        <v>63.6</v>
      </c>
      <c r="AF1873">
        <v>63.6</v>
      </c>
      <c r="AG1873" s="29" t="s">
        <v>2270</v>
      </c>
      <c r="AH1873" s="29" t="s">
        <v>2923</v>
      </c>
      <c r="AI1873" s="29" t="s">
        <v>2432</v>
      </c>
      <c r="AJ1873" s="29" t="s">
        <v>2924</v>
      </c>
      <c r="AL1873" s="29" t="s">
        <v>2271</v>
      </c>
    </row>
    <row r="1874" spans="15:38">
      <c r="O1874" t="s">
        <v>24</v>
      </c>
      <c r="P1874" t="s">
        <v>43</v>
      </c>
      <c r="Q1874" t="s">
        <v>3</v>
      </c>
      <c r="R1874" t="s">
        <v>60</v>
      </c>
      <c r="S1874">
        <v>2024.06</v>
      </c>
      <c r="T1874">
        <v>10167.780000000001</v>
      </c>
      <c r="U1874">
        <v>59071.971700000002</v>
      </c>
      <c r="V1874">
        <v>59071.971700000002</v>
      </c>
      <c r="AA1874" s="29" t="s">
        <v>43</v>
      </c>
      <c r="AB1874">
        <v>31200</v>
      </c>
      <c r="AC1874">
        <v>130</v>
      </c>
      <c r="AD1874">
        <v>4</v>
      </c>
      <c r="AE1874">
        <v>110.4</v>
      </c>
      <c r="AF1874">
        <v>110.4</v>
      </c>
      <c r="AG1874" s="29" t="s">
        <v>2270</v>
      </c>
      <c r="AH1874" s="29" t="s">
        <v>2925</v>
      </c>
      <c r="AI1874" s="29" t="s">
        <v>2432</v>
      </c>
      <c r="AJ1874" s="29" t="s">
        <v>2926</v>
      </c>
      <c r="AL1874" s="29" t="s">
        <v>2271</v>
      </c>
    </row>
    <row r="1875" spans="15:38">
      <c r="O1875" t="s">
        <v>24</v>
      </c>
      <c r="P1875" t="s">
        <v>43</v>
      </c>
      <c r="Q1875" t="s">
        <v>3</v>
      </c>
      <c r="R1875" t="s">
        <v>60</v>
      </c>
      <c r="S1875">
        <v>2024.07</v>
      </c>
      <c r="T1875">
        <v>10167.780000000001</v>
      </c>
      <c r="U1875">
        <v>59071.971700000002</v>
      </c>
      <c r="V1875">
        <v>59071.971700000002</v>
      </c>
      <c r="AA1875" s="29" t="s">
        <v>43</v>
      </c>
      <c r="AB1875">
        <v>31200</v>
      </c>
      <c r="AC1875">
        <v>130</v>
      </c>
      <c r="AD1875">
        <v>4</v>
      </c>
      <c r="AE1875">
        <v>45.34</v>
      </c>
      <c r="AF1875">
        <v>45.34</v>
      </c>
      <c r="AG1875" s="29" t="s">
        <v>2270</v>
      </c>
      <c r="AH1875" s="29" t="s">
        <v>2927</v>
      </c>
      <c r="AI1875" s="29" t="s">
        <v>2432</v>
      </c>
      <c r="AJ1875" s="29" t="s">
        <v>2928</v>
      </c>
      <c r="AL1875" s="29" t="s">
        <v>2271</v>
      </c>
    </row>
    <row r="1876" spans="15:38">
      <c r="O1876" t="s">
        <v>24</v>
      </c>
      <c r="P1876" t="s">
        <v>43</v>
      </c>
      <c r="Q1876" t="s">
        <v>3</v>
      </c>
      <c r="R1876" t="s">
        <v>60</v>
      </c>
      <c r="S1876">
        <v>2024.08</v>
      </c>
      <c r="T1876">
        <v>10167.780000000001</v>
      </c>
      <c r="U1876">
        <v>59071.971700000002</v>
      </c>
      <c r="V1876">
        <v>59071.971700000002</v>
      </c>
      <c r="AA1876" s="29" t="s">
        <v>43</v>
      </c>
      <c r="AB1876">
        <v>31200</v>
      </c>
      <c r="AC1876">
        <v>130</v>
      </c>
      <c r="AD1876">
        <v>4</v>
      </c>
      <c r="AE1876">
        <v>740</v>
      </c>
      <c r="AF1876">
        <v>740</v>
      </c>
      <c r="AG1876" s="29" t="s">
        <v>2270</v>
      </c>
      <c r="AH1876" s="29" t="s">
        <v>2929</v>
      </c>
      <c r="AI1876" s="29" t="s">
        <v>2432</v>
      </c>
      <c r="AJ1876" s="29" t="s">
        <v>2930</v>
      </c>
      <c r="AL1876" s="29" t="s">
        <v>2271</v>
      </c>
    </row>
    <row r="1877" spans="15:38">
      <c r="O1877" t="s">
        <v>24</v>
      </c>
      <c r="P1877" t="s">
        <v>43</v>
      </c>
      <c r="Q1877" t="s">
        <v>3</v>
      </c>
      <c r="R1877" t="s">
        <v>60</v>
      </c>
      <c r="S1877">
        <v>2024.09</v>
      </c>
      <c r="T1877">
        <v>16011.72</v>
      </c>
      <c r="U1877">
        <v>59071.971700000002</v>
      </c>
      <c r="V1877">
        <v>59071.971700000002</v>
      </c>
      <c r="AA1877" s="29" t="s">
        <v>43</v>
      </c>
      <c r="AB1877">
        <v>31200</v>
      </c>
      <c r="AC1877">
        <v>130</v>
      </c>
      <c r="AD1877">
        <v>4</v>
      </c>
      <c r="AE1877">
        <v>0.31</v>
      </c>
      <c r="AF1877">
        <v>0.31</v>
      </c>
      <c r="AG1877" s="29" t="s">
        <v>2270</v>
      </c>
      <c r="AH1877" s="29" t="s">
        <v>2931</v>
      </c>
      <c r="AI1877" s="29" t="s">
        <v>2432</v>
      </c>
      <c r="AJ1877" s="29" t="s">
        <v>2932</v>
      </c>
      <c r="AL1877" s="29" t="s">
        <v>2271</v>
      </c>
    </row>
    <row r="1878" spans="15:38">
      <c r="O1878" t="s">
        <v>24</v>
      </c>
      <c r="P1878" t="s">
        <v>43</v>
      </c>
      <c r="Q1878" t="s">
        <v>3</v>
      </c>
      <c r="R1878" t="s">
        <v>60</v>
      </c>
      <c r="S1878">
        <v>2024.1</v>
      </c>
      <c r="T1878">
        <v>11969.38</v>
      </c>
      <c r="U1878">
        <v>59071.971700000002</v>
      </c>
      <c r="V1878">
        <v>59071.971700000002</v>
      </c>
      <c r="AA1878" s="29" t="s">
        <v>43</v>
      </c>
      <c r="AB1878">
        <v>31200</v>
      </c>
      <c r="AC1878">
        <v>130</v>
      </c>
      <c r="AD1878">
        <v>4</v>
      </c>
      <c r="AE1878">
        <v>124</v>
      </c>
      <c r="AF1878">
        <v>124</v>
      </c>
      <c r="AG1878" s="29" t="s">
        <v>2270</v>
      </c>
      <c r="AH1878" s="29" t="s">
        <v>2933</v>
      </c>
      <c r="AI1878" s="29" t="s">
        <v>2432</v>
      </c>
      <c r="AJ1878" s="29" t="s">
        <v>2934</v>
      </c>
      <c r="AL1878" s="29" t="s">
        <v>2271</v>
      </c>
    </row>
    <row r="1879" spans="15:38">
      <c r="O1879" t="s">
        <v>24</v>
      </c>
      <c r="P1879" t="s">
        <v>43</v>
      </c>
      <c r="Q1879" t="s">
        <v>3</v>
      </c>
      <c r="R1879" t="s">
        <v>60</v>
      </c>
      <c r="S1879">
        <v>2024.11</v>
      </c>
      <c r="T1879">
        <v>11969.38</v>
      </c>
      <c r="U1879">
        <v>59071.971700000002</v>
      </c>
      <c r="V1879">
        <v>59071.971700000002</v>
      </c>
      <c r="AA1879" s="29" t="s">
        <v>43</v>
      </c>
      <c r="AB1879">
        <v>31200</v>
      </c>
      <c r="AC1879">
        <v>130</v>
      </c>
      <c r="AD1879">
        <v>4</v>
      </c>
      <c r="AE1879">
        <v>663</v>
      </c>
      <c r="AF1879">
        <v>663</v>
      </c>
      <c r="AG1879" s="29" t="s">
        <v>2270</v>
      </c>
      <c r="AH1879" s="29" t="s">
        <v>2935</v>
      </c>
      <c r="AI1879" s="29" t="s">
        <v>2432</v>
      </c>
      <c r="AJ1879" s="29" t="s">
        <v>2936</v>
      </c>
      <c r="AL1879" s="29" t="s">
        <v>2271</v>
      </c>
    </row>
    <row r="1880" spans="15:38">
      <c r="O1880" t="s">
        <v>24</v>
      </c>
      <c r="P1880" t="s">
        <v>43</v>
      </c>
      <c r="Q1880" t="s">
        <v>3</v>
      </c>
      <c r="R1880" t="s">
        <v>60</v>
      </c>
      <c r="S1880">
        <v>2024.12</v>
      </c>
      <c r="T1880">
        <v>11969.38</v>
      </c>
      <c r="U1880">
        <v>59071.971700000002</v>
      </c>
      <c r="V1880">
        <v>59071.971700000002</v>
      </c>
      <c r="AA1880" s="29" t="s">
        <v>43</v>
      </c>
      <c r="AB1880">
        <v>31200</v>
      </c>
      <c r="AC1880">
        <v>130</v>
      </c>
      <c r="AD1880">
        <v>4</v>
      </c>
      <c r="AE1880">
        <v>71.86</v>
      </c>
      <c r="AF1880">
        <v>71.86</v>
      </c>
      <c r="AG1880" s="29" t="s">
        <v>2270</v>
      </c>
      <c r="AH1880" s="29" t="s">
        <v>2937</v>
      </c>
      <c r="AI1880" s="29" t="s">
        <v>2432</v>
      </c>
      <c r="AJ1880" s="29" t="s">
        <v>2938</v>
      </c>
      <c r="AL1880" s="29" t="s">
        <v>2271</v>
      </c>
    </row>
    <row r="1881" spans="15:38">
      <c r="O1881" t="s">
        <v>24</v>
      </c>
      <c r="P1881" t="s">
        <v>43</v>
      </c>
      <c r="Q1881" t="s">
        <v>3</v>
      </c>
      <c r="R1881" t="s">
        <v>60</v>
      </c>
      <c r="S1881">
        <v>2024.14</v>
      </c>
      <c r="T1881">
        <v>12848.26</v>
      </c>
      <c r="U1881">
        <v>59071.971700000002</v>
      </c>
      <c r="V1881">
        <v>59071.971700000002</v>
      </c>
      <c r="AA1881" s="29" t="s">
        <v>43</v>
      </c>
      <c r="AB1881">
        <v>31200</v>
      </c>
      <c r="AC1881">
        <v>130</v>
      </c>
      <c r="AD1881">
        <v>4</v>
      </c>
      <c r="AE1881">
        <v>496.52</v>
      </c>
      <c r="AF1881">
        <v>496.52</v>
      </c>
      <c r="AG1881" s="29" t="s">
        <v>2270</v>
      </c>
      <c r="AH1881" s="29" t="s">
        <v>2939</v>
      </c>
      <c r="AI1881" s="29" t="s">
        <v>2432</v>
      </c>
      <c r="AJ1881" s="29" t="s">
        <v>2940</v>
      </c>
      <c r="AL1881" s="29" t="s">
        <v>2271</v>
      </c>
    </row>
    <row r="1882" spans="15:38">
      <c r="O1882" t="s">
        <v>24</v>
      </c>
      <c r="P1882" t="s">
        <v>43</v>
      </c>
      <c r="Q1882" t="s">
        <v>3</v>
      </c>
      <c r="R1882" t="s">
        <v>60</v>
      </c>
      <c r="S1882">
        <v>2024.17</v>
      </c>
      <c r="T1882">
        <v>12921.5</v>
      </c>
      <c r="U1882">
        <v>59071.971700000002</v>
      </c>
      <c r="V1882">
        <v>59071.971700000002</v>
      </c>
      <c r="AA1882" s="29" t="s">
        <v>43</v>
      </c>
      <c r="AB1882">
        <v>31200</v>
      </c>
      <c r="AC1882">
        <v>130</v>
      </c>
      <c r="AD1882">
        <v>4</v>
      </c>
      <c r="AE1882">
        <v>190.35</v>
      </c>
      <c r="AF1882">
        <v>190.35</v>
      </c>
      <c r="AG1882" s="29" t="s">
        <v>2270</v>
      </c>
      <c r="AH1882" s="29" t="s">
        <v>2941</v>
      </c>
      <c r="AI1882" s="29" t="s">
        <v>2432</v>
      </c>
      <c r="AJ1882" s="29" t="s">
        <v>2942</v>
      </c>
      <c r="AL1882" s="29" t="s">
        <v>2271</v>
      </c>
    </row>
    <row r="1883" spans="15:38">
      <c r="O1883" t="s">
        <v>24</v>
      </c>
      <c r="P1883" t="s">
        <v>43</v>
      </c>
      <c r="Q1883" t="s">
        <v>3</v>
      </c>
      <c r="R1883" t="s">
        <v>60</v>
      </c>
      <c r="S1883">
        <v>2024.18</v>
      </c>
      <c r="T1883">
        <v>13214.46</v>
      </c>
      <c r="U1883">
        <v>59071.971700000002</v>
      </c>
      <c r="V1883">
        <v>59071.971700000002</v>
      </c>
      <c r="AA1883" s="29" t="s">
        <v>43</v>
      </c>
      <c r="AB1883">
        <v>31200</v>
      </c>
      <c r="AC1883">
        <v>130</v>
      </c>
      <c r="AD1883">
        <v>4</v>
      </c>
      <c r="AE1883">
        <v>82.09</v>
      </c>
      <c r="AF1883">
        <v>82.09</v>
      </c>
      <c r="AG1883" s="29" t="s">
        <v>2270</v>
      </c>
      <c r="AH1883" s="29" t="s">
        <v>2943</v>
      </c>
      <c r="AI1883" s="29" t="s">
        <v>2432</v>
      </c>
      <c r="AJ1883" s="29" t="s">
        <v>2944</v>
      </c>
      <c r="AL1883" s="29" t="s">
        <v>2271</v>
      </c>
    </row>
    <row r="1884" spans="15:38">
      <c r="O1884" t="s">
        <v>24</v>
      </c>
      <c r="P1884" t="s">
        <v>43</v>
      </c>
      <c r="Q1884" t="s">
        <v>3</v>
      </c>
      <c r="R1884" t="s">
        <v>60</v>
      </c>
      <c r="S1884">
        <v>2024.19</v>
      </c>
      <c r="T1884">
        <v>14386.3</v>
      </c>
      <c r="U1884">
        <v>59071.971700000002</v>
      </c>
      <c r="V1884">
        <v>59071.971700000002</v>
      </c>
      <c r="AA1884" s="29" t="s">
        <v>43</v>
      </c>
      <c r="AB1884">
        <v>31200</v>
      </c>
      <c r="AC1884">
        <v>130</v>
      </c>
      <c r="AD1884">
        <v>4</v>
      </c>
      <c r="AE1884">
        <v>57.4</v>
      </c>
      <c r="AF1884">
        <v>57.4</v>
      </c>
      <c r="AG1884" s="29" t="s">
        <v>2270</v>
      </c>
      <c r="AH1884" s="29" t="s">
        <v>2945</v>
      </c>
      <c r="AI1884" s="29" t="s">
        <v>2432</v>
      </c>
      <c r="AJ1884" s="29" t="s">
        <v>2946</v>
      </c>
      <c r="AL1884" s="29" t="s">
        <v>2271</v>
      </c>
    </row>
    <row r="1885" spans="15:38">
      <c r="O1885" t="s">
        <v>24</v>
      </c>
      <c r="P1885" t="s">
        <v>43</v>
      </c>
      <c r="Q1885" t="s">
        <v>3</v>
      </c>
      <c r="R1885" t="s">
        <v>60</v>
      </c>
      <c r="S1885">
        <v>2024.2</v>
      </c>
      <c r="T1885">
        <v>14679.26</v>
      </c>
      <c r="U1885">
        <v>59071.971700000002</v>
      </c>
      <c r="V1885">
        <v>59071.971700000002</v>
      </c>
      <c r="AA1885" s="29" t="s">
        <v>43</v>
      </c>
      <c r="AB1885">
        <v>31200</v>
      </c>
      <c r="AC1885">
        <v>130</v>
      </c>
      <c r="AD1885">
        <v>4</v>
      </c>
      <c r="AE1885">
        <v>343.44</v>
      </c>
      <c r="AF1885">
        <v>343.44</v>
      </c>
      <c r="AG1885" s="29" t="s">
        <v>2270</v>
      </c>
      <c r="AH1885" s="29" t="s">
        <v>2947</v>
      </c>
      <c r="AI1885" s="29" t="s">
        <v>2432</v>
      </c>
      <c r="AJ1885" s="29" t="s">
        <v>2948</v>
      </c>
      <c r="AL1885" s="29" t="s">
        <v>2271</v>
      </c>
    </row>
    <row r="1886" spans="15:38">
      <c r="O1886" t="s">
        <v>24</v>
      </c>
      <c r="P1886" t="s">
        <v>43</v>
      </c>
      <c r="Q1886" t="s">
        <v>3</v>
      </c>
      <c r="R1886" t="s">
        <v>60</v>
      </c>
      <c r="S1886">
        <v>2024.21</v>
      </c>
      <c r="T1886">
        <v>14679.26</v>
      </c>
      <c r="U1886">
        <v>59071.971700000002</v>
      </c>
      <c r="V1886">
        <v>59071.971700000002</v>
      </c>
      <c r="AA1886" s="29" t="s">
        <v>43</v>
      </c>
      <c r="AB1886">
        <v>31200</v>
      </c>
      <c r="AC1886">
        <v>130</v>
      </c>
      <c r="AD1886">
        <v>4</v>
      </c>
      <c r="AE1886">
        <v>57.75</v>
      </c>
      <c r="AF1886">
        <v>57.75</v>
      </c>
      <c r="AG1886" s="29" t="s">
        <v>2270</v>
      </c>
      <c r="AH1886" s="29" t="s">
        <v>2949</v>
      </c>
      <c r="AI1886" s="29" t="s">
        <v>2432</v>
      </c>
      <c r="AJ1886" s="29" t="s">
        <v>2950</v>
      </c>
      <c r="AL1886" s="29" t="s">
        <v>2271</v>
      </c>
    </row>
    <row r="1887" spans="15:38">
      <c r="O1887" t="s">
        <v>24</v>
      </c>
      <c r="P1887" t="s">
        <v>43</v>
      </c>
      <c r="Q1887" t="s">
        <v>3</v>
      </c>
      <c r="R1887" t="s">
        <v>60</v>
      </c>
      <c r="S1887">
        <v>2024.28</v>
      </c>
      <c r="T1887">
        <v>18048.3</v>
      </c>
      <c r="U1887">
        <v>59071.971700000002</v>
      </c>
      <c r="V1887">
        <v>59071.971700000002</v>
      </c>
      <c r="AA1887" s="29" t="s">
        <v>43</v>
      </c>
      <c r="AB1887">
        <v>31200</v>
      </c>
      <c r="AC1887">
        <v>130</v>
      </c>
      <c r="AD1887">
        <v>4</v>
      </c>
      <c r="AE1887">
        <v>67.8</v>
      </c>
      <c r="AF1887">
        <v>67.8</v>
      </c>
      <c r="AG1887" s="29" t="s">
        <v>2270</v>
      </c>
      <c r="AH1887" s="29" t="s">
        <v>2951</v>
      </c>
      <c r="AI1887" s="29" t="s">
        <v>2432</v>
      </c>
      <c r="AJ1887" s="29" t="s">
        <v>2952</v>
      </c>
      <c r="AL1887" s="29" t="s">
        <v>2271</v>
      </c>
    </row>
    <row r="1888" spans="15:38">
      <c r="O1888" t="s">
        <v>24</v>
      </c>
      <c r="P1888" t="s">
        <v>43</v>
      </c>
      <c r="Q1888" t="s">
        <v>3</v>
      </c>
      <c r="R1888" t="s">
        <v>60</v>
      </c>
      <c r="S1888">
        <v>2024.38</v>
      </c>
      <c r="T1888">
        <v>18048.3</v>
      </c>
      <c r="U1888">
        <v>59071.971700000002</v>
      </c>
      <c r="V1888">
        <v>59071.971700000002</v>
      </c>
      <c r="AA1888" s="29" t="s">
        <v>43</v>
      </c>
      <c r="AB1888">
        <v>31200</v>
      </c>
      <c r="AC1888">
        <v>130</v>
      </c>
      <c r="AD1888">
        <v>4</v>
      </c>
      <c r="AE1888">
        <v>3004.56</v>
      </c>
      <c r="AF1888">
        <v>3004.56</v>
      </c>
      <c r="AG1888" s="29" t="s">
        <v>2270</v>
      </c>
      <c r="AH1888" s="29" t="s">
        <v>2953</v>
      </c>
      <c r="AI1888" s="29" t="s">
        <v>2432</v>
      </c>
      <c r="AJ1888" s="29" t="s">
        <v>2954</v>
      </c>
      <c r="AL1888" s="29" t="s">
        <v>2271</v>
      </c>
    </row>
    <row r="1889" spans="15:38">
      <c r="O1889" t="s">
        <v>24</v>
      </c>
      <c r="P1889" t="s">
        <v>43</v>
      </c>
      <c r="Q1889" t="s">
        <v>3</v>
      </c>
      <c r="R1889" t="s">
        <v>60</v>
      </c>
      <c r="S1889">
        <v>2024.39</v>
      </c>
      <c r="T1889">
        <v>18048.3</v>
      </c>
      <c r="U1889">
        <v>59071.971700000002</v>
      </c>
      <c r="V1889">
        <v>59071.971700000002</v>
      </c>
      <c r="AA1889" s="29" t="s">
        <v>43</v>
      </c>
      <c r="AB1889">
        <v>31200</v>
      </c>
      <c r="AC1889">
        <v>130</v>
      </c>
      <c r="AD1889">
        <v>4</v>
      </c>
      <c r="AE1889">
        <v>78</v>
      </c>
      <c r="AF1889">
        <v>78</v>
      </c>
      <c r="AG1889" s="29" t="s">
        <v>2270</v>
      </c>
      <c r="AH1889" s="29" t="s">
        <v>2955</v>
      </c>
      <c r="AI1889" s="29" t="s">
        <v>2432</v>
      </c>
      <c r="AJ1889" s="29" t="s">
        <v>2956</v>
      </c>
      <c r="AL1889" s="29" t="s">
        <v>2271</v>
      </c>
    </row>
    <row r="1890" spans="15:38">
      <c r="O1890" t="s">
        <v>24</v>
      </c>
      <c r="P1890" t="s">
        <v>43</v>
      </c>
      <c r="Q1890" t="s">
        <v>3</v>
      </c>
      <c r="R1890" t="s">
        <v>60</v>
      </c>
      <c r="S1890">
        <v>2024.41</v>
      </c>
      <c r="T1890">
        <v>18634.22</v>
      </c>
      <c r="U1890">
        <v>59071.971700000002</v>
      </c>
      <c r="V1890">
        <v>59071.971700000002</v>
      </c>
      <c r="AA1890" s="29" t="s">
        <v>43</v>
      </c>
      <c r="AB1890">
        <v>31200</v>
      </c>
      <c r="AC1890">
        <v>130</v>
      </c>
      <c r="AD1890">
        <v>4</v>
      </c>
      <c r="AE1890">
        <v>8910</v>
      </c>
      <c r="AF1890">
        <v>8910</v>
      </c>
      <c r="AG1890" s="29" t="s">
        <v>2270</v>
      </c>
      <c r="AH1890" s="29" t="s">
        <v>2583</v>
      </c>
      <c r="AI1890" s="29" t="s">
        <v>2432</v>
      </c>
      <c r="AJ1890" s="29" t="s">
        <v>2957</v>
      </c>
      <c r="AL1890" s="29" t="s">
        <v>2271</v>
      </c>
    </row>
    <row r="1891" spans="15:38">
      <c r="O1891" t="s">
        <v>24</v>
      </c>
      <c r="P1891" t="s">
        <v>43</v>
      </c>
      <c r="Q1891" t="s">
        <v>3</v>
      </c>
      <c r="R1891" t="s">
        <v>60</v>
      </c>
      <c r="S1891">
        <v>2024.43</v>
      </c>
      <c r="T1891">
        <v>18927.18</v>
      </c>
      <c r="U1891">
        <v>59071.971700000002</v>
      </c>
      <c r="V1891">
        <v>59071.971700000002</v>
      </c>
      <c r="AA1891" s="29" t="s">
        <v>43</v>
      </c>
      <c r="AB1891">
        <v>31200</v>
      </c>
      <c r="AC1891">
        <v>130</v>
      </c>
      <c r="AD1891">
        <v>4</v>
      </c>
      <c r="AE1891">
        <v>165.41</v>
      </c>
      <c r="AF1891">
        <v>165.41</v>
      </c>
      <c r="AG1891" s="29" t="s">
        <v>2270</v>
      </c>
      <c r="AH1891" s="29" t="s">
        <v>2958</v>
      </c>
      <c r="AI1891" s="29" t="s">
        <v>2432</v>
      </c>
      <c r="AJ1891" s="29" t="s">
        <v>2959</v>
      </c>
      <c r="AL1891" s="29" t="s">
        <v>2271</v>
      </c>
    </row>
    <row r="1892" spans="15:38">
      <c r="O1892" t="s">
        <v>24</v>
      </c>
      <c r="P1892" t="s">
        <v>43</v>
      </c>
      <c r="Q1892" t="s">
        <v>3</v>
      </c>
      <c r="R1892" t="s">
        <v>60</v>
      </c>
      <c r="S1892">
        <v>2024.44</v>
      </c>
      <c r="T1892">
        <v>18927.18</v>
      </c>
      <c r="U1892">
        <v>61115.868199999997</v>
      </c>
      <c r="V1892">
        <v>61115.868199999997</v>
      </c>
      <c r="AA1892" s="29" t="s">
        <v>43</v>
      </c>
      <c r="AB1892">
        <v>31200</v>
      </c>
      <c r="AC1892">
        <v>130</v>
      </c>
      <c r="AD1892">
        <v>4</v>
      </c>
      <c r="AE1892">
        <v>1212.3</v>
      </c>
      <c r="AF1892">
        <v>1212.3</v>
      </c>
      <c r="AG1892" s="29" t="s">
        <v>2270</v>
      </c>
      <c r="AH1892" s="29" t="s">
        <v>2960</v>
      </c>
      <c r="AI1892" s="29" t="s">
        <v>2432</v>
      </c>
      <c r="AJ1892" s="29" t="s">
        <v>2961</v>
      </c>
      <c r="AL1892" s="29" t="s">
        <v>2271</v>
      </c>
    </row>
    <row r="1893" spans="15:38">
      <c r="O1893" t="s">
        <v>24</v>
      </c>
      <c r="P1893" t="s">
        <v>43</v>
      </c>
      <c r="Q1893" t="s">
        <v>3</v>
      </c>
      <c r="R1893" t="s">
        <v>60</v>
      </c>
      <c r="S1893">
        <v>2024.45</v>
      </c>
      <c r="T1893">
        <v>21856.78</v>
      </c>
      <c r="U1893">
        <v>61115.868199999997</v>
      </c>
      <c r="V1893">
        <v>61115.868199999997</v>
      </c>
      <c r="AA1893" s="29" t="s">
        <v>43</v>
      </c>
      <c r="AB1893">
        <v>31200</v>
      </c>
      <c r="AC1893">
        <v>130</v>
      </c>
      <c r="AD1893">
        <v>4</v>
      </c>
      <c r="AE1893">
        <v>1500</v>
      </c>
      <c r="AF1893">
        <v>1500</v>
      </c>
      <c r="AG1893" s="29" t="s">
        <v>2270</v>
      </c>
      <c r="AH1893" s="29" t="s">
        <v>2962</v>
      </c>
      <c r="AI1893" s="29" t="s">
        <v>2432</v>
      </c>
      <c r="AJ1893" s="29" t="s">
        <v>2963</v>
      </c>
      <c r="AL1893" s="29" t="s">
        <v>2271</v>
      </c>
    </row>
    <row r="1894" spans="15:38">
      <c r="O1894" t="s">
        <v>24</v>
      </c>
      <c r="P1894" t="s">
        <v>43</v>
      </c>
      <c r="Q1894" t="s">
        <v>3</v>
      </c>
      <c r="R1894" t="s">
        <v>60</v>
      </c>
      <c r="S1894">
        <v>2024.47</v>
      </c>
      <c r="T1894">
        <v>21856.78</v>
      </c>
      <c r="U1894">
        <v>61115.868199999997</v>
      </c>
      <c r="V1894">
        <v>61115.868199999997</v>
      </c>
      <c r="AA1894" s="29" t="s">
        <v>43</v>
      </c>
      <c r="AB1894">
        <v>31200</v>
      </c>
      <c r="AC1894">
        <v>130</v>
      </c>
      <c r="AD1894">
        <v>4</v>
      </c>
      <c r="AE1894">
        <v>4.4000000000000004</v>
      </c>
      <c r="AF1894">
        <v>4.4000000000000004</v>
      </c>
      <c r="AG1894" s="29" t="s">
        <v>2270</v>
      </c>
      <c r="AH1894" s="29" t="s">
        <v>2964</v>
      </c>
      <c r="AI1894" s="29" t="s">
        <v>2432</v>
      </c>
      <c r="AJ1894" s="29" t="s">
        <v>2965</v>
      </c>
      <c r="AL1894" s="29" t="s">
        <v>2271</v>
      </c>
    </row>
    <row r="1895" spans="15:38">
      <c r="O1895" t="s">
        <v>24</v>
      </c>
      <c r="P1895" t="s">
        <v>43</v>
      </c>
      <c r="Q1895" t="s">
        <v>3</v>
      </c>
      <c r="R1895" t="s">
        <v>60</v>
      </c>
      <c r="S1895">
        <v>2024.48</v>
      </c>
      <c r="T1895">
        <v>21856.78</v>
      </c>
      <c r="U1895">
        <v>61115.868199999997</v>
      </c>
      <c r="V1895">
        <v>46115.868199999997</v>
      </c>
      <c r="AA1895" s="29" t="s">
        <v>43</v>
      </c>
      <c r="AB1895">
        <v>31200</v>
      </c>
      <c r="AC1895">
        <v>130</v>
      </c>
      <c r="AD1895">
        <v>4</v>
      </c>
      <c r="AE1895">
        <v>1076</v>
      </c>
      <c r="AF1895">
        <v>1076</v>
      </c>
      <c r="AG1895" s="29" t="s">
        <v>2270</v>
      </c>
      <c r="AH1895" s="29" t="s">
        <v>2966</v>
      </c>
      <c r="AI1895" s="29" t="s">
        <v>2432</v>
      </c>
      <c r="AJ1895" s="29" t="s">
        <v>2967</v>
      </c>
      <c r="AL1895" s="29" t="s">
        <v>2271</v>
      </c>
    </row>
    <row r="1896" spans="15:38">
      <c r="O1896" t="s">
        <v>24</v>
      </c>
      <c r="P1896" t="s">
        <v>43</v>
      </c>
      <c r="Q1896" t="s">
        <v>3</v>
      </c>
      <c r="R1896" t="s">
        <v>60</v>
      </c>
      <c r="S1896">
        <v>2024.49</v>
      </c>
      <c r="T1896">
        <v>22735.66</v>
      </c>
      <c r="U1896">
        <v>61115.868199999997</v>
      </c>
      <c r="V1896">
        <v>46115.868199999997</v>
      </c>
      <c r="AA1896" s="29" t="s">
        <v>43</v>
      </c>
      <c r="AB1896">
        <v>31200</v>
      </c>
      <c r="AC1896">
        <v>130</v>
      </c>
      <c r="AD1896">
        <v>4</v>
      </c>
      <c r="AE1896">
        <v>64.040000000000006</v>
      </c>
      <c r="AF1896">
        <v>64.040000000000006</v>
      </c>
      <c r="AG1896" s="29" t="s">
        <v>2270</v>
      </c>
      <c r="AH1896" s="29" t="s">
        <v>2968</v>
      </c>
      <c r="AI1896" s="29" t="s">
        <v>2432</v>
      </c>
      <c r="AJ1896" s="29" t="s">
        <v>2969</v>
      </c>
      <c r="AL1896" s="29" t="s">
        <v>2271</v>
      </c>
    </row>
    <row r="1897" spans="15:38">
      <c r="O1897" t="s">
        <v>24</v>
      </c>
      <c r="P1897" t="s">
        <v>43</v>
      </c>
      <c r="Q1897" t="s">
        <v>3</v>
      </c>
      <c r="R1897" t="s">
        <v>60</v>
      </c>
      <c r="S1897">
        <v>2025.03</v>
      </c>
      <c r="T1897">
        <v>22735.66</v>
      </c>
      <c r="U1897">
        <v>61115.868199999997</v>
      </c>
      <c r="V1897">
        <v>46115.868199999997</v>
      </c>
      <c r="AA1897" s="29" t="s">
        <v>43</v>
      </c>
      <c r="AB1897">
        <v>31200</v>
      </c>
      <c r="AC1897">
        <v>130</v>
      </c>
      <c r="AD1897">
        <v>4</v>
      </c>
      <c r="AE1897">
        <v>52</v>
      </c>
      <c r="AF1897">
        <v>52</v>
      </c>
      <c r="AG1897" s="29" t="s">
        <v>2270</v>
      </c>
      <c r="AH1897" s="29" t="s">
        <v>2743</v>
      </c>
      <c r="AI1897" s="29" t="s">
        <v>2432</v>
      </c>
      <c r="AJ1897" s="29" t="s">
        <v>2744</v>
      </c>
      <c r="AL1897" s="29" t="s">
        <v>2271</v>
      </c>
    </row>
    <row r="1898" spans="15:38">
      <c r="O1898" t="s">
        <v>24</v>
      </c>
      <c r="P1898" t="s">
        <v>43</v>
      </c>
      <c r="Q1898" t="s">
        <v>3</v>
      </c>
      <c r="R1898" t="s">
        <v>60</v>
      </c>
      <c r="S1898">
        <v>2025.08</v>
      </c>
      <c r="T1898">
        <v>23321.58</v>
      </c>
      <c r="U1898">
        <v>61115.868199999997</v>
      </c>
      <c r="V1898">
        <v>46115.868199999997</v>
      </c>
      <c r="AA1898" s="29" t="s">
        <v>43</v>
      </c>
      <c r="AB1898">
        <v>31200</v>
      </c>
      <c r="AC1898">
        <v>130</v>
      </c>
      <c r="AD1898">
        <v>4</v>
      </c>
      <c r="AE1898">
        <v>69.42</v>
      </c>
      <c r="AF1898">
        <v>69.42</v>
      </c>
      <c r="AG1898" s="29" t="s">
        <v>2270</v>
      </c>
      <c r="AH1898" s="29" t="s">
        <v>2970</v>
      </c>
      <c r="AI1898" s="29" t="s">
        <v>2432</v>
      </c>
      <c r="AJ1898" s="29" t="s">
        <v>2971</v>
      </c>
      <c r="AL1898" s="29" t="s">
        <v>2271</v>
      </c>
    </row>
    <row r="1899" spans="15:38">
      <c r="O1899" t="s">
        <v>24</v>
      </c>
      <c r="P1899" t="s">
        <v>43</v>
      </c>
      <c r="Q1899" t="s">
        <v>3</v>
      </c>
      <c r="R1899" t="s">
        <v>60</v>
      </c>
      <c r="S1899">
        <v>2025.1</v>
      </c>
      <c r="T1899">
        <v>23665.5</v>
      </c>
      <c r="U1899">
        <v>61115.868199999997</v>
      </c>
      <c r="V1899">
        <v>46115.868199999997</v>
      </c>
      <c r="AA1899" s="29" t="s">
        <v>43</v>
      </c>
      <c r="AB1899">
        <v>31200</v>
      </c>
      <c r="AC1899">
        <v>130</v>
      </c>
      <c r="AD1899">
        <v>4</v>
      </c>
      <c r="AE1899">
        <v>190.44</v>
      </c>
      <c r="AF1899">
        <v>190.44</v>
      </c>
      <c r="AG1899" s="29" t="s">
        <v>2270</v>
      </c>
      <c r="AH1899" s="29" t="s">
        <v>2972</v>
      </c>
      <c r="AI1899" s="29" t="s">
        <v>2432</v>
      </c>
      <c r="AJ1899" s="29" t="s">
        <v>2973</v>
      </c>
      <c r="AL1899" s="29" t="s">
        <v>2271</v>
      </c>
    </row>
    <row r="1900" spans="15:38">
      <c r="O1900" t="s">
        <v>24</v>
      </c>
      <c r="P1900" t="s">
        <v>43</v>
      </c>
      <c r="Q1900" t="s">
        <v>3</v>
      </c>
      <c r="R1900" t="s">
        <v>60</v>
      </c>
      <c r="S1900">
        <v>2025.11</v>
      </c>
      <c r="T1900">
        <v>23665.5</v>
      </c>
      <c r="U1900">
        <v>61115.868199999997</v>
      </c>
      <c r="V1900">
        <v>46115.868199999997</v>
      </c>
      <c r="AA1900" s="29" t="s">
        <v>43</v>
      </c>
      <c r="AB1900">
        <v>31200</v>
      </c>
      <c r="AC1900">
        <v>130</v>
      </c>
      <c r="AD1900">
        <v>4</v>
      </c>
      <c r="AE1900">
        <v>346.14</v>
      </c>
      <c r="AF1900">
        <v>346.14</v>
      </c>
      <c r="AG1900" s="29" t="s">
        <v>2270</v>
      </c>
      <c r="AH1900" s="29" t="s">
        <v>2974</v>
      </c>
      <c r="AI1900" s="29" t="s">
        <v>2432</v>
      </c>
      <c r="AJ1900" s="29" t="s">
        <v>2975</v>
      </c>
      <c r="AL1900" s="29" t="s">
        <v>2271</v>
      </c>
    </row>
    <row r="1901" spans="15:38">
      <c r="O1901" t="s">
        <v>24</v>
      </c>
      <c r="P1901" t="s">
        <v>43</v>
      </c>
      <c r="Q1901" t="s">
        <v>3</v>
      </c>
      <c r="R1901" t="s">
        <v>60</v>
      </c>
      <c r="S1901">
        <v>2025.12</v>
      </c>
      <c r="T1901">
        <v>23665.5</v>
      </c>
      <c r="U1901">
        <v>61115.868199999997</v>
      </c>
      <c r="V1901">
        <v>46115.868199999997</v>
      </c>
      <c r="AA1901" s="29" t="s">
        <v>43</v>
      </c>
      <c r="AB1901">
        <v>31200</v>
      </c>
      <c r="AC1901">
        <v>130</v>
      </c>
      <c r="AD1901">
        <v>4</v>
      </c>
      <c r="AE1901">
        <v>173.07</v>
      </c>
      <c r="AF1901">
        <v>173.07</v>
      </c>
      <c r="AG1901" s="29" t="s">
        <v>2270</v>
      </c>
      <c r="AH1901" s="29" t="s">
        <v>2976</v>
      </c>
      <c r="AI1901" s="29" t="s">
        <v>2432</v>
      </c>
      <c r="AJ1901" s="29" t="s">
        <v>2977</v>
      </c>
      <c r="AL1901" s="29" t="s">
        <v>2271</v>
      </c>
    </row>
    <row r="1902" spans="15:38">
      <c r="O1902" t="s">
        <v>24</v>
      </c>
      <c r="P1902" t="s">
        <v>43</v>
      </c>
      <c r="Q1902" t="s">
        <v>3</v>
      </c>
      <c r="R1902" t="s">
        <v>54</v>
      </c>
      <c r="S1902">
        <v>2024.44</v>
      </c>
      <c r="T1902">
        <v>0</v>
      </c>
      <c r="U1902">
        <v>1370.7904000000001</v>
      </c>
      <c r="V1902">
        <v>1370.7904000000001</v>
      </c>
      <c r="AA1902" s="29" t="s">
        <v>43</v>
      </c>
      <c r="AB1902">
        <v>31200</v>
      </c>
      <c r="AC1902">
        <v>130</v>
      </c>
      <c r="AD1902">
        <v>4</v>
      </c>
      <c r="AE1902">
        <v>168.11</v>
      </c>
      <c r="AF1902">
        <v>168.11</v>
      </c>
      <c r="AG1902" s="29" t="s">
        <v>2270</v>
      </c>
      <c r="AH1902" s="29" t="s">
        <v>2978</v>
      </c>
      <c r="AI1902" s="29" t="s">
        <v>2432</v>
      </c>
      <c r="AJ1902" s="29" t="s">
        <v>2979</v>
      </c>
      <c r="AL1902" s="29" t="s">
        <v>2271</v>
      </c>
    </row>
    <row r="1903" spans="15:38">
      <c r="O1903" t="s">
        <v>24</v>
      </c>
      <c r="P1903" t="s">
        <v>43</v>
      </c>
      <c r="Q1903" t="s">
        <v>3</v>
      </c>
      <c r="R1903" t="s">
        <v>66</v>
      </c>
      <c r="S1903">
        <v>2023.47</v>
      </c>
      <c r="T1903">
        <v>0</v>
      </c>
      <c r="U1903">
        <v>112842.6949</v>
      </c>
      <c r="V1903">
        <v>112842.6949</v>
      </c>
      <c r="AA1903" s="29" t="s">
        <v>43</v>
      </c>
      <c r="AB1903">
        <v>31200</v>
      </c>
      <c r="AC1903">
        <v>130</v>
      </c>
      <c r="AD1903">
        <v>4</v>
      </c>
      <c r="AE1903">
        <v>1889.57</v>
      </c>
      <c r="AF1903">
        <v>1889.57</v>
      </c>
      <c r="AG1903" s="29" t="s">
        <v>2270</v>
      </c>
      <c r="AH1903" s="29" t="s">
        <v>2980</v>
      </c>
      <c r="AI1903" s="29" t="s">
        <v>2432</v>
      </c>
      <c r="AJ1903" s="29" t="s">
        <v>2981</v>
      </c>
      <c r="AL1903" s="29" t="s">
        <v>2271</v>
      </c>
    </row>
    <row r="1904" spans="15:38">
      <c r="O1904" t="s">
        <v>24</v>
      </c>
      <c r="P1904" t="s">
        <v>43</v>
      </c>
      <c r="Q1904" t="s">
        <v>3</v>
      </c>
      <c r="R1904" t="s">
        <v>66</v>
      </c>
      <c r="S1904">
        <v>2023.51</v>
      </c>
      <c r="T1904">
        <v>51243.85</v>
      </c>
      <c r="U1904">
        <v>112842.6949</v>
      </c>
      <c r="V1904">
        <v>112842.6949</v>
      </c>
      <c r="AA1904" s="29" t="s">
        <v>43</v>
      </c>
      <c r="AB1904">
        <v>31200</v>
      </c>
      <c r="AC1904">
        <v>130</v>
      </c>
      <c r="AD1904">
        <v>4</v>
      </c>
      <c r="AE1904">
        <v>669.6</v>
      </c>
      <c r="AF1904">
        <v>669.6</v>
      </c>
      <c r="AG1904" s="29" t="s">
        <v>2270</v>
      </c>
      <c r="AH1904" s="29" t="s">
        <v>2982</v>
      </c>
      <c r="AI1904" s="29" t="s">
        <v>2432</v>
      </c>
      <c r="AJ1904" s="29" t="s">
        <v>2983</v>
      </c>
      <c r="AL1904" s="29" t="s">
        <v>2271</v>
      </c>
    </row>
    <row r="1905" spans="15:38">
      <c r="O1905" t="s">
        <v>24</v>
      </c>
      <c r="P1905" t="s">
        <v>43</v>
      </c>
      <c r="Q1905" t="s">
        <v>3</v>
      </c>
      <c r="R1905" t="s">
        <v>66</v>
      </c>
      <c r="S1905">
        <v>2024.05</v>
      </c>
      <c r="T1905">
        <v>27984.44</v>
      </c>
      <c r="U1905">
        <v>112842.6949</v>
      </c>
      <c r="V1905">
        <v>112842.6949</v>
      </c>
      <c r="AA1905" s="29" t="s">
        <v>43</v>
      </c>
      <c r="AB1905">
        <v>31200</v>
      </c>
      <c r="AC1905">
        <v>130</v>
      </c>
      <c r="AD1905">
        <v>4</v>
      </c>
      <c r="AE1905">
        <v>388.8</v>
      </c>
      <c r="AF1905">
        <v>388.8</v>
      </c>
      <c r="AG1905" s="29" t="s">
        <v>2270</v>
      </c>
      <c r="AH1905" s="29" t="s">
        <v>2984</v>
      </c>
      <c r="AI1905" s="29" t="s">
        <v>2432</v>
      </c>
      <c r="AJ1905" s="29" t="s">
        <v>2985</v>
      </c>
      <c r="AL1905" s="29" t="s">
        <v>2271</v>
      </c>
    </row>
    <row r="1906" spans="15:38">
      <c r="O1906" t="s">
        <v>24</v>
      </c>
      <c r="P1906" t="s">
        <v>43</v>
      </c>
      <c r="Q1906" t="s">
        <v>3</v>
      </c>
      <c r="R1906" t="s">
        <v>66</v>
      </c>
      <c r="S1906">
        <v>2024.06</v>
      </c>
      <c r="T1906">
        <v>34330.61</v>
      </c>
      <c r="U1906">
        <v>112842.6949</v>
      </c>
      <c r="V1906">
        <v>112842.6949</v>
      </c>
      <c r="AA1906" s="29" t="s">
        <v>43</v>
      </c>
      <c r="AB1906">
        <v>31200</v>
      </c>
      <c r="AC1906">
        <v>130</v>
      </c>
      <c r="AD1906">
        <v>4</v>
      </c>
      <c r="AE1906">
        <v>111.6</v>
      </c>
      <c r="AF1906">
        <v>111.6</v>
      </c>
      <c r="AG1906" s="29" t="s">
        <v>2270</v>
      </c>
      <c r="AH1906" s="29" t="s">
        <v>2986</v>
      </c>
      <c r="AI1906" s="29" t="s">
        <v>2432</v>
      </c>
      <c r="AJ1906" s="29" t="s">
        <v>2987</v>
      </c>
      <c r="AL1906" s="29" t="s">
        <v>2271</v>
      </c>
    </row>
    <row r="1907" spans="15:38">
      <c r="O1907" t="s">
        <v>24</v>
      </c>
      <c r="P1907" t="s">
        <v>43</v>
      </c>
      <c r="Q1907" t="s">
        <v>3</v>
      </c>
      <c r="R1907" t="s">
        <v>66</v>
      </c>
      <c r="S1907">
        <v>2024.07</v>
      </c>
      <c r="T1907">
        <v>34370.15</v>
      </c>
      <c r="U1907">
        <v>112842.6949</v>
      </c>
      <c r="V1907">
        <v>112842.6949</v>
      </c>
      <c r="AA1907" s="29" t="s">
        <v>43</v>
      </c>
      <c r="AB1907">
        <v>31200</v>
      </c>
      <c r="AC1907">
        <v>130</v>
      </c>
      <c r="AD1907">
        <v>4</v>
      </c>
      <c r="AE1907">
        <v>50.7</v>
      </c>
      <c r="AF1907">
        <v>50.7</v>
      </c>
      <c r="AG1907" s="29" t="s">
        <v>2270</v>
      </c>
      <c r="AH1907" s="29" t="s">
        <v>2988</v>
      </c>
      <c r="AI1907" s="29" t="s">
        <v>2432</v>
      </c>
      <c r="AJ1907" s="29" t="s">
        <v>2989</v>
      </c>
      <c r="AL1907" s="29" t="s">
        <v>2271</v>
      </c>
    </row>
    <row r="1908" spans="15:38">
      <c r="O1908" t="s">
        <v>24</v>
      </c>
      <c r="P1908" t="s">
        <v>43</v>
      </c>
      <c r="Q1908" t="s">
        <v>3</v>
      </c>
      <c r="R1908" t="s">
        <v>66</v>
      </c>
      <c r="S1908">
        <v>2024.08</v>
      </c>
      <c r="T1908">
        <v>34488.769999999997</v>
      </c>
      <c r="U1908">
        <v>112842.6949</v>
      </c>
      <c r="V1908">
        <v>112842.6949</v>
      </c>
      <c r="AA1908" s="29" t="s">
        <v>43</v>
      </c>
      <c r="AB1908">
        <v>31200</v>
      </c>
      <c r="AC1908">
        <v>130</v>
      </c>
      <c r="AD1908">
        <v>4</v>
      </c>
      <c r="AE1908">
        <v>1485.6</v>
      </c>
      <c r="AF1908">
        <v>1485.6</v>
      </c>
      <c r="AG1908" s="29" t="s">
        <v>2270</v>
      </c>
      <c r="AH1908" s="29" t="s">
        <v>2990</v>
      </c>
      <c r="AI1908" s="29" t="s">
        <v>2432</v>
      </c>
      <c r="AJ1908" s="29" t="s">
        <v>2991</v>
      </c>
      <c r="AL1908" s="29" t="s">
        <v>2271</v>
      </c>
    </row>
    <row r="1909" spans="15:38">
      <c r="O1909" t="s">
        <v>24</v>
      </c>
      <c r="P1909" t="s">
        <v>43</v>
      </c>
      <c r="Q1909" t="s">
        <v>3</v>
      </c>
      <c r="R1909" t="s">
        <v>66</v>
      </c>
      <c r="S1909">
        <v>2024.09</v>
      </c>
      <c r="T1909">
        <v>51243.85</v>
      </c>
      <c r="U1909">
        <v>112842.6949</v>
      </c>
      <c r="V1909">
        <v>112842.6949</v>
      </c>
      <c r="AA1909" s="29" t="s">
        <v>43</v>
      </c>
      <c r="AB1909">
        <v>31200</v>
      </c>
      <c r="AC1909">
        <v>130</v>
      </c>
      <c r="AD1909">
        <v>4</v>
      </c>
      <c r="AE1909">
        <v>1784.1</v>
      </c>
      <c r="AF1909">
        <v>1784.1</v>
      </c>
      <c r="AG1909" s="29" t="s">
        <v>2270</v>
      </c>
      <c r="AH1909" s="29" t="s">
        <v>2992</v>
      </c>
      <c r="AI1909" s="29" t="s">
        <v>2432</v>
      </c>
      <c r="AJ1909" s="29" t="s">
        <v>2993</v>
      </c>
      <c r="AL1909" s="29" t="s">
        <v>2271</v>
      </c>
    </row>
    <row r="1910" spans="15:38">
      <c r="O1910" t="s">
        <v>24</v>
      </c>
      <c r="P1910" t="s">
        <v>43</v>
      </c>
      <c r="Q1910" t="s">
        <v>3</v>
      </c>
      <c r="R1910" t="s">
        <v>66</v>
      </c>
      <c r="S1910">
        <v>2024.1</v>
      </c>
      <c r="T1910">
        <v>35081.870000000003</v>
      </c>
      <c r="U1910">
        <v>112842.6949</v>
      </c>
      <c r="V1910">
        <v>112842.6949</v>
      </c>
      <c r="AA1910" s="29" t="s">
        <v>43</v>
      </c>
      <c r="AB1910">
        <v>31200</v>
      </c>
      <c r="AC1910">
        <v>130</v>
      </c>
      <c r="AD1910">
        <v>4</v>
      </c>
      <c r="AE1910">
        <v>2094.36</v>
      </c>
      <c r="AF1910">
        <v>2094.36</v>
      </c>
      <c r="AG1910" s="29" t="s">
        <v>2270</v>
      </c>
      <c r="AH1910" s="29" t="s">
        <v>2994</v>
      </c>
      <c r="AI1910" s="29" t="s">
        <v>2432</v>
      </c>
      <c r="AJ1910" s="29" t="s">
        <v>2995</v>
      </c>
      <c r="AL1910" s="29" t="s">
        <v>2271</v>
      </c>
    </row>
    <row r="1911" spans="15:38">
      <c r="O1911" t="s">
        <v>24</v>
      </c>
      <c r="P1911" t="s">
        <v>43</v>
      </c>
      <c r="Q1911" t="s">
        <v>3</v>
      </c>
      <c r="R1911" t="s">
        <v>66</v>
      </c>
      <c r="S1911">
        <v>2024.11</v>
      </c>
      <c r="T1911">
        <v>41744.36</v>
      </c>
      <c r="U1911">
        <v>112842.6949</v>
      </c>
      <c r="V1911">
        <v>112842.6949</v>
      </c>
      <c r="AA1911" s="29" t="s">
        <v>43</v>
      </c>
      <c r="AB1911">
        <v>31200</v>
      </c>
      <c r="AC1911">
        <v>130</v>
      </c>
      <c r="AD1911">
        <v>4</v>
      </c>
      <c r="AE1911">
        <v>-57.75</v>
      </c>
      <c r="AF1911">
        <v>-57.75</v>
      </c>
      <c r="AG1911" s="29" t="s">
        <v>2270</v>
      </c>
      <c r="AH1911" s="29" t="s">
        <v>2996</v>
      </c>
      <c r="AI1911" s="29" t="s">
        <v>2432</v>
      </c>
      <c r="AJ1911" s="29" t="s">
        <v>2997</v>
      </c>
      <c r="AL1911" s="29" t="s">
        <v>2271</v>
      </c>
    </row>
    <row r="1912" spans="15:38">
      <c r="O1912" t="s">
        <v>24</v>
      </c>
      <c r="P1912" t="s">
        <v>43</v>
      </c>
      <c r="Q1912" t="s">
        <v>3</v>
      </c>
      <c r="R1912" t="s">
        <v>66</v>
      </c>
      <c r="S1912">
        <v>2024.12</v>
      </c>
      <c r="T1912">
        <v>41891.839999999997</v>
      </c>
      <c r="U1912">
        <v>112842.6949</v>
      </c>
      <c r="V1912">
        <v>112842.6949</v>
      </c>
      <c r="AA1912" s="29" t="s">
        <v>43</v>
      </c>
      <c r="AB1912">
        <v>31200</v>
      </c>
      <c r="AC1912">
        <v>130</v>
      </c>
      <c r="AD1912">
        <v>4</v>
      </c>
      <c r="AE1912">
        <v>620</v>
      </c>
      <c r="AF1912">
        <v>620</v>
      </c>
      <c r="AG1912" s="29" t="s">
        <v>2270</v>
      </c>
      <c r="AH1912" s="29" t="s">
        <v>2998</v>
      </c>
      <c r="AI1912" s="29" t="s">
        <v>2432</v>
      </c>
      <c r="AJ1912" s="29" t="s">
        <v>2999</v>
      </c>
      <c r="AL1912" s="29" t="s">
        <v>2271</v>
      </c>
    </row>
    <row r="1913" spans="15:38">
      <c r="O1913" t="s">
        <v>24</v>
      </c>
      <c r="P1913" t="s">
        <v>43</v>
      </c>
      <c r="Q1913" t="s">
        <v>3</v>
      </c>
      <c r="R1913" t="s">
        <v>66</v>
      </c>
      <c r="S1913">
        <v>2024.14</v>
      </c>
      <c r="T1913">
        <v>46290.07</v>
      </c>
      <c r="U1913">
        <v>112842.6949</v>
      </c>
      <c r="V1913">
        <v>112842.6949</v>
      </c>
      <c r="AA1913" s="29" t="s">
        <v>43</v>
      </c>
      <c r="AB1913">
        <v>31200</v>
      </c>
      <c r="AC1913">
        <v>130</v>
      </c>
      <c r="AD1913">
        <v>4</v>
      </c>
      <c r="AE1913">
        <v>202.13</v>
      </c>
      <c r="AF1913">
        <v>202.13</v>
      </c>
      <c r="AG1913" s="29" t="s">
        <v>2270</v>
      </c>
      <c r="AH1913" s="29" t="s">
        <v>3000</v>
      </c>
      <c r="AI1913" s="29" t="s">
        <v>2432</v>
      </c>
      <c r="AJ1913" s="29" t="s">
        <v>3001</v>
      </c>
      <c r="AL1913" s="29" t="s">
        <v>2271</v>
      </c>
    </row>
    <row r="1914" spans="15:38">
      <c r="O1914" t="s">
        <v>24</v>
      </c>
      <c r="P1914" t="s">
        <v>43</v>
      </c>
      <c r="Q1914" t="s">
        <v>3</v>
      </c>
      <c r="R1914" t="s">
        <v>66</v>
      </c>
      <c r="S1914">
        <v>2024.17</v>
      </c>
      <c r="T1914">
        <v>46290.7</v>
      </c>
      <c r="U1914">
        <v>112842.6949</v>
      </c>
      <c r="V1914">
        <v>112842.6949</v>
      </c>
      <c r="AA1914" s="29" t="s">
        <v>43</v>
      </c>
      <c r="AB1914">
        <v>31200</v>
      </c>
      <c r="AC1914">
        <v>130</v>
      </c>
      <c r="AD1914">
        <v>4</v>
      </c>
      <c r="AE1914">
        <v>2.5499999999999998</v>
      </c>
      <c r="AF1914">
        <v>2.5499999999999998</v>
      </c>
      <c r="AG1914" s="29" t="s">
        <v>2270</v>
      </c>
      <c r="AH1914" s="29" t="s">
        <v>3002</v>
      </c>
      <c r="AI1914" s="29" t="s">
        <v>2432</v>
      </c>
      <c r="AJ1914" s="29" t="s">
        <v>3003</v>
      </c>
      <c r="AL1914" s="29" t="s">
        <v>2271</v>
      </c>
    </row>
    <row r="1915" spans="15:38">
      <c r="O1915" t="s">
        <v>24</v>
      </c>
      <c r="P1915" t="s">
        <v>43</v>
      </c>
      <c r="Q1915" t="s">
        <v>3</v>
      </c>
      <c r="R1915" t="s">
        <v>66</v>
      </c>
      <c r="S1915">
        <v>2024.18</v>
      </c>
      <c r="T1915">
        <v>46906</v>
      </c>
      <c r="U1915">
        <v>112842.6949</v>
      </c>
      <c r="V1915">
        <v>112842.6949</v>
      </c>
      <c r="AA1915" s="29" t="s">
        <v>43</v>
      </c>
      <c r="AB1915">
        <v>31200</v>
      </c>
      <c r="AC1915">
        <v>130</v>
      </c>
      <c r="AD1915">
        <v>4</v>
      </c>
      <c r="AE1915">
        <v>2.2000000000000002</v>
      </c>
      <c r="AF1915">
        <v>2.2000000000000002</v>
      </c>
      <c r="AG1915" s="29" t="s">
        <v>2270</v>
      </c>
      <c r="AH1915" s="29" t="s">
        <v>3004</v>
      </c>
      <c r="AI1915" s="29" t="s">
        <v>2432</v>
      </c>
      <c r="AJ1915" s="29" t="s">
        <v>3005</v>
      </c>
      <c r="AL1915" s="29" t="s">
        <v>2271</v>
      </c>
    </row>
    <row r="1916" spans="15:38">
      <c r="O1916" t="s">
        <v>24</v>
      </c>
      <c r="P1916" t="s">
        <v>43</v>
      </c>
      <c r="Q1916" t="s">
        <v>3</v>
      </c>
      <c r="R1916" t="s">
        <v>66</v>
      </c>
      <c r="S1916">
        <v>2024.19</v>
      </c>
      <c r="T1916">
        <v>52232.45</v>
      </c>
      <c r="U1916">
        <v>112842.6949</v>
      </c>
      <c r="V1916">
        <v>112842.6949</v>
      </c>
      <c r="AA1916" s="29" t="s">
        <v>43</v>
      </c>
      <c r="AB1916">
        <v>31200</v>
      </c>
      <c r="AC1916">
        <v>130</v>
      </c>
      <c r="AD1916">
        <v>4</v>
      </c>
      <c r="AE1916">
        <v>1.5</v>
      </c>
      <c r="AF1916">
        <v>1.5</v>
      </c>
      <c r="AG1916" s="29" t="s">
        <v>2270</v>
      </c>
      <c r="AH1916" s="29" t="s">
        <v>2438</v>
      </c>
      <c r="AI1916" s="29" t="s">
        <v>2432</v>
      </c>
      <c r="AJ1916" s="29" t="s">
        <v>3006</v>
      </c>
      <c r="AL1916" s="29" t="s">
        <v>2271</v>
      </c>
    </row>
    <row r="1917" spans="15:38">
      <c r="O1917" t="s">
        <v>24</v>
      </c>
      <c r="P1917" t="s">
        <v>43</v>
      </c>
      <c r="Q1917" t="s">
        <v>3</v>
      </c>
      <c r="R1917" t="s">
        <v>66</v>
      </c>
      <c r="S1917">
        <v>2024.2</v>
      </c>
      <c r="T1917">
        <v>52232.45</v>
      </c>
      <c r="U1917">
        <v>112842.6949</v>
      </c>
      <c r="V1917">
        <v>112842.6949</v>
      </c>
      <c r="AA1917" s="29" t="s">
        <v>43</v>
      </c>
      <c r="AB1917">
        <v>31200</v>
      </c>
      <c r="AC1917">
        <v>130</v>
      </c>
      <c r="AD1917">
        <v>4</v>
      </c>
      <c r="AE1917">
        <v>18.87</v>
      </c>
      <c r="AF1917">
        <v>18.87</v>
      </c>
      <c r="AG1917" s="29" t="s">
        <v>2270</v>
      </c>
      <c r="AH1917" s="29" t="s">
        <v>3007</v>
      </c>
      <c r="AI1917" s="29" t="s">
        <v>2432</v>
      </c>
      <c r="AJ1917" s="29" t="s">
        <v>3008</v>
      </c>
      <c r="AL1917" s="29" t="s">
        <v>2271</v>
      </c>
    </row>
    <row r="1918" spans="15:38">
      <c r="O1918" t="s">
        <v>24</v>
      </c>
      <c r="P1918" t="s">
        <v>43</v>
      </c>
      <c r="Q1918" t="s">
        <v>3</v>
      </c>
      <c r="R1918" t="s">
        <v>66</v>
      </c>
      <c r="S1918">
        <v>2024.21</v>
      </c>
      <c r="T1918">
        <v>52336.55</v>
      </c>
      <c r="U1918">
        <v>112842.6949</v>
      </c>
      <c r="V1918">
        <v>112842.6949</v>
      </c>
      <c r="AA1918" s="29" t="s">
        <v>43</v>
      </c>
      <c r="AB1918">
        <v>31200</v>
      </c>
      <c r="AC1918">
        <v>130</v>
      </c>
      <c r="AD1918">
        <v>4</v>
      </c>
      <c r="AE1918">
        <v>3</v>
      </c>
      <c r="AF1918">
        <v>3</v>
      </c>
      <c r="AG1918" s="29" t="s">
        <v>2270</v>
      </c>
      <c r="AH1918" s="29" t="s">
        <v>3009</v>
      </c>
      <c r="AI1918" s="29" t="s">
        <v>2432</v>
      </c>
      <c r="AJ1918" s="29" t="s">
        <v>865</v>
      </c>
      <c r="AL1918" s="29" t="s">
        <v>2271</v>
      </c>
    </row>
    <row r="1919" spans="15:38">
      <c r="O1919" t="s">
        <v>24</v>
      </c>
      <c r="P1919" t="s">
        <v>43</v>
      </c>
      <c r="Q1919" t="s">
        <v>3</v>
      </c>
      <c r="R1919" t="s">
        <v>66</v>
      </c>
      <c r="S1919">
        <v>2024.28</v>
      </c>
      <c r="T1919">
        <v>64490.23</v>
      </c>
      <c r="U1919">
        <v>112842.6949</v>
      </c>
      <c r="V1919">
        <v>112842.6949</v>
      </c>
      <c r="AA1919" s="29" t="s">
        <v>43</v>
      </c>
      <c r="AB1919">
        <v>31200</v>
      </c>
      <c r="AC1919">
        <v>130</v>
      </c>
      <c r="AD1919">
        <v>4</v>
      </c>
      <c r="AE1919">
        <v>4.4000000000000004</v>
      </c>
      <c r="AF1919">
        <v>4.4000000000000004</v>
      </c>
      <c r="AG1919" s="29" t="s">
        <v>2270</v>
      </c>
      <c r="AH1919" s="29" t="s">
        <v>2964</v>
      </c>
      <c r="AI1919" s="29" t="s">
        <v>2432</v>
      </c>
      <c r="AJ1919" s="29" t="s">
        <v>2965</v>
      </c>
      <c r="AL1919" s="29" t="s">
        <v>2271</v>
      </c>
    </row>
    <row r="1920" spans="15:38">
      <c r="O1920" t="s">
        <v>24</v>
      </c>
      <c r="P1920" t="s">
        <v>43</v>
      </c>
      <c r="Q1920" t="s">
        <v>3</v>
      </c>
      <c r="R1920" t="s">
        <v>66</v>
      </c>
      <c r="S1920">
        <v>2024.38</v>
      </c>
      <c r="T1920">
        <v>72974.38</v>
      </c>
      <c r="U1920">
        <v>112842.6949</v>
      </c>
      <c r="V1920">
        <v>112842.6949</v>
      </c>
      <c r="AA1920" s="29" t="s">
        <v>43</v>
      </c>
      <c r="AB1920">
        <v>31200</v>
      </c>
      <c r="AC1920">
        <v>130</v>
      </c>
      <c r="AD1920">
        <v>4</v>
      </c>
      <c r="AE1920">
        <v>57.75</v>
      </c>
      <c r="AF1920">
        <v>57.75</v>
      </c>
      <c r="AG1920" s="29" t="s">
        <v>2270</v>
      </c>
      <c r="AH1920" s="29" t="s">
        <v>2949</v>
      </c>
      <c r="AI1920" s="29" t="s">
        <v>2432</v>
      </c>
      <c r="AJ1920" s="29" t="s">
        <v>2950</v>
      </c>
      <c r="AL1920" s="29" t="s">
        <v>2271</v>
      </c>
    </row>
    <row r="1921" spans="15:38">
      <c r="O1921" t="s">
        <v>24</v>
      </c>
      <c r="P1921" t="s">
        <v>43</v>
      </c>
      <c r="Q1921" t="s">
        <v>3</v>
      </c>
      <c r="R1921" t="s">
        <v>66</v>
      </c>
      <c r="S1921">
        <v>2024.39</v>
      </c>
      <c r="T1921">
        <v>73026.429999999993</v>
      </c>
      <c r="U1921">
        <v>112842.6949</v>
      </c>
      <c r="V1921">
        <v>112842.6949</v>
      </c>
      <c r="AA1921" s="29" t="s">
        <v>43</v>
      </c>
      <c r="AB1921">
        <v>31200</v>
      </c>
      <c r="AC1921">
        <v>130</v>
      </c>
      <c r="AD1921">
        <v>4</v>
      </c>
      <c r="AE1921">
        <v>0</v>
      </c>
      <c r="AF1921">
        <v>0</v>
      </c>
      <c r="AG1921" s="29" t="s">
        <v>2270</v>
      </c>
      <c r="AH1921" s="29" t="s">
        <v>2274</v>
      </c>
      <c r="AI1921" s="29" t="s">
        <v>2432</v>
      </c>
      <c r="AJ1921" s="29" t="s">
        <v>3010</v>
      </c>
      <c r="AL1921" s="29" t="s">
        <v>2271</v>
      </c>
    </row>
    <row r="1922" spans="15:38">
      <c r="O1922" t="s">
        <v>24</v>
      </c>
      <c r="P1922" t="s">
        <v>43</v>
      </c>
      <c r="Q1922" t="s">
        <v>3</v>
      </c>
      <c r="R1922" t="s">
        <v>66</v>
      </c>
      <c r="S1922">
        <v>2024.41</v>
      </c>
      <c r="T1922">
        <v>77710.929999999993</v>
      </c>
      <c r="U1922">
        <v>112842.6949</v>
      </c>
      <c r="V1922">
        <v>112842.6949</v>
      </c>
      <c r="AA1922" s="29" t="s">
        <v>43</v>
      </c>
      <c r="AB1922">
        <v>31200</v>
      </c>
      <c r="AC1922">
        <v>130</v>
      </c>
      <c r="AD1922">
        <v>4</v>
      </c>
      <c r="AE1922">
        <v>0</v>
      </c>
      <c r="AF1922">
        <v>0</v>
      </c>
      <c r="AG1922" s="29" t="s">
        <v>2270</v>
      </c>
      <c r="AH1922" s="29" t="s">
        <v>2274</v>
      </c>
      <c r="AI1922" s="29" t="s">
        <v>2432</v>
      </c>
      <c r="AJ1922" s="29" t="s">
        <v>3011</v>
      </c>
      <c r="AL1922" s="29" t="s">
        <v>2271</v>
      </c>
    </row>
    <row r="1923" spans="15:38">
      <c r="O1923" t="s">
        <v>24</v>
      </c>
      <c r="P1923" t="s">
        <v>43</v>
      </c>
      <c r="Q1923" t="s">
        <v>3</v>
      </c>
      <c r="R1923" t="s">
        <v>66</v>
      </c>
      <c r="S1923">
        <v>2024.43</v>
      </c>
      <c r="T1923">
        <v>77745.63</v>
      </c>
      <c r="U1923">
        <v>112842.6949</v>
      </c>
      <c r="V1923">
        <v>112842.6949</v>
      </c>
      <c r="AA1923" s="29" t="s">
        <v>43</v>
      </c>
      <c r="AB1923">
        <v>31200</v>
      </c>
      <c r="AC1923">
        <v>130</v>
      </c>
      <c r="AD1923">
        <v>4</v>
      </c>
      <c r="AE1923">
        <v>75.459999999999994</v>
      </c>
      <c r="AF1923">
        <v>75.459999999999994</v>
      </c>
      <c r="AG1923" s="29" t="s">
        <v>2270</v>
      </c>
      <c r="AH1923" s="29" t="s">
        <v>3012</v>
      </c>
      <c r="AI1923" s="29" t="s">
        <v>2432</v>
      </c>
      <c r="AJ1923" s="29" t="s">
        <v>3013</v>
      </c>
      <c r="AL1923" s="29" t="s">
        <v>2271</v>
      </c>
    </row>
    <row r="1924" spans="15:38">
      <c r="O1924" t="s">
        <v>24</v>
      </c>
      <c r="P1924" t="s">
        <v>43</v>
      </c>
      <c r="Q1924" t="s">
        <v>3</v>
      </c>
      <c r="R1924" t="s">
        <v>66</v>
      </c>
      <c r="S1924">
        <v>2024.44</v>
      </c>
      <c r="T1924">
        <v>79497.98</v>
      </c>
      <c r="U1924">
        <v>112842.6949</v>
      </c>
      <c r="V1924">
        <v>102842.6949</v>
      </c>
      <c r="AA1924" s="29" t="s">
        <v>43</v>
      </c>
      <c r="AB1924">
        <v>31200</v>
      </c>
      <c r="AC1924">
        <v>130</v>
      </c>
      <c r="AD1924">
        <v>4</v>
      </c>
      <c r="AE1924">
        <v>0.6</v>
      </c>
      <c r="AF1924">
        <v>0.6</v>
      </c>
      <c r="AG1924" s="29" t="s">
        <v>2270</v>
      </c>
      <c r="AH1924" s="29" t="s">
        <v>2545</v>
      </c>
      <c r="AI1924" s="29" t="s">
        <v>2432</v>
      </c>
      <c r="AJ1924" s="29" t="s">
        <v>3014</v>
      </c>
      <c r="AL1924" s="29" t="s">
        <v>2271</v>
      </c>
    </row>
    <row r="1925" spans="15:38">
      <c r="O1925" t="s">
        <v>24</v>
      </c>
      <c r="P1925" t="s">
        <v>43</v>
      </c>
      <c r="Q1925" t="s">
        <v>3</v>
      </c>
      <c r="R1925" t="s">
        <v>66</v>
      </c>
      <c r="S1925">
        <v>2024.45</v>
      </c>
      <c r="T1925">
        <v>79688.83</v>
      </c>
      <c r="U1925">
        <v>112842.6949</v>
      </c>
      <c r="V1925">
        <v>102842.6949</v>
      </c>
      <c r="AA1925" s="29" t="s">
        <v>43</v>
      </c>
      <c r="AB1925">
        <v>31200</v>
      </c>
      <c r="AC1925">
        <v>130</v>
      </c>
      <c r="AD1925">
        <v>4</v>
      </c>
      <c r="AE1925">
        <v>3.3</v>
      </c>
      <c r="AF1925">
        <v>3.3</v>
      </c>
      <c r="AG1925" s="29" t="s">
        <v>2270</v>
      </c>
      <c r="AH1925" s="29" t="s">
        <v>3015</v>
      </c>
      <c r="AI1925" s="29" t="s">
        <v>2432</v>
      </c>
      <c r="AJ1925" s="29" t="s">
        <v>3016</v>
      </c>
      <c r="AL1925" s="29" t="s">
        <v>2271</v>
      </c>
    </row>
    <row r="1926" spans="15:38">
      <c r="O1926" t="s">
        <v>24</v>
      </c>
      <c r="P1926" t="s">
        <v>43</v>
      </c>
      <c r="Q1926" t="s">
        <v>3</v>
      </c>
      <c r="R1926" t="s">
        <v>66</v>
      </c>
      <c r="S1926">
        <v>2024.47</v>
      </c>
      <c r="T1926">
        <v>83679.33</v>
      </c>
      <c r="U1926">
        <v>112842.6949</v>
      </c>
      <c r="V1926">
        <v>102842.6949</v>
      </c>
      <c r="AA1926" s="29" t="s">
        <v>43</v>
      </c>
      <c r="AB1926">
        <v>31200</v>
      </c>
      <c r="AC1926">
        <v>130</v>
      </c>
      <c r="AD1926">
        <v>4</v>
      </c>
      <c r="AE1926">
        <v>1.67</v>
      </c>
      <c r="AF1926">
        <v>1.67</v>
      </c>
      <c r="AG1926" s="29" t="s">
        <v>2270</v>
      </c>
      <c r="AH1926" s="29" t="s">
        <v>3017</v>
      </c>
      <c r="AI1926" s="29" t="s">
        <v>2432</v>
      </c>
      <c r="AJ1926" s="29" t="s">
        <v>3018</v>
      </c>
      <c r="AL1926" s="29" t="s">
        <v>2271</v>
      </c>
    </row>
    <row r="1927" spans="15:38">
      <c r="O1927" t="s">
        <v>24</v>
      </c>
      <c r="P1927" t="s">
        <v>43</v>
      </c>
      <c r="Q1927" t="s">
        <v>3</v>
      </c>
      <c r="R1927" t="s">
        <v>66</v>
      </c>
      <c r="S1927">
        <v>2024.48</v>
      </c>
      <c r="T1927">
        <v>83870.179999999993</v>
      </c>
      <c r="U1927">
        <v>112842.6949</v>
      </c>
      <c r="V1927">
        <v>102842.6949</v>
      </c>
      <c r="AA1927" s="29" t="s">
        <v>43</v>
      </c>
      <c r="AB1927">
        <v>31200</v>
      </c>
      <c r="AC1927">
        <v>130</v>
      </c>
      <c r="AD1927">
        <v>4</v>
      </c>
      <c r="AE1927">
        <v>38.64</v>
      </c>
      <c r="AF1927">
        <v>38.64</v>
      </c>
      <c r="AG1927" s="29" t="s">
        <v>2270</v>
      </c>
      <c r="AH1927" s="29" t="s">
        <v>3019</v>
      </c>
      <c r="AI1927" s="29" t="s">
        <v>2432</v>
      </c>
      <c r="AJ1927" s="29" t="s">
        <v>3020</v>
      </c>
      <c r="AL1927" s="29" t="s">
        <v>2271</v>
      </c>
    </row>
    <row r="1928" spans="15:38">
      <c r="O1928" t="s">
        <v>24</v>
      </c>
      <c r="P1928" t="s">
        <v>43</v>
      </c>
      <c r="Q1928" t="s">
        <v>3</v>
      </c>
      <c r="R1928" t="s">
        <v>66</v>
      </c>
      <c r="S1928">
        <v>2024.49</v>
      </c>
      <c r="T1928">
        <v>89422.18</v>
      </c>
      <c r="U1928">
        <v>112842.6949</v>
      </c>
      <c r="V1928">
        <v>102842.6949</v>
      </c>
      <c r="AA1928" s="29" t="s">
        <v>43</v>
      </c>
      <c r="AB1928">
        <v>31200</v>
      </c>
      <c r="AC1928">
        <v>130</v>
      </c>
      <c r="AD1928">
        <v>4</v>
      </c>
      <c r="AE1928">
        <v>2.25</v>
      </c>
      <c r="AF1928">
        <v>2.25</v>
      </c>
      <c r="AG1928" s="29" t="s">
        <v>2270</v>
      </c>
      <c r="AH1928" s="29" t="s">
        <v>3021</v>
      </c>
      <c r="AI1928" s="29" t="s">
        <v>2432</v>
      </c>
      <c r="AJ1928" s="29" t="s">
        <v>3022</v>
      </c>
      <c r="AL1928" s="29" t="s">
        <v>2271</v>
      </c>
    </row>
    <row r="1929" spans="15:38">
      <c r="O1929" t="s">
        <v>24</v>
      </c>
      <c r="P1929" t="s">
        <v>43</v>
      </c>
      <c r="Q1929" t="s">
        <v>3</v>
      </c>
      <c r="R1929" t="s">
        <v>66</v>
      </c>
      <c r="S1929">
        <v>2025.03</v>
      </c>
      <c r="T1929">
        <v>92961.58</v>
      </c>
      <c r="U1929">
        <v>112842.6949</v>
      </c>
      <c r="V1929">
        <v>102842.6949</v>
      </c>
      <c r="AA1929" s="29" t="s">
        <v>43</v>
      </c>
      <c r="AB1929">
        <v>31200</v>
      </c>
      <c r="AC1929">
        <v>130</v>
      </c>
      <c r="AD1929">
        <v>4</v>
      </c>
      <c r="AE1929">
        <v>35.58</v>
      </c>
      <c r="AF1929">
        <v>35.58</v>
      </c>
      <c r="AG1929" s="29" t="s">
        <v>2270</v>
      </c>
      <c r="AH1929" s="29" t="s">
        <v>3023</v>
      </c>
      <c r="AI1929" s="29" t="s">
        <v>2432</v>
      </c>
      <c r="AJ1929" s="29" t="s">
        <v>3024</v>
      </c>
      <c r="AL1929" s="29" t="s">
        <v>2271</v>
      </c>
    </row>
    <row r="1930" spans="15:38">
      <c r="O1930" t="s">
        <v>24</v>
      </c>
      <c r="P1930" t="s">
        <v>43</v>
      </c>
      <c r="Q1930" t="s">
        <v>3</v>
      </c>
      <c r="R1930" t="s">
        <v>66</v>
      </c>
      <c r="S1930">
        <v>2025.08</v>
      </c>
      <c r="T1930">
        <v>98617.68</v>
      </c>
      <c r="U1930">
        <v>112842.6949</v>
      </c>
      <c r="V1930">
        <v>102842.6949</v>
      </c>
      <c r="AA1930" s="29" t="s">
        <v>43</v>
      </c>
      <c r="AB1930">
        <v>31200</v>
      </c>
      <c r="AC1930">
        <v>130</v>
      </c>
      <c r="AD1930">
        <v>4</v>
      </c>
      <c r="AE1930">
        <v>3.2</v>
      </c>
      <c r="AF1930">
        <v>3.2</v>
      </c>
      <c r="AG1930" s="29" t="s">
        <v>2270</v>
      </c>
      <c r="AH1930" s="29" t="s">
        <v>2776</v>
      </c>
      <c r="AI1930" s="29" t="s">
        <v>2432</v>
      </c>
      <c r="AJ1930" s="29" t="s">
        <v>2777</v>
      </c>
      <c r="AL1930" s="29" t="s">
        <v>2271</v>
      </c>
    </row>
    <row r="1931" spans="15:38">
      <c r="O1931" t="s">
        <v>24</v>
      </c>
      <c r="P1931" t="s">
        <v>43</v>
      </c>
      <c r="Q1931" t="s">
        <v>3</v>
      </c>
      <c r="R1931" t="s">
        <v>66</v>
      </c>
      <c r="S1931">
        <v>2025.1</v>
      </c>
      <c r="T1931">
        <v>104416.4</v>
      </c>
      <c r="U1931">
        <v>112842.6949</v>
      </c>
      <c r="V1931">
        <v>102842.6949</v>
      </c>
      <c r="AA1931" s="29" t="s">
        <v>43</v>
      </c>
      <c r="AB1931">
        <v>31200</v>
      </c>
      <c r="AC1931">
        <v>130</v>
      </c>
      <c r="AD1931">
        <v>4</v>
      </c>
      <c r="AE1931">
        <v>2.48</v>
      </c>
      <c r="AF1931">
        <v>2.48</v>
      </c>
      <c r="AG1931" s="29" t="s">
        <v>2270</v>
      </c>
      <c r="AH1931" s="29" t="s">
        <v>3025</v>
      </c>
      <c r="AI1931" s="29" t="s">
        <v>2432</v>
      </c>
      <c r="AJ1931" s="29" t="s">
        <v>3026</v>
      </c>
      <c r="AL1931" s="29" t="s">
        <v>2271</v>
      </c>
    </row>
    <row r="1932" spans="15:38">
      <c r="O1932" t="s">
        <v>24</v>
      </c>
      <c r="P1932" t="s">
        <v>43</v>
      </c>
      <c r="Q1932" t="s">
        <v>3</v>
      </c>
      <c r="R1932" t="s">
        <v>66</v>
      </c>
      <c r="S1932">
        <v>2025.11</v>
      </c>
      <c r="T1932">
        <v>104416.4</v>
      </c>
      <c r="U1932">
        <v>112842.6949</v>
      </c>
      <c r="V1932">
        <v>102842.6949</v>
      </c>
      <c r="AA1932" s="29" t="s">
        <v>43</v>
      </c>
      <c r="AB1932">
        <v>31200</v>
      </c>
      <c r="AC1932">
        <v>130</v>
      </c>
      <c r="AD1932">
        <v>4</v>
      </c>
      <c r="AE1932">
        <v>32.200000000000003</v>
      </c>
      <c r="AF1932">
        <v>32.200000000000003</v>
      </c>
      <c r="AG1932" s="29" t="s">
        <v>2270</v>
      </c>
      <c r="AH1932" s="29" t="s">
        <v>3027</v>
      </c>
      <c r="AI1932" s="29" t="s">
        <v>2432</v>
      </c>
      <c r="AJ1932" s="29" t="s">
        <v>3028</v>
      </c>
      <c r="AL1932" s="29" t="s">
        <v>2271</v>
      </c>
    </row>
    <row r="1933" spans="15:38">
      <c r="O1933" t="s">
        <v>24</v>
      </c>
      <c r="P1933" t="s">
        <v>43</v>
      </c>
      <c r="Q1933" t="s">
        <v>3</v>
      </c>
      <c r="R1933" t="s">
        <v>66</v>
      </c>
      <c r="S1933">
        <v>2025.12</v>
      </c>
      <c r="T1933">
        <v>104416.4</v>
      </c>
      <c r="U1933">
        <v>112842.6949</v>
      </c>
      <c r="V1933">
        <v>102842.6949</v>
      </c>
      <c r="AA1933" s="29" t="s">
        <v>43</v>
      </c>
      <c r="AB1933">
        <v>31200</v>
      </c>
      <c r="AC1933">
        <v>130</v>
      </c>
      <c r="AD1933">
        <v>4</v>
      </c>
      <c r="AE1933">
        <v>4.2699999999999996</v>
      </c>
      <c r="AF1933">
        <v>4.2699999999999996</v>
      </c>
      <c r="AG1933" s="29" t="s">
        <v>2270</v>
      </c>
      <c r="AH1933" s="29" t="s">
        <v>3029</v>
      </c>
      <c r="AI1933" s="29" t="s">
        <v>2432</v>
      </c>
      <c r="AJ1933" s="29" t="s">
        <v>3030</v>
      </c>
      <c r="AL1933" s="29" t="s">
        <v>2271</v>
      </c>
    </row>
    <row r="1934" spans="15:38">
      <c r="O1934" t="s">
        <v>24</v>
      </c>
      <c r="P1934" t="s">
        <v>43</v>
      </c>
      <c r="Q1934" t="s">
        <v>3</v>
      </c>
      <c r="R1934" t="s">
        <v>67</v>
      </c>
      <c r="S1934">
        <v>2023.47</v>
      </c>
      <c r="T1934">
        <v>0</v>
      </c>
      <c r="U1934">
        <v>57107.120499999997</v>
      </c>
      <c r="V1934">
        <v>57107.120499999997</v>
      </c>
      <c r="AA1934" s="29" t="s">
        <v>43</v>
      </c>
      <c r="AB1934">
        <v>31200</v>
      </c>
      <c r="AC1934">
        <v>130</v>
      </c>
      <c r="AD1934">
        <v>4</v>
      </c>
      <c r="AE1934">
        <v>3.08</v>
      </c>
      <c r="AF1934">
        <v>3.08</v>
      </c>
      <c r="AG1934" s="29" t="s">
        <v>2270</v>
      </c>
      <c r="AH1934" s="29" t="s">
        <v>3031</v>
      </c>
      <c r="AI1934" s="29" t="s">
        <v>2432</v>
      </c>
      <c r="AJ1934" s="29" t="s">
        <v>885</v>
      </c>
      <c r="AL1934" s="29" t="s">
        <v>2271</v>
      </c>
    </row>
    <row r="1935" spans="15:38">
      <c r="O1935" t="s">
        <v>24</v>
      </c>
      <c r="P1935" t="s">
        <v>43</v>
      </c>
      <c r="Q1935" t="s">
        <v>3</v>
      </c>
      <c r="R1935" t="s">
        <v>67</v>
      </c>
      <c r="S1935">
        <v>2023.51</v>
      </c>
      <c r="T1935">
        <v>45249.120000000003</v>
      </c>
      <c r="U1935">
        <v>57107.120499999997</v>
      </c>
      <c r="V1935">
        <v>57107.120499999997</v>
      </c>
      <c r="AA1935" s="29" t="s">
        <v>43</v>
      </c>
      <c r="AB1935">
        <v>31200</v>
      </c>
      <c r="AC1935">
        <v>130</v>
      </c>
      <c r="AD1935">
        <v>4</v>
      </c>
      <c r="AE1935">
        <v>1.5</v>
      </c>
      <c r="AF1935">
        <v>1.5</v>
      </c>
      <c r="AG1935" s="29" t="s">
        <v>2270</v>
      </c>
      <c r="AH1935" s="29" t="s">
        <v>2438</v>
      </c>
      <c r="AI1935" s="29" t="s">
        <v>2432</v>
      </c>
      <c r="AJ1935" s="29" t="s">
        <v>3006</v>
      </c>
      <c r="AL1935" s="29" t="s">
        <v>2271</v>
      </c>
    </row>
    <row r="1936" spans="15:38">
      <c r="O1936" t="s">
        <v>24</v>
      </c>
      <c r="P1936" t="s">
        <v>43</v>
      </c>
      <c r="Q1936" t="s">
        <v>3</v>
      </c>
      <c r="R1936" t="s">
        <v>67</v>
      </c>
      <c r="S1936">
        <v>2024.05</v>
      </c>
      <c r="T1936">
        <v>27239.52</v>
      </c>
      <c r="U1936">
        <v>57107.120499999997</v>
      </c>
      <c r="V1936">
        <v>57107.120499999997</v>
      </c>
      <c r="AA1936" s="29" t="s">
        <v>43</v>
      </c>
      <c r="AB1936">
        <v>31200</v>
      </c>
      <c r="AC1936">
        <v>130</v>
      </c>
      <c r="AD1936">
        <v>4</v>
      </c>
      <c r="AE1936">
        <v>3.3</v>
      </c>
      <c r="AF1936">
        <v>3.3</v>
      </c>
      <c r="AG1936" s="29" t="s">
        <v>2270</v>
      </c>
      <c r="AH1936" s="29" t="s">
        <v>3015</v>
      </c>
      <c r="AI1936" s="29" t="s">
        <v>2432</v>
      </c>
      <c r="AJ1936" s="29" t="s">
        <v>3016</v>
      </c>
      <c r="AL1936" s="29" t="s">
        <v>2271</v>
      </c>
    </row>
    <row r="1937" spans="15:38">
      <c r="O1937" t="s">
        <v>24</v>
      </c>
      <c r="P1937" t="s">
        <v>43</v>
      </c>
      <c r="Q1937" t="s">
        <v>3</v>
      </c>
      <c r="R1937" t="s">
        <v>67</v>
      </c>
      <c r="S1937">
        <v>2024.06</v>
      </c>
      <c r="T1937">
        <v>27239.52</v>
      </c>
      <c r="U1937">
        <v>57107.120499999997</v>
      </c>
      <c r="V1937">
        <v>57107.120499999997</v>
      </c>
      <c r="AA1937" s="29" t="s">
        <v>43</v>
      </c>
      <c r="AB1937">
        <v>31200</v>
      </c>
      <c r="AC1937">
        <v>130</v>
      </c>
      <c r="AD1937">
        <v>4</v>
      </c>
      <c r="AE1937">
        <v>1.5</v>
      </c>
      <c r="AF1937">
        <v>1.5</v>
      </c>
      <c r="AG1937" s="29" t="s">
        <v>2270</v>
      </c>
      <c r="AH1937" s="29" t="s">
        <v>2438</v>
      </c>
      <c r="AI1937" s="29" t="s">
        <v>2432</v>
      </c>
      <c r="AJ1937" s="29" t="s">
        <v>3006</v>
      </c>
      <c r="AL1937" s="29" t="s">
        <v>2271</v>
      </c>
    </row>
    <row r="1938" spans="15:38">
      <c r="O1938" t="s">
        <v>24</v>
      </c>
      <c r="P1938" t="s">
        <v>43</v>
      </c>
      <c r="Q1938" t="s">
        <v>3</v>
      </c>
      <c r="R1938" t="s">
        <v>67</v>
      </c>
      <c r="S1938">
        <v>2024.07</v>
      </c>
      <c r="T1938">
        <v>27239.52</v>
      </c>
      <c r="U1938">
        <v>57107.120499999997</v>
      </c>
      <c r="V1938">
        <v>57107.120499999997</v>
      </c>
      <c r="AA1938" s="29" t="s">
        <v>43</v>
      </c>
      <c r="AB1938">
        <v>31200</v>
      </c>
      <c r="AC1938">
        <v>130</v>
      </c>
      <c r="AD1938">
        <v>4</v>
      </c>
      <c r="AE1938">
        <v>39.58</v>
      </c>
      <c r="AF1938">
        <v>39.58</v>
      </c>
      <c r="AG1938" s="29" t="s">
        <v>2270</v>
      </c>
      <c r="AH1938" s="29" t="s">
        <v>3032</v>
      </c>
      <c r="AI1938" s="29" t="s">
        <v>2432</v>
      </c>
      <c r="AJ1938" s="29" t="s">
        <v>3033</v>
      </c>
      <c r="AL1938" s="29" t="s">
        <v>2271</v>
      </c>
    </row>
    <row r="1939" spans="15:38">
      <c r="O1939" t="s">
        <v>24</v>
      </c>
      <c r="P1939" t="s">
        <v>43</v>
      </c>
      <c r="Q1939" t="s">
        <v>3</v>
      </c>
      <c r="R1939" t="s">
        <v>67</v>
      </c>
      <c r="S1939">
        <v>2024.08</v>
      </c>
      <c r="T1939">
        <v>27239.52</v>
      </c>
      <c r="U1939">
        <v>57107.120499999997</v>
      </c>
      <c r="V1939">
        <v>57107.120499999997</v>
      </c>
      <c r="AA1939" s="29" t="s">
        <v>43</v>
      </c>
      <c r="AB1939">
        <v>31200</v>
      </c>
      <c r="AC1939">
        <v>130</v>
      </c>
      <c r="AD1939">
        <v>4</v>
      </c>
      <c r="AE1939">
        <v>54.13</v>
      </c>
      <c r="AF1939">
        <v>54.13</v>
      </c>
      <c r="AG1939" s="29" t="s">
        <v>2270</v>
      </c>
      <c r="AH1939" s="29" t="s">
        <v>3034</v>
      </c>
      <c r="AI1939" s="29" t="s">
        <v>2432</v>
      </c>
      <c r="AJ1939" s="29" t="s">
        <v>3035</v>
      </c>
      <c r="AL1939" s="29" t="s">
        <v>2271</v>
      </c>
    </row>
    <row r="1940" spans="15:38">
      <c r="O1940" t="s">
        <v>24</v>
      </c>
      <c r="P1940" t="s">
        <v>43</v>
      </c>
      <c r="Q1940" t="s">
        <v>3</v>
      </c>
      <c r="R1940" t="s">
        <v>67</v>
      </c>
      <c r="S1940">
        <v>2024.09</v>
      </c>
      <c r="T1940">
        <v>45249.120000000003</v>
      </c>
      <c r="U1940">
        <v>57107.120499999997</v>
      </c>
      <c r="V1940">
        <v>57107.120499999997</v>
      </c>
      <c r="AA1940" s="29" t="s">
        <v>43</v>
      </c>
      <c r="AB1940">
        <v>31200</v>
      </c>
      <c r="AC1940">
        <v>130</v>
      </c>
      <c r="AD1940">
        <v>4</v>
      </c>
      <c r="AE1940">
        <v>161.19999999999999</v>
      </c>
      <c r="AF1940">
        <v>161.19999999999999</v>
      </c>
      <c r="AG1940" s="29" t="s">
        <v>2270</v>
      </c>
      <c r="AH1940" s="29" t="s">
        <v>3036</v>
      </c>
      <c r="AI1940" s="29" t="s">
        <v>2432</v>
      </c>
      <c r="AJ1940" s="29" t="s">
        <v>3037</v>
      </c>
      <c r="AL1940" s="29" t="s">
        <v>2271</v>
      </c>
    </row>
    <row r="1941" spans="15:38">
      <c r="O1941" t="s">
        <v>24</v>
      </c>
      <c r="P1941" t="s">
        <v>43</v>
      </c>
      <c r="Q1941" t="s">
        <v>3</v>
      </c>
      <c r="R1941" t="s">
        <v>67</v>
      </c>
      <c r="S1941">
        <v>2024.1</v>
      </c>
      <c r="T1941">
        <v>29940.959999999999</v>
      </c>
      <c r="U1941">
        <v>57107.120499999997</v>
      </c>
      <c r="V1941">
        <v>57107.120499999997</v>
      </c>
      <c r="AA1941" s="29" t="s">
        <v>43</v>
      </c>
      <c r="AB1941">
        <v>31200</v>
      </c>
      <c r="AC1941">
        <v>130</v>
      </c>
      <c r="AD1941">
        <v>4</v>
      </c>
      <c r="AE1941">
        <v>12.42</v>
      </c>
      <c r="AF1941">
        <v>12.42</v>
      </c>
      <c r="AG1941" s="29" t="s">
        <v>2270</v>
      </c>
      <c r="AH1941" s="29" t="s">
        <v>3038</v>
      </c>
      <c r="AI1941" s="29" t="s">
        <v>2432</v>
      </c>
      <c r="AJ1941" s="29" t="s">
        <v>3039</v>
      </c>
      <c r="AL1941" s="29" t="s">
        <v>2271</v>
      </c>
    </row>
    <row r="1942" spans="15:38">
      <c r="O1942" t="s">
        <v>24</v>
      </c>
      <c r="P1942" t="s">
        <v>43</v>
      </c>
      <c r="Q1942" t="s">
        <v>3</v>
      </c>
      <c r="R1942" t="s">
        <v>67</v>
      </c>
      <c r="S1942">
        <v>2024.11</v>
      </c>
      <c r="T1942">
        <v>29940.959999999999</v>
      </c>
      <c r="U1942">
        <v>57107.120499999997</v>
      </c>
      <c r="V1942">
        <v>57107.120499999997</v>
      </c>
      <c r="AA1942" s="29" t="s">
        <v>43</v>
      </c>
      <c r="AB1942">
        <v>31200</v>
      </c>
      <c r="AC1942">
        <v>130</v>
      </c>
      <c r="AD1942">
        <v>4</v>
      </c>
      <c r="AE1942">
        <v>67.650000000000006</v>
      </c>
      <c r="AF1942">
        <v>67.650000000000006</v>
      </c>
      <c r="AG1942" s="29" t="s">
        <v>2270</v>
      </c>
      <c r="AH1942" s="29" t="s">
        <v>3040</v>
      </c>
      <c r="AI1942" s="29" t="s">
        <v>2432</v>
      </c>
      <c r="AJ1942" s="29" t="s">
        <v>3041</v>
      </c>
      <c r="AL1942" s="29" t="s">
        <v>2271</v>
      </c>
    </row>
    <row r="1943" spans="15:38">
      <c r="O1943" t="s">
        <v>24</v>
      </c>
      <c r="P1943" t="s">
        <v>43</v>
      </c>
      <c r="Q1943" t="s">
        <v>3</v>
      </c>
      <c r="R1943" t="s">
        <v>67</v>
      </c>
      <c r="S1943">
        <v>2024.12</v>
      </c>
      <c r="T1943">
        <v>29940.959999999999</v>
      </c>
      <c r="U1943">
        <v>57107.120499999997</v>
      </c>
      <c r="V1943">
        <v>57107.120499999997</v>
      </c>
      <c r="AA1943" s="29" t="s">
        <v>43</v>
      </c>
      <c r="AB1943">
        <v>31200</v>
      </c>
      <c r="AC1943">
        <v>130</v>
      </c>
      <c r="AD1943">
        <v>4</v>
      </c>
      <c r="AE1943">
        <v>55.13</v>
      </c>
      <c r="AF1943">
        <v>55.13</v>
      </c>
      <c r="AG1943" s="29" t="s">
        <v>2270</v>
      </c>
      <c r="AH1943" s="29" t="s">
        <v>3042</v>
      </c>
      <c r="AI1943" s="29" t="s">
        <v>2432</v>
      </c>
      <c r="AJ1943" s="29" t="s">
        <v>3043</v>
      </c>
      <c r="AL1943" s="29" t="s">
        <v>2271</v>
      </c>
    </row>
    <row r="1944" spans="15:38">
      <c r="O1944" t="s">
        <v>24</v>
      </c>
      <c r="P1944" t="s">
        <v>43</v>
      </c>
      <c r="Q1944" t="s">
        <v>3</v>
      </c>
      <c r="R1944" t="s">
        <v>67</v>
      </c>
      <c r="S1944">
        <v>2024.14</v>
      </c>
      <c r="T1944">
        <v>33655.440000000002</v>
      </c>
      <c r="U1944">
        <v>57107.120499999997</v>
      </c>
      <c r="V1944">
        <v>57107.120499999997</v>
      </c>
      <c r="AA1944" s="29" t="s">
        <v>43</v>
      </c>
      <c r="AB1944">
        <v>31200</v>
      </c>
      <c r="AC1944">
        <v>130</v>
      </c>
      <c r="AD1944">
        <v>4</v>
      </c>
      <c r="AE1944">
        <v>-55.13</v>
      </c>
      <c r="AF1944">
        <v>-55.13</v>
      </c>
      <c r="AG1944" s="29" t="s">
        <v>2270</v>
      </c>
      <c r="AH1944" s="29" t="s">
        <v>3044</v>
      </c>
      <c r="AI1944" s="29" t="s">
        <v>2432</v>
      </c>
      <c r="AJ1944" s="29" t="s">
        <v>3045</v>
      </c>
      <c r="AL1944" s="29" t="s">
        <v>2271</v>
      </c>
    </row>
    <row r="1945" spans="15:38">
      <c r="O1945" t="s">
        <v>24</v>
      </c>
      <c r="P1945" t="s">
        <v>43</v>
      </c>
      <c r="Q1945" t="s">
        <v>3</v>
      </c>
      <c r="R1945" t="s">
        <v>67</v>
      </c>
      <c r="S1945">
        <v>2024.17</v>
      </c>
      <c r="T1945">
        <v>33655.440000000002</v>
      </c>
      <c r="U1945">
        <v>57107.120499999997</v>
      </c>
      <c r="V1945">
        <v>57107.120499999997</v>
      </c>
      <c r="AA1945" s="29" t="s">
        <v>43</v>
      </c>
      <c r="AB1945">
        <v>31200</v>
      </c>
      <c r="AC1945">
        <v>130</v>
      </c>
      <c r="AD1945">
        <v>4</v>
      </c>
      <c r="AE1945">
        <v>55.13</v>
      </c>
      <c r="AF1945">
        <v>55.13</v>
      </c>
      <c r="AG1945" s="29" t="s">
        <v>2270</v>
      </c>
      <c r="AH1945" s="29" t="s">
        <v>3042</v>
      </c>
      <c r="AI1945" s="29" t="s">
        <v>2432</v>
      </c>
      <c r="AJ1945" s="29" t="s">
        <v>3043</v>
      </c>
      <c r="AL1945" s="29" t="s">
        <v>2271</v>
      </c>
    </row>
    <row r="1946" spans="15:38">
      <c r="O1946" t="s">
        <v>24</v>
      </c>
      <c r="P1946" t="s">
        <v>43</v>
      </c>
      <c r="Q1946" t="s">
        <v>3</v>
      </c>
      <c r="R1946" t="s">
        <v>67</v>
      </c>
      <c r="S1946">
        <v>2024.18</v>
      </c>
      <c r="T1946">
        <v>38298.54</v>
      </c>
      <c r="U1946">
        <v>57107.120499999997</v>
      </c>
      <c r="V1946">
        <v>57107.120499999997</v>
      </c>
      <c r="AA1946" s="29" t="s">
        <v>43</v>
      </c>
      <c r="AB1946">
        <v>31200</v>
      </c>
      <c r="AC1946">
        <v>130</v>
      </c>
      <c r="AD1946">
        <v>4</v>
      </c>
      <c r="AE1946">
        <v>192.95</v>
      </c>
      <c r="AF1946">
        <v>192.95</v>
      </c>
      <c r="AG1946" s="29" t="s">
        <v>2270</v>
      </c>
      <c r="AH1946" s="29" t="s">
        <v>3046</v>
      </c>
      <c r="AI1946" s="29" t="s">
        <v>2432</v>
      </c>
      <c r="AJ1946" s="29" t="s">
        <v>3047</v>
      </c>
      <c r="AL1946" s="29" t="s">
        <v>2271</v>
      </c>
    </row>
    <row r="1947" spans="15:38">
      <c r="O1947" t="s">
        <v>24</v>
      </c>
      <c r="P1947" t="s">
        <v>43</v>
      </c>
      <c r="Q1947" t="s">
        <v>3</v>
      </c>
      <c r="R1947" t="s">
        <v>67</v>
      </c>
      <c r="S1947">
        <v>2024.19</v>
      </c>
      <c r="T1947">
        <v>38298.54</v>
      </c>
      <c r="U1947">
        <v>57107.120499999997</v>
      </c>
      <c r="V1947">
        <v>57107.120499999997</v>
      </c>
      <c r="AA1947" s="29" t="s">
        <v>43</v>
      </c>
      <c r="AB1947">
        <v>31200</v>
      </c>
      <c r="AC1947">
        <v>130</v>
      </c>
      <c r="AD1947">
        <v>4</v>
      </c>
      <c r="AE1947">
        <v>101.9</v>
      </c>
      <c r="AF1947">
        <v>101.9</v>
      </c>
      <c r="AG1947" s="29" t="s">
        <v>2270</v>
      </c>
      <c r="AH1947" s="29" t="s">
        <v>3048</v>
      </c>
      <c r="AI1947" s="29" t="s">
        <v>2432</v>
      </c>
      <c r="AJ1947" s="29" t="s">
        <v>3049</v>
      </c>
      <c r="AL1947" s="29" t="s">
        <v>2271</v>
      </c>
    </row>
    <row r="1948" spans="15:38">
      <c r="O1948" t="s">
        <v>24</v>
      </c>
      <c r="P1948" t="s">
        <v>43</v>
      </c>
      <c r="Q1948" t="s">
        <v>3</v>
      </c>
      <c r="R1948" t="s">
        <v>67</v>
      </c>
      <c r="S1948">
        <v>2024.2</v>
      </c>
      <c r="T1948">
        <v>38298.54</v>
      </c>
      <c r="U1948">
        <v>57107.120499999997</v>
      </c>
      <c r="V1948">
        <v>57107.120499999997</v>
      </c>
      <c r="AA1948" s="29" t="s">
        <v>43</v>
      </c>
      <c r="AB1948">
        <v>31200</v>
      </c>
      <c r="AC1948">
        <v>130</v>
      </c>
      <c r="AD1948">
        <v>4</v>
      </c>
      <c r="AE1948">
        <v>67.599999999999994</v>
      </c>
      <c r="AF1948">
        <v>67.599999999999994</v>
      </c>
      <c r="AG1948" s="29" t="s">
        <v>2270</v>
      </c>
      <c r="AH1948" s="29" t="s">
        <v>3050</v>
      </c>
      <c r="AI1948" s="29" t="s">
        <v>2432</v>
      </c>
      <c r="AJ1948" s="29" t="s">
        <v>3051</v>
      </c>
      <c r="AL1948" s="29" t="s">
        <v>2271</v>
      </c>
    </row>
    <row r="1949" spans="15:38">
      <c r="O1949" t="s">
        <v>24</v>
      </c>
      <c r="P1949" t="s">
        <v>43</v>
      </c>
      <c r="Q1949" t="s">
        <v>3</v>
      </c>
      <c r="R1949" t="s">
        <v>67</v>
      </c>
      <c r="S1949">
        <v>2024.21</v>
      </c>
      <c r="T1949">
        <v>38298.54</v>
      </c>
      <c r="U1949">
        <v>57107.120499999997</v>
      </c>
      <c r="V1949">
        <v>57107.120499999997</v>
      </c>
      <c r="AA1949" s="29" t="s">
        <v>43</v>
      </c>
      <c r="AB1949">
        <v>31200</v>
      </c>
      <c r="AC1949">
        <v>130</v>
      </c>
      <c r="AD1949">
        <v>4</v>
      </c>
      <c r="AE1949">
        <v>97.6</v>
      </c>
      <c r="AF1949">
        <v>97.6</v>
      </c>
      <c r="AG1949" s="29" t="s">
        <v>2270</v>
      </c>
      <c r="AH1949" s="29" t="s">
        <v>3052</v>
      </c>
      <c r="AI1949" s="29" t="s">
        <v>2432</v>
      </c>
      <c r="AJ1949" s="29" t="s">
        <v>3053</v>
      </c>
      <c r="AL1949" s="29" t="s">
        <v>2271</v>
      </c>
    </row>
    <row r="1950" spans="15:38">
      <c r="O1950" t="s">
        <v>24</v>
      </c>
      <c r="P1950" t="s">
        <v>43</v>
      </c>
      <c r="Q1950" t="s">
        <v>3</v>
      </c>
      <c r="R1950" t="s">
        <v>67</v>
      </c>
      <c r="S1950">
        <v>2024.28</v>
      </c>
      <c r="T1950">
        <v>39902.519999999997</v>
      </c>
      <c r="U1950">
        <v>57107.120499999997</v>
      </c>
      <c r="V1950">
        <v>57107.120499999997</v>
      </c>
      <c r="AA1950" s="29" t="s">
        <v>43</v>
      </c>
      <c r="AB1950">
        <v>31200</v>
      </c>
      <c r="AC1950">
        <v>130</v>
      </c>
      <c r="AD1950">
        <v>4</v>
      </c>
      <c r="AE1950">
        <v>155.93</v>
      </c>
      <c r="AF1950">
        <v>155.93</v>
      </c>
      <c r="AG1950" s="29" t="s">
        <v>2270</v>
      </c>
      <c r="AH1950" s="29" t="s">
        <v>3054</v>
      </c>
      <c r="AI1950" s="29" t="s">
        <v>2432</v>
      </c>
      <c r="AJ1950" s="29" t="s">
        <v>3055</v>
      </c>
      <c r="AL1950" s="29" t="s">
        <v>2271</v>
      </c>
    </row>
    <row r="1951" spans="15:38">
      <c r="O1951" t="s">
        <v>24</v>
      </c>
      <c r="P1951" t="s">
        <v>43</v>
      </c>
      <c r="Q1951" t="s">
        <v>3</v>
      </c>
      <c r="R1951" t="s">
        <v>67</v>
      </c>
      <c r="S1951">
        <v>2024.38</v>
      </c>
      <c r="T1951">
        <v>41590.92</v>
      </c>
      <c r="U1951">
        <v>57107.120499999997</v>
      </c>
      <c r="V1951">
        <v>57107.120499999997</v>
      </c>
      <c r="AA1951" s="29" t="s">
        <v>43</v>
      </c>
      <c r="AB1951">
        <v>31200</v>
      </c>
      <c r="AC1951">
        <v>130</v>
      </c>
      <c r="AD1951">
        <v>4</v>
      </c>
      <c r="AE1951">
        <v>115.19</v>
      </c>
      <c r="AF1951">
        <v>115.19</v>
      </c>
      <c r="AG1951" s="29" t="s">
        <v>2270</v>
      </c>
      <c r="AH1951" s="29" t="s">
        <v>3056</v>
      </c>
      <c r="AI1951" s="29" t="s">
        <v>2432</v>
      </c>
      <c r="AJ1951" s="29" t="s">
        <v>3057</v>
      </c>
      <c r="AL1951" s="29" t="s">
        <v>2271</v>
      </c>
    </row>
    <row r="1952" spans="15:38">
      <c r="O1952" t="s">
        <v>24</v>
      </c>
      <c r="P1952" t="s">
        <v>43</v>
      </c>
      <c r="Q1952" t="s">
        <v>3</v>
      </c>
      <c r="R1952" t="s">
        <v>67</v>
      </c>
      <c r="S1952">
        <v>2024.39</v>
      </c>
      <c r="T1952">
        <v>41590.92</v>
      </c>
      <c r="U1952">
        <v>57107.120499999997</v>
      </c>
      <c r="V1952">
        <v>57107.120499999997</v>
      </c>
      <c r="AA1952" s="29" t="s">
        <v>43</v>
      </c>
      <c r="AB1952">
        <v>31200</v>
      </c>
      <c r="AC1952">
        <v>130</v>
      </c>
      <c r="AD1952">
        <v>4</v>
      </c>
      <c r="AE1952">
        <v>1.1000000000000001</v>
      </c>
      <c r="AF1952">
        <v>1.1000000000000001</v>
      </c>
      <c r="AG1952" s="29" t="s">
        <v>2270</v>
      </c>
      <c r="AH1952" s="29" t="s">
        <v>2507</v>
      </c>
      <c r="AI1952" s="29" t="s">
        <v>2432</v>
      </c>
      <c r="AJ1952" s="29" t="s">
        <v>3058</v>
      </c>
      <c r="AL1952" s="29" t="s">
        <v>2271</v>
      </c>
    </row>
    <row r="1953" spans="15:38">
      <c r="O1953" t="s">
        <v>24</v>
      </c>
      <c r="P1953" t="s">
        <v>43</v>
      </c>
      <c r="Q1953" t="s">
        <v>3</v>
      </c>
      <c r="R1953" t="s">
        <v>67</v>
      </c>
      <c r="S1953">
        <v>2024.41</v>
      </c>
      <c r="T1953">
        <v>44967.72</v>
      </c>
      <c r="U1953">
        <v>57107.120499999997</v>
      </c>
      <c r="V1953">
        <v>57107.120499999997</v>
      </c>
      <c r="AA1953" s="29" t="s">
        <v>43</v>
      </c>
      <c r="AB1953">
        <v>31200</v>
      </c>
      <c r="AC1953">
        <v>130</v>
      </c>
      <c r="AD1953">
        <v>4</v>
      </c>
      <c r="AE1953">
        <v>9.4</v>
      </c>
      <c r="AF1953">
        <v>9.4</v>
      </c>
      <c r="AG1953" s="29" t="s">
        <v>2270</v>
      </c>
      <c r="AH1953" s="29" t="s">
        <v>3059</v>
      </c>
      <c r="AI1953" s="29" t="s">
        <v>2432</v>
      </c>
      <c r="AJ1953" s="29" t="s">
        <v>3060</v>
      </c>
      <c r="AL1953" s="29" t="s">
        <v>2271</v>
      </c>
    </row>
    <row r="1954" spans="15:38">
      <c r="O1954" t="s">
        <v>24</v>
      </c>
      <c r="P1954" t="s">
        <v>43</v>
      </c>
      <c r="Q1954" t="s">
        <v>3</v>
      </c>
      <c r="R1954" t="s">
        <v>67</v>
      </c>
      <c r="S1954">
        <v>2024.43</v>
      </c>
      <c r="T1954">
        <v>44967.72</v>
      </c>
      <c r="U1954">
        <v>57107.120499999997</v>
      </c>
      <c r="V1954">
        <v>57107.120499999997</v>
      </c>
      <c r="AA1954" s="29" t="s">
        <v>43</v>
      </c>
      <c r="AB1954">
        <v>31200</v>
      </c>
      <c r="AC1954">
        <v>130</v>
      </c>
      <c r="AD1954">
        <v>4</v>
      </c>
      <c r="AE1954">
        <v>4.6399999999999997</v>
      </c>
      <c r="AF1954">
        <v>4.6399999999999997</v>
      </c>
      <c r="AG1954" s="29" t="s">
        <v>2270</v>
      </c>
      <c r="AH1954" s="29" t="s">
        <v>3061</v>
      </c>
      <c r="AI1954" s="29" t="s">
        <v>2432</v>
      </c>
      <c r="AJ1954" s="29" t="s">
        <v>3062</v>
      </c>
      <c r="AL1954" s="29" t="s">
        <v>2271</v>
      </c>
    </row>
    <row r="1955" spans="15:38">
      <c r="O1955" t="s">
        <v>24</v>
      </c>
      <c r="P1955" t="s">
        <v>43</v>
      </c>
      <c r="Q1955" t="s">
        <v>3</v>
      </c>
      <c r="R1955" t="s">
        <v>67</v>
      </c>
      <c r="S1955">
        <v>2024.44</v>
      </c>
      <c r="T1955">
        <v>44967.72</v>
      </c>
      <c r="U1955">
        <v>68668.844200000007</v>
      </c>
      <c r="V1955">
        <v>68668.844200000007</v>
      </c>
      <c r="AA1955" s="29" t="s">
        <v>43</v>
      </c>
      <c r="AB1955">
        <v>31200</v>
      </c>
      <c r="AC1955">
        <v>130</v>
      </c>
      <c r="AD1955">
        <v>4</v>
      </c>
      <c r="AE1955">
        <v>17.46</v>
      </c>
      <c r="AF1955">
        <v>17.46</v>
      </c>
      <c r="AG1955" s="29" t="s">
        <v>2270</v>
      </c>
      <c r="AH1955" s="29" t="s">
        <v>3063</v>
      </c>
      <c r="AI1955" s="29" t="s">
        <v>2432</v>
      </c>
      <c r="AJ1955" s="29" t="s">
        <v>3064</v>
      </c>
      <c r="AL1955" s="29" t="s">
        <v>2271</v>
      </c>
    </row>
    <row r="1956" spans="15:38">
      <c r="O1956" t="s">
        <v>24</v>
      </c>
      <c r="P1956" t="s">
        <v>43</v>
      </c>
      <c r="Q1956" t="s">
        <v>3</v>
      </c>
      <c r="R1956" t="s">
        <v>67</v>
      </c>
      <c r="S1956">
        <v>2024.45</v>
      </c>
      <c r="T1956">
        <v>51890.16</v>
      </c>
      <c r="U1956">
        <v>68668.844200000007</v>
      </c>
      <c r="V1956">
        <v>68668.844200000007</v>
      </c>
      <c r="AA1956" s="29" t="s">
        <v>43</v>
      </c>
      <c r="AB1956">
        <v>31200</v>
      </c>
      <c r="AC1956">
        <v>130</v>
      </c>
      <c r="AD1956">
        <v>4</v>
      </c>
      <c r="AE1956">
        <v>165.6</v>
      </c>
      <c r="AF1956">
        <v>165.6</v>
      </c>
      <c r="AG1956" s="29" t="s">
        <v>2270</v>
      </c>
      <c r="AH1956" s="29" t="s">
        <v>2798</v>
      </c>
      <c r="AI1956" s="29" t="s">
        <v>2432</v>
      </c>
      <c r="AJ1956" s="29" t="s">
        <v>2799</v>
      </c>
      <c r="AL1956" s="29" t="s">
        <v>2271</v>
      </c>
    </row>
    <row r="1957" spans="15:38">
      <c r="O1957" t="s">
        <v>24</v>
      </c>
      <c r="P1957" t="s">
        <v>43</v>
      </c>
      <c r="Q1957" t="s">
        <v>3</v>
      </c>
      <c r="R1957" t="s">
        <v>67</v>
      </c>
      <c r="S1957">
        <v>2024.47</v>
      </c>
      <c r="T1957">
        <v>51890.16</v>
      </c>
      <c r="U1957">
        <v>68668.844200000007</v>
      </c>
      <c r="V1957">
        <v>68668.844200000007</v>
      </c>
      <c r="AA1957" s="29" t="s">
        <v>43</v>
      </c>
      <c r="AB1957">
        <v>31200</v>
      </c>
      <c r="AC1957">
        <v>130</v>
      </c>
      <c r="AD1957">
        <v>4</v>
      </c>
      <c r="AE1957">
        <v>208.33</v>
      </c>
      <c r="AF1957">
        <v>208.33</v>
      </c>
      <c r="AG1957" s="29" t="s">
        <v>2270</v>
      </c>
      <c r="AH1957" s="29" t="s">
        <v>3065</v>
      </c>
      <c r="AI1957" s="29" t="s">
        <v>2432</v>
      </c>
      <c r="AJ1957" s="29" t="s">
        <v>3066</v>
      </c>
      <c r="AL1957" s="29" t="s">
        <v>2271</v>
      </c>
    </row>
    <row r="1958" spans="15:38">
      <c r="O1958" t="s">
        <v>24</v>
      </c>
      <c r="P1958" t="s">
        <v>43</v>
      </c>
      <c r="Q1958" t="s">
        <v>3</v>
      </c>
      <c r="R1958" t="s">
        <v>67</v>
      </c>
      <c r="S1958">
        <v>2024.48</v>
      </c>
      <c r="T1958">
        <v>51890.16</v>
      </c>
      <c r="U1958">
        <v>68668.844200000007</v>
      </c>
      <c r="V1958">
        <v>53668.8442</v>
      </c>
      <c r="AA1958" s="29" t="s">
        <v>43</v>
      </c>
      <c r="AB1958">
        <v>31200</v>
      </c>
      <c r="AC1958">
        <v>130</v>
      </c>
      <c r="AD1958">
        <v>4</v>
      </c>
      <c r="AE1958">
        <v>223.8</v>
      </c>
      <c r="AF1958">
        <v>223.8</v>
      </c>
      <c r="AG1958" s="29" t="s">
        <v>2270</v>
      </c>
      <c r="AH1958" s="29" t="s">
        <v>3067</v>
      </c>
      <c r="AI1958" s="29" t="s">
        <v>2432</v>
      </c>
      <c r="AJ1958" s="29" t="s">
        <v>3068</v>
      </c>
      <c r="AL1958" s="29" t="s">
        <v>2271</v>
      </c>
    </row>
    <row r="1959" spans="15:38">
      <c r="O1959" t="s">
        <v>24</v>
      </c>
      <c r="P1959" t="s">
        <v>43</v>
      </c>
      <c r="Q1959" t="s">
        <v>3</v>
      </c>
      <c r="R1959" t="s">
        <v>67</v>
      </c>
      <c r="S1959">
        <v>2024.49</v>
      </c>
      <c r="T1959">
        <v>57968.4</v>
      </c>
      <c r="U1959">
        <v>68668.844200000007</v>
      </c>
      <c r="V1959">
        <v>53668.8442</v>
      </c>
      <c r="AA1959" s="29" t="s">
        <v>43</v>
      </c>
      <c r="AB1959">
        <v>31200</v>
      </c>
      <c r="AC1959">
        <v>130</v>
      </c>
      <c r="AD1959">
        <v>4</v>
      </c>
      <c r="AE1959">
        <v>313.45</v>
      </c>
      <c r="AF1959">
        <v>313.45</v>
      </c>
      <c r="AG1959" s="29" t="s">
        <v>2270</v>
      </c>
      <c r="AH1959" s="29" t="s">
        <v>3069</v>
      </c>
      <c r="AI1959" s="29" t="s">
        <v>2432</v>
      </c>
      <c r="AJ1959" s="29" t="s">
        <v>3070</v>
      </c>
      <c r="AL1959" s="29" t="s">
        <v>2271</v>
      </c>
    </row>
    <row r="1960" spans="15:38">
      <c r="O1960" t="s">
        <v>24</v>
      </c>
      <c r="P1960" t="s">
        <v>43</v>
      </c>
      <c r="Q1960" t="s">
        <v>3</v>
      </c>
      <c r="R1960" t="s">
        <v>67</v>
      </c>
      <c r="S1960">
        <v>2025.03</v>
      </c>
      <c r="T1960">
        <v>58981.440000000002</v>
      </c>
      <c r="U1960">
        <v>68668.844200000007</v>
      </c>
      <c r="V1960">
        <v>59668.8442</v>
      </c>
      <c r="AA1960" s="29" t="s">
        <v>43</v>
      </c>
      <c r="AB1960">
        <v>31200</v>
      </c>
      <c r="AC1960">
        <v>130</v>
      </c>
      <c r="AD1960">
        <v>4</v>
      </c>
      <c r="AE1960">
        <v>374.37</v>
      </c>
      <c r="AF1960">
        <v>374.37</v>
      </c>
      <c r="AG1960" s="29" t="s">
        <v>2270</v>
      </c>
      <c r="AH1960" s="29" t="s">
        <v>3071</v>
      </c>
      <c r="AI1960" s="29" t="s">
        <v>2432</v>
      </c>
      <c r="AJ1960" s="29" t="s">
        <v>3072</v>
      </c>
      <c r="AL1960" s="29" t="s">
        <v>2271</v>
      </c>
    </row>
    <row r="1961" spans="15:38">
      <c r="O1961" t="s">
        <v>24</v>
      </c>
      <c r="P1961" t="s">
        <v>43</v>
      </c>
      <c r="Q1961" t="s">
        <v>3</v>
      </c>
      <c r="R1961" t="s">
        <v>67</v>
      </c>
      <c r="S1961">
        <v>2025.08</v>
      </c>
      <c r="T1961">
        <v>65397.36</v>
      </c>
      <c r="U1961">
        <v>68668.844200000007</v>
      </c>
      <c r="V1961">
        <v>59668.8442</v>
      </c>
      <c r="AA1961" s="29" t="s">
        <v>43</v>
      </c>
      <c r="AB1961">
        <v>31200</v>
      </c>
      <c r="AC1961">
        <v>130</v>
      </c>
      <c r="AD1961">
        <v>4</v>
      </c>
      <c r="AE1961">
        <v>5.13</v>
      </c>
      <c r="AF1961">
        <v>5.13</v>
      </c>
      <c r="AG1961" s="29" t="s">
        <v>2270</v>
      </c>
      <c r="AH1961" s="29" t="s">
        <v>2782</v>
      </c>
      <c r="AI1961" s="29" t="s">
        <v>2432</v>
      </c>
      <c r="AJ1961" s="29" t="s">
        <v>3073</v>
      </c>
      <c r="AL1961" s="29" t="s">
        <v>2271</v>
      </c>
    </row>
    <row r="1962" spans="15:38">
      <c r="O1962" t="s">
        <v>24</v>
      </c>
      <c r="P1962" t="s">
        <v>43</v>
      </c>
      <c r="Q1962" t="s">
        <v>3</v>
      </c>
      <c r="R1962" t="s">
        <v>67</v>
      </c>
      <c r="S1962">
        <v>2025.1</v>
      </c>
      <c r="T1962">
        <v>74664.240000000005</v>
      </c>
      <c r="U1962">
        <v>68668.844200000007</v>
      </c>
      <c r="V1962">
        <v>59668.8442</v>
      </c>
      <c r="AA1962" s="29" t="s">
        <v>43</v>
      </c>
      <c r="AB1962">
        <v>31200</v>
      </c>
      <c r="AC1962">
        <v>140</v>
      </c>
      <c r="AD1962">
        <v>1</v>
      </c>
      <c r="AE1962">
        <v>0</v>
      </c>
      <c r="AF1962">
        <v>0</v>
      </c>
      <c r="AG1962" s="29" t="s">
        <v>3074</v>
      </c>
      <c r="AH1962" s="29"/>
      <c r="AI1962" s="29"/>
      <c r="AJ1962" s="29"/>
      <c r="AL1962" s="29" t="s">
        <v>3075</v>
      </c>
    </row>
    <row r="1963" spans="15:38">
      <c r="O1963" t="s">
        <v>24</v>
      </c>
      <c r="P1963" t="s">
        <v>43</v>
      </c>
      <c r="Q1963" t="s">
        <v>3</v>
      </c>
      <c r="R1963" t="s">
        <v>67</v>
      </c>
      <c r="S1963">
        <v>2025.11</v>
      </c>
      <c r="T1963">
        <v>74664.240000000005</v>
      </c>
      <c r="U1963">
        <v>68668.844200000007</v>
      </c>
      <c r="V1963">
        <v>59668.8442</v>
      </c>
      <c r="AA1963" s="29" t="s">
        <v>43</v>
      </c>
      <c r="AB1963">
        <v>31200</v>
      </c>
      <c r="AC1963">
        <v>140</v>
      </c>
      <c r="AD1963">
        <v>3</v>
      </c>
      <c r="AE1963">
        <v>1191</v>
      </c>
      <c r="AF1963">
        <v>1191</v>
      </c>
      <c r="AG1963" s="29" t="s">
        <v>3074</v>
      </c>
      <c r="AH1963" s="29" t="s">
        <v>3076</v>
      </c>
      <c r="AI1963" s="29" t="s">
        <v>3077</v>
      </c>
      <c r="AJ1963" s="29"/>
      <c r="AL1963" s="29" t="s">
        <v>3075</v>
      </c>
    </row>
    <row r="1964" spans="15:38">
      <c r="O1964" t="s">
        <v>24</v>
      </c>
      <c r="P1964" t="s">
        <v>43</v>
      </c>
      <c r="Q1964" t="s">
        <v>3</v>
      </c>
      <c r="R1964" t="s">
        <v>67</v>
      </c>
      <c r="S1964">
        <v>2025.12</v>
      </c>
      <c r="T1964">
        <v>74664.240000000005</v>
      </c>
      <c r="U1964">
        <v>68668.844200000007</v>
      </c>
      <c r="V1964">
        <v>59668.8442</v>
      </c>
      <c r="AA1964" s="29" t="s">
        <v>43</v>
      </c>
      <c r="AB1964">
        <v>31200</v>
      </c>
      <c r="AC1964">
        <v>140</v>
      </c>
      <c r="AD1964">
        <v>3</v>
      </c>
      <c r="AE1964">
        <v>1191</v>
      </c>
      <c r="AF1964">
        <v>1191</v>
      </c>
      <c r="AG1964" s="29" t="s">
        <v>3074</v>
      </c>
      <c r="AH1964" s="29" t="s">
        <v>3076</v>
      </c>
      <c r="AI1964" s="29" t="s">
        <v>3078</v>
      </c>
      <c r="AJ1964" s="29"/>
      <c r="AL1964" s="29" t="s">
        <v>3075</v>
      </c>
    </row>
    <row r="1965" spans="15:38">
      <c r="O1965" t="s">
        <v>24</v>
      </c>
      <c r="P1965" t="s">
        <v>43</v>
      </c>
      <c r="Q1965" t="s">
        <v>3</v>
      </c>
      <c r="R1965" t="s">
        <v>64</v>
      </c>
      <c r="S1965">
        <v>2023.51</v>
      </c>
      <c r="T1965">
        <v>2910.51</v>
      </c>
      <c r="U1965">
        <v>0</v>
      </c>
      <c r="V1965">
        <v>0</v>
      </c>
      <c r="AA1965" s="29" t="s">
        <v>43</v>
      </c>
      <c r="AB1965">
        <v>31200</v>
      </c>
      <c r="AC1965">
        <v>140</v>
      </c>
      <c r="AD1965">
        <v>3</v>
      </c>
      <c r="AE1965">
        <v>548</v>
      </c>
      <c r="AF1965">
        <v>548</v>
      </c>
      <c r="AG1965" s="29" t="s">
        <v>3074</v>
      </c>
      <c r="AH1965" s="29" t="s">
        <v>3079</v>
      </c>
      <c r="AI1965" s="29" t="s">
        <v>3080</v>
      </c>
      <c r="AJ1965" s="29"/>
      <c r="AL1965" s="29" t="s">
        <v>3075</v>
      </c>
    </row>
    <row r="1966" spans="15:38">
      <c r="O1966" t="s">
        <v>24</v>
      </c>
      <c r="P1966" t="s">
        <v>43</v>
      </c>
      <c r="Q1966" t="s">
        <v>3</v>
      </c>
      <c r="R1966" t="s">
        <v>64</v>
      </c>
      <c r="S1966">
        <v>2024.05</v>
      </c>
      <c r="T1966">
        <v>2312.46</v>
      </c>
      <c r="U1966">
        <v>0</v>
      </c>
      <c r="V1966">
        <v>0</v>
      </c>
      <c r="AA1966" s="29" t="s">
        <v>43</v>
      </c>
      <c r="AB1966">
        <v>31200</v>
      </c>
      <c r="AC1966">
        <v>140</v>
      </c>
      <c r="AD1966">
        <v>3</v>
      </c>
      <c r="AE1966">
        <v>942</v>
      </c>
      <c r="AF1966">
        <v>942</v>
      </c>
      <c r="AG1966" s="29" t="s">
        <v>3074</v>
      </c>
      <c r="AH1966" s="29" t="s">
        <v>3081</v>
      </c>
      <c r="AI1966" s="29" t="s">
        <v>3082</v>
      </c>
      <c r="AJ1966" s="29"/>
      <c r="AL1966" s="29" t="s">
        <v>3075</v>
      </c>
    </row>
    <row r="1967" spans="15:38">
      <c r="O1967" t="s">
        <v>24</v>
      </c>
      <c r="P1967" t="s">
        <v>43</v>
      </c>
      <c r="Q1967" t="s">
        <v>3</v>
      </c>
      <c r="R1967" t="s">
        <v>64</v>
      </c>
      <c r="S1967">
        <v>2024.06</v>
      </c>
      <c r="T1967">
        <v>2312.46</v>
      </c>
      <c r="U1967">
        <v>0</v>
      </c>
      <c r="V1967">
        <v>0</v>
      </c>
      <c r="AA1967" s="29" t="s">
        <v>43</v>
      </c>
      <c r="AB1967">
        <v>31200</v>
      </c>
      <c r="AC1967">
        <v>140</v>
      </c>
      <c r="AD1967">
        <v>3</v>
      </c>
      <c r="AE1967">
        <v>69.099999999999994</v>
      </c>
      <c r="AF1967">
        <v>69.099999999999994</v>
      </c>
      <c r="AG1967" s="29" t="s">
        <v>3074</v>
      </c>
      <c r="AH1967" s="29" t="s">
        <v>3083</v>
      </c>
      <c r="AI1967" s="29" t="s">
        <v>3084</v>
      </c>
      <c r="AJ1967" s="29"/>
      <c r="AL1967" s="29" t="s">
        <v>3075</v>
      </c>
    </row>
    <row r="1968" spans="15:38">
      <c r="O1968" t="s">
        <v>24</v>
      </c>
      <c r="P1968" t="s">
        <v>43</v>
      </c>
      <c r="Q1968" t="s">
        <v>3</v>
      </c>
      <c r="R1968" t="s">
        <v>64</v>
      </c>
      <c r="S1968">
        <v>2024.07</v>
      </c>
      <c r="T1968">
        <v>2312.46</v>
      </c>
      <c r="U1968">
        <v>0</v>
      </c>
      <c r="V1968">
        <v>0</v>
      </c>
      <c r="AA1968" s="29" t="s">
        <v>43</v>
      </c>
      <c r="AB1968">
        <v>31200</v>
      </c>
      <c r="AC1968">
        <v>140</v>
      </c>
      <c r="AD1968">
        <v>3</v>
      </c>
      <c r="AE1968">
        <v>1895.08</v>
      </c>
      <c r="AF1968">
        <v>1895.08</v>
      </c>
      <c r="AG1968" s="29" t="s">
        <v>3074</v>
      </c>
      <c r="AH1968" s="29" t="s">
        <v>3085</v>
      </c>
      <c r="AI1968" s="29" t="s">
        <v>3086</v>
      </c>
      <c r="AJ1968" s="29"/>
      <c r="AL1968" s="29" t="s">
        <v>3075</v>
      </c>
    </row>
    <row r="1969" spans="15:38">
      <c r="O1969" t="s">
        <v>24</v>
      </c>
      <c r="P1969" t="s">
        <v>43</v>
      </c>
      <c r="Q1969" t="s">
        <v>3</v>
      </c>
      <c r="R1969" t="s">
        <v>64</v>
      </c>
      <c r="S1969">
        <v>2024.08</v>
      </c>
      <c r="T1969">
        <v>2910.51</v>
      </c>
      <c r="U1969">
        <v>0</v>
      </c>
      <c r="V1969">
        <v>0</v>
      </c>
      <c r="AA1969" s="29" t="s">
        <v>43</v>
      </c>
      <c r="AB1969">
        <v>31200</v>
      </c>
      <c r="AC1969">
        <v>140</v>
      </c>
      <c r="AD1969">
        <v>3</v>
      </c>
      <c r="AE1969">
        <v>400</v>
      </c>
      <c r="AF1969">
        <v>400</v>
      </c>
      <c r="AG1969" s="29" t="s">
        <v>3074</v>
      </c>
      <c r="AH1969" s="29" t="s">
        <v>3087</v>
      </c>
      <c r="AI1969" s="29" t="s">
        <v>3088</v>
      </c>
      <c r="AJ1969" s="29"/>
      <c r="AL1969" s="29" t="s">
        <v>3075</v>
      </c>
    </row>
    <row r="1970" spans="15:38">
      <c r="O1970" t="s">
        <v>24</v>
      </c>
      <c r="P1970" t="s">
        <v>43</v>
      </c>
      <c r="Q1970" t="s">
        <v>3</v>
      </c>
      <c r="R1970" t="s">
        <v>64</v>
      </c>
      <c r="S1970">
        <v>2024.09</v>
      </c>
      <c r="T1970">
        <v>2910.51</v>
      </c>
      <c r="U1970">
        <v>0</v>
      </c>
      <c r="V1970">
        <v>0</v>
      </c>
      <c r="AA1970" s="29" t="s">
        <v>43</v>
      </c>
      <c r="AB1970">
        <v>31200</v>
      </c>
      <c r="AC1970">
        <v>140</v>
      </c>
      <c r="AD1970">
        <v>3</v>
      </c>
      <c r="AE1970">
        <v>204</v>
      </c>
      <c r="AF1970">
        <v>204</v>
      </c>
      <c r="AG1970" s="29" t="s">
        <v>3074</v>
      </c>
      <c r="AH1970" s="29" t="s">
        <v>3089</v>
      </c>
      <c r="AI1970" s="29" t="s">
        <v>3090</v>
      </c>
      <c r="AJ1970" s="29"/>
      <c r="AL1970" s="29" t="s">
        <v>3075</v>
      </c>
    </row>
    <row r="1971" spans="15:38">
      <c r="O1971" t="s">
        <v>24</v>
      </c>
      <c r="P1971" t="s">
        <v>43</v>
      </c>
      <c r="Q1971" t="s">
        <v>3</v>
      </c>
      <c r="R1971" t="s">
        <v>64</v>
      </c>
      <c r="S1971">
        <v>2024.1</v>
      </c>
      <c r="T1971">
        <v>3030.12</v>
      </c>
      <c r="U1971">
        <v>0</v>
      </c>
      <c r="V1971">
        <v>0</v>
      </c>
      <c r="AA1971" s="29" t="s">
        <v>43</v>
      </c>
      <c r="AB1971">
        <v>31200</v>
      </c>
      <c r="AC1971">
        <v>140</v>
      </c>
      <c r="AD1971">
        <v>3</v>
      </c>
      <c r="AE1971">
        <v>80</v>
      </c>
      <c r="AF1971">
        <v>80</v>
      </c>
      <c r="AG1971" s="29" t="s">
        <v>3074</v>
      </c>
      <c r="AH1971" s="29" t="s">
        <v>3091</v>
      </c>
      <c r="AI1971" s="29" t="s">
        <v>3092</v>
      </c>
      <c r="AJ1971" s="29"/>
      <c r="AL1971" s="29" t="s">
        <v>3075</v>
      </c>
    </row>
    <row r="1972" spans="15:38">
      <c r="O1972" t="s">
        <v>24</v>
      </c>
      <c r="P1972" t="s">
        <v>43</v>
      </c>
      <c r="Q1972" t="s">
        <v>3</v>
      </c>
      <c r="R1972" t="s">
        <v>64</v>
      </c>
      <c r="S1972">
        <v>2024.11</v>
      </c>
      <c r="T1972">
        <v>3349.08</v>
      </c>
      <c r="U1972">
        <v>0</v>
      </c>
      <c r="V1972">
        <v>0</v>
      </c>
      <c r="AA1972" s="29" t="s">
        <v>43</v>
      </c>
      <c r="AB1972">
        <v>31200</v>
      </c>
      <c r="AC1972">
        <v>140</v>
      </c>
      <c r="AD1972">
        <v>3</v>
      </c>
      <c r="AE1972">
        <v>90</v>
      </c>
      <c r="AF1972">
        <v>90</v>
      </c>
      <c r="AG1972" s="29" t="s">
        <v>3074</v>
      </c>
      <c r="AH1972" s="29" t="s">
        <v>3093</v>
      </c>
      <c r="AI1972" s="29" t="s">
        <v>3094</v>
      </c>
      <c r="AJ1972" s="29"/>
      <c r="AL1972" s="29" t="s">
        <v>3075</v>
      </c>
    </row>
    <row r="1973" spans="15:38">
      <c r="O1973" t="s">
        <v>24</v>
      </c>
      <c r="P1973" t="s">
        <v>43</v>
      </c>
      <c r="Q1973" t="s">
        <v>3</v>
      </c>
      <c r="R1973" t="s">
        <v>64</v>
      </c>
      <c r="S1973">
        <v>2024.12</v>
      </c>
      <c r="T1973">
        <v>3640.52</v>
      </c>
      <c r="U1973">
        <v>0</v>
      </c>
      <c r="V1973">
        <v>0</v>
      </c>
      <c r="AA1973" s="29" t="s">
        <v>43</v>
      </c>
      <c r="AB1973">
        <v>31200</v>
      </c>
      <c r="AC1973">
        <v>140</v>
      </c>
      <c r="AD1973">
        <v>3</v>
      </c>
      <c r="AE1973">
        <v>2222.23</v>
      </c>
      <c r="AF1973">
        <v>2222.23</v>
      </c>
      <c r="AG1973" s="29" t="s">
        <v>3074</v>
      </c>
      <c r="AH1973" s="29" t="s">
        <v>3095</v>
      </c>
      <c r="AI1973" s="29" t="s">
        <v>3096</v>
      </c>
      <c r="AJ1973" s="29"/>
      <c r="AL1973" s="29" t="s">
        <v>3075</v>
      </c>
    </row>
    <row r="1974" spans="15:38">
      <c r="O1974" t="s">
        <v>24</v>
      </c>
      <c r="P1974" t="s">
        <v>43</v>
      </c>
      <c r="Q1974" t="s">
        <v>3</v>
      </c>
      <c r="R1974" t="s">
        <v>64</v>
      </c>
      <c r="S1974">
        <v>2024.14</v>
      </c>
      <c r="T1974">
        <v>4004.82</v>
      </c>
      <c r="U1974">
        <v>0</v>
      </c>
      <c r="V1974">
        <v>0</v>
      </c>
      <c r="AA1974" s="29" t="s">
        <v>43</v>
      </c>
      <c r="AB1974">
        <v>31200</v>
      </c>
      <c r="AC1974">
        <v>140</v>
      </c>
      <c r="AD1974">
        <v>3</v>
      </c>
      <c r="AE1974">
        <v>157.80000000000001</v>
      </c>
      <c r="AF1974">
        <v>157.80000000000001</v>
      </c>
      <c r="AG1974" s="29" t="s">
        <v>3074</v>
      </c>
      <c r="AH1974" s="29" t="s">
        <v>3097</v>
      </c>
      <c r="AI1974" s="29" t="s">
        <v>3098</v>
      </c>
      <c r="AJ1974" s="29"/>
      <c r="AL1974" s="29" t="s">
        <v>3075</v>
      </c>
    </row>
    <row r="1975" spans="15:38">
      <c r="O1975" t="s">
        <v>24</v>
      </c>
      <c r="P1975" t="s">
        <v>43</v>
      </c>
      <c r="Q1975" t="s">
        <v>3</v>
      </c>
      <c r="R1975" t="s">
        <v>64</v>
      </c>
      <c r="S1975">
        <v>2024.17</v>
      </c>
      <c r="T1975">
        <v>5662.39</v>
      </c>
      <c r="U1975">
        <v>0</v>
      </c>
      <c r="V1975">
        <v>0</v>
      </c>
      <c r="AA1975" s="29" t="s">
        <v>43</v>
      </c>
      <c r="AB1975">
        <v>31200</v>
      </c>
      <c r="AC1975">
        <v>150</v>
      </c>
      <c r="AD1975">
        <v>1</v>
      </c>
      <c r="AE1975">
        <v>0</v>
      </c>
      <c r="AF1975">
        <v>0</v>
      </c>
      <c r="AG1975" s="29" t="s">
        <v>3099</v>
      </c>
      <c r="AH1975" s="29"/>
      <c r="AI1975" s="29"/>
      <c r="AJ1975" s="29"/>
      <c r="AL1975" s="29" t="s">
        <v>3100</v>
      </c>
    </row>
    <row r="1976" spans="15:38">
      <c r="O1976" t="s">
        <v>24</v>
      </c>
      <c r="P1976" t="s">
        <v>43</v>
      </c>
      <c r="Q1976" t="s">
        <v>3</v>
      </c>
      <c r="R1976" t="s">
        <v>64</v>
      </c>
      <c r="S1976">
        <v>2024.18</v>
      </c>
      <c r="T1976">
        <v>6372.78</v>
      </c>
      <c r="U1976">
        <v>0</v>
      </c>
      <c r="V1976">
        <v>0</v>
      </c>
      <c r="AA1976" s="29" t="s">
        <v>43</v>
      </c>
      <c r="AB1976">
        <v>31200</v>
      </c>
      <c r="AC1976">
        <v>150</v>
      </c>
      <c r="AD1976">
        <v>3</v>
      </c>
      <c r="AE1976">
        <v>30</v>
      </c>
      <c r="AF1976">
        <v>30</v>
      </c>
      <c r="AG1976" s="29" t="s">
        <v>3099</v>
      </c>
      <c r="AH1976" s="29" t="s">
        <v>3101</v>
      </c>
      <c r="AI1976" s="29" t="s">
        <v>3102</v>
      </c>
      <c r="AJ1976" s="29"/>
      <c r="AL1976" s="29" t="s">
        <v>3100</v>
      </c>
    </row>
    <row r="1977" spans="15:38">
      <c r="O1977" t="s">
        <v>24</v>
      </c>
      <c r="P1977" t="s">
        <v>43</v>
      </c>
      <c r="Q1977" t="s">
        <v>3</v>
      </c>
      <c r="R1977" t="s">
        <v>64</v>
      </c>
      <c r="S1977">
        <v>2024.19</v>
      </c>
      <c r="T1977">
        <v>6955.66</v>
      </c>
      <c r="U1977">
        <v>0</v>
      </c>
      <c r="V1977">
        <v>0</v>
      </c>
      <c r="AA1977" s="29" t="s">
        <v>43</v>
      </c>
      <c r="AB1977">
        <v>31200</v>
      </c>
      <c r="AC1977">
        <v>150</v>
      </c>
      <c r="AD1977">
        <v>3</v>
      </c>
      <c r="AE1977">
        <v>550</v>
      </c>
      <c r="AF1977">
        <v>550</v>
      </c>
      <c r="AG1977" s="29" t="s">
        <v>3099</v>
      </c>
      <c r="AH1977" s="29" t="s">
        <v>3103</v>
      </c>
      <c r="AI1977" s="29" t="s">
        <v>3104</v>
      </c>
      <c r="AJ1977" s="29"/>
      <c r="AL1977" s="29" t="s">
        <v>3100</v>
      </c>
    </row>
    <row r="1978" spans="15:38">
      <c r="O1978" t="s">
        <v>24</v>
      </c>
      <c r="P1978" t="s">
        <v>43</v>
      </c>
      <c r="Q1978" t="s">
        <v>3</v>
      </c>
      <c r="R1978" t="s">
        <v>64</v>
      </c>
      <c r="S1978">
        <v>2024.2</v>
      </c>
      <c r="T1978">
        <v>6955.66</v>
      </c>
      <c r="U1978">
        <v>0</v>
      </c>
      <c r="V1978">
        <v>0</v>
      </c>
      <c r="AA1978" s="29" t="s">
        <v>43</v>
      </c>
      <c r="AB1978">
        <v>31200</v>
      </c>
      <c r="AC1978">
        <v>150</v>
      </c>
      <c r="AD1978">
        <v>3</v>
      </c>
      <c r="AE1978">
        <v>98.49</v>
      </c>
      <c r="AF1978">
        <v>98.49</v>
      </c>
      <c r="AG1978" s="29" t="s">
        <v>3099</v>
      </c>
      <c r="AH1978" s="29" t="s">
        <v>3105</v>
      </c>
      <c r="AI1978" s="29" t="s">
        <v>3106</v>
      </c>
      <c r="AJ1978" s="29"/>
      <c r="AL1978" s="29" t="s">
        <v>3100</v>
      </c>
    </row>
    <row r="1979" spans="15:38">
      <c r="O1979" t="s">
        <v>24</v>
      </c>
      <c r="P1979" t="s">
        <v>43</v>
      </c>
      <c r="Q1979" t="s">
        <v>3</v>
      </c>
      <c r="R1979" t="s">
        <v>64</v>
      </c>
      <c r="S1979">
        <v>2024.21</v>
      </c>
      <c r="T1979">
        <v>6955.66</v>
      </c>
      <c r="U1979">
        <v>0</v>
      </c>
      <c r="V1979">
        <v>0</v>
      </c>
      <c r="AA1979" s="29" t="s">
        <v>43</v>
      </c>
      <c r="AB1979">
        <v>31200</v>
      </c>
      <c r="AC1979">
        <v>150</v>
      </c>
      <c r="AD1979">
        <v>3</v>
      </c>
      <c r="AE1979">
        <v>1781.95</v>
      </c>
      <c r="AF1979">
        <v>1781.95</v>
      </c>
      <c r="AG1979" s="29" t="s">
        <v>3099</v>
      </c>
      <c r="AH1979" s="29" t="s">
        <v>3107</v>
      </c>
      <c r="AI1979" s="29" t="s">
        <v>3108</v>
      </c>
      <c r="AJ1979" s="29"/>
      <c r="AL1979" s="29" t="s">
        <v>3100</v>
      </c>
    </row>
    <row r="1980" spans="15:38">
      <c r="O1980" t="s">
        <v>24</v>
      </c>
      <c r="P1980" t="s">
        <v>43</v>
      </c>
      <c r="Q1980" t="s">
        <v>3</v>
      </c>
      <c r="R1980" t="s">
        <v>64</v>
      </c>
      <c r="S1980">
        <v>2024.28</v>
      </c>
      <c r="T1980">
        <v>6955.66</v>
      </c>
      <c r="U1980">
        <v>0</v>
      </c>
      <c r="V1980">
        <v>0</v>
      </c>
      <c r="AA1980" s="29" t="s">
        <v>43</v>
      </c>
      <c r="AB1980">
        <v>31200</v>
      </c>
      <c r="AC1980">
        <v>150</v>
      </c>
      <c r="AD1980">
        <v>3</v>
      </c>
      <c r="AE1980">
        <v>78.55</v>
      </c>
      <c r="AF1980">
        <v>78.55</v>
      </c>
      <c r="AG1980" s="29" t="s">
        <v>3099</v>
      </c>
      <c r="AH1980" s="29" t="s">
        <v>3109</v>
      </c>
      <c r="AI1980" s="29" t="s">
        <v>3110</v>
      </c>
      <c r="AJ1980" s="29"/>
      <c r="AL1980" s="29" t="s">
        <v>3100</v>
      </c>
    </row>
    <row r="1981" spans="15:38">
      <c r="O1981" t="s">
        <v>24</v>
      </c>
      <c r="P1981" t="s">
        <v>43</v>
      </c>
      <c r="Q1981" t="s">
        <v>3</v>
      </c>
      <c r="R1981" t="s">
        <v>64</v>
      </c>
      <c r="S1981">
        <v>2024.38</v>
      </c>
      <c r="T1981">
        <v>7028.52</v>
      </c>
      <c r="U1981">
        <v>0</v>
      </c>
      <c r="V1981">
        <v>0</v>
      </c>
      <c r="AA1981" s="29" t="s">
        <v>43</v>
      </c>
      <c r="AB1981">
        <v>31200</v>
      </c>
      <c r="AC1981">
        <v>150</v>
      </c>
      <c r="AD1981">
        <v>3</v>
      </c>
      <c r="AE1981">
        <v>1020.04</v>
      </c>
      <c r="AF1981">
        <v>1020.04</v>
      </c>
      <c r="AG1981" s="29" t="s">
        <v>3099</v>
      </c>
      <c r="AH1981" s="29" t="s">
        <v>3111</v>
      </c>
      <c r="AI1981" s="29" t="s">
        <v>3112</v>
      </c>
      <c r="AJ1981" s="29"/>
      <c r="AL1981" s="29" t="s">
        <v>3100</v>
      </c>
    </row>
    <row r="1982" spans="15:38">
      <c r="O1982" t="s">
        <v>24</v>
      </c>
      <c r="P1982" t="s">
        <v>43</v>
      </c>
      <c r="Q1982" t="s">
        <v>3</v>
      </c>
      <c r="R1982" t="s">
        <v>64</v>
      </c>
      <c r="S1982">
        <v>2024.39</v>
      </c>
      <c r="T1982">
        <v>7028.52</v>
      </c>
      <c r="U1982">
        <v>0</v>
      </c>
      <c r="V1982">
        <v>0</v>
      </c>
      <c r="AA1982" s="29" t="s">
        <v>43</v>
      </c>
      <c r="AB1982">
        <v>31200</v>
      </c>
      <c r="AC1982">
        <v>160</v>
      </c>
      <c r="AD1982">
        <v>1</v>
      </c>
      <c r="AE1982">
        <v>0</v>
      </c>
      <c r="AF1982">
        <v>0</v>
      </c>
      <c r="AG1982" s="29" t="s">
        <v>3113</v>
      </c>
      <c r="AH1982" s="29"/>
      <c r="AI1982" s="29"/>
      <c r="AJ1982" s="29"/>
      <c r="AL1982" s="29" t="s">
        <v>3114</v>
      </c>
    </row>
    <row r="1983" spans="15:38">
      <c r="O1983" t="s">
        <v>24</v>
      </c>
      <c r="P1983" t="s">
        <v>43</v>
      </c>
      <c r="Q1983" t="s">
        <v>3</v>
      </c>
      <c r="R1983" t="s">
        <v>64</v>
      </c>
      <c r="S1983">
        <v>2024.41</v>
      </c>
      <c r="T1983">
        <v>7319.96</v>
      </c>
      <c r="U1983">
        <v>0</v>
      </c>
      <c r="V1983">
        <v>0</v>
      </c>
      <c r="AA1983" s="29" t="s">
        <v>43</v>
      </c>
      <c r="AB1983">
        <v>31200</v>
      </c>
      <c r="AC1983">
        <v>160</v>
      </c>
      <c r="AD1983">
        <v>3</v>
      </c>
      <c r="AE1983">
        <v>464</v>
      </c>
      <c r="AF1983">
        <v>464</v>
      </c>
      <c r="AG1983" s="29" t="s">
        <v>3113</v>
      </c>
      <c r="AH1983" s="29" t="s">
        <v>3115</v>
      </c>
      <c r="AI1983" s="29" t="s">
        <v>3116</v>
      </c>
      <c r="AJ1983" s="29"/>
      <c r="AL1983" s="29" t="s">
        <v>3114</v>
      </c>
    </row>
    <row r="1984" spans="15:38">
      <c r="O1984" t="s">
        <v>24</v>
      </c>
      <c r="P1984" t="s">
        <v>43</v>
      </c>
      <c r="Q1984" t="s">
        <v>3</v>
      </c>
      <c r="R1984" t="s">
        <v>64</v>
      </c>
      <c r="S1984">
        <v>2024.43</v>
      </c>
      <c r="T1984">
        <v>8941.1</v>
      </c>
      <c r="U1984">
        <v>0</v>
      </c>
      <c r="V1984">
        <v>0</v>
      </c>
      <c r="AA1984" s="29" t="s">
        <v>43</v>
      </c>
      <c r="AB1984">
        <v>31200</v>
      </c>
      <c r="AC1984">
        <v>160</v>
      </c>
      <c r="AD1984">
        <v>3</v>
      </c>
      <c r="AE1984">
        <v>112.5</v>
      </c>
      <c r="AF1984">
        <v>112.5</v>
      </c>
      <c r="AG1984" s="29" t="s">
        <v>3113</v>
      </c>
      <c r="AH1984" s="29" t="s">
        <v>3117</v>
      </c>
      <c r="AI1984" s="29" t="s">
        <v>3118</v>
      </c>
      <c r="AJ1984" s="29"/>
      <c r="AL1984" s="29" t="s">
        <v>3114</v>
      </c>
    </row>
    <row r="1985" spans="15:38">
      <c r="O1985" t="s">
        <v>24</v>
      </c>
      <c r="P1985" t="s">
        <v>43</v>
      </c>
      <c r="Q1985" t="s">
        <v>3</v>
      </c>
      <c r="R1985" t="s">
        <v>64</v>
      </c>
      <c r="S1985">
        <v>2024.44</v>
      </c>
      <c r="T1985">
        <v>9232.5400000000009</v>
      </c>
      <c r="U1985">
        <v>0</v>
      </c>
      <c r="V1985">
        <v>0</v>
      </c>
      <c r="AA1985" s="29" t="s">
        <v>43</v>
      </c>
      <c r="AB1985">
        <v>31200</v>
      </c>
      <c r="AC1985">
        <v>160</v>
      </c>
      <c r="AD1985">
        <v>3</v>
      </c>
      <c r="AE1985">
        <v>0</v>
      </c>
      <c r="AF1985">
        <v>0</v>
      </c>
      <c r="AG1985" s="29" t="s">
        <v>3113</v>
      </c>
      <c r="AH1985" s="29" t="s">
        <v>3119</v>
      </c>
      <c r="AI1985" s="29" t="s">
        <v>3120</v>
      </c>
      <c r="AJ1985" s="29"/>
      <c r="AL1985" s="29" t="s">
        <v>3114</v>
      </c>
    </row>
    <row r="1986" spans="15:38">
      <c r="O1986" t="s">
        <v>24</v>
      </c>
      <c r="P1986" t="s">
        <v>43</v>
      </c>
      <c r="Q1986" t="s">
        <v>3</v>
      </c>
      <c r="R1986" t="s">
        <v>64</v>
      </c>
      <c r="S1986">
        <v>2024.45</v>
      </c>
      <c r="T1986">
        <v>10580.45</v>
      </c>
      <c r="U1986">
        <v>0</v>
      </c>
      <c r="V1986">
        <v>0</v>
      </c>
      <c r="AA1986" s="29" t="s">
        <v>43</v>
      </c>
      <c r="AB1986">
        <v>31200</v>
      </c>
      <c r="AC1986">
        <v>160</v>
      </c>
      <c r="AD1986">
        <v>3</v>
      </c>
      <c r="AE1986">
        <v>150</v>
      </c>
      <c r="AF1986">
        <v>150</v>
      </c>
      <c r="AG1986" s="29" t="s">
        <v>3113</v>
      </c>
      <c r="AH1986" s="29" t="s">
        <v>3121</v>
      </c>
      <c r="AI1986" s="29" t="s">
        <v>3122</v>
      </c>
      <c r="AJ1986" s="29"/>
      <c r="AL1986" s="29" t="s">
        <v>3114</v>
      </c>
    </row>
    <row r="1987" spans="15:38">
      <c r="O1987" t="s">
        <v>24</v>
      </c>
      <c r="P1987" t="s">
        <v>43</v>
      </c>
      <c r="Q1987" t="s">
        <v>3</v>
      </c>
      <c r="R1987" t="s">
        <v>64</v>
      </c>
      <c r="S1987">
        <v>2024.47</v>
      </c>
      <c r="T1987">
        <v>11564.6</v>
      </c>
      <c r="U1987">
        <v>0</v>
      </c>
      <c r="V1987">
        <v>0</v>
      </c>
      <c r="AA1987" s="29" t="s">
        <v>43</v>
      </c>
      <c r="AB1987">
        <v>31200</v>
      </c>
      <c r="AC1987">
        <v>160</v>
      </c>
      <c r="AD1987">
        <v>3</v>
      </c>
      <c r="AE1987">
        <v>280</v>
      </c>
      <c r="AF1987">
        <v>280</v>
      </c>
      <c r="AG1987" s="29" t="s">
        <v>3113</v>
      </c>
      <c r="AH1987" s="29" t="s">
        <v>3123</v>
      </c>
      <c r="AI1987" s="29" t="s">
        <v>3124</v>
      </c>
      <c r="AJ1987" s="29"/>
      <c r="AL1987" s="29" t="s">
        <v>3114</v>
      </c>
    </row>
    <row r="1988" spans="15:38">
      <c r="O1988" t="s">
        <v>24</v>
      </c>
      <c r="P1988" t="s">
        <v>43</v>
      </c>
      <c r="Q1988" t="s">
        <v>3</v>
      </c>
      <c r="R1988" t="s">
        <v>64</v>
      </c>
      <c r="S1988">
        <v>2024.48</v>
      </c>
      <c r="T1988">
        <v>12675.18</v>
      </c>
      <c r="U1988">
        <v>0</v>
      </c>
      <c r="V1988">
        <v>11564.6</v>
      </c>
      <c r="AA1988" s="29" t="s">
        <v>43</v>
      </c>
      <c r="AB1988">
        <v>31200</v>
      </c>
      <c r="AC1988">
        <v>160</v>
      </c>
      <c r="AD1988">
        <v>3</v>
      </c>
      <c r="AE1988">
        <v>0</v>
      </c>
      <c r="AF1988">
        <v>0</v>
      </c>
      <c r="AG1988" s="29" t="s">
        <v>3113</v>
      </c>
      <c r="AH1988" s="29" t="s">
        <v>3119</v>
      </c>
      <c r="AI1988" s="29" t="s">
        <v>3125</v>
      </c>
      <c r="AJ1988" s="29"/>
      <c r="AL1988" s="29" t="s">
        <v>3114</v>
      </c>
    </row>
    <row r="1989" spans="15:38">
      <c r="O1989" t="s">
        <v>24</v>
      </c>
      <c r="P1989" t="s">
        <v>43</v>
      </c>
      <c r="Q1989" t="s">
        <v>3</v>
      </c>
      <c r="R1989" t="s">
        <v>64</v>
      </c>
      <c r="S1989">
        <v>2024.49</v>
      </c>
      <c r="T1989">
        <v>13950.24</v>
      </c>
      <c r="U1989">
        <v>0</v>
      </c>
      <c r="V1989">
        <v>11564.6</v>
      </c>
      <c r="AA1989" s="29" t="s">
        <v>43</v>
      </c>
      <c r="AB1989">
        <v>31200</v>
      </c>
      <c r="AC1989">
        <v>160</v>
      </c>
      <c r="AD1989">
        <v>3</v>
      </c>
      <c r="AE1989">
        <v>1250</v>
      </c>
      <c r="AF1989">
        <v>1250</v>
      </c>
      <c r="AG1989" s="29" t="s">
        <v>3113</v>
      </c>
      <c r="AH1989" s="29" t="s">
        <v>3126</v>
      </c>
      <c r="AI1989" s="29" t="s">
        <v>3127</v>
      </c>
      <c r="AJ1989" s="29"/>
      <c r="AL1989" s="29" t="s">
        <v>3114</v>
      </c>
    </row>
    <row r="1990" spans="15:38">
      <c r="O1990" t="s">
        <v>24</v>
      </c>
      <c r="P1990" t="s">
        <v>43</v>
      </c>
      <c r="Q1990" t="s">
        <v>3</v>
      </c>
      <c r="R1990" t="s">
        <v>64</v>
      </c>
      <c r="S1990">
        <v>2025.03</v>
      </c>
      <c r="T1990">
        <v>16500.34</v>
      </c>
      <c r="U1990">
        <v>0</v>
      </c>
      <c r="V1990">
        <v>16500.34</v>
      </c>
      <c r="AA1990" s="29" t="s">
        <v>43</v>
      </c>
      <c r="AB1990">
        <v>31200</v>
      </c>
      <c r="AC1990">
        <v>160</v>
      </c>
      <c r="AD1990">
        <v>3</v>
      </c>
      <c r="AE1990">
        <v>0</v>
      </c>
      <c r="AF1990">
        <v>0</v>
      </c>
      <c r="AG1990" s="29" t="s">
        <v>3113</v>
      </c>
      <c r="AH1990" s="29" t="s">
        <v>3119</v>
      </c>
      <c r="AI1990" s="29" t="s">
        <v>3128</v>
      </c>
      <c r="AJ1990" s="29"/>
      <c r="AL1990" s="29" t="s">
        <v>3114</v>
      </c>
    </row>
    <row r="1991" spans="15:38">
      <c r="O1991" t="s">
        <v>24</v>
      </c>
      <c r="P1991" t="s">
        <v>43</v>
      </c>
      <c r="Q1991" t="s">
        <v>3</v>
      </c>
      <c r="R1991" t="s">
        <v>64</v>
      </c>
      <c r="S1991">
        <v>2025.08</v>
      </c>
      <c r="T1991">
        <v>17666.099999999999</v>
      </c>
      <c r="U1991">
        <v>0</v>
      </c>
      <c r="V1991">
        <v>16500.34</v>
      </c>
      <c r="AA1991" s="29" t="s">
        <v>43</v>
      </c>
      <c r="AB1991">
        <v>31200</v>
      </c>
      <c r="AC1991">
        <v>160</v>
      </c>
      <c r="AD1991">
        <v>3</v>
      </c>
      <c r="AE1991">
        <v>387</v>
      </c>
      <c r="AF1991">
        <v>387</v>
      </c>
      <c r="AG1991" s="29" t="s">
        <v>3113</v>
      </c>
      <c r="AH1991" s="29" t="s">
        <v>3129</v>
      </c>
      <c r="AI1991" s="29" t="s">
        <v>3130</v>
      </c>
      <c r="AJ1991" s="29"/>
      <c r="AL1991" s="29" t="s">
        <v>3114</v>
      </c>
    </row>
    <row r="1992" spans="15:38">
      <c r="O1992" t="s">
        <v>24</v>
      </c>
      <c r="P1992" t="s">
        <v>43</v>
      </c>
      <c r="Q1992" t="s">
        <v>3</v>
      </c>
      <c r="R1992" t="s">
        <v>64</v>
      </c>
      <c r="S1992">
        <v>2025.1</v>
      </c>
      <c r="T1992">
        <v>18321.84</v>
      </c>
      <c r="U1992">
        <v>0</v>
      </c>
      <c r="V1992">
        <v>16500.34</v>
      </c>
      <c r="AA1992" s="29" t="s">
        <v>43</v>
      </c>
      <c r="AB1992">
        <v>31200</v>
      </c>
      <c r="AC1992">
        <v>160</v>
      </c>
      <c r="AD1992">
        <v>3</v>
      </c>
      <c r="AE1992">
        <v>150</v>
      </c>
      <c r="AF1992">
        <v>150</v>
      </c>
      <c r="AG1992" s="29" t="s">
        <v>3113</v>
      </c>
      <c r="AH1992" s="29" t="s">
        <v>3121</v>
      </c>
      <c r="AI1992" s="29" t="s">
        <v>3131</v>
      </c>
      <c r="AJ1992" s="29"/>
      <c r="AL1992" s="29" t="s">
        <v>3114</v>
      </c>
    </row>
    <row r="1993" spans="15:38">
      <c r="O1993" t="s">
        <v>24</v>
      </c>
      <c r="P1993" t="s">
        <v>43</v>
      </c>
      <c r="Q1993" t="s">
        <v>3</v>
      </c>
      <c r="R1993" t="s">
        <v>64</v>
      </c>
      <c r="S1993">
        <v>2025.11</v>
      </c>
      <c r="T1993">
        <v>18321.84</v>
      </c>
      <c r="U1993">
        <v>0</v>
      </c>
      <c r="V1993">
        <v>16500.34</v>
      </c>
      <c r="AA1993" s="29" t="s">
        <v>43</v>
      </c>
      <c r="AB1993">
        <v>31200</v>
      </c>
      <c r="AC1993">
        <v>160</v>
      </c>
      <c r="AD1993">
        <v>3</v>
      </c>
      <c r="AE1993">
        <v>10815</v>
      </c>
      <c r="AF1993">
        <v>10815</v>
      </c>
      <c r="AG1993" s="29" t="s">
        <v>3113</v>
      </c>
      <c r="AH1993" s="29" t="s">
        <v>3132</v>
      </c>
      <c r="AI1993" s="29" t="s">
        <v>3133</v>
      </c>
      <c r="AJ1993" s="29"/>
      <c r="AL1993" s="29" t="s">
        <v>3114</v>
      </c>
    </row>
    <row r="1994" spans="15:38">
      <c r="O1994" t="s">
        <v>24</v>
      </c>
      <c r="P1994" t="s">
        <v>43</v>
      </c>
      <c r="Q1994" t="s">
        <v>3</v>
      </c>
      <c r="R1994" t="s">
        <v>64</v>
      </c>
      <c r="S1994">
        <v>2025.12</v>
      </c>
      <c r="T1994">
        <v>18321.84</v>
      </c>
      <c r="U1994">
        <v>0</v>
      </c>
      <c r="V1994">
        <v>16500.34</v>
      </c>
      <c r="AA1994" s="29" t="s">
        <v>43</v>
      </c>
      <c r="AB1994">
        <v>31200</v>
      </c>
      <c r="AC1994">
        <v>160</v>
      </c>
      <c r="AD1994">
        <v>3</v>
      </c>
      <c r="AE1994">
        <v>3330</v>
      </c>
      <c r="AF1994">
        <v>3330</v>
      </c>
      <c r="AG1994" s="29" t="s">
        <v>3113</v>
      </c>
      <c r="AH1994" s="29" t="s">
        <v>3134</v>
      </c>
      <c r="AI1994" s="29" t="s">
        <v>3135</v>
      </c>
      <c r="AJ1994" s="29"/>
      <c r="AL1994" s="29" t="s">
        <v>3114</v>
      </c>
    </row>
    <row r="1995" spans="15:38">
      <c r="O1995" t="s">
        <v>24</v>
      </c>
      <c r="P1995" t="s">
        <v>43</v>
      </c>
      <c r="Q1995" t="s">
        <v>3</v>
      </c>
      <c r="R1995" t="s">
        <v>55</v>
      </c>
      <c r="S1995">
        <v>2023.47</v>
      </c>
      <c r="T1995">
        <v>0</v>
      </c>
      <c r="U1995">
        <v>25401.157999999999</v>
      </c>
      <c r="V1995">
        <v>25401.157999999999</v>
      </c>
      <c r="AA1995" s="29" t="s">
        <v>43</v>
      </c>
      <c r="AB1995">
        <v>31200</v>
      </c>
      <c r="AC1995">
        <v>160</v>
      </c>
      <c r="AD1995">
        <v>3</v>
      </c>
      <c r="AE1995">
        <v>6203.75</v>
      </c>
      <c r="AF1995">
        <v>6203.75</v>
      </c>
      <c r="AG1995" s="29" t="s">
        <v>3113</v>
      </c>
      <c r="AH1995" s="29" t="s">
        <v>3136</v>
      </c>
      <c r="AI1995" s="29" t="s">
        <v>3137</v>
      </c>
      <c r="AJ1995" s="29"/>
      <c r="AL1995" s="29" t="s">
        <v>3114</v>
      </c>
    </row>
    <row r="1996" spans="15:38">
      <c r="O1996" t="s">
        <v>24</v>
      </c>
      <c r="P1996" t="s">
        <v>43</v>
      </c>
      <c r="Q1996" t="s">
        <v>3</v>
      </c>
      <c r="R1996" t="s">
        <v>55</v>
      </c>
      <c r="S1996">
        <v>2024.44</v>
      </c>
      <c r="T1996">
        <v>0</v>
      </c>
      <c r="U1996">
        <v>26580.800999999999</v>
      </c>
      <c r="V1996">
        <v>26580.800999999999</v>
      </c>
      <c r="AA1996" s="29" t="s">
        <v>43</v>
      </c>
      <c r="AB1996">
        <v>31200</v>
      </c>
      <c r="AC1996">
        <v>160</v>
      </c>
      <c r="AD1996">
        <v>3</v>
      </c>
      <c r="AE1996">
        <v>370</v>
      </c>
      <c r="AF1996">
        <v>370</v>
      </c>
      <c r="AG1996" s="29" t="s">
        <v>3113</v>
      </c>
      <c r="AH1996" s="29" t="s">
        <v>3138</v>
      </c>
      <c r="AI1996" s="29" t="s">
        <v>3139</v>
      </c>
      <c r="AJ1996" s="29"/>
      <c r="AL1996" s="29" t="s">
        <v>3114</v>
      </c>
    </row>
    <row r="1997" spans="15:38">
      <c r="O1997" t="s">
        <v>24</v>
      </c>
      <c r="P1997" t="s">
        <v>43</v>
      </c>
      <c r="Q1997" t="s">
        <v>3</v>
      </c>
      <c r="R1997" t="s">
        <v>55</v>
      </c>
      <c r="S1997">
        <v>2025.03</v>
      </c>
      <c r="T1997">
        <v>0</v>
      </c>
      <c r="U1997">
        <v>26580.800999999999</v>
      </c>
      <c r="V1997">
        <v>23927.361000000001</v>
      </c>
      <c r="AA1997" s="29" t="s">
        <v>43</v>
      </c>
      <c r="AB1997">
        <v>31200</v>
      </c>
      <c r="AC1997">
        <v>160</v>
      </c>
      <c r="AD1997">
        <v>3</v>
      </c>
      <c r="AE1997">
        <v>476</v>
      </c>
      <c r="AF1997">
        <v>476</v>
      </c>
      <c r="AG1997" s="29" t="s">
        <v>3113</v>
      </c>
      <c r="AH1997" s="29" t="s">
        <v>3140</v>
      </c>
      <c r="AI1997" s="29" t="s">
        <v>3141</v>
      </c>
      <c r="AJ1997" s="29"/>
      <c r="AL1997" s="29" t="s">
        <v>3114</v>
      </c>
    </row>
    <row r="1998" spans="15:38">
      <c r="O1998" t="s">
        <v>24</v>
      </c>
      <c r="P1998" t="s">
        <v>43</v>
      </c>
      <c r="Q1998" t="s">
        <v>3</v>
      </c>
      <c r="R1998" t="s">
        <v>56</v>
      </c>
      <c r="S1998">
        <v>2023.47</v>
      </c>
      <c r="T1998">
        <v>0</v>
      </c>
      <c r="U1998">
        <v>13411.4337</v>
      </c>
      <c r="V1998">
        <v>13411.4337</v>
      </c>
      <c r="AA1998" s="29" t="s">
        <v>43</v>
      </c>
      <c r="AB1998">
        <v>31200</v>
      </c>
      <c r="AC1998">
        <v>160</v>
      </c>
      <c r="AD1998">
        <v>3</v>
      </c>
      <c r="AE1998">
        <v>156</v>
      </c>
      <c r="AF1998">
        <v>156</v>
      </c>
      <c r="AG1998" s="29" t="s">
        <v>3113</v>
      </c>
      <c r="AH1998" s="29" t="s">
        <v>3142</v>
      </c>
      <c r="AI1998" s="29" t="s">
        <v>3143</v>
      </c>
      <c r="AJ1998" s="29"/>
      <c r="AL1998" s="29" t="s">
        <v>3114</v>
      </c>
    </row>
    <row r="1999" spans="15:38">
      <c r="O1999" t="s">
        <v>24</v>
      </c>
      <c r="P1999" t="s">
        <v>43</v>
      </c>
      <c r="Q1999" t="s">
        <v>3</v>
      </c>
      <c r="R1999" t="s">
        <v>56</v>
      </c>
      <c r="S1999">
        <v>2023.51</v>
      </c>
      <c r="T1999">
        <v>3589.1</v>
      </c>
      <c r="U1999">
        <v>13411.4337</v>
      </c>
      <c r="V1999">
        <v>13411.4337</v>
      </c>
      <c r="AA1999" s="29" t="s">
        <v>43</v>
      </c>
      <c r="AB1999">
        <v>31200</v>
      </c>
      <c r="AC1999">
        <v>160</v>
      </c>
      <c r="AD1999">
        <v>3</v>
      </c>
      <c r="AE1999">
        <v>605</v>
      </c>
      <c r="AF1999">
        <v>605</v>
      </c>
      <c r="AG1999" s="29" t="s">
        <v>3113</v>
      </c>
      <c r="AH1999" s="29" t="s">
        <v>3144</v>
      </c>
      <c r="AI1999" s="29" t="s">
        <v>3145</v>
      </c>
      <c r="AJ1999" s="29"/>
      <c r="AL1999" s="29" t="s">
        <v>3114</v>
      </c>
    </row>
    <row r="2000" spans="15:38">
      <c r="O2000" t="s">
        <v>24</v>
      </c>
      <c r="P2000" t="s">
        <v>43</v>
      </c>
      <c r="Q2000" t="s">
        <v>3</v>
      </c>
      <c r="R2000" t="s">
        <v>56</v>
      </c>
      <c r="S2000">
        <v>2024.05</v>
      </c>
      <c r="T2000">
        <v>906.72</v>
      </c>
      <c r="U2000">
        <v>13411.4337</v>
      </c>
      <c r="V2000">
        <v>13411.4337</v>
      </c>
      <c r="AA2000" s="29" t="s">
        <v>43</v>
      </c>
      <c r="AB2000">
        <v>31200</v>
      </c>
      <c r="AC2000">
        <v>160</v>
      </c>
      <c r="AD2000">
        <v>3</v>
      </c>
      <c r="AE2000">
        <v>0</v>
      </c>
      <c r="AF2000">
        <v>0</v>
      </c>
      <c r="AG2000" s="29" t="s">
        <v>3113</v>
      </c>
      <c r="AH2000" s="29" t="s">
        <v>3119</v>
      </c>
      <c r="AI2000" s="29" t="s">
        <v>317</v>
      </c>
      <c r="AJ2000" s="29"/>
      <c r="AL2000" s="29" t="s">
        <v>3114</v>
      </c>
    </row>
    <row r="2001" spans="15:38">
      <c r="O2001" t="s">
        <v>24</v>
      </c>
      <c r="P2001" t="s">
        <v>43</v>
      </c>
      <c r="Q2001" t="s">
        <v>3</v>
      </c>
      <c r="R2001" t="s">
        <v>56</v>
      </c>
      <c r="S2001">
        <v>2024.06</v>
      </c>
      <c r="T2001">
        <v>1171.18</v>
      </c>
      <c r="U2001">
        <v>13411.4337</v>
      </c>
      <c r="V2001">
        <v>13411.4337</v>
      </c>
      <c r="AA2001" s="29" t="s">
        <v>43</v>
      </c>
      <c r="AB2001">
        <v>31200</v>
      </c>
      <c r="AC2001">
        <v>160</v>
      </c>
      <c r="AD2001">
        <v>3</v>
      </c>
      <c r="AE2001">
        <v>462</v>
      </c>
      <c r="AF2001">
        <v>462</v>
      </c>
      <c r="AG2001" s="29" t="s">
        <v>3113</v>
      </c>
      <c r="AH2001" s="29" t="s">
        <v>3146</v>
      </c>
      <c r="AI2001" s="29" t="s">
        <v>3147</v>
      </c>
      <c r="AJ2001" s="29"/>
      <c r="AL2001" s="29" t="s">
        <v>3114</v>
      </c>
    </row>
    <row r="2002" spans="15:38">
      <c r="O2002" t="s">
        <v>24</v>
      </c>
      <c r="P2002" t="s">
        <v>43</v>
      </c>
      <c r="Q2002" t="s">
        <v>3</v>
      </c>
      <c r="R2002" t="s">
        <v>56</v>
      </c>
      <c r="S2002">
        <v>2024.07</v>
      </c>
      <c r="T2002">
        <v>2682.38</v>
      </c>
      <c r="U2002">
        <v>13411.4337</v>
      </c>
      <c r="V2002">
        <v>13411.4337</v>
      </c>
      <c r="AA2002" s="29" t="s">
        <v>43</v>
      </c>
      <c r="AB2002">
        <v>31200</v>
      </c>
      <c r="AC2002">
        <v>160</v>
      </c>
      <c r="AD2002">
        <v>3</v>
      </c>
      <c r="AE2002">
        <v>220</v>
      </c>
      <c r="AF2002">
        <v>220</v>
      </c>
      <c r="AG2002" s="29" t="s">
        <v>3113</v>
      </c>
      <c r="AH2002" s="29" t="s">
        <v>3148</v>
      </c>
      <c r="AI2002" s="29" t="s">
        <v>3149</v>
      </c>
      <c r="AJ2002" s="29"/>
      <c r="AL2002" s="29" t="s">
        <v>3114</v>
      </c>
    </row>
    <row r="2003" spans="15:38">
      <c r="O2003" t="s">
        <v>24</v>
      </c>
      <c r="P2003" t="s">
        <v>43</v>
      </c>
      <c r="Q2003" t="s">
        <v>3</v>
      </c>
      <c r="R2003" t="s">
        <v>56</v>
      </c>
      <c r="S2003">
        <v>2024.08</v>
      </c>
      <c r="T2003">
        <v>3589.1</v>
      </c>
      <c r="U2003">
        <v>13411.4337</v>
      </c>
      <c r="V2003">
        <v>13411.4337</v>
      </c>
      <c r="AA2003" s="29" t="s">
        <v>43</v>
      </c>
      <c r="AB2003">
        <v>31200</v>
      </c>
      <c r="AC2003">
        <v>160</v>
      </c>
      <c r="AD2003">
        <v>3</v>
      </c>
      <c r="AE2003">
        <v>244</v>
      </c>
      <c r="AF2003">
        <v>244</v>
      </c>
      <c r="AG2003" s="29" t="s">
        <v>3113</v>
      </c>
      <c r="AH2003" s="29" t="s">
        <v>3150</v>
      </c>
      <c r="AI2003" s="29" t="s">
        <v>3151</v>
      </c>
      <c r="AJ2003" s="29"/>
      <c r="AL2003" s="29" t="s">
        <v>3114</v>
      </c>
    </row>
    <row r="2004" spans="15:38">
      <c r="O2004" t="s">
        <v>24</v>
      </c>
      <c r="P2004" t="s">
        <v>43</v>
      </c>
      <c r="Q2004" t="s">
        <v>3</v>
      </c>
      <c r="R2004" t="s">
        <v>56</v>
      </c>
      <c r="S2004">
        <v>2024.09</v>
      </c>
      <c r="T2004">
        <v>3589.1</v>
      </c>
      <c r="U2004">
        <v>13411.4337</v>
      </c>
      <c r="V2004">
        <v>13411.4337</v>
      </c>
      <c r="AA2004" s="29" t="s">
        <v>43</v>
      </c>
      <c r="AB2004">
        <v>31200</v>
      </c>
      <c r="AC2004">
        <v>160</v>
      </c>
      <c r="AD2004">
        <v>3</v>
      </c>
      <c r="AE2004">
        <v>373</v>
      </c>
      <c r="AF2004">
        <v>373</v>
      </c>
      <c r="AG2004" s="29" t="s">
        <v>3113</v>
      </c>
      <c r="AH2004" s="29" t="s">
        <v>3152</v>
      </c>
      <c r="AI2004" s="29" t="s">
        <v>3153</v>
      </c>
      <c r="AJ2004" s="29"/>
      <c r="AL2004" s="29" t="s">
        <v>3114</v>
      </c>
    </row>
    <row r="2005" spans="15:38">
      <c r="O2005" t="s">
        <v>24</v>
      </c>
      <c r="P2005" t="s">
        <v>43</v>
      </c>
      <c r="Q2005" t="s">
        <v>3</v>
      </c>
      <c r="R2005" t="s">
        <v>56</v>
      </c>
      <c r="S2005">
        <v>2024.1</v>
      </c>
      <c r="T2005">
        <v>3589.1</v>
      </c>
      <c r="U2005">
        <v>13411.4337</v>
      </c>
      <c r="V2005">
        <v>13411.4337</v>
      </c>
      <c r="AA2005" s="29" t="s">
        <v>43</v>
      </c>
      <c r="AB2005">
        <v>31200</v>
      </c>
      <c r="AC2005">
        <v>160</v>
      </c>
      <c r="AD2005">
        <v>3</v>
      </c>
      <c r="AE2005">
        <v>100.2</v>
      </c>
      <c r="AF2005">
        <v>100.2</v>
      </c>
      <c r="AG2005" s="29" t="s">
        <v>3113</v>
      </c>
      <c r="AH2005" s="29" t="s">
        <v>3154</v>
      </c>
      <c r="AI2005" s="29" t="s">
        <v>3155</v>
      </c>
      <c r="AJ2005" s="29"/>
      <c r="AL2005" s="29" t="s">
        <v>3114</v>
      </c>
    </row>
    <row r="2006" spans="15:38">
      <c r="O2006" t="s">
        <v>24</v>
      </c>
      <c r="P2006" t="s">
        <v>43</v>
      </c>
      <c r="Q2006" t="s">
        <v>3</v>
      </c>
      <c r="R2006" t="s">
        <v>56</v>
      </c>
      <c r="S2006">
        <v>2024.11</v>
      </c>
      <c r="T2006">
        <v>3589.1</v>
      </c>
      <c r="U2006">
        <v>13411.4337</v>
      </c>
      <c r="V2006">
        <v>13411.4337</v>
      </c>
      <c r="AA2006" s="29" t="s">
        <v>43</v>
      </c>
      <c r="AB2006">
        <v>31200</v>
      </c>
      <c r="AC2006">
        <v>160</v>
      </c>
      <c r="AD2006">
        <v>3</v>
      </c>
      <c r="AE2006">
        <v>6921.42</v>
      </c>
      <c r="AF2006">
        <v>6921.42</v>
      </c>
      <c r="AG2006" s="29" t="s">
        <v>3113</v>
      </c>
      <c r="AH2006" s="29" t="s">
        <v>3156</v>
      </c>
      <c r="AI2006" s="29" t="s">
        <v>3157</v>
      </c>
      <c r="AJ2006" s="29"/>
      <c r="AL2006" s="29" t="s">
        <v>3114</v>
      </c>
    </row>
    <row r="2007" spans="15:38">
      <c r="O2007" t="s">
        <v>24</v>
      </c>
      <c r="P2007" t="s">
        <v>43</v>
      </c>
      <c r="Q2007" t="s">
        <v>3</v>
      </c>
      <c r="R2007" t="s">
        <v>56</v>
      </c>
      <c r="S2007">
        <v>2024.12</v>
      </c>
      <c r="T2007">
        <v>3589.1</v>
      </c>
      <c r="U2007">
        <v>13411.4337</v>
      </c>
      <c r="V2007">
        <v>13411.4337</v>
      </c>
      <c r="AA2007" s="29" t="s">
        <v>43</v>
      </c>
      <c r="AB2007">
        <v>31200</v>
      </c>
      <c r="AC2007">
        <v>160</v>
      </c>
      <c r="AD2007">
        <v>3</v>
      </c>
      <c r="AE2007">
        <v>15383.88</v>
      </c>
      <c r="AF2007">
        <v>15383.88</v>
      </c>
      <c r="AG2007" s="29" t="s">
        <v>3113</v>
      </c>
      <c r="AH2007" s="29" t="s">
        <v>3158</v>
      </c>
      <c r="AI2007" s="29" t="s">
        <v>3159</v>
      </c>
      <c r="AJ2007" s="29"/>
      <c r="AL2007" s="29" t="s">
        <v>3114</v>
      </c>
    </row>
    <row r="2008" spans="15:38">
      <c r="O2008" t="s">
        <v>24</v>
      </c>
      <c r="P2008" t="s">
        <v>43</v>
      </c>
      <c r="Q2008" t="s">
        <v>3</v>
      </c>
      <c r="R2008" t="s">
        <v>56</v>
      </c>
      <c r="S2008">
        <v>2024.14</v>
      </c>
      <c r="T2008">
        <v>3589.1</v>
      </c>
      <c r="U2008">
        <v>13411.4337</v>
      </c>
      <c r="V2008">
        <v>13411.4337</v>
      </c>
      <c r="AA2008" s="29" t="s">
        <v>43</v>
      </c>
      <c r="AB2008">
        <v>31200</v>
      </c>
      <c r="AC2008">
        <v>160</v>
      </c>
      <c r="AD2008">
        <v>3</v>
      </c>
      <c r="AE2008">
        <v>0</v>
      </c>
      <c r="AF2008">
        <v>0</v>
      </c>
      <c r="AG2008" s="29" t="s">
        <v>3113</v>
      </c>
      <c r="AH2008" s="29" t="s">
        <v>3119</v>
      </c>
      <c r="AI2008" s="29" t="s">
        <v>288</v>
      </c>
      <c r="AJ2008" s="29"/>
      <c r="AL2008" s="29" t="s">
        <v>3114</v>
      </c>
    </row>
    <row r="2009" spans="15:38">
      <c r="O2009" t="s">
        <v>24</v>
      </c>
      <c r="P2009" t="s">
        <v>43</v>
      </c>
      <c r="Q2009" t="s">
        <v>3</v>
      </c>
      <c r="R2009" t="s">
        <v>56</v>
      </c>
      <c r="S2009">
        <v>2024.17</v>
      </c>
      <c r="T2009">
        <v>3589.1</v>
      </c>
      <c r="U2009">
        <v>13411.4337</v>
      </c>
      <c r="V2009">
        <v>13411.4337</v>
      </c>
      <c r="AA2009" s="29" t="s">
        <v>43</v>
      </c>
      <c r="AB2009">
        <v>31200</v>
      </c>
      <c r="AC2009">
        <v>160</v>
      </c>
      <c r="AD2009">
        <v>3</v>
      </c>
      <c r="AE2009">
        <v>3670.8</v>
      </c>
      <c r="AF2009">
        <v>3670.8</v>
      </c>
      <c r="AG2009" s="29" t="s">
        <v>3113</v>
      </c>
      <c r="AH2009" s="29" t="s">
        <v>3160</v>
      </c>
      <c r="AI2009" s="29" t="s">
        <v>3161</v>
      </c>
      <c r="AJ2009" s="29"/>
      <c r="AL2009" s="29" t="s">
        <v>3114</v>
      </c>
    </row>
    <row r="2010" spans="15:38">
      <c r="O2010" t="s">
        <v>24</v>
      </c>
      <c r="P2010" t="s">
        <v>43</v>
      </c>
      <c r="Q2010" t="s">
        <v>3</v>
      </c>
      <c r="R2010" t="s">
        <v>56</v>
      </c>
      <c r="S2010">
        <v>2024.18</v>
      </c>
      <c r="T2010">
        <v>3589.1</v>
      </c>
      <c r="U2010">
        <v>13411.4337</v>
      </c>
      <c r="V2010">
        <v>13411.4337</v>
      </c>
      <c r="AA2010" s="29" t="s">
        <v>43</v>
      </c>
      <c r="AB2010">
        <v>31200</v>
      </c>
      <c r="AC2010">
        <v>160</v>
      </c>
      <c r="AD2010">
        <v>3</v>
      </c>
      <c r="AE2010">
        <v>0</v>
      </c>
      <c r="AF2010">
        <v>0</v>
      </c>
      <c r="AG2010" s="29" t="s">
        <v>3113</v>
      </c>
      <c r="AH2010" s="29" t="s">
        <v>3119</v>
      </c>
      <c r="AI2010" s="29" t="s">
        <v>318</v>
      </c>
      <c r="AJ2010" s="29"/>
      <c r="AL2010" s="29" t="s">
        <v>3114</v>
      </c>
    </row>
    <row r="2011" spans="15:38">
      <c r="O2011" t="s">
        <v>24</v>
      </c>
      <c r="P2011" t="s">
        <v>43</v>
      </c>
      <c r="Q2011" t="s">
        <v>3</v>
      </c>
      <c r="R2011" t="s">
        <v>56</v>
      </c>
      <c r="S2011">
        <v>2024.19</v>
      </c>
      <c r="T2011">
        <v>3589.1</v>
      </c>
      <c r="U2011">
        <v>13411.4337</v>
      </c>
      <c r="V2011">
        <v>13411.4337</v>
      </c>
      <c r="AA2011" s="29" t="s">
        <v>43</v>
      </c>
      <c r="AB2011">
        <v>31200</v>
      </c>
      <c r="AC2011">
        <v>160</v>
      </c>
      <c r="AD2011">
        <v>3</v>
      </c>
      <c r="AE2011">
        <v>0</v>
      </c>
      <c r="AF2011">
        <v>0</v>
      </c>
      <c r="AG2011" s="29" t="s">
        <v>3113</v>
      </c>
      <c r="AH2011" s="29" t="s">
        <v>3119</v>
      </c>
      <c r="AI2011" s="29" t="s">
        <v>3162</v>
      </c>
      <c r="AJ2011" s="29"/>
      <c r="AL2011" s="29" t="s">
        <v>3114</v>
      </c>
    </row>
    <row r="2012" spans="15:38">
      <c r="O2012" t="s">
        <v>24</v>
      </c>
      <c r="P2012" t="s">
        <v>43</v>
      </c>
      <c r="Q2012" t="s">
        <v>3</v>
      </c>
      <c r="R2012" t="s">
        <v>56</v>
      </c>
      <c r="S2012">
        <v>2024.2</v>
      </c>
      <c r="T2012">
        <v>3589.1</v>
      </c>
      <c r="U2012">
        <v>13411.4337</v>
      </c>
      <c r="V2012">
        <v>13411.4337</v>
      </c>
      <c r="AA2012" s="29" t="s">
        <v>43</v>
      </c>
      <c r="AB2012">
        <v>31200</v>
      </c>
      <c r="AC2012">
        <v>160</v>
      </c>
      <c r="AD2012">
        <v>3</v>
      </c>
      <c r="AE2012">
        <v>0</v>
      </c>
      <c r="AF2012">
        <v>0</v>
      </c>
      <c r="AG2012" s="29" t="s">
        <v>3113</v>
      </c>
      <c r="AH2012" s="29" t="s">
        <v>3119</v>
      </c>
      <c r="AI2012" s="29" t="s">
        <v>293</v>
      </c>
      <c r="AJ2012" s="29"/>
      <c r="AL2012" s="29" t="s">
        <v>3114</v>
      </c>
    </row>
    <row r="2013" spans="15:38">
      <c r="O2013" t="s">
        <v>24</v>
      </c>
      <c r="P2013" t="s">
        <v>43</v>
      </c>
      <c r="Q2013" t="s">
        <v>3</v>
      </c>
      <c r="R2013" t="s">
        <v>56</v>
      </c>
      <c r="S2013">
        <v>2024.21</v>
      </c>
      <c r="T2013">
        <v>3589.1</v>
      </c>
      <c r="U2013">
        <v>13411.4337</v>
      </c>
      <c r="V2013">
        <v>13411.4337</v>
      </c>
      <c r="AA2013" s="29" t="s">
        <v>43</v>
      </c>
      <c r="AB2013">
        <v>31200</v>
      </c>
      <c r="AC2013">
        <v>160</v>
      </c>
      <c r="AD2013">
        <v>3</v>
      </c>
      <c r="AE2013">
        <v>0</v>
      </c>
      <c r="AF2013">
        <v>0</v>
      </c>
      <c r="AG2013" s="29" t="s">
        <v>3113</v>
      </c>
      <c r="AH2013" s="29" t="s">
        <v>3119</v>
      </c>
      <c r="AI2013" s="29" t="s">
        <v>290</v>
      </c>
      <c r="AJ2013" s="29"/>
      <c r="AL2013" s="29" t="s">
        <v>3114</v>
      </c>
    </row>
    <row r="2014" spans="15:38">
      <c r="O2014" t="s">
        <v>24</v>
      </c>
      <c r="P2014" t="s">
        <v>43</v>
      </c>
      <c r="Q2014" t="s">
        <v>3</v>
      </c>
      <c r="R2014" t="s">
        <v>56</v>
      </c>
      <c r="S2014">
        <v>2024.28</v>
      </c>
      <c r="T2014">
        <v>3932.1</v>
      </c>
      <c r="U2014">
        <v>13411.4337</v>
      </c>
      <c r="V2014">
        <v>13411.4337</v>
      </c>
      <c r="AA2014" s="29" t="s">
        <v>43</v>
      </c>
      <c r="AB2014">
        <v>31200</v>
      </c>
      <c r="AC2014">
        <v>160</v>
      </c>
      <c r="AD2014">
        <v>3</v>
      </c>
      <c r="AE2014">
        <v>140</v>
      </c>
      <c r="AF2014">
        <v>140</v>
      </c>
      <c r="AG2014" s="29" t="s">
        <v>3113</v>
      </c>
      <c r="AH2014" s="29" t="s">
        <v>3163</v>
      </c>
      <c r="AI2014" s="29" t="s">
        <v>3164</v>
      </c>
      <c r="AJ2014" s="29"/>
      <c r="AL2014" s="29" t="s">
        <v>3114</v>
      </c>
    </row>
    <row r="2015" spans="15:38">
      <c r="O2015" t="s">
        <v>24</v>
      </c>
      <c r="P2015" t="s">
        <v>43</v>
      </c>
      <c r="Q2015" t="s">
        <v>3</v>
      </c>
      <c r="R2015" t="s">
        <v>56</v>
      </c>
      <c r="S2015">
        <v>2024.38</v>
      </c>
      <c r="T2015">
        <v>3932.1</v>
      </c>
      <c r="U2015">
        <v>13411.4337</v>
      </c>
      <c r="V2015">
        <v>13411.4337</v>
      </c>
      <c r="AA2015" s="29" t="s">
        <v>43</v>
      </c>
      <c r="AB2015">
        <v>31200</v>
      </c>
      <c r="AC2015">
        <v>160</v>
      </c>
      <c r="AD2015">
        <v>3</v>
      </c>
      <c r="AE2015">
        <v>1100</v>
      </c>
      <c r="AF2015">
        <v>1100</v>
      </c>
      <c r="AG2015" s="29" t="s">
        <v>3113</v>
      </c>
      <c r="AH2015" s="29" t="s">
        <v>3165</v>
      </c>
      <c r="AI2015" s="29" t="s">
        <v>3166</v>
      </c>
      <c r="AJ2015" s="29"/>
      <c r="AL2015" s="29" t="s">
        <v>3114</v>
      </c>
    </row>
    <row r="2016" spans="15:38">
      <c r="O2016" t="s">
        <v>24</v>
      </c>
      <c r="P2016" t="s">
        <v>43</v>
      </c>
      <c r="Q2016" t="s">
        <v>3</v>
      </c>
      <c r="R2016" t="s">
        <v>56</v>
      </c>
      <c r="S2016">
        <v>2024.39</v>
      </c>
      <c r="T2016">
        <v>3932.1</v>
      </c>
      <c r="U2016">
        <v>13411.4337</v>
      </c>
      <c r="V2016">
        <v>13411.4337</v>
      </c>
      <c r="AA2016" s="29" t="s">
        <v>43</v>
      </c>
      <c r="AB2016">
        <v>31200</v>
      </c>
      <c r="AC2016">
        <v>160</v>
      </c>
      <c r="AD2016">
        <v>3</v>
      </c>
      <c r="AE2016">
        <v>378</v>
      </c>
      <c r="AF2016">
        <v>378</v>
      </c>
      <c r="AG2016" s="29" t="s">
        <v>3113</v>
      </c>
      <c r="AH2016" s="29" t="s">
        <v>3167</v>
      </c>
      <c r="AI2016" s="29" t="s">
        <v>3168</v>
      </c>
      <c r="AJ2016" s="29"/>
      <c r="AL2016" s="29" t="s">
        <v>3114</v>
      </c>
    </row>
    <row r="2017" spans="15:38">
      <c r="O2017" t="s">
        <v>24</v>
      </c>
      <c r="P2017" t="s">
        <v>43</v>
      </c>
      <c r="Q2017" t="s">
        <v>3</v>
      </c>
      <c r="R2017" t="s">
        <v>56</v>
      </c>
      <c r="S2017">
        <v>2024.41</v>
      </c>
      <c r="T2017">
        <v>6127.3</v>
      </c>
      <c r="U2017">
        <v>13411.4337</v>
      </c>
      <c r="V2017">
        <v>13411.4337</v>
      </c>
      <c r="AA2017" s="29" t="s">
        <v>43</v>
      </c>
      <c r="AB2017">
        <v>31200</v>
      </c>
      <c r="AC2017">
        <v>160</v>
      </c>
      <c r="AD2017">
        <v>3</v>
      </c>
      <c r="AE2017">
        <v>0</v>
      </c>
      <c r="AF2017">
        <v>0</v>
      </c>
      <c r="AG2017" s="29" t="s">
        <v>3113</v>
      </c>
      <c r="AH2017" s="29" t="s">
        <v>3119</v>
      </c>
      <c r="AI2017" s="29" t="s">
        <v>3169</v>
      </c>
      <c r="AJ2017" s="29"/>
      <c r="AL2017" s="29" t="s">
        <v>3114</v>
      </c>
    </row>
    <row r="2018" spans="15:38">
      <c r="O2018" t="s">
        <v>24</v>
      </c>
      <c r="P2018" t="s">
        <v>43</v>
      </c>
      <c r="Q2018" t="s">
        <v>3</v>
      </c>
      <c r="R2018" t="s">
        <v>56</v>
      </c>
      <c r="S2018">
        <v>2024.43</v>
      </c>
      <c r="T2018">
        <v>6127.3</v>
      </c>
      <c r="U2018">
        <v>13411.4337</v>
      </c>
      <c r="V2018">
        <v>13411.4337</v>
      </c>
      <c r="AA2018" s="29" t="s">
        <v>43</v>
      </c>
      <c r="AB2018">
        <v>31200</v>
      </c>
      <c r="AC2018">
        <v>160</v>
      </c>
      <c r="AD2018">
        <v>3</v>
      </c>
      <c r="AE2018">
        <v>0.6</v>
      </c>
      <c r="AF2018">
        <v>0.6</v>
      </c>
      <c r="AG2018" s="29" t="s">
        <v>3113</v>
      </c>
      <c r="AH2018" s="29" t="s">
        <v>3170</v>
      </c>
      <c r="AI2018" s="29" t="s">
        <v>3171</v>
      </c>
      <c r="AJ2018" s="29"/>
      <c r="AL2018" s="29" t="s">
        <v>3114</v>
      </c>
    </row>
    <row r="2019" spans="15:38">
      <c r="O2019" t="s">
        <v>24</v>
      </c>
      <c r="P2019" t="s">
        <v>43</v>
      </c>
      <c r="Q2019" t="s">
        <v>3</v>
      </c>
      <c r="R2019" t="s">
        <v>56</v>
      </c>
      <c r="S2019">
        <v>2024.44</v>
      </c>
      <c r="T2019">
        <v>6127.3</v>
      </c>
      <c r="U2019">
        <v>13411.4337</v>
      </c>
      <c r="V2019">
        <v>13411.4337</v>
      </c>
      <c r="AA2019" s="29" t="s">
        <v>43</v>
      </c>
      <c r="AB2019">
        <v>31200</v>
      </c>
      <c r="AC2019">
        <v>160</v>
      </c>
      <c r="AD2019">
        <v>3</v>
      </c>
      <c r="AE2019">
        <v>0.02</v>
      </c>
      <c r="AF2019">
        <v>0.02</v>
      </c>
      <c r="AG2019" s="29" t="s">
        <v>3113</v>
      </c>
      <c r="AH2019" s="29" t="s">
        <v>3172</v>
      </c>
      <c r="AI2019" s="29" t="s">
        <v>3173</v>
      </c>
      <c r="AJ2019" s="29"/>
      <c r="AL2019" s="29" t="s">
        <v>3114</v>
      </c>
    </row>
    <row r="2020" spans="15:38">
      <c r="O2020" t="s">
        <v>24</v>
      </c>
      <c r="P2020" t="s">
        <v>43</v>
      </c>
      <c r="Q2020" t="s">
        <v>3</v>
      </c>
      <c r="R2020" t="s">
        <v>56</v>
      </c>
      <c r="S2020">
        <v>2024.45</v>
      </c>
      <c r="T2020">
        <v>6127.3</v>
      </c>
      <c r="U2020">
        <v>13411.4337</v>
      </c>
      <c r="V2020">
        <v>13411.4337</v>
      </c>
      <c r="AA2020" s="29" t="s">
        <v>43</v>
      </c>
      <c r="AB2020">
        <v>31200</v>
      </c>
      <c r="AC2020">
        <v>160</v>
      </c>
      <c r="AD2020">
        <v>3</v>
      </c>
      <c r="AE2020">
        <v>3.41</v>
      </c>
      <c r="AF2020">
        <v>3.41</v>
      </c>
      <c r="AG2020" s="29" t="s">
        <v>3113</v>
      </c>
      <c r="AH2020" s="29" t="s">
        <v>3174</v>
      </c>
      <c r="AI2020" s="29" t="s">
        <v>3175</v>
      </c>
      <c r="AJ2020" s="29"/>
      <c r="AL2020" s="29" t="s">
        <v>3114</v>
      </c>
    </row>
    <row r="2021" spans="15:38">
      <c r="O2021" t="s">
        <v>24</v>
      </c>
      <c r="P2021" t="s">
        <v>43</v>
      </c>
      <c r="Q2021" t="s">
        <v>3</v>
      </c>
      <c r="R2021" t="s">
        <v>56</v>
      </c>
      <c r="S2021">
        <v>2024.47</v>
      </c>
      <c r="T2021">
        <v>6127.3</v>
      </c>
      <c r="U2021">
        <v>13411.4337</v>
      </c>
      <c r="V2021">
        <v>13411.4337</v>
      </c>
      <c r="AA2021" s="29" t="s">
        <v>43</v>
      </c>
      <c r="AB2021">
        <v>31200</v>
      </c>
      <c r="AC2021">
        <v>160</v>
      </c>
      <c r="AD2021">
        <v>3</v>
      </c>
      <c r="AE2021">
        <v>0</v>
      </c>
      <c r="AF2021">
        <v>0</v>
      </c>
      <c r="AG2021" s="29" t="s">
        <v>3113</v>
      </c>
      <c r="AH2021" s="29" t="s">
        <v>3119</v>
      </c>
      <c r="AI2021" s="29" t="s">
        <v>3176</v>
      </c>
      <c r="AJ2021" s="29"/>
      <c r="AL2021" s="29" t="s">
        <v>3114</v>
      </c>
    </row>
    <row r="2022" spans="15:38">
      <c r="O2022" t="s">
        <v>24</v>
      </c>
      <c r="P2022" t="s">
        <v>43</v>
      </c>
      <c r="Q2022" t="s">
        <v>3</v>
      </c>
      <c r="R2022" t="s">
        <v>56</v>
      </c>
      <c r="S2022">
        <v>2024.48</v>
      </c>
      <c r="T2022">
        <v>6127.3</v>
      </c>
      <c r="U2022">
        <v>13411.4337</v>
      </c>
      <c r="V2022">
        <v>13411.4337</v>
      </c>
      <c r="AA2022" s="29" t="s">
        <v>43</v>
      </c>
      <c r="AB2022">
        <v>31200</v>
      </c>
      <c r="AC2022">
        <v>160</v>
      </c>
      <c r="AD2022">
        <v>3</v>
      </c>
      <c r="AE2022">
        <v>0</v>
      </c>
      <c r="AF2022">
        <v>0</v>
      </c>
      <c r="AG2022" s="29" t="s">
        <v>3113</v>
      </c>
      <c r="AH2022" s="29" t="s">
        <v>3119</v>
      </c>
      <c r="AI2022" s="29" t="s">
        <v>3177</v>
      </c>
      <c r="AJ2022" s="29"/>
      <c r="AL2022" s="29" t="s">
        <v>3114</v>
      </c>
    </row>
    <row r="2023" spans="15:38">
      <c r="O2023" t="s">
        <v>24</v>
      </c>
      <c r="P2023" t="s">
        <v>43</v>
      </c>
      <c r="Q2023" t="s">
        <v>3</v>
      </c>
      <c r="R2023" t="s">
        <v>56</v>
      </c>
      <c r="S2023">
        <v>2024.49</v>
      </c>
      <c r="T2023">
        <v>6127.3</v>
      </c>
      <c r="U2023">
        <v>13411.4337</v>
      </c>
      <c r="V2023">
        <v>13411.4337</v>
      </c>
      <c r="AA2023" s="29" t="s">
        <v>43</v>
      </c>
      <c r="AB2023">
        <v>31200</v>
      </c>
      <c r="AC2023">
        <v>160</v>
      </c>
      <c r="AD2023">
        <v>3</v>
      </c>
      <c r="AE2023">
        <v>1.0900000000000001</v>
      </c>
      <c r="AF2023">
        <v>1.0900000000000001</v>
      </c>
      <c r="AG2023" s="29" t="s">
        <v>3113</v>
      </c>
      <c r="AH2023" s="29" t="s">
        <v>3178</v>
      </c>
      <c r="AI2023" s="29" t="s">
        <v>3179</v>
      </c>
      <c r="AJ2023" s="29"/>
      <c r="AL2023" s="29" t="s">
        <v>3114</v>
      </c>
    </row>
    <row r="2024" spans="15:38">
      <c r="O2024" t="s">
        <v>24</v>
      </c>
      <c r="P2024" t="s">
        <v>43</v>
      </c>
      <c r="Q2024" t="s">
        <v>3</v>
      </c>
      <c r="R2024" t="s">
        <v>56</v>
      </c>
      <c r="S2024">
        <v>2025.03</v>
      </c>
      <c r="T2024">
        <v>6127.3</v>
      </c>
      <c r="U2024">
        <v>13411.4337</v>
      </c>
      <c r="V2024">
        <v>6127.3001000000004</v>
      </c>
      <c r="AA2024" s="29" t="s">
        <v>43</v>
      </c>
      <c r="AB2024">
        <v>31200</v>
      </c>
      <c r="AC2024">
        <v>160</v>
      </c>
      <c r="AD2024">
        <v>3</v>
      </c>
      <c r="AE2024">
        <v>0.63</v>
      </c>
      <c r="AF2024">
        <v>0.63</v>
      </c>
      <c r="AG2024" s="29" t="s">
        <v>3113</v>
      </c>
      <c r="AH2024" s="29" t="s">
        <v>3180</v>
      </c>
      <c r="AI2024" s="29" t="s">
        <v>3181</v>
      </c>
      <c r="AJ2024" s="29"/>
      <c r="AL2024" s="29" t="s">
        <v>3114</v>
      </c>
    </row>
    <row r="2025" spans="15:38">
      <c r="O2025" t="s">
        <v>24</v>
      </c>
      <c r="P2025" t="s">
        <v>43</v>
      </c>
      <c r="Q2025" t="s">
        <v>3</v>
      </c>
      <c r="R2025" t="s">
        <v>56</v>
      </c>
      <c r="S2025">
        <v>2025.08</v>
      </c>
      <c r="T2025">
        <v>8614.5</v>
      </c>
      <c r="U2025">
        <v>13411.4337</v>
      </c>
      <c r="V2025">
        <v>6127.3001000000004</v>
      </c>
      <c r="AA2025" s="29" t="s">
        <v>43</v>
      </c>
      <c r="AB2025">
        <v>31200</v>
      </c>
      <c r="AC2025">
        <v>160</v>
      </c>
      <c r="AD2025">
        <v>3</v>
      </c>
      <c r="AE2025">
        <v>1.54</v>
      </c>
      <c r="AF2025">
        <v>1.54</v>
      </c>
      <c r="AG2025" s="29" t="s">
        <v>3113</v>
      </c>
      <c r="AH2025" s="29" t="s">
        <v>3182</v>
      </c>
      <c r="AI2025" s="29" t="s">
        <v>3183</v>
      </c>
      <c r="AJ2025" s="29"/>
      <c r="AL2025" s="29" t="s">
        <v>3114</v>
      </c>
    </row>
    <row r="2026" spans="15:38">
      <c r="O2026" t="s">
        <v>24</v>
      </c>
      <c r="P2026" t="s">
        <v>43</v>
      </c>
      <c r="Q2026" t="s">
        <v>3</v>
      </c>
      <c r="R2026" t="s">
        <v>56</v>
      </c>
      <c r="S2026">
        <v>2025.1</v>
      </c>
      <c r="T2026">
        <v>8614.5</v>
      </c>
      <c r="U2026">
        <v>13411.4337</v>
      </c>
      <c r="V2026">
        <v>6127.3001000000004</v>
      </c>
      <c r="AA2026" s="29" t="s">
        <v>43</v>
      </c>
      <c r="AB2026">
        <v>31200</v>
      </c>
      <c r="AC2026">
        <v>160</v>
      </c>
      <c r="AD2026">
        <v>3</v>
      </c>
      <c r="AE2026">
        <v>412.5</v>
      </c>
      <c r="AF2026">
        <v>412.5</v>
      </c>
      <c r="AG2026" s="29" t="s">
        <v>3113</v>
      </c>
      <c r="AH2026" s="29" t="s">
        <v>3184</v>
      </c>
      <c r="AI2026" s="29" t="s">
        <v>3185</v>
      </c>
      <c r="AJ2026" s="29"/>
      <c r="AL2026" s="29" t="s">
        <v>3114</v>
      </c>
    </row>
    <row r="2027" spans="15:38">
      <c r="O2027" t="s">
        <v>24</v>
      </c>
      <c r="P2027" t="s">
        <v>43</v>
      </c>
      <c r="Q2027" t="s">
        <v>3</v>
      </c>
      <c r="R2027" t="s">
        <v>56</v>
      </c>
      <c r="S2027">
        <v>2025.11</v>
      </c>
      <c r="T2027">
        <v>8614.5</v>
      </c>
      <c r="U2027">
        <v>13411.4337</v>
      </c>
      <c r="V2027">
        <v>6127.3001000000004</v>
      </c>
      <c r="AA2027" s="29" t="s">
        <v>43</v>
      </c>
      <c r="AB2027">
        <v>31200</v>
      </c>
      <c r="AC2027">
        <v>160</v>
      </c>
      <c r="AD2027">
        <v>3</v>
      </c>
      <c r="AE2027">
        <v>0</v>
      </c>
      <c r="AF2027">
        <v>0</v>
      </c>
      <c r="AG2027" s="29" t="s">
        <v>3113</v>
      </c>
      <c r="AH2027" s="29" t="s">
        <v>3119</v>
      </c>
      <c r="AI2027" s="29" t="s">
        <v>289</v>
      </c>
      <c r="AJ2027" s="29"/>
      <c r="AL2027" s="29" t="s">
        <v>3114</v>
      </c>
    </row>
    <row r="2028" spans="15:38">
      <c r="O2028" t="s">
        <v>24</v>
      </c>
      <c r="P2028" t="s">
        <v>43</v>
      </c>
      <c r="Q2028" t="s">
        <v>3</v>
      </c>
      <c r="R2028" t="s">
        <v>56</v>
      </c>
      <c r="S2028">
        <v>2025.12</v>
      </c>
      <c r="T2028">
        <v>8614.5</v>
      </c>
      <c r="U2028">
        <v>13411.4337</v>
      </c>
      <c r="V2028">
        <v>6127.3001000000004</v>
      </c>
      <c r="AA2028" s="29" t="s">
        <v>43</v>
      </c>
      <c r="AB2028">
        <v>31200</v>
      </c>
      <c r="AC2028">
        <v>160</v>
      </c>
      <c r="AD2028">
        <v>3</v>
      </c>
      <c r="AE2028">
        <v>0</v>
      </c>
      <c r="AF2028">
        <v>0</v>
      </c>
      <c r="AG2028" s="29" t="s">
        <v>3113</v>
      </c>
      <c r="AH2028" s="29" t="s">
        <v>3119</v>
      </c>
      <c r="AI2028" s="29" t="s">
        <v>321</v>
      </c>
      <c r="AJ2028" s="29"/>
      <c r="AL2028" s="29" t="s">
        <v>3114</v>
      </c>
    </row>
    <row r="2029" spans="15:38">
      <c r="O2029" t="s">
        <v>24</v>
      </c>
      <c r="P2029" t="s">
        <v>43</v>
      </c>
      <c r="Q2029" t="s">
        <v>3</v>
      </c>
      <c r="R2029" t="s">
        <v>62</v>
      </c>
      <c r="S2029">
        <v>2024.1</v>
      </c>
      <c r="T2029">
        <v>166.2</v>
      </c>
      <c r="U2029">
        <v>0</v>
      </c>
      <c r="V2029">
        <v>0</v>
      </c>
      <c r="AA2029" s="29" t="s">
        <v>43</v>
      </c>
      <c r="AB2029">
        <v>31200</v>
      </c>
      <c r="AC2029">
        <v>160</v>
      </c>
      <c r="AD2029">
        <v>3</v>
      </c>
      <c r="AE2029">
        <v>0</v>
      </c>
      <c r="AF2029">
        <v>0</v>
      </c>
      <c r="AG2029" s="29" t="s">
        <v>3113</v>
      </c>
      <c r="AH2029" s="29" t="s">
        <v>3119</v>
      </c>
      <c r="AI2029" s="29" t="s">
        <v>3186</v>
      </c>
      <c r="AJ2029" s="29"/>
      <c r="AL2029" s="29" t="s">
        <v>3114</v>
      </c>
    </row>
    <row r="2030" spans="15:38">
      <c r="O2030" t="s">
        <v>24</v>
      </c>
      <c r="P2030" t="s">
        <v>43</v>
      </c>
      <c r="Q2030" t="s">
        <v>3</v>
      </c>
      <c r="R2030" t="s">
        <v>62</v>
      </c>
      <c r="S2030">
        <v>2024.11</v>
      </c>
      <c r="T2030">
        <v>166.2</v>
      </c>
      <c r="U2030">
        <v>0</v>
      </c>
      <c r="V2030">
        <v>0</v>
      </c>
      <c r="AA2030" s="29" t="s">
        <v>43</v>
      </c>
      <c r="AB2030">
        <v>31200</v>
      </c>
      <c r="AC2030">
        <v>160</v>
      </c>
      <c r="AD2030">
        <v>3</v>
      </c>
      <c r="AE2030">
        <v>0</v>
      </c>
      <c r="AF2030">
        <v>0</v>
      </c>
      <c r="AG2030" s="29" t="s">
        <v>3113</v>
      </c>
      <c r="AH2030" s="29" t="s">
        <v>3119</v>
      </c>
      <c r="AI2030" s="29" t="s">
        <v>3187</v>
      </c>
      <c r="AJ2030" s="29"/>
      <c r="AL2030" s="29" t="s">
        <v>3114</v>
      </c>
    </row>
    <row r="2031" spans="15:38">
      <c r="O2031" t="s">
        <v>24</v>
      </c>
      <c r="P2031" t="s">
        <v>43</v>
      </c>
      <c r="Q2031" t="s">
        <v>3</v>
      </c>
      <c r="R2031" t="s">
        <v>62</v>
      </c>
      <c r="S2031">
        <v>2024.12</v>
      </c>
      <c r="T2031">
        <v>166.2</v>
      </c>
      <c r="U2031">
        <v>0</v>
      </c>
      <c r="V2031">
        <v>0</v>
      </c>
      <c r="AA2031" s="29" t="s">
        <v>43</v>
      </c>
      <c r="AB2031">
        <v>31200</v>
      </c>
      <c r="AC2031">
        <v>160</v>
      </c>
      <c r="AD2031">
        <v>3</v>
      </c>
      <c r="AE2031">
        <v>0</v>
      </c>
      <c r="AF2031">
        <v>0</v>
      </c>
      <c r="AG2031" s="29" t="s">
        <v>3113</v>
      </c>
      <c r="AH2031" s="29" t="s">
        <v>3119</v>
      </c>
      <c r="AI2031" s="29" t="s">
        <v>3188</v>
      </c>
      <c r="AJ2031" s="29"/>
      <c r="AL2031" s="29" t="s">
        <v>3114</v>
      </c>
    </row>
    <row r="2032" spans="15:38">
      <c r="O2032" t="s">
        <v>24</v>
      </c>
      <c r="P2032" t="s">
        <v>43</v>
      </c>
      <c r="Q2032" t="s">
        <v>3</v>
      </c>
      <c r="R2032" t="s">
        <v>62</v>
      </c>
      <c r="S2032">
        <v>2024.14</v>
      </c>
      <c r="T2032">
        <v>166.2</v>
      </c>
      <c r="U2032">
        <v>0</v>
      </c>
      <c r="V2032">
        <v>0</v>
      </c>
      <c r="AA2032" s="29" t="s">
        <v>43</v>
      </c>
      <c r="AB2032">
        <v>31200</v>
      </c>
      <c r="AC2032">
        <v>160</v>
      </c>
      <c r="AD2032">
        <v>3</v>
      </c>
      <c r="AE2032">
        <v>0</v>
      </c>
      <c r="AF2032">
        <v>0</v>
      </c>
      <c r="AG2032" s="29" t="s">
        <v>3113</v>
      </c>
      <c r="AH2032" s="29" t="s">
        <v>3119</v>
      </c>
      <c r="AI2032" s="29" t="s">
        <v>3189</v>
      </c>
      <c r="AJ2032" s="29"/>
      <c r="AL2032" s="29" t="s">
        <v>3114</v>
      </c>
    </row>
    <row r="2033" spans="15:38">
      <c r="O2033" t="s">
        <v>24</v>
      </c>
      <c r="P2033" t="s">
        <v>43</v>
      </c>
      <c r="Q2033" t="s">
        <v>3</v>
      </c>
      <c r="R2033" t="s">
        <v>62</v>
      </c>
      <c r="S2033">
        <v>2024.17</v>
      </c>
      <c r="T2033">
        <v>166.2</v>
      </c>
      <c r="U2033">
        <v>0</v>
      </c>
      <c r="V2033">
        <v>0</v>
      </c>
      <c r="AA2033" s="29" t="s">
        <v>43</v>
      </c>
      <c r="AB2033">
        <v>31200</v>
      </c>
      <c r="AC2033">
        <v>160</v>
      </c>
      <c r="AD2033">
        <v>3</v>
      </c>
      <c r="AE2033">
        <v>4</v>
      </c>
      <c r="AF2033">
        <v>4</v>
      </c>
      <c r="AG2033" s="29" t="s">
        <v>3113</v>
      </c>
      <c r="AH2033" s="29" t="s">
        <v>3190</v>
      </c>
      <c r="AI2033" s="29" t="s">
        <v>3191</v>
      </c>
      <c r="AJ2033" s="29"/>
      <c r="AL2033" s="29" t="s">
        <v>3114</v>
      </c>
    </row>
    <row r="2034" spans="15:38">
      <c r="O2034" t="s">
        <v>24</v>
      </c>
      <c r="P2034" t="s">
        <v>43</v>
      </c>
      <c r="Q2034" t="s">
        <v>3</v>
      </c>
      <c r="R2034" t="s">
        <v>62</v>
      </c>
      <c r="S2034">
        <v>2024.18</v>
      </c>
      <c r="T2034">
        <v>166.2</v>
      </c>
      <c r="U2034">
        <v>0</v>
      </c>
      <c r="V2034">
        <v>0</v>
      </c>
      <c r="AA2034" s="29" t="s">
        <v>43</v>
      </c>
      <c r="AB2034">
        <v>31200</v>
      </c>
      <c r="AC2034">
        <v>160</v>
      </c>
      <c r="AD2034">
        <v>3</v>
      </c>
      <c r="AE2034">
        <v>0</v>
      </c>
      <c r="AF2034">
        <v>0</v>
      </c>
      <c r="AG2034" s="29" t="s">
        <v>3113</v>
      </c>
      <c r="AH2034" s="29" t="s">
        <v>3119</v>
      </c>
      <c r="AI2034" s="29" t="s">
        <v>295</v>
      </c>
      <c r="AJ2034" s="29"/>
      <c r="AL2034" s="29" t="s">
        <v>3114</v>
      </c>
    </row>
    <row r="2035" spans="15:38">
      <c r="O2035" t="s">
        <v>24</v>
      </c>
      <c r="P2035" t="s">
        <v>43</v>
      </c>
      <c r="Q2035" t="s">
        <v>3</v>
      </c>
      <c r="R2035" t="s">
        <v>62</v>
      </c>
      <c r="S2035">
        <v>2024.19</v>
      </c>
      <c r="T2035">
        <v>166.2</v>
      </c>
      <c r="U2035">
        <v>0</v>
      </c>
      <c r="V2035">
        <v>0</v>
      </c>
      <c r="AA2035" s="29" t="s">
        <v>43</v>
      </c>
      <c r="AB2035">
        <v>31200</v>
      </c>
      <c r="AC2035">
        <v>160</v>
      </c>
      <c r="AD2035">
        <v>3</v>
      </c>
      <c r="AE2035">
        <v>1.96</v>
      </c>
      <c r="AF2035">
        <v>1.96</v>
      </c>
      <c r="AG2035" s="29" t="s">
        <v>3113</v>
      </c>
      <c r="AH2035" s="29" t="s">
        <v>3192</v>
      </c>
      <c r="AI2035" s="29" t="s">
        <v>3193</v>
      </c>
      <c r="AJ2035" s="29"/>
      <c r="AL2035" s="29" t="s">
        <v>3114</v>
      </c>
    </row>
    <row r="2036" spans="15:38">
      <c r="O2036" t="s">
        <v>24</v>
      </c>
      <c r="P2036" t="s">
        <v>43</v>
      </c>
      <c r="Q2036" t="s">
        <v>3</v>
      </c>
      <c r="R2036" t="s">
        <v>62</v>
      </c>
      <c r="S2036">
        <v>2024.2</v>
      </c>
      <c r="T2036">
        <v>166.2</v>
      </c>
      <c r="U2036">
        <v>0</v>
      </c>
      <c r="V2036">
        <v>0</v>
      </c>
      <c r="AA2036" s="29" t="s">
        <v>43</v>
      </c>
      <c r="AB2036">
        <v>31200</v>
      </c>
      <c r="AC2036">
        <v>160</v>
      </c>
      <c r="AD2036">
        <v>3</v>
      </c>
      <c r="AE2036">
        <v>247</v>
      </c>
      <c r="AF2036">
        <v>247</v>
      </c>
      <c r="AG2036" s="29" t="s">
        <v>3113</v>
      </c>
      <c r="AH2036" s="29" t="s">
        <v>3194</v>
      </c>
      <c r="AI2036" s="29" t="s">
        <v>3195</v>
      </c>
      <c r="AJ2036" s="29"/>
      <c r="AL2036" s="29" t="s">
        <v>3114</v>
      </c>
    </row>
    <row r="2037" spans="15:38">
      <c r="O2037" t="s">
        <v>24</v>
      </c>
      <c r="P2037" t="s">
        <v>43</v>
      </c>
      <c r="Q2037" t="s">
        <v>3</v>
      </c>
      <c r="R2037" t="s">
        <v>62</v>
      </c>
      <c r="S2037">
        <v>2024.21</v>
      </c>
      <c r="T2037">
        <v>166.2</v>
      </c>
      <c r="U2037">
        <v>0</v>
      </c>
      <c r="V2037">
        <v>0</v>
      </c>
      <c r="AA2037" s="29" t="s">
        <v>43</v>
      </c>
      <c r="AB2037">
        <v>31200</v>
      </c>
      <c r="AC2037">
        <v>160</v>
      </c>
      <c r="AD2037">
        <v>3</v>
      </c>
      <c r="AE2037">
        <v>2.4</v>
      </c>
      <c r="AF2037">
        <v>2.4</v>
      </c>
      <c r="AG2037" s="29" t="s">
        <v>3113</v>
      </c>
      <c r="AH2037" s="29" t="s">
        <v>3196</v>
      </c>
      <c r="AI2037" s="29" t="s">
        <v>3197</v>
      </c>
      <c r="AJ2037" s="29"/>
      <c r="AL2037" s="29" t="s">
        <v>3114</v>
      </c>
    </row>
    <row r="2038" spans="15:38">
      <c r="O2038" t="s">
        <v>24</v>
      </c>
      <c r="P2038" t="s">
        <v>43</v>
      </c>
      <c r="Q2038" t="s">
        <v>3</v>
      </c>
      <c r="R2038" t="s">
        <v>62</v>
      </c>
      <c r="S2038">
        <v>2024.28</v>
      </c>
      <c r="T2038">
        <v>166.2</v>
      </c>
      <c r="U2038">
        <v>0</v>
      </c>
      <c r="V2038">
        <v>0</v>
      </c>
      <c r="AA2038" s="29" t="s">
        <v>43</v>
      </c>
      <c r="AB2038">
        <v>31200</v>
      </c>
      <c r="AC2038">
        <v>160</v>
      </c>
      <c r="AD2038">
        <v>3</v>
      </c>
      <c r="AE2038">
        <v>9709</v>
      </c>
      <c r="AF2038">
        <v>9709</v>
      </c>
      <c r="AG2038" s="29" t="s">
        <v>3113</v>
      </c>
      <c r="AH2038" s="29" t="s">
        <v>3198</v>
      </c>
      <c r="AI2038" s="29" t="s">
        <v>3199</v>
      </c>
      <c r="AJ2038" s="29"/>
      <c r="AL2038" s="29" t="s">
        <v>3114</v>
      </c>
    </row>
    <row r="2039" spans="15:38">
      <c r="O2039" t="s">
        <v>24</v>
      </c>
      <c r="P2039" t="s">
        <v>43</v>
      </c>
      <c r="Q2039" t="s">
        <v>3</v>
      </c>
      <c r="R2039" t="s">
        <v>62</v>
      </c>
      <c r="S2039">
        <v>2024.38</v>
      </c>
      <c r="T2039">
        <v>166.2</v>
      </c>
      <c r="U2039">
        <v>0</v>
      </c>
      <c r="V2039">
        <v>0</v>
      </c>
      <c r="AA2039" s="29" t="s">
        <v>43</v>
      </c>
      <c r="AB2039">
        <v>31200</v>
      </c>
      <c r="AC2039">
        <v>160</v>
      </c>
      <c r="AD2039">
        <v>3</v>
      </c>
      <c r="AE2039">
        <v>2561</v>
      </c>
      <c r="AF2039">
        <v>2561</v>
      </c>
      <c r="AG2039" s="29" t="s">
        <v>3113</v>
      </c>
      <c r="AH2039" s="29" t="s">
        <v>3200</v>
      </c>
      <c r="AI2039" s="29" t="s">
        <v>3201</v>
      </c>
      <c r="AJ2039" s="29"/>
      <c r="AL2039" s="29" t="s">
        <v>3114</v>
      </c>
    </row>
    <row r="2040" spans="15:38">
      <c r="O2040" t="s">
        <v>24</v>
      </c>
      <c r="P2040" t="s">
        <v>43</v>
      </c>
      <c r="Q2040" t="s">
        <v>3</v>
      </c>
      <c r="R2040" t="s">
        <v>62</v>
      </c>
      <c r="S2040">
        <v>2024.39</v>
      </c>
      <c r="T2040">
        <v>166.2</v>
      </c>
      <c r="U2040">
        <v>0</v>
      </c>
      <c r="V2040">
        <v>0</v>
      </c>
      <c r="AA2040" s="29" t="s">
        <v>43</v>
      </c>
      <c r="AB2040">
        <v>31200</v>
      </c>
      <c r="AC2040">
        <v>160</v>
      </c>
      <c r="AD2040">
        <v>3</v>
      </c>
      <c r="AE2040">
        <v>0</v>
      </c>
      <c r="AF2040">
        <v>0</v>
      </c>
      <c r="AG2040" s="29" t="s">
        <v>3113</v>
      </c>
      <c r="AH2040" s="29" t="s">
        <v>3119</v>
      </c>
      <c r="AI2040" s="29" t="s">
        <v>3202</v>
      </c>
      <c r="AJ2040" s="29"/>
      <c r="AL2040" s="29" t="s">
        <v>3114</v>
      </c>
    </row>
    <row r="2041" spans="15:38">
      <c r="O2041" t="s">
        <v>24</v>
      </c>
      <c r="P2041" t="s">
        <v>43</v>
      </c>
      <c r="Q2041" t="s">
        <v>3</v>
      </c>
      <c r="R2041" t="s">
        <v>62</v>
      </c>
      <c r="S2041">
        <v>2024.41</v>
      </c>
      <c r="T2041">
        <v>166.2</v>
      </c>
      <c r="U2041">
        <v>0</v>
      </c>
      <c r="V2041">
        <v>0</v>
      </c>
      <c r="AA2041" s="29" t="s">
        <v>43</v>
      </c>
      <c r="AB2041">
        <v>31200</v>
      </c>
      <c r="AC2041">
        <v>160</v>
      </c>
      <c r="AD2041">
        <v>3</v>
      </c>
      <c r="AE2041">
        <v>0</v>
      </c>
      <c r="AF2041">
        <v>0</v>
      </c>
      <c r="AG2041" s="29" t="s">
        <v>3113</v>
      </c>
      <c r="AH2041" s="29" t="s">
        <v>3119</v>
      </c>
      <c r="AI2041" s="29" t="s">
        <v>3203</v>
      </c>
      <c r="AJ2041" s="29"/>
      <c r="AL2041" s="29" t="s">
        <v>3114</v>
      </c>
    </row>
    <row r="2042" spans="15:38">
      <c r="O2042" t="s">
        <v>24</v>
      </c>
      <c r="P2042" t="s">
        <v>43</v>
      </c>
      <c r="Q2042" t="s">
        <v>3</v>
      </c>
      <c r="R2042" t="s">
        <v>62</v>
      </c>
      <c r="S2042">
        <v>2024.43</v>
      </c>
      <c r="T2042">
        <v>166.2</v>
      </c>
      <c r="U2042">
        <v>0</v>
      </c>
      <c r="V2042">
        <v>0</v>
      </c>
      <c r="AA2042" s="29" t="s">
        <v>43</v>
      </c>
      <c r="AB2042">
        <v>31200</v>
      </c>
      <c r="AC2042">
        <v>160</v>
      </c>
      <c r="AD2042">
        <v>3</v>
      </c>
      <c r="AE2042">
        <v>30.75</v>
      </c>
      <c r="AF2042">
        <v>30.75</v>
      </c>
      <c r="AG2042" s="29" t="s">
        <v>3113</v>
      </c>
      <c r="AH2042" s="29" t="s">
        <v>3204</v>
      </c>
      <c r="AI2042" s="29" t="s">
        <v>3205</v>
      </c>
      <c r="AJ2042" s="29"/>
      <c r="AL2042" s="29" t="s">
        <v>3114</v>
      </c>
    </row>
    <row r="2043" spans="15:38">
      <c r="O2043" t="s">
        <v>24</v>
      </c>
      <c r="P2043" t="s">
        <v>43</v>
      </c>
      <c r="Q2043" t="s">
        <v>3</v>
      </c>
      <c r="R2043" t="s">
        <v>62</v>
      </c>
      <c r="S2043">
        <v>2024.44</v>
      </c>
      <c r="T2043">
        <v>166.2</v>
      </c>
      <c r="U2043">
        <v>0</v>
      </c>
      <c r="V2043">
        <v>0</v>
      </c>
      <c r="AA2043" s="29" t="s">
        <v>43</v>
      </c>
      <c r="AB2043">
        <v>31200</v>
      </c>
      <c r="AC2043">
        <v>160</v>
      </c>
      <c r="AD2043">
        <v>3</v>
      </c>
      <c r="AE2043">
        <v>1.23</v>
      </c>
      <c r="AF2043">
        <v>1.23</v>
      </c>
      <c r="AG2043" s="29" t="s">
        <v>3113</v>
      </c>
      <c r="AH2043" s="29" t="s">
        <v>3206</v>
      </c>
      <c r="AI2043" s="29" t="s">
        <v>3207</v>
      </c>
      <c r="AJ2043" s="29"/>
      <c r="AL2043" s="29" t="s">
        <v>3114</v>
      </c>
    </row>
    <row r="2044" spans="15:38">
      <c r="O2044" t="s">
        <v>24</v>
      </c>
      <c r="P2044" t="s">
        <v>43</v>
      </c>
      <c r="Q2044" t="s">
        <v>3</v>
      </c>
      <c r="R2044" t="s">
        <v>62</v>
      </c>
      <c r="S2044">
        <v>2024.45</v>
      </c>
      <c r="T2044">
        <v>166.2</v>
      </c>
      <c r="U2044">
        <v>0</v>
      </c>
      <c r="V2044">
        <v>0</v>
      </c>
      <c r="AA2044" s="29" t="s">
        <v>43</v>
      </c>
      <c r="AB2044">
        <v>31200</v>
      </c>
      <c r="AC2044">
        <v>160</v>
      </c>
      <c r="AD2044">
        <v>3</v>
      </c>
      <c r="AE2044">
        <v>6.38</v>
      </c>
      <c r="AF2044">
        <v>6.38</v>
      </c>
      <c r="AG2044" s="29" t="s">
        <v>3113</v>
      </c>
      <c r="AH2044" s="29" t="s">
        <v>3208</v>
      </c>
      <c r="AI2044" s="29" t="s">
        <v>3209</v>
      </c>
      <c r="AJ2044" s="29"/>
      <c r="AL2044" s="29" t="s">
        <v>3114</v>
      </c>
    </row>
    <row r="2045" spans="15:38">
      <c r="O2045" t="s">
        <v>24</v>
      </c>
      <c r="P2045" t="s">
        <v>43</v>
      </c>
      <c r="Q2045" t="s">
        <v>3</v>
      </c>
      <c r="R2045" t="s">
        <v>62</v>
      </c>
      <c r="S2045">
        <v>2024.47</v>
      </c>
      <c r="T2045">
        <v>166.2</v>
      </c>
      <c r="U2045">
        <v>0</v>
      </c>
      <c r="V2045">
        <v>0</v>
      </c>
      <c r="AA2045" s="29" t="s">
        <v>43</v>
      </c>
      <c r="AB2045">
        <v>31200</v>
      </c>
      <c r="AC2045">
        <v>160</v>
      </c>
      <c r="AD2045">
        <v>3</v>
      </c>
      <c r="AE2045">
        <v>0</v>
      </c>
      <c r="AF2045">
        <v>0</v>
      </c>
      <c r="AG2045" s="29" t="s">
        <v>3113</v>
      </c>
      <c r="AH2045" s="29" t="s">
        <v>3119</v>
      </c>
      <c r="AI2045" s="29" t="s">
        <v>3210</v>
      </c>
      <c r="AJ2045" s="29"/>
      <c r="AL2045" s="29" t="s">
        <v>3114</v>
      </c>
    </row>
    <row r="2046" spans="15:38">
      <c r="O2046" t="s">
        <v>24</v>
      </c>
      <c r="P2046" t="s">
        <v>43</v>
      </c>
      <c r="Q2046" t="s">
        <v>3</v>
      </c>
      <c r="R2046" t="s">
        <v>62</v>
      </c>
      <c r="S2046">
        <v>2024.48</v>
      </c>
      <c r="T2046">
        <v>166.2</v>
      </c>
      <c r="U2046">
        <v>0</v>
      </c>
      <c r="V2046">
        <v>166.3</v>
      </c>
      <c r="AA2046" s="29" t="s">
        <v>43</v>
      </c>
      <c r="AB2046">
        <v>31200</v>
      </c>
      <c r="AC2046">
        <v>160</v>
      </c>
      <c r="AD2046">
        <v>3</v>
      </c>
      <c r="AE2046">
        <v>0</v>
      </c>
      <c r="AF2046">
        <v>0</v>
      </c>
      <c r="AG2046" s="29" t="s">
        <v>3113</v>
      </c>
      <c r="AH2046" s="29" t="s">
        <v>3119</v>
      </c>
      <c r="AI2046" s="29" t="s">
        <v>3211</v>
      </c>
      <c r="AJ2046" s="29"/>
      <c r="AL2046" s="29" t="s">
        <v>3114</v>
      </c>
    </row>
    <row r="2047" spans="15:38">
      <c r="O2047" t="s">
        <v>24</v>
      </c>
      <c r="P2047" t="s">
        <v>43</v>
      </c>
      <c r="Q2047" t="s">
        <v>3</v>
      </c>
      <c r="R2047" t="s">
        <v>62</v>
      </c>
      <c r="S2047">
        <v>2024.49</v>
      </c>
      <c r="T2047">
        <v>166.2</v>
      </c>
      <c r="U2047">
        <v>0</v>
      </c>
      <c r="V2047">
        <v>166.3</v>
      </c>
      <c r="AA2047" s="29" t="s">
        <v>43</v>
      </c>
      <c r="AB2047">
        <v>31200</v>
      </c>
      <c r="AC2047">
        <v>160</v>
      </c>
      <c r="AD2047">
        <v>3</v>
      </c>
      <c r="AE2047">
        <v>54.25</v>
      </c>
      <c r="AF2047">
        <v>54.25</v>
      </c>
      <c r="AG2047" s="29" t="s">
        <v>3113</v>
      </c>
      <c r="AH2047" s="29" t="s">
        <v>3212</v>
      </c>
      <c r="AI2047" s="29" t="s">
        <v>3213</v>
      </c>
      <c r="AJ2047" s="29"/>
      <c r="AL2047" s="29" t="s">
        <v>3114</v>
      </c>
    </row>
    <row r="2048" spans="15:38">
      <c r="O2048" t="s">
        <v>24</v>
      </c>
      <c r="P2048" t="s">
        <v>43</v>
      </c>
      <c r="Q2048" t="s">
        <v>3</v>
      </c>
      <c r="R2048" t="s">
        <v>62</v>
      </c>
      <c r="S2048">
        <v>2025.03</v>
      </c>
      <c r="T2048">
        <v>166.2</v>
      </c>
      <c r="U2048">
        <v>0</v>
      </c>
      <c r="V2048">
        <v>166.3</v>
      </c>
      <c r="AA2048" s="29" t="s">
        <v>43</v>
      </c>
      <c r="AB2048">
        <v>31200</v>
      </c>
      <c r="AC2048">
        <v>160</v>
      </c>
      <c r="AD2048">
        <v>3</v>
      </c>
      <c r="AE2048">
        <v>138.96</v>
      </c>
      <c r="AF2048">
        <v>138.96</v>
      </c>
      <c r="AG2048" s="29" t="s">
        <v>3113</v>
      </c>
      <c r="AH2048" s="29" t="s">
        <v>3214</v>
      </c>
      <c r="AI2048" s="29" t="s">
        <v>3215</v>
      </c>
      <c r="AJ2048" s="29"/>
      <c r="AL2048" s="29" t="s">
        <v>3114</v>
      </c>
    </row>
    <row r="2049" spans="15:38">
      <c r="O2049" t="s">
        <v>24</v>
      </c>
      <c r="P2049" t="s">
        <v>43</v>
      </c>
      <c r="Q2049" t="s">
        <v>3</v>
      </c>
      <c r="R2049" t="s">
        <v>62</v>
      </c>
      <c r="S2049">
        <v>2025.08</v>
      </c>
      <c r="T2049">
        <v>166.2</v>
      </c>
      <c r="U2049">
        <v>0</v>
      </c>
      <c r="V2049">
        <v>166.3</v>
      </c>
      <c r="AA2049" s="29" t="s">
        <v>43</v>
      </c>
      <c r="AB2049">
        <v>31200</v>
      </c>
      <c r="AC2049">
        <v>160</v>
      </c>
      <c r="AD2049">
        <v>3</v>
      </c>
      <c r="AE2049">
        <v>2.13</v>
      </c>
      <c r="AF2049">
        <v>2.13</v>
      </c>
      <c r="AG2049" s="29" t="s">
        <v>3113</v>
      </c>
      <c r="AH2049" s="29" t="s">
        <v>3216</v>
      </c>
      <c r="AI2049" s="29" t="s">
        <v>3217</v>
      </c>
      <c r="AJ2049" s="29"/>
      <c r="AL2049" s="29" t="s">
        <v>3114</v>
      </c>
    </row>
    <row r="2050" spans="15:38">
      <c r="O2050" t="s">
        <v>24</v>
      </c>
      <c r="P2050" t="s">
        <v>43</v>
      </c>
      <c r="Q2050" t="s">
        <v>3</v>
      </c>
      <c r="R2050" t="s">
        <v>62</v>
      </c>
      <c r="S2050">
        <v>2025.1</v>
      </c>
      <c r="T2050">
        <v>166.2</v>
      </c>
      <c r="U2050">
        <v>0</v>
      </c>
      <c r="V2050">
        <v>166.3</v>
      </c>
      <c r="AA2050" s="29" t="s">
        <v>43</v>
      </c>
      <c r="AB2050">
        <v>31200</v>
      </c>
      <c r="AC2050">
        <v>160</v>
      </c>
      <c r="AD2050">
        <v>3</v>
      </c>
      <c r="AE2050">
        <v>9.3000000000000007</v>
      </c>
      <c r="AF2050">
        <v>9.3000000000000007</v>
      </c>
      <c r="AG2050" s="29" t="s">
        <v>3113</v>
      </c>
      <c r="AH2050" s="29" t="s">
        <v>3218</v>
      </c>
      <c r="AI2050" s="29" t="s">
        <v>3219</v>
      </c>
      <c r="AJ2050" s="29"/>
      <c r="AL2050" s="29" t="s">
        <v>3114</v>
      </c>
    </row>
    <row r="2051" spans="15:38">
      <c r="O2051" t="s">
        <v>24</v>
      </c>
      <c r="P2051" t="s">
        <v>43</v>
      </c>
      <c r="Q2051" t="s">
        <v>3</v>
      </c>
      <c r="R2051" t="s">
        <v>62</v>
      </c>
      <c r="S2051">
        <v>2025.11</v>
      </c>
      <c r="T2051">
        <v>166.2</v>
      </c>
      <c r="U2051">
        <v>0</v>
      </c>
      <c r="V2051">
        <v>166.3</v>
      </c>
      <c r="AA2051" s="29" t="s">
        <v>43</v>
      </c>
      <c r="AB2051">
        <v>31200</v>
      </c>
      <c r="AC2051">
        <v>160</v>
      </c>
      <c r="AD2051">
        <v>4</v>
      </c>
      <c r="AE2051">
        <v>478.29</v>
      </c>
      <c r="AF2051">
        <v>478.29</v>
      </c>
      <c r="AG2051" s="29" t="s">
        <v>3113</v>
      </c>
      <c r="AH2051" s="29" t="s">
        <v>3220</v>
      </c>
      <c r="AI2051" s="29" t="s">
        <v>3159</v>
      </c>
      <c r="AJ2051" s="29" t="s">
        <v>3221</v>
      </c>
      <c r="AL2051" s="29" t="s">
        <v>3114</v>
      </c>
    </row>
    <row r="2052" spans="15:38">
      <c r="O2052" t="s">
        <v>24</v>
      </c>
      <c r="P2052" t="s">
        <v>43</v>
      </c>
      <c r="Q2052" t="s">
        <v>3</v>
      </c>
      <c r="R2052" t="s">
        <v>62</v>
      </c>
      <c r="S2052">
        <v>2025.12</v>
      </c>
      <c r="T2052">
        <v>166.2</v>
      </c>
      <c r="U2052">
        <v>0</v>
      </c>
      <c r="V2052">
        <v>166.3</v>
      </c>
      <c r="AA2052" s="29" t="s">
        <v>43</v>
      </c>
      <c r="AB2052">
        <v>31200</v>
      </c>
      <c r="AC2052">
        <v>160</v>
      </c>
      <c r="AD2052">
        <v>4</v>
      </c>
      <c r="AE2052">
        <v>29.75</v>
      </c>
      <c r="AF2052">
        <v>29.75</v>
      </c>
      <c r="AG2052" s="29" t="s">
        <v>3113</v>
      </c>
      <c r="AH2052" s="29" t="s">
        <v>3222</v>
      </c>
      <c r="AI2052" s="29" t="s">
        <v>3159</v>
      </c>
      <c r="AJ2052" s="29" t="s">
        <v>3223</v>
      </c>
      <c r="AL2052" s="29" t="s">
        <v>3114</v>
      </c>
    </row>
    <row r="2053" spans="15:38">
      <c r="O2053" t="s">
        <v>24</v>
      </c>
      <c r="P2053" t="s">
        <v>43</v>
      </c>
      <c r="Q2053" t="s">
        <v>1</v>
      </c>
      <c r="R2053" t="s">
        <v>58</v>
      </c>
      <c r="S2053">
        <v>2023.47</v>
      </c>
      <c r="T2053">
        <v>0</v>
      </c>
      <c r="U2053">
        <v>601239.14560000005</v>
      </c>
      <c r="V2053">
        <v>601239.14560000005</v>
      </c>
      <c r="AA2053" s="29" t="s">
        <v>43</v>
      </c>
      <c r="AB2053">
        <v>31200</v>
      </c>
      <c r="AC2053">
        <v>160</v>
      </c>
      <c r="AD2053">
        <v>4</v>
      </c>
      <c r="AE2053">
        <v>26.75</v>
      </c>
      <c r="AF2053">
        <v>26.75</v>
      </c>
      <c r="AG2053" s="29" t="s">
        <v>3113</v>
      </c>
      <c r="AH2053" s="29" t="s">
        <v>3224</v>
      </c>
      <c r="AI2053" s="29" t="s">
        <v>3159</v>
      </c>
      <c r="AJ2053" s="29" t="s">
        <v>3225</v>
      </c>
      <c r="AL2053" s="29" t="s">
        <v>3114</v>
      </c>
    </row>
    <row r="2054" spans="15:38">
      <c r="O2054" t="s">
        <v>24</v>
      </c>
      <c r="P2054" t="s">
        <v>43</v>
      </c>
      <c r="Q2054" t="s">
        <v>1</v>
      </c>
      <c r="R2054" t="s">
        <v>58</v>
      </c>
      <c r="S2054">
        <v>2023.51</v>
      </c>
      <c r="T2054">
        <v>579683.80000000005</v>
      </c>
      <c r="U2054">
        <v>601239.14560000005</v>
      </c>
      <c r="V2054">
        <v>601239.14560000005</v>
      </c>
      <c r="AA2054" s="29" t="s">
        <v>43</v>
      </c>
      <c r="AB2054">
        <v>31200</v>
      </c>
      <c r="AC2054">
        <v>160</v>
      </c>
      <c r="AD2054">
        <v>4</v>
      </c>
      <c r="AE2054">
        <v>37.950000000000003</v>
      </c>
      <c r="AF2054">
        <v>37.950000000000003</v>
      </c>
      <c r="AG2054" s="29" t="s">
        <v>3113</v>
      </c>
      <c r="AH2054" s="29" t="s">
        <v>3226</v>
      </c>
      <c r="AI2054" s="29" t="s">
        <v>3159</v>
      </c>
      <c r="AJ2054" s="29" t="s">
        <v>3227</v>
      </c>
      <c r="AL2054" s="29" t="s">
        <v>3114</v>
      </c>
    </row>
    <row r="2055" spans="15:38">
      <c r="O2055" t="s">
        <v>24</v>
      </c>
      <c r="P2055" t="s">
        <v>43</v>
      </c>
      <c r="Q2055" t="s">
        <v>1</v>
      </c>
      <c r="R2055" t="s">
        <v>58</v>
      </c>
      <c r="S2055">
        <v>2024.05</v>
      </c>
      <c r="T2055">
        <v>371816.9</v>
      </c>
      <c r="U2055">
        <v>601239.14560000005</v>
      </c>
      <c r="V2055">
        <v>601239.14560000005</v>
      </c>
      <c r="AA2055" s="29" t="s">
        <v>43</v>
      </c>
      <c r="AB2055">
        <v>31200</v>
      </c>
      <c r="AC2055">
        <v>160</v>
      </c>
      <c r="AD2055">
        <v>4</v>
      </c>
      <c r="AE2055">
        <v>113.85</v>
      </c>
      <c r="AF2055">
        <v>113.85</v>
      </c>
      <c r="AG2055" s="29" t="s">
        <v>3113</v>
      </c>
      <c r="AH2055" s="29" t="s">
        <v>3228</v>
      </c>
      <c r="AI2055" s="29" t="s">
        <v>3159</v>
      </c>
      <c r="AJ2055" s="29" t="s">
        <v>3229</v>
      </c>
      <c r="AL2055" s="29" t="s">
        <v>3114</v>
      </c>
    </row>
    <row r="2056" spans="15:38">
      <c r="O2056" t="s">
        <v>24</v>
      </c>
      <c r="P2056" t="s">
        <v>43</v>
      </c>
      <c r="Q2056" t="s">
        <v>1</v>
      </c>
      <c r="R2056" t="s">
        <v>58</v>
      </c>
      <c r="S2056">
        <v>2024.06</v>
      </c>
      <c r="T2056">
        <v>371816.9</v>
      </c>
      <c r="U2056">
        <v>601239.14560000005</v>
      </c>
      <c r="V2056">
        <v>601239.14560000005</v>
      </c>
      <c r="AA2056" s="29" t="s">
        <v>43</v>
      </c>
      <c r="AB2056">
        <v>31200</v>
      </c>
      <c r="AC2056">
        <v>160</v>
      </c>
      <c r="AD2056">
        <v>4</v>
      </c>
      <c r="AE2056">
        <v>181.9</v>
      </c>
      <c r="AF2056">
        <v>181.9</v>
      </c>
      <c r="AG2056" s="29" t="s">
        <v>3113</v>
      </c>
      <c r="AH2056" s="29" t="s">
        <v>3230</v>
      </c>
      <c r="AI2056" s="29" t="s">
        <v>3159</v>
      </c>
      <c r="AJ2056" s="29" t="s">
        <v>3231</v>
      </c>
      <c r="AL2056" s="29" t="s">
        <v>3114</v>
      </c>
    </row>
    <row r="2057" spans="15:38">
      <c r="O2057" t="s">
        <v>24</v>
      </c>
      <c r="P2057" t="s">
        <v>43</v>
      </c>
      <c r="Q2057" t="s">
        <v>1</v>
      </c>
      <c r="R2057" t="s">
        <v>58</v>
      </c>
      <c r="S2057">
        <v>2024.07</v>
      </c>
      <c r="T2057">
        <v>371816.9</v>
      </c>
      <c r="U2057">
        <v>601239.14560000005</v>
      </c>
      <c r="V2057">
        <v>601239.14560000005</v>
      </c>
      <c r="AA2057" s="29" t="s">
        <v>43</v>
      </c>
      <c r="AB2057">
        <v>31200</v>
      </c>
      <c r="AC2057">
        <v>160</v>
      </c>
      <c r="AD2057">
        <v>4</v>
      </c>
      <c r="AE2057">
        <v>9.08</v>
      </c>
      <c r="AF2057">
        <v>9.08</v>
      </c>
      <c r="AG2057" s="29" t="s">
        <v>3113</v>
      </c>
      <c r="AH2057" s="29" t="s">
        <v>3232</v>
      </c>
      <c r="AI2057" s="29" t="s">
        <v>3159</v>
      </c>
      <c r="AJ2057" s="29" t="s">
        <v>3233</v>
      </c>
      <c r="AL2057" s="29" t="s">
        <v>3114</v>
      </c>
    </row>
    <row r="2058" spans="15:38">
      <c r="O2058" t="s">
        <v>24</v>
      </c>
      <c r="P2058" t="s">
        <v>43</v>
      </c>
      <c r="Q2058" t="s">
        <v>1</v>
      </c>
      <c r="R2058" t="s">
        <v>58</v>
      </c>
      <c r="S2058">
        <v>2024.08</v>
      </c>
      <c r="T2058">
        <v>371816.9</v>
      </c>
      <c r="U2058">
        <v>601239.14560000005</v>
      </c>
      <c r="V2058">
        <v>601239.14560000005</v>
      </c>
      <c r="AA2058" s="29" t="s">
        <v>43</v>
      </c>
      <c r="AB2058">
        <v>31200</v>
      </c>
      <c r="AC2058">
        <v>160</v>
      </c>
      <c r="AD2058">
        <v>4</v>
      </c>
      <c r="AE2058">
        <v>27339</v>
      </c>
      <c r="AF2058">
        <v>27339</v>
      </c>
      <c r="AG2058" s="29" t="s">
        <v>3113</v>
      </c>
      <c r="AH2058" s="29" t="s">
        <v>3234</v>
      </c>
      <c r="AI2058" s="29" t="s">
        <v>3159</v>
      </c>
      <c r="AJ2058" s="29" t="s">
        <v>3235</v>
      </c>
      <c r="AL2058" s="29" t="s">
        <v>3114</v>
      </c>
    </row>
    <row r="2059" spans="15:38">
      <c r="O2059" t="s">
        <v>24</v>
      </c>
      <c r="P2059" t="s">
        <v>43</v>
      </c>
      <c r="Q2059" t="s">
        <v>1</v>
      </c>
      <c r="R2059" t="s">
        <v>58</v>
      </c>
      <c r="S2059">
        <v>2024.09</v>
      </c>
      <c r="T2059">
        <v>579683.80000000005</v>
      </c>
      <c r="U2059">
        <v>601239.14560000005</v>
      </c>
      <c r="V2059">
        <v>601239.14560000005</v>
      </c>
      <c r="AA2059" s="29" t="s">
        <v>43</v>
      </c>
      <c r="AB2059">
        <v>31200</v>
      </c>
      <c r="AC2059">
        <v>160</v>
      </c>
      <c r="AD2059">
        <v>4</v>
      </c>
      <c r="AE2059">
        <v>252.6</v>
      </c>
      <c r="AF2059">
        <v>252.6</v>
      </c>
      <c r="AG2059" s="29" t="s">
        <v>3113</v>
      </c>
      <c r="AH2059" s="29" t="s">
        <v>3236</v>
      </c>
      <c r="AI2059" s="29" t="s">
        <v>3159</v>
      </c>
      <c r="AJ2059" s="29" t="s">
        <v>3237</v>
      </c>
      <c r="AL2059" s="29" t="s">
        <v>3114</v>
      </c>
    </row>
    <row r="2060" spans="15:38">
      <c r="O2060" t="s">
        <v>24</v>
      </c>
      <c r="P2060" t="s">
        <v>43</v>
      </c>
      <c r="Q2060" t="s">
        <v>1</v>
      </c>
      <c r="R2060" t="s">
        <v>58</v>
      </c>
      <c r="S2060">
        <v>2024.1</v>
      </c>
      <c r="T2060">
        <v>371816.9</v>
      </c>
      <c r="U2060">
        <v>601239.14560000005</v>
      </c>
      <c r="V2060">
        <v>601239.14560000005</v>
      </c>
      <c r="AA2060" s="29" t="s">
        <v>43</v>
      </c>
      <c r="AB2060">
        <v>31200</v>
      </c>
      <c r="AC2060">
        <v>160</v>
      </c>
      <c r="AD2060">
        <v>4</v>
      </c>
      <c r="AE2060">
        <v>402.58</v>
      </c>
      <c r="AF2060">
        <v>402.58</v>
      </c>
      <c r="AG2060" s="29" t="s">
        <v>3113</v>
      </c>
      <c r="AH2060" s="29" t="s">
        <v>3238</v>
      </c>
      <c r="AI2060" s="29" t="s">
        <v>3159</v>
      </c>
      <c r="AJ2060" s="29" t="s">
        <v>3239</v>
      </c>
      <c r="AL2060" s="29" t="s">
        <v>3114</v>
      </c>
    </row>
    <row r="2061" spans="15:38">
      <c r="O2061" t="s">
        <v>24</v>
      </c>
      <c r="P2061" t="s">
        <v>43</v>
      </c>
      <c r="Q2061" t="s">
        <v>1</v>
      </c>
      <c r="R2061" t="s">
        <v>58</v>
      </c>
      <c r="S2061">
        <v>2024.11</v>
      </c>
      <c r="T2061">
        <v>371816.9</v>
      </c>
      <c r="U2061">
        <v>601239.14560000005</v>
      </c>
      <c r="V2061">
        <v>601239.14560000005</v>
      </c>
      <c r="AA2061" s="29" t="s">
        <v>43</v>
      </c>
      <c r="AB2061">
        <v>31200</v>
      </c>
      <c r="AC2061">
        <v>160</v>
      </c>
      <c r="AD2061">
        <v>4</v>
      </c>
      <c r="AE2061">
        <v>285.60000000000002</v>
      </c>
      <c r="AF2061">
        <v>285.60000000000002</v>
      </c>
      <c r="AG2061" s="29" t="s">
        <v>3113</v>
      </c>
      <c r="AH2061" s="29" t="s">
        <v>3240</v>
      </c>
      <c r="AI2061" s="29" t="s">
        <v>3159</v>
      </c>
      <c r="AJ2061" s="29" t="s">
        <v>3241</v>
      </c>
      <c r="AL2061" s="29" t="s">
        <v>3114</v>
      </c>
    </row>
    <row r="2062" spans="15:38">
      <c r="O2062" t="s">
        <v>24</v>
      </c>
      <c r="P2062" t="s">
        <v>43</v>
      </c>
      <c r="Q2062" t="s">
        <v>1</v>
      </c>
      <c r="R2062" t="s">
        <v>58</v>
      </c>
      <c r="S2062">
        <v>2024.12</v>
      </c>
      <c r="T2062">
        <v>371816.9</v>
      </c>
      <c r="U2062">
        <v>601239.14560000005</v>
      </c>
      <c r="V2062">
        <v>601239.14560000005</v>
      </c>
      <c r="AA2062" s="29" t="s">
        <v>43</v>
      </c>
      <c r="AB2062">
        <v>31200</v>
      </c>
      <c r="AC2062">
        <v>160</v>
      </c>
      <c r="AD2062">
        <v>4</v>
      </c>
      <c r="AE2062">
        <v>0.96</v>
      </c>
      <c r="AF2062">
        <v>0.96</v>
      </c>
      <c r="AG2062" s="29" t="s">
        <v>3113</v>
      </c>
      <c r="AH2062" s="29" t="s">
        <v>3242</v>
      </c>
      <c r="AI2062" s="29" t="s">
        <v>3159</v>
      </c>
      <c r="AJ2062" s="29" t="s">
        <v>3243</v>
      </c>
      <c r="AL2062" s="29" t="s">
        <v>3114</v>
      </c>
    </row>
    <row r="2063" spans="15:38">
      <c r="O2063" t="s">
        <v>24</v>
      </c>
      <c r="P2063" t="s">
        <v>43</v>
      </c>
      <c r="Q2063" t="s">
        <v>1</v>
      </c>
      <c r="R2063" t="s">
        <v>58</v>
      </c>
      <c r="S2063">
        <v>2024.14</v>
      </c>
      <c r="T2063">
        <v>308993.90000000002</v>
      </c>
      <c r="U2063">
        <v>601239.14560000005</v>
      </c>
      <c r="V2063">
        <v>601239.14560000005</v>
      </c>
      <c r="AA2063" s="29" t="s">
        <v>43</v>
      </c>
      <c r="AB2063">
        <v>31200</v>
      </c>
      <c r="AC2063">
        <v>160</v>
      </c>
      <c r="AD2063">
        <v>4</v>
      </c>
      <c r="AE2063">
        <v>448</v>
      </c>
      <c r="AF2063">
        <v>448</v>
      </c>
      <c r="AG2063" s="29" t="s">
        <v>3113</v>
      </c>
      <c r="AH2063" s="29" t="s">
        <v>3244</v>
      </c>
      <c r="AI2063" s="29" t="s">
        <v>3159</v>
      </c>
      <c r="AJ2063" s="29" t="s">
        <v>3245</v>
      </c>
      <c r="AL2063" s="29" t="s">
        <v>3114</v>
      </c>
    </row>
    <row r="2064" spans="15:38">
      <c r="O2064" t="s">
        <v>24</v>
      </c>
      <c r="P2064" t="s">
        <v>43</v>
      </c>
      <c r="Q2064" t="s">
        <v>1</v>
      </c>
      <c r="R2064" t="s">
        <v>58</v>
      </c>
      <c r="S2064">
        <v>2024.17</v>
      </c>
      <c r="T2064">
        <v>308993.90000000002</v>
      </c>
      <c r="U2064">
        <v>601239.14560000005</v>
      </c>
      <c r="V2064">
        <v>601239.14560000005</v>
      </c>
      <c r="AA2064" s="29" t="s">
        <v>43</v>
      </c>
      <c r="AB2064">
        <v>31200</v>
      </c>
      <c r="AC2064">
        <v>160</v>
      </c>
      <c r="AD2064">
        <v>4</v>
      </c>
      <c r="AE2064">
        <v>117.04</v>
      </c>
      <c r="AF2064">
        <v>117.04</v>
      </c>
      <c r="AG2064" s="29" t="s">
        <v>3113</v>
      </c>
      <c r="AH2064" s="29" t="s">
        <v>3246</v>
      </c>
      <c r="AI2064" s="29" t="s">
        <v>3159</v>
      </c>
      <c r="AJ2064" s="29" t="s">
        <v>3247</v>
      </c>
      <c r="AL2064" s="29" t="s">
        <v>3114</v>
      </c>
    </row>
    <row r="2065" spans="15:38">
      <c r="O2065" t="s">
        <v>24</v>
      </c>
      <c r="P2065" t="s">
        <v>43</v>
      </c>
      <c r="Q2065" t="s">
        <v>1</v>
      </c>
      <c r="R2065" t="s">
        <v>58</v>
      </c>
      <c r="S2065">
        <v>2024.18</v>
      </c>
      <c r="T2065">
        <v>308993.90000000002</v>
      </c>
      <c r="U2065">
        <v>601239.14560000005</v>
      </c>
      <c r="V2065">
        <v>601239.14560000005</v>
      </c>
      <c r="AA2065" s="29" t="s">
        <v>43</v>
      </c>
      <c r="AB2065">
        <v>31200</v>
      </c>
      <c r="AC2065">
        <v>160</v>
      </c>
      <c r="AD2065">
        <v>4</v>
      </c>
      <c r="AE2065">
        <v>55.78</v>
      </c>
      <c r="AF2065">
        <v>55.78</v>
      </c>
      <c r="AG2065" s="29" t="s">
        <v>3113</v>
      </c>
      <c r="AH2065" s="29" t="s">
        <v>3248</v>
      </c>
      <c r="AI2065" s="29" t="s">
        <v>3159</v>
      </c>
      <c r="AJ2065" s="29" t="s">
        <v>3249</v>
      </c>
      <c r="AL2065" s="29" t="s">
        <v>3114</v>
      </c>
    </row>
    <row r="2066" spans="15:38">
      <c r="O2066" t="s">
        <v>24</v>
      </c>
      <c r="P2066" t="s">
        <v>43</v>
      </c>
      <c r="Q2066" t="s">
        <v>1</v>
      </c>
      <c r="R2066" t="s">
        <v>58</v>
      </c>
      <c r="S2066">
        <v>2024.19</v>
      </c>
      <c r="T2066">
        <v>317873.90000000002</v>
      </c>
      <c r="U2066">
        <v>601239.14560000005</v>
      </c>
      <c r="V2066">
        <v>601239.14560000005</v>
      </c>
      <c r="AA2066" s="29" t="s">
        <v>43</v>
      </c>
      <c r="AB2066">
        <v>31200</v>
      </c>
      <c r="AC2066">
        <v>160</v>
      </c>
      <c r="AD2066">
        <v>4</v>
      </c>
      <c r="AE2066">
        <v>159.80000000000001</v>
      </c>
      <c r="AF2066">
        <v>159.80000000000001</v>
      </c>
      <c r="AG2066" s="29" t="s">
        <v>3113</v>
      </c>
      <c r="AH2066" s="29" t="s">
        <v>3250</v>
      </c>
      <c r="AI2066" s="29" t="s">
        <v>3159</v>
      </c>
      <c r="AJ2066" s="29" t="s">
        <v>3251</v>
      </c>
      <c r="AL2066" s="29" t="s">
        <v>3114</v>
      </c>
    </row>
    <row r="2067" spans="15:38">
      <c r="O2067" t="s">
        <v>24</v>
      </c>
      <c r="P2067" t="s">
        <v>43</v>
      </c>
      <c r="Q2067" t="s">
        <v>1</v>
      </c>
      <c r="R2067" t="s">
        <v>58</v>
      </c>
      <c r="S2067">
        <v>2024.2</v>
      </c>
      <c r="T2067">
        <v>317873.90000000002</v>
      </c>
      <c r="U2067">
        <v>601239.14560000005</v>
      </c>
      <c r="V2067">
        <v>601239.14560000005</v>
      </c>
      <c r="AA2067" s="29" t="s">
        <v>43</v>
      </c>
      <c r="AB2067">
        <v>31200</v>
      </c>
      <c r="AC2067">
        <v>160</v>
      </c>
      <c r="AD2067">
        <v>4</v>
      </c>
      <c r="AE2067">
        <v>138.5</v>
      </c>
      <c r="AF2067">
        <v>138.5</v>
      </c>
      <c r="AG2067" s="29" t="s">
        <v>3113</v>
      </c>
      <c r="AH2067" s="29" t="s">
        <v>3252</v>
      </c>
      <c r="AI2067" s="29" t="s">
        <v>3159</v>
      </c>
      <c r="AJ2067" s="29" t="s">
        <v>3253</v>
      </c>
      <c r="AL2067" s="29" t="s">
        <v>3114</v>
      </c>
    </row>
    <row r="2068" spans="15:38">
      <c r="O2068" t="s">
        <v>24</v>
      </c>
      <c r="P2068" t="s">
        <v>43</v>
      </c>
      <c r="Q2068" t="s">
        <v>1</v>
      </c>
      <c r="R2068" t="s">
        <v>58</v>
      </c>
      <c r="S2068">
        <v>2024.21</v>
      </c>
      <c r="T2068">
        <v>317873.90000000002</v>
      </c>
      <c r="U2068">
        <v>601239.14560000005</v>
      </c>
      <c r="V2068">
        <v>601239.14560000005</v>
      </c>
      <c r="AA2068" s="29" t="s">
        <v>43</v>
      </c>
      <c r="AB2068">
        <v>31200</v>
      </c>
      <c r="AC2068">
        <v>160</v>
      </c>
      <c r="AD2068">
        <v>4</v>
      </c>
      <c r="AE2068">
        <v>53.5</v>
      </c>
      <c r="AF2068">
        <v>53.5</v>
      </c>
      <c r="AG2068" s="29" t="s">
        <v>3113</v>
      </c>
      <c r="AH2068" s="29" t="s">
        <v>3254</v>
      </c>
      <c r="AI2068" s="29" t="s">
        <v>3159</v>
      </c>
      <c r="AJ2068" s="29" t="s">
        <v>2096</v>
      </c>
      <c r="AL2068" s="29" t="s">
        <v>3114</v>
      </c>
    </row>
    <row r="2069" spans="15:38">
      <c r="O2069" t="s">
        <v>24</v>
      </c>
      <c r="P2069" t="s">
        <v>43</v>
      </c>
      <c r="Q2069" t="s">
        <v>1</v>
      </c>
      <c r="R2069" t="s">
        <v>58</v>
      </c>
      <c r="S2069">
        <v>2024.28</v>
      </c>
      <c r="T2069">
        <v>317873.90000000002</v>
      </c>
      <c r="U2069">
        <v>601239.14560000005</v>
      </c>
      <c r="V2069">
        <v>601239.14560000005</v>
      </c>
      <c r="AA2069" s="29" t="s">
        <v>43</v>
      </c>
      <c r="AB2069">
        <v>31200</v>
      </c>
      <c r="AC2069">
        <v>160</v>
      </c>
      <c r="AD2069">
        <v>4</v>
      </c>
      <c r="AE2069">
        <v>53.5</v>
      </c>
      <c r="AF2069">
        <v>53.5</v>
      </c>
      <c r="AG2069" s="29" t="s">
        <v>3113</v>
      </c>
      <c r="AH2069" s="29" t="s">
        <v>3254</v>
      </c>
      <c r="AI2069" s="29" t="s">
        <v>3159</v>
      </c>
      <c r="AJ2069" s="29" t="s">
        <v>2075</v>
      </c>
      <c r="AL2069" s="29" t="s">
        <v>3114</v>
      </c>
    </row>
    <row r="2070" spans="15:38">
      <c r="O2070" t="s">
        <v>24</v>
      </c>
      <c r="P2070" t="s">
        <v>43</v>
      </c>
      <c r="Q2070" t="s">
        <v>1</v>
      </c>
      <c r="R2070" t="s">
        <v>58</v>
      </c>
      <c r="S2070">
        <v>2024.38</v>
      </c>
      <c r="T2070">
        <v>317873.90000000002</v>
      </c>
      <c r="U2070">
        <v>601239.14560000005</v>
      </c>
      <c r="V2070">
        <v>601239.14560000005</v>
      </c>
      <c r="AA2070" s="29" t="s">
        <v>43</v>
      </c>
      <c r="AB2070">
        <v>31200</v>
      </c>
      <c r="AC2070">
        <v>160</v>
      </c>
      <c r="AD2070">
        <v>4</v>
      </c>
      <c r="AE2070">
        <v>29.11</v>
      </c>
      <c r="AF2070">
        <v>29.11</v>
      </c>
      <c r="AG2070" s="29" t="s">
        <v>3113</v>
      </c>
      <c r="AH2070" s="29" t="s">
        <v>3255</v>
      </c>
      <c r="AI2070" s="29" t="s">
        <v>3159</v>
      </c>
      <c r="AJ2070" s="29" t="s">
        <v>3256</v>
      </c>
      <c r="AL2070" s="29" t="s">
        <v>3114</v>
      </c>
    </row>
    <row r="2071" spans="15:38">
      <c r="O2071" t="s">
        <v>24</v>
      </c>
      <c r="P2071" t="s">
        <v>43</v>
      </c>
      <c r="Q2071" t="s">
        <v>1</v>
      </c>
      <c r="R2071" t="s">
        <v>58</v>
      </c>
      <c r="S2071">
        <v>2024.39</v>
      </c>
      <c r="T2071">
        <v>317873.90000000002</v>
      </c>
      <c r="U2071">
        <v>601239.14560000005</v>
      </c>
      <c r="V2071">
        <v>601239.14560000005</v>
      </c>
      <c r="AA2071" s="29" t="s">
        <v>43</v>
      </c>
      <c r="AB2071">
        <v>31200</v>
      </c>
      <c r="AC2071">
        <v>160</v>
      </c>
      <c r="AD2071">
        <v>4</v>
      </c>
      <c r="AE2071">
        <v>53.5</v>
      </c>
      <c r="AF2071">
        <v>53.5</v>
      </c>
      <c r="AG2071" s="29" t="s">
        <v>3113</v>
      </c>
      <c r="AH2071" s="29" t="s">
        <v>3254</v>
      </c>
      <c r="AI2071" s="29" t="s">
        <v>3159</v>
      </c>
      <c r="AJ2071" s="29" t="s">
        <v>3257</v>
      </c>
      <c r="AL2071" s="29" t="s">
        <v>3114</v>
      </c>
    </row>
    <row r="2072" spans="15:38">
      <c r="O2072" t="s">
        <v>24</v>
      </c>
      <c r="P2072" t="s">
        <v>43</v>
      </c>
      <c r="Q2072" t="s">
        <v>1</v>
      </c>
      <c r="R2072" t="s">
        <v>58</v>
      </c>
      <c r="S2072">
        <v>2024.41</v>
      </c>
      <c r="T2072">
        <v>409160.8</v>
      </c>
      <c r="U2072">
        <v>601239.14560000005</v>
      </c>
      <c r="V2072">
        <v>601239.14560000005</v>
      </c>
      <c r="AA2072" s="29" t="s">
        <v>43</v>
      </c>
      <c r="AB2072">
        <v>31200</v>
      </c>
      <c r="AC2072">
        <v>160</v>
      </c>
      <c r="AD2072">
        <v>4</v>
      </c>
      <c r="AE2072">
        <v>212.12</v>
      </c>
      <c r="AF2072">
        <v>212.12</v>
      </c>
      <c r="AG2072" s="29" t="s">
        <v>3113</v>
      </c>
      <c r="AH2072" s="29" t="s">
        <v>3258</v>
      </c>
      <c r="AI2072" s="29" t="s">
        <v>3159</v>
      </c>
      <c r="AJ2072" s="29" t="s">
        <v>3259</v>
      </c>
      <c r="AL2072" s="29" t="s">
        <v>3114</v>
      </c>
    </row>
    <row r="2073" spans="15:38">
      <c r="O2073" t="s">
        <v>24</v>
      </c>
      <c r="P2073" t="s">
        <v>43</v>
      </c>
      <c r="Q2073" t="s">
        <v>1</v>
      </c>
      <c r="R2073" t="s">
        <v>58</v>
      </c>
      <c r="S2073">
        <v>2024.43</v>
      </c>
      <c r="T2073">
        <v>411772.8</v>
      </c>
      <c r="U2073">
        <v>601239.14560000005</v>
      </c>
      <c r="V2073">
        <v>601239.14560000005</v>
      </c>
      <c r="AA2073" s="29" t="s">
        <v>43</v>
      </c>
      <c r="AB2073">
        <v>31200</v>
      </c>
      <c r="AC2073">
        <v>160</v>
      </c>
      <c r="AD2073">
        <v>4</v>
      </c>
      <c r="AE2073">
        <v>6421</v>
      </c>
      <c r="AF2073">
        <v>6421</v>
      </c>
      <c r="AG2073" s="29" t="s">
        <v>3113</v>
      </c>
      <c r="AH2073" s="29" t="s">
        <v>3260</v>
      </c>
      <c r="AI2073" s="29" t="s">
        <v>3159</v>
      </c>
      <c r="AJ2073" s="29" t="s">
        <v>3261</v>
      </c>
      <c r="AL2073" s="29" t="s">
        <v>3114</v>
      </c>
    </row>
    <row r="2074" spans="15:38">
      <c r="O2074" t="s">
        <v>24</v>
      </c>
      <c r="P2074" t="s">
        <v>43</v>
      </c>
      <c r="Q2074" t="s">
        <v>1</v>
      </c>
      <c r="R2074" t="s">
        <v>58</v>
      </c>
      <c r="S2074">
        <v>2024.44</v>
      </c>
      <c r="T2074">
        <v>411772.8</v>
      </c>
      <c r="U2074">
        <v>601239.14560000005</v>
      </c>
      <c r="V2074">
        <v>601239.14560000005</v>
      </c>
      <c r="AA2074" s="29" t="s">
        <v>43</v>
      </c>
      <c r="AB2074">
        <v>31200</v>
      </c>
      <c r="AC2074">
        <v>160</v>
      </c>
      <c r="AD2074">
        <v>4</v>
      </c>
      <c r="AE2074">
        <v>11170</v>
      </c>
      <c r="AF2074">
        <v>11170</v>
      </c>
      <c r="AG2074" s="29" t="s">
        <v>3113</v>
      </c>
      <c r="AH2074" s="29" t="s">
        <v>3262</v>
      </c>
      <c r="AI2074" s="29" t="s">
        <v>3159</v>
      </c>
      <c r="AJ2074" s="29" t="s">
        <v>3263</v>
      </c>
      <c r="AL2074" s="29" t="s">
        <v>3114</v>
      </c>
    </row>
    <row r="2075" spans="15:38">
      <c r="O2075" t="s">
        <v>24</v>
      </c>
      <c r="P2075" t="s">
        <v>43</v>
      </c>
      <c r="Q2075" t="s">
        <v>1</v>
      </c>
      <c r="R2075" t="s">
        <v>58</v>
      </c>
      <c r="S2075">
        <v>2024.45</v>
      </c>
      <c r="T2075">
        <v>420612.8</v>
      </c>
      <c r="U2075">
        <v>601239.14560000005</v>
      </c>
      <c r="V2075">
        <v>601239.14560000005</v>
      </c>
      <c r="AA2075" s="29" t="s">
        <v>43</v>
      </c>
      <c r="AB2075">
        <v>31200</v>
      </c>
      <c r="AC2075">
        <v>160</v>
      </c>
      <c r="AD2075">
        <v>4</v>
      </c>
      <c r="AE2075">
        <v>318.86</v>
      </c>
      <c r="AF2075">
        <v>318.86</v>
      </c>
      <c r="AG2075" s="29" t="s">
        <v>3113</v>
      </c>
      <c r="AH2075" s="29" t="s">
        <v>3264</v>
      </c>
      <c r="AI2075" s="29" t="s">
        <v>3159</v>
      </c>
      <c r="AJ2075" s="29" t="s">
        <v>365</v>
      </c>
      <c r="AL2075" s="29" t="s">
        <v>3114</v>
      </c>
    </row>
    <row r="2076" spans="15:38">
      <c r="O2076" t="s">
        <v>24</v>
      </c>
      <c r="P2076" t="s">
        <v>43</v>
      </c>
      <c r="Q2076" t="s">
        <v>1</v>
      </c>
      <c r="R2076" t="s">
        <v>58</v>
      </c>
      <c r="S2076">
        <v>2024.47</v>
      </c>
      <c r="T2076">
        <v>420612.8</v>
      </c>
      <c r="U2076">
        <v>601239.14560000005</v>
      </c>
      <c r="V2076">
        <v>601239.14560000005</v>
      </c>
      <c r="AA2076" s="29" t="s">
        <v>43</v>
      </c>
      <c r="AB2076">
        <v>31200</v>
      </c>
      <c r="AC2076">
        <v>160</v>
      </c>
      <c r="AD2076">
        <v>4</v>
      </c>
      <c r="AE2076">
        <v>133.75</v>
      </c>
      <c r="AF2076">
        <v>133.75</v>
      </c>
      <c r="AG2076" s="29" t="s">
        <v>3113</v>
      </c>
      <c r="AH2076" s="29" t="s">
        <v>3265</v>
      </c>
      <c r="AI2076" s="29" t="s">
        <v>3159</v>
      </c>
      <c r="AJ2076" s="29" t="s">
        <v>3266</v>
      </c>
      <c r="AL2076" s="29" t="s">
        <v>3114</v>
      </c>
    </row>
    <row r="2077" spans="15:38">
      <c r="O2077" t="s">
        <v>24</v>
      </c>
      <c r="P2077" t="s">
        <v>43</v>
      </c>
      <c r="Q2077" t="s">
        <v>1</v>
      </c>
      <c r="R2077" t="s">
        <v>58</v>
      </c>
      <c r="S2077">
        <v>2024.48</v>
      </c>
      <c r="T2077">
        <v>420612.8</v>
      </c>
      <c r="U2077">
        <v>601239.14560000005</v>
      </c>
      <c r="V2077">
        <v>501239.14559999999</v>
      </c>
      <c r="AA2077" s="29" t="s">
        <v>43</v>
      </c>
      <c r="AB2077">
        <v>31200</v>
      </c>
      <c r="AC2077">
        <v>160</v>
      </c>
      <c r="AD2077">
        <v>4</v>
      </c>
      <c r="AE2077">
        <v>252.48</v>
      </c>
      <c r="AF2077">
        <v>252.48</v>
      </c>
      <c r="AG2077" s="29" t="s">
        <v>3113</v>
      </c>
      <c r="AH2077" s="29" t="s">
        <v>3267</v>
      </c>
      <c r="AI2077" s="29" t="s">
        <v>3159</v>
      </c>
      <c r="AJ2077" s="29" t="s">
        <v>3268</v>
      </c>
      <c r="AL2077" s="29" t="s">
        <v>3114</v>
      </c>
    </row>
    <row r="2078" spans="15:38">
      <c r="O2078" t="s">
        <v>24</v>
      </c>
      <c r="P2078" t="s">
        <v>43</v>
      </c>
      <c r="Q2078" t="s">
        <v>1</v>
      </c>
      <c r="R2078" t="s">
        <v>58</v>
      </c>
      <c r="S2078">
        <v>2024.49</v>
      </c>
      <c r="T2078">
        <v>420612.8</v>
      </c>
      <c r="U2078">
        <v>601239.14560000005</v>
      </c>
      <c r="V2078">
        <v>501239.14559999999</v>
      </c>
      <c r="AA2078" s="29" t="s">
        <v>43</v>
      </c>
      <c r="AB2078">
        <v>31200</v>
      </c>
      <c r="AC2078">
        <v>160</v>
      </c>
      <c r="AD2078">
        <v>4</v>
      </c>
      <c r="AE2078">
        <v>0</v>
      </c>
      <c r="AF2078">
        <v>0</v>
      </c>
      <c r="AG2078" s="29" t="s">
        <v>3113</v>
      </c>
      <c r="AH2078" s="29" t="s">
        <v>3119</v>
      </c>
      <c r="AI2078" s="29" t="s">
        <v>3159</v>
      </c>
      <c r="AJ2078" s="29" t="s">
        <v>3269</v>
      </c>
      <c r="AL2078" s="29" t="s">
        <v>3114</v>
      </c>
    </row>
    <row r="2079" spans="15:38">
      <c r="O2079" t="s">
        <v>24</v>
      </c>
      <c r="P2079" t="s">
        <v>43</v>
      </c>
      <c r="Q2079" t="s">
        <v>1</v>
      </c>
      <c r="R2079" t="s">
        <v>58</v>
      </c>
      <c r="S2079">
        <v>2025.03</v>
      </c>
      <c r="T2079">
        <v>420612.8</v>
      </c>
      <c r="U2079">
        <v>601239.14560000005</v>
      </c>
      <c r="V2079">
        <v>501239.14559999999</v>
      </c>
      <c r="AA2079" s="29" t="s">
        <v>43</v>
      </c>
      <c r="AB2079">
        <v>31200</v>
      </c>
      <c r="AC2079">
        <v>160</v>
      </c>
      <c r="AD2079">
        <v>4</v>
      </c>
      <c r="AE2079">
        <v>460.1</v>
      </c>
      <c r="AF2079">
        <v>460.1</v>
      </c>
      <c r="AG2079" s="29" t="s">
        <v>3113</v>
      </c>
      <c r="AH2079" s="29" t="s">
        <v>3270</v>
      </c>
      <c r="AI2079" s="29" t="s">
        <v>3159</v>
      </c>
      <c r="AJ2079" s="29" t="s">
        <v>3271</v>
      </c>
      <c r="AL2079" s="29" t="s">
        <v>3114</v>
      </c>
    </row>
    <row r="2080" spans="15:38">
      <c r="O2080" t="s">
        <v>24</v>
      </c>
      <c r="P2080" t="s">
        <v>43</v>
      </c>
      <c r="Q2080" t="s">
        <v>1</v>
      </c>
      <c r="R2080" t="s">
        <v>58</v>
      </c>
      <c r="S2080">
        <v>2025.08</v>
      </c>
      <c r="T2080">
        <v>420612.8</v>
      </c>
      <c r="U2080">
        <v>601239.14560000005</v>
      </c>
      <c r="V2080">
        <v>501239.14559999999</v>
      </c>
      <c r="AA2080" s="29" t="s">
        <v>43</v>
      </c>
      <c r="AB2080">
        <v>31200</v>
      </c>
      <c r="AC2080">
        <v>160</v>
      </c>
      <c r="AD2080">
        <v>4</v>
      </c>
      <c r="AE2080">
        <v>5.28</v>
      </c>
      <c r="AF2080">
        <v>5.28</v>
      </c>
      <c r="AG2080" s="29" t="s">
        <v>3113</v>
      </c>
      <c r="AH2080" s="29" t="s">
        <v>3272</v>
      </c>
      <c r="AI2080" s="29" t="s">
        <v>3159</v>
      </c>
      <c r="AJ2080" s="29" t="s">
        <v>445</v>
      </c>
      <c r="AL2080" s="29" t="s">
        <v>3114</v>
      </c>
    </row>
    <row r="2081" spans="15:38">
      <c r="O2081" t="s">
        <v>24</v>
      </c>
      <c r="P2081" t="s">
        <v>43</v>
      </c>
      <c r="Q2081" t="s">
        <v>1</v>
      </c>
      <c r="R2081" t="s">
        <v>58</v>
      </c>
      <c r="S2081">
        <v>2025.1</v>
      </c>
      <c r="T2081">
        <v>420612.8</v>
      </c>
      <c r="U2081">
        <v>601239.14560000005</v>
      </c>
      <c r="V2081">
        <v>501239.14559999999</v>
      </c>
      <c r="AA2081" s="29" t="s">
        <v>43</v>
      </c>
      <c r="AB2081">
        <v>31200</v>
      </c>
      <c r="AC2081">
        <v>160</v>
      </c>
      <c r="AD2081">
        <v>4</v>
      </c>
      <c r="AE2081">
        <v>145.55000000000001</v>
      </c>
      <c r="AF2081">
        <v>145.55000000000001</v>
      </c>
      <c r="AG2081" s="29" t="s">
        <v>3113</v>
      </c>
      <c r="AH2081" s="29" t="s">
        <v>3273</v>
      </c>
      <c r="AI2081" s="29" t="s">
        <v>3159</v>
      </c>
      <c r="AJ2081" s="29" t="s">
        <v>3274</v>
      </c>
      <c r="AL2081" s="29" t="s">
        <v>3114</v>
      </c>
    </row>
    <row r="2082" spans="15:38">
      <c r="O2082" t="s">
        <v>24</v>
      </c>
      <c r="P2082" t="s">
        <v>43</v>
      </c>
      <c r="Q2082" t="s">
        <v>1</v>
      </c>
      <c r="R2082" t="s">
        <v>58</v>
      </c>
      <c r="S2082">
        <v>2025.11</v>
      </c>
      <c r="T2082">
        <v>420612.8</v>
      </c>
      <c r="U2082">
        <v>601239.14560000005</v>
      </c>
      <c r="V2082">
        <v>501239.14559999999</v>
      </c>
      <c r="AA2082" s="29" t="s">
        <v>43</v>
      </c>
      <c r="AB2082">
        <v>31200</v>
      </c>
      <c r="AC2082">
        <v>160</v>
      </c>
      <c r="AD2082">
        <v>4</v>
      </c>
      <c r="AE2082">
        <v>52.82</v>
      </c>
      <c r="AF2082">
        <v>52.82</v>
      </c>
      <c r="AG2082" s="29" t="s">
        <v>3113</v>
      </c>
      <c r="AH2082" s="29" t="s">
        <v>3275</v>
      </c>
      <c r="AI2082" s="29" t="s">
        <v>3159</v>
      </c>
      <c r="AJ2082" s="29" t="s">
        <v>3276</v>
      </c>
      <c r="AL2082" s="29" t="s">
        <v>3114</v>
      </c>
    </row>
    <row r="2083" spans="15:38">
      <c r="O2083" t="s">
        <v>24</v>
      </c>
      <c r="P2083" t="s">
        <v>43</v>
      </c>
      <c r="Q2083" t="s">
        <v>1</v>
      </c>
      <c r="R2083" t="s">
        <v>58</v>
      </c>
      <c r="S2083">
        <v>2025.12</v>
      </c>
      <c r="T2083">
        <v>420612.8</v>
      </c>
      <c r="U2083">
        <v>601239.14560000005</v>
      </c>
      <c r="V2083">
        <v>501239.14559999999</v>
      </c>
      <c r="AA2083" s="29" t="s">
        <v>43</v>
      </c>
      <c r="AB2083">
        <v>31200</v>
      </c>
      <c r="AC2083">
        <v>160</v>
      </c>
      <c r="AD2083">
        <v>4</v>
      </c>
      <c r="AE2083">
        <v>23.16</v>
      </c>
      <c r="AF2083">
        <v>23.16</v>
      </c>
      <c r="AG2083" s="29" t="s">
        <v>3113</v>
      </c>
      <c r="AH2083" s="29" t="s">
        <v>3277</v>
      </c>
      <c r="AI2083" s="29" t="s">
        <v>3159</v>
      </c>
      <c r="AJ2083" s="29" t="s">
        <v>3278</v>
      </c>
      <c r="AL2083" s="29" t="s">
        <v>3114</v>
      </c>
    </row>
    <row r="2084" spans="15:38">
      <c r="O2084" t="s">
        <v>24</v>
      </c>
      <c r="P2084" t="s">
        <v>43</v>
      </c>
      <c r="Q2084" t="s">
        <v>29</v>
      </c>
      <c r="R2084" t="s">
        <v>58</v>
      </c>
      <c r="S2084">
        <v>2023.47</v>
      </c>
      <c r="T2084">
        <v>0</v>
      </c>
      <c r="U2084">
        <v>482632</v>
      </c>
      <c r="V2084">
        <v>482632</v>
      </c>
      <c r="AA2084" s="29" t="s">
        <v>43</v>
      </c>
      <c r="AB2084">
        <v>31200</v>
      </c>
      <c r="AC2084">
        <v>160</v>
      </c>
      <c r="AD2084">
        <v>4</v>
      </c>
      <c r="AE2084">
        <v>5.4</v>
      </c>
      <c r="AF2084">
        <v>5.4</v>
      </c>
      <c r="AG2084" s="29" t="s">
        <v>3113</v>
      </c>
      <c r="AH2084" s="29" t="s">
        <v>3279</v>
      </c>
      <c r="AI2084" s="29" t="s">
        <v>3159</v>
      </c>
      <c r="AJ2084" s="29" t="s">
        <v>3280</v>
      </c>
      <c r="AL2084" s="29" t="s">
        <v>3114</v>
      </c>
    </row>
    <row r="2085" spans="15:38">
      <c r="O2085" t="s">
        <v>24</v>
      </c>
      <c r="P2085" t="s">
        <v>43</v>
      </c>
      <c r="Q2085" t="s">
        <v>29</v>
      </c>
      <c r="R2085" t="s">
        <v>58</v>
      </c>
      <c r="S2085">
        <v>2023.51</v>
      </c>
      <c r="T2085">
        <v>955992</v>
      </c>
      <c r="U2085">
        <v>482632</v>
      </c>
      <c r="V2085">
        <v>482632</v>
      </c>
      <c r="AA2085" s="29" t="s">
        <v>43</v>
      </c>
      <c r="AB2085">
        <v>31200</v>
      </c>
      <c r="AC2085">
        <v>160</v>
      </c>
      <c r="AD2085">
        <v>4</v>
      </c>
      <c r="AE2085">
        <v>1.35</v>
      </c>
      <c r="AF2085">
        <v>1.35</v>
      </c>
      <c r="AG2085" s="29" t="s">
        <v>3113</v>
      </c>
      <c r="AH2085" s="29" t="s">
        <v>3281</v>
      </c>
      <c r="AI2085" s="29" t="s">
        <v>3159</v>
      </c>
      <c r="AJ2085" s="29" t="s">
        <v>3282</v>
      </c>
      <c r="AL2085" s="29" t="s">
        <v>3114</v>
      </c>
    </row>
    <row r="2086" spans="15:38">
      <c r="O2086" t="s">
        <v>24</v>
      </c>
      <c r="P2086" t="s">
        <v>43</v>
      </c>
      <c r="Q2086" t="s">
        <v>29</v>
      </c>
      <c r="R2086" t="s">
        <v>58</v>
      </c>
      <c r="S2086">
        <v>2024.05</v>
      </c>
      <c r="T2086">
        <v>477996</v>
      </c>
      <c r="U2086">
        <v>482632</v>
      </c>
      <c r="V2086">
        <v>482632</v>
      </c>
      <c r="AA2086" s="29" t="s">
        <v>43</v>
      </c>
      <c r="AB2086">
        <v>31200</v>
      </c>
      <c r="AC2086">
        <v>160</v>
      </c>
      <c r="AD2086">
        <v>4</v>
      </c>
      <c r="AE2086">
        <v>997</v>
      </c>
      <c r="AF2086">
        <v>997</v>
      </c>
      <c r="AG2086" s="29" t="s">
        <v>3113</v>
      </c>
      <c r="AH2086" s="29" t="s">
        <v>3283</v>
      </c>
      <c r="AI2086" s="29" t="s">
        <v>3159</v>
      </c>
      <c r="AJ2086" s="29" t="s">
        <v>3284</v>
      </c>
      <c r="AL2086" s="29" t="s">
        <v>3114</v>
      </c>
    </row>
    <row r="2087" spans="15:38">
      <c r="O2087" t="s">
        <v>24</v>
      </c>
      <c r="P2087" t="s">
        <v>43</v>
      </c>
      <c r="Q2087" t="s">
        <v>29</v>
      </c>
      <c r="R2087" t="s">
        <v>58</v>
      </c>
      <c r="S2087">
        <v>2024.06</v>
      </c>
      <c r="T2087">
        <v>477996</v>
      </c>
      <c r="U2087">
        <v>482632</v>
      </c>
      <c r="V2087">
        <v>482632</v>
      </c>
      <c r="AA2087" s="29" t="s">
        <v>43</v>
      </c>
      <c r="AB2087">
        <v>31200</v>
      </c>
      <c r="AC2087">
        <v>160</v>
      </c>
      <c r="AD2087">
        <v>4</v>
      </c>
      <c r="AE2087">
        <v>997</v>
      </c>
      <c r="AF2087">
        <v>997</v>
      </c>
      <c r="AG2087" s="29" t="s">
        <v>3113</v>
      </c>
      <c r="AH2087" s="29" t="s">
        <v>3283</v>
      </c>
      <c r="AI2087" s="29" t="s">
        <v>3159</v>
      </c>
      <c r="AJ2087" s="29" t="s">
        <v>3285</v>
      </c>
      <c r="AL2087" s="29" t="s">
        <v>3114</v>
      </c>
    </row>
    <row r="2088" spans="15:38">
      <c r="O2088" t="s">
        <v>24</v>
      </c>
      <c r="P2088" t="s">
        <v>43</v>
      </c>
      <c r="Q2088" t="s">
        <v>29</v>
      </c>
      <c r="R2088" t="s">
        <v>58</v>
      </c>
      <c r="S2088">
        <v>2024.07</v>
      </c>
      <c r="T2088">
        <v>477996</v>
      </c>
      <c r="U2088">
        <v>482632</v>
      </c>
      <c r="V2088">
        <v>482632</v>
      </c>
      <c r="AA2088" s="29" t="s">
        <v>43</v>
      </c>
      <c r="AB2088">
        <v>31200</v>
      </c>
      <c r="AC2088">
        <v>160</v>
      </c>
      <c r="AD2088">
        <v>4</v>
      </c>
      <c r="AE2088">
        <v>133.75</v>
      </c>
      <c r="AF2088">
        <v>133.75</v>
      </c>
      <c r="AG2088" s="29" t="s">
        <v>3113</v>
      </c>
      <c r="AH2088" s="29" t="s">
        <v>3265</v>
      </c>
      <c r="AI2088" s="29" t="s">
        <v>3159</v>
      </c>
      <c r="AJ2088" s="29" t="s">
        <v>3266</v>
      </c>
      <c r="AL2088" s="29" t="s">
        <v>3114</v>
      </c>
    </row>
    <row r="2089" spans="15:38">
      <c r="O2089" t="s">
        <v>24</v>
      </c>
      <c r="P2089" t="s">
        <v>43</v>
      </c>
      <c r="Q2089" t="s">
        <v>29</v>
      </c>
      <c r="R2089" t="s">
        <v>58</v>
      </c>
      <c r="S2089">
        <v>2024.08</v>
      </c>
      <c r="T2089">
        <v>477996</v>
      </c>
      <c r="U2089">
        <v>482632</v>
      </c>
      <c r="V2089">
        <v>482632</v>
      </c>
      <c r="AA2089" s="29" t="s">
        <v>43</v>
      </c>
      <c r="AB2089">
        <v>31200</v>
      </c>
      <c r="AC2089">
        <v>160</v>
      </c>
      <c r="AD2089">
        <v>4</v>
      </c>
      <c r="AE2089">
        <v>203.3</v>
      </c>
      <c r="AF2089">
        <v>203.3</v>
      </c>
      <c r="AG2089" s="29" t="s">
        <v>3113</v>
      </c>
      <c r="AH2089" s="29" t="s">
        <v>3286</v>
      </c>
      <c r="AI2089" s="29" t="s">
        <v>3159</v>
      </c>
      <c r="AJ2089" s="29" t="s">
        <v>3287</v>
      </c>
      <c r="AL2089" s="29" t="s">
        <v>3114</v>
      </c>
    </row>
    <row r="2090" spans="15:38">
      <c r="O2090" t="s">
        <v>24</v>
      </c>
      <c r="P2090" t="s">
        <v>43</v>
      </c>
      <c r="Q2090" t="s">
        <v>29</v>
      </c>
      <c r="R2090" t="s">
        <v>58</v>
      </c>
      <c r="S2090">
        <v>2024.09</v>
      </c>
      <c r="T2090">
        <v>955992</v>
      </c>
      <c r="U2090">
        <v>482632</v>
      </c>
      <c r="V2090">
        <v>482632</v>
      </c>
      <c r="AA2090" s="29" t="s">
        <v>43</v>
      </c>
      <c r="AB2090">
        <v>31200</v>
      </c>
      <c r="AC2090">
        <v>160</v>
      </c>
      <c r="AD2090">
        <v>4</v>
      </c>
      <c r="AE2090">
        <v>637.72</v>
      </c>
      <c r="AF2090">
        <v>637.72</v>
      </c>
      <c r="AG2090" s="29" t="s">
        <v>3113</v>
      </c>
      <c r="AH2090" s="29" t="s">
        <v>3288</v>
      </c>
      <c r="AI2090" s="29" t="s">
        <v>3159</v>
      </c>
      <c r="AJ2090" s="29" t="s">
        <v>584</v>
      </c>
      <c r="AL2090" s="29" t="s">
        <v>3114</v>
      </c>
    </row>
    <row r="2091" spans="15:38">
      <c r="O2091" t="s">
        <v>24</v>
      </c>
      <c r="P2091" t="s">
        <v>43</v>
      </c>
      <c r="Q2091" t="s">
        <v>29</v>
      </c>
      <c r="R2091" t="s">
        <v>58</v>
      </c>
      <c r="S2091">
        <v>2024.1</v>
      </c>
      <c r="T2091">
        <v>477996</v>
      </c>
      <c r="U2091">
        <v>482632</v>
      </c>
      <c r="V2091">
        <v>482632</v>
      </c>
      <c r="AA2091" s="29" t="s">
        <v>43</v>
      </c>
      <c r="AB2091">
        <v>31200</v>
      </c>
      <c r="AC2091">
        <v>160</v>
      </c>
      <c r="AD2091">
        <v>4</v>
      </c>
      <c r="AE2091">
        <v>87.33</v>
      </c>
      <c r="AF2091">
        <v>87.33</v>
      </c>
      <c r="AG2091" s="29" t="s">
        <v>3113</v>
      </c>
      <c r="AH2091" s="29" t="s">
        <v>3289</v>
      </c>
      <c r="AI2091" s="29" t="s">
        <v>3159</v>
      </c>
      <c r="AJ2091" s="29" t="s">
        <v>3290</v>
      </c>
      <c r="AL2091" s="29" t="s">
        <v>3114</v>
      </c>
    </row>
    <row r="2092" spans="15:38">
      <c r="O2092" t="s">
        <v>24</v>
      </c>
      <c r="P2092" t="s">
        <v>43</v>
      </c>
      <c r="Q2092" t="s">
        <v>29</v>
      </c>
      <c r="R2092" t="s">
        <v>58</v>
      </c>
      <c r="S2092">
        <v>2024.11</v>
      </c>
      <c r="T2092">
        <v>477996</v>
      </c>
      <c r="U2092">
        <v>482632</v>
      </c>
      <c r="V2092">
        <v>482632</v>
      </c>
      <c r="AA2092" s="29" t="s">
        <v>43</v>
      </c>
      <c r="AB2092">
        <v>31200</v>
      </c>
      <c r="AC2092">
        <v>160</v>
      </c>
      <c r="AD2092">
        <v>4</v>
      </c>
      <c r="AE2092">
        <v>34.96</v>
      </c>
      <c r="AF2092">
        <v>34.96</v>
      </c>
      <c r="AG2092" s="29" t="s">
        <v>3113</v>
      </c>
      <c r="AH2092" s="29" t="s">
        <v>3291</v>
      </c>
      <c r="AI2092" s="29" t="s">
        <v>3159</v>
      </c>
      <c r="AJ2092" s="29" t="s">
        <v>3292</v>
      </c>
      <c r="AL2092" s="29" t="s">
        <v>3114</v>
      </c>
    </row>
    <row r="2093" spans="15:38">
      <c r="O2093" t="s">
        <v>24</v>
      </c>
      <c r="P2093" t="s">
        <v>43</v>
      </c>
      <c r="Q2093" t="s">
        <v>29</v>
      </c>
      <c r="R2093" t="s">
        <v>58</v>
      </c>
      <c r="S2093">
        <v>2024.12</v>
      </c>
      <c r="T2093">
        <v>477996</v>
      </c>
      <c r="U2093">
        <v>482632</v>
      </c>
      <c r="V2093">
        <v>482632</v>
      </c>
      <c r="AA2093" s="29" t="s">
        <v>43</v>
      </c>
      <c r="AB2093">
        <v>31200</v>
      </c>
      <c r="AC2093">
        <v>160</v>
      </c>
      <c r="AD2093">
        <v>4</v>
      </c>
      <c r="AE2093">
        <v>5.88</v>
      </c>
      <c r="AF2093">
        <v>5.88</v>
      </c>
      <c r="AG2093" s="29" t="s">
        <v>3113</v>
      </c>
      <c r="AH2093" s="29" t="s">
        <v>3293</v>
      </c>
      <c r="AI2093" s="29" t="s">
        <v>3159</v>
      </c>
      <c r="AJ2093" s="29" t="s">
        <v>3294</v>
      </c>
      <c r="AL2093" s="29" t="s">
        <v>3114</v>
      </c>
    </row>
    <row r="2094" spans="15:38">
      <c r="O2094" t="s">
        <v>24</v>
      </c>
      <c r="P2094" t="s">
        <v>43</v>
      </c>
      <c r="Q2094" t="s">
        <v>29</v>
      </c>
      <c r="R2094" t="s">
        <v>58</v>
      </c>
      <c r="S2094">
        <v>2024.14</v>
      </c>
      <c r="T2094">
        <v>477996</v>
      </c>
      <c r="U2094">
        <v>482632</v>
      </c>
      <c r="V2094">
        <v>482632</v>
      </c>
      <c r="AA2094" s="29" t="s">
        <v>43</v>
      </c>
      <c r="AB2094">
        <v>31200</v>
      </c>
      <c r="AC2094">
        <v>160</v>
      </c>
      <c r="AD2094">
        <v>4</v>
      </c>
      <c r="AE2094">
        <v>174</v>
      </c>
      <c r="AF2094">
        <v>174</v>
      </c>
      <c r="AG2094" s="29" t="s">
        <v>3113</v>
      </c>
      <c r="AH2094" s="29" t="s">
        <v>3295</v>
      </c>
      <c r="AI2094" s="29" t="s">
        <v>3159</v>
      </c>
      <c r="AJ2094" s="29" t="s">
        <v>3296</v>
      </c>
      <c r="AL2094" s="29" t="s">
        <v>3114</v>
      </c>
    </row>
    <row r="2095" spans="15:38">
      <c r="O2095" t="s">
        <v>24</v>
      </c>
      <c r="P2095" t="s">
        <v>43</v>
      </c>
      <c r="Q2095" t="s">
        <v>29</v>
      </c>
      <c r="R2095" t="s">
        <v>58</v>
      </c>
      <c r="S2095">
        <v>2024.17</v>
      </c>
      <c r="T2095">
        <v>477996</v>
      </c>
      <c r="U2095">
        <v>482632</v>
      </c>
      <c r="V2095">
        <v>482632</v>
      </c>
      <c r="AA2095" s="29" t="s">
        <v>43</v>
      </c>
      <c r="AB2095">
        <v>31200</v>
      </c>
      <c r="AC2095">
        <v>160</v>
      </c>
      <c r="AD2095">
        <v>4</v>
      </c>
      <c r="AE2095">
        <v>53.5</v>
      </c>
      <c r="AF2095">
        <v>53.5</v>
      </c>
      <c r="AG2095" s="29" t="s">
        <v>3113</v>
      </c>
      <c r="AH2095" s="29" t="s">
        <v>3254</v>
      </c>
      <c r="AI2095" s="29" t="s">
        <v>3159</v>
      </c>
      <c r="AJ2095" s="29" t="s">
        <v>3257</v>
      </c>
      <c r="AL2095" s="29" t="s">
        <v>3114</v>
      </c>
    </row>
    <row r="2096" spans="15:38">
      <c r="O2096" t="s">
        <v>24</v>
      </c>
      <c r="P2096" t="s">
        <v>43</v>
      </c>
      <c r="Q2096" t="s">
        <v>29</v>
      </c>
      <c r="R2096" t="s">
        <v>58</v>
      </c>
      <c r="S2096">
        <v>2024.18</v>
      </c>
      <c r="T2096">
        <v>477996</v>
      </c>
      <c r="U2096">
        <v>482632</v>
      </c>
      <c r="V2096">
        <v>482632</v>
      </c>
      <c r="AA2096" s="29" t="s">
        <v>43</v>
      </c>
      <c r="AB2096">
        <v>31200</v>
      </c>
      <c r="AC2096">
        <v>160</v>
      </c>
      <c r="AD2096">
        <v>4</v>
      </c>
      <c r="AE2096">
        <v>0.96</v>
      </c>
      <c r="AF2096">
        <v>0.96</v>
      </c>
      <c r="AG2096" s="29" t="s">
        <v>3113</v>
      </c>
      <c r="AH2096" s="29" t="s">
        <v>3242</v>
      </c>
      <c r="AI2096" s="29" t="s">
        <v>3159</v>
      </c>
      <c r="AJ2096" s="29" t="s">
        <v>3243</v>
      </c>
      <c r="AL2096" s="29" t="s">
        <v>3114</v>
      </c>
    </row>
    <row r="2097" spans="15:38">
      <c r="O2097" t="s">
        <v>24</v>
      </c>
      <c r="P2097" t="s">
        <v>43</v>
      </c>
      <c r="Q2097" t="s">
        <v>29</v>
      </c>
      <c r="R2097" t="s">
        <v>58</v>
      </c>
      <c r="S2097">
        <v>2024.19</v>
      </c>
      <c r="T2097">
        <v>477996</v>
      </c>
      <c r="U2097">
        <v>482632</v>
      </c>
      <c r="V2097">
        <v>482632</v>
      </c>
      <c r="AA2097" s="29" t="s">
        <v>43</v>
      </c>
      <c r="AB2097">
        <v>31200</v>
      </c>
      <c r="AC2097">
        <v>160</v>
      </c>
      <c r="AD2097">
        <v>4</v>
      </c>
      <c r="AE2097">
        <v>52.82</v>
      </c>
      <c r="AF2097">
        <v>52.82</v>
      </c>
      <c r="AG2097" s="29" t="s">
        <v>3113</v>
      </c>
      <c r="AH2097" s="29" t="s">
        <v>3275</v>
      </c>
      <c r="AI2097" s="29" t="s">
        <v>3159</v>
      </c>
      <c r="AJ2097" s="29" t="s">
        <v>3276</v>
      </c>
      <c r="AL2097" s="29" t="s">
        <v>3114</v>
      </c>
    </row>
    <row r="2098" spans="15:38">
      <c r="O2098" t="s">
        <v>24</v>
      </c>
      <c r="P2098" t="s">
        <v>43</v>
      </c>
      <c r="Q2098" t="s">
        <v>29</v>
      </c>
      <c r="R2098" t="s">
        <v>58</v>
      </c>
      <c r="S2098">
        <v>2024.2</v>
      </c>
      <c r="T2098">
        <v>477996</v>
      </c>
      <c r="U2098">
        <v>482632</v>
      </c>
      <c r="V2098">
        <v>482632</v>
      </c>
      <c r="AA2098" s="29" t="s">
        <v>43</v>
      </c>
      <c r="AB2098">
        <v>31200</v>
      </c>
      <c r="AC2098">
        <v>160</v>
      </c>
      <c r="AD2098">
        <v>4</v>
      </c>
      <c r="AE2098">
        <v>174</v>
      </c>
      <c r="AF2098">
        <v>174</v>
      </c>
      <c r="AG2098" s="29" t="s">
        <v>3113</v>
      </c>
      <c r="AH2098" s="29" t="s">
        <v>3295</v>
      </c>
      <c r="AI2098" s="29" t="s">
        <v>3159</v>
      </c>
      <c r="AJ2098" s="29" t="s">
        <v>3296</v>
      </c>
      <c r="AL2098" s="29" t="s">
        <v>3114</v>
      </c>
    </row>
    <row r="2099" spans="15:38">
      <c r="O2099" t="s">
        <v>24</v>
      </c>
      <c r="P2099" t="s">
        <v>43</v>
      </c>
      <c r="Q2099" t="s">
        <v>29</v>
      </c>
      <c r="R2099" t="s">
        <v>58</v>
      </c>
      <c r="S2099">
        <v>2024.21</v>
      </c>
      <c r="T2099">
        <v>477996</v>
      </c>
      <c r="U2099">
        <v>482632</v>
      </c>
      <c r="V2099">
        <v>482632</v>
      </c>
      <c r="AA2099" s="29" t="s">
        <v>43</v>
      </c>
      <c r="AB2099">
        <v>31200</v>
      </c>
      <c r="AC2099">
        <v>160</v>
      </c>
      <c r="AD2099">
        <v>4</v>
      </c>
      <c r="AE2099">
        <v>53.5</v>
      </c>
      <c r="AF2099">
        <v>53.5</v>
      </c>
      <c r="AG2099" s="29" t="s">
        <v>3113</v>
      </c>
      <c r="AH2099" s="29" t="s">
        <v>3254</v>
      </c>
      <c r="AI2099" s="29" t="s">
        <v>3159</v>
      </c>
      <c r="AJ2099" s="29" t="s">
        <v>2123</v>
      </c>
      <c r="AL2099" s="29" t="s">
        <v>3114</v>
      </c>
    </row>
    <row r="2100" spans="15:38">
      <c r="O2100" t="s">
        <v>24</v>
      </c>
      <c r="P2100" t="s">
        <v>43</v>
      </c>
      <c r="Q2100" t="s">
        <v>29</v>
      </c>
      <c r="R2100" t="s">
        <v>58</v>
      </c>
      <c r="S2100">
        <v>2024.28</v>
      </c>
      <c r="T2100">
        <v>477996</v>
      </c>
      <c r="U2100">
        <v>482632</v>
      </c>
      <c r="V2100">
        <v>482632</v>
      </c>
      <c r="AA2100" s="29" t="s">
        <v>43</v>
      </c>
      <c r="AB2100">
        <v>31200</v>
      </c>
      <c r="AC2100">
        <v>160</v>
      </c>
      <c r="AD2100">
        <v>4</v>
      </c>
      <c r="AE2100">
        <v>348</v>
      </c>
      <c r="AF2100">
        <v>348</v>
      </c>
      <c r="AG2100" s="29" t="s">
        <v>3113</v>
      </c>
      <c r="AH2100" s="29" t="s">
        <v>3297</v>
      </c>
      <c r="AI2100" s="29" t="s">
        <v>3159</v>
      </c>
      <c r="AJ2100" s="29" t="s">
        <v>3298</v>
      </c>
      <c r="AL2100" s="29" t="s">
        <v>3114</v>
      </c>
    </row>
    <row r="2101" spans="15:38">
      <c r="O2101" t="s">
        <v>24</v>
      </c>
      <c r="P2101" t="s">
        <v>43</v>
      </c>
      <c r="Q2101" t="s">
        <v>29</v>
      </c>
      <c r="R2101" t="s">
        <v>58</v>
      </c>
      <c r="S2101">
        <v>2024.38</v>
      </c>
      <c r="T2101">
        <v>477996</v>
      </c>
      <c r="U2101">
        <v>482632</v>
      </c>
      <c r="V2101">
        <v>482632</v>
      </c>
      <c r="AA2101" s="29" t="s">
        <v>43</v>
      </c>
      <c r="AB2101">
        <v>31200</v>
      </c>
      <c r="AC2101">
        <v>160</v>
      </c>
      <c r="AD2101">
        <v>4</v>
      </c>
      <c r="AE2101">
        <v>9.64</v>
      </c>
      <c r="AF2101">
        <v>9.64</v>
      </c>
      <c r="AG2101" s="29" t="s">
        <v>3113</v>
      </c>
      <c r="AH2101" s="29" t="s">
        <v>3299</v>
      </c>
      <c r="AI2101" s="29" t="s">
        <v>3159</v>
      </c>
      <c r="AJ2101" s="29" t="s">
        <v>3300</v>
      </c>
      <c r="AL2101" s="29" t="s">
        <v>3114</v>
      </c>
    </row>
    <row r="2102" spans="15:38">
      <c r="O2102" t="s">
        <v>24</v>
      </c>
      <c r="P2102" t="s">
        <v>43</v>
      </c>
      <c r="Q2102" t="s">
        <v>29</v>
      </c>
      <c r="R2102" t="s">
        <v>58</v>
      </c>
      <c r="S2102">
        <v>2024.39</v>
      </c>
      <c r="T2102">
        <v>477996</v>
      </c>
      <c r="U2102">
        <v>482632</v>
      </c>
      <c r="V2102">
        <v>482632</v>
      </c>
      <c r="AA2102" s="29" t="s">
        <v>43</v>
      </c>
      <c r="AB2102">
        <v>31200</v>
      </c>
      <c r="AC2102">
        <v>160</v>
      </c>
      <c r="AD2102">
        <v>4</v>
      </c>
      <c r="AE2102">
        <v>145.52000000000001</v>
      </c>
      <c r="AF2102">
        <v>145.52000000000001</v>
      </c>
      <c r="AG2102" s="29" t="s">
        <v>3113</v>
      </c>
      <c r="AH2102" s="29" t="s">
        <v>3301</v>
      </c>
      <c r="AI2102" s="29" t="s">
        <v>3159</v>
      </c>
      <c r="AJ2102" s="29" t="s">
        <v>3302</v>
      </c>
      <c r="AL2102" s="29" t="s">
        <v>3114</v>
      </c>
    </row>
    <row r="2103" spans="15:38">
      <c r="O2103" t="s">
        <v>24</v>
      </c>
      <c r="P2103" t="s">
        <v>43</v>
      </c>
      <c r="Q2103" t="s">
        <v>29</v>
      </c>
      <c r="R2103" t="s">
        <v>58</v>
      </c>
      <c r="S2103">
        <v>2024.41</v>
      </c>
      <c r="T2103">
        <v>499102.32</v>
      </c>
      <c r="U2103">
        <v>482632</v>
      </c>
      <c r="V2103">
        <v>482632</v>
      </c>
      <c r="AA2103" s="29" t="s">
        <v>43</v>
      </c>
      <c r="AB2103">
        <v>31200</v>
      </c>
      <c r="AC2103">
        <v>160</v>
      </c>
      <c r="AD2103">
        <v>4</v>
      </c>
      <c r="AE2103">
        <v>0</v>
      </c>
      <c r="AF2103">
        <v>0</v>
      </c>
      <c r="AG2103" s="29" t="s">
        <v>3113</v>
      </c>
      <c r="AH2103" s="29" t="s">
        <v>3119</v>
      </c>
      <c r="AI2103" s="29" t="s">
        <v>3159</v>
      </c>
      <c r="AJ2103" s="29" t="s">
        <v>3303</v>
      </c>
      <c r="AL2103" s="29" t="s">
        <v>3114</v>
      </c>
    </row>
    <row r="2104" spans="15:38">
      <c r="O2104" t="s">
        <v>24</v>
      </c>
      <c r="P2104" t="s">
        <v>43</v>
      </c>
      <c r="Q2104" t="s">
        <v>29</v>
      </c>
      <c r="R2104" t="s">
        <v>58</v>
      </c>
      <c r="S2104">
        <v>2024.43</v>
      </c>
      <c r="T2104">
        <v>499102.32</v>
      </c>
      <c r="U2104">
        <v>482632</v>
      </c>
      <c r="V2104">
        <v>482632</v>
      </c>
      <c r="AA2104" s="29" t="s">
        <v>43</v>
      </c>
      <c r="AB2104">
        <v>31200</v>
      </c>
      <c r="AC2104">
        <v>160</v>
      </c>
      <c r="AD2104">
        <v>4</v>
      </c>
      <c r="AE2104">
        <v>53.5</v>
      </c>
      <c r="AF2104">
        <v>53.5</v>
      </c>
      <c r="AG2104" s="29" t="s">
        <v>3113</v>
      </c>
      <c r="AH2104" s="29" t="s">
        <v>3254</v>
      </c>
      <c r="AI2104" s="29" t="s">
        <v>3159</v>
      </c>
      <c r="AJ2104" s="29" t="s">
        <v>3304</v>
      </c>
      <c r="AL2104" s="29" t="s">
        <v>3114</v>
      </c>
    </row>
    <row r="2105" spans="15:38">
      <c r="O2105" t="s">
        <v>24</v>
      </c>
      <c r="P2105" t="s">
        <v>43</v>
      </c>
      <c r="Q2105" t="s">
        <v>29</v>
      </c>
      <c r="R2105" t="s">
        <v>58</v>
      </c>
      <c r="S2105">
        <v>2024.44</v>
      </c>
      <c r="T2105">
        <v>499102.32</v>
      </c>
      <c r="U2105">
        <v>482632</v>
      </c>
      <c r="V2105">
        <v>482632</v>
      </c>
      <c r="AA2105" s="29" t="s">
        <v>43</v>
      </c>
      <c r="AB2105">
        <v>31200</v>
      </c>
      <c r="AC2105">
        <v>160</v>
      </c>
      <c r="AD2105">
        <v>4</v>
      </c>
      <c r="AE2105">
        <v>53.5</v>
      </c>
      <c r="AF2105">
        <v>53.5</v>
      </c>
      <c r="AG2105" s="29" t="s">
        <v>3113</v>
      </c>
      <c r="AH2105" s="29" t="s">
        <v>3254</v>
      </c>
      <c r="AI2105" s="29" t="s">
        <v>3159</v>
      </c>
      <c r="AJ2105" s="29" t="s">
        <v>3305</v>
      </c>
      <c r="AL2105" s="29" t="s">
        <v>3114</v>
      </c>
    </row>
    <row r="2106" spans="15:38">
      <c r="O2106" t="s">
        <v>24</v>
      </c>
      <c r="P2106" t="s">
        <v>43</v>
      </c>
      <c r="Q2106" t="s">
        <v>29</v>
      </c>
      <c r="R2106" t="s">
        <v>58</v>
      </c>
      <c r="S2106">
        <v>2024.45</v>
      </c>
      <c r="T2106">
        <v>499102.32</v>
      </c>
      <c r="U2106">
        <v>482632</v>
      </c>
      <c r="V2106">
        <v>499102.32</v>
      </c>
      <c r="AA2106" s="29" t="s">
        <v>43</v>
      </c>
      <c r="AB2106">
        <v>31200</v>
      </c>
      <c r="AC2106">
        <v>160</v>
      </c>
      <c r="AD2106">
        <v>4</v>
      </c>
      <c r="AE2106">
        <v>53.5</v>
      </c>
      <c r="AF2106">
        <v>53.5</v>
      </c>
      <c r="AG2106" s="29" t="s">
        <v>3113</v>
      </c>
      <c r="AH2106" s="29" t="s">
        <v>3254</v>
      </c>
      <c r="AI2106" s="29" t="s">
        <v>3159</v>
      </c>
      <c r="AJ2106" s="29" t="s">
        <v>3257</v>
      </c>
      <c r="AL2106" s="29" t="s">
        <v>3114</v>
      </c>
    </row>
    <row r="2107" spans="15:38">
      <c r="O2107" t="s">
        <v>24</v>
      </c>
      <c r="P2107" t="s">
        <v>43</v>
      </c>
      <c r="Q2107" t="s">
        <v>29</v>
      </c>
      <c r="R2107" t="s">
        <v>58</v>
      </c>
      <c r="S2107">
        <v>2024.47</v>
      </c>
      <c r="T2107">
        <v>499104.92</v>
      </c>
      <c r="U2107">
        <v>482632</v>
      </c>
      <c r="V2107">
        <v>499102.32</v>
      </c>
      <c r="AA2107" s="29" t="s">
        <v>43</v>
      </c>
      <c r="AB2107">
        <v>31200</v>
      </c>
      <c r="AC2107">
        <v>160</v>
      </c>
      <c r="AD2107">
        <v>4</v>
      </c>
      <c r="AE2107">
        <v>138.5</v>
      </c>
      <c r="AF2107">
        <v>138.5</v>
      </c>
      <c r="AG2107" s="29" t="s">
        <v>3113</v>
      </c>
      <c r="AH2107" s="29" t="s">
        <v>3252</v>
      </c>
      <c r="AI2107" s="29" t="s">
        <v>3159</v>
      </c>
      <c r="AJ2107" s="29" t="s">
        <v>3253</v>
      </c>
      <c r="AL2107" s="29" t="s">
        <v>3114</v>
      </c>
    </row>
    <row r="2108" spans="15:38">
      <c r="O2108" t="s">
        <v>24</v>
      </c>
      <c r="P2108" t="s">
        <v>43</v>
      </c>
      <c r="Q2108" t="s">
        <v>29</v>
      </c>
      <c r="R2108" t="s">
        <v>58</v>
      </c>
      <c r="S2108">
        <v>2024.48</v>
      </c>
      <c r="T2108">
        <v>499104.92</v>
      </c>
      <c r="U2108">
        <v>482632</v>
      </c>
      <c r="V2108">
        <v>515575.24</v>
      </c>
      <c r="AA2108" s="29" t="s">
        <v>43</v>
      </c>
      <c r="AB2108">
        <v>31200</v>
      </c>
      <c r="AC2108">
        <v>160</v>
      </c>
      <c r="AD2108">
        <v>4</v>
      </c>
      <c r="AE2108">
        <v>892.38</v>
      </c>
      <c r="AF2108">
        <v>892.38</v>
      </c>
      <c r="AG2108" s="29" t="s">
        <v>3113</v>
      </c>
      <c r="AH2108" s="29" t="s">
        <v>3306</v>
      </c>
      <c r="AI2108" s="29" t="s">
        <v>3159</v>
      </c>
      <c r="AJ2108" s="29" t="s">
        <v>350</v>
      </c>
      <c r="AL2108" s="29" t="s">
        <v>3114</v>
      </c>
    </row>
    <row r="2109" spans="15:38">
      <c r="O2109" t="s">
        <v>24</v>
      </c>
      <c r="P2109" t="s">
        <v>43</v>
      </c>
      <c r="Q2109" t="s">
        <v>29</v>
      </c>
      <c r="R2109" t="s">
        <v>58</v>
      </c>
      <c r="S2109">
        <v>2024.49</v>
      </c>
      <c r="T2109">
        <v>499104.92</v>
      </c>
      <c r="U2109">
        <v>482632</v>
      </c>
      <c r="V2109">
        <v>515575.24</v>
      </c>
      <c r="AA2109" s="29" t="s">
        <v>43</v>
      </c>
      <c r="AB2109">
        <v>31200</v>
      </c>
      <c r="AC2109">
        <v>160</v>
      </c>
      <c r="AD2109">
        <v>4</v>
      </c>
      <c r="AE2109">
        <v>116.44</v>
      </c>
      <c r="AF2109">
        <v>116.44</v>
      </c>
      <c r="AG2109" s="29" t="s">
        <v>3113</v>
      </c>
      <c r="AH2109" s="29" t="s">
        <v>3307</v>
      </c>
      <c r="AI2109" s="29" t="s">
        <v>3159</v>
      </c>
      <c r="AJ2109" s="29" t="s">
        <v>2070</v>
      </c>
      <c r="AL2109" s="29" t="s">
        <v>3114</v>
      </c>
    </row>
    <row r="2110" spans="15:38">
      <c r="O2110" t="s">
        <v>24</v>
      </c>
      <c r="P2110" t="s">
        <v>43</v>
      </c>
      <c r="Q2110" t="s">
        <v>29</v>
      </c>
      <c r="R2110" t="s">
        <v>58</v>
      </c>
      <c r="S2110">
        <v>2025.03</v>
      </c>
      <c r="T2110">
        <v>499104.92</v>
      </c>
      <c r="U2110">
        <v>482632</v>
      </c>
      <c r="V2110">
        <v>515575.24</v>
      </c>
      <c r="AA2110" s="29" t="s">
        <v>43</v>
      </c>
      <c r="AB2110">
        <v>31200</v>
      </c>
      <c r="AC2110">
        <v>160</v>
      </c>
      <c r="AD2110">
        <v>4</v>
      </c>
      <c r="AE2110">
        <v>63.36</v>
      </c>
      <c r="AF2110">
        <v>63.36</v>
      </c>
      <c r="AG2110" s="29" t="s">
        <v>3113</v>
      </c>
      <c r="AH2110" s="29" t="s">
        <v>3308</v>
      </c>
      <c r="AI2110" s="29" t="s">
        <v>3159</v>
      </c>
      <c r="AJ2110" s="29" t="s">
        <v>3309</v>
      </c>
      <c r="AL2110" s="29" t="s">
        <v>3114</v>
      </c>
    </row>
    <row r="2111" spans="15:38">
      <c r="O2111" t="s">
        <v>24</v>
      </c>
      <c r="P2111" t="s">
        <v>43</v>
      </c>
      <c r="Q2111" t="s">
        <v>29</v>
      </c>
      <c r="R2111" t="s">
        <v>58</v>
      </c>
      <c r="S2111">
        <v>2025.08</v>
      </c>
      <c r="T2111">
        <v>499104.92</v>
      </c>
      <c r="U2111">
        <v>482632</v>
      </c>
      <c r="V2111">
        <v>515575.24</v>
      </c>
      <c r="AA2111" s="29" t="s">
        <v>43</v>
      </c>
      <c r="AB2111">
        <v>31200</v>
      </c>
      <c r="AC2111">
        <v>160</v>
      </c>
      <c r="AD2111">
        <v>4</v>
      </c>
      <c r="AE2111">
        <v>378.72</v>
      </c>
      <c r="AF2111">
        <v>378.72</v>
      </c>
      <c r="AG2111" s="29" t="s">
        <v>3113</v>
      </c>
      <c r="AH2111" s="29" t="s">
        <v>3310</v>
      </c>
      <c r="AI2111" s="29" t="s">
        <v>3159</v>
      </c>
      <c r="AJ2111" s="29" t="s">
        <v>3311</v>
      </c>
      <c r="AL2111" s="29" t="s">
        <v>3114</v>
      </c>
    </row>
    <row r="2112" spans="15:38">
      <c r="O2112" t="s">
        <v>24</v>
      </c>
      <c r="P2112" t="s">
        <v>43</v>
      </c>
      <c r="Q2112" t="s">
        <v>29</v>
      </c>
      <c r="R2112" t="s">
        <v>58</v>
      </c>
      <c r="S2112">
        <v>2025.1</v>
      </c>
      <c r="T2112">
        <v>499104.92</v>
      </c>
      <c r="U2112">
        <v>482632</v>
      </c>
      <c r="V2112">
        <v>515575.24</v>
      </c>
      <c r="AA2112" s="29" t="s">
        <v>43</v>
      </c>
      <c r="AB2112">
        <v>31200</v>
      </c>
      <c r="AC2112">
        <v>160</v>
      </c>
      <c r="AD2112">
        <v>4</v>
      </c>
      <c r="AE2112">
        <v>497.16</v>
      </c>
      <c r="AF2112">
        <v>497.16</v>
      </c>
      <c r="AG2112" s="29" t="s">
        <v>3113</v>
      </c>
      <c r="AH2112" s="29" t="s">
        <v>3312</v>
      </c>
      <c r="AI2112" s="29" t="s">
        <v>3159</v>
      </c>
      <c r="AJ2112" s="29" t="s">
        <v>3313</v>
      </c>
      <c r="AL2112" s="29" t="s">
        <v>3114</v>
      </c>
    </row>
    <row r="2113" spans="15:38">
      <c r="O2113" t="s">
        <v>24</v>
      </c>
      <c r="P2113" t="s">
        <v>43</v>
      </c>
      <c r="Q2113" t="s">
        <v>29</v>
      </c>
      <c r="R2113" t="s">
        <v>58</v>
      </c>
      <c r="S2113">
        <v>2025.11</v>
      </c>
      <c r="T2113">
        <v>499104.92</v>
      </c>
      <c r="U2113">
        <v>482632</v>
      </c>
      <c r="V2113">
        <v>515575.24</v>
      </c>
      <c r="AA2113" s="29" t="s">
        <v>43</v>
      </c>
      <c r="AB2113">
        <v>31200</v>
      </c>
      <c r="AC2113">
        <v>160</v>
      </c>
      <c r="AD2113">
        <v>4</v>
      </c>
      <c r="AE2113">
        <v>4395</v>
      </c>
      <c r="AF2113">
        <v>4395</v>
      </c>
      <c r="AG2113" s="29" t="s">
        <v>3113</v>
      </c>
      <c r="AH2113" s="29" t="s">
        <v>3314</v>
      </c>
      <c r="AI2113" s="29" t="s">
        <v>3159</v>
      </c>
      <c r="AJ2113" s="29" t="s">
        <v>3315</v>
      </c>
      <c r="AL2113" s="29" t="s">
        <v>3114</v>
      </c>
    </row>
    <row r="2114" spans="15:38">
      <c r="O2114" t="s">
        <v>24</v>
      </c>
      <c r="P2114" t="s">
        <v>43</v>
      </c>
      <c r="Q2114" t="s">
        <v>29</v>
      </c>
      <c r="R2114" t="s">
        <v>58</v>
      </c>
      <c r="S2114">
        <v>2025.12</v>
      </c>
      <c r="T2114">
        <v>499104.92</v>
      </c>
      <c r="U2114">
        <v>482632</v>
      </c>
      <c r="V2114">
        <v>515575.24</v>
      </c>
      <c r="AA2114" s="29" t="s">
        <v>43</v>
      </c>
      <c r="AB2114">
        <v>31200</v>
      </c>
      <c r="AC2114">
        <v>160</v>
      </c>
      <c r="AD2114">
        <v>4</v>
      </c>
      <c r="AE2114">
        <v>6251</v>
      </c>
      <c r="AF2114">
        <v>6251</v>
      </c>
      <c r="AG2114" s="29" t="s">
        <v>3113</v>
      </c>
      <c r="AH2114" s="29" t="s">
        <v>3316</v>
      </c>
      <c r="AI2114" s="29" t="s">
        <v>3159</v>
      </c>
      <c r="AJ2114" s="29" t="s">
        <v>3317</v>
      </c>
      <c r="AL2114" s="29" t="s">
        <v>3114</v>
      </c>
    </row>
    <row r="2115" spans="15:38">
      <c r="O2115" t="s">
        <v>24</v>
      </c>
      <c r="P2115" t="s">
        <v>43</v>
      </c>
      <c r="Q2115" t="s">
        <v>22</v>
      </c>
      <c r="R2115" t="s">
        <v>68</v>
      </c>
      <c r="S2115">
        <v>2024.44</v>
      </c>
      <c r="T2115">
        <v>0</v>
      </c>
      <c r="U2115">
        <v>-690.16150000000005</v>
      </c>
      <c r="V2115">
        <v>0</v>
      </c>
      <c r="AA2115" s="29" t="s">
        <v>43</v>
      </c>
      <c r="AB2115">
        <v>31200</v>
      </c>
      <c r="AC2115">
        <v>160</v>
      </c>
      <c r="AD2115">
        <v>4</v>
      </c>
      <c r="AE2115">
        <v>0</v>
      </c>
      <c r="AF2115">
        <v>0</v>
      </c>
      <c r="AG2115" s="29" t="s">
        <v>3113</v>
      </c>
      <c r="AH2115" s="29" t="s">
        <v>3119</v>
      </c>
      <c r="AI2115" s="29" t="s">
        <v>3159</v>
      </c>
      <c r="AJ2115" s="29" t="s">
        <v>3303</v>
      </c>
      <c r="AL2115" s="29" t="s">
        <v>3114</v>
      </c>
    </row>
    <row r="2116" spans="15:38">
      <c r="O2116" t="s">
        <v>24</v>
      </c>
      <c r="P2116" t="s">
        <v>43</v>
      </c>
      <c r="Q2116" t="s">
        <v>22</v>
      </c>
      <c r="R2116" t="s">
        <v>54</v>
      </c>
      <c r="S2116">
        <v>2024.14</v>
      </c>
      <c r="T2116">
        <v>208.33</v>
      </c>
      <c r="U2116">
        <v>0</v>
      </c>
      <c r="V2116">
        <v>0</v>
      </c>
      <c r="AA2116" s="29" t="s">
        <v>43</v>
      </c>
      <c r="AB2116">
        <v>31200</v>
      </c>
      <c r="AC2116">
        <v>160</v>
      </c>
      <c r="AD2116">
        <v>4</v>
      </c>
      <c r="AE2116">
        <v>374.5</v>
      </c>
      <c r="AF2116">
        <v>374.5</v>
      </c>
      <c r="AG2116" s="29" t="s">
        <v>3113</v>
      </c>
      <c r="AH2116" s="29" t="s">
        <v>3318</v>
      </c>
      <c r="AI2116" s="29" t="s">
        <v>3159</v>
      </c>
      <c r="AJ2116" s="29" t="s">
        <v>3319</v>
      </c>
      <c r="AL2116" s="29" t="s">
        <v>3114</v>
      </c>
    </row>
    <row r="2117" spans="15:38">
      <c r="O2117" t="s">
        <v>24</v>
      </c>
      <c r="P2117" t="s">
        <v>43</v>
      </c>
      <c r="Q2117" t="s">
        <v>22</v>
      </c>
      <c r="R2117" t="s">
        <v>54</v>
      </c>
      <c r="S2117">
        <v>2024.17</v>
      </c>
      <c r="T2117">
        <v>208.33</v>
      </c>
      <c r="U2117">
        <v>0</v>
      </c>
      <c r="V2117">
        <v>0</v>
      </c>
      <c r="AA2117" s="29" t="s">
        <v>43</v>
      </c>
      <c r="AB2117">
        <v>31200</v>
      </c>
      <c r="AC2117">
        <v>160</v>
      </c>
      <c r="AD2117">
        <v>4</v>
      </c>
      <c r="AE2117">
        <v>107</v>
      </c>
      <c r="AF2117">
        <v>107</v>
      </c>
      <c r="AG2117" s="29" t="s">
        <v>3113</v>
      </c>
      <c r="AH2117" s="29" t="s">
        <v>3320</v>
      </c>
      <c r="AI2117" s="29" t="s">
        <v>3159</v>
      </c>
      <c r="AJ2117" s="29" t="s">
        <v>3321</v>
      </c>
      <c r="AL2117" s="29" t="s">
        <v>3114</v>
      </c>
    </row>
    <row r="2118" spans="15:38">
      <c r="O2118" t="s">
        <v>24</v>
      </c>
      <c r="P2118" t="s">
        <v>43</v>
      </c>
      <c r="Q2118" t="s">
        <v>22</v>
      </c>
      <c r="R2118" t="s">
        <v>54</v>
      </c>
      <c r="S2118">
        <v>2024.18</v>
      </c>
      <c r="T2118">
        <v>208.33</v>
      </c>
      <c r="U2118">
        <v>0</v>
      </c>
      <c r="V2118">
        <v>0</v>
      </c>
      <c r="AA2118" s="29" t="s">
        <v>43</v>
      </c>
      <c r="AB2118">
        <v>31200</v>
      </c>
      <c r="AC2118">
        <v>160</v>
      </c>
      <c r="AD2118">
        <v>4</v>
      </c>
      <c r="AE2118">
        <v>28.92</v>
      </c>
      <c r="AF2118">
        <v>28.92</v>
      </c>
      <c r="AG2118" s="29" t="s">
        <v>3113</v>
      </c>
      <c r="AH2118" s="29" t="s">
        <v>3322</v>
      </c>
      <c r="AI2118" s="29" t="s">
        <v>3159</v>
      </c>
      <c r="AJ2118" s="29" t="s">
        <v>3323</v>
      </c>
      <c r="AL2118" s="29" t="s">
        <v>3114</v>
      </c>
    </row>
    <row r="2119" spans="15:38">
      <c r="O2119" t="s">
        <v>24</v>
      </c>
      <c r="P2119" t="s">
        <v>43</v>
      </c>
      <c r="Q2119" t="s">
        <v>22</v>
      </c>
      <c r="R2119" t="s">
        <v>54</v>
      </c>
      <c r="S2119">
        <v>2024.19</v>
      </c>
      <c r="T2119">
        <v>208.33</v>
      </c>
      <c r="U2119">
        <v>0</v>
      </c>
      <c r="V2119">
        <v>0</v>
      </c>
      <c r="AA2119" s="29" t="s">
        <v>43</v>
      </c>
      <c r="AB2119">
        <v>31200</v>
      </c>
      <c r="AC2119">
        <v>160</v>
      </c>
      <c r="AD2119">
        <v>4</v>
      </c>
      <c r="AE2119">
        <v>2677.14</v>
      </c>
      <c r="AF2119">
        <v>2677.14</v>
      </c>
      <c r="AG2119" s="29" t="s">
        <v>3113</v>
      </c>
      <c r="AH2119" s="29" t="s">
        <v>3324</v>
      </c>
      <c r="AI2119" s="29" t="s">
        <v>3159</v>
      </c>
      <c r="AJ2119" s="29" t="s">
        <v>3325</v>
      </c>
      <c r="AL2119" s="29" t="s">
        <v>3114</v>
      </c>
    </row>
    <row r="2120" spans="15:38">
      <c r="O2120" t="s">
        <v>24</v>
      </c>
      <c r="P2120" t="s">
        <v>43</v>
      </c>
      <c r="Q2120" t="s">
        <v>22</v>
      </c>
      <c r="R2120" t="s">
        <v>54</v>
      </c>
      <c r="S2120">
        <v>2024.2</v>
      </c>
      <c r="T2120">
        <v>208.33</v>
      </c>
      <c r="U2120">
        <v>0</v>
      </c>
      <c r="V2120">
        <v>0</v>
      </c>
      <c r="AA2120" s="29" t="s">
        <v>43</v>
      </c>
      <c r="AB2120">
        <v>31200</v>
      </c>
      <c r="AC2120">
        <v>160</v>
      </c>
      <c r="AD2120">
        <v>4</v>
      </c>
      <c r="AE2120">
        <v>349.32</v>
      </c>
      <c r="AF2120">
        <v>349.32</v>
      </c>
      <c r="AG2120" s="29" t="s">
        <v>3113</v>
      </c>
      <c r="AH2120" s="29" t="s">
        <v>3326</v>
      </c>
      <c r="AI2120" s="29" t="s">
        <v>3159</v>
      </c>
      <c r="AJ2120" s="29" t="s">
        <v>3327</v>
      </c>
      <c r="AL2120" s="29" t="s">
        <v>3114</v>
      </c>
    </row>
    <row r="2121" spans="15:38">
      <c r="O2121" t="s">
        <v>24</v>
      </c>
      <c r="P2121" t="s">
        <v>43</v>
      </c>
      <c r="Q2121" t="s">
        <v>22</v>
      </c>
      <c r="R2121" t="s">
        <v>54</v>
      </c>
      <c r="S2121">
        <v>2024.21</v>
      </c>
      <c r="T2121">
        <v>208.33</v>
      </c>
      <c r="U2121">
        <v>0</v>
      </c>
      <c r="V2121">
        <v>0</v>
      </c>
      <c r="AA2121" s="29" t="s">
        <v>43</v>
      </c>
      <c r="AB2121">
        <v>31200</v>
      </c>
      <c r="AC2121">
        <v>160</v>
      </c>
      <c r="AD2121">
        <v>4</v>
      </c>
      <c r="AE2121">
        <v>190.08</v>
      </c>
      <c r="AF2121">
        <v>190.08</v>
      </c>
      <c r="AG2121" s="29" t="s">
        <v>3113</v>
      </c>
      <c r="AH2121" s="29" t="s">
        <v>3328</v>
      </c>
      <c r="AI2121" s="29" t="s">
        <v>3159</v>
      </c>
      <c r="AJ2121" s="29" t="s">
        <v>3329</v>
      </c>
      <c r="AL2121" s="29" t="s">
        <v>3114</v>
      </c>
    </row>
    <row r="2122" spans="15:38">
      <c r="O2122" t="s">
        <v>24</v>
      </c>
      <c r="P2122" t="s">
        <v>43</v>
      </c>
      <c r="Q2122" t="s">
        <v>22</v>
      </c>
      <c r="R2122" t="s">
        <v>54</v>
      </c>
      <c r="S2122">
        <v>2024.28</v>
      </c>
      <c r="T2122">
        <v>208.33</v>
      </c>
      <c r="U2122">
        <v>0</v>
      </c>
      <c r="V2122">
        <v>0</v>
      </c>
      <c r="AA2122" s="29" t="s">
        <v>43</v>
      </c>
      <c r="AB2122">
        <v>31200</v>
      </c>
      <c r="AC2122">
        <v>160</v>
      </c>
      <c r="AD2122">
        <v>4</v>
      </c>
      <c r="AE2122">
        <v>63.12</v>
      </c>
      <c r="AF2122">
        <v>63.12</v>
      </c>
      <c r="AG2122" s="29" t="s">
        <v>3113</v>
      </c>
      <c r="AH2122" s="29" t="s">
        <v>3330</v>
      </c>
      <c r="AI2122" s="29" t="s">
        <v>3159</v>
      </c>
      <c r="AJ2122" s="29" t="s">
        <v>2098</v>
      </c>
      <c r="AL2122" s="29" t="s">
        <v>3114</v>
      </c>
    </row>
    <row r="2123" spans="15:38">
      <c r="O2123" t="s">
        <v>24</v>
      </c>
      <c r="P2123" t="s">
        <v>43</v>
      </c>
      <c r="Q2123" t="s">
        <v>22</v>
      </c>
      <c r="R2123" t="s">
        <v>54</v>
      </c>
      <c r="S2123">
        <v>2024.38</v>
      </c>
      <c r="T2123">
        <v>208.33</v>
      </c>
      <c r="U2123">
        <v>0</v>
      </c>
      <c r="V2123">
        <v>0</v>
      </c>
      <c r="AA2123" s="29" t="s">
        <v>43</v>
      </c>
      <c r="AB2123">
        <v>31200</v>
      </c>
      <c r="AC2123">
        <v>160</v>
      </c>
      <c r="AD2123">
        <v>4</v>
      </c>
      <c r="AE2123">
        <v>108.24</v>
      </c>
      <c r="AF2123">
        <v>108.24</v>
      </c>
      <c r="AG2123" s="29" t="s">
        <v>3113</v>
      </c>
      <c r="AH2123" s="29" t="s">
        <v>3331</v>
      </c>
      <c r="AI2123" s="29" t="s">
        <v>3159</v>
      </c>
      <c r="AJ2123" s="29" t="s">
        <v>3332</v>
      </c>
      <c r="AL2123" s="29" t="s">
        <v>3114</v>
      </c>
    </row>
    <row r="2124" spans="15:38">
      <c r="O2124" t="s">
        <v>24</v>
      </c>
      <c r="P2124" t="s">
        <v>43</v>
      </c>
      <c r="Q2124" t="s">
        <v>22</v>
      </c>
      <c r="R2124" t="s">
        <v>54</v>
      </c>
      <c r="S2124">
        <v>2024.39</v>
      </c>
      <c r="T2124">
        <v>208.33</v>
      </c>
      <c r="U2124">
        <v>0</v>
      </c>
      <c r="V2124">
        <v>0</v>
      </c>
      <c r="AA2124" s="29" t="s">
        <v>43</v>
      </c>
      <c r="AB2124">
        <v>31200</v>
      </c>
      <c r="AC2124">
        <v>160</v>
      </c>
      <c r="AD2124">
        <v>4</v>
      </c>
      <c r="AE2124">
        <v>10486</v>
      </c>
      <c r="AF2124">
        <v>10486</v>
      </c>
      <c r="AG2124" s="29" t="s">
        <v>3113</v>
      </c>
      <c r="AH2124" s="29" t="s">
        <v>3333</v>
      </c>
      <c r="AI2124" s="29" t="s">
        <v>3159</v>
      </c>
      <c r="AJ2124" s="29" t="s">
        <v>3334</v>
      </c>
      <c r="AL2124" s="29" t="s">
        <v>3114</v>
      </c>
    </row>
    <row r="2125" spans="15:38">
      <c r="O2125" t="s">
        <v>24</v>
      </c>
      <c r="P2125" t="s">
        <v>43</v>
      </c>
      <c r="Q2125" t="s">
        <v>22</v>
      </c>
      <c r="R2125" t="s">
        <v>54</v>
      </c>
      <c r="S2125">
        <v>2024.41</v>
      </c>
      <c r="T2125">
        <v>208.33</v>
      </c>
      <c r="U2125">
        <v>0</v>
      </c>
      <c r="V2125">
        <v>0</v>
      </c>
      <c r="AA2125" s="29" t="s">
        <v>43</v>
      </c>
      <c r="AB2125">
        <v>31200</v>
      </c>
      <c r="AC2125">
        <v>160</v>
      </c>
      <c r="AD2125">
        <v>4</v>
      </c>
      <c r="AE2125">
        <v>12502</v>
      </c>
      <c r="AF2125">
        <v>12502</v>
      </c>
      <c r="AG2125" s="29" t="s">
        <v>3113</v>
      </c>
      <c r="AH2125" s="29" t="s">
        <v>3335</v>
      </c>
      <c r="AI2125" s="29" t="s">
        <v>3159</v>
      </c>
      <c r="AJ2125" s="29" t="s">
        <v>3336</v>
      </c>
      <c r="AL2125" s="29" t="s">
        <v>3114</v>
      </c>
    </row>
    <row r="2126" spans="15:38">
      <c r="O2126" t="s">
        <v>24</v>
      </c>
      <c r="P2126" t="s">
        <v>43</v>
      </c>
      <c r="Q2126" t="s">
        <v>22</v>
      </c>
      <c r="R2126" t="s">
        <v>54</v>
      </c>
      <c r="S2126">
        <v>2024.43</v>
      </c>
      <c r="T2126">
        <v>208.33</v>
      </c>
      <c r="U2126">
        <v>0</v>
      </c>
      <c r="V2126">
        <v>0</v>
      </c>
      <c r="AA2126" s="29" t="s">
        <v>43</v>
      </c>
      <c r="AB2126">
        <v>31200</v>
      </c>
      <c r="AC2126">
        <v>160</v>
      </c>
      <c r="AD2126">
        <v>4</v>
      </c>
      <c r="AE2126">
        <v>165.72</v>
      </c>
      <c r="AF2126">
        <v>165.72</v>
      </c>
      <c r="AG2126" s="29" t="s">
        <v>3113</v>
      </c>
      <c r="AH2126" s="29" t="s">
        <v>3337</v>
      </c>
      <c r="AI2126" s="29" t="s">
        <v>3159</v>
      </c>
      <c r="AJ2126" s="29" t="s">
        <v>3338</v>
      </c>
      <c r="AL2126" s="29" t="s">
        <v>3114</v>
      </c>
    </row>
    <row r="2127" spans="15:38">
      <c r="O2127" t="s">
        <v>24</v>
      </c>
      <c r="P2127" t="s">
        <v>43</v>
      </c>
      <c r="Q2127" t="s">
        <v>22</v>
      </c>
      <c r="R2127" t="s">
        <v>54</v>
      </c>
      <c r="S2127">
        <v>2024.44</v>
      </c>
      <c r="T2127">
        <v>208.33</v>
      </c>
      <c r="U2127">
        <v>0</v>
      </c>
      <c r="V2127">
        <v>0</v>
      </c>
      <c r="AA2127" s="29" t="s">
        <v>43</v>
      </c>
      <c r="AB2127">
        <v>31200</v>
      </c>
      <c r="AC2127">
        <v>160</v>
      </c>
      <c r="AD2127">
        <v>4</v>
      </c>
      <c r="AE2127">
        <v>126.24</v>
      </c>
      <c r="AF2127">
        <v>126.24</v>
      </c>
      <c r="AG2127" s="29" t="s">
        <v>3113</v>
      </c>
      <c r="AH2127" s="29" t="s">
        <v>3339</v>
      </c>
      <c r="AI2127" s="29" t="s">
        <v>3159</v>
      </c>
      <c r="AJ2127" s="29" t="s">
        <v>3340</v>
      </c>
      <c r="AL2127" s="29" t="s">
        <v>3114</v>
      </c>
    </row>
    <row r="2128" spans="15:38">
      <c r="O2128" t="s">
        <v>24</v>
      </c>
      <c r="P2128" t="s">
        <v>43</v>
      </c>
      <c r="Q2128" t="s">
        <v>22</v>
      </c>
      <c r="R2128" t="s">
        <v>54</v>
      </c>
      <c r="S2128">
        <v>2024.45</v>
      </c>
      <c r="T2128">
        <v>208.33</v>
      </c>
      <c r="U2128">
        <v>0</v>
      </c>
      <c r="V2128">
        <v>0</v>
      </c>
      <c r="AA2128" s="29" t="s">
        <v>43</v>
      </c>
      <c r="AB2128">
        <v>31200</v>
      </c>
      <c r="AC2128">
        <v>160</v>
      </c>
      <c r="AD2128">
        <v>4</v>
      </c>
      <c r="AE2128">
        <v>58.22</v>
      </c>
      <c r="AF2128">
        <v>58.22</v>
      </c>
      <c r="AG2128" s="29" t="s">
        <v>3113</v>
      </c>
      <c r="AH2128" s="29" t="s">
        <v>3341</v>
      </c>
      <c r="AI2128" s="29" t="s">
        <v>3159</v>
      </c>
      <c r="AJ2128" s="29" t="s">
        <v>2093</v>
      </c>
      <c r="AL2128" s="29" t="s">
        <v>3114</v>
      </c>
    </row>
    <row r="2129" spans="15:38">
      <c r="O2129" t="s">
        <v>24</v>
      </c>
      <c r="P2129" t="s">
        <v>43</v>
      </c>
      <c r="Q2129" t="s">
        <v>22</v>
      </c>
      <c r="R2129" t="s">
        <v>54</v>
      </c>
      <c r="S2129">
        <v>2024.47</v>
      </c>
      <c r="T2129">
        <v>208.33</v>
      </c>
      <c r="U2129">
        <v>0</v>
      </c>
      <c r="V2129">
        <v>0</v>
      </c>
      <c r="AA2129" s="29" t="s">
        <v>43</v>
      </c>
      <c r="AB2129">
        <v>31200</v>
      </c>
      <c r="AC2129">
        <v>160</v>
      </c>
      <c r="AD2129">
        <v>4</v>
      </c>
      <c r="AE2129">
        <v>616.32000000000005</v>
      </c>
      <c r="AF2129">
        <v>616.32000000000005</v>
      </c>
      <c r="AG2129" s="29" t="s">
        <v>3113</v>
      </c>
      <c r="AH2129" s="29" t="s">
        <v>3342</v>
      </c>
      <c r="AI2129" s="29" t="s">
        <v>3159</v>
      </c>
      <c r="AJ2129" s="29" t="s">
        <v>2095</v>
      </c>
      <c r="AL2129" s="29" t="s">
        <v>3114</v>
      </c>
    </row>
    <row r="2130" spans="15:38">
      <c r="O2130" t="s">
        <v>24</v>
      </c>
      <c r="P2130" t="s">
        <v>43</v>
      </c>
      <c r="Q2130" t="s">
        <v>22</v>
      </c>
      <c r="R2130" t="s">
        <v>54</v>
      </c>
      <c r="S2130">
        <v>2024.48</v>
      </c>
      <c r="T2130">
        <v>208.33</v>
      </c>
      <c r="U2130">
        <v>0</v>
      </c>
      <c r="V2130">
        <v>208.9</v>
      </c>
      <c r="AA2130" s="29" t="s">
        <v>43</v>
      </c>
      <c r="AB2130">
        <v>31200</v>
      </c>
      <c r="AC2130">
        <v>160</v>
      </c>
      <c r="AD2130">
        <v>4</v>
      </c>
      <c r="AE2130">
        <v>12.4</v>
      </c>
      <c r="AF2130">
        <v>12.4</v>
      </c>
      <c r="AG2130" s="29" t="s">
        <v>3113</v>
      </c>
      <c r="AH2130" s="29" t="s">
        <v>3343</v>
      </c>
      <c r="AI2130" s="29" t="s">
        <v>3159</v>
      </c>
      <c r="AJ2130" s="29" t="s">
        <v>3344</v>
      </c>
      <c r="AL2130" s="29" t="s">
        <v>3114</v>
      </c>
    </row>
    <row r="2131" spans="15:38">
      <c r="O2131" t="s">
        <v>24</v>
      </c>
      <c r="P2131" t="s">
        <v>43</v>
      </c>
      <c r="Q2131" t="s">
        <v>22</v>
      </c>
      <c r="R2131" t="s">
        <v>54</v>
      </c>
      <c r="S2131">
        <v>2024.49</v>
      </c>
      <c r="T2131">
        <v>208.33</v>
      </c>
      <c r="U2131">
        <v>0</v>
      </c>
      <c r="V2131">
        <v>208.9</v>
      </c>
      <c r="AA2131" s="29" t="s">
        <v>43</v>
      </c>
      <c r="AB2131">
        <v>31200</v>
      </c>
      <c r="AC2131">
        <v>160</v>
      </c>
      <c r="AD2131">
        <v>4</v>
      </c>
      <c r="AE2131">
        <v>12.4</v>
      </c>
      <c r="AF2131">
        <v>12.4</v>
      </c>
      <c r="AG2131" s="29" t="s">
        <v>3113</v>
      </c>
      <c r="AH2131" s="29" t="s">
        <v>3343</v>
      </c>
      <c r="AI2131" s="29" t="s">
        <v>3159</v>
      </c>
      <c r="AJ2131" s="29" t="s">
        <v>3344</v>
      </c>
      <c r="AL2131" s="29" t="s">
        <v>3114</v>
      </c>
    </row>
    <row r="2132" spans="15:38">
      <c r="O2132" t="s">
        <v>24</v>
      </c>
      <c r="P2132" t="s">
        <v>43</v>
      </c>
      <c r="Q2132" t="s">
        <v>22</v>
      </c>
      <c r="R2132" t="s">
        <v>54</v>
      </c>
      <c r="S2132">
        <v>2025.03</v>
      </c>
      <c r="T2132">
        <v>208.33</v>
      </c>
      <c r="U2132">
        <v>0</v>
      </c>
      <c r="V2132">
        <v>208.9</v>
      </c>
      <c r="AA2132" s="29" t="s">
        <v>43</v>
      </c>
      <c r="AB2132">
        <v>31200</v>
      </c>
      <c r="AC2132">
        <v>160</v>
      </c>
      <c r="AD2132">
        <v>4</v>
      </c>
      <c r="AE2132">
        <v>10.56</v>
      </c>
      <c r="AF2132">
        <v>10.56</v>
      </c>
      <c r="AG2132" s="29" t="s">
        <v>3113</v>
      </c>
      <c r="AH2132" s="29" t="s">
        <v>3345</v>
      </c>
      <c r="AI2132" s="29" t="s">
        <v>3159</v>
      </c>
      <c r="AJ2132" s="29" t="s">
        <v>3346</v>
      </c>
      <c r="AL2132" s="29" t="s">
        <v>3114</v>
      </c>
    </row>
    <row r="2133" spans="15:38">
      <c r="O2133" t="s">
        <v>24</v>
      </c>
      <c r="P2133" t="s">
        <v>43</v>
      </c>
      <c r="Q2133" t="s">
        <v>22</v>
      </c>
      <c r="R2133" t="s">
        <v>54</v>
      </c>
      <c r="S2133">
        <v>2025.08</v>
      </c>
      <c r="T2133">
        <v>208.33</v>
      </c>
      <c r="U2133">
        <v>0</v>
      </c>
      <c r="V2133">
        <v>208.9</v>
      </c>
      <c r="AA2133" s="29" t="s">
        <v>43</v>
      </c>
      <c r="AB2133">
        <v>31200</v>
      </c>
      <c r="AC2133">
        <v>160</v>
      </c>
      <c r="AD2133">
        <v>4</v>
      </c>
      <c r="AE2133">
        <v>58.22</v>
      </c>
      <c r="AF2133">
        <v>58.22</v>
      </c>
      <c r="AG2133" s="29" t="s">
        <v>3113</v>
      </c>
      <c r="AH2133" s="29" t="s">
        <v>3341</v>
      </c>
      <c r="AI2133" s="29" t="s">
        <v>3159</v>
      </c>
      <c r="AJ2133" s="29" t="s">
        <v>2093</v>
      </c>
      <c r="AL2133" s="29" t="s">
        <v>3114</v>
      </c>
    </row>
    <row r="2134" spans="15:38">
      <c r="O2134" t="s">
        <v>24</v>
      </c>
      <c r="P2134" t="s">
        <v>43</v>
      </c>
      <c r="Q2134" t="s">
        <v>22</v>
      </c>
      <c r="R2134" t="s">
        <v>54</v>
      </c>
      <c r="S2134">
        <v>2025.1</v>
      </c>
      <c r="T2134">
        <v>208.33</v>
      </c>
      <c r="U2134">
        <v>0</v>
      </c>
      <c r="V2134">
        <v>208.9</v>
      </c>
      <c r="AA2134" s="29" t="s">
        <v>43</v>
      </c>
      <c r="AB2134">
        <v>31200</v>
      </c>
      <c r="AC2134">
        <v>160</v>
      </c>
      <c r="AD2134">
        <v>4</v>
      </c>
      <c r="AE2134">
        <v>105.64</v>
      </c>
      <c r="AF2134">
        <v>105.64</v>
      </c>
      <c r="AG2134" s="29" t="s">
        <v>3113</v>
      </c>
      <c r="AH2134" s="29" t="s">
        <v>3347</v>
      </c>
      <c r="AI2134" s="29" t="s">
        <v>3159</v>
      </c>
      <c r="AJ2134" s="29" t="s">
        <v>2049</v>
      </c>
      <c r="AL2134" s="29" t="s">
        <v>3114</v>
      </c>
    </row>
    <row r="2135" spans="15:38">
      <c r="O2135" t="s">
        <v>24</v>
      </c>
      <c r="P2135" t="s">
        <v>43</v>
      </c>
      <c r="Q2135" t="s">
        <v>22</v>
      </c>
      <c r="R2135" t="s">
        <v>54</v>
      </c>
      <c r="S2135">
        <v>2025.11</v>
      </c>
      <c r="T2135">
        <v>302.83</v>
      </c>
      <c r="U2135">
        <v>0</v>
      </c>
      <c r="V2135">
        <v>208.9</v>
      </c>
      <c r="AA2135" s="29" t="s">
        <v>43</v>
      </c>
      <c r="AB2135">
        <v>31200</v>
      </c>
      <c r="AC2135">
        <v>160</v>
      </c>
      <c r="AD2135">
        <v>4</v>
      </c>
      <c r="AE2135">
        <v>15.04</v>
      </c>
      <c r="AF2135">
        <v>15.04</v>
      </c>
      <c r="AG2135" s="29" t="s">
        <v>3113</v>
      </c>
      <c r="AH2135" s="29" t="s">
        <v>3348</v>
      </c>
      <c r="AI2135" s="29" t="s">
        <v>3159</v>
      </c>
      <c r="AJ2135" s="29" t="s">
        <v>3349</v>
      </c>
      <c r="AL2135" s="29" t="s">
        <v>3114</v>
      </c>
    </row>
    <row r="2136" spans="15:38">
      <c r="O2136" t="s">
        <v>24</v>
      </c>
      <c r="P2136" t="s">
        <v>43</v>
      </c>
      <c r="Q2136" t="s">
        <v>22</v>
      </c>
      <c r="R2136" t="s">
        <v>54</v>
      </c>
      <c r="S2136">
        <v>2025.12</v>
      </c>
      <c r="T2136">
        <v>302.83</v>
      </c>
      <c r="U2136">
        <v>0</v>
      </c>
      <c r="V2136">
        <v>208.9</v>
      </c>
      <c r="AA2136" s="29" t="s">
        <v>43</v>
      </c>
      <c r="AB2136">
        <v>31200</v>
      </c>
      <c r="AC2136">
        <v>160</v>
      </c>
      <c r="AD2136">
        <v>4</v>
      </c>
      <c r="AE2136">
        <v>30.36</v>
      </c>
      <c r="AF2136">
        <v>30.36</v>
      </c>
      <c r="AG2136" s="29" t="s">
        <v>3113</v>
      </c>
      <c r="AH2136" s="29" t="s">
        <v>3350</v>
      </c>
      <c r="AI2136" s="29" t="s">
        <v>3159</v>
      </c>
      <c r="AJ2136" s="29" t="s">
        <v>3351</v>
      </c>
      <c r="AL2136" s="29" t="s">
        <v>3114</v>
      </c>
    </row>
    <row r="2137" spans="15:38">
      <c r="O2137" t="s">
        <v>24</v>
      </c>
      <c r="P2137" t="s">
        <v>43</v>
      </c>
      <c r="Q2137" t="s">
        <v>22</v>
      </c>
      <c r="R2137" t="s">
        <v>64</v>
      </c>
      <c r="S2137">
        <v>2023.47</v>
      </c>
      <c r="T2137">
        <v>0</v>
      </c>
      <c r="U2137">
        <v>116175.2678</v>
      </c>
      <c r="V2137">
        <v>116175.2678</v>
      </c>
      <c r="AA2137" s="29" t="s">
        <v>43</v>
      </c>
      <c r="AB2137">
        <v>31200</v>
      </c>
      <c r="AC2137">
        <v>160</v>
      </c>
      <c r="AD2137">
        <v>4</v>
      </c>
      <c r="AE2137">
        <v>5.88</v>
      </c>
      <c r="AF2137">
        <v>5.88</v>
      </c>
      <c r="AG2137" s="29" t="s">
        <v>3113</v>
      </c>
      <c r="AH2137" s="29" t="s">
        <v>3293</v>
      </c>
      <c r="AI2137" s="29" t="s">
        <v>3159</v>
      </c>
      <c r="AJ2137" s="29" t="s">
        <v>3294</v>
      </c>
      <c r="AL2137" s="29" t="s">
        <v>3114</v>
      </c>
    </row>
    <row r="2138" spans="15:38">
      <c r="O2138" t="s">
        <v>24</v>
      </c>
      <c r="P2138" t="s">
        <v>43</v>
      </c>
      <c r="Q2138" t="s">
        <v>22</v>
      </c>
      <c r="R2138" t="s">
        <v>64</v>
      </c>
      <c r="S2138">
        <v>2023.51</v>
      </c>
      <c r="T2138">
        <v>109810.78</v>
      </c>
      <c r="U2138">
        <v>116175.2678</v>
      </c>
      <c r="V2138">
        <v>116175.2678</v>
      </c>
      <c r="AA2138" s="29" t="s">
        <v>43</v>
      </c>
      <c r="AB2138">
        <v>31200</v>
      </c>
      <c r="AC2138">
        <v>160</v>
      </c>
      <c r="AD2138">
        <v>4</v>
      </c>
      <c r="AE2138">
        <v>8966</v>
      </c>
      <c r="AF2138">
        <v>8966</v>
      </c>
      <c r="AG2138" s="29" t="s">
        <v>3113</v>
      </c>
      <c r="AH2138" s="29" t="s">
        <v>3352</v>
      </c>
      <c r="AI2138" s="29" t="s">
        <v>3159</v>
      </c>
      <c r="AJ2138" s="29" t="s">
        <v>3353</v>
      </c>
      <c r="AL2138" s="29" t="s">
        <v>3114</v>
      </c>
    </row>
    <row r="2139" spans="15:38">
      <c r="O2139" t="s">
        <v>24</v>
      </c>
      <c r="P2139" t="s">
        <v>43</v>
      </c>
      <c r="Q2139" t="s">
        <v>22</v>
      </c>
      <c r="R2139" t="s">
        <v>64</v>
      </c>
      <c r="S2139">
        <v>2024.05</v>
      </c>
      <c r="T2139">
        <v>109531.69</v>
      </c>
      <c r="U2139">
        <v>116175.2678</v>
      </c>
      <c r="V2139">
        <v>116175.2678</v>
      </c>
      <c r="AA2139" s="29" t="s">
        <v>43</v>
      </c>
      <c r="AB2139">
        <v>31200</v>
      </c>
      <c r="AC2139">
        <v>160</v>
      </c>
      <c r="AD2139">
        <v>4</v>
      </c>
      <c r="AE2139">
        <v>247.8</v>
      </c>
      <c r="AF2139">
        <v>247.8</v>
      </c>
      <c r="AG2139" s="29" t="s">
        <v>3113</v>
      </c>
      <c r="AH2139" s="29" t="s">
        <v>3354</v>
      </c>
      <c r="AI2139" s="29" t="s">
        <v>3159</v>
      </c>
      <c r="AJ2139" s="29" t="s">
        <v>3355</v>
      </c>
      <c r="AL2139" s="29" t="s">
        <v>3114</v>
      </c>
    </row>
    <row r="2140" spans="15:38">
      <c r="O2140" t="s">
        <v>24</v>
      </c>
      <c r="P2140" t="s">
        <v>43</v>
      </c>
      <c r="Q2140" t="s">
        <v>22</v>
      </c>
      <c r="R2140" t="s">
        <v>64</v>
      </c>
      <c r="S2140">
        <v>2024.06</v>
      </c>
      <c r="T2140">
        <v>109611.43</v>
      </c>
      <c r="U2140">
        <v>116175.2678</v>
      </c>
      <c r="V2140">
        <v>116175.2678</v>
      </c>
      <c r="AA2140" s="29" t="s">
        <v>43</v>
      </c>
      <c r="AB2140">
        <v>31200</v>
      </c>
      <c r="AC2140">
        <v>160</v>
      </c>
      <c r="AD2140">
        <v>4</v>
      </c>
      <c r="AE2140">
        <v>126.24</v>
      </c>
      <c r="AF2140">
        <v>126.24</v>
      </c>
      <c r="AG2140" s="29" t="s">
        <v>3113</v>
      </c>
      <c r="AH2140" s="29" t="s">
        <v>3339</v>
      </c>
      <c r="AI2140" s="29" t="s">
        <v>3159</v>
      </c>
      <c r="AJ2140" s="29" t="s">
        <v>3340</v>
      </c>
      <c r="AL2140" s="29" t="s">
        <v>3114</v>
      </c>
    </row>
    <row r="2141" spans="15:38">
      <c r="O2141" t="s">
        <v>24</v>
      </c>
      <c r="P2141" t="s">
        <v>43</v>
      </c>
      <c r="Q2141" t="s">
        <v>22</v>
      </c>
      <c r="R2141" t="s">
        <v>64</v>
      </c>
      <c r="S2141">
        <v>2024.07</v>
      </c>
      <c r="T2141">
        <v>109611.43</v>
      </c>
      <c r="U2141">
        <v>116175.2678</v>
      </c>
      <c r="V2141">
        <v>116175.2678</v>
      </c>
      <c r="AA2141" s="29" t="s">
        <v>43</v>
      </c>
      <c r="AB2141">
        <v>31200</v>
      </c>
      <c r="AC2141">
        <v>160</v>
      </c>
      <c r="AD2141">
        <v>4</v>
      </c>
      <c r="AE2141">
        <v>107</v>
      </c>
      <c r="AF2141">
        <v>107</v>
      </c>
      <c r="AG2141" s="29" t="s">
        <v>3113</v>
      </c>
      <c r="AH2141" s="29" t="s">
        <v>3320</v>
      </c>
      <c r="AI2141" s="29" t="s">
        <v>3159</v>
      </c>
      <c r="AJ2141" s="29" t="s">
        <v>3321</v>
      </c>
      <c r="AL2141" s="29" t="s">
        <v>3114</v>
      </c>
    </row>
    <row r="2142" spans="15:38">
      <c r="O2142" t="s">
        <v>24</v>
      </c>
      <c r="P2142" t="s">
        <v>43</v>
      </c>
      <c r="Q2142" t="s">
        <v>22</v>
      </c>
      <c r="R2142" t="s">
        <v>64</v>
      </c>
      <c r="S2142">
        <v>2024.08</v>
      </c>
      <c r="T2142">
        <v>109651.3</v>
      </c>
      <c r="U2142">
        <v>116175.2678</v>
      </c>
      <c r="V2142">
        <v>116175.2678</v>
      </c>
      <c r="AA2142" s="29" t="s">
        <v>43</v>
      </c>
      <c r="AB2142">
        <v>31200</v>
      </c>
      <c r="AC2142">
        <v>160</v>
      </c>
      <c r="AD2142">
        <v>4</v>
      </c>
      <c r="AE2142">
        <v>594.91999999999996</v>
      </c>
      <c r="AF2142">
        <v>594.91999999999996</v>
      </c>
      <c r="AG2142" s="29" t="s">
        <v>3113</v>
      </c>
      <c r="AH2142" s="29" t="s">
        <v>3356</v>
      </c>
      <c r="AI2142" s="29" t="s">
        <v>3159</v>
      </c>
      <c r="AJ2142" s="29" t="s">
        <v>508</v>
      </c>
      <c r="AL2142" s="29" t="s">
        <v>3114</v>
      </c>
    </row>
    <row r="2143" spans="15:38">
      <c r="O2143" t="s">
        <v>24</v>
      </c>
      <c r="P2143" t="s">
        <v>43</v>
      </c>
      <c r="Q2143" t="s">
        <v>22</v>
      </c>
      <c r="R2143" t="s">
        <v>64</v>
      </c>
      <c r="S2143">
        <v>2024.09</v>
      </c>
      <c r="T2143">
        <v>109810.78</v>
      </c>
      <c r="U2143">
        <v>116175.2678</v>
      </c>
      <c r="V2143">
        <v>116175.2678</v>
      </c>
      <c r="AA2143" s="29" t="s">
        <v>43</v>
      </c>
      <c r="AB2143">
        <v>31200</v>
      </c>
      <c r="AC2143">
        <v>160</v>
      </c>
      <c r="AD2143">
        <v>4</v>
      </c>
      <c r="AE2143">
        <v>10.56</v>
      </c>
      <c r="AF2143">
        <v>10.56</v>
      </c>
      <c r="AG2143" s="29" t="s">
        <v>3113</v>
      </c>
      <c r="AH2143" s="29" t="s">
        <v>3345</v>
      </c>
      <c r="AI2143" s="29" t="s">
        <v>3159</v>
      </c>
      <c r="AJ2143" s="29" t="s">
        <v>3346</v>
      </c>
      <c r="AL2143" s="29" t="s">
        <v>3114</v>
      </c>
    </row>
    <row r="2144" spans="15:38">
      <c r="O2144" t="s">
        <v>24</v>
      </c>
      <c r="P2144" t="s">
        <v>43</v>
      </c>
      <c r="Q2144" t="s">
        <v>22</v>
      </c>
      <c r="R2144" t="s">
        <v>64</v>
      </c>
      <c r="S2144">
        <v>2024.1</v>
      </c>
      <c r="T2144">
        <v>109810.78</v>
      </c>
      <c r="U2144">
        <v>116175.2678</v>
      </c>
      <c r="V2144">
        <v>116175.2678</v>
      </c>
      <c r="AA2144" s="29" t="s">
        <v>43</v>
      </c>
      <c r="AB2144">
        <v>31200</v>
      </c>
      <c r="AC2144">
        <v>160</v>
      </c>
      <c r="AD2144">
        <v>4</v>
      </c>
      <c r="AE2144">
        <v>116.44</v>
      </c>
      <c r="AF2144">
        <v>116.44</v>
      </c>
      <c r="AG2144" s="29" t="s">
        <v>3113</v>
      </c>
      <c r="AH2144" s="29" t="s">
        <v>3307</v>
      </c>
      <c r="AI2144" s="29" t="s">
        <v>3159</v>
      </c>
      <c r="AJ2144" s="29" t="s">
        <v>2070</v>
      </c>
      <c r="AL2144" s="29" t="s">
        <v>3114</v>
      </c>
    </row>
    <row r="2145" spans="15:38">
      <c r="O2145" t="s">
        <v>24</v>
      </c>
      <c r="P2145" t="s">
        <v>43</v>
      </c>
      <c r="Q2145" t="s">
        <v>22</v>
      </c>
      <c r="R2145" t="s">
        <v>64</v>
      </c>
      <c r="S2145">
        <v>2024.11</v>
      </c>
      <c r="T2145">
        <v>117260.78</v>
      </c>
      <c r="U2145">
        <v>116175.2678</v>
      </c>
      <c r="V2145">
        <v>116175.2678</v>
      </c>
      <c r="AA2145" s="29" t="s">
        <v>43</v>
      </c>
      <c r="AB2145">
        <v>31200</v>
      </c>
      <c r="AC2145">
        <v>160</v>
      </c>
      <c r="AD2145">
        <v>4</v>
      </c>
      <c r="AE2145">
        <v>46.32</v>
      </c>
      <c r="AF2145">
        <v>46.32</v>
      </c>
      <c r="AG2145" s="29" t="s">
        <v>3113</v>
      </c>
      <c r="AH2145" s="29" t="s">
        <v>3357</v>
      </c>
      <c r="AI2145" s="29" t="s">
        <v>3159</v>
      </c>
      <c r="AJ2145" s="29" t="s">
        <v>447</v>
      </c>
      <c r="AL2145" s="29" t="s">
        <v>3114</v>
      </c>
    </row>
    <row r="2146" spans="15:38">
      <c r="O2146" t="s">
        <v>24</v>
      </c>
      <c r="P2146" t="s">
        <v>43</v>
      </c>
      <c r="Q2146" t="s">
        <v>22</v>
      </c>
      <c r="R2146" t="s">
        <v>64</v>
      </c>
      <c r="S2146">
        <v>2024.12</v>
      </c>
      <c r="T2146">
        <v>117260.78</v>
      </c>
      <c r="U2146">
        <v>116175.2678</v>
      </c>
      <c r="V2146">
        <v>116175.2678</v>
      </c>
      <c r="AA2146" s="29" t="s">
        <v>43</v>
      </c>
      <c r="AB2146">
        <v>31200</v>
      </c>
      <c r="AC2146">
        <v>160</v>
      </c>
      <c r="AD2146">
        <v>4</v>
      </c>
      <c r="AE2146">
        <v>1750</v>
      </c>
      <c r="AF2146">
        <v>1750</v>
      </c>
      <c r="AG2146" s="29" t="s">
        <v>3113</v>
      </c>
      <c r="AH2146" s="29" t="s">
        <v>3358</v>
      </c>
      <c r="AI2146" s="29" t="s">
        <v>3159</v>
      </c>
      <c r="AJ2146" s="29" t="s">
        <v>3359</v>
      </c>
      <c r="AL2146" s="29" t="s">
        <v>3114</v>
      </c>
    </row>
    <row r="2147" spans="15:38">
      <c r="O2147" t="s">
        <v>24</v>
      </c>
      <c r="P2147" t="s">
        <v>43</v>
      </c>
      <c r="Q2147" t="s">
        <v>22</v>
      </c>
      <c r="R2147" t="s">
        <v>64</v>
      </c>
      <c r="S2147">
        <v>2024.14</v>
      </c>
      <c r="T2147">
        <v>109810.78</v>
      </c>
      <c r="U2147">
        <v>116175.2678</v>
      </c>
      <c r="V2147">
        <v>116175.2678</v>
      </c>
      <c r="AA2147" s="29" t="s">
        <v>43</v>
      </c>
      <c r="AB2147">
        <v>31200</v>
      </c>
      <c r="AC2147">
        <v>160</v>
      </c>
      <c r="AD2147">
        <v>4</v>
      </c>
      <c r="AE2147">
        <v>7222</v>
      </c>
      <c r="AF2147">
        <v>7222</v>
      </c>
      <c r="AG2147" s="29" t="s">
        <v>3113</v>
      </c>
      <c r="AH2147" s="29" t="s">
        <v>3360</v>
      </c>
      <c r="AI2147" s="29" t="s">
        <v>3159</v>
      </c>
      <c r="AJ2147" s="29" t="s">
        <v>3361</v>
      </c>
      <c r="AL2147" s="29" t="s">
        <v>3114</v>
      </c>
    </row>
    <row r="2148" spans="15:38">
      <c r="O2148" t="s">
        <v>24</v>
      </c>
      <c r="P2148" t="s">
        <v>43</v>
      </c>
      <c r="Q2148" t="s">
        <v>22</v>
      </c>
      <c r="R2148" t="s">
        <v>64</v>
      </c>
      <c r="S2148">
        <v>2024.17</v>
      </c>
      <c r="T2148">
        <v>111085.84</v>
      </c>
      <c r="U2148">
        <v>116175.2678</v>
      </c>
      <c r="V2148">
        <v>116175.2678</v>
      </c>
      <c r="AA2148" s="29" t="s">
        <v>43</v>
      </c>
      <c r="AB2148">
        <v>31200</v>
      </c>
      <c r="AC2148">
        <v>160</v>
      </c>
      <c r="AD2148">
        <v>4</v>
      </c>
      <c r="AE2148">
        <v>160.5</v>
      </c>
      <c r="AF2148">
        <v>160.5</v>
      </c>
      <c r="AG2148" s="29" t="s">
        <v>3113</v>
      </c>
      <c r="AH2148" s="29" t="s">
        <v>3362</v>
      </c>
      <c r="AI2148" s="29" t="s">
        <v>3159</v>
      </c>
      <c r="AJ2148" s="29" t="s">
        <v>3363</v>
      </c>
      <c r="AL2148" s="29" t="s">
        <v>3114</v>
      </c>
    </row>
    <row r="2149" spans="15:38">
      <c r="O2149" t="s">
        <v>24</v>
      </c>
      <c r="P2149" t="s">
        <v>43</v>
      </c>
      <c r="Q2149" t="s">
        <v>22</v>
      </c>
      <c r="R2149" t="s">
        <v>64</v>
      </c>
      <c r="S2149">
        <v>2024.18</v>
      </c>
      <c r="T2149">
        <v>113708.8</v>
      </c>
      <c r="U2149">
        <v>116175.2678</v>
      </c>
      <c r="V2149">
        <v>116175.2678</v>
      </c>
      <c r="AA2149" s="29" t="s">
        <v>43</v>
      </c>
      <c r="AB2149">
        <v>31200</v>
      </c>
      <c r="AC2149">
        <v>160</v>
      </c>
      <c r="AD2149">
        <v>4</v>
      </c>
      <c r="AE2149">
        <v>214</v>
      </c>
      <c r="AF2149">
        <v>214</v>
      </c>
      <c r="AG2149" s="29" t="s">
        <v>3113</v>
      </c>
      <c r="AH2149" s="29" t="s">
        <v>3364</v>
      </c>
      <c r="AI2149" s="29" t="s">
        <v>3159</v>
      </c>
      <c r="AJ2149" s="29" t="s">
        <v>3365</v>
      </c>
      <c r="AL2149" s="29" t="s">
        <v>3114</v>
      </c>
    </row>
    <row r="2150" spans="15:38">
      <c r="O2150" t="s">
        <v>24</v>
      </c>
      <c r="P2150" t="s">
        <v>43</v>
      </c>
      <c r="Q2150" t="s">
        <v>22</v>
      </c>
      <c r="R2150" t="s">
        <v>64</v>
      </c>
      <c r="S2150">
        <v>2024.19</v>
      </c>
      <c r="T2150">
        <v>115557.63</v>
      </c>
      <c r="U2150">
        <v>116175.2678</v>
      </c>
      <c r="V2150">
        <v>116175.2678</v>
      </c>
      <c r="AA2150" s="29" t="s">
        <v>43</v>
      </c>
      <c r="AB2150">
        <v>31200</v>
      </c>
      <c r="AC2150">
        <v>160</v>
      </c>
      <c r="AD2150">
        <v>4</v>
      </c>
      <c r="AE2150">
        <v>1275.44</v>
      </c>
      <c r="AF2150">
        <v>1275.44</v>
      </c>
      <c r="AG2150" s="29" t="s">
        <v>3113</v>
      </c>
      <c r="AH2150" s="29" t="s">
        <v>3366</v>
      </c>
      <c r="AI2150" s="29" t="s">
        <v>3159</v>
      </c>
      <c r="AJ2150" s="29" t="s">
        <v>378</v>
      </c>
      <c r="AL2150" s="29" t="s">
        <v>3114</v>
      </c>
    </row>
    <row r="2151" spans="15:38">
      <c r="O2151" t="s">
        <v>24</v>
      </c>
      <c r="P2151" t="s">
        <v>43</v>
      </c>
      <c r="Q2151" t="s">
        <v>22</v>
      </c>
      <c r="R2151" t="s">
        <v>64</v>
      </c>
      <c r="S2151">
        <v>2024.2</v>
      </c>
      <c r="T2151">
        <v>116067.65</v>
      </c>
      <c r="U2151">
        <v>116175.2678</v>
      </c>
      <c r="V2151">
        <v>116175.2678</v>
      </c>
      <c r="AA2151" s="29" t="s">
        <v>43</v>
      </c>
      <c r="AB2151">
        <v>31200</v>
      </c>
      <c r="AC2151">
        <v>160</v>
      </c>
      <c r="AD2151">
        <v>4</v>
      </c>
      <c r="AE2151">
        <v>924.48</v>
      </c>
      <c r="AF2151">
        <v>924.48</v>
      </c>
      <c r="AG2151" s="29" t="s">
        <v>3113</v>
      </c>
      <c r="AH2151" s="29" t="s">
        <v>3367</v>
      </c>
      <c r="AI2151" s="29" t="s">
        <v>3159</v>
      </c>
      <c r="AJ2151" s="29" t="s">
        <v>3368</v>
      </c>
      <c r="AL2151" s="29" t="s">
        <v>3114</v>
      </c>
    </row>
    <row r="2152" spans="15:38">
      <c r="O2152" t="s">
        <v>24</v>
      </c>
      <c r="P2152" t="s">
        <v>43</v>
      </c>
      <c r="Q2152" t="s">
        <v>22</v>
      </c>
      <c r="R2152" t="s">
        <v>64</v>
      </c>
      <c r="S2152">
        <v>2024.21</v>
      </c>
      <c r="T2152">
        <v>117233.41</v>
      </c>
      <c r="U2152">
        <v>116175.2678</v>
      </c>
      <c r="V2152">
        <v>116175.2678</v>
      </c>
      <c r="AA2152" s="29" t="s">
        <v>43</v>
      </c>
      <c r="AB2152">
        <v>31200</v>
      </c>
      <c r="AC2152">
        <v>160</v>
      </c>
      <c r="AD2152">
        <v>4</v>
      </c>
      <c r="AE2152">
        <v>395.9</v>
      </c>
      <c r="AF2152">
        <v>395.9</v>
      </c>
      <c r="AG2152" s="29" t="s">
        <v>3113</v>
      </c>
      <c r="AH2152" s="29" t="s">
        <v>3369</v>
      </c>
      <c r="AI2152" s="29" t="s">
        <v>3159</v>
      </c>
      <c r="AJ2152" s="29" t="s">
        <v>665</v>
      </c>
      <c r="AL2152" s="29" t="s">
        <v>3114</v>
      </c>
    </row>
    <row r="2153" spans="15:38">
      <c r="O2153" t="s">
        <v>24</v>
      </c>
      <c r="P2153" t="s">
        <v>43</v>
      </c>
      <c r="Q2153" t="s">
        <v>22</v>
      </c>
      <c r="R2153" t="s">
        <v>64</v>
      </c>
      <c r="S2153">
        <v>2024.28</v>
      </c>
      <c r="T2153">
        <v>118180.59</v>
      </c>
      <c r="U2153">
        <v>116175.2678</v>
      </c>
      <c r="V2153">
        <v>116175.2678</v>
      </c>
      <c r="AA2153" s="29" t="s">
        <v>43</v>
      </c>
      <c r="AB2153">
        <v>31200</v>
      </c>
      <c r="AC2153">
        <v>160</v>
      </c>
      <c r="AD2153">
        <v>4</v>
      </c>
      <c r="AE2153">
        <v>123.9</v>
      </c>
      <c r="AF2153">
        <v>123.9</v>
      </c>
      <c r="AG2153" s="29" t="s">
        <v>3113</v>
      </c>
      <c r="AH2153" s="29" t="s">
        <v>3370</v>
      </c>
      <c r="AI2153" s="29" t="s">
        <v>3159</v>
      </c>
      <c r="AJ2153" s="29" t="s">
        <v>3371</v>
      </c>
      <c r="AL2153" s="29" t="s">
        <v>3114</v>
      </c>
    </row>
    <row r="2154" spans="15:38">
      <c r="O2154" t="s">
        <v>24</v>
      </c>
      <c r="P2154" t="s">
        <v>43</v>
      </c>
      <c r="Q2154" t="s">
        <v>22</v>
      </c>
      <c r="R2154" t="s">
        <v>64</v>
      </c>
      <c r="S2154">
        <v>2024.38</v>
      </c>
      <c r="T2154">
        <v>118180.59</v>
      </c>
      <c r="U2154">
        <v>116175.2678</v>
      </c>
      <c r="V2154">
        <v>116175.2678</v>
      </c>
      <c r="AA2154" s="29" t="s">
        <v>43</v>
      </c>
      <c r="AB2154">
        <v>31200</v>
      </c>
      <c r="AC2154">
        <v>160</v>
      </c>
      <c r="AD2154">
        <v>4</v>
      </c>
      <c r="AE2154">
        <v>18.16</v>
      </c>
      <c r="AF2154">
        <v>18.16</v>
      </c>
      <c r="AG2154" s="29" t="s">
        <v>3113</v>
      </c>
      <c r="AH2154" s="29" t="s">
        <v>3372</v>
      </c>
      <c r="AI2154" s="29" t="s">
        <v>3159</v>
      </c>
      <c r="AJ2154" s="29" t="s">
        <v>3373</v>
      </c>
      <c r="AL2154" s="29" t="s">
        <v>3114</v>
      </c>
    </row>
    <row r="2155" spans="15:38">
      <c r="O2155" t="s">
        <v>24</v>
      </c>
      <c r="P2155" t="s">
        <v>43</v>
      </c>
      <c r="Q2155" t="s">
        <v>22</v>
      </c>
      <c r="R2155" t="s">
        <v>64</v>
      </c>
      <c r="S2155">
        <v>2024.39</v>
      </c>
      <c r="T2155">
        <v>18880.59</v>
      </c>
      <c r="U2155">
        <v>116175.2678</v>
      </c>
      <c r="V2155">
        <v>116175.2678</v>
      </c>
      <c r="AA2155" s="29" t="s">
        <v>43</v>
      </c>
      <c r="AB2155">
        <v>31200</v>
      </c>
      <c r="AC2155">
        <v>160</v>
      </c>
      <c r="AD2155">
        <v>4</v>
      </c>
      <c r="AE2155">
        <v>18299</v>
      </c>
      <c r="AF2155">
        <v>18299</v>
      </c>
      <c r="AG2155" s="29" t="s">
        <v>3113</v>
      </c>
      <c r="AH2155" s="29" t="s">
        <v>3374</v>
      </c>
      <c r="AI2155" s="29" t="s">
        <v>3159</v>
      </c>
      <c r="AJ2155" s="29" t="s">
        <v>3375</v>
      </c>
      <c r="AL2155" s="29" t="s">
        <v>3114</v>
      </c>
    </row>
    <row r="2156" spans="15:38">
      <c r="O2156" t="s">
        <v>24</v>
      </c>
      <c r="P2156" t="s">
        <v>43</v>
      </c>
      <c r="Q2156" t="s">
        <v>22</v>
      </c>
      <c r="R2156" t="s">
        <v>64</v>
      </c>
      <c r="S2156">
        <v>2024.41</v>
      </c>
      <c r="T2156">
        <v>19172.03</v>
      </c>
      <c r="U2156">
        <v>116175.2678</v>
      </c>
      <c r="V2156">
        <v>116175.2678</v>
      </c>
      <c r="AA2156" s="29" t="s">
        <v>43</v>
      </c>
      <c r="AB2156">
        <v>31200</v>
      </c>
      <c r="AC2156">
        <v>160</v>
      </c>
      <c r="AD2156">
        <v>4</v>
      </c>
      <c r="AE2156">
        <v>242.56</v>
      </c>
      <c r="AF2156">
        <v>242.56</v>
      </c>
      <c r="AG2156" s="29" t="s">
        <v>3113</v>
      </c>
      <c r="AH2156" s="29" t="s">
        <v>3376</v>
      </c>
      <c r="AI2156" s="29" t="s">
        <v>3159</v>
      </c>
      <c r="AJ2156" s="29" t="s">
        <v>3377</v>
      </c>
      <c r="AL2156" s="29" t="s">
        <v>3114</v>
      </c>
    </row>
    <row r="2157" spans="15:38">
      <c r="O2157" t="s">
        <v>24</v>
      </c>
      <c r="P2157" t="s">
        <v>43</v>
      </c>
      <c r="Q2157" t="s">
        <v>22</v>
      </c>
      <c r="R2157" t="s">
        <v>64</v>
      </c>
      <c r="S2157">
        <v>2024.43</v>
      </c>
      <c r="T2157">
        <v>19390.61</v>
      </c>
      <c r="U2157">
        <v>116175.2678</v>
      </c>
      <c r="V2157">
        <v>116175.2678</v>
      </c>
      <c r="AA2157" s="29" t="s">
        <v>43</v>
      </c>
      <c r="AB2157">
        <v>31200</v>
      </c>
      <c r="AC2157">
        <v>160</v>
      </c>
      <c r="AD2157">
        <v>4</v>
      </c>
      <c r="AE2157">
        <v>318</v>
      </c>
      <c r="AF2157">
        <v>318</v>
      </c>
      <c r="AG2157" s="29" t="s">
        <v>3113</v>
      </c>
      <c r="AH2157" s="29" t="s">
        <v>3378</v>
      </c>
      <c r="AI2157" s="29" t="s">
        <v>3159</v>
      </c>
      <c r="AJ2157" s="29" t="s">
        <v>3379</v>
      </c>
      <c r="AL2157" s="29" t="s">
        <v>3114</v>
      </c>
    </row>
    <row r="2158" spans="15:38">
      <c r="O2158" t="s">
        <v>24</v>
      </c>
      <c r="P2158" t="s">
        <v>43</v>
      </c>
      <c r="Q2158" t="s">
        <v>22</v>
      </c>
      <c r="R2158" t="s">
        <v>64</v>
      </c>
      <c r="S2158">
        <v>2024.44</v>
      </c>
      <c r="T2158">
        <v>117054.95</v>
      </c>
      <c r="U2158">
        <v>116469.9541</v>
      </c>
      <c r="V2158">
        <v>116469.9541</v>
      </c>
      <c r="AA2158" s="29" t="s">
        <v>43</v>
      </c>
      <c r="AB2158">
        <v>31200</v>
      </c>
      <c r="AC2158">
        <v>160</v>
      </c>
      <c r="AD2158">
        <v>4</v>
      </c>
      <c r="AE2158">
        <v>337.2</v>
      </c>
      <c r="AF2158">
        <v>337.2</v>
      </c>
      <c r="AG2158" s="29" t="s">
        <v>3113</v>
      </c>
      <c r="AH2158" s="29" t="s">
        <v>3380</v>
      </c>
      <c r="AI2158" s="29" t="s">
        <v>3159</v>
      </c>
      <c r="AJ2158" s="29" t="s">
        <v>3381</v>
      </c>
      <c r="AL2158" s="29" t="s">
        <v>3114</v>
      </c>
    </row>
    <row r="2159" spans="15:38">
      <c r="O2159" t="s">
        <v>24</v>
      </c>
      <c r="P2159" t="s">
        <v>43</v>
      </c>
      <c r="Q2159" t="s">
        <v>22</v>
      </c>
      <c r="R2159" t="s">
        <v>64</v>
      </c>
      <c r="S2159">
        <v>2024.45</v>
      </c>
      <c r="T2159">
        <v>117054.94</v>
      </c>
      <c r="U2159">
        <v>116469.9541</v>
      </c>
      <c r="V2159">
        <v>116469.9541</v>
      </c>
      <c r="AA2159" s="29" t="s">
        <v>43</v>
      </c>
      <c r="AB2159">
        <v>31200</v>
      </c>
      <c r="AC2159">
        <v>160</v>
      </c>
      <c r="AD2159">
        <v>4</v>
      </c>
      <c r="AE2159">
        <v>82</v>
      </c>
      <c r="AF2159">
        <v>82</v>
      </c>
      <c r="AG2159" s="29" t="s">
        <v>3113</v>
      </c>
      <c r="AH2159" s="29" t="s">
        <v>3382</v>
      </c>
      <c r="AI2159" s="29" t="s">
        <v>3159</v>
      </c>
      <c r="AJ2159" s="29" t="s">
        <v>3383</v>
      </c>
      <c r="AL2159" s="29" t="s">
        <v>3114</v>
      </c>
    </row>
    <row r="2160" spans="15:38">
      <c r="O2160" t="s">
        <v>24</v>
      </c>
      <c r="P2160" t="s">
        <v>43</v>
      </c>
      <c r="Q2160" t="s">
        <v>22</v>
      </c>
      <c r="R2160" t="s">
        <v>64</v>
      </c>
      <c r="S2160">
        <v>2024.47</v>
      </c>
      <c r="T2160">
        <v>117346.38</v>
      </c>
      <c r="U2160">
        <v>116469.9541</v>
      </c>
      <c r="V2160">
        <v>116469.9541</v>
      </c>
      <c r="AA2160" s="29" t="s">
        <v>43</v>
      </c>
      <c r="AB2160">
        <v>31200</v>
      </c>
      <c r="AC2160">
        <v>160</v>
      </c>
      <c r="AD2160">
        <v>4</v>
      </c>
      <c r="AE2160">
        <v>92.8</v>
      </c>
      <c r="AF2160">
        <v>92.8</v>
      </c>
      <c r="AG2160" s="29" t="s">
        <v>3113</v>
      </c>
      <c r="AH2160" s="29" t="s">
        <v>3384</v>
      </c>
      <c r="AI2160" s="29" t="s">
        <v>3159</v>
      </c>
      <c r="AJ2160" s="29" t="s">
        <v>3385</v>
      </c>
      <c r="AL2160" s="29" t="s">
        <v>3114</v>
      </c>
    </row>
    <row r="2161" spans="15:38">
      <c r="O2161" t="s">
        <v>24</v>
      </c>
      <c r="P2161" t="s">
        <v>43</v>
      </c>
      <c r="Q2161" t="s">
        <v>22</v>
      </c>
      <c r="R2161" t="s">
        <v>64</v>
      </c>
      <c r="S2161">
        <v>2024.48</v>
      </c>
      <c r="T2161">
        <v>118038.55</v>
      </c>
      <c r="U2161">
        <v>116469.9541</v>
      </c>
      <c r="V2161">
        <v>126469.9541</v>
      </c>
      <c r="AA2161" s="29" t="s">
        <v>43</v>
      </c>
      <c r="AB2161">
        <v>31200</v>
      </c>
      <c r="AC2161">
        <v>160</v>
      </c>
      <c r="AD2161">
        <v>4</v>
      </c>
      <c r="AE2161">
        <v>358.16</v>
      </c>
      <c r="AF2161">
        <v>358.16</v>
      </c>
      <c r="AG2161" s="29" t="s">
        <v>3113</v>
      </c>
      <c r="AH2161" s="29" t="s">
        <v>3386</v>
      </c>
      <c r="AI2161" s="29" t="s">
        <v>3159</v>
      </c>
      <c r="AJ2161" s="29" t="s">
        <v>3387</v>
      </c>
      <c r="AL2161" s="29" t="s">
        <v>3114</v>
      </c>
    </row>
    <row r="2162" spans="15:38">
      <c r="O2162" t="s">
        <v>24</v>
      </c>
      <c r="P2162" t="s">
        <v>43</v>
      </c>
      <c r="Q2162" t="s">
        <v>22</v>
      </c>
      <c r="R2162" t="s">
        <v>64</v>
      </c>
      <c r="S2162">
        <v>2024.49</v>
      </c>
      <c r="T2162">
        <v>118985.73</v>
      </c>
      <c r="U2162">
        <v>116469.9541</v>
      </c>
      <c r="V2162">
        <v>126469.9541</v>
      </c>
      <c r="AA2162" s="29" t="s">
        <v>43</v>
      </c>
      <c r="AB2162">
        <v>31200</v>
      </c>
      <c r="AC2162">
        <v>160</v>
      </c>
      <c r="AD2162">
        <v>4</v>
      </c>
      <c r="AE2162">
        <v>269.76</v>
      </c>
      <c r="AF2162">
        <v>269.76</v>
      </c>
      <c r="AG2162" s="29" t="s">
        <v>3113</v>
      </c>
      <c r="AH2162" s="29" t="s">
        <v>3388</v>
      </c>
      <c r="AI2162" s="29" t="s">
        <v>3159</v>
      </c>
      <c r="AJ2162" s="29" t="s">
        <v>3389</v>
      </c>
      <c r="AL2162" s="29" t="s">
        <v>3114</v>
      </c>
    </row>
    <row r="2163" spans="15:38">
      <c r="O2163" t="s">
        <v>24</v>
      </c>
      <c r="P2163" t="s">
        <v>43</v>
      </c>
      <c r="Q2163" t="s">
        <v>22</v>
      </c>
      <c r="R2163" t="s">
        <v>64</v>
      </c>
      <c r="S2163">
        <v>2025.03</v>
      </c>
      <c r="T2163">
        <v>120880.1</v>
      </c>
      <c r="U2163">
        <v>116469.9541</v>
      </c>
      <c r="V2163">
        <v>126469.9541</v>
      </c>
      <c r="AA2163" s="29" t="s">
        <v>43</v>
      </c>
      <c r="AB2163">
        <v>31200</v>
      </c>
      <c r="AC2163">
        <v>160</v>
      </c>
      <c r="AD2163">
        <v>4</v>
      </c>
      <c r="AE2163">
        <v>216.48</v>
      </c>
      <c r="AF2163">
        <v>216.48</v>
      </c>
      <c r="AG2163" s="29" t="s">
        <v>3113</v>
      </c>
      <c r="AH2163" s="29" t="s">
        <v>3390</v>
      </c>
      <c r="AI2163" s="29" t="s">
        <v>3159</v>
      </c>
      <c r="AJ2163" s="29" t="s">
        <v>3391</v>
      </c>
      <c r="AL2163" s="29" t="s">
        <v>3114</v>
      </c>
    </row>
    <row r="2164" spans="15:38">
      <c r="O2164" t="s">
        <v>24</v>
      </c>
      <c r="P2164" t="s">
        <v>43</v>
      </c>
      <c r="Q2164" t="s">
        <v>22</v>
      </c>
      <c r="R2164" t="s">
        <v>64</v>
      </c>
      <c r="S2164">
        <v>2025.08</v>
      </c>
      <c r="T2164">
        <v>122810.89</v>
      </c>
      <c r="U2164">
        <v>116469.9541</v>
      </c>
      <c r="V2164">
        <v>126469.9541</v>
      </c>
      <c r="AA2164" s="29" t="s">
        <v>43</v>
      </c>
      <c r="AB2164">
        <v>31200</v>
      </c>
      <c r="AC2164">
        <v>160</v>
      </c>
      <c r="AD2164">
        <v>4</v>
      </c>
      <c r="AE2164">
        <v>216.48</v>
      </c>
      <c r="AF2164">
        <v>216.48</v>
      </c>
      <c r="AG2164" s="29" t="s">
        <v>3113</v>
      </c>
      <c r="AH2164" s="29" t="s">
        <v>3390</v>
      </c>
      <c r="AI2164" s="29" t="s">
        <v>3159</v>
      </c>
      <c r="AJ2164" s="29" t="s">
        <v>3391</v>
      </c>
      <c r="AL2164" s="29" t="s">
        <v>3114</v>
      </c>
    </row>
    <row r="2165" spans="15:38">
      <c r="O2165" t="s">
        <v>24</v>
      </c>
      <c r="P2165" t="s">
        <v>43</v>
      </c>
      <c r="Q2165" t="s">
        <v>22</v>
      </c>
      <c r="R2165" t="s">
        <v>64</v>
      </c>
      <c r="S2165">
        <v>2025.1</v>
      </c>
      <c r="T2165">
        <v>122810.89</v>
      </c>
      <c r="U2165">
        <v>116469.9541</v>
      </c>
      <c r="V2165">
        <v>126469.9541</v>
      </c>
      <c r="AA2165" s="29" t="s">
        <v>43</v>
      </c>
      <c r="AB2165">
        <v>31200</v>
      </c>
      <c r="AC2165">
        <v>160</v>
      </c>
      <c r="AD2165">
        <v>4</v>
      </c>
      <c r="AE2165">
        <v>42.84</v>
      </c>
      <c r="AF2165">
        <v>42.84</v>
      </c>
      <c r="AG2165" s="29" t="s">
        <v>3113</v>
      </c>
      <c r="AH2165" s="29" t="s">
        <v>3392</v>
      </c>
      <c r="AI2165" s="29" t="s">
        <v>3159</v>
      </c>
      <c r="AJ2165" s="29" t="s">
        <v>3393</v>
      </c>
      <c r="AL2165" s="29" t="s">
        <v>3114</v>
      </c>
    </row>
    <row r="2166" spans="15:38">
      <c r="O2166" t="s">
        <v>24</v>
      </c>
      <c r="P2166" t="s">
        <v>43</v>
      </c>
      <c r="Q2166" t="s">
        <v>22</v>
      </c>
      <c r="R2166" t="s">
        <v>64</v>
      </c>
      <c r="S2166">
        <v>2025.11</v>
      </c>
      <c r="T2166">
        <v>122810.89</v>
      </c>
      <c r="U2166">
        <v>116469.9541</v>
      </c>
      <c r="V2166">
        <v>126469.9541</v>
      </c>
      <c r="AA2166" s="29" t="s">
        <v>43</v>
      </c>
      <c r="AB2166">
        <v>31200</v>
      </c>
      <c r="AC2166">
        <v>160</v>
      </c>
      <c r="AD2166">
        <v>4</v>
      </c>
      <c r="AE2166">
        <v>281</v>
      </c>
      <c r="AF2166">
        <v>281</v>
      </c>
      <c r="AG2166" s="29" t="s">
        <v>3113</v>
      </c>
      <c r="AH2166" s="29" t="s">
        <v>3394</v>
      </c>
      <c r="AI2166" s="29" t="s">
        <v>3159</v>
      </c>
      <c r="AJ2166" s="29" t="s">
        <v>3395</v>
      </c>
      <c r="AL2166" s="29" t="s">
        <v>3114</v>
      </c>
    </row>
    <row r="2167" spans="15:38">
      <c r="O2167" t="s">
        <v>24</v>
      </c>
      <c r="P2167" t="s">
        <v>43</v>
      </c>
      <c r="Q2167" t="s">
        <v>22</v>
      </c>
      <c r="R2167" t="s">
        <v>64</v>
      </c>
      <c r="S2167">
        <v>2025.12</v>
      </c>
      <c r="T2167">
        <v>122989.29</v>
      </c>
      <c r="U2167">
        <v>116469.9541</v>
      </c>
      <c r="V2167">
        <v>126469.9541</v>
      </c>
      <c r="AA2167" s="29" t="s">
        <v>43</v>
      </c>
      <c r="AB2167">
        <v>31200</v>
      </c>
      <c r="AC2167">
        <v>160</v>
      </c>
      <c r="AD2167">
        <v>4</v>
      </c>
      <c r="AE2167">
        <v>880.92</v>
      </c>
      <c r="AF2167">
        <v>880.92</v>
      </c>
      <c r="AG2167" s="29" t="s">
        <v>3113</v>
      </c>
      <c r="AH2167" s="29" t="s">
        <v>3396</v>
      </c>
      <c r="AI2167" s="29" t="s">
        <v>3159</v>
      </c>
      <c r="AJ2167" s="29" t="s">
        <v>3397</v>
      </c>
      <c r="AL2167" s="29" t="s">
        <v>3114</v>
      </c>
    </row>
    <row r="2168" spans="15:38">
      <c r="O2168" t="s">
        <v>24</v>
      </c>
      <c r="P2168" t="s">
        <v>43</v>
      </c>
      <c r="Q2168" t="s">
        <v>22</v>
      </c>
      <c r="R2168" t="s">
        <v>65</v>
      </c>
      <c r="S2168">
        <v>2023.47</v>
      </c>
      <c r="T2168">
        <v>0</v>
      </c>
      <c r="U2168">
        <v>239438.81</v>
      </c>
      <c r="V2168">
        <v>239438.81</v>
      </c>
      <c r="AA2168" s="29" t="s">
        <v>43</v>
      </c>
      <c r="AB2168">
        <v>31200</v>
      </c>
      <c r="AC2168">
        <v>160</v>
      </c>
      <c r="AD2168">
        <v>4</v>
      </c>
      <c r="AE2168">
        <v>1344</v>
      </c>
      <c r="AF2168">
        <v>1344</v>
      </c>
      <c r="AG2168" s="29" t="s">
        <v>3113</v>
      </c>
      <c r="AH2168" s="29" t="s">
        <v>3398</v>
      </c>
      <c r="AI2168" s="29" t="s">
        <v>3159</v>
      </c>
      <c r="AJ2168" s="29" t="s">
        <v>3399</v>
      </c>
      <c r="AL2168" s="29" t="s">
        <v>3114</v>
      </c>
    </row>
    <row r="2169" spans="15:38">
      <c r="O2169" t="s">
        <v>24</v>
      </c>
      <c r="P2169" t="s">
        <v>43</v>
      </c>
      <c r="Q2169" t="s">
        <v>22</v>
      </c>
      <c r="R2169" t="s">
        <v>65</v>
      </c>
      <c r="S2169">
        <v>2023.51</v>
      </c>
      <c r="T2169">
        <v>97893.83</v>
      </c>
      <c r="U2169">
        <v>239438.81</v>
      </c>
      <c r="V2169">
        <v>239438.81</v>
      </c>
      <c r="AA2169" s="29" t="s">
        <v>43</v>
      </c>
      <c r="AB2169">
        <v>31200</v>
      </c>
      <c r="AC2169">
        <v>160</v>
      </c>
      <c r="AD2169">
        <v>4</v>
      </c>
      <c r="AE2169">
        <v>446.24</v>
      </c>
      <c r="AF2169">
        <v>446.24</v>
      </c>
      <c r="AG2169" s="29" t="s">
        <v>3113</v>
      </c>
      <c r="AH2169" s="29" t="s">
        <v>3400</v>
      </c>
      <c r="AI2169" s="29" t="s">
        <v>3159</v>
      </c>
      <c r="AJ2169" s="29" t="s">
        <v>3401</v>
      </c>
      <c r="AL2169" s="29" t="s">
        <v>3114</v>
      </c>
    </row>
    <row r="2170" spans="15:38">
      <c r="O2170" t="s">
        <v>24</v>
      </c>
      <c r="P2170" t="s">
        <v>43</v>
      </c>
      <c r="Q2170" t="s">
        <v>22</v>
      </c>
      <c r="R2170" t="s">
        <v>65</v>
      </c>
      <c r="S2170">
        <v>2024.05</v>
      </c>
      <c r="T2170">
        <v>91452.91</v>
      </c>
      <c r="U2170">
        <v>239438.81</v>
      </c>
      <c r="V2170">
        <v>239438.81</v>
      </c>
      <c r="AA2170" s="29" t="s">
        <v>43</v>
      </c>
      <c r="AB2170">
        <v>31200</v>
      </c>
      <c r="AC2170">
        <v>160</v>
      </c>
      <c r="AD2170">
        <v>4</v>
      </c>
      <c r="AE2170">
        <v>21.4</v>
      </c>
      <c r="AF2170">
        <v>21.4</v>
      </c>
      <c r="AG2170" s="29" t="s">
        <v>3113</v>
      </c>
      <c r="AH2170" s="29" t="s">
        <v>3402</v>
      </c>
      <c r="AI2170" s="29" t="s">
        <v>3159</v>
      </c>
      <c r="AJ2170" s="29" t="s">
        <v>3403</v>
      </c>
      <c r="AL2170" s="29" t="s">
        <v>3114</v>
      </c>
    </row>
    <row r="2171" spans="15:38">
      <c r="O2171" t="s">
        <v>24</v>
      </c>
      <c r="P2171" t="s">
        <v>43</v>
      </c>
      <c r="Q2171" t="s">
        <v>22</v>
      </c>
      <c r="R2171" t="s">
        <v>65</v>
      </c>
      <c r="S2171">
        <v>2024.06</v>
      </c>
      <c r="T2171">
        <v>91571.91</v>
      </c>
      <c r="U2171">
        <v>239438.81</v>
      </c>
      <c r="V2171">
        <v>239438.81</v>
      </c>
      <c r="AA2171" s="29" t="s">
        <v>43</v>
      </c>
      <c r="AB2171">
        <v>31200</v>
      </c>
      <c r="AC2171">
        <v>160</v>
      </c>
      <c r="AD2171">
        <v>4</v>
      </c>
      <c r="AE2171">
        <v>128.4</v>
      </c>
      <c r="AF2171">
        <v>128.4</v>
      </c>
      <c r="AG2171" s="29" t="s">
        <v>3113</v>
      </c>
      <c r="AH2171" s="29" t="s">
        <v>3404</v>
      </c>
      <c r="AI2171" s="29" t="s">
        <v>3159</v>
      </c>
      <c r="AJ2171" s="29" t="s">
        <v>3405</v>
      </c>
      <c r="AL2171" s="29" t="s">
        <v>3114</v>
      </c>
    </row>
    <row r="2172" spans="15:38">
      <c r="O2172" t="s">
        <v>24</v>
      </c>
      <c r="P2172" t="s">
        <v>43</v>
      </c>
      <c r="Q2172" t="s">
        <v>22</v>
      </c>
      <c r="R2172" t="s">
        <v>65</v>
      </c>
      <c r="S2172">
        <v>2024.07</v>
      </c>
      <c r="T2172">
        <v>94029.9</v>
      </c>
      <c r="U2172">
        <v>239438.81</v>
      </c>
      <c r="V2172">
        <v>239438.81</v>
      </c>
      <c r="AA2172" s="29" t="s">
        <v>43</v>
      </c>
      <c r="AB2172">
        <v>31200</v>
      </c>
      <c r="AC2172">
        <v>160</v>
      </c>
      <c r="AD2172">
        <v>4</v>
      </c>
      <c r="AE2172">
        <v>21.4</v>
      </c>
      <c r="AF2172">
        <v>21.4</v>
      </c>
      <c r="AG2172" s="29" t="s">
        <v>3113</v>
      </c>
      <c r="AH2172" s="29" t="s">
        <v>3402</v>
      </c>
      <c r="AI2172" s="29" t="s">
        <v>3159</v>
      </c>
      <c r="AJ2172" s="29" t="s">
        <v>3403</v>
      </c>
      <c r="AL2172" s="29" t="s">
        <v>3114</v>
      </c>
    </row>
    <row r="2173" spans="15:38">
      <c r="O2173" t="s">
        <v>24</v>
      </c>
      <c r="P2173" t="s">
        <v>43</v>
      </c>
      <c r="Q2173" t="s">
        <v>22</v>
      </c>
      <c r="R2173" t="s">
        <v>65</v>
      </c>
      <c r="S2173">
        <v>2024.08</v>
      </c>
      <c r="T2173">
        <v>94574.26</v>
      </c>
      <c r="U2173">
        <v>239438.81</v>
      </c>
      <c r="V2173">
        <v>239438.81</v>
      </c>
      <c r="AA2173" s="29" t="s">
        <v>43</v>
      </c>
      <c r="AB2173">
        <v>31200</v>
      </c>
      <c r="AC2173">
        <v>160</v>
      </c>
      <c r="AD2173">
        <v>4</v>
      </c>
      <c r="AE2173">
        <v>53.5</v>
      </c>
      <c r="AF2173">
        <v>53.5</v>
      </c>
      <c r="AG2173" s="29" t="s">
        <v>3113</v>
      </c>
      <c r="AH2173" s="29" t="s">
        <v>3254</v>
      </c>
      <c r="AI2173" s="29" t="s">
        <v>3159</v>
      </c>
      <c r="AJ2173" s="29" t="s">
        <v>3406</v>
      </c>
      <c r="AL2173" s="29" t="s">
        <v>3114</v>
      </c>
    </row>
    <row r="2174" spans="15:38">
      <c r="O2174" t="s">
        <v>24</v>
      </c>
      <c r="P2174" t="s">
        <v>43</v>
      </c>
      <c r="Q2174" t="s">
        <v>22</v>
      </c>
      <c r="R2174" t="s">
        <v>65</v>
      </c>
      <c r="S2174">
        <v>2024.09</v>
      </c>
      <c r="T2174">
        <v>97893.83</v>
      </c>
      <c r="U2174">
        <v>239438.81</v>
      </c>
      <c r="V2174">
        <v>239438.81</v>
      </c>
      <c r="AA2174" s="29" t="s">
        <v>43</v>
      </c>
      <c r="AB2174">
        <v>31200</v>
      </c>
      <c r="AC2174">
        <v>160</v>
      </c>
      <c r="AD2174">
        <v>4</v>
      </c>
      <c r="AE2174">
        <v>53.5</v>
      </c>
      <c r="AF2174">
        <v>53.5</v>
      </c>
      <c r="AG2174" s="29" t="s">
        <v>3113</v>
      </c>
      <c r="AH2174" s="29" t="s">
        <v>3254</v>
      </c>
      <c r="AI2174" s="29" t="s">
        <v>3159</v>
      </c>
      <c r="AJ2174" s="29" t="s">
        <v>3407</v>
      </c>
      <c r="AL2174" s="29" t="s">
        <v>3114</v>
      </c>
    </row>
    <row r="2175" spans="15:38">
      <c r="O2175" t="s">
        <v>24</v>
      </c>
      <c r="P2175" t="s">
        <v>43</v>
      </c>
      <c r="Q2175" t="s">
        <v>22</v>
      </c>
      <c r="R2175" t="s">
        <v>65</v>
      </c>
      <c r="S2175">
        <v>2024.1</v>
      </c>
      <c r="T2175">
        <v>97914.08</v>
      </c>
      <c r="U2175">
        <v>239438.81</v>
      </c>
      <c r="V2175">
        <v>239438.81</v>
      </c>
      <c r="AA2175" s="29" t="s">
        <v>43</v>
      </c>
      <c r="AB2175">
        <v>31200</v>
      </c>
      <c r="AC2175">
        <v>160</v>
      </c>
      <c r="AD2175">
        <v>4</v>
      </c>
      <c r="AE2175">
        <v>720.2</v>
      </c>
      <c r="AF2175">
        <v>720.2</v>
      </c>
      <c r="AG2175" s="29" t="s">
        <v>3113</v>
      </c>
      <c r="AH2175" s="29" t="s">
        <v>3408</v>
      </c>
      <c r="AI2175" s="29" t="s">
        <v>3159</v>
      </c>
      <c r="AJ2175" s="29" t="s">
        <v>3409</v>
      </c>
      <c r="AL2175" s="29" t="s">
        <v>3114</v>
      </c>
    </row>
    <row r="2176" spans="15:38">
      <c r="O2176" t="s">
        <v>24</v>
      </c>
      <c r="P2176" t="s">
        <v>43</v>
      </c>
      <c r="Q2176" t="s">
        <v>22</v>
      </c>
      <c r="R2176" t="s">
        <v>65</v>
      </c>
      <c r="S2176">
        <v>2024.11</v>
      </c>
      <c r="T2176">
        <v>98213.9</v>
      </c>
      <c r="U2176">
        <v>239438.81</v>
      </c>
      <c r="V2176">
        <v>239438.81</v>
      </c>
      <c r="AA2176" s="29" t="s">
        <v>43</v>
      </c>
      <c r="AB2176">
        <v>31200</v>
      </c>
      <c r="AC2176">
        <v>160</v>
      </c>
      <c r="AD2176">
        <v>4</v>
      </c>
      <c r="AE2176">
        <v>166.2</v>
      </c>
      <c r="AF2176">
        <v>166.2</v>
      </c>
      <c r="AG2176" s="29" t="s">
        <v>3113</v>
      </c>
      <c r="AH2176" s="29" t="s">
        <v>3410</v>
      </c>
      <c r="AI2176" s="29" t="s">
        <v>3159</v>
      </c>
      <c r="AJ2176" s="29" t="s">
        <v>3411</v>
      </c>
      <c r="AL2176" s="29" t="s">
        <v>3114</v>
      </c>
    </row>
    <row r="2177" spans="15:38">
      <c r="O2177" t="s">
        <v>24</v>
      </c>
      <c r="P2177" t="s">
        <v>43</v>
      </c>
      <c r="Q2177" t="s">
        <v>22</v>
      </c>
      <c r="R2177" t="s">
        <v>65</v>
      </c>
      <c r="S2177">
        <v>2024.12</v>
      </c>
      <c r="T2177">
        <v>98519.679999999993</v>
      </c>
      <c r="U2177">
        <v>239438.81</v>
      </c>
      <c r="V2177">
        <v>239438.81</v>
      </c>
      <c r="AA2177" s="29" t="s">
        <v>43</v>
      </c>
      <c r="AB2177">
        <v>31200</v>
      </c>
      <c r="AC2177">
        <v>160</v>
      </c>
      <c r="AD2177">
        <v>4</v>
      </c>
      <c r="AE2177">
        <v>166.2</v>
      </c>
      <c r="AF2177">
        <v>166.2</v>
      </c>
      <c r="AG2177" s="29" t="s">
        <v>3113</v>
      </c>
      <c r="AH2177" s="29" t="s">
        <v>3410</v>
      </c>
      <c r="AI2177" s="29" t="s">
        <v>3159</v>
      </c>
      <c r="AJ2177" s="29" t="s">
        <v>3411</v>
      </c>
      <c r="AL2177" s="29" t="s">
        <v>3114</v>
      </c>
    </row>
    <row r="2178" spans="15:38">
      <c r="O2178" t="s">
        <v>24</v>
      </c>
      <c r="P2178" t="s">
        <v>43</v>
      </c>
      <c r="Q2178" t="s">
        <v>22</v>
      </c>
      <c r="R2178" t="s">
        <v>65</v>
      </c>
      <c r="S2178">
        <v>2024.14</v>
      </c>
      <c r="T2178">
        <v>99931.76</v>
      </c>
      <c r="U2178">
        <v>239438.81</v>
      </c>
      <c r="V2178">
        <v>239438.81</v>
      </c>
      <c r="AA2178" s="29" t="s">
        <v>43</v>
      </c>
      <c r="AB2178">
        <v>31200</v>
      </c>
      <c r="AC2178">
        <v>160</v>
      </c>
      <c r="AD2178">
        <v>4</v>
      </c>
      <c r="AE2178">
        <v>219.16</v>
      </c>
      <c r="AF2178">
        <v>219.16</v>
      </c>
      <c r="AG2178" s="29" t="s">
        <v>3113</v>
      </c>
      <c r="AH2178" s="29" t="s">
        <v>3412</v>
      </c>
      <c r="AI2178" s="29" t="s">
        <v>3159</v>
      </c>
      <c r="AJ2178" s="29" t="s">
        <v>3413</v>
      </c>
      <c r="AL2178" s="29" t="s">
        <v>3114</v>
      </c>
    </row>
    <row r="2179" spans="15:38">
      <c r="O2179" t="s">
        <v>24</v>
      </c>
      <c r="P2179" t="s">
        <v>43</v>
      </c>
      <c r="Q2179" t="s">
        <v>22</v>
      </c>
      <c r="R2179" t="s">
        <v>65</v>
      </c>
      <c r="S2179">
        <v>2024.17</v>
      </c>
      <c r="T2179">
        <v>83340.91</v>
      </c>
      <c r="U2179">
        <v>239438.81</v>
      </c>
      <c r="V2179">
        <v>239438.81</v>
      </c>
      <c r="AA2179" s="29" t="s">
        <v>43</v>
      </c>
      <c r="AB2179">
        <v>31200</v>
      </c>
      <c r="AC2179">
        <v>160</v>
      </c>
      <c r="AD2179">
        <v>4</v>
      </c>
      <c r="AE2179">
        <v>-166.2</v>
      </c>
      <c r="AF2179">
        <v>-166.2</v>
      </c>
      <c r="AG2179" s="29" t="s">
        <v>3113</v>
      </c>
      <c r="AH2179" s="29" t="s">
        <v>3414</v>
      </c>
      <c r="AI2179" s="29" t="s">
        <v>3159</v>
      </c>
      <c r="AJ2179" s="29" t="s">
        <v>3415</v>
      </c>
      <c r="AL2179" s="29" t="s">
        <v>3114</v>
      </c>
    </row>
    <row r="2180" spans="15:38">
      <c r="O2180" t="s">
        <v>24</v>
      </c>
      <c r="P2180" t="s">
        <v>43</v>
      </c>
      <c r="Q2180" t="s">
        <v>22</v>
      </c>
      <c r="R2180" t="s">
        <v>65</v>
      </c>
      <c r="S2180">
        <v>2024.18</v>
      </c>
      <c r="T2180">
        <v>85182.56</v>
      </c>
      <c r="U2180">
        <v>239438.81</v>
      </c>
      <c r="V2180">
        <v>239438.81</v>
      </c>
      <c r="AA2180" s="29" t="s">
        <v>43</v>
      </c>
      <c r="AB2180">
        <v>31200</v>
      </c>
      <c r="AC2180">
        <v>160</v>
      </c>
      <c r="AD2180">
        <v>4</v>
      </c>
      <c r="AE2180">
        <v>73580</v>
      </c>
      <c r="AF2180">
        <v>73580</v>
      </c>
      <c r="AG2180" s="29" t="s">
        <v>3113</v>
      </c>
      <c r="AH2180" s="29" t="s">
        <v>3416</v>
      </c>
      <c r="AI2180" s="29" t="s">
        <v>3159</v>
      </c>
      <c r="AJ2180" s="29" t="s">
        <v>3417</v>
      </c>
      <c r="AL2180" s="29" t="s">
        <v>3114</v>
      </c>
    </row>
    <row r="2181" spans="15:38">
      <c r="O2181" t="s">
        <v>24</v>
      </c>
      <c r="P2181" t="s">
        <v>43</v>
      </c>
      <c r="Q2181" t="s">
        <v>22</v>
      </c>
      <c r="R2181" t="s">
        <v>65</v>
      </c>
      <c r="S2181">
        <v>2024.19</v>
      </c>
      <c r="T2181">
        <v>87770.16</v>
      </c>
      <c r="U2181">
        <v>239438.81</v>
      </c>
      <c r="V2181">
        <v>239438.81</v>
      </c>
      <c r="AA2181" s="29" t="s">
        <v>43</v>
      </c>
      <c r="AB2181">
        <v>31200</v>
      </c>
      <c r="AC2181">
        <v>160</v>
      </c>
      <c r="AD2181">
        <v>4</v>
      </c>
      <c r="AE2181">
        <v>448</v>
      </c>
      <c r="AF2181">
        <v>448</v>
      </c>
      <c r="AG2181" s="29" t="s">
        <v>3113</v>
      </c>
      <c r="AH2181" s="29" t="s">
        <v>3244</v>
      </c>
      <c r="AI2181" s="29" t="s">
        <v>3159</v>
      </c>
      <c r="AJ2181" s="29" t="s">
        <v>3245</v>
      </c>
      <c r="AL2181" s="29" t="s">
        <v>3114</v>
      </c>
    </row>
    <row r="2182" spans="15:38">
      <c r="O2182" t="s">
        <v>24</v>
      </c>
      <c r="P2182" t="s">
        <v>43</v>
      </c>
      <c r="Q2182" t="s">
        <v>22</v>
      </c>
      <c r="R2182" t="s">
        <v>65</v>
      </c>
      <c r="S2182">
        <v>2024.2</v>
      </c>
      <c r="T2182">
        <v>87846.63</v>
      </c>
      <c r="U2182">
        <v>239438.81</v>
      </c>
      <c r="V2182">
        <v>239438.81</v>
      </c>
      <c r="AA2182" s="29" t="s">
        <v>43</v>
      </c>
      <c r="AB2182">
        <v>31200</v>
      </c>
      <c r="AC2182">
        <v>160</v>
      </c>
      <c r="AD2182">
        <v>4</v>
      </c>
      <c r="AE2182">
        <v>3450</v>
      </c>
      <c r="AF2182">
        <v>3450</v>
      </c>
      <c r="AG2182" s="29" t="s">
        <v>3113</v>
      </c>
      <c r="AH2182" s="29" t="s">
        <v>3418</v>
      </c>
      <c r="AI2182" s="29" t="s">
        <v>3159</v>
      </c>
      <c r="AJ2182" s="29" t="s">
        <v>3419</v>
      </c>
      <c r="AL2182" s="29" t="s">
        <v>3114</v>
      </c>
    </row>
    <row r="2183" spans="15:38">
      <c r="O2183" t="s">
        <v>24</v>
      </c>
      <c r="P2183" t="s">
        <v>43</v>
      </c>
      <c r="Q2183" t="s">
        <v>22</v>
      </c>
      <c r="R2183" t="s">
        <v>65</v>
      </c>
      <c r="S2183">
        <v>2024.21</v>
      </c>
      <c r="T2183">
        <v>72812.63</v>
      </c>
      <c r="U2183">
        <v>239438.81</v>
      </c>
      <c r="V2183">
        <v>239438.81</v>
      </c>
      <c r="AA2183" s="29" t="s">
        <v>43</v>
      </c>
      <c r="AB2183">
        <v>31200</v>
      </c>
      <c r="AC2183">
        <v>160</v>
      </c>
      <c r="AD2183">
        <v>4</v>
      </c>
      <c r="AE2183">
        <v>53.5</v>
      </c>
      <c r="AF2183">
        <v>53.5</v>
      </c>
      <c r="AG2183" s="29" t="s">
        <v>3113</v>
      </c>
      <c r="AH2183" s="29" t="s">
        <v>3254</v>
      </c>
      <c r="AI2183" s="29" t="s">
        <v>3159</v>
      </c>
      <c r="AJ2183" s="29" t="s">
        <v>3304</v>
      </c>
      <c r="AL2183" s="29" t="s">
        <v>3114</v>
      </c>
    </row>
    <row r="2184" spans="15:38">
      <c r="O2184" t="s">
        <v>24</v>
      </c>
      <c r="P2184" t="s">
        <v>43</v>
      </c>
      <c r="Q2184" t="s">
        <v>22</v>
      </c>
      <c r="R2184" t="s">
        <v>65</v>
      </c>
      <c r="S2184">
        <v>2024.28</v>
      </c>
      <c r="T2184">
        <v>77417.8</v>
      </c>
      <c r="U2184">
        <v>239438.81</v>
      </c>
      <c r="V2184">
        <v>239438.81</v>
      </c>
      <c r="AA2184" s="29" t="s">
        <v>43</v>
      </c>
      <c r="AB2184">
        <v>31200</v>
      </c>
      <c r="AC2184">
        <v>160</v>
      </c>
      <c r="AD2184">
        <v>4</v>
      </c>
      <c r="AE2184">
        <v>53.5</v>
      </c>
      <c r="AF2184">
        <v>53.5</v>
      </c>
      <c r="AG2184" s="29" t="s">
        <v>3113</v>
      </c>
      <c r="AH2184" s="29" t="s">
        <v>3254</v>
      </c>
      <c r="AI2184" s="29" t="s">
        <v>3159</v>
      </c>
      <c r="AJ2184" s="29" t="s">
        <v>3305</v>
      </c>
      <c r="AL2184" s="29" t="s">
        <v>3114</v>
      </c>
    </row>
    <row r="2185" spans="15:38">
      <c r="O2185" t="s">
        <v>24</v>
      </c>
      <c r="P2185" t="s">
        <v>43</v>
      </c>
      <c r="Q2185" t="s">
        <v>22</v>
      </c>
      <c r="R2185" t="s">
        <v>65</v>
      </c>
      <c r="S2185">
        <v>2024.38</v>
      </c>
      <c r="T2185">
        <v>77459.100000000006</v>
      </c>
      <c r="U2185">
        <v>239438.81</v>
      </c>
      <c r="V2185">
        <v>239438.81</v>
      </c>
      <c r="AA2185" s="29" t="s">
        <v>43</v>
      </c>
      <c r="AB2185">
        <v>31200</v>
      </c>
      <c r="AC2185">
        <v>160</v>
      </c>
      <c r="AD2185">
        <v>4</v>
      </c>
      <c r="AE2185">
        <v>4263</v>
      </c>
      <c r="AF2185">
        <v>4263</v>
      </c>
      <c r="AG2185" s="29" t="s">
        <v>3113</v>
      </c>
      <c r="AH2185" s="29" t="s">
        <v>3420</v>
      </c>
      <c r="AI2185" s="29" t="s">
        <v>3159</v>
      </c>
      <c r="AJ2185" s="29" t="s">
        <v>3421</v>
      </c>
      <c r="AL2185" s="29" t="s">
        <v>3114</v>
      </c>
    </row>
    <row r="2186" spans="15:38">
      <c r="O2186" t="s">
        <v>24</v>
      </c>
      <c r="P2186" t="s">
        <v>43</v>
      </c>
      <c r="Q2186" t="s">
        <v>22</v>
      </c>
      <c r="R2186" t="s">
        <v>65</v>
      </c>
      <c r="S2186">
        <v>2024.39</v>
      </c>
      <c r="T2186">
        <v>71759.100000000006</v>
      </c>
      <c r="U2186">
        <v>239438.81</v>
      </c>
      <c r="V2186">
        <v>239438.81</v>
      </c>
      <c r="AA2186" s="29" t="s">
        <v>43</v>
      </c>
      <c r="AB2186">
        <v>31200</v>
      </c>
      <c r="AC2186">
        <v>160</v>
      </c>
      <c r="AD2186">
        <v>4</v>
      </c>
      <c r="AE2186">
        <v>63.12</v>
      </c>
      <c r="AF2186">
        <v>63.12</v>
      </c>
      <c r="AG2186" s="29" t="s">
        <v>3113</v>
      </c>
      <c r="AH2186" s="29" t="s">
        <v>3330</v>
      </c>
      <c r="AI2186" s="29" t="s">
        <v>3159</v>
      </c>
      <c r="AJ2186" s="29" t="s">
        <v>2143</v>
      </c>
      <c r="AL2186" s="29" t="s">
        <v>3114</v>
      </c>
    </row>
    <row r="2187" spans="15:38">
      <c r="O2187" t="s">
        <v>24</v>
      </c>
      <c r="P2187" t="s">
        <v>43</v>
      </c>
      <c r="Q2187" t="s">
        <v>22</v>
      </c>
      <c r="R2187" t="s">
        <v>65</v>
      </c>
      <c r="S2187">
        <v>2024.41</v>
      </c>
      <c r="T2187">
        <v>72159.02</v>
      </c>
      <c r="U2187">
        <v>239438.81</v>
      </c>
      <c r="V2187">
        <v>239438.81</v>
      </c>
      <c r="AA2187" s="29" t="s">
        <v>43</v>
      </c>
      <c r="AB2187">
        <v>31200</v>
      </c>
      <c r="AC2187">
        <v>160</v>
      </c>
      <c r="AD2187">
        <v>4</v>
      </c>
      <c r="AE2187">
        <v>82.86</v>
      </c>
      <c r="AF2187">
        <v>82.86</v>
      </c>
      <c r="AG2187" s="29" t="s">
        <v>3113</v>
      </c>
      <c r="AH2187" s="29" t="s">
        <v>3422</v>
      </c>
      <c r="AI2187" s="29" t="s">
        <v>3159</v>
      </c>
      <c r="AJ2187" s="29" t="s">
        <v>3423</v>
      </c>
      <c r="AL2187" s="29" t="s">
        <v>3114</v>
      </c>
    </row>
    <row r="2188" spans="15:38">
      <c r="O2188" t="s">
        <v>24</v>
      </c>
      <c r="P2188" t="s">
        <v>43</v>
      </c>
      <c r="Q2188" t="s">
        <v>22</v>
      </c>
      <c r="R2188" t="s">
        <v>65</v>
      </c>
      <c r="S2188">
        <v>2024.43</v>
      </c>
      <c r="T2188">
        <v>73490.75</v>
      </c>
      <c r="U2188">
        <v>239438.81</v>
      </c>
      <c r="V2188">
        <v>239438.81</v>
      </c>
      <c r="AA2188" s="29" t="s">
        <v>43</v>
      </c>
      <c r="AB2188">
        <v>31200</v>
      </c>
      <c r="AC2188">
        <v>160</v>
      </c>
      <c r="AD2188">
        <v>4</v>
      </c>
      <c r="AE2188">
        <v>80.25</v>
      </c>
      <c r="AF2188">
        <v>80.25</v>
      </c>
      <c r="AG2188" s="29" t="s">
        <v>3113</v>
      </c>
      <c r="AH2188" s="29" t="s">
        <v>3424</v>
      </c>
      <c r="AI2188" s="29" t="s">
        <v>3159</v>
      </c>
      <c r="AJ2188" s="29" t="s">
        <v>3425</v>
      </c>
      <c r="AL2188" s="29" t="s">
        <v>3114</v>
      </c>
    </row>
    <row r="2189" spans="15:38">
      <c r="O2189" t="s">
        <v>24</v>
      </c>
      <c r="P2189" t="s">
        <v>43</v>
      </c>
      <c r="Q2189" t="s">
        <v>22</v>
      </c>
      <c r="R2189" t="s">
        <v>65</v>
      </c>
      <c r="S2189">
        <v>2024.44</v>
      </c>
      <c r="T2189">
        <v>77471.25</v>
      </c>
      <c r="U2189">
        <v>244708.51</v>
      </c>
      <c r="V2189">
        <v>244708.51</v>
      </c>
      <c r="AA2189" s="29" t="s">
        <v>43</v>
      </c>
      <c r="AB2189">
        <v>31200</v>
      </c>
      <c r="AC2189">
        <v>160</v>
      </c>
      <c r="AD2189">
        <v>4</v>
      </c>
      <c r="AE2189">
        <v>4.82</v>
      </c>
      <c r="AF2189">
        <v>4.82</v>
      </c>
      <c r="AG2189" s="29" t="s">
        <v>3113</v>
      </c>
      <c r="AH2189" s="29" t="s">
        <v>3426</v>
      </c>
      <c r="AI2189" s="29" t="s">
        <v>3159</v>
      </c>
      <c r="AJ2189" s="29" t="s">
        <v>3427</v>
      </c>
      <c r="AL2189" s="29" t="s">
        <v>3114</v>
      </c>
    </row>
    <row r="2190" spans="15:38">
      <c r="O2190" t="s">
        <v>24</v>
      </c>
      <c r="P2190" t="s">
        <v>43</v>
      </c>
      <c r="Q2190" t="s">
        <v>22</v>
      </c>
      <c r="R2190" t="s">
        <v>65</v>
      </c>
      <c r="S2190">
        <v>2024.45</v>
      </c>
      <c r="T2190">
        <v>77621.23</v>
      </c>
      <c r="U2190">
        <v>244708.51</v>
      </c>
      <c r="V2190">
        <v>244708.51</v>
      </c>
      <c r="AA2190" s="29" t="s">
        <v>43</v>
      </c>
      <c r="AB2190">
        <v>31200</v>
      </c>
      <c r="AC2190">
        <v>160</v>
      </c>
      <c r="AD2190">
        <v>4</v>
      </c>
      <c r="AE2190">
        <v>446.19</v>
      </c>
      <c r="AF2190">
        <v>446.19</v>
      </c>
      <c r="AG2190" s="29" t="s">
        <v>3113</v>
      </c>
      <c r="AH2190" s="29" t="s">
        <v>3428</v>
      </c>
      <c r="AI2190" s="29" t="s">
        <v>3159</v>
      </c>
      <c r="AJ2190" s="29" t="s">
        <v>3429</v>
      </c>
      <c r="AL2190" s="29" t="s">
        <v>3114</v>
      </c>
    </row>
    <row r="2191" spans="15:38">
      <c r="O2191" t="s">
        <v>24</v>
      </c>
      <c r="P2191" t="s">
        <v>43</v>
      </c>
      <c r="Q2191" t="s">
        <v>22</v>
      </c>
      <c r="R2191" t="s">
        <v>65</v>
      </c>
      <c r="S2191">
        <v>2024.47</v>
      </c>
      <c r="T2191">
        <v>80179.12</v>
      </c>
      <c r="U2191">
        <v>244708.51</v>
      </c>
      <c r="V2191">
        <v>244708.51</v>
      </c>
      <c r="AA2191" s="29" t="s">
        <v>43</v>
      </c>
      <c r="AB2191">
        <v>31200</v>
      </c>
      <c r="AC2191">
        <v>160</v>
      </c>
      <c r="AD2191">
        <v>4</v>
      </c>
      <c r="AE2191">
        <v>58.22</v>
      </c>
      <c r="AF2191">
        <v>58.22</v>
      </c>
      <c r="AG2191" s="29" t="s">
        <v>3113</v>
      </c>
      <c r="AH2191" s="29" t="s">
        <v>3341</v>
      </c>
      <c r="AI2191" s="29" t="s">
        <v>3159</v>
      </c>
      <c r="AJ2191" s="29" t="s">
        <v>2093</v>
      </c>
      <c r="AL2191" s="29" t="s">
        <v>3114</v>
      </c>
    </row>
    <row r="2192" spans="15:38">
      <c r="O2192" t="s">
        <v>24</v>
      </c>
      <c r="P2192" t="s">
        <v>43</v>
      </c>
      <c r="Q2192" t="s">
        <v>22</v>
      </c>
      <c r="R2192" t="s">
        <v>65</v>
      </c>
      <c r="S2192">
        <v>2024.48</v>
      </c>
      <c r="T2192">
        <v>83324.19</v>
      </c>
      <c r="U2192">
        <v>244708.51</v>
      </c>
      <c r="V2192">
        <v>109558.51</v>
      </c>
      <c r="AA2192" s="29" t="s">
        <v>43</v>
      </c>
      <c r="AB2192">
        <v>31200</v>
      </c>
      <c r="AC2192">
        <v>160</v>
      </c>
      <c r="AD2192">
        <v>4</v>
      </c>
      <c r="AE2192">
        <v>116.44</v>
      </c>
      <c r="AF2192">
        <v>116.44</v>
      </c>
      <c r="AG2192" s="29" t="s">
        <v>3113</v>
      </c>
      <c r="AH2192" s="29" t="s">
        <v>3307</v>
      </c>
      <c r="AI2192" s="29" t="s">
        <v>3159</v>
      </c>
      <c r="AJ2192" s="29" t="s">
        <v>2070</v>
      </c>
      <c r="AL2192" s="29" t="s">
        <v>3114</v>
      </c>
    </row>
    <row r="2193" spans="15:38">
      <c r="O2193" t="s">
        <v>24</v>
      </c>
      <c r="P2193" t="s">
        <v>43</v>
      </c>
      <c r="Q2193" t="s">
        <v>22</v>
      </c>
      <c r="R2193" t="s">
        <v>65</v>
      </c>
      <c r="S2193">
        <v>2024.49</v>
      </c>
      <c r="T2193">
        <v>97590.69</v>
      </c>
      <c r="U2193">
        <v>244708.51</v>
      </c>
      <c r="V2193">
        <v>109558.51</v>
      </c>
      <c r="AA2193" s="29" t="s">
        <v>43</v>
      </c>
      <c r="AB2193">
        <v>31200</v>
      </c>
      <c r="AC2193">
        <v>160</v>
      </c>
      <c r="AD2193">
        <v>4</v>
      </c>
      <c r="AE2193">
        <v>31.68</v>
      </c>
      <c r="AF2193">
        <v>31.68</v>
      </c>
      <c r="AG2193" s="29" t="s">
        <v>3113</v>
      </c>
      <c r="AH2193" s="29" t="s">
        <v>3430</v>
      </c>
      <c r="AI2193" s="29" t="s">
        <v>3159</v>
      </c>
      <c r="AJ2193" s="29" t="s">
        <v>3431</v>
      </c>
      <c r="AL2193" s="29" t="s">
        <v>3114</v>
      </c>
    </row>
    <row r="2194" spans="15:38">
      <c r="O2194" t="s">
        <v>24</v>
      </c>
      <c r="P2194" t="s">
        <v>43</v>
      </c>
      <c r="Q2194" t="s">
        <v>22</v>
      </c>
      <c r="R2194" t="s">
        <v>65</v>
      </c>
      <c r="S2194">
        <v>2025.03</v>
      </c>
      <c r="T2194">
        <v>100815.92</v>
      </c>
      <c r="U2194">
        <v>244708.51</v>
      </c>
      <c r="V2194">
        <v>109558.51</v>
      </c>
      <c r="AA2194" s="29" t="s">
        <v>43</v>
      </c>
      <c r="AB2194">
        <v>31200</v>
      </c>
      <c r="AC2194">
        <v>160</v>
      </c>
      <c r="AD2194">
        <v>4</v>
      </c>
      <c r="AE2194">
        <v>42</v>
      </c>
      <c r="AF2194">
        <v>42</v>
      </c>
      <c r="AG2194" s="29" t="s">
        <v>3113</v>
      </c>
      <c r="AH2194" s="29" t="s">
        <v>3432</v>
      </c>
      <c r="AI2194" s="29" t="s">
        <v>3159</v>
      </c>
      <c r="AJ2194" s="29" t="s">
        <v>3433</v>
      </c>
      <c r="AL2194" s="29" t="s">
        <v>3114</v>
      </c>
    </row>
    <row r="2195" spans="15:38">
      <c r="O2195" t="s">
        <v>24</v>
      </c>
      <c r="P2195" t="s">
        <v>43</v>
      </c>
      <c r="Q2195" t="s">
        <v>22</v>
      </c>
      <c r="R2195" t="s">
        <v>65</v>
      </c>
      <c r="S2195">
        <v>2025.08</v>
      </c>
      <c r="T2195">
        <v>102554.32</v>
      </c>
      <c r="U2195">
        <v>244708.51</v>
      </c>
      <c r="V2195">
        <v>109558.51</v>
      </c>
      <c r="AA2195" s="29" t="s">
        <v>43</v>
      </c>
      <c r="AB2195">
        <v>31200</v>
      </c>
      <c r="AC2195">
        <v>160</v>
      </c>
      <c r="AD2195">
        <v>4</v>
      </c>
      <c r="AE2195">
        <v>42</v>
      </c>
      <c r="AF2195">
        <v>42</v>
      </c>
      <c r="AG2195" s="29" t="s">
        <v>3113</v>
      </c>
      <c r="AH2195" s="29" t="s">
        <v>3432</v>
      </c>
      <c r="AI2195" s="29" t="s">
        <v>3159</v>
      </c>
      <c r="AJ2195" s="29" t="s">
        <v>3433</v>
      </c>
      <c r="AL2195" s="29" t="s">
        <v>3114</v>
      </c>
    </row>
    <row r="2196" spans="15:38">
      <c r="O2196" t="s">
        <v>24</v>
      </c>
      <c r="P2196" t="s">
        <v>43</v>
      </c>
      <c r="Q2196" t="s">
        <v>22</v>
      </c>
      <c r="R2196" t="s">
        <v>65</v>
      </c>
      <c r="S2196">
        <v>2025.1</v>
      </c>
      <c r="T2196">
        <v>102574.52</v>
      </c>
      <c r="U2196">
        <v>244708.51</v>
      </c>
      <c r="V2196">
        <v>109558.51</v>
      </c>
      <c r="AA2196" s="29" t="s">
        <v>43</v>
      </c>
      <c r="AB2196">
        <v>31200</v>
      </c>
      <c r="AC2196">
        <v>160</v>
      </c>
      <c r="AD2196">
        <v>4</v>
      </c>
      <c r="AE2196">
        <v>53.5</v>
      </c>
      <c r="AF2196">
        <v>53.5</v>
      </c>
      <c r="AG2196" s="29" t="s">
        <v>3113</v>
      </c>
      <c r="AH2196" s="29" t="s">
        <v>3254</v>
      </c>
      <c r="AI2196" s="29" t="s">
        <v>3159</v>
      </c>
      <c r="AJ2196" s="29" t="s">
        <v>2096</v>
      </c>
      <c r="AL2196" s="29" t="s">
        <v>3114</v>
      </c>
    </row>
    <row r="2197" spans="15:38">
      <c r="O2197" t="s">
        <v>24</v>
      </c>
      <c r="P2197" t="s">
        <v>43</v>
      </c>
      <c r="Q2197" t="s">
        <v>22</v>
      </c>
      <c r="R2197" t="s">
        <v>65</v>
      </c>
      <c r="S2197">
        <v>2025.11</v>
      </c>
      <c r="T2197">
        <v>105681.19</v>
      </c>
      <c r="U2197">
        <v>244708.51</v>
      </c>
      <c r="V2197">
        <v>109558.51</v>
      </c>
      <c r="AA2197" s="29" t="s">
        <v>43</v>
      </c>
      <c r="AB2197">
        <v>31200</v>
      </c>
      <c r="AC2197">
        <v>160</v>
      </c>
      <c r="AD2197">
        <v>4</v>
      </c>
      <c r="AE2197">
        <v>53.5</v>
      </c>
      <c r="AF2197">
        <v>53.5</v>
      </c>
      <c r="AG2197" s="29" t="s">
        <v>3113</v>
      </c>
      <c r="AH2197" s="29" t="s">
        <v>3254</v>
      </c>
      <c r="AI2197" s="29" t="s">
        <v>3159</v>
      </c>
      <c r="AJ2197" s="29" t="s">
        <v>2075</v>
      </c>
      <c r="AL2197" s="29" t="s">
        <v>3114</v>
      </c>
    </row>
    <row r="2198" spans="15:38">
      <c r="O2198" t="s">
        <v>24</v>
      </c>
      <c r="P2198" t="s">
        <v>43</v>
      </c>
      <c r="Q2198" t="s">
        <v>22</v>
      </c>
      <c r="R2198" t="s">
        <v>65</v>
      </c>
      <c r="S2198">
        <v>2025.12</v>
      </c>
      <c r="T2198">
        <v>105681.19</v>
      </c>
      <c r="U2198">
        <v>244708.51</v>
      </c>
      <c r="V2198">
        <v>109558.51</v>
      </c>
      <c r="AA2198" s="29" t="s">
        <v>43</v>
      </c>
      <c r="AB2198">
        <v>31200</v>
      </c>
      <c r="AC2198">
        <v>160</v>
      </c>
      <c r="AD2198">
        <v>4</v>
      </c>
      <c r="AE2198">
        <v>1232.6400000000001</v>
      </c>
      <c r="AF2198">
        <v>1232.6400000000001</v>
      </c>
      <c r="AG2198" s="29" t="s">
        <v>3113</v>
      </c>
      <c r="AH2198" s="29" t="s">
        <v>3434</v>
      </c>
      <c r="AI2198" s="29" t="s">
        <v>3159</v>
      </c>
      <c r="AJ2198" s="29" t="s">
        <v>3435</v>
      </c>
      <c r="AL2198" s="29" t="s">
        <v>3114</v>
      </c>
    </row>
    <row r="2199" spans="15:38">
      <c r="O2199" t="s">
        <v>24</v>
      </c>
      <c r="P2199" t="s">
        <v>43</v>
      </c>
      <c r="Q2199" t="s">
        <v>22</v>
      </c>
      <c r="R2199" t="s">
        <v>57</v>
      </c>
      <c r="S2199">
        <v>2023.47</v>
      </c>
      <c r="T2199">
        <v>0</v>
      </c>
      <c r="U2199">
        <v>53099.63</v>
      </c>
      <c r="V2199">
        <v>53099.63</v>
      </c>
      <c r="AA2199" s="29" t="s">
        <v>43</v>
      </c>
      <c r="AB2199">
        <v>31200</v>
      </c>
      <c r="AC2199">
        <v>160</v>
      </c>
      <c r="AD2199">
        <v>4</v>
      </c>
      <c r="AE2199">
        <v>116.44</v>
      </c>
      <c r="AF2199">
        <v>116.44</v>
      </c>
      <c r="AG2199" s="29" t="s">
        <v>3113</v>
      </c>
      <c r="AH2199" s="29" t="s">
        <v>3307</v>
      </c>
      <c r="AI2199" s="29" t="s">
        <v>3159</v>
      </c>
      <c r="AJ2199" s="29" t="s">
        <v>2070</v>
      </c>
      <c r="AL2199" s="29" t="s">
        <v>3114</v>
      </c>
    </row>
    <row r="2200" spans="15:38">
      <c r="O2200" t="s">
        <v>24</v>
      </c>
      <c r="P2200" t="s">
        <v>43</v>
      </c>
      <c r="Q2200" t="s">
        <v>22</v>
      </c>
      <c r="R2200" t="s">
        <v>57</v>
      </c>
      <c r="S2200">
        <v>2023.51</v>
      </c>
      <c r="T2200">
        <v>496.52</v>
      </c>
      <c r="U2200">
        <v>53099.63</v>
      </c>
      <c r="V2200">
        <v>53099.63</v>
      </c>
      <c r="AA2200" s="29" t="s">
        <v>43</v>
      </c>
      <c r="AB2200">
        <v>31200</v>
      </c>
      <c r="AC2200">
        <v>160</v>
      </c>
      <c r="AD2200">
        <v>4</v>
      </c>
      <c r="AE2200">
        <v>10.81</v>
      </c>
      <c r="AF2200">
        <v>10.81</v>
      </c>
      <c r="AG2200" s="29" t="s">
        <v>3113</v>
      </c>
      <c r="AH2200" s="29" t="s">
        <v>3436</v>
      </c>
      <c r="AI2200" s="29" t="s">
        <v>3159</v>
      </c>
      <c r="AJ2200" s="29" t="s">
        <v>3437</v>
      </c>
      <c r="AL2200" s="29" t="s">
        <v>3114</v>
      </c>
    </row>
    <row r="2201" spans="15:38">
      <c r="O2201" t="s">
        <v>24</v>
      </c>
      <c r="P2201" t="s">
        <v>43</v>
      </c>
      <c r="Q2201" t="s">
        <v>22</v>
      </c>
      <c r="R2201" t="s">
        <v>57</v>
      </c>
      <c r="S2201">
        <v>2024.05</v>
      </c>
      <c r="T2201">
        <v>496.52</v>
      </c>
      <c r="U2201">
        <v>53099.63</v>
      </c>
      <c r="V2201">
        <v>53099.63</v>
      </c>
      <c r="AA2201" s="29" t="s">
        <v>43</v>
      </c>
      <c r="AB2201">
        <v>31200</v>
      </c>
      <c r="AC2201">
        <v>160</v>
      </c>
      <c r="AD2201">
        <v>4</v>
      </c>
      <c r="AE2201">
        <v>268.72000000000003</v>
      </c>
      <c r="AF2201">
        <v>268.72000000000003</v>
      </c>
      <c r="AG2201" s="29" t="s">
        <v>3113</v>
      </c>
      <c r="AH2201" s="29" t="s">
        <v>3438</v>
      </c>
      <c r="AI2201" s="29" t="s">
        <v>3159</v>
      </c>
      <c r="AJ2201" s="29" t="s">
        <v>3439</v>
      </c>
      <c r="AL2201" s="29" t="s">
        <v>3114</v>
      </c>
    </row>
    <row r="2202" spans="15:38">
      <c r="O2202" t="s">
        <v>24</v>
      </c>
      <c r="P2202" t="s">
        <v>43</v>
      </c>
      <c r="Q2202" t="s">
        <v>22</v>
      </c>
      <c r="R2202" t="s">
        <v>57</v>
      </c>
      <c r="S2202">
        <v>2024.06</v>
      </c>
      <c r="T2202">
        <v>496.52</v>
      </c>
      <c r="U2202">
        <v>53099.63</v>
      </c>
      <c r="V2202">
        <v>53099.63</v>
      </c>
      <c r="AA2202" s="29" t="s">
        <v>43</v>
      </c>
      <c r="AB2202">
        <v>31200</v>
      </c>
      <c r="AC2202">
        <v>160</v>
      </c>
      <c r="AD2202">
        <v>4</v>
      </c>
      <c r="AE2202">
        <v>448</v>
      </c>
      <c r="AF2202">
        <v>448</v>
      </c>
      <c r="AG2202" s="29" t="s">
        <v>3113</v>
      </c>
      <c r="AH2202" s="29" t="s">
        <v>3244</v>
      </c>
      <c r="AI2202" s="29" t="s">
        <v>3159</v>
      </c>
      <c r="AJ2202" s="29" t="s">
        <v>3245</v>
      </c>
      <c r="AL2202" s="29" t="s">
        <v>3114</v>
      </c>
    </row>
    <row r="2203" spans="15:38">
      <c r="O2203" t="s">
        <v>24</v>
      </c>
      <c r="P2203" t="s">
        <v>43</v>
      </c>
      <c r="Q2203" t="s">
        <v>22</v>
      </c>
      <c r="R2203" t="s">
        <v>57</v>
      </c>
      <c r="S2203">
        <v>2024.07</v>
      </c>
      <c r="T2203">
        <v>496.52</v>
      </c>
      <c r="U2203">
        <v>53099.63</v>
      </c>
      <c r="V2203">
        <v>53099.63</v>
      </c>
      <c r="AA2203" s="29" t="s">
        <v>43</v>
      </c>
      <c r="AB2203">
        <v>31200</v>
      </c>
      <c r="AC2203">
        <v>160</v>
      </c>
      <c r="AD2203">
        <v>4</v>
      </c>
      <c r="AE2203">
        <v>268.72000000000003</v>
      </c>
      <c r="AF2203">
        <v>268.72000000000003</v>
      </c>
      <c r="AG2203" s="29" t="s">
        <v>3113</v>
      </c>
      <c r="AH2203" s="29" t="s">
        <v>3438</v>
      </c>
      <c r="AI2203" s="29" t="s">
        <v>3159</v>
      </c>
      <c r="AJ2203" s="29" t="s">
        <v>3439</v>
      </c>
      <c r="AL2203" s="29" t="s">
        <v>3114</v>
      </c>
    </row>
    <row r="2204" spans="15:38">
      <c r="O2204" t="s">
        <v>24</v>
      </c>
      <c r="P2204" t="s">
        <v>43</v>
      </c>
      <c r="Q2204" t="s">
        <v>22</v>
      </c>
      <c r="R2204" t="s">
        <v>57</v>
      </c>
      <c r="S2204">
        <v>2024.08</v>
      </c>
      <c r="T2204">
        <v>496.52</v>
      </c>
      <c r="U2204">
        <v>53099.63</v>
      </c>
      <c r="V2204">
        <v>53099.63</v>
      </c>
      <c r="AA2204" s="29" t="s">
        <v>43</v>
      </c>
      <c r="AB2204">
        <v>31200</v>
      </c>
      <c r="AC2204">
        <v>160</v>
      </c>
      <c r="AD2204">
        <v>4</v>
      </c>
      <c r="AE2204">
        <v>8528</v>
      </c>
      <c r="AF2204">
        <v>8528</v>
      </c>
      <c r="AG2204" s="29" t="s">
        <v>3113</v>
      </c>
      <c r="AH2204" s="29" t="s">
        <v>3440</v>
      </c>
      <c r="AI2204" s="29" t="s">
        <v>3159</v>
      </c>
      <c r="AJ2204" s="29" t="s">
        <v>3441</v>
      </c>
      <c r="AL2204" s="29" t="s">
        <v>3114</v>
      </c>
    </row>
    <row r="2205" spans="15:38">
      <c r="O2205" t="s">
        <v>24</v>
      </c>
      <c r="P2205" t="s">
        <v>43</v>
      </c>
      <c r="Q2205" t="s">
        <v>22</v>
      </c>
      <c r="R2205" t="s">
        <v>57</v>
      </c>
      <c r="S2205">
        <v>2024.09</v>
      </c>
      <c r="T2205">
        <v>496.52</v>
      </c>
      <c r="U2205">
        <v>53099.63</v>
      </c>
      <c r="V2205">
        <v>53099.63</v>
      </c>
      <c r="AA2205" s="29" t="s">
        <v>43</v>
      </c>
      <c r="AB2205">
        <v>31200</v>
      </c>
      <c r="AC2205">
        <v>160</v>
      </c>
      <c r="AD2205">
        <v>4</v>
      </c>
      <c r="AE2205">
        <v>166.2</v>
      </c>
      <c r="AF2205">
        <v>166.2</v>
      </c>
      <c r="AG2205" s="29" t="s">
        <v>3113</v>
      </c>
      <c r="AH2205" s="29" t="s">
        <v>3410</v>
      </c>
      <c r="AI2205" s="29" t="s">
        <v>3159</v>
      </c>
      <c r="AJ2205" s="29" t="s">
        <v>3411</v>
      </c>
      <c r="AL2205" s="29" t="s">
        <v>3114</v>
      </c>
    </row>
    <row r="2206" spans="15:38">
      <c r="O2206" t="s">
        <v>24</v>
      </c>
      <c r="P2206" t="s">
        <v>43</v>
      </c>
      <c r="Q2206" t="s">
        <v>22</v>
      </c>
      <c r="R2206" t="s">
        <v>57</v>
      </c>
      <c r="S2206">
        <v>2024.1</v>
      </c>
      <c r="T2206">
        <v>496.52</v>
      </c>
      <c r="U2206">
        <v>53099.63</v>
      </c>
      <c r="V2206">
        <v>53099.63</v>
      </c>
      <c r="AA2206" s="29" t="s">
        <v>43</v>
      </c>
      <c r="AB2206">
        <v>31200</v>
      </c>
      <c r="AC2206">
        <v>160</v>
      </c>
      <c r="AD2206">
        <v>4</v>
      </c>
      <c r="AE2206">
        <v>568.08000000000004</v>
      </c>
      <c r="AF2206">
        <v>568.08000000000004</v>
      </c>
      <c r="AG2206" s="29" t="s">
        <v>3113</v>
      </c>
      <c r="AH2206" s="29" t="s">
        <v>3442</v>
      </c>
      <c r="AI2206" s="29" t="s">
        <v>3159</v>
      </c>
      <c r="AJ2206" s="29" t="s">
        <v>3443</v>
      </c>
      <c r="AL2206" s="29" t="s">
        <v>3114</v>
      </c>
    </row>
    <row r="2207" spans="15:38">
      <c r="O2207" t="s">
        <v>24</v>
      </c>
      <c r="P2207" t="s">
        <v>43</v>
      </c>
      <c r="Q2207" t="s">
        <v>22</v>
      </c>
      <c r="R2207" t="s">
        <v>57</v>
      </c>
      <c r="S2207">
        <v>2024.11</v>
      </c>
      <c r="T2207">
        <v>496.52</v>
      </c>
      <c r="U2207">
        <v>53099.63</v>
      </c>
      <c r="V2207">
        <v>53099.63</v>
      </c>
      <c r="AA2207" s="29" t="s">
        <v>43</v>
      </c>
      <c r="AB2207">
        <v>31200</v>
      </c>
      <c r="AC2207">
        <v>160</v>
      </c>
      <c r="AD2207">
        <v>4</v>
      </c>
      <c r="AE2207">
        <v>214</v>
      </c>
      <c r="AF2207">
        <v>214</v>
      </c>
      <c r="AG2207" s="29" t="s">
        <v>3113</v>
      </c>
      <c r="AH2207" s="29" t="s">
        <v>3364</v>
      </c>
      <c r="AI2207" s="29" t="s">
        <v>3159</v>
      </c>
      <c r="AJ2207" s="29" t="s">
        <v>3444</v>
      </c>
      <c r="AL2207" s="29" t="s">
        <v>3114</v>
      </c>
    </row>
    <row r="2208" spans="15:38">
      <c r="O2208" t="s">
        <v>24</v>
      </c>
      <c r="P2208" t="s">
        <v>43</v>
      </c>
      <c r="Q2208" t="s">
        <v>22</v>
      </c>
      <c r="R2208" t="s">
        <v>57</v>
      </c>
      <c r="S2208">
        <v>2024.12</v>
      </c>
      <c r="T2208">
        <v>496.52</v>
      </c>
      <c r="U2208">
        <v>53099.63</v>
      </c>
      <c r="V2208">
        <v>53099.63</v>
      </c>
      <c r="AA2208" s="29" t="s">
        <v>43</v>
      </c>
      <c r="AB2208">
        <v>31200</v>
      </c>
      <c r="AC2208">
        <v>160</v>
      </c>
      <c r="AD2208">
        <v>4</v>
      </c>
      <c r="AE2208">
        <v>21.4</v>
      </c>
      <c r="AF2208">
        <v>21.4</v>
      </c>
      <c r="AG2208" s="29" t="s">
        <v>3113</v>
      </c>
      <c r="AH2208" s="29" t="s">
        <v>3402</v>
      </c>
      <c r="AI2208" s="29" t="s">
        <v>3159</v>
      </c>
      <c r="AJ2208" s="29" t="s">
        <v>3403</v>
      </c>
      <c r="AL2208" s="29" t="s">
        <v>3114</v>
      </c>
    </row>
    <row r="2209" spans="15:38">
      <c r="O2209" t="s">
        <v>24</v>
      </c>
      <c r="P2209" t="s">
        <v>43</v>
      </c>
      <c r="Q2209" t="s">
        <v>22</v>
      </c>
      <c r="R2209" t="s">
        <v>57</v>
      </c>
      <c r="S2209">
        <v>2024.14</v>
      </c>
      <c r="T2209">
        <v>496.52</v>
      </c>
      <c r="U2209">
        <v>53099.63</v>
      </c>
      <c r="V2209">
        <v>53099.63</v>
      </c>
      <c r="AA2209" s="29" t="s">
        <v>43</v>
      </c>
      <c r="AB2209">
        <v>31200</v>
      </c>
      <c r="AC2209">
        <v>160</v>
      </c>
      <c r="AD2209">
        <v>4</v>
      </c>
      <c r="AE2209">
        <v>21.4</v>
      </c>
      <c r="AF2209">
        <v>21.4</v>
      </c>
      <c r="AG2209" s="29" t="s">
        <v>3113</v>
      </c>
      <c r="AH2209" s="29" t="s">
        <v>3402</v>
      </c>
      <c r="AI2209" s="29" t="s">
        <v>3159</v>
      </c>
      <c r="AJ2209" s="29" t="s">
        <v>3403</v>
      </c>
      <c r="AL2209" s="29" t="s">
        <v>3114</v>
      </c>
    </row>
    <row r="2210" spans="15:38">
      <c r="O2210" t="s">
        <v>24</v>
      </c>
      <c r="P2210" t="s">
        <v>43</v>
      </c>
      <c r="Q2210" t="s">
        <v>22</v>
      </c>
      <c r="R2210" t="s">
        <v>57</v>
      </c>
      <c r="S2210">
        <v>2024.17</v>
      </c>
      <c r="T2210">
        <v>917.7</v>
      </c>
      <c r="U2210">
        <v>53099.63</v>
      </c>
      <c r="V2210">
        <v>53099.63</v>
      </c>
      <c r="AA2210" s="29" t="s">
        <v>43</v>
      </c>
      <c r="AB2210">
        <v>31200</v>
      </c>
      <c r="AC2210">
        <v>160</v>
      </c>
      <c r="AD2210">
        <v>4</v>
      </c>
      <c r="AE2210">
        <v>107</v>
      </c>
      <c r="AF2210">
        <v>107</v>
      </c>
      <c r="AG2210" s="29" t="s">
        <v>3113</v>
      </c>
      <c r="AH2210" s="29" t="s">
        <v>3320</v>
      </c>
      <c r="AI2210" s="29" t="s">
        <v>3159</v>
      </c>
      <c r="AJ2210" s="29" t="s">
        <v>3445</v>
      </c>
      <c r="AL2210" s="29" t="s">
        <v>3114</v>
      </c>
    </row>
    <row r="2211" spans="15:38">
      <c r="O2211" t="s">
        <v>24</v>
      </c>
      <c r="P2211" t="s">
        <v>43</v>
      </c>
      <c r="Q2211" t="s">
        <v>22</v>
      </c>
      <c r="R2211" t="s">
        <v>57</v>
      </c>
      <c r="S2211">
        <v>2024.18</v>
      </c>
      <c r="T2211">
        <v>2281.58</v>
      </c>
      <c r="U2211">
        <v>53099.63</v>
      </c>
      <c r="V2211">
        <v>53099.63</v>
      </c>
      <c r="AA2211" s="29" t="s">
        <v>43</v>
      </c>
      <c r="AB2211">
        <v>31200</v>
      </c>
      <c r="AC2211">
        <v>160</v>
      </c>
      <c r="AD2211">
        <v>4</v>
      </c>
      <c r="AE2211">
        <v>53.5</v>
      </c>
      <c r="AF2211">
        <v>53.5</v>
      </c>
      <c r="AG2211" s="29" t="s">
        <v>3113</v>
      </c>
      <c r="AH2211" s="29" t="s">
        <v>3254</v>
      </c>
      <c r="AI2211" s="29" t="s">
        <v>3159</v>
      </c>
      <c r="AJ2211" s="29" t="s">
        <v>3304</v>
      </c>
      <c r="AL2211" s="29" t="s">
        <v>3114</v>
      </c>
    </row>
    <row r="2212" spans="15:38">
      <c r="O2212" t="s">
        <v>24</v>
      </c>
      <c r="P2212" t="s">
        <v>43</v>
      </c>
      <c r="Q2212" t="s">
        <v>22</v>
      </c>
      <c r="R2212" t="s">
        <v>57</v>
      </c>
      <c r="S2212">
        <v>2024.19</v>
      </c>
      <c r="T2212">
        <v>2538.54</v>
      </c>
      <c r="U2212">
        <v>53099.63</v>
      </c>
      <c r="V2212">
        <v>53099.63</v>
      </c>
      <c r="AA2212" s="29" t="s">
        <v>43</v>
      </c>
      <c r="AB2212">
        <v>31200</v>
      </c>
      <c r="AC2212">
        <v>160</v>
      </c>
      <c r="AD2212">
        <v>4</v>
      </c>
      <c r="AE2212">
        <v>53.5</v>
      </c>
      <c r="AF2212">
        <v>53.5</v>
      </c>
      <c r="AG2212" s="29" t="s">
        <v>3113</v>
      </c>
      <c r="AH2212" s="29" t="s">
        <v>3254</v>
      </c>
      <c r="AI2212" s="29" t="s">
        <v>3159</v>
      </c>
      <c r="AJ2212" s="29" t="s">
        <v>3305</v>
      </c>
      <c r="AL2212" s="29" t="s">
        <v>3114</v>
      </c>
    </row>
    <row r="2213" spans="15:38">
      <c r="O2213" t="s">
        <v>24</v>
      </c>
      <c r="P2213" t="s">
        <v>43</v>
      </c>
      <c r="Q2213" t="s">
        <v>22</v>
      </c>
      <c r="R2213" t="s">
        <v>57</v>
      </c>
      <c r="S2213">
        <v>2024.2</v>
      </c>
      <c r="T2213">
        <v>2538.54</v>
      </c>
      <c r="U2213">
        <v>53099.63</v>
      </c>
      <c r="V2213">
        <v>53099.63</v>
      </c>
      <c r="AA2213" s="29" t="s">
        <v>43</v>
      </c>
      <c r="AB2213">
        <v>31200</v>
      </c>
      <c r="AC2213">
        <v>160</v>
      </c>
      <c r="AD2213">
        <v>4</v>
      </c>
      <c r="AE2213">
        <v>26.75</v>
      </c>
      <c r="AF2213">
        <v>26.75</v>
      </c>
      <c r="AG2213" s="29" t="s">
        <v>3113</v>
      </c>
      <c r="AH2213" s="29" t="s">
        <v>3224</v>
      </c>
      <c r="AI2213" s="29" t="s">
        <v>3159</v>
      </c>
      <c r="AJ2213" s="29" t="s">
        <v>3446</v>
      </c>
      <c r="AL2213" s="29" t="s">
        <v>3114</v>
      </c>
    </row>
    <row r="2214" spans="15:38">
      <c r="O2214" t="s">
        <v>24</v>
      </c>
      <c r="P2214" t="s">
        <v>43</v>
      </c>
      <c r="Q2214" t="s">
        <v>22</v>
      </c>
      <c r="R2214" t="s">
        <v>57</v>
      </c>
      <c r="S2214">
        <v>2024.21</v>
      </c>
      <c r="T2214">
        <v>2623.69</v>
      </c>
      <c r="U2214">
        <v>53099.63</v>
      </c>
      <c r="V2214">
        <v>53099.63</v>
      </c>
      <c r="AA2214" s="29" t="s">
        <v>43</v>
      </c>
      <c r="AB2214">
        <v>31200</v>
      </c>
      <c r="AC2214">
        <v>160</v>
      </c>
      <c r="AD2214">
        <v>4</v>
      </c>
      <c r="AE2214">
        <v>26.75</v>
      </c>
      <c r="AF2214">
        <v>26.75</v>
      </c>
      <c r="AG2214" s="29" t="s">
        <v>3113</v>
      </c>
      <c r="AH2214" s="29" t="s">
        <v>3224</v>
      </c>
      <c r="AI2214" s="29" t="s">
        <v>3159</v>
      </c>
      <c r="AJ2214" s="29" t="s">
        <v>3447</v>
      </c>
      <c r="AL2214" s="29" t="s">
        <v>3114</v>
      </c>
    </row>
    <row r="2215" spans="15:38">
      <c r="O2215" t="s">
        <v>24</v>
      </c>
      <c r="P2215" t="s">
        <v>43</v>
      </c>
      <c r="Q2215" t="s">
        <v>22</v>
      </c>
      <c r="R2215" t="s">
        <v>57</v>
      </c>
      <c r="S2215">
        <v>2024.28</v>
      </c>
      <c r="T2215">
        <v>2623.69</v>
      </c>
      <c r="U2215">
        <v>53099.63</v>
      </c>
      <c r="V2215">
        <v>53099.63</v>
      </c>
      <c r="AA2215" s="29" t="s">
        <v>43</v>
      </c>
      <c r="AB2215">
        <v>31200</v>
      </c>
      <c r="AC2215">
        <v>160</v>
      </c>
      <c r="AD2215">
        <v>4</v>
      </c>
      <c r="AE2215">
        <v>189.36</v>
      </c>
      <c r="AF2215">
        <v>189.36</v>
      </c>
      <c r="AG2215" s="29" t="s">
        <v>3113</v>
      </c>
      <c r="AH2215" s="29" t="s">
        <v>3448</v>
      </c>
      <c r="AI2215" s="29" t="s">
        <v>3159</v>
      </c>
      <c r="AJ2215" s="29" t="s">
        <v>3449</v>
      </c>
      <c r="AL2215" s="29" t="s">
        <v>3114</v>
      </c>
    </row>
    <row r="2216" spans="15:38">
      <c r="O2216" t="s">
        <v>24</v>
      </c>
      <c r="P2216" t="s">
        <v>43</v>
      </c>
      <c r="Q2216" t="s">
        <v>22</v>
      </c>
      <c r="R2216" t="s">
        <v>57</v>
      </c>
      <c r="S2216">
        <v>2024.38</v>
      </c>
      <c r="T2216">
        <v>2623.69</v>
      </c>
      <c r="U2216">
        <v>53099.63</v>
      </c>
      <c r="V2216">
        <v>53099.63</v>
      </c>
      <c r="AA2216" s="29" t="s">
        <v>43</v>
      </c>
      <c r="AB2216">
        <v>31200</v>
      </c>
      <c r="AC2216">
        <v>160</v>
      </c>
      <c r="AD2216">
        <v>4</v>
      </c>
      <c r="AE2216">
        <v>53.5</v>
      </c>
      <c r="AF2216">
        <v>53.5</v>
      </c>
      <c r="AG2216" s="29" t="s">
        <v>3113</v>
      </c>
      <c r="AH2216" s="29" t="s">
        <v>3254</v>
      </c>
      <c r="AI2216" s="29" t="s">
        <v>3159</v>
      </c>
      <c r="AJ2216" s="29" t="s">
        <v>3257</v>
      </c>
      <c r="AL2216" s="29" t="s">
        <v>3114</v>
      </c>
    </row>
    <row r="2217" spans="15:38">
      <c r="O2217" t="s">
        <v>24</v>
      </c>
      <c r="P2217" t="s">
        <v>43</v>
      </c>
      <c r="Q2217" t="s">
        <v>22</v>
      </c>
      <c r="R2217" t="s">
        <v>57</v>
      </c>
      <c r="S2217">
        <v>2024.39</v>
      </c>
      <c r="T2217">
        <v>2623.69</v>
      </c>
      <c r="U2217">
        <v>53099.63</v>
      </c>
      <c r="V2217">
        <v>53099.63</v>
      </c>
      <c r="AA2217" s="29" t="s">
        <v>43</v>
      </c>
      <c r="AB2217">
        <v>31200</v>
      </c>
      <c r="AC2217">
        <v>160</v>
      </c>
      <c r="AD2217">
        <v>4</v>
      </c>
      <c r="AE2217">
        <v>2234.16</v>
      </c>
      <c r="AF2217">
        <v>2234.16</v>
      </c>
      <c r="AG2217" s="29" t="s">
        <v>3113</v>
      </c>
      <c r="AH2217" s="29" t="s">
        <v>3450</v>
      </c>
      <c r="AI2217" s="29" t="s">
        <v>3159</v>
      </c>
      <c r="AJ2217" s="29" t="s">
        <v>3451</v>
      </c>
      <c r="AL2217" s="29" t="s">
        <v>3114</v>
      </c>
    </row>
    <row r="2218" spans="15:38">
      <c r="O2218" t="s">
        <v>24</v>
      </c>
      <c r="P2218" t="s">
        <v>43</v>
      </c>
      <c r="Q2218" t="s">
        <v>22</v>
      </c>
      <c r="R2218" t="s">
        <v>57</v>
      </c>
      <c r="S2218">
        <v>2024.41</v>
      </c>
      <c r="T2218">
        <v>2623.69</v>
      </c>
      <c r="U2218">
        <v>53099.63</v>
      </c>
      <c r="V2218">
        <v>53099.63</v>
      </c>
      <c r="AA2218" s="29" t="s">
        <v>43</v>
      </c>
      <c r="AB2218">
        <v>31200</v>
      </c>
      <c r="AC2218">
        <v>160</v>
      </c>
      <c r="AD2218">
        <v>4</v>
      </c>
      <c r="AE2218">
        <v>997</v>
      </c>
      <c r="AF2218">
        <v>997</v>
      </c>
      <c r="AG2218" s="29" t="s">
        <v>3113</v>
      </c>
      <c r="AH2218" s="29" t="s">
        <v>3283</v>
      </c>
      <c r="AI2218" s="29" t="s">
        <v>3159</v>
      </c>
      <c r="AJ2218" s="29" t="s">
        <v>3285</v>
      </c>
      <c r="AL2218" s="29" t="s">
        <v>3114</v>
      </c>
    </row>
    <row r="2219" spans="15:38">
      <c r="O2219" t="s">
        <v>24</v>
      </c>
      <c r="P2219" t="s">
        <v>43</v>
      </c>
      <c r="Q2219" t="s">
        <v>22</v>
      </c>
      <c r="R2219" t="s">
        <v>57</v>
      </c>
      <c r="S2219">
        <v>2024.43</v>
      </c>
      <c r="T2219">
        <v>2623.69</v>
      </c>
      <c r="U2219">
        <v>53099.63</v>
      </c>
      <c r="V2219">
        <v>53099.63</v>
      </c>
      <c r="AA2219" s="29" t="s">
        <v>43</v>
      </c>
      <c r="AB2219">
        <v>31200</v>
      </c>
      <c r="AC2219">
        <v>160</v>
      </c>
      <c r="AD2219">
        <v>4</v>
      </c>
      <c r="AE2219">
        <v>4.82</v>
      </c>
      <c r="AF2219">
        <v>4.82</v>
      </c>
      <c r="AG2219" s="29" t="s">
        <v>3113</v>
      </c>
      <c r="AH2219" s="29" t="s">
        <v>3426</v>
      </c>
      <c r="AI2219" s="29" t="s">
        <v>3159</v>
      </c>
      <c r="AJ2219" s="29" t="s">
        <v>3427</v>
      </c>
      <c r="AL2219" s="29" t="s">
        <v>3114</v>
      </c>
    </row>
    <row r="2220" spans="15:38">
      <c r="O2220" t="s">
        <v>24</v>
      </c>
      <c r="P2220" t="s">
        <v>43</v>
      </c>
      <c r="Q2220" t="s">
        <v>22</v>
      </c>
      <c r="R2220" t="s">
        <v>57</v>
      </c>
      <c r="S2220">
        <v>2024.44</v>
      </c>
      <c r="T2220">
        <v>2623.69</v>
      </c>
      <c r="U2220">
        <v>54211.94</v>
      </c>
      <c r="V2220">
        <v>54211.94</v>
      </c>
      <c r="AA2220" s="29" t="s">
        <v>43</v>
      </c>
      <c r="AB2220">
        <v>31200</v>
      </c>
      <c r="AC2220">
        <v>160</v>
      </c>
      <c r="AD2220">
        <v>4</v>
      </c>
      <c r="AE2220">
        <v>422.56</v>
      </c>
      <c r="AF2220">
        <v>422.56</v>
      </c>
      <c r="AG2220" s="29" t="s">
        <v>3113</v>
      </c>
      <c r="AH2220" s="29" t="s">
        <v>3452</v>
      </c>
      <c r="AI2220" s="29" t="s">
        <v>3159</v>
      </c>
      <c r="AJ2220" s="29" t="s">
        <v>3453</v>
      </c>
      <c r="AL2220" s="29" t="s">
        <v>3114</v>
      </c>
    </row>
    <row r="2221" spans="15:38">
      <c r="O2221" t="s">
        <v>24</v>
      </c>
      <c r="P2221" t="s">
        <v>43</v>
      </c>
      <c r="Q2221" t="s">
        <v>22</v>
      </c>
      <c r="R2221" t="s">
        <v>57</v>
      </c>
      <c r="S2221">
        <v>2024.45</v>
      </c>
      <c r="T2221">
        <v>2623.69</v>
      </c>
      <c r="U2221">
        <v>54211.94</v>
      </c>
      <c r="V2221">
        <v>54211.94</v>
      </c>
      <c r="AA2221" s="29" t="s">
        <v>43</v>
      </c>
      <c r="AB2221">
        <v>31200</v>
      </c>
      <c r="AC2221">
        <v>160</v>
      </c>
      <c r="AD2221">
        <v>4</v>
      </c>
      <c r="AE2221">
        <v>3.68</v>
      </c>
      <c r="AF2221">
        <v>3.68</v>
      </c>
      <c r="AG2221" s="29" t="s">
        <v>3113</v>
      </c>
      <c r="AH2221" s="29" t="s">
        <v>3454</v>
      </c>
      <c r="AI2221" s="29" t="s">
        <v>3159</v>
      </c>
      <c r="AJ2221" s="29" t="s">
        <v>3455</v>
      </c>
      <c r="AL2221" s="29" t="s">
        <v>3114</v>
      </c>
    </row>
    <row r="2222" spans="15:38">
      <c r="O2222" t="s">
        <v>24</v>
      </c>
      <c r="P2222" t="s">
        <v>43</v>
      </c>
      <c r="Q2222" t="s">
        <v>22</v>
      </c>
      <c r="R2222" t="s">
        <v>57</v>
      </c>
      <c r="S2222">
        <v>2024.47</v>
      </c>
      <c r="T2222">
        <v>2623.69</v>
      </c>
      <c r="U2222">
        <v>54211.94</v>
      </c>
      <c r="V2222">
        <v>54211.94</v>
      </c>
      <c r="AA2222" s="29" t="s">
        <v>43</v>
      </c>
      <c r="AB2222">
        <v>31200</v>
      </c>
      <c r="AC2222">
        <v>160</v>
      </c>
      <c r="AD2222">
        <v>4</v>
      </c>
      <c r="AE2222">
        <v>7.92</v>
      </c>
      <c r="AF2222">
        <v>7.92</v>
      </c>
      <c r="AG2222" s="29" t="s">
        <v>3113</v>
      </c>
      <c r="AH2222" s="29" t="s">
        <v>3456</v>
      </c>
      <c r="AI2222" s="29" t="s">
        <v>3159</v>
      </c>
      <c r="AJ2222" s="29" t="s">
        <v>3457</v>
      </c>
      <c r="AL2222" s="29" t="s">
        <v>3114</v>
      </c>
    </row>
    <row r="2223" spans="15:38">
      <c r="O2223" t="s">
        <v>24</v>
      </c>
      <c r="P2223" t="s">
        <v>43</v>
      </c>
      <c r="Q2223" t="s">
        <v>22</v>
      </c>
      <c r="R2223" t="s">
        <v>57</v>
      </c>
      <c r="S2223">
        <v>2024.48</v>
      </c>
      <c r="T2223">
        <v>2623.69</v>
      </c>
      <c r="U2223">
        <v>54211.94</v>
      </c>
      <c r="V2223">
        <v>54010.65</v>
      </c>
      <c r="AA2223" s="29" t="s">
        <v>43</v>
      </c>
      <c r="AB2223">
        <v>31200</v>
      </c>
      <c r="AC2223">
        <v>160</v>
      </c>
      <c r="AD2223">
        <v>4</v>
      </c>
      <c r="AE2223">
        <v>7.52</v>
      </c>
      <c r="AF2223">
        <v>7.52</v>
      </c>
      <c r="AG2223" s="29" t="s">
        <v>3113</v>
      </c>
      <c r="AH2223" s="29" t="s">
        <v>3458</v>
      </c>
      <c r="AI2223" s="29" t="s">
        <v>3159</v>
      </c>
      <c r="AJ2223" s="29" t="s">
        <v>3459</v>
      </c>
      <c r="AL2223" s="29" t="s">
        <v>3114</v>
      </c>
    </row>
    <row r="2224" spans="15:38">
      <c r="O2224" t="s">
        <v>24</v>
      </c>
      <c r="P2224" t="s">
        <v>43</v>
      </c>
      <c r="Q2224" t="s">
        <v>22</v>
      </c>
      <c r="R2224" t="s">
        <v>57</v>
      </c>
      <c r="S2224">
        <v>2024.49</v>
      </c>
      <c r="T2224">
        <v>2623.69</v>
      </c>
      <c r="U2224">
        <v>54211.94</v>
      </c>
      <c r="V2224">
        <v>54010.65</v>
      </c>
      <c r="AA2224" s="29" t="s">
        <v>43</v>
      </c>
      <c r="AB2224">
        <v>31200</v>
      </c>
      <c r="AC2224">
        <v>160</v>
      </c>
      <c r="AD2224">
        <v>4</v>
      </c>
      <c r="AE2224">
        <v>31.68</v>
      </c>
      <c r="AF2224">
        <v>31.68</v>
      </c>
      <c r="AG2224" s="29" t="s">
        <v>3113</v>
      </c>
      <c r="AH2224" s="29" t="s">
        <v>3430</v>
      </c>
      <c r="AI2224" s="29" t="s">
        <v>3159</v>
      </c>
      <c r="AJ2224" s="29" t="s">
        <v>3431</v>
      </c>
      <c r="AL2224" s="29" t="s">
        <v>3114</v>
      </c>
    </row>
    <row r="2225" spans="15:38">
      <c r="O2225" t="s">
        <v>24</v>
      </c>
      <c r="P2225" t="s">
        <v>43</v>
      </c>
      <c r="Q2225" t="s">
        <v>22</v>
      </c>
      <c r="R2225" t="s">
        <v>57</v>
      </c>
      <c r="S2225">
        <v>2025.03</v>
      </c>
      <c r="T2225">
        <v>2696.35</v>
      </c>
      <c r="U2225">
        <v>54211.94</v>
      </c>
      <c r="V2225">
        <v>54010.65</v>
      </c>
      <c r="AA2225" s="29" t="s">
        <v>43</v>
      </c>
      <c r="AB2225">
        <v>31200</v>
      </c>
      <c r="AC2225">
        <v>160</v>
      </c>
      <c r="AD2225">
        <v>4</v>
      </c>
      <c r="AE2225">
        <v>0</v>
      </c>
      <c r="AF2225">
        <v>0</v>
      </c>
      <c r="AG2225" s="29" t="s">
        <v>3113</v>
      </c>
      <c r="AH2225" s="29" t="s">
        <v>3119</v>
      </c>
      <c r="AI2225" s="29" t="s">
        <v>3159</v>
      </c>
      <c r="AJ2225" s="29" t="s">
        <v>426</v>
      </c>
      <c r="AL2225" s="29" t="s">
        <v>3114</v>
      </c>
    </row>
    <row r="2226" spans="15:38">
      <c r="O2226" t="s">
        <v>24</v>
      </c>
      <c r="P2226" t="s">
        <v>43</v>
      </c>
      <c r="Q2226" t="s">
        <v>22</v>
      </c>
      <c r="R2226" t="s">
        <v>57</v>
      </c>
      <c r="S2226">
        <v>2025.08</v>
      </c>
      <c r="T2226">
        <v>3744.35</v>
      </c>
      <c r="U2226">
        <v>54211.94</v>
      </c>
      <c r="V2226">
        <v>54010.65</v>
      </c>
      <c r="AA2226" s="29" t="s">
        <v>43</v>
      </c>
      <c r="AB2226">
        <v>31200</v>
      </c>
      <c r="AC2226">
        <v>160</v>
      </c>
      <c r="AD2226">
        <v>4</v>
      </c>
      <c r="AE2226">
        <v>259.62</v>
      </c>
      <c r="AF2226">
        <v>259.62</v>
      </c>
      <c r="AG2226" s="29" t="s">
        <v>3113</v>
      </c>
      <c r="AH2226" s="29" t="s">
        <v>3460</v>
      </c>
      <c r="AI2226" s="29" t="s">
        <v>3159</v>
      </c>
      <c r="AJ2226" s="29" t="s">
        <v>3461</v>
      </c>
      <c r="AL2226" s="29" t="s">
        <v>3114</v>
      </c>
    </row>
    <row r="2227" spans="15:38">
      <c r="O2227" t="s">
        <v>24</v>
      </c>
      <c r="P2227" t="s">
        <v>43</v>
      </c>
      <c r="Q2227" t="s">
        <v>22</v>
      </c>
      <c r="R2227" t="s">
        <v>57</v>
      </c>
      <c r="S2227">
        <v>2025.1</v>
      </c>
      <c r="T2227">
        <v>3744.35</v>
      </c>
      <c r="U2227">
        <v>54211.94</v>
      </c>
      <c r="V2227">
        <v>54010.65</v>
      </c>
      <c r="AA2227" s="29" t="s">
        <v>43</v>
      </c>
      <c r="AB2227">
        <v>31200</v>
      </c>
      <c r="AC2227">
        <v>160</v>
      </c>
      <c r="AD2227">
        <v>4</v>
      </c>
      <c r="AE2227">
        <v>240.66</v>
      </c>
      <c r="AF2227">
        <v>240.66</v>
      </c>
      <c r="AG2227" s="29" t="s">
        <v>3113</v>
      </c>
      <c r="AH2227" s="29" t="s">
        <v>3462</v>
      </c>
      <c r="AI2227" s="29" t="s">
        <v>3159</v>
      </c>
      <c r="AJ2227" s="29" t="s">
        <v>3463</v>
      </c>
      <c r="AL2227" s="29" t="s">
        <v>3114</v>
      </c>
    </row>
    <row r="2228" spans="15:38">
      <c r="O2228" t="s">
        <v>24</v>
      </c>
      <c r="P2228" t="s">
        <v>43</v>
      </c>
      <c r="Q2228" t="s">
        <v>22</v>
      </c>
      <c r="R2228" t="s">
        <v>57</v>
      </c>
      <c r="S2228">
        <v>2025.11</v>
      </c>
      <c r="T2228">
        <v>3744.35</v>
      </c>
      <c r="U2228">
        <v>54211.94</v>
      </c>
      <c r="V2228">
        <v>54010.65</v>
      </c>
      <c r="AA2228" s="29" t="s">
        <v>43</v>
      </c>
      <c r="AB2228">
        <v>31200</v>
      </c>
      <c r="AC2228">
        <v>160</v>
      </c>
      <c r="AD2228">
        <v>4</v>
      </c>
      <c r="AE2228">
        <v>3.96</v>
      </c>
      <c r="AF2228">
        <v>3.96</v>
      </c>
      <c r="AG2228" s="29" t="s">
        <v>3113</v>
      </c>
      <c r="AH2228" s="29" t="s">
        <v>3464</v>
      </c>
      <c r="AI2228" s="29" t="s">
        <v>3159</v>
      </c>
      <c r="AJ2228" s="29" t="s">
        <v>3465</v>
      </c>
      <c r="AL2228" s="29" t="s">
        <v>3114</v>
      </c>
    </row>
    <row r="2229" spans="15:38">
      <c r="O2229" t="s">
        <v>24</v>
      </c>
      <c r="P2229" t="s">
        <v>43</v>
      </c>
      <c r="Q2229" t="s">
        <v>22</v>
      </c>
      <c r="R2229" t="s">
        <v>57</v>
      </c>
      <c r="S2229">
        <v>2025.12</v>
      </c>
      <c r="T2229">
        <v>3744.35</v>
      </c>
      <c r="U2229">
        <v>54211.94</v>
      </c>
      <c r="V2229">
        <v>54010.65</v>
      </c>
      <c r="AA2229" s="29" t="s">
        <v>43</v>
      </c>
      <c r="AB2229">
        <v>31200</v>
      </c>
      <c r="AC2229">
        <v>160</v>
      </c>
      <c r="AD2229">
        <v>4</v>
      </c>
      <c r="AE2229">
        <v>413.1</v>
      </c>
      <c r="AF2229">
        <v>413.1</v>
      </c>
      <c r="AG2229" s="29" t="s">
        <v>3113</v>
      </c>
      <c r="AH2229" s="29" t="s">
        <v>3466</v>
      </c>
      <c r="AI2229" s="29" t="s">
        <v>3159</v>
      </c>
      <c r="AJ2229" s="29" t="s">
        <v>3467</v>
      </c>
      <c r="AL2229" s="29" t="s">
        <v>3114</v>
      </c>
    </row>
    <row r="2230" spans="15:38">
      <c r="O2230" t="s">
        <v>24</v>
      </c>
      <c r="P2230" t="s">
        <v>43</v>
      </c>
      <c r="Q2230" t="s">
        <v>22</v>
      </c>
      <c r="R2230" t="s">
        <v>58</v>
      </c>
      <c r="S2230">
        <v>2023.51</v>
      </c>
      <c r="T2230">
        <v>121431.51</v>
      </c>
      <c r="U2230">
        <v>0</v>
      </c>
      <c r="V2230">
        <v>0</v>
      </c>
      <c r="AA2230" s="29" t="s">
        <v>43</v>
      </c>
      <c r="AB2230">
        <v>31200</v>
      </c>
      <c r="AC2230">
        <v>160</v>
      </c>
      <c r="AD2230">
        <v>4</v>
      </c>
      <c r="AE2230">
        <v>318.86</v>
      </c>
      <c r="AF2230">
        <v>318.86</v>
      </c>
      <c r="AG2230" s="29" t="s">
        <v>3113</v>
      </c>
      <c r="AH2230" s="29" t="s">
        <v>3264</v>
      </c>
      <c r="AI2230" s="29" t="s">
        <v>3159</v>
      </c>
      <c r="AJ2230" s="29" t="s">
        <v>365</v>
      </c>
      <c r="AL2230" s="29" t="s">
        <v>3114</v>
      </c>
    </row>
    <row r="2231" spans="15:38">
      <c r="O2231" t="s">
        <v>24</v>
      </c>
      <c r="P2231" t="s">
        <v>43</v>
      </c>
      <c r="Q2231" t="s">
        <v>22</v>
      </c>
      <c r="R2231" t="s">
        <v>58</v>
      </c>
      <c r="S2231">
        <v>2024.05</v>
      </c>
      <c r="T2231">
        <v>3268.94</v>
      </c>
      <c r="U2231">
        <v>0</v>
      </c>
      <c r="V2231">
        <v>0</v>
      </c>
      <c r="AA2231" s="29" t="s">
        <v>43</v>
      </c>
      <c r="AB2231">
        <v>31200</v>
      </c>
      <c r="AC2231">
        <v>160</v>
      </c>
      <c r="AD2231">
        <v>4</v>
      </c>
      <c r="AE2231">
        <v>997</v>
      </c>
      <c r="AF2231">
        <v>997</v>
      </c>
      <c r="AG2231" s="29" t="s">
        <v>3113</v>
      </c>
      <c r="AH2231" s="29" t="s">
        <v>3283</v>
      </c>
      <c r="AI2231" s="29" t="s">
        <v>3159</v>
      </c>
      <c r="AJ2231" s="29" t="s">
        <v>3284</v>
      </c>
      <c r="AL2231" s="29" t="s">
        <v>3114</v>
      </c>
    </row>
    <row r="2232" spans="15:38">
      <c r="O2232" t="s">
        <v>24</v>
      </c>
      <c r="P2232" t="s">
        <v>43</v>
      </c>
      <c r="Q2232" t="s">
        <v>22</v>
      </c>
      <c r="R2232" t="s">
        <v>58</v>
      </c>
      <c r="S2232">
        <v>2024.06</v>
      </c>
      <c r="T2232">
        <v>3268.94</v>
      </c>
      <c r="U2232">
        <v>0</v>
      </c>
      <c r="V2232">
        <v>0</v>
      </c>
      <c r="AA2232" s="29" t="s">
        <v>43</v>
      </c>
      <c r="AB2232">
        <v>31200</v>
      </c>
      <c r="AC2232">
        <v>160</v>
      </c>
      <c r="AD2232">
        <v>4</v>
      </c>
      <c r="AE2232">
        <v>65.040000000000006</v>
      </c>
      <c r="AF2232">
        <v>65.040000000000006</v>
      </c>
      <c r="AG2232" s="29" t="s">
        <v>3113</v>
      </c>
      <c r="AH2232" s="29" t="s">
        <v>3468</v>
      </c>
      <c r="AI2232" s="29" t="s">
        <v>3159</v>
      </c>
      <c r="AJ2232" s="29" t="s">
        <v>3469</v>
      </c>
      <c r="AL2232" s="29" t="s">
        <v>3114</v>
      </c>
    </row>
    <row r="2233" spans="15:38">
      <c r="O2233" t="s">
        <v>24</v>
      </c>
      <c r="P2233" t="s">
        <v>43</v>
      </c>
      <c r="Q2233" t="s">
        <v>22</v>
      </c>
      <c r="R2233" t="s">
        <v>58</v>
      </c>
      <c r="S2233">
        <v>2024.07</v>
      </c>
      <c r="T2233">
        <v>3268.94</v>
      </c>
      <c r="U2233">
        <v>0</v>
      </c>
      <c r="V2233">
        <v>0</v>
      </c>
      <c r="AA2233" s="29" t="s">
        <v>43</v>
      </c>
      <c r="AB2233">
        <v>31200</v>
      </c>
      <c r="AC2233">
        <v>160</v>
      </c>
      <c r="AD2233">
        <v>4</v>
      </c>
      <c r="AE2233">
        <v>380.02</v>
      </c>
      <c r="AF2233">
        <v>380.02</v>
      </c>
      <c r="AG2233" s="29" t="s">
        <v>3113</v>
      </c>
      <c r="AH2233" s="29" t="s">
        <v>3470</v>
      </c>
      <c r="AI2233" s="29" t="s">
        <v>3159</v>
      </c>
      <c r="AJ2233" s="29" t="s">
        <v>3471</v>
      </c>
      <c r="AL2233" s="29" t="s">
        <v>3114</v>
      </c>
    </row>
    <row r="2234" spans="15:38">
      <c r="O2234" t="s">
        <v>24</v>
      </c>
      <c r="P2234" t="s">
        <v>43</v>
      </c>
      <c r="Q2234" t="s">
        <v>22</v>
      </c>
      <c r="R2234" t="s">
        <v>58</v>
      </c>
      <c r="S2234">
        <v>2024.08</v>
      </c>
      <c r="T2234">
        <v>121268.94</v>
      </c>
      <c r="U2234">
        <v>0</v>
      </c>
      <c r="V2234">
        <v>0</v>
      </c>
      <c r="AA2234" s="29" t="s">
        <v>43</v>
      </c>
      <c r="AB2234">
        <v>31200</v>
      </c>
      <c r="AC2234">
        <v>160</v>
      </c>
      <c r="AD2234">
        <v>4</v>
      </c>
      <c r="AE2234">
        <v>107</v>
      </c>
      <c r="AF2234">
        <v>107</v>
      </c>
      <c r="AG2234" s="29" t="s">
        <v>3113</v>
      </c>
      <c r="AH2234" s="29" t="s">
        <v>3320</v>
      </c>
      <c r="AI2234" s="29" t="s">
        <v>3159</v>
      </c>
      <c r="AJ2234" s="29" t="s">
        <v>3321</v>
      </c>
      <c r="AL2234" s="29" t="s">
        <v>3114</v>
      </c>
    </row>
    <row r="2235" spans="15:38">
      <c r="O2235" t="s">
        <v>24</v>
      </c>
      <c r="P2235" t="s">
        <v>43</v>
      </c>
      <c r="Q2235" t="s">
        <v>22</v>
      </c>
      <c r="R2235" t="s">
        <v>58</v>
      </c>
      <c r="S2235">
        <v>2024.09</v>
      </c>
      <c r="T2235">
        <v>121431.51</v>
      </c>
      <c r="U2235">
        <v>0</v>
      </c>
      <c r="V2235">
        <v>0</v>
      </c>
      <c r="AA2235" s="29" t="s">
        <v>43</v>
      </c>
      <c r="AB2235">
        <v>31200</v>
      </c>
      <c r="AC2235">
        <v>160</v>
      </c>
      <c r="AD2235">
        <v>4</v>
      </c>
      <c r="AE2235">
        <v>321</v>
      </c>
      <c r="AF2235">
        <v>321</v>
      </c>
      <c r="AG2235" s="29" t="s">
        <v>3113</v>
      </c>
      <c r="AH2235" s="29" t="s">
        <v>3472</v>
      </c>
      <c r="AI2235" s="29" t="s">
        <v>3159</v>
      </c>
      <c r="AJ2235" s="29" t="s">
        <v>3473</v>
      </c>
      <c r="AL2235" s="29" t="s">
        <v>3114</v>
      </c>
    </row>
    <row r="2236" spans="15:38">
      <c r="O2236" t="s">
        <v>24</v>
      </c>
      <c r="P2236" t="s">
        <v>43</v>
      </c>
      <c r="Q2236" t="s">
        <v>22</v>
      </c>
      <c r="R2236" t="s">
        <v>58</v>
      </c>
      <c r="S2236">
        <v>2024.1</v>
      </c>
      <c r="T2236">
        <v>121511.97</v>
      </c>
      <c r="U2236">
        <v>0</v>
      </c>
      <c r="V2236">
        <v>0</v>
      </c>
      <c r="AA2236" s="29" t="s">
        <v>43</v>
      </c>
      <c r="AB2236">
        <v>31200</v>
      </c>
      <c r="AC2236">
        <v>160</v>
      </c>
      <c r="AD2236">
        <v>4</v>
      </c>
      <c r="AE2236">
        <v>1489.44</v>
      </c>
      <c r="AF2236">
        <v>1489.44</v>
      </c>
      <c r="AG2236" s="29" t="s">
        <v>3113</v>
      </c>
      <c r="AH2236" s="29" t="s">
        <v>3474</v>
      </c>
      <c r="AI2236" s="29" t="s">
        <v>3159</v>
      </c>
      <c r="AJ2236" s="29" t="s">
        <v>3475</v>
      </c>
      <c r="AL2236" s="29" t="s">
        <v>3114</v>
      </c>
    </row>
    <row r="2237" spans="15:38">
      <c r="O2237" t="s">
        <v>24</v>
      </c>
      <c r="P2237" t="s">
        <v>43</v>
      </c>
      <c r="Q2237" t="s">
        <v>22</v>
      </c>
      <c r="R2237" t="s">
        <v>58</v>
      </c>
      <c r="S2237">
        <v>2024.11</v>
      </c>
      <c r="T2237">
        <v>121680.92</v>
      </c>
      <c r="U2237">
        <v>0</v>
      </c>
      <c r="V2237">
        <v>0</v>
      </c>
      <c r="AA2237" s="29" t="s">
        <v>43</v>
      </c>
      <c r="AB2237">
        <v>31200</v>
      </c>
      <c r="AC2237">
        <v>160</v>
      </c>
      <c r="AD2237">
        <v>4</v>
      </c>
      <c r="AE2237">
        <v>2610</v>
      </c>
      <c r="AF2237">
        <v>2610</v>
      </c>
      <c r="AG2237" s="29" t="s">
        <v>3113</v>
      </c>
      <c r="AH2237" s="29" t="s">
        <v>3476</v>
      </c>
      <c r="AI2237" s="29" t="s">
        <v>3159</v>
      </c>
      <c r="AJ2237" s="29" t="s">
        <v>3477</v>
      </c>
      <c r="AL2237" s="29" t="s">
        <v>3114</v>
      </c>
    </row>
    <row r="2238" spans="15:38">
      <c r="O2238" t="s">
        <v>24</v>
      </c>
      <c r="P2238" t="s">
        <v>43</v>
      </c>
      <c r="Q2238" t="s">
        <v>22</v>
      </c>
      <c r="R2238" t="s">
        <v>58</v>
      </c>
      <c r="S2238">
        <v>2024.12</v>
      </c>
      <c r="T2238">
        <v>121686.93</v>
      </c>
      <c r="U2238">
        <v>0</v>
      </c>
      <c r="V2238">
        <v>0</v>
      </c>
      <c r="AA2238" s="29" t="s">
        <v>43</v>
      </c>
      <c r="AB2238">
        <v>31200</v>
      </c>
      <c r="AC2238">
        <v>160</v>
      </c>
      <c r="AD2238">
        <v>4</v>
      </c>
      <c r="AE2238">
        <v>174</v>
      </c>
      <c r="AF2238">
        <v>174</v>
      </c>
      <c r="AG2238" s="29" t="s">
        <v>3113</v>
      </c>
      <c r="AH2238" s="29" t="s">
        <v>3295</v>
      </c>
      <c r="AI2238" s="29" t="s">
        <v>3159</v>
      </c>
      <c r="AJ2238" s="29" t="s">
        <v>3296</v>
      </c>
      <c r="AL2238" s="29" t="s">
        <v>3114</v>
      </c>
    </row>
    <row r="2239" spans="15:38">
      <c r="O2239" t="s">
        <v>24</v>
      </c>
      <c r="P2239" t="s">
        <v>43</v>
      </c>
      <c r="Q2239" t="s">
        <v>22</v>
      </c>
      <c r="R2239" t="s">
        <v>58</v>
      </c>
      <c r="S2239">
        <v>2024.14</v>
      </c>
      <c r="T2239">
        <v>122021.87</v>
      </c>
      <c r="U2239">
        <v>0</v>
      </c>
      <c r="V2239">
        <v>0</v>
      </c>
      <c r="AA2239" s="29" t="s">
        <v>43</v>
      </c>
      <c r="AB2239">
        <v>31200</v>
      </c>
      <c r="AC2239">
        <v>160</v>
      </c>
      <c r="AD2239">
        <v>4</v>
      </c>
      <c r="AE2239">
        <v>348</v>
      </c>
      <c r="AF2239">
        <v>348</v>
      </c>
      <c r="AG2239" s="29" t="s">
        <v>3113</v>
      </c>
      <c r="AH2239" s="29" t="s">
        <v>3297</v>
      </c>
      <c r="AI2239" s="29" t="s">
        <v>3159</v>
      </c>
      <c r="AJ2239" s="29" t="s">
        <v>3298</v>
      </c>
      <c r="AL2239" s="29" t="s">
        <v>3114</v>
      </c>
    </row>
    <row r="2240" spans="15:38">
      <c r="O2240" t="s">
        <v>24</v>
      </c>
      <c r="P2240" t="s">
        <v>43</v>
      </c>
      <c r="Q2240" t="s">
        <v>22</v>
      </c>
      <c r="R2240" t="s">
        <v>58</v>
      </c>
      <c r="S2240">
        <v>2024.17</v>
      </c>
      <c r="T2240">
        <v>122173.75999999999</v>
      </c>
      <c r="U2240">
        <v>0</v>
      </c>
      <c r="V2240">
        <v>0</v>
      </c>
      <c r="AA2240" s="29" t="s">
        <v>43</v>
      </c>
      <c r="AB2240">
        <v>31200</v>
      </c>
      <c r="AC2240">
        <v>160</v>
      </c>
      <c r="AD2240">
        <v>4</v>
      </c>
      <c r="AE2240">
        <v>348</v>
      </c>
      <c r="AF2240">
        <v>348</v>
      </c>
      <c r="AG2240" s="29" t="s">
        <v>3113</v>
      </c>
      <c r="AH2240" s="29" t="s">
        <v>3297</v>
      </c>
      <c r="AI2240" s="29" t="s">
        <v>3159</v>
      </c>
      <c r="AJ2240" s="29" t="s">
        <v>3298</v>
      </c>
      <c r="AL2240" s="29" t="s">
        <v>3114</v>
      </c>
    </row>
    <row r="2241" spans="15:38">
      <c r="O2241" t="s">
        <v>24</v>
      </c>
      <c r="P2241" t="s">
        <v>43</v>
      </c>
      <c r="Q2241" t="s">
        <v>22</v>
      </c>
      <c r="R2241" t="s">
        <v>58</v>
      </c>
      <c r="S2241">
        <v>2024.18</v>
      </c>
      <c r="T2241">
        <v>119902.26</v>
      </c>
      <c r="U2241">
        <v>0</v>
      </c>
      <c r="V2241">
        <v>0</v>
      </c>
      <c r="AA2241" s="29" t="s">
        <v>43</v>
      </c>
      <c r="AB2241">
        <v>31200</v>
      </c>
      <c r="AC2241">
        <v>160</v>
      </c>
      <c r="AD2241">
        <v>4</v>
      </c>
      <c r="AE2241">
        <v>64.2</v>
      </c>
      <c r="AF2241">
        <v>64.2</v>
      </c>
      <c r="AG2241" s="29" t="s">
        <v>3113</v>
      </c>
      <c r="AH2241" s="29" t="s">
        <v>3478</v>
      </c>
      <c r="AI2241" s="29" t="s">
        <v>3159</v>
      </c>
      <c r="AJ2241" s="29" t="s">
        <v>3479</v>
      </c>
      <c r="AL2241" s="29" t="s">
        <v>3114</v>
      </c>
    </row>
    <row r="2242" spans="15:38">
      <c r="O2242" t="s">
        <v>24</v>
      </c>
      <c r="P2242" t="s">
        <v>43</v>
      </c>
      <c r="Q2242" t="s">
        <v>22</v>
      </c>
      <c r="R2242" t="s">
        <v>58</v>
      </c>
      <c r="S2242">
        <v>2024.19</v>
      </c>
      <c r="T2242">
        <v>119905.46</v>
      </c>
      <c r="U2242">
        <v>0</v>
      </c>
      <c r="V2242">
        <v>0</v>
      </c>
      <c r="AA2242" s="29" t="s">
        <v>43</v>
      </c>
      <c r="AB2242">
        <v>31200</v>
      </c>
      <c r="AC2242">
        <v>160</v>
      </c>
      <c r="AD2242">
        <v>4</v>
      </c>
      <c r="AE2242">
        <v>1913.16</v>
      </c>
      <c r="AF2242">
        <v>1913.16</v>
      </c>
      <c r="AG2242" s="29" t="s">
        <v>3113</v>
      </c>
      <c r="AH2242" s="29" t="s">
        <v>3480</v>
      </c>
      <c r="AI2242" s="29" t="s">
        <v>3159</v>
      </c>
      <c r="AJ2242" s="29" t="s">
        <v>3481</v>
      </c>
      <c r="AL2242" s="29" t="s">
        <v>3114</v>
      </c>
    </row>
    <row r="2243" spans="15:38">
      <c r="O2243" t="s">
        <v>24</v>
      </c>
      <c r="P2243" t="s">
        <v>43</v>
      </c>
      <c r="Q2243" t="s">
        <v>22</v>
      </c>
      <c r="R2243" t="s">
        <v>58</v>
      </c>
      <c r="S2243">
        <v>2024.2</v>
      </c>
      <c r="T2243">
        <v>119905.77</v>
      </c>
      <c r="U2243">
        <v>0</v>
      </c>
      <c r="V2243">
        <v>0</v>
      </c>
      <c r="AA2243" s="29" t="s">
        <v>43</v>
      </c>
      <c r="AB2243">
        <v>31200</v>
      </c>
      <c r="AC2243">
        <v>160</v>
      </c>
      <c r="AD2243">
        <v>4</v>
      </c>
      <c r="AE2243">
        <v>594.91999999999996</v>
      </c>
      <c r="AF2243">
        <v>594.91999999999996</v>
      </c>
      <c r="AG2243" s="29" t="s">
        <v>3113</v>
      </c>
      <c r="AH2243" s="29" t="s">
        <v>3356</v>
      </c>
      <c r="AI2243" s="29" t="s">
        <v>3159</v>
      </c>
      <c r="AJ2243" s="29" t="s">
        <v>508</v>
      </c>
      <c r="AL2243" s="29" t="s">
        <v>3114</v>
      </c>
    </row>
    <row r="2244" spans="15:38">
      <c r="O2244" t="s">
        <v>24</v>
      </c>
      <c r="P2244" t="s">
        <v>43</v>
      </c>
      <c r="Q2244" t="s">
        <v>22</v>
      </c>
      <c r="R2244" t="s">
        <v>58</v>
      </c>
      <c r="S2244">
        <v>2024.21</v>
      </c>
      <c r="T2244">
        <v>119906.8</v>
      </c>
      <c r="U2244">
        <v>0</v>
      </c>
      <c r="V2244">
        <v>0</v>
      </c>
      <c r="AA2244" s="29" t="s">
        <v>43</v>
      </c>
      <c r="AB2244">
        <v>31200</v>
      </c>
      <c r="AC2244">
        <v>160</v>
      </c>
      <c r="AD2244">
        <v>4</v>
      </c>
      <c r="AE2244">
        <v>116.44</v>
      </c>
      <c r="AF2244">
        <v>116.44</v>
      </c>
      <c r="AG2244" s="29" t="s">
        <v>3113</v>
      </c>
      <c r="AH2244" s="29" t="s">
        <v>3307</v>
      </c>
      <c r="AI2244" s="29" t="s">
        <v>3159</v>
      </c>
      <c r="AJ2244" s="29" t="s">
        <v>2070</v>
      </c>
      <c r="AL2244" s="29" t="s">
        <v>3114</v>
      </c>
    </row>
    <row r="2245" spans="15:38">
      <c r="O2245" t="s">
        <v>24</v>
      </c>
      <c r="P2245" t="s">
        <v>43</v>
      </c>
      <c r="Q2245" t="s">
        <v>22</v>
      </c>
      <c r="R2245" t="s">
        <v>58</v>
      </c>
      <c r="S2245">
        <v>2024.28</v>
      </c>
      <c r="T2245">
        <v>120178.41</v>
      </c>
      <c r="U2245">
        <v>0</v>
      </c>
      <c r="V2245">
        <v>0</v>
      </c>
      <c r="AA2245" s="29" t="s">
        <v>43</v>
      </c>
      <c r="AB2245">
        <v>31200</v>
      </c>
      <c r="AC2245">
        <v>160</v>
      </c>
      <c r="AD2245">
        <v>4</v>
      </c>
      <c r="AE2245">
        <v>316.92</v>
      </c>
      <c r="AF2245">
        <v>316.92</v>
      </c>
      <c r="AG2245" s="29" t="s">
        <v>3113</v>
      </c>
      <c r="AH2245" s="29" t="s">
        <v>3482</v>
      </c>
      <c r="AI2245" s="29" t="s">
        <v>3159</v>
      </c>
      <c r="AJ2245" s="29" t="s">
        <v>3483</v>
      </c>
      <c r="AL2245" s="29" t="s">
        <v>3114</v>
      </c>
    </row>
    <row r="2246" spans="15:38">
      <c r="O2246" t="s">
        <v>24</v>
      </c>
      <c r="P2246" t="s">
        <v>43</v>
      </c>
      <c r="Q2246" t="s">
        <v>22</v>
      </c>
      <c r="R2246" t="s">
        <v>58</v>
      </c>
      <c r="S2246">
        <v>2024.38</v>
      </c>
      <c r="T2246">
        <v>120178.41</v>
      </c>
      <c r="U2246">
        <v>0</v>
      </c>
      <c r="V2246">
        <v>0</v>
      </c>
      <c r="AA2246" s="29" t="s">
        <v>43</v>
      </c>
      <c r="AB2246">
        <v>31200</v>
      </c>
      <c r="AC2246">
        <v>160</v>
      </c>
      <c r="AD2246">
        <v>4</v>
      </c>
      <c r="AE2246">
        <v>68.099999999999994</v>
      </c>
      <c r="AF2246">
        <v>68.099999999999994</v>
      </c>
      <c r="AG2246" s="29" t="s">
        <v>3113</v>
      </c>
      <c r="AH2246" s="29" t="s">
        <v>3484</v>
      </c>
      <c r="AI2246" s="29" t="s">
        <v>3159</v>
      </c>
      <c r="AJ2246" s="29" t="s">
        <v>3485</v>
      </c>
      <c r="AL2246" s="29" t="s">
        <v>3114</v>
      </c>
    </row>
    <row r="2247" spans="15:38">
      <c r="O2247" t="s">
        <v>24</v>
      </c>
      <c r="P2247" t="s">
        <v>43</v>
      </c>
      <c r="Q2247" t="s">
        <v>22</v>
      </c>
      <c r="R2247" t="s">
        <v>58</v>
      </c>
      <c r="S2247">
        <v>2024.39</v>
      </c>
      <c r="T2247">
        <v>120178.41</v>
      </c>
      <c r="U2247">
        <v>0</v>
      </c>
      <c r="V2247">
        <v>0</v>
      </c>
      <c r="AA2247" s="29" t="s">
        <v>43</v>
      </c>
      <c r="AB2247">
        <v>31200</v>
      </c>
      <c r="AC2247">
        <v>160</v>
      </c>
      <c r="AD2247">
        <v>4</v>
      </c>
      <c r="AE2247">
        <v>-9.08</v>
      </c>
      <c r="AF2247">
        <v>-9.08</v>
      </c>
      <c r="AG2247" s="29" t="s">
        <v>3113</v>
      </c>
      <c r="AH2247" s="29" t="s">
        <v>3486</v>
      </c>
      <c r="AI2247" s="29" t="s">
        <v>3159</v>
      </c>
      <c r="AJ2247" s="29" t="s">
        <v>3487</v>
      </c>
      <c r="AL2247" s="29" t="s">
        <v>3114</v>
      </c>
    </row>
    <row r="2248" spans="15:38">
      <c r="O2248" t="s">
        <v>24</v>
      </c>
      <c r="P2248" t="s">
        <v>43</v>
      </c>
      <c r="Q2248" t="s">
        <v>22</v>
      </c>
      <c r="R2248" t="s">
        <v>58</v>
      </c>
      <c r="S2248">
        <v>2024.41</v>
      </c>
      <c r="T2248">
        <v>120178.41</v>
      </c>
      <c r="U2248">
        <v>0</v>
      </c>
      <c r="V2248">
        <v>0</v>
      </c>
      <c r="AA2248" s="29" t="s">
        <v>43</v>
      </c>
      <c r="AB2248">
        <v>31200</v>
      </c>
      <c r="AC2248">
        <v>160</v>
      </c>
      <c r="AD2248">
        <v>4</v>
      </c>
      <c r="AE2248">
        <v>9.08</v>
      </c>
      <c r="AF2248">
        <v>9.08</v>
      </c>
      <c r="AG2248" s="29" t="s">
        <v>3113</v>
      </c>
      <c r="AH2248" s="29" t="s">
        <v>3232</v>
      </c>
      <c r="AI2248" s="29" t="s">
        <v>3159</v>
      </c>
      <c r="AJ2248" s="29" t="s">
        <v>3488</v>
      </c>
      <c r="AL2248" s="29" t="s">
        <v>3114</v>
      </c>
    </row>
    <row r="2249" spans="15:38">
      <c r="O2249" t="s">
        <v>24</v>
      </c>
      <c r="P2249" t="s">
        <v>43</v>
      </c>
      <c r="Q2249" t="s">
        <v>22</v>
      </c>
      <c r="R2249" t="s">
        <v>58</v>
      </c>
      <c r="S2249">
        <v>2024.43</v>
      </c>
      <c r="T2249">
        <v>120271.61</v>
      </c>
      <c r="U2249">
        <v>0</v>
      </c>
      <c r="V2249">
        <v>0</v>
      </c>
      <c r="AA2249" s="29" t="s">
        <v>43</v>
      </c>
      <c r="AB2249">
        <v>31200</v>
      </c>
      <c r="AC2249">
        <v>160</v>
      </c>
      <c r="AD2249">
        <v>4</v>
      </c>
      <c r="AE2249">
        <v>13.62</v>
      </c>
      <c r="AF2249">
        <v>13.62</v>
      </c>
      <c r="AG2249" s="29" t="s">
        <v>3113</v>
      </c>
      <c r="AH2249" s="29" t="s">
        <v>3489</v>
      </c>
      <c r="AI2249" s="29" t="s">
        <v>3159</v>
      </c>
      <c r="AJ2249" s="29" t="s">
        <v>3490</v>
      </c>
      <c r="AL2249" s="29" t="s">
        <v>3114</v>
      </c>
    </row>
    <row r="2250" spans="15:38">
      <c r="O2250" t="s">
        <v>24</v>
      </c>
      <c r="P2250" t="s">
        <v>43</v>
      </c>
      <c r="Q2250" t="s">
        <v>22</v>
      </c>
      <c r="R2250" t="s">
        <v>58</v>
      </c>
      <c r="S2250">
        <v>2024.44</v>
      </c>
      <c r="T2250">
        <v>120831.13</v>
      </c>
      <c r="U2250">
        <v>0</v>
      </c>
      <c r="V2250">
        <v>0</v>
      </c>
      <c r="AA2250" s="29" t="s">
        <v>43</v>
      </c>
      <c r="AB2250">
        <v>31200</v>
      </c>
      <c r="AC2250">
        <v>160</v>
      </c>
      <c r="AD2250">
        <v>4</v>
      </c>
      <c r="AE2250">
        <v>42.84</v>
      </c>
      <c r="AF2250">
        <v>42.84</v>
      </c>
      <c r="AG2250" s="29" t="s">
        <v>3113</v>
      </c>
      <c r="AH2250" s="29" t="s">
        <v>3392</v>
      </c>
      <c r="AI2250" s="29" t="s">
        <v>3159</v>
      </c>
      <c r="AJ2250" s="29" t="s">
        <v>3393</v>
      </c>
      <c r="AL2250" s="29" t="s">
        <v>3114</v>
      </c>
    </row>
    <row r="2251" spans="15:38">
      <c r="O2251" t="s">
        <v>24</v>
      </c>
      <c r="P2251" t="s">
        <v>43</v>
      </c>
      <c r="Q2251" t="s">
        <v>22</v>
      </c>
      <c r="R2251" t="s">
        <v>58</v>
      </c>
      <c r="S2251">
        <v>2024.45</v>
      </c>
      <c r="T2251">
        <v>120831.13</v>
      </c>
      <c r="U2251">
        <v>0</v>
      </c>
      <c r="V2251">
        <v>0</v>
      </c>
      <c r="AA2251" s="29" t="s">
        <v>43</v>
      </c>
      <c r="AB2251">
        <v>31200</v>
      </c>
      <c r="AC2251">
        <v>160</v>
      </c>
      <c r="AD2251">
        <v>4</v>
      </c>
      <c r="AE2251">
        <v>30.08</v>
      </c>
      <c r="AF2251">
        <v>30.08</v>
      </c>
      <c r="AG2251" s="29" t="s">
        <v>3113</v>
      </c>
      <c r="AH2251" s="29" t="s">
        <v>3491</v>
      </c>
      <c r="AI2251" s="29" t="s">
        <v>3159</v>
      </c>
      <c r="AJ2251" s="29" t="s">
        <v>3492</v>
      </c>
      <c r="AL2251" s="29" t="s">
        <v>3114</v>
      </c>
    </row>
    <row r="2252" spans="15:38">
      <c r="O2252" t="s">
        <v>24</v>
      </c>
      <c r="P2252" t="s">
        <v>43</v>
      </c>
      <c r="Q2252" t="s">
        <v>22</v>
      </c>
      <c r="R2252" t="s">
        <v>58</v>
      </c>
      <c r="S2252">
        <v>2024.47</v>
      </c>
      <c r="T2252">
        <v>122205.49</v>
      </c>
      <c r="U2252">
        <v>0</v>
      </c>
      <c r="V2252">
        <v>0</v>
      </c>
      <c r="AA2252" s="29" t="s">
        <v>43</v>
      </c>
      <c r="AB2252">
        <v>31200</v>
      </c>
      <c r="AC2252">
        <v>160</v>
      </c>
      <c r="AD2252">
        <v>4</v>
      </c>
      <c r="AE2252">
        <v>69.92</v>
      </c>
      <c r="AF2252">
        <v>69.92</v>
      </c>
      <c r="AG2252" s="29" t="s">
        <v>3113</v>
      </c>
      <c r="AH2252" s="29" t="s">
        <v>3493</v>
      </c>
      <c r="AI2252" s="29" t="s">
        <v>3159</v>
      </c>
      <c r="AJ2252" s="29" t="s">
        <v>3494</v>
      </c>
      <c r="AL2252" s="29" t="s">
        <v>3114</v>
      </c>
    </row>
    <row r="2253" spans="15:38">
      <c r="O2253" t="s">
        <v>24</v>
      </c>
      <c r="P2253" t="s">
        <v>43</v>
      </c>
      <c r="Q2253" t="s">
        <v>22</v>
      </c>
      <c r="R2253" t="s">
        <v>58</v>
      </c>
      <c r="S2253">
        <v>2024.48</v>
      </c>
      <c r="T2253">
        <v>122219.78</v>
      </c>
      <c r="U2253">
        <v>0</v>
      </c>
      <c r="V2253">
        <v>4205.49</v>
      </c>
      <c r="AA2253" s="29" t="s">
        <v>43</v>
      </c>
      <c r="AB2253">
        <v>31200</v>
      </c>
      <c r="AC2253">
        <v>160</v>
      </c>
      <c r="AD2253">
        <v>4</v>
      </c>
      <c r="AE2253">
        <v>9.4600000000000009</v>
      </c>
      <c r="AF2253">
        <v>9.4600000000000009</v>
      </c>
      <c r="AG2253" s="29" t="s">
        <v>3113</v>
      </c>
      <c r="AH2253" s="29" t="s">
        <v>3495</v>
      </c>
      <c r="AI2253" s="29" t="s">
        <v>3159</v>
      </c>
      <c r="AJ2253" s="29" t="s">
        <v>3496</v>
      </c>
      <c r="AL2253" s="29" t="s">
        <v>3114</v>
      </c>
    </row>
    <row r="2254" spans="15:38">
      <c r="O2254" t="s">
        <v>24</v>
      </c>
      <c r="P2254" t="s">
        <v>43</v>
      </c>
      <c r="Q2254" t="s">
        <v>22</v>
      </c>
      <c r="R2254" t="s">
        <v>58</v>
      </c>
      <c r="S2254">
        <v>2024.49</v>
      </c>
      <c r="T2254">
        <v>122257.28</v>
      </c>
      <c r="U2254">
        <v>0</v>
      </c>
      <c r="V2254">
        <v>4205.49</v>
      </c>
      <c r="AA2254" s="29" t="s">
        <v>43</v>
      </c>
      <c r="AB2254">
        <v>31200</v>
      </c>
      <c r="AC2254">
        <v>160</v>
      </c>
      <c r="AD2254">
        <v>4</v>
      </c>
      <c r="AE2254">
        <v>82.86</v>
      </c>
      <c r="AF2254">
        <v>82.86</v>
      </c>
      <c r="AG2254" s="29" t="s">
        <v>3113</v>
      </c>
      <c r="AH2254" s="29" t="s">
        <v>3422</v>
      </c>
      <c r="AI2254" s="29" t="s">
        <v>3159</v>
      </c>
      <c r="AJ2254" s="29" t="s">
        <v>3423</v>
      </c>
      <c r="AL2254" s="29" t="s">
        <v>3114</v>
      </c>
    </row>
    <row r="2255" spans="15:38">
      <c r="O2255" t="s">
        <v>24</v>
      </c>
      <c r="P2255" t="s">
        <v>43</v>
      </c>
      <c r="Q2255" t="s">
        <v>22</v>
      </c>
      <c r="R2255" t="s">
        <v>58</v>
      </c>
      <c r="S2255">
        <v>2025.03</v>
      </c>
      <c r="T2255">
        <v>122311.72</v>
      </c>
      <c r="U2255">
        <v>0</v>
      </c>
      <c r="V2255">
        <v>122311.72</v>
      </c>
      <c r="AA2255" s="29" t="s">
        <v>43</v>
      </c>
      <c r="AB2255">
        <v>31200</v>
      </c>
      <c r="AC2255">
        <v>160</v>
      </c>
      <c r="AD2255">
        <v>4</v>
      </c>
      <c r="AE2255">
        <v>22638</v>
      </c>
      <c r="AF2255">
        <v>22638</v>
      </c>
      <c r="AG2255" s="29" t="s">
        <v>3113</v>
      </c>
      <c r="AH2255" s="29" t="s">
        <v>3497</v>
      </c>
      <c r="AI2255" s="29" t="s">
        <v>3159</v>
      </c>
      <c r="AJ2255" s="29" t="s">
        <v>3498</v>
      </c>
      <c r="AL2255" s="29" t="s">
        <v>3114</v>
      </c>
    </row>
    <row r="2256" spans="15:38">
      <c r="O2256" t="s">
        <v>24</v>
      </c>
      <c r="P2256" t="s">
        <v>43</v>
      </c>
      <c r="Q2256" t="s">
        <v>22</v>
      </c>
      <c r="R2256" t="s">
        <v>58</v>
      </c>
      <c r="S2256">
        <v>2025.08</v>
      </c>
      <c r="T2256">
        <v>122619.03</v>
      </c>
      <c r="U2256">
        <v>0</v>
      </c>
      <c r="V2256">
        <v>122311.72</v>
      </c>
      <c r="AA2256" s="29" t="s">
        <v>43</v>
      </c>
      <c r="AB2256">
        <v>31200</v>
      </c>
      <c r="AC2256">
        <v>160</v>
      </c>
      <c r="AD2256">
        <v>4</v>
      </c>
      <c r="AE2256">
        <v>440.1</v>
      </c>
      <c r="AF2256">
        <v>440.1</v>
      </c>
      <c r="AG2256" s="29" t="s">
        <v>3113</v>
      </c>
      <c r="AH2256" s="29" t="s">
        <v>3499</v>
      </c>
      <c r="AI2256" s="29" t="s">
        <v>3159</v>
      </c>
      <c r="AJ2256" s="29" t="s">
        <v>3500</v>
      </c>
      <c r="AL2256" s="29" t="s">
        <v>3114</v>
      </c>
    </row>
    <row r="2257" spans="15:38">
      <c r="O2257" t="s">
        <v>24</v>
      </c>
      <c r="P2257" t="s">
        <v>43</v>
      </c>
      <c r="Q2257" t="s">
        <v>22</v>
      </c>
      <c r="R2257" t="s">
        <v>58</v>
      </c>
      <c r="S2257">
        <v>2025.1</v>
      </c>
      <c r="T2257">
        <v>122619.03</v>
      </c>
      <c r="U2257">
        <v>0</v>
      </c>
      <c r="V2257">
        <v>122311.72</v>
      </c>
      <c r="AA2257" s="29" t="s">
        <v>43</v>
      </c>
      <c r="AB2257">
        <v>31200</v>
      </c>
      <c r="AC2257">
        <v>160</v>
      </c>
      <c r="AD2257">
        <v>4</v>
      </c>
      <c r="AE2257">
        <v>230.05</v>
      </c>
      <c r="AF2257">
        <v>230.05</v>
      </c>
      <c r="AG2257" s="29" t="s">
        <v>3113</v>
      </c>
      <c r="AH2257" s="29" t="s">
        <v>3501</v>
      </c>
      <c r="AI2257" s="29" t="s">
        <v>3159</v>
      </c>
      <c r="AJ2257" s="29" t="s">
        <v>3502</v>
      </c>
      <c r="AL2257" s="29" t="s">
        <v>3114</v>
      </c>
    </row>
    <row r="2258" spans="15:38">
      <c r="O2258" t="s">
        <v>24</v>
      </c>
      <c r="P2258" t="s">
        <v>43</v>
      </c>
      <c r="Q2258" t="s">
        <v>22</v>
      </c>
      <c r="R2258" t="s">
        <v>58</v>
      </c>
      <c r="S2258">
        <v>2025.11</v>
      </c>
      <c r="T2258">
        <v>122727.88</v>
      </c>
      <c r="U2258">
        <v>0</v>
      </c>
      <c r="V2258">
        <v>122311.72</v>
      </c>
      <c r="AA2258" s="29" t="s">
        <v>43</v>
      </c>
      <c r="AB2258">
        <v>31200</v>
      </c>
      <c r="AC2258">
        <v>160</v>
      </c>
      <c r="AD2258">
        <v>4</v>
      </c>
      <c r="AE2258">
        <v>880.92</v>
      </c>
      <c r="AF2258">
        <v>880.92</v>
      </c>
      <c r="AG2258" s="29" t="s">
        <v>3113</v>
      </c>
      <c r="AH2258" s="29" t="s">
        <v>3396</v>
      </c>
      <c r="AI2258" s="29" t="s">
        <v>3159</v>
      </c>
      <c r="AJ2258" s="29" t="s">
        <v>3397</v>
      </c>
      <c r="AL2258" s="29" t="s">
        <v>3114</v>
      </c>
    </row>
    <row r="2259" spans="15:38">
      <c r="O2259" t="s">
        <v>24</v>
      </c>
      <c r="P2259" t="s">
        <v>43</v>
      </c>
      <c r="Q2259" t="s">
        <v>22</v>
      </c>
      <c r="R2259" t="s">
        <v>58</v>
      </c>
      <c r="S2259">
        <v>2025.12</v>
      </c>
      <c r="T2259">
        <v>122915.94</v>
      </c>
      <c r="U2259">
        <v>0</v>
      </c>
      <c r="V2259">
        <v>122311.72</v>
      </c>
      <c r="AA2259" s="29" t="s">
        <v>43</v>
      </c>
      <c r="AB2259">
        <v>31200</v>
      </c>
      <c r="AC2259">
        <v>160</v>
      </c>
      <c r="AD2259">
        <v>4</v>
      </c>
      <c r="AE2259">
        <v>9.08</v>
      </c>
      <c r="AF2259">
        <v>9.08</v>
      </c>
      <c r="AG2259" s="29" t="s">
        <v>3113</v>
      </c>
      <c r="AH2259" s="29" t="s">
        <v>3232</v>
      </c>
      <c r="AI2259" s="29" t="s">
        <v>3159</v>
      </c>
      <c r="AJ2259" s="29" t="s">
        <v>3488</v>
      </c>
      <c r="AL2259" s="29" t="s">
        <v>3114</v>
      </c>
    </row>
    <row r="2260" spans="15:38">
      <c r="O2260" t="s">
        <v>24</v>
      </c>
      <c r="P2260" t="s">
        <v>43</v>
      </c>
      <c r="Q2260" t="s">
        <v>22</v>
      </c>
      <c r="R2260" t="s">
        <v>56</v>
      </c>
      <c r="S2260">
        <v>2023.47</v>
      </c>
      <c r="T2260">
        <v>0</v>
      </c>
      <c r="U2260">
        <v>153804.73509999999</v>
      </c>
      <c r="V2260">
        <v>153804.73509999999</v>
      </c>
      <c r="AA2260" s="29" t="s">
        <v>43</v>
      </c>
      <c r="AB2260">
        <v>31200</v>
      </c>
      <c r="AC2260">
        <v>160</v>
      </c>
      <c r="AD2260">
        <v>4</v>
      </c>
      <c r="AE2260">
        <v>0</v>
      </c>
      <c r="AF2260">
        <v>0</v>
      </c>
      <c r="AG2260" s="29" t="s">
        <v>3113</v>
      </c>
      <c r="AH2260" s="29" t="s">
        <v>3119</v>
      </c>
      <c r="AI2260" s="29" t="s">
        <v>3159</v>
      </c>
      <c r="AJ2260" s="29" t="s">
        <v>3503</v>
      </c>
      <c r="AL2260" s="29" t="s">
        <v>3114</v>
      </c>
    </row>
    <row r="2261" spans="15:38">
      <c r="O2261" t="s">
        <v>24</v>
      </c>
      <c r="P2261" t="s">
        <v>43</v>
      </c>
      <c r="Q2261" t="s">
        <v>22</v>
      </c>
      <c r="R2261" t="s">
        <v>56</v>
      </c>
      <c r="S2261">
        <v>2023.51</v>
      </c>
      <c r="T2261">
        <v>90611.199999999997</v>
      </c>
      <c r="U2261">
        <v>153804.73509999999</v>
      </c>
      <c r="V2261">
        <v>153804.73509999999</v>
      </c>
      <c r="AA2261" s="29" t="s">
        <v>43</v>
      </c>
      <c r="AB2261">
        <v>31200</v>
      </c>
      <c r="AC2261">
        <v>160</v>
      </c>
      <c r="AD2261">
        <v>4</v>
      </c>
      <c r="AE2261">
        <v>537.44000000000005</v>
      </c>
      <c r="AF2261">
        <v>537.44000000000005</v>
      </c>
      <c r="AG2261" s="29" t="s">
        <v>3113</v>
      </c>
      <c r="AH2261" s="29" t="s">
        <v>3504</v>
      </c>
      <c r="AI2261" s="29" t="s">
        <v>3159</v>
      </c>
      <c r="AJ2261" s="29" t="s">
        <v>3505</v>
      </c>
      <c r="AL2261" s="29" t="s">
        <v>3114</v>
      </c>
    </row>
    <row r="2262" spans="15:38">
      <c r="O2262" t="s">
        <v>24</v>
      </c>
      <c r="P2262" t="s">
        <v>43</v>
      </c>
      <c r="Q2262" t="s">
        <v>22</v>
      </c>
      <c r="R2262" t="s">
        <v>56</v>
      </c>
      <c r="S2262">
        <v>2024.05</v>
      </c>
      <c r="T2262">
        <v>89100</v>
      </c>
      <c r="U2262">
        <v>153804.73509999999</v>
      </c>
      <c r="V2262">
        <v>153804.73509999999</v>
      </c>
      <c r="AA2262" s="29" t="s">
        <v>43</v>
      </c>
      <c r="AB2262">
        <v>31200</v>
      </c>
      <c r="AC2262">
        <v>160</v>
      </c>
      <c r="AD2262">
        <v>4</v>
      </c>
      <c r="AE2262">
        <v>2.7</v>
      </c>
      <c r="AF2262">
        <v>2.7</v>
      </c>
      <c r="AG2262" s="29" t="s">
        <v>3113</v>
      </c>
      <c r="AH2262" s="29" t="s">
        <v>3506</v>
      </c>
      <c r="AI2262" s="29" t="s">
        <v>3159</v>
      </c>
      <c r="AJ2262" s="29" t="s">
        <v>3507</v>
      </c>
      <c r="AL2262" s="29" t="s">
        <v>3114</v>
      </c>
    </row>
    <row r="2263" spans="15:38">
      <c r="O2263" t="s">
        <v>24</v>
      </c>
      <c r="P2263" t="s">
        <v>43</v>
      </c>
      <c r="Q2263" t="s">
        <v>22</v>
      </c>
      <c r="R2263" t="s">
        <v>56</v>
      </c>
      <c r="S2263">
        <v>2024.06</v>
      </c>
      <c r="T2263">
        <v>89100</v>
      </c>
      <c r="U2263">
        <v>153804.73509999999</v>
      </c>
      <c r="V2263">
        <v>153804.73509999999</v>
      </c>
      <c r="AA2263" s="29" t="s">
        <v>43</v>
      </c>
      <c r="AB2263">
        <v>31200</v>
      </c>
      <c r="AC2263">
        <v>160</v>
      </c>
      <c r="AD2263">
        <v>4</v>
      </c>
      <c r="AE2263">
        <v>1344</v>
      </c>
      <c r="AF2263">
        <v>1344</v>
      </c>
      <c r="AG2263" s="29" t="s">
        <v>3113</v>
      </c>
      <c r="AH2263" s="29" t="s">
        <v>3398</v>
      </c>
      <c r="AI2263" s="29" t="s">
        <v>3159</v>
      </c>
      <c r="AJ2263" s="29" t="s">
        <v>3399</v>
      </c>
      <c r="AL2263" s="29" t="s">
        <v>3114</v>
      </c>
    </row>
    <row r="2264" spans="15:38">
      <c r="O2264" t="s">
        <v>24</v>
      </c>
      <c r="P2264" t="s">
        <v>43</v>
      </c>
      <c r="Q2264" t="s">
        <v>22</v>
      </c>
      <c r="R2264" t="s">
        <v>56</v>
      </c>
      <c r="S2264">
        <v>2024.07</v>
      </c>
      <c r="T2264">
        <v>89100</v>
      </c>
      <c r="U2264">
        <v>153804.73509999999</v>
      </c>
      <c r="V2264">
        <v>153804.73509999999</v>
      </c>
      <c r="AA2264" s="29" t="s">
        <v>43</v>
      </c>
      <c r="AB2264">
        <v>31200</v>
      </c>
      <c r="AC2264">
        <v>160</v>
      </c>
      <c r="AD2264">
        <v>4</v>
      </c>
      <c r="AE2264">
        <v>210.6</v>
      </c>
      <c r="AF2264">
        <v>210.6</v>
      </c>
      <c r="AG2264" s="29" t="s">
        <v>3113</v>
      </c>
      <c r="AH2264" s="29" t="s">
        <v>3508</v>
      </c>
      <c r="AI2264" s="29" t="s">
        <v>3159</v>
      </c>
      <c r="AJ2264" s="29" t="s">
        <v>3509</v>
      </c>
      <c r="AL2264" s="29" t="s">
        <v>3114</v>
      </c>
    </row>
    <row r="2265" spans="15:38">
      <c r="O2265" t="s">
        <v>24</v>
      </c>
      <c r="P2265" t="s">
        <v>43</v>
      </c>
      <c r="Q2265" t="s">
        <v>22</v>
      </c>
      <c r="R2265" t="s">
        <v>56</v>
      </c>
      <c r="S2265">
        <v>2024.08</v>
      </c>
      <c r="T2265">
        <v>89100</v>
      </c>
      <c r="U2265">
        <v>153804.73509999999</v>
      </c>
      <c r="V2265">
        <v>153804.73509999999</v>
      </c>
      <c r="AA2265" s="29" t="s">
        <v>43</v>
      </c>
      <c r="AB2265">
        <v>31200</v>
      </c>
      <c r="AC2265">
        <v>160</v>
      </c>
      <c r="AD2265">
        <v>4</v>
      </c>
      <c r="AE2265">
        <v>0</v>
      </c>
      <c r="AF2265">
        <v>0</v>
      </c>
      <c r="AG2265" s="29" t="s">
        <v>3113</v>
      </c>
      <c r="AH2265" s="29" t="s">
        <v>3119</v>
      </c>
      <c r="AI2265" s="29" t="s">
        <v>3159</v>
      </c>
      <c r="AJ2265" s="29" t="s">
        <v>3503</v>
      </c>
      <c r="AL2265" s="29" t="s">
        <v>3114</v>
      </c>
    </row>
    <row r="2266" spans="15:38">
      <c r="O2266" t="s">
        <v>24</v>
      </c>
      <c r="P2266" t="s">
        <v>43</v>
      </c>
      <c r="Q2266" t="s">
        <v>22</v>
      </c>
      <c r="R2266" t="s">
        <v>56</v>
      </c>
      <c r="S2266">
        <v>2024.09</v>
      </c>
      <c r="T2266">
        <v>90611.199999999997</v>
      </c>
      <c r="U2266">
        <v>153804.73509999999</v>
      </c>
      <c r="V2266">
        <v>153804.73509999999</v>
      </c>
      <c r="AA2266" s="29" t="s">
        <v>43</v>
      </c>
      <c r="AB2266">
        <v>31200</v>
      </c>
      <c r="AC2266">
        <v>160</v>
      </c>
      <c r="AD2266">
        <v>4</v>
      </c>
      <c r="AE2266">
        <v>0</v>
      </c>
      <c r="AF2266">
        <v>0</v>
      </c>
      <c r="AG2266" s="29" t="s">
        <v>3113</v>
      </c>
      <c r="AH2266" s="29" t="s">
        <v>3119</v>
      </c>
      <c r="AI2266" s="29" t="s">
        <v>3159</v>
      </c>
      <c r="AJ2266" s="29" t="s">
        <v>3510</v>
      </c>
      <c r="AL2266" s="29" t="s">
        <v>3114</v>
      </c>
    </row>
    <row r="2267" spans="15:38">
      <c r="O2267" t="s">
        <v>24</v>
      </c>
      <c r="P2267" t="s">
        <v>43</v>
      </c>
      <c r="Q2267" t="s">
        <v>22</v>
      </c>
      <c r="R2267" t="s">
        <v>56</v>
      </c>
      <c r="S2267">
        <v>2024.1</v>
      </c>
      <c r="T2267">
        <v>92122.4</v>
      </c>
      <c r="U2267">
        <v>153804.73509999999</v>
      </c>
      <c r="V2267">
        <v>153804.73509999999</v>
      </c>
      <c r="AA2267" s="29" t="s">
        <v>43</v>
      </c>
      <c r="AB2267">
        <v>31200</v>
      </c>
      <c r="AC2267">
        <v>160</v>
      </c>
      <c r="AD2267">
        <v>4</v>
      </c>
      <c r="AE2267">
        <v>107</v>
      </c>
      <c r="AF2267">
        <v>107</v>
      </c>
      <c r="AG2267" s="29" t="s">
        <v>3113</v>
      </c>
      <c r="AH2267" s="29" t="s">
        <v>3320</v>
      </c>
      <c r="AI2267" s="29" t="s">
        <v>3159</v>
      </c>
      <c r="AJ2267" s="29" t="s">
        <v>3511</v>
      </c>
      <c r="AL2267" s="29" t="s">
        <v>3114</v>
      </c>
    </row>
    <row r="2268" spans="15:38">
      <c r="O2268" t="s">
        <v>24</v>
      </c>
      <c r="P2268" t="s">
        <v>43</v>
      </c>
      <c r="Q2268" t="s">
        <v>22</v>
      </c>
      <c r="R2268" t="s">
        <v>56</v>
      </c>
      <c r="S2268">
        <v>2024.11</v>
      </c>
      <c r="T2268">
        <v>93331.36</v>
      </c>
      <c r="U2268">
        <v>153804.73509999999</v>
      </c>
      <c r="V2268">
        <v>153804.73509999999</v>
      </c>
      <c r="AA2268" s="29" t="s">
        <v>43</v>
      </c>
      <c r="AB2268">
        <v>31200</v>
      </c>
      <c r="AC2268">
        <v>160</v>
      </c>
      <c r="AD2268">
        <v>4</v>
      </c>
      <c r="AE2268">
        <v>0</v>
      </c>
      <c r="AF2268">
        <v>0</v>
      </c>
      <c r="AG2268" s="29" t="s">
        <v>3113</v>
      </c>
      <c r="AH2268" s="29" t="s">
        <v>3119</v>
      </c>
      <c r="AI2268" s="29" t="s">
        <v>3159</v>
      </c>
      <c r="AJ2268" s="29" t="s">
        <v>3512</v>
      </c>
      <c r="AL2268" s="29" t="s">
        <v>3114</v>
      </c>
    </row>
    <row r="2269" spans="15:38">
      <c r="O2269" t="s">
        <v>24</v>
      </c>
      <c r="P2269" t="s">
        <v>43</v>
      </c>
      <c r="Q2269" t="s">
        <v>22</v>
      </c>
      <c r="R2269" t="s">
        <v>56</v>
      </c>
      <c r="S2269">
        <v>2024.12</v>
      </c>
      <c r="T2269">
        <v>94120.26</v>
      </c>
      <c r="U2269">
        <v>153804.73509999999</v>
      </c>
      <c r="V2269">
        <v>153804.73509999999</v>
      </c>
      <c r="AA2269" s="29" t="s">
        <v>43</v>
      </c>
      <c r="AB2269">
        <v>31200</v>
      </c>
      <c r="AC2269">
        <v>160</v>
      </c>
      <c r="AD2269">
        <v>4</v>
      </c>
      <c r="AE2269">
        <v>166.2</v>
      </c>
      <c r="AF2269">
        <v>166.2</v>
      </c>
      <c r="AG2269" s="29" t="s">
        <v>3113</v>
      </c>
      <c r="AH2269" s="29" t="s">
        <v>3410</v>
      </c>
      <c r="AI2269" s="29" t="s">
        <v>3159</v>
      </c>
      <c r="AJ2269" s="29" t="s">
        <v>3411</v>
      </c>
      <c r="AL2269" s="29" t="s">
        <v>3114</v>
      </c>
    </row>
    <row r="2270" spans="15:38">
      <c r="O2270" t="s">
        <v>24</v>
      </c>
      <c r="P2270" t="s">
        <v>43</v>
      </c>
      <c r="Q2270" t="s">
        <v>22</v>
      </c>
      <c r="R2270" t="s">
        <v>56</v>
      </c>
      <c r="S2270">
        <v>2024.14</v>
      </c>
      <c r="T2270">
        <v>95955.31</v>
      </c>
      <c r="U2270">
        <v>153804.73509999999</v>
      </c>
      <c r="V2270">
        <v>153804.73509999999</v>
      </c>
      <c r="AA2270" s="29" t="s">
        <v>43</v>
      </c>
      <c r="AB2270">
        <v>31200</v>
      </c>
      <c r="AC2270">
        <v>160</v>
      </c>
      <c r="AD2270">
        <v>4</v>
      </c>
      <c r="AE2270">
        <v>441.84</v>
      </c>
      <c r="AF2270">
        <v>441.84</v>
      </c>
      <c r="AG2270" s="29" t="s">
        <v>3113</v>
      </c>
      <c r="AH2270" s="29" t="s">
        <v>3513</v>
      </c>
      <c r="AI2270" s="29" t="s">
        <v>3159</v>
      </c>
      <c r="AJ2270" s="29" t="s">
        <v>3514</v>
      </c>
      <c r="AL2270" s="29" t="s">
        <v>3114</v>
      </c>
    </row>
    <row r="2271" spans="15:38">
      <c r="O2271" t="s">
        <v>24</v>
      </c>
      <c r="P2271" t="s">
        <v>43</v>
      </c>
      <c r="Q2271" t="s">
        <v>22</v>
      </c>
      <c r="R2271" t="s">
        <v>56</v>
      </c>
      <c r="S2271">
        <v>2024.17</v>
      </c>
      <c r="T2271">
        <v>97052.91</v>
      </c>
      <c r="U2271">
        <v>153804.73509999999</v>
      </c>
      <c r="V2271">
        <v>153804.73509999999</v>
      </c>
      <c r="AA2271" s="29" t="s">
        <v>43</v>
      </c>
      <c r="AB2271">
        <v>31200</v>
      </c>
      <c r="AC2271">
        <v>160</v>
      </c>
      <c r="AD2271">
        <v>4</v>
      </c>
      <c r="AE2271">
        <v>214</v>
      </c>
      <c r="AF2271">
        <v>214</v>
      </c>
      <c r="AG2271" s="29" t="s">
        <v>3113</v>
      </c>
      <c r="AH2271" s="29" t="s">
        <v>3364</v>
      </c>
      <c r="AI2271" s="29" t="s">
        <v>3159</v>
      </c>
      <c r="AJ2271" s="29" t="s">
        <v>3444</v>
      </c>
      <c r="AL2271" s="29" t="s">
        <v>3114</v>
      </c>
    </row>
    <row r="2272" spans="15:38">
      <c r="O2272" t="s">
        <v>24</v>
      </c>
      <c r="P2272" t="s">
        <v>43</v>
      </c>
      <c r="Q2272" t="s">
        <v>22</v>
      </c>
      <c r="R2272" t="s">
        <v>56</v>
      </c>
      <c r="S2272">
        <v>2024.18</v>
      </c>
      <c r="T2272">
        <v>25772.91</v>
      </c>
      <c r="U2272">
        <v>153804.73509999999</v>
      </c>
      <c r="V2272">
        <v>153804.73509999999</v>
      </c>
      <c r="AA2272" s="29" t="s">
        <v>43</v>
      </c>
      <c r="AB2272">
        <v>31200</v>
      </c>
      <c r="AC2272">
        <v>160</v>
      </c>
      <c r="AD2272">
        <v>4</v>
      </c>
      <c r="AE2272">
        <v>107</v>
      </c>
      <c r="AF2272">
        <v>107</v>
      </c>
      <c r="AG2272" s="29" t="s">
        <v>3113</v>
      </c>
      <c r="AH2272" s="29" t="s">
        <v>3320</v>
      </c>
      <c r="AI2272" s="29" t="s">
        <v>3159</v>
      </c>
      <c r="AJ2272" s="29" t="s">
        <v>3321</v>
      </c>
      <c r="AL2272" s="29" t="s">
        <v>3114</v>
      </c>
    </row>
    <row r="2273" spans="15:38">
      <c r="O2273" t="s">
        <v>24</v>
      </c>
      <c r="P2273" t="s">
        <v>43</v>
      </c>
      <c r="Q2273" t="s">
        <v>22</v>
      </c>
      <c r="R2273" t="s">
        <v>56</v>
      </c>
      <c r="S2273">
        <v>2024.19</v>
      </c>
      <c r="T2273">
        <v>25772.91</v>
      </c>
      <c r="U2273">
        <v>153804.73509999999</v>
      </c>
      <c r="V2273">
        <v>153804.73509999999</v>
      </c>
      <c r="AA2273" s="29" t="s">
        <v>43</v>
      </c>
      <c r="AB2273">
        <v>31200</v>
      </c>
      <c r="AC2273">
        <v>160</v>
      </c>
      <c r="AD2273">
        <v>4</v>
      </c>
      <c r="AE2273">
        <v>214</v>
      </c>
      <c r="AF2273">
        <v>214</v>
      </c>
      <c r="AG2273" s="29" t="s">
        <v>3113</v>
      </c>
      <c r="AH2273" s="29" t="s">
        <v>3364</v>
      </c>
      <c r="AI2273" s="29" t="s">
        <v>3159</v>
      </c>
      <c r="AJ2273" s="29" t="s">
        <v>3365</v>
      </c>
      <c r="AL2273" s="29" t="s">
        <v>3114</v>
      </c>
    </row>
    <row r="2274" spans="15:38">
      <c r="O2274" t="s">
        <v>24</v>
      </c>
      <c r="P2274" t="s">
        <v>43</v>
      </c>
      <c r="Q2274" t="s">
        <v>22</v>
      </c>
      <c r="R2274" t="s">
        <v>56</v>
      </c>
      <c r="S2274">
        <v>2024.2</v>
      </c>
      <c r="T2274">
        <v>25772.91</v>
      </c>
      <c r="U2274">
        <v>153804.73509999999</v>
      </c>
      <c r="V2274">
        <v>153804.73509999999</v>
      </c>
      <c r="AA2274" s="29" t="s">
        <v>43</v>
      </c>
      <c r="AB2274">
        <v>31200</v>
      </c>
      <c r="AC2274">
        <v>160</v>
      </c>
      <c r="AD2274">
        <v>4</v>
      </c>
      <c r="AE2274">
        <v>1219.8</v>
      </c>
      <c r="AF2274">
        <v>1219.8</v>
      </c>
      <c r="AG2274" s="29" t="s">
        <v>3113</v>
      </c>
      <c r="AH2274" s="29" t="s">
        <v>3515</v>
      </c>
      <c r="AI2274" s="29" t="s">
        <v>3159</v>
      </c>
      <c r="AJ2274" s="29" t="s">
        <v>3516</v>
      </c>
      <c r="AL2274" s="29" t="s">
        <v>3114</v>
      </c>
    </row>
    <row r="2275" spans="15:38">
      <c r="O2275" t="s">
        <v>24</v>
      </c>
      <c r="P2275" t="s">
        <v>43</v>
      </c>
      <c r="Q2275" t="s">
        <v>22</v>
      </c>
      <c r="R2275" t="s">
        <v>56</v>
      </c>
      <c r="S2275">
        <v>2024.21</v>
      </c>
      <c r="T2275">
        <v>25772.91</v>
      </c>
      <c r="U2275">
        <v>153804.73509999999</v>
      </c>
      <c r="V2275">
        <v>153804.73509999999</v>
      </c>
      <c r="AA2275" s="29" t="s">
        <v>43</v>
      </c>
      <c r="AB2275">
        <v>31200</v>
      </c>
      <c r="AC2275">
        <v>160</v>
      </c>
      <c r="AD2275">
        <v>4</v>
      </c>
      <c r="AE2275">
        <v>406.6</v>
      </c>
      <c r="AF2275">
        <v>406.6</v>
      </c>
      <c r="AG2275" s="29" t="s">
        <v>3113</v>
      </c>
      <c r="AH2275" s="29" t="s">
        <v>3517</v>
      </c>
      <c r="AI2275" s="29" t="s">
        <v>3159</v>
      </c>
      <c r="AJ2275" s="29" t="s">
        <v>611</v>
      </c>
      <c r="AL2275" s="29" t="s">
        <v>3114</v>
      </c>
    </row>
    <row r="2276" spans="15:38">
      <c r="O2276" t="s">
        <v>24</v>
      </c>
      <c r="P2276" t="s">
        <v>43</v>
      </c>
      <c r="Q2276" t="s">
        <v>22</v>
      </c>
      <c r="R2276" t="s">
        <v>56</v>
      </c>
      <c r="S2276">
        <v>2024.28</v>
      </c>
      <c r="T2276">
        <v>25772.91</v>
      </c>
      <c r="U2276">
        <v>153804.73509999999</v>
      </c>
      <c r="V2276">
        <v>153804.73509999999</v>
      </c>
      <c r="AA2276" s="29" t="s">
        <v>43</v>
      </c>
      <c r="AB2276">
        <v>31200</v>
      </c>
      <c r="AC2276">
        <v>160</v>
      </c>
      <c r="AD2276">
        <v>4</v>
      </c>
      <c r="AE2276">
        <v>616.32000000000005</v>
      </c>
      <c r="AF2276">
        <v>616.32000000000005</v>
      </c>
      <c r="AG2276" s="29" t="s">
        <v>3113</v>
      </c>
      <c r="AH2276" s="29" t="s">
        <v>3342</v>
      </c>
      <c r="AI2276" s="29" t="s">
        <v>3159</v>
      </c>
      <c r="AJ2276" s="29" t="s">
        <v>2095</v>
      </c>
      <c r="AL2276" s="29" t="s">
        <v>3114</v>
      </c>
    </row>
    <row r="2277" spans="15:38">
      <c r="O2277" t="s">
        <v>24</v>
      </c>
      <c r="P2277" t="s">
        <v>43</v>
      </c>
      <c r="Q2277" t="s">
        <v>22</v>
      </c>
      <c r="R2277" t="s">
        <v>56</v>
      </c>
      <c r="S2277">
        <v>2024.38</v>
      </c>
      <c r="T2277">
        <v>25772.91</v>
      </c>
      <c r="U2277">
        <v>153804.73509999999</v>
      </c>
      <c r="V2277">
        <v>153804.73509999999</v>
      </c>
      <c r="AA2277" s="29" t="s">
        <v>43</v>
      </c>
      <c r="AB2277">
        <v>31200</v>
      </c>
      <c r="AC2277">
        <v>160</v>
      </c>
      <c r="AD2277">
        <v>4</v>
      </c>
      <c r="AE2277">
        <v>1784.76</v>
      </c>
      <c r="AF2277">
        <v>1784.76</v>
      </c>
      <c r="AG2277" s="29" t="s">
        <v>3113</v>
      </c>
      <c r="AH2277" s="29" t="s">
        <v>3518</v>
      </c>
      <c r="AI2277" s="29" t="s">
        <v>3159</v>
      </c>
      <c r="AJ2277" s="29" t="s">
        <v>3519</v>
      </c>
      <c r="AL2277" s="29" t="s">
        <v>3114</v>
      </c>
    </row>
    <row r="2278" spans="15:38">
      <c r="O2278" t="s">
        <v>24</v>
      </c>
      <c r="P2278" t="s">
        <v>43</v>
      </c>
      <c r="Q2278" t="s">
        <v>22</v>
      </c>
      <c r="R2278" t="s">
        <v>56</v>
      </c>
      <c r="S2278">
        <v>2024.39</v>
      </c>
      <c r="T2278">
        <v>25772.91</v>
      </c>
      <c r="U2278">
        <v>153804.73509999999</v>
      </c>
      <c r="V2278">
        <v>153804.73509999999</v>
      </c>
      <c r="AA2278" s="29" t="s">
        <v>43</v>
      </c>
      <c r="AB2278">
        <v>31200</v>
      </c>
      <c r="AC2278">
        <v>160</v>
      </c>
      <c r="AD2278">
        <v>4</v>
      </c>
      <c r="AE2278">
        <v>10.56</v>
      </c>
      <c r="AF2278">
        <v>10.56</v>
      </c>
      <c r="AG2278" s="29" t="s">
        <v>3113</v>
      </c>
      <c r="AH2278" s="29" t="s">
        <v>3345</v>
      </c>
      <c r="AI2278" s="29" t="s">
        <v>3159</v>
      </c>
      <c r="AJ2278" s="29" t="s">
        <v>3346</v>
      </c>
      <c r="AL2278" s="29" t="s">
        <v>3114</v>
      </c>
    </row>
    <row r="2279" spans="15:38">
      <c r="O2279" t="s">
        <v>24</v>
      </c>
      <c r="P2279" t="s">
        <v>43</v>
      </c>
      <c r="Q2279" t="s">
        <v>22</v>
      </c>
      <c r="R2279" t="s">
        <v>56</v>
      </c>
      <c r="S2279">
        <v>2024.41</v>
      </c>
      <c r="T2279">
        <v>25772.91</v>
      </c>
      <c r="U2279">
        <v>153804.73509999999</v>
      </c>
      <c r="V2279">
        <v>153804.73509999999</v>
      </c>
      <c r="AA2279" s="29" t="s">
        <v>43</v>
      </c>
      <c r="AB2279">
        <v>31200</v>
      </c>
      <c r="AC2279">
        <v>160</v>
      </c>
      <c r="AD2279">
        <v>4</v>
      </c>
      <c r="AE2279">
        <v>523.98</v>
      </c>
      <c r="AF2279">
        <v>523.98</v>
      </c>
      <c r="AG2279" s="29" t="s">
        <v>3113</v>
      </c>
      <c r="AH2279" s="29" t="s">
        <v>3520</v>
      </c>
      <c r="AI2279" s="29" t="s">
        <v>3159</v>
      </c>
      <c r="AJ2279" s="29" t="s">
        <v>3521</v>
      </c>
      <c r="AL2279" s="29" t="s">
        <v>3114</v>
      </c>
    </row>
    <row r="2280" spans="15:38">
      <c r="O2280" t="s">
        <v>24</v>
      </c>
      <c r="P2280" t="s">
        <v>43</v>
      </c>
      <c r="Q2280" t="s">
        <v>22</v>
      </c>
      <c r="R2280" t="s">
        <v>56</v>
      </c>
      <c r="S2280">
        <v>2024.43</v>
      </c>
      <c r="T2280">
        <v>29202.91</v>
      </c>
      <c r="U2280">
        <v>153804.73509999999</v>
      </c>
      <c r="V2280">
        <v>153804.73509999999</v>
      </c>
      <c r="AA2280" s="29" t="s">
        <v>43</v>
      </c>
      <c r="AB2280">
        <v>31200</v>
      </c>
      <c r="AC2280">
        <v>160</v>
      </c>
      <c r="AD2280">
        <v>4</v>
      </c>
      <c r="AE2280">
        <v>46.32</v>
      </c>
      <c r="AF2280">
        <v>46.32</v>
      </c>
      <c r="AG2280" s="29" t="s">
        <v>3113</v>
      </c>
      <c r="AH2280" s="29" t="s">
        <v>3357</v>
      </c>
      <c r="AI2280" s="29" t="s">
        <v>3159</v>
      </c>
      <c r="AJ2280" s="29" t="s">
        <v>447</v>
      </c>
      <c r="AL2280" s="29" t="s">
        <v>3114</v>
      </c>
    </row>
    <row r="2281" spans="15:38">
      <c r="O2281" t="s">
        <v>24</v>
      </c>
      <c r="P2281" t="s">
        <v>43</v>
      </c>
      <c r="Q2281" t="s">
        <v>22</v>
      </c>
      <c r="R2281" t="s">
        <v>56</v>
      </c>
      <c r="S2281">
        <v>2024.44</v>
      </c>
      <c r="T2281">
        <v>31089.41</v>
      </c>
      <c r="U2281">
        <v>159761.7016</v>
      </c>
      <c r="V2281">
        <v>159761.7016</v>
      </c>
      <c r="AA2281" s="29" t="s">
        <v>43</v>
      </c>
      <c r="AB2281">
        <v>31200</v>
      </c>
      <c r="AC2281">
        <v>160</v>
      </c>
      <c r="AD2281">
        <v>4</v>
      </c>
      <c r="AE2281">
        <v>69.92</v>
      </c>
      <c r="AF2281">
        <v>69.92</v>
      </c>
      <c r="AG2281" s="29" t="s">
        <v>3113</v>
      </c>
      <c r="AH2281" s="29" t="s">
        <v>3493</v>
      </c>
      <c r="AI2281" s="29" t="s">
        <v>3159</v>
      </c>
      <c r="AJ2281" s="29" t="s">
        <v>3494</v>
      </c>
      <c r="AL2281" s="29" t="s">
        <v>3114</v>
      </c>
    </row>
    <row r="2282" spans="15:38">
      <c r="O2282" t="s">
        <v>24</v>
      </c>
      <c r="P2282" t="s">
        <v>43</v>
      </c>
      <c r="Q2282" t="s">
        <v>22</v>
      </c>
      <c r="R2282" t="s">
        <v>56</v>
      </c>
      <c r="S2282">
        <v>2024.45</v>
      </c>
      <c r="T2282">
        <v>32324.21</v>
      </c>
      <c r="U2282">
        <v>159761.7016</v>
      </c>
      <c r="V2282">
        <v>159761.7016</v>
      </c>
      <c r="AA2282" s="29" t="s">
        <v>43</v>
      </c>
      <c r="AB2282">
        <v>31200</v>
      </c>
      <c r="AC2282">
        <v>160</v>
      </c>
      <c r="AD2282">
        <v>4</v>
      </c>
      <c r="AE2282">
        <v>13.31</v>
      </c>
      <c r="AF2282">
        <v>13.31</v>
      </c>
      <c r="AG2282" s="29" t="s">
        <v>3113</v>
      </c>
      <c r="AH2282" s="29" t="s">
        <v>3522</v>
      </c>
      <c r="AI2282" s="29" t="s">
        <v>3159</v>
      </c>
      <c r="AJ2282" s="29" t="s">
        <v>3523</v>
      </c>
      <c r="AL2282" s="29" t="s">
        <v>3114</v>
      </c>
    </row>
    <row r="2283" spans="15:38">
      <c r="O2283" t="s">
        <v>24</v>
      </c>
      <c r="P2283" t="s">
        <v>43</v>
      </c>
      <c r="Q2283" t="s">
        <v>22</v>
      </c>
      <c r="R2283" t="s">
        <v>56</v>
      </c>
      <c r="S2283">
        <v>2024.47</v>
      </c>
      <c r="T2283">
        <v>44067.1</v>
      </c>
      <c r="U2283">
        <v>159761.7016</v>
      </c>
      <c r="V2283">
        <v>159761.7016</v>
      </c>
      <c r="AA2283" s="29" t="s">
        <v>43</v>
      </c>
      <c r="AB2283">
        <v>31200</v>
      </c>
      <c r="AC2283">
        <v>160</v>
      </c>
      <c r="AD2283">
        <v>4</v>
      </c>
      <c r="AE2283">
        <v>1275.44</v>
      </c>
      <c r="AF2283">
        <v>1275.44</v>
      </c>
      <c r="AG2283" s="29" t="s">
        <v>3113</v>
      </c>
      <c r="AH2283" s="29" t="s">
        <v>3366</v>
      </c>
      <c r="AI2283" s="29" t="s">
        <v>3159</v>
      </c>
      <c r="AJ2283" s="29" t="s">
        <v>378</v>
      </c>
      <c r="AL2283" s="29" t="s">
        <v>3114</v>
      </c>
    </row>
    <row r="2284" spans="15:38">
      <c r="O2284" t="s">
        <v>24</v>
      </c>
      <c r="P2284" t="s">
        <v>43</v>
      </c>
      <c r="Q2284" t="s">
        <v>22</v>
      </c>
      <c r="R2284" t="s">
        <v>56</v>
      </c>
      <c r="S2284">
        <v>2024.48</v>
      </c>
      <c r="T2284">
        <v>45439.01</v>
      </c>
      <c r="U2284">
        <v>159761.7016</v>
      </c>
      <c r="V2284">
        <v>169761.7016</v>
      </c>
      <c r="AA2284" s="29" t="s">
        <v>43</v>
      </c>
      <c r="AB2284">
        <v>31200</v>
      </c>
      <c r="AC2284">
        <v>160</v>
      </c>
      <c r="AD2284">
        <v>4</v>
      </c>
      <c r="AE2284">
        <v>43802</v>
      </c>
      <c r="AF2284">
        <v>43802</v>
      </c>
      <c r="AG2284" s="29" t="s">
        <v>3113</v>
      </c>
      <c r="AH2284" s="29" t="s">
        <v>3524</v>
      </c>
      <c r="AI2284" s="29" t="s">
        <v>3159</v>
      </c>
      <c r="AJ2284" s="29" t="s">
        <v>3525</v>
      </c>
      <c r="AL2284" s="29" t="s">
        <v>3114</v>
      </c>
    </row>
    <row r="2285" spans="15:38">
      <c r="O2285" t="s">
        <v>24</v>
      </c>
      <c r="P2285" t="s">
        <v>43</v>
      </c>
      <c r="Q2285" t="s">
        <v>22</v>
      </c>
      <c r="R2285" t="s">
        <v>56</v>
      </c>
      <c r="S2285">
        <v>2024.49</v>
      </c>
      <c r="T2285">
        <v>51471.01</v>
      </c>
      <c r="U2285">
        <v>159761.7016</v>
      </c>
      <c r="V2285">
        <v>169761.7016</v>
      </c>
      <c r="AA2285" s="29" t="s">
        <v>43</v>
      </c>
      <c r="AB2285">
        <v>31200</v>
      </c>
      <c r="AC2285">
        <v>160</v>
      </c>
      <c r="AD2285">
        <v>4</v>
      </c>
      <c r="AE2285">
        <v>170.92</v>
      </c>
      <c r="AF2285">
        <v>170.92</v>
      </c>
      <c r="AG2285" s="29" t="s">
        <v>3113</v>
      </c>
      <c r="AH2285" s="29" t="s">
        <v>3526</v>
      </c>
      <c r="AI2285" s="29" t="s">
        <v>3159</v>
      </c>
      <c r="AJ2285" s="29" t="s">
        <v>3527</v>
      </c>
      <c r="AL2285" s="29" t="s">
        <v>3114</v>
      </c>
    </row>
    <row r="2286" spans="15:38">
      <c r="O2286" t="s">
        <v>24</v>
      </c>
      <c r="P2286" t="s">
        <v>43</v>
      </c>
      <c r="Q2286" t="s">
        <v>22</v>
      </c>
      <c r="R2286" t="s">
        <v>56</v>
      </c>
      <c r="S2286">
        <v>2025.03</v>
      </c>
      <c r="T2286">
        <v>57189.42</v>
      </c>
      <c r="U2286">
        <v>159761.7016</v>
      </c>
      <c r="V2286">
        <v>177045.8352</v>
      </c>
      <c r="AA2286" s="29" t="s">
        <v>43</v>
      </c>
      <c r="AB2286">
        <v>31200</v>
      </c>
      <c r="AC2286">
        <v>160</v>
      </c>
      <c r="AD2286">
        <v>4</v>
      </c>
      <c r="AE2286">
        <v>158.68</v>
      </c>
      <c r="AF2286">
        <v>158.68</v>
      </c>
      <c r="AG2286" s="29" t="s">
        <v>3113</v>
      </c>
      <c r="AH2286" s="29" t="s">
        <v>3528</v>
      </c>
      <c r="AI2286" s="29" t="s">
        <v>3159</v>
      </c>
      <c r="AJ2286" s="29" t="s">
        <v>3529</v>
      </c>
      <c r="AL2286" s="29" t="s">
        <v>3114</v>
      </c>
    </row>
    <row r="2287" spans="15:38">
      <c r="O2287" t="s">
        <v>24</v>
      </c>
      <c r="P2287" t="s">
        <v>43</v>
      </c>
      <c r="Q2287" t="s">
        <v>22</v>
      </c>
      <c r="R2287" t="s">
        <v>56</v>
      </c>
      <c r="S2287">
        <v>2025.08</v>
      </c>
      <c r="T2287">
        <v>79971.42</v>
      </c>
      <c r="U2287">
        <v>159761.7016</v>
      </c>
      <c r="V2287">
        <v>177045.8352</v>
      </c>
      <c r="AA2287" s="29" t="s">
        <v>43</v>
      </c>
      <c r="AB2287">
        <v>31200</v>
      </c>
      <c r="AC2287">
        <v>160</v>
      </c>
      <c r="AD2287">
        <v>4</v>
      </c>
      <c r="AE2287">
        <v>216.48</v>
      </c>
      <c r="AF2287">
        <v>216.48</v>
      </c>
      <c r="AG2287" s="29" t="s">
        <v>3113</v>
      </c>
      <c r="AH2287" s="29" t="s">
        <v>3390</v>
      </c>
      <c r="AI2287" s="29" t="s">
        <v>3159</v>
      </c>
      <c r="AJ2287" s="29" t="s">
        <v>3391</v>
      </c>
      <c r="AL2287" s="29" t="s">
        <v>3114</v>
      </c>
    </row>
    <row r="2288" spans="15:38">
      <c r="O2288" t="s">
        <v>24</v>
      </c>
      <c r="P2288" t="s">
        <v>43</v>
      </c>
      <c r="Q2288" t="s">
        <v>22</v>
      </c>
      <c r="R2288" t="s">
        <v>56</v>
      </c>
      <c r="S2288">
        <v>2025.1</v>
      </c>
      <c r="T2288">
        <v>86046.399999999994</v>
      </c>
      <c r="U2288">
        <v>159761.7016</v>
      </c>
      <c r="V2288">
        <v>177045.8352</v>
      </c>
      <c r="AA2288" s="29" t="s">
        <v>43</v>
      </c>
      <c r="AB2288">
        <v>31200</v>
      </c>
      <c r="AC2288">
        <v>160</v>
      </c>
      <c r="AD2288">
        <v>4</v>
      </c>
      <c r="AE2288">
        <v>58.22</v>
      </c>
      <c r="AF2288">
        <v>58.22</v>
      </c>
      <c r="AG2288" s="29" t="s">
        <v>3113</v>
      </c>
      <c r="AH2288" s="29" t="s">
        <v>3341</v>
      </c>
      <c r="AI2288" s="29" t="s">
        <v>3159</v>
      </c>
      <c r="AJ2288" s="29" t="s">
        <v>2093</v>
      </c>
      <c r="AL2288" s="29" t="s">
        <v>3114</v>
      </c>
    </row>
    <row r="2289" spans="15:38">
      <c r="O2289" t="s">
        <v>24</v>
      </c>
      <c r="P2289" t="s">
        <v>43</v>
      </c>
      <c r="Q2289" t="s">
        <v>22</v>
      </c>
      <c r="R2289" t="s">
        <v>56</v>
      </c>
      <c r="S2289">
        <v>2025.11</v>
      </c>
      <c r="T2289">
        <v>93877.86</v>
      </c>
      <c r="U2289">
        <v>159761.7016</v>
      </c>
      <c r="V2289">
        <v>177045.8352</v>
      </c>
      <c r="AA2289" s="29" t="s">
        <v>43</v>
      </c>
      <c r="AB2289">
        <v>31200</v>
      </c>
      <c r="AC2289">
        <v>160</v>
      </c>
      <c r="AD2289">
        <v>4</v>
      </c>
      <c r="AE2289">
        <v>7636</v>
      </c>
      <c r="AF2289">
        <v>7636</v>
      </c>
      <c r="AG2289" s="29" t="s">
        <v>3113</v>
      </c>
      <c r="AH2289" s="29" t="s">
        <v>3530</v>
      </c>
      <c r="AI2289" s="29" t="s">
        <v>3159</v>
      </c>
      <c r="AJ2289" s="29" t="s">
        <v>3531</v>
      </c>
      <c r="AL2289" s="29" t="s">
        <v>3114</v>
      </c>
    </row>
    <row r="2290" spans="15:38">
      <c r="O2290" t="s">
        <v>24</v>
      </c>
      <c r="P2290" t="s">
        <v>43</v>
      </c>
      <c r="Q2290" t="s">
        <v>22</v>
      </c>
      <c r="R2290" t="s">
        <v>56</v>
      </c>
      <c r="S2290">
        <v>2025.12</v>
      </c>
      <c r="T2290">
        <v>91026.96</v>
      </c>
      <c r="U2290">
        <v>159761.7016</v>
      </c>
      <c r="V2290">
        <v>177045.8352</v>
      </c>
      <c r="AA2290" s="29" t="s">
        <v>43</v>
      </c>
      <c r="AB2290">
        <v>31200</v>
      </c>
      <c r="AC2290">
        <v>160</v>
      </c>
      <c r="AD2290">
        <v>4</v>
      </c>
      <c r="AE2290">
        <v>7636</v>
      </c>
      <c r="AF2290">
        <v>7636</v>
      </c>
      <c r="AG2290" s="29" t="s">
        <v>3113</v>
      </c>
      <c r="AH2290" s="29" t="s">
        <v>3530</v>
      </c>
      <c r="AI2290" s="29" t="s">
        <v>3159</v>
      </c>
      <c r="AJ2290" s="29" t="s">
        <v>3531</v>
      </c>
      <c r="AL2290" s="29" t="s">
        <v>3114</v>
      </c>
    </row>
    <row r="2291" spans="15:38">
      <c r="O2291" t="s">
        <v>24</v>
      </c>
      <c r="P2291" t="s">
        <v>43</v>
      </c>
      <c r="Q2291" t="s">
        <v>23</v>
      </c>
      <c r="R2291" t="s">
        <v>60</v>
      </c>
      <c r="S2291">
        <v>2023.51</v>
      </c>
      <c r="T2291">
        <v>23173.08</v>
      </c>
      <c r="U2291">
        <v>0</v>
      </c>
      <c r="V2291">
        <v>13613.34</v>
      </c>
      <c r="AA2291" s="29" t="s">
        <v>43</v>
      </c>
      <c r="AB2291">
        <v>31200</v>
      </c>
      <c r="AC2291">
        <v>160</v>
      </c>
      <c r="AD2291">
        <v>4</v>
      </c>
      <c r="AE2291">
        <v>160.5</v>
      </c>
      <c r="AF2291">
        <v>160.5</v>
      </c>
      <c r="AG2291" s="29" t="s">
        <v>3113</v>
      </c>
      <c r="AH2291" s="29" t="s">
        <v>3362</v>
      </c>
      <c r="AI2291" s="29" t="s">
        <v>3159</v>
      </c>
      <c r="AJ2291" s="29" t="s">
        <v>3363</v>
      </c>
      <c r="AL2291" s="29" t="s">
        <v>3114</v>
      </c>
    </row>
    <row r="2292" spans="15:38">
      <c r="O2292" t="s">
        <v>24</v>
      </c>
      <c r="P2292" t="s">
        <v>43</v>
      </c>
      <c r="Q2292" t="s">
        <v>23</v>
      </c>
      <c r="R2292" t="s">
        <v>60</v>
      </c>
      <c r="S2292">
        <v>2024.05</v>
      </c>
      <c r="T2292">
        <v>9739.9</v>
      </c>
      <c r="U2292">
        <v>0</v>
      </c>
      <c r="V2292">
        <v>13613.34</v>
      </c>
      <c r="AA2292" s="29" t="s">
        <v>43</v>
      </c>
      <c r="AB2292">
        <v>31200</v>
      </c>
      <c r="AC2292">
        <v>160</v>
      </c>
      <c r="AD2292">
        <v>4</v>
      </c>
      <c r="AE2292">
        <v>107</v>
      </c>
      <c r="AF2292">
        <v>107</v>
      </c>
      <c r="AG2292" s="29" t="s">
        <v>3113</v>
      </c>
      <c r="AH2292" s="29" t="s">
        <v>3320</v>
      </c>
      <c r="AI2292" s="29" t="s">
        <v>3159</v>
      </c>
      <c r="AJ2292" s="29" t="s">
        <v>3321</v>
      </c>
      <c r="AL2292" s="29" t="s">
        <v>3114</v>
      </c>
    </row>
    <row r="2293" spans="15:38">
      <c r="O2293" t="s">
        <v>24</v>
      </c>
      <c r="P2293" t="s">
        <v>43</v>
      </c>
      <c r="Q2293" t="s">
        <v>23</v>
      </c>
      <c r="R2293" t="s">
        <v>60</v>
      </c>
      <c r="S2293">
        <v>2024.06</v>
      </c>
      <c r="T2293">
        <v>11631.58</v>
      </c>
      <c r="U2293">
        <v>0</v>
      </c>
      <c r="V2293">
        <v>13613.34</v>
      </c>
      <c r="AA2293" s="29" t="s">
        <v>43</v>
      </c>
      <c r="AB2293">
        <v>31200</v>
      </c>
      <c r="AC2293">
        <v>160</v>
      </c>
      <c r="AD2293">
        <v>4</v>
      </c>
      <c r="AE2293">
        <v>214</v>
      </c>
      <c r="AF2293">
        <v>214</v>
      </c>
      <c r="AG2293" s="29" t="s">
        <v>3113</v>
      </c>
      <c r="AH2293" s="29" t="s">
        <v>3364</v>
      </c>
      <c r="AI2293" s="29" t="s">
        <v>3159</v>
      </c>
      <c r="AJ2293" s="29" t="s">
        <v>3365</v>
      </c>
      <c r="AL2293" s="29" t="s">
        <v>3114</v>
      </c>
    </row>
    <row r="2294" spans="15:38">
      <c r="O2294" t="s">
        <v>24</v>
      </c>
      <c r="P2294" t="s">
        <v>43</v>
      </c>
      <c r="Q2294" t="s">
        <v>23</v>
      </c>
      <c r="R2294" t="s">
        <v>60</v>
      </c>
      <c r="S2294">
        <v>2024.07</v>
      </c>
      <c r="T2294">
        <v>11631.58</v>
      </c>
      <c r="U2294">
        <v>0</v>
      </c>
      <c r="V2294">
        <v>13613.34</v>
      </c>
      <c r="AA2294" s="29" t="s">
        <v>43</v>
      </c>
      <c r="AB2294">
        <v>31200</v>
      </c>
      <c r="AC2294">
        <v>160</v>
      </c>
      <c r="AD2294">
        <v>4</v>
      </c>
      <c r="AE2294">
        <v>1275.44</v>
      </c>
      <c r="AF2294">
        <v>1275.44</v>
      </c>
      <c r="AG2294" s="29" t="s">
        <v>3113</v>
      </c>
      <c r="AH2294" s="29" t="s">
        <v>3366</v>
      </c>
      <c r="AI2294" s="29" t="s">
        <v>3159</v>
      </c>
      <c r="AJ2294" s="29" t="s">
        <v>378</v>
      </c>
      <c r="AL2294" s="29" t="s">
        <v>3114</v>
      </c>
    </row>
    <row r="2295" spans="15:38">
      <c r="O2295" t="s">
        <v>24</v>
      </c>
      <c r="P2295" t="s">
        <v>43</v>
      </c>
      <c r="Q2295" t="s">
        <v>23</v>
      </c>
      <c r="R2295" t="s">
        <v>60</v>
      </c>
      <c r="S2295">
        <v>2024.08</v>
      </c>
      <c r="T2295">
        <v>13613.34</v>
      </c>
      <c r="U2295">
        <v>0</v>
      </c>
      <c r="V2295">
        <v>13613.34</v>
      </c>
      <c r="AA2295" s="29" t="s">
        <v>43</v>
      </c>
      <c r="AB2295">
        <v>31200</v>
      </c>
      <c r="AC2295">
        <v>160</v>
      </c>
      <c r="AD2295">
        <v>4</v>
      </c>
      <c r="AE2295">
        <v>924.48</v>
      </c>
      <c r="AF2295">
        <v>924.48</v>
      </c>
      <c r="AG2295" s="29" t="s">
        <v>3113</v>
      </c>
      <c r="AH2295" s="29" t="s">
        <v>3367</v>
      </c>
      <c r="AI2295" s="29" t="s">
        <v>3159</v>
      </c>
      <c r="AJ2295" s="29" t="s">
        <v>3368</v>
      </c>
      <c r="AL2295" s="29" t="s">
        <v>3114</v>
      </c>
    </row>
    <row r="2296" spans="15:38">
      <c r="O2296" t="s">
        <v>24</v>
      </c>
      <c r="P2296" t="s">
        <v>43</v>
      </c>
      <c r="Q2296" t="s">
        <v>23</v>
      </c>
      <c r="R2296" t="s">
        <v>60</v>
      </c>
      <c r="S2296">
        <v>2024.09</v>
      </c>
      <c r="T2296">
        <v>23173.08</v>
      </c>
      <c r="U2296">
        <v>0</v>
      </c>
      <c r="V2296">
        <v>13613.34</v>
      </c>
      <c r="AA2296" s="29" t="s">
        <v>43</v>
      </c>
      <c r="AB2296">
        <v>31200</v>
      </c>
      <c r="AC2296">
        <v>160</v>
      </c>
      <c r="AD2296">
        <v>4</v>
      </c>
      <c r="AE2296">
        <v>594.91999999999996</v>
      </c>
      <c r="AF2296">
        <v>594.91999999999996</v>
      </c>
      <c r="AG2296" s="29" t="s">
        <v>3113</v>
      </c>
      <c r="AH2296" s="29" t="s">
        <v>3356</v>
      </c>
      <c r="AI2296" s="29" t="s">
        <v>3159</v>
      </c>
      <c r="AJ2296" s="29" t="s">
        <v>508</v>
      </c>
      <c r="AL2296" s="29" t="s">
        <v>3114</v>
      </c>
    </row>
    <row r="2297" spans="15:38">
      <c r="O2297" t="s">
        <v>24</v>
      </c>
      <c r="P2297" t="s">
        <v>43</v>
      </c>
      <c r="Q2297" t="s">
        <v>23</v>
      </c>
      <c r="R2297" t="s">
        <v>60</v>
      </c>
      <c r="S2297">
        <v>2024.1</v>
      </c>
      <c r="T2297">
        <v>13613.34</v>
      </c>
      <c r="U2297">
        <v>0</v>
      </c>
      <c r="V2297">
        <v>13613.34</v>
      </c>
      <c r="AA2297" s="29" t="s">
        <v>43</v>
      </c>
      <c r="AB2297">
        <v>31200</v>
      </c>
      <c r="AC2297">
        <v>160</v>
      </c>
      <c r="AD2297">
        <v>4</v>
      </c>
      <c r="AE2297">
        <v>116.44</v>
      </c>
      <c r="AF2297">
        <v>116.44</v>
      </c>
      <c r="AG2297" s="29" t="s">
        <v>3113</v>
      </c>
      <c r="AH2297" s="29" t="s">
        <v>3307</v>
      </c>
      <c r="AI2297" s="29" t="s">
        <v>3159</v>
      </c>
      <c r="AJ2297" s="29" t="s">
        <v>2070</v>
      </c>
      <c r="AL2297" s="29" t="s">
        <v>3114</v>
      </c>
    </row>
    <row r="2298" spans="15:38">
      <c r="O2298" t="s">
        <v>24</v>
      </c>
      <c r="P2298" t="s">
        <v>43</v>
      </c>
      <c r="Q2298" t="s">
        <v>23</v>
      </c>
      <c r="R2298" t="s">
        <v>60</v>
      </c>
      <c r="S2298">
        <v>2024.11</v>
      </c>
      <c r="T2298">
        <v>13613.34</v>
      </c>
      <c r="U2298">
        <v>0</v>
      </c>
      <c r="V2298">
        <v>13613.34</v>
      </c>
      <c r="AA2298" s="29" t="s">
        <v>43</v>
      </c>
      <c r="AB2298">
        <v>31200</v>
      </c>
      <c r="AC2298">
        <v>160</v>
      </c>
      <c r="AD2298">
        <v>4</v>
      </c>
      <c r="AE2298">
        <v>6890</v>
      </c>
      <c r="AF2298">
        <v>6890</v>
      </c>
      <c r="AG2298" s="29" t="s">
        <v>3113</v>
      </c>
      <c r="AH2298" s="29" t="s">
        <v>3532</v>
      </c>
      <c r="AI2298" s="29" t="s">
        <v>3159</v>
      </c>
      <c r="AJ2298" s="29" t="s">
        <v>3533</v>
      </c>
      <c r="AL2298" s="29" t="s">
        <v>3114</v>
      </c>
    </row>
    <row r="2299" spans="15:38">
      <c r="O2299" t="s">
        <v>24</v>
      </c>
      <c r="P2299" t="s">
        <v>43</v>
      </c>
      <c r="Q2299" t="s">
        <v>23</v>
      </c>
      <c r="R2299" t="s">
        <v>60</v>
      </c>
      <c r="S2299">
        <v>2024.12</v>
      </c>
      <c r="T2299">
        <v>13613.34</v>
      </c>
      <c r="U2299">
        <v>0</v>
      </c>
      <c r="V2299">
        <v>13613.34</v>
      </c>
      <c r="AA2299" s="29" t="s">
        <v>43</v>
      </c>
      <c r="AB2299">
        <v>31200</v>
      </c>
      <c r="AC2299">
        <v>160</v>
      </c>
      <c r="AD2299">
        <v>4</v>
      </c>
      <c r="AE2299">
        <v>107</v>
      </c>
      <c r="AF2299">
        <v>107</v>
      </c>
      <c r="AG2299" s="29" t="s">
        <v>3113</v>
      </c>
      <c r="AH2299" s="29" t="s">
        <v>3320</v>
      </c>
      <c r="AI2299" s="29" t="s">
        <v>3159</v>
      </c>
      <c r="AJ2299" s="29" t="s">
        <v>3511</v>
      </c>
      <c r="AL2299" s="29" t="s">
        <v>3114</v>
      </c>
    </row>
    <row r="2300" spans="15:38">
      <c r="O2300" t="s">
        <v>24</v>
      </c>
      <c r="P2300" t="s">
        <v>43</v>
      </c>
      <c r="Q2300" t="s">
        <v>23</v>
      </c>
      <c r="R2300" t="s">
        <v>60</v>
      </c>
      <c r="S2300">
        <v>2024.14</v>
      </c>
      <c r="T2300">
        <v>13613.34</v>
      </c>
      <c r="U2300">
        <v>0</v>
      </c>
      <c r="V2300">
        <v>13613.34</v>
      </c>
      <c r="AA2300" s="29" t="s">
        <v>43</v>
      </c>
      <c r="AB2300">
        <v>31200</v>
      </c>
      <c r="AC2300">
        <v>160</v>
      </c>
      <c r="AD2300">
        <v>4</v>
      </c>
      <c r="AE2300">
        <v>107</v>
      </c>
      <c r="AF2300">
        <v>107</v>
      </c>
      <c r="AG2300" s="29" t="s">
        <v>3113</v>
      </c>
      <c r="AH2300" s="29" t="s">
        <v>3320</v>
      </c>
      <c r="AI2300" s="29" t="s">
        <v>3159</v>
      </c>
      <c r="AJ2300" s="29" t="s">
        <v>3534</v>
      </c>
      <c r="AL2300" s="29" t="s">
        <v>3114</v>
      </c>
    </row>
    <row r="2301" spans="15:38">
      <c r="O2301" t="s">
        <v>24</v>
      </c>
      <c r="P2301" t="s">
        <v>43</v>
      </c>
      <c r="Q2301" t="s">
        <v>23</v>
      </c>
      <c r="R2301" t="s">
        <v>60</v>
      </c>
      <c r="S2301">
        <v>2024.17</v>
      </c>
      <c r="T2301">
        <v>13613.88</v>
      </c>
      <c r="U2301">
        <v>0</v>
      </c>
      <c r="V2301">
        <v>13613.34</v>
      </c>
      <c r="AA2301" s="29" t="s">
        <v>43</v>
      </c>
      <c r="AB2301">
        <v>31200</v>
      </c>
      <c r="AC2301">
        <v>160</v>
      </c>
      <c r="AD2301">
        <v>4</v>
      </c>
      <c r="AE2301">
        <v>616.32000000000005</v>
      </c>
      <c r="AF2301">
        <v>616.32000000000005</v>
      </c>
      <c r="AG2301" s="29" t="s">
        <v>3113</v>
      </c>
      <c r="AH2301" s="29" t="s">
        <v>3342</v>
      </c>
      <c r="AI2301" s="29" t="s">
        <v>3159</v>
      </c>
      <c r="AJ2301" s="29" t="s">
        <v>3535</v>
      </c>
      <c r="AL2301" s="29" t="s">
        <v>3114</v>
      </c>
    </row>
    <row r="2302" spans="15:38">
      <c r="O2302" t="s">
        <v>24</v>
      </c>
      <c r="P2302" t="s">
        <v>43</v>
      </c>
      <c r="Q2302" t="s">
        <v>23</v>
      </c>
      <c r="R2302" t="s">
        <v>60</v>
      </c>
      <c r="S2302">
        <v>2024.18</v>
      </c>
      <c r="T2302">
        <v>13613.34</v>
      </c>
      <c r="U2302">
        <v>0</v>
      </c>
      <c r="V2302">
        <v>13613.34</v>
      </c>
      <c r="AA2302" s="29" t="s">
        <v>43</v>
      </c>
      <c r="AB2302">
        <v>31200</v>
      </c>
      <c r="AC2302">
        <v>160</v>
      </c>
      <c r="AD2302">
        <v>4</v>
      </c>
      <c r="AE2302">
        <v>637.72</v>
      </c>
      <c r="AF2302">
        <v>637.72</v>
      </c>
      <c r="AG2302" s="29" t="s">
        <v>3113</v>
      </c>
      <c r="AH2302" s="29" t="s">
        <v>3288</v>
      </c>
      <c r="AI2302" s="29" t="s">
        <v>3159</v>
      </c>
      <c r="AJ2302" s="29" t="s">
        <v>584</v>
      </c>
      <c r="AL2302" s="29" t="s">
        <v>3114</v>
      </c>
    </row>
    <row r="2303" spans="15:38">
      <c r="O2303" t="s">
        <v>24</v>
      </c>
      <c r="P2303" t="s">
        <v>43</v>
      </c>
      <c r="Q2303" t="s">
        <v>23</v>
      </c>
      <c r="R2303" t="s">
        <v>60</v>
      </c>
      <c r="S2303">
        <v>2024.19</v>
      </c>
      <c r="T2303">
        <v>13613.34</v>
      </c>
      <c r="U2303">
        <v>0</v>
      </c>
      <c r="V2303">
        <v>13613.34</v>
      </c>
      <c r="AA2303" s="29" t="s">
        <v>43</v>
      </c>
      <c r="AB2303">
        <v>31200</v>
      </c>
      <c r="AC2303">
        <v>160</v>
      </c>
      <c r="AD2303">
        <v>4</v>
      </c>
      <c r="AE2303">
        <v>58.22</v>
      </c>
      <c r="AF2303">
        <v>58.22</v>
      </c>
      <c r="AG2303" s="29" t="s">
        <v>3113</v>
      </c>
      <c r="AH2303" s="29" t="s">
        <v>3341</v>
      </c>
      <c r="AI2303" s="29" t="s">
        <v>3159</v>
      </c>
      <c r="AJ2303" s="29" t="s">
        <v>2093</v>
      </c>
      <c r="AL2303" s="29" t="s">
        <v>3114</v>
      </c>
    </row>
    <row r="2304" spans="15:38">
      <c r="O2304" t="s">
        <v>24</v>
      </c>
      <c r="P2304" t="s">
        <v>43</v>
      </c>
      <c r="Q2304" t="s">
        <v>23</v>
      </c>
      <c r="R2304" t="s">
        <v>60</v>
      </c>
      <c r="S2304">
        <v>2024.2</v>
      </c>
      <c r="T2304">
        <v>13613.34</v>
      </c>
      <c r="U2304">
        <v>0</v>
      </c>
      <c r="V2304">
        <v>13613.34</v>
      </c>
      <c r="AA2304" s="29" t="s">
        <v>43</v>
      </c>
      <c r="AB2304">
        <v>31200</v>
      </c>
      <c r="AC2304">
        <v>160</v>
      </c>
      <c r="AD2304">
        <v>4</v>
      </c>
      <c r="AE2304">
        <v>438.7</v>
      </c>
      <c r="AF2304">
        <v>438.7</v>
      </c>
      <c r="AG2304" s="29" t="s">
        <v>3113</v>
      </c>
      <c r="AH2304" s="29" t="s">
        <v>3536</v>
      </c>
      <c r="AI2304" s="29" t="s">
        <v>3159</v>
      </c>
      <c r="AJ2304" s="29" t="s">
        <v>3537</v>
      </c>
      <c r="AL2304" s="29" t="s">
        <v>3114</v>
      </c>
    </row>
    <row r="2305" spans="15:38">
      <c r="O2305" t="s">
        <v>24</v>
      </c>
      <c r="P2305" t="s">
        <v>43</v>
      </c>
      <c r="Q2305" t="s">
        <v>23</v>
      </c>
      <c r="R2305" t="s">
        <v>60</v>
      </c>
      <c r="S2305">
        <v>2024.21</v>
      </c>
      <c r="T2305">
        <v>13613.34</v>
      </c>
      <c r="U2305">
        <v>0</v>
      </c>
      <c r="V2305">
        <v>13613.34</v>
      </c>
      <c r="AA2305" s="29" t="s">
        <v>43</v>
      </c>
      <c r="AB2305">
        <v>31200</v>
      </c>
      <c r="AC2305">
        <v>160</v>
      </c>
      <c r="AD2305">
        <v>4</v>
      </c>
      <c r="AE2305">
        <v>0</v>
      </c>
      <c r="AF2305">
        <v>0</v>
      </c>
      <c r="AG2305" s="29" t="s">
        <v>3113</v>
      </c>
      <c r="AH2305" s="29" t="s">
        <v>3119</v>
      </c>
      <c r="AI2305" s="29" t="s">
        <v>3159</v>
      </c>
      <c r="AJ2305" s="29" t="s">
        <v>3538</v>
      </c>
      <c r="AL2305" s="29" t="s">
        <v>3114</v>
      </c>
    </row>
    <row r="2306" spans="15:38">
      <c r="O2306" t="s">
        <v>24</v>
      </c>
      <c r="P2306" t="s">
        <v>43</v>
      </c>
      <c r="Q2306" t="s">
        <v>23</v>
      </c>
      <c r="R2306" t="s">
        <v>60</v>
      </c>
      <c r="S2306">
        <v>2024.28</v>
      </c>
      <c r="T2306">
        <v>13613.34</v>
      </c>
      <c r="U2306">
        <v>0</v>
      </c>
      <c r="V2306">
        <v>13613.34</v>
      </c>
      <c r="AA2306" s="29" t="s">
        <v>43</v>
      </c>
      <c r="AB2306">
        <v>31200</v>
      </c>
      <c r="AC2306">
        <v>160</v>
      </c>
      <c r="AD2306">
        <v>4</v>
      </c>
      <c r="AE2306">
        <v>0</v>
      </c>
      <c r="AF2306">
        <v>0</v>
      </c>
      <c r="AG2306" s="29" t="s">
        <v>3113</v>
      </c>
      <c r="AH2306" s="29" t="s">
        <v>3119</v>
      </c>
      <c r="AI2306" s="29" t="s">
        <v>3159</v>
      </c>
      <c r="AJ2306" s="29" t="s">
        <v>3539</v>
      </c>
      <c r="AL2306" s="29" t="s">
        <v>3114</v>
      </c>
    </row>
    <row r="2307" spans="15:38">
      <c r="O2307" t="s">
        <v>24</v>
      </c>
      <c r="P2307" t="s">
        <v>43</v>
      </c>
      <c r="Q2307" t="s">
        <v>23</v>
      </c>
      <c r="R2307" t="s">
        <v>60</v>
      </c>
      <c r="S2307">
        <v>2024.38</v>
      </c>
      <c r="T2307">
        <v>13613.34</v>
      </c>
      <c r="U2307">
        <v>0</v>
      </c>
      <c r="V2307">
        <v>13613.34</v>
      </c>
      <c r="AA2307" s="29" t="s">
        <v>43</v>
      </c>
      <c r="AB2307">
        <v>31200</v>
      </c>
      <c r="AC2307">
        <v>160</v>
      </c>
      <c r="AD2307">
        <v>4</v>
      </c>
      <c r="AE2307">
        <v>145.52000000000001</v>
      </c>
      <c r="AF2307">
        <v>145.52000000000001</v>
      </c>
      <c r="AG2307" s="29" t="s">
        <v>3113</v>
      </c>
      <c r="AH2307" s="29" t="s">
        <v>3301</v>
      </c>
      <c r="AI2307" s="29" t="s">
        <v>3159</v>
      </c>
      <c r="AJ2307" s="29" t="s">
        <v>3540</v>
      </c>
      <c r="AL2307" s="29" t="s">
        <v>3114</v>
      </c>
    </row>
    <row r="2308" spans="15:38">
      <c r="O2308" t="s">
        <v>24</v>
      </c>
      <c r="P2308" t="s">
        <v>43</v>
      </c>
      <c r="Q2308" t="s">
        <v>23</v>
      </c>
      <c r="R2308" t="s">
        <v>60</v>
      </c>
      <c r="S2308">
        <v>2024.39</v>
      </c>
      <c r="T2308">
        <v>13613.34</v>
      </c>
      <c r="U2308">
        <v>0</v>
      </c>
      <c r="V2308">
        <v>13613.34</v>
      </c>
      <c r="AA2308" s="29" t="s">
        <v>43</v>
      </c>
      <c r="AB2308">
        <v>31200</v>
      </c>
      <c r="AC2308">
        <v>160</v>
      </c>
      <c r="AD2308">
        <v>4</v>
      </c>
      <c r="AE2308">
        <v>11.28</v>
      </c>
      <c r="AF2308">
        <v>11.28</v>
      </c>
      <c r="AG2308" s="29" t="s">
        <v>3113</v>
      </c>
      <c r="AH2308" s="29" t="s">
        <v>3541</v>
      </c>
      <c r="AI2308" s="29" t="s">
        <v>3159</v>
      </c>
      <c r="AJ2308" s="29" t="s">
        <v>3542</v>
      </c>
      <c r="AL2308" s="29" t="s">
        <v>3114</v>
      </c>
    </row>
    <row r="2309" spans="15:38">
      <c r="O2309" t="s">
        <v>24</v>
      </c>
      <c r="P2309" t="s">
        <v>43</v>
      </c>
      <c r="Q2309" t="s">
        <v>23</v>
      </c>
      <c r="R2309" t="s">
        <v>60</v>
      </c>
      <c r="S2309">
        <v>2024.41</v>
      </c>
      <c r="T2309">
        <v>13613.34</v>
      </c>
      <c r="U2309">
        <v>0</v>
      </c>
      <c r="V2309">
        <v>13613.34</v>
      </c>
      <c r="AA2309" s="29" t="s">
        <v>43</v>
      </c>
      <c r="AB2309">
        <v>31200</v>
      </c>
      <c r="AC2309">
        <v>160</v>
      </c>
      <c r="AD2309">
        <v>4</v>
      </c>
      <c r="AE2309">
        <v>7.59</v>
      </c>
      <c r="AF2309">
        <v>7.59</v>
      </c>
      <c r="AG2309" s="29" t="s">
        <v>3113</v>
      </c>
      <c r="AH2309" s="29" t="s">
        <v>3543</v>
      </c>
      <c r="AI2309" s="29" t="s">
        <v>3159</v>
      </c>
      <c r="AJ2309" s="29" t="s">
        <v>3544</v>
      </c>
      <c r="AL2309" s="29" t="s">
        <v>3114</v>
      </c>
    </row>
    <row r="2310" spans="15:38">
      <c r="O2310" t="s">
        <v>24</v>
      </c>
      <c r="P2310" t="s">
        <v>43</v>
      </c>
      <c r="Q2310" t="s">
        <v>23</v>
      </c>
      <c r="R2310" t="s">
        <v>60</v>
      </c>
      <c r="S2310">
        <v>2024.43</v>
      </c>
      <c r="T2310">
        <v>13613.34</v>
      </c>
      <c r="U2310">
        <v>0</v>
      </c>
      <c r="V2310">
        <v>13613.34</v>
      </c>
      <c r="AA2310" s="29" t="s">
        <v>43</v>
      </c>
      <c r="AB2310">
        <v>31200</v>
      </c>
      <c r="AC2310">
        <v>160</v>
      </c>
      <c r="AD2310">
        <v>4</v>
      </c>
      <c r="AE2310">
        <v>216.48</v>
      </c>
      <c r="AF2310">
        <v>216.48</v>
      </c>
      <c r="AG2310" s="29" t="s">
        <v>3113</v>
      </c>
      <c r="AH2310" s="29" t="s">
        <v>3390</v>
      </c>
      <c r="AI2310" s="29" t="s">
        <v>3159</v>
      </c>
      <c r="AJ2310" s="29" t="s">
        <v>3391</v>
      </c>
      <c r="AL2310" s="29" t="s">
        <v>3114</v>
      </c>
    </row>
    <row r="2311" spans="15:38">
      <c r="O2311" t="s">
        <v>24</v>
      </c>
      <c r="P2311" t="s">
        <v>43</v>
      </c>
      <c r="Q2311" t="s">
        <v>23</v>
      </c>
      <c r="R2311" t="s">
        <v>60</v>
      </c>
      <c r="S2311">
        <v>2024.44</v>
      </c>
      <c r="T2311">
        <v>13613.34</v>
      </c>
      <c r="U2311">
        <v>0</v>
      </c>
      <c r="V2311">
        <v>13613.34</v>
      </c>
      <c r="AA2311" s="29" t="s">
        <v>43</v>
      </c>
      <c r="AB2311">
        <v>31200</v>
      </c>
      <c r="AC2311">
        <v>160</v>
      </c>
      <c r="AD2311">
        <v>4</v>
      </c>
      <c r="AE2311">
        <v>247.8</v>
      </c>
      <c r="AF2311">
        <v>247.8</v>
      </c>
      <c r="AG2311" s="29" t="s">
        <v>3113</v>
      </c>
      <c r="AH2311" s="29" t="s">
        <v>3354</v>
      </c>
      <c r="AI2311" s="29" t="s">
        <v>3159</v>
      </c>
      <c r="AJ2311" s="29" t="s">
        <v>3355</v>
      </c>
      <c r="AL2311" s="29" t="s">
        <v>3114</v>
      </c>
    </row>
    <row r="2312" spans="15:38">
      <c r="O2312" t="s">
        <v>24</v>
      </c>
      <c r="P2312" t="s">
        <v>43</v>
      </c>
      <c r="Q2312" t="s">
        <v>23</v>
      </c>
      <c r="R2312" t="s">
        <v>60</v>
      </c>
      <c r="S2312">
        <v>2024.45</v>
      </c>
      <c r="T2312">
        <v>13613.34</v>
      </c>
      <c r="U2312">
        <v>0</v>
      </c>
      <c r="V2312">
        <v>13613.34</v>
      </c>
      <c r="AA2312" s="29" t="s">
        <v>43</v>
      </c>
      <c r="AB2312">
        <v>31200</v>
      </c>
      <c r="AC2312">
        <v>160</v>
      </c>
      <c r="AD2312">
        <v>4</v>
      </c>
      <c r="AE2312">
        <v>317.36</v>
      </c>
      <c r="AF2312">
        <v>317.36</v>
      </c>
      <c r="AG2312" s="29" t="s">
        <v>3113</v>
      </c>
      <c r="AH2312" s="29" t="s">
        <v>3545</v>
      </c>
      <c r="AI2312" s="29" t="s">
        <v>3159</v>
      </c>
      <c r="AJ2312" s="29" t="s">
        <v>3546</v>
      </c>
      <c r="AL2312" s="29" t="s">
        <v>3114</v>
      </c>
    </row>
    <row r="2313" spans="15:38">
      <c r="O2313" t="s">
        <v>24</v>
      </c>
      <c r="P2313" t="s">
        <v>43</v>
      </c>
      <c r="Q2313" t="s">
        <v>23</v>
      </c>
      <c r="R2313" t="s">
        <v>60</v>
      </c>
      <c r="S2313">
        <v>2024.47</v>
      </c>
      <c r="T2313">
        <v>13613.88</v>
      </c>
      <c r="U2313">
        <v>0</v>
      </c>
      <c r="V2313">
        <v>13613.34</v>
      </c>
      <c r="AA2313" s="29" t="s">
        <v>43</v>
      </c>
      <c r="AB2313">
        <v>31200</v>
      </c>
      <c r="AC2313">
        <v>160</v>
      </c>
      <c r="AD2313">
        <v>4</v>
      </c>
      <c r="AE2313">
        <v>291.32</v>
      </c>
      <c r="AF2313">
        <v>291.32</v>
      </c>
      <c r="AG2313" s="29" t="s">
        <v>3113</v>
      </c>
      <c r="AH2313" s="29" t="s">
        <v>3547</v>
      </c>
      <c r="AI2313" s="29" t="s">
        <v>3159</v>
      </c>
      <c r="AJ2313" s="29" t="s">
        <v>3548</v>
      </c>
      <c r="AL2313" s="29" t="s">
        <v>3114</v>
      </c>
    </row>
    <row r="2314" spans="15:38">
      <c r="O2314" t="s">
        <v>24</v>
      </c>
      <c r="P2314" t="s">
        <v>43</v>
      </c>
      <c r="Q2314" t="s">
        <v>23</v>
      </c>
      <c r="R2314" t="s">
        <v>60</v>
      </c>
      <c r="S2314">
        <v>2024.48</v>
      </c>
      <c r="T2314">
        <v>13613.34</v>
      </c>
      <c r="U2314">
        <v>0</v>
      </c>
      <c r="V2314">
        <v>13613.34</v>
      </c>
      <c r="AA2314" s="29" t="s">
        <v>43</v>
      </c>
      <c r="AB2314">
        <v>31200</v>
      </c>
      <c r="AC2314">
        <v>160</v>
      </c>
      <c r="AD2314">
        <v>4</v>
      </c>
      <c r="AE2314">
        <v>21.12</v>
      </c>
      <c r="AF2314">
        <v>21.12</v>
      </c>
      <c r="AG2314" s="29" t="s">
        <v>3113</v>
      </c>
      <c r="AH2314" s="29" t="s">
        <v>3549</v>
      </c>
      <c r="AI2314" s="29" t="s">
        <v>3159</v>
      </c>
      <c r="AJ2314" s="29" t="s">
        <v>3550</v>
      </c>
      <c r="AL2314" s="29" t="s">
        <v>3114</v>
      </c>
    </row>
    <row r="2315" spans="15:38">
      <c r="O2315" t="s">
        <v>24</v>
      </c>
      <c r="P2315" t="s">
        <v>43</v>
      </c>
      <c r="Q2315" t="s">
        <v>23</v>
      </c>
      <c r="R2315" t="s">
        <v>60</v>
      </c>
      <c r="S2315">
        <v>2024.49</v>
      </c>
      <c r="T2315">
        <v>13613.34</v>
      </c>
      <c r="U2315">
        <v>0</v>
      </c>
      <c r="V2315">
        <v>13613.34</v>
      </c>
      <c r="AA2315" s="29" t="s">
        <v>43</v>
      </c>
      <c r="AB2315">
        <v>31200</v>
      </c>
      <c r="AC2315">
        <v>160</v>
      </c>
      <c r="AD2315">
        <v>4</v>
      </c>
      <c r="AE2315">
        <v>158.68</v>
      </c>
      <c r="AF2315">
        <v>158.68</v>
      </c>
      <c r="AG2315" s="29" t="s">
        <v>3113</v>
      </c>
      <c r="AH2315" s="29" t="s">
        <v>3528</v>
      </c>
      <c r="AI2315" s="29" t="s">
        <v>3159</v>
      </c>
      <c r="AJ2315" s="29" t="s">
        <v>3529</v>
      </c>
      <c r="AL2315" s="29" t="s">
        <v>3114</v>
      </c>
    </row>
    <row r="2316" spans="15:38">
      <c r="O2316" t="s">
        <v>24</v>
      </c>
      <c r="P2316" t="s">
        <v>43</v>
      </c>
      <c r="Q2316" t="s">
        <v>23</v>
      </c>
      <c r="R2316" t="s">
        <v>60</v>
      </c>
      <c r="S2316">
        <v>2025.03</v>
      </c>
      <c r="T2316">
        <v>13613.34</v>
      </c>
      <c r="U2316">
        <v>0</v>
      </c>
      <c r="V2316">
        <v>13613.34</v>
      </c>
      <c r="AA2316" s="29" t="s">
        <v>43</v>
      </c>
      <c r="AB2316">
        <v>31200</v>
      </c>
      <c r="AC2316">
        <v>160</v>
      </c>
      <c r="AD2316">
        <v>4</v>
      </c>
      <c r="AE2316">
        <v>33094</v>
      </c>
      <c r="AF2316">
        <v>33094</v>
      </c>
      <c r="AG2316" s="29" t="s">
        <v>3113</v>
      </c>
      <c r="AH2316" s="29" t="s">
        <v>3551</v>
      </c>
      <c r="AI2316" s="29" t="s">
        <v>3159</v>
      </c>
      <c r="AJ2316" s="29" t="s">
        <v>3552</v>
      </c>
      <c r="AL2316" s="29" t="s">
        <v>3114</v>
      </c>
    </row>
    <row r="2317" spans="15:38">
      <c r="O2317" t="s">
        <v>24</v>
      </c>
      <c r="P2317" t="s">
        <v>43</v>
      </c>
      <c r="Q2317" t="s">
        <v>23</v>
      </c>
      <c r="R2317" t="s">
        <v>60</v>
      </c>
      <c r="S2317">
        <v>2025.08</v>
      </c>
      <c r="T2317">
        <v>13613.88</v>
      </c>
      <c r="U2317">
        <v>0</v>
      </c>
      <c r="V2317">
        <v>13613.34</v>
      </c>
      <c r="AA2317" s="29" t="s">
        <v>43</v>
      </c>
      <c r="AB2317">
        <v>31200</v>
      </c>
      <c r="AC2317">
        <v>160</v>
      </c>
      <c r="AD2317">
        <v>4</v>
      </c>
      <c r="AE2317">
        <v>1022.04</v>
      </c>
      <c r="AF2317">
        <v>1022.04</v>
      </c>
      <c r="AG2317" s="29" t="s">
        <v>3113</v>
      </c>
      <c r="AH2317" s="29" t="s">
        <v>3553</v>
      </c>
      <c r="AI2317" s="29" t="s">
        <v>3159</v>
      </c>
      <c r="AJ2317" s="29" t="s">
        <v>3554</v>
      </c>
      <c r="AL2317" s="29" t="s">
        <v>3114</v>
      </c>
    </row>
    <row r="2318" spans="15:38">
      <c r="O2318" t="s">
        <v>24</v>
      </c>
      <c r="P2318" t="s">
        <v>43</v>
      </c>
      <c r="Q2318" t="s">
        <v>23</v>
      </c>
      <c r="R2318" t="s">
        <v>60</v>
      </c>
      <c r="S2318">
        <v>2025.1</v>
      </c>
      <c r="T2318">
        <v>13613.88</v>
      </c>
      <c r="U2318">
        <v>0</v>
      </c>
      <c r="V2318">
        <v>13613.34</v>
      </c>
      <c r="AA2318" s="29" t="s">
        <v>43</v>
      </c>
      <c r="AB2318">
        <v>31200</v>
      </c>
      <c r="AC2318">
        <v>160</v>
      </c>
      <c r="AD2318">
        <v>4</v>
      </c>
      <c r="AE2318">
        <v>285.60000000000002</v>
      </c>
      <c r="AF2318">
        <v>285.60000000000002</v>
      </c>
      <c r="AG2318" s="29" t="s">
        <v>3113</v>
      </c>
      <c r="AH2318" s="29" t="s">
        <v>3240</v>
      </c>
      <c r="AI2318" s="29" t="s">
        <v>3159</v>
      </c>
      <c r="AJ2318" s="29" t="s">
        <v>3241</v>
      </c>
      <c r="AL2318" s="29" t="s">
        <v>3114</v>
      </c>
    </row>
    <row r="2319" spans="15:38">
      <c r="O2319" t="s">
        <v>24</v>
      </c>
      <c r="P2319" t="s">
        <v>43</v>
      </c>
      <c r="Q2319" t="s">
        <v>23</v>
      </c>
      <c r="R2319" t="s">
        <v>60</v>
      </c>
      <c r="S2319">
        <v>2025.11</v>
      </c>
      <c r="T2319">
        <v>13613.88</v>
      </c>
      <c r="U2319">
        <v>0</v>
      </c>
      <c r="V2319">
        <v>13613.34</v>
      </c>
      <c r="AA2319" s="29" t="s">
        <v>43</v>
      </c>
      <c r="AB2319">
        <v>31200</v>
      </c>
      <c r="AC2319">
        <v>160</v>
      </c>
      <c r="AD2319">
        <v>4</v>
      </c>
      <c r="AE2319">
        <v>159.80000000000001</v>
      </c>
      <c r="AF2319">
        <v>159.80000000000001</v>
      </c>
      <c r="AG2319" s="29" t="s">
        <v>3113</v>
      </c>
      <c r="AH2319" s="29" t="s">
        <v>3250</v>
      </c>
      <c r="AI2319" s="29" t="s">
        <v>3159</v>
      </c>
      <c r="AJ2319" s="29" t="s">
        <v>3251</v>
      </c>
      <c r="AL2319" s="29" t="s">
        <v>3114</v>
      </c>
    </row>
    <row r="2320" spans="15:38">
      <c r="O2320" t="s">
        <v>24</v>
      </c>
      <c r="P2320" t="s">
        <v>43</v>
      </c>
      <c r="Q2320" t="s">
        <v>23</v>
      </c>
      <c r="R2320" t="s">
        <v>60</v>
      </c>
      <c r="S2320">
        <v>2025.12</v>
      </c>
      <c r="T2320">
        <v>13613.88</v>
      </c>
      <c r="U2320">
        <v>0</v>
      </c>
      <c r="V2320">
        <v>13613.34</v>
      </c>
      <c r="AA2320" s="29" t="s">
        <v>43</v>
      </c>
      <c r="AB2320">
        <v>31200</v>
      </c>
      <c r="AC2320">
        <v>160</v>
      </c>
      <c r="AD2320">
        <v>4</v>
      </c>
      <c r="AE2320">
        <v>0</v>
      </c>
      <c r="AF2320">
        <v>0</v>
      </c>
      <c r="AG2320" s="29" t="s">
        <v>3113</v>
      </c>
      <c r="AH2320" s="29" t="s">
        <v>3119</v>
      </c>
      <c r="AI2320" s="29" t="s">
        <v>3159</v>
      </c>
      <c r="AJ2320" s="29" t="s">
        <v>3512</v>
      </c>
      <c r="AL2320" s="29" t="s">
        <v>3114</v>
      </c>
    </row>
    <row r="2321" spans="15:38">
      <c r="O2321" t="s">
        <v>24</v>
      </c>
      <c r="P2321" t="s">
        <v>43</v>
      </c>
      <c r="Q2321" t="s">
        <v>25</v>
      </c>
      <c r="R2321" t="s">
        <v>60</v>
      </c>
      <c r="S2321">
        <v>2023.47</v>
      </c>
      <c r="T2321">
        <v>0</v>
      </c>
      <c r="U2321">
        <v>82000.918999999994</v>
      </c>
      <c r="V2321">
        <v>82000.918999999994</v>
      </c>
      <c r="AA2321" s="29" t="s">
        <v>43</v>
      </c>
      <c r="AB2321">
        <v>31200</v>
      </c>
      <c r="AC2321">
        <v>160</v>
      </c>
      <c r="AD2321">
        <v>4</v>
      </c>
      <c r="AE2321">
        <v>55.4</v>
      </c>
      <c r="AF2321">
        <v>55.4</v>
      </c>
      <c r="AG2321" s="29" t="s">
        <v>3113</v>
      </c>
      <c r="AH2321" s="29" t="s">
        <v>3555</v>
      </c>
      <c r="AI2321" s="29" t="s">
        <v>3159</v>
      </c>
      <c r="AJ2321" s="29" t="s">
        <v>3556</v>
      </c>
      <c r="AL2321" s="29" t="s">
        <v>3114</v>
      </c>
    </row>
    <row r="2322" spans="15:38">
      <c r="O2322" t="s">
        <v>24</v>
      </c>
      <c r="P2322" t="s">
        <v>43</v>
      </c>
      <c r="Q2322" t="s">
        <v>25</v>
      </c>
      <c r="R2322" t="s">
        <v>60</v>
      </c>
      <c r="S2322">
        <v>2023.51</v>
      </c>
      <c r="T2322">
        <v>140400</v>
      </c>
      <c r="U2322">
        <v>82000.918999999994</v>
      </c>
      <c r="V2322">
        <v>82000.918999999994</v>
      </c>
      <c r="AA2322" s="29" t="s">
        <v>43</v>
      </c>
      <c r="AB2322">
        <v>31200</v>
      </c>
      <c r="AC2322">
        <v>160</v>
      </c>
      <c r="AD2322">
        <v>4</v>
      </c>
      <c r="AE2322">
        <v>189.36</v>
      </c>
      <c r="AF2322">
        <v>189.36</v>
      </c>
      <c r="AG2322" s="29" t="s">
        <v>3113</v>
      </c>
      <c r="AH2322" s="29" t="s">
        <v>3448</v>
      </c>
      <c r="AI2322" s="29" t="s">
        <v>3159</v>
      </c>
      <c r="AJ2322" s="29" t="s">
        <v>3449</v>
      </c>
      <c r="AL2322" s="29" t="s">
        <v>3114</v>
      </c>
    </row>
    <row r="2323" spans="15:38">
      <c r="O2323" t="s">
        <v>24</v>
      </c>
      <c r="P2323" t="s">
        <v>43</v>
      </c>
      <c r="Q2323" t="s">
        <v>25</v>
      </c>
      <c r="R2323" t="s">
        <v>60</v>
      </c>
      <c r="S2323">
        <v>2024.05</v>
      </c>
      <c r="T2323">
        <v>140400</v>
      </c>
      <c r="U2323">
        <v>82000.918999999994</v>
      </c>
      <c r="V2323">
        <v>82000.918999999994</v>
      </c>
      <c r="AA2323" s="29" t="s">
        <v>43</v>
      </c>
      <c r="AB2323">
        <v>31200</v>
      </c>
      <c r="AC2323">
        <v>160</v>
      </c>
      <c r="AD2323">
        <v>4</v>
      </c>
      <c r="AE2323">
        <v>53.5</v>
      </c>
      <c r="AF2323">
        <v>53.5</v>
      </c>
      <c r="AG2323" s="29" t="s">
        <v>3113</v>
      </c>
      <c r="AH2323" s="29" t="s">
        <v>3254</v>
      </c>
      <c r="AI2323" s="29" t="s">
        <v>3159</v>
      </c>
      <c r="AJ2323" s="29" t="s">
        <v>2096</v>
      </c>
      <c r="AL2323" s="29" t="s">
        <v>3114</v>
      </c>
    </row>
    <row r="2324" spans="15:38">
      <c r="O2324" t="s">
        <v>24</v>
      </c>
      <c r="P2324" t="s">
        <v>43</v>
      </c>
      <c r="Q2324" t="s">
        <v>25</v>
      </c>
      <c r="R2324" t="s">
        <v>60</v>
      </c>
      <c r="S2324">
        <v>2024.06</v>
      </c>
      <c r="T2324">
        <v>140400</v>
      </c>
      <c r="U2324">
        <v>82000.918999999994</v>
      </c>
      <c r="V2324">
        <v>82000.918999999994</v>
      </c>
      <c r="AA2324" s="29" t="s">
        <v>43</v>
      </c>
      <c r="AB2324">
        <v>31200</v>
      </c>
      <c r="AC2324">
        <v>160</v>
      </c>
      <c r="AD2324">
        <v>4</v>
      </c>
      <c r="AE2324">
        <v>53.5</v>
      </c>
      <c r="AF2324">
        <v>53.5</v>
      </c>
      <c r="AG2324" s="29" t="s">
        <v>3113</v>
      </c>
      <c r="AH2324" s="29" t="s">
        <v>3254</v>
      </c>
      <c r="AI2324" s="29" t="s">
        <v>3159</v>
      </c>
      <c r="AJ2324" s="29" t="s">
        <v>2075</v>
      </c>
      <c r="AL2324" s="29" t="s">
        <v>3114</v>
      </c>
    </row>
    <row r="2325" spans="15:38">
      <c r="O2325" t="s">
        <v>24</v>
      </c>
      <c r="P2325" t="s">
        <v>43</v>
      </c>
      <c r="Q2325" t="s">
        <v>25</v>
      </c>
      <c r="R2325" t="s">
        <v>60</v>
      </c>
      <c r="S2325">
        <v>2024.07</v>
      </c>
      <c r="T2325">
        <v>140400</v>
      </c>
      <c r="U2325">
        <v>82000.918999999994</v>
      </c>
      <c r="V2325">
        <v>82000.918999999994</v>
      </c>
      <c r="AA2325" s="29" t="s">
        <v>43</v>
      </c>
      <c r="AB2325">
        <v>31200</v>
      </c>
      <c r="AC2325">
        <v>160</v>
      </c>
      <c r="AD2325">
        <v>4</v>
      </c>
      <c r="AE2325">
        <v>53.5</v>
      </c>
      <c r="AF2325">
        <v>53.5</v>
      </c>
      <c r="AG2325" s="29" t="s">
        <v>3113</v>
      </c>
      <c r="AH2325" s="29" t="s">
        <v>3254</v>
      </c>
      <c r="AI2325" s="29" t="s">
        <v>3159</v>
      </c>
      <c r="AJ2325" s="29" t="s">
        <v>3257</v>
      </c>
      <c r="AL2325" s="29" t="s">
        <v>3114</v>
      </c>
    </row>
    <row r="2326" spans="15:38">
      <c r="O2326" t="s">
        <v>24</v>
      </c>
      <c r="P2326" t="s">
        <v>43</v>
      </c>
      <c r="Q2326" t="s">
        <v>25</v>
      </c>
      <c r="R2326" t="s">
        <v>60</v>
      </c>
      <c r="S2326">
        <v>2024.08</v>
      </c>
      <c r="T2326">
        <v>140400</v>
      </c>
      <c r="U2326">
        <v>82000.918999999994</v>
      </c>
      <c r="V2326">
        <v>82000.918999999994</v>
      </c>
      <c r="AA2326" s="29" t="s">
        <v>43</v>
      </c>
      <c r="AB2326">
        <v>31200</v>
      </c>
      <c r="AC2326">
        <v>160</v>
      </c>
      <c r="AD2326">
        <v>4</v>
      </c>
      <c r="AE2326">
        <v>107</v>
      </c>
      <c r="AF2326">
        <v>107</v>
      </c>
      <c r="AG2326" s="29" t="s">
        <v>3113</v>
      </c>
      <c r="AH2326" s="29" t="s">
        <v>3320</v>
      </c>
      <c r="AI2326" s="29" t="s">
        <v>3159</v>
      </c>
      <c r="AJ2326" s="29" t="s">
        <v>3534</v>
      </c>
      <c r="AL2326" s="29" t="s">
        <v>3114</v>
      </c>
    </row>
    <row r="2327" spans="15:38">
      <c r="O2327" t="s">
        <v>24</v>
      </c>
      <c r="P2327" t="s">
        <v>43</v>
      </c>
      <c r="Q2327" t="s">
        <v>25</v>
      </c>
      <c r="R2327" t="s">
        <v>60</v>
      </c>
      <c r="S2327">
        <v>2024.09</v>
      </c>
      <c r="T2327">
        <v>140400</v>
      </c>
      <c r="U2327">
        <v>82000.918999999994</v>
      </c>
      <c r="V2327">
        <v>82000.918999999994</v>
      </c>
      <c r="AA2327" s="29" t="s">
        <v>43</v>
      </c>
      <c r="AB2327">
        <v>31200</v>
      </c>
      <c r="AC2327">
        <v>160</v>
      </c>
      <c r="AD2327">
        <v>4</v>
      </c>
      <c r="AE2327">
        <v>107</v>
      </c>
      <c r="AF2327">
        <v>107</v>
      </c>
      <c r="AG2327" s="29" t="s">
        <v>3113</v>
      </c>
      <c r="AH2327" s="29" t="s">
        <v>3320</v>
      </c>
      <c r="AI2327" s="29" t="s">
        <v>3159</v>
      </c>
      <c r="AJ2327" s="29" t="s">
        <v>3557</v>
      </c>
      <c r="AL2327" s="29" t="s">
        <v>3114</v>
      </c>
    </row>
    <row r="2328" spans="15:38">
      <c r="O2328" t="s">
        <v>24</v>
      </c>
      <c r="P2328" t="s">
        <v>43</v>
      </c>
      <c r="Q2328" t="s">
        <v>25</v>
      </c>
      <c r="R2328" t="s">
        <v>60</v>
      </c>
      <c r="S2328">
        <v>2024.1</v>
      </c>
      <c r="T2328">
        <v>140400</v>
      </c>
      <c r="U2328">
        <v>82000.918999999994</v>
      </c>
      <c r="V2328">
        <v>82000.918999999994</v>
      </c>
      <c r="AA2328" s="29" t="s">
        <v>43</v>
      </c>
      <c r="AB2328">
        <v>31200</v>
      </c>
      <c r="AC2328">
        <v>160</v>
      </c>
      <c r="AD2328">
        <v>4</v>
      </c>
      <c r="AE2328">
        <v>53.5</v>
      </c>
      <c r="AF2328">
        <v>53.5</v>
      </c>
      <c r="AG2328" s="29" t="s">
        <v>3113</v>
      </c>
      <c r="AH2328" s="29" t="s">
        <v>3254</v>
      </c>
      <c r="AI2328" s="29" t="s">
        <v>3159</v>
      </c>
      <c r="AJ2328" s="29" t="s">
        <v>3558</v>
      </c>
      <c r="AL2328" s="29" t="s">
        <v>3114</v>
      </c>
    </row>
    <row r="2329" spans="15:38">
      <c r="O2329" t="s">
        <v>24</v>
      </c>
      <c r="P2329" t="s">
        <v>43</v>
      </c>
      <c r="Q2329" t="s">
        <v>25</v>
      </c>
      <c r="R2329" t="s">
        <v>60</v>
      </c>
      <c r="S2329">
        <v>2024.11</v>
      </c>
      <c r="T2329">
        <v>140400</v>
      </c>
      <c r="U2329">
        <v>82000.918999999994</v>
      </c>
      <c r="V2329">
        <v>82000.918999999994</v>
      </c>
      <c r="AA2329" s="29" t="s">
        <v>43</v>
      </c>
      <c r="AB2329">
        <v>31200</v>
      </c>
      <c r="AC2329">
        <v>160</v>
      </c>
      <c r="AD2329">
        <v>4</v>
      </c>
      <c r="AE2329">
        <v>53.5</v>
      </c>
      <c r="AF2329">
        <v>53.5</v>
      </c>
      <c r="AG2329" s="29" t="s">
        <v>3113</v>
      </c>
      <c r="AH2329" s="29" t="s">
        <v>3254</v>
      </c>
      <c r="AI2329" s="29" t="s">
        <v>3159</v>
      </c>
      <c r="AJ2329" s="29" t="s">
        <v>3559</v>
      </c>
      <c r="AL2329" s="29" t="s">
        <v>3114</v>
      </c>
    </row>
    <row r="2330" spans="15:38">
      <c r="O2330" t="s">
        <v>24</v>
      </c>
      <c r="P2330" t="s">
        <v>43</v>
      </c>
      <c r="Q2330" t="s">
        <v>25</v>
      </c>
      <c r="R2330" t="s">
        <v>60</v>
      </c>
      <c r="S2330">
        <v>2024.12</v>
      </c>
      <c r="T2330">
        <v>140400</v>
      </c>
      <c r="U2330">
        <v>82000.918999999994</v>
      </c>
      <c r="V2330">
        <v>82000.918999999994</v>
      </c>
      <c r="AA2330" s="29" t="s">
        <v>43</v>
      </c>
      <c r="AB2330">
        <v>31200</v>
      </c>
      <c r="AC2330">
        <v>160</v>
      </c>
      <c r="AD2330">
        <v>4</v>
      </c>
      <c r="AE2330">
        <v>224</v>
      </c>
      <c r="AF2330">
        <v>224</v>
      </c>
      <c r="AG2330" s="29" t="s">
        <v>3113</v>
      </c>
      <c r="AH2330" s="29" t="s">
        <v>3560</v>
      </c>
      <c r="AI2330" s="29" t="s">
        <v>3159</v>
      </c>
      <c r="AJ2330" s="29" t="s">
        <v>3561</v>
      </c>
      <c r="AL2330" s="29" t="s">
        <v>3114</v>
      </c>
    </row>
    <row r="2331" spans="15:38">
      <c r="O2331" t="s">
        <v>24</v>
      </c>
      <c r="P2331" t="s">
        <v>43</v>
      </c>
      <c r="Q2331" t="s">
        <v>25</v>
      </c>
      <c r="R2331" t="s">
        <v>60</v>
      </c>
      <c r="S2331">
        <v>2024.14</v>
      </c>
      <c r="T2331">
        <v>140400</v>
      </c>
      <c r="U2331">
        <v>82000.918999999994</v>
      </c>
      <c r="V2331">
        <v>82000.918999999994</v>
      </c>
      <c r="AA2331" s="29" t="s">
        <v>43</v>
      </c>
      <c r="AB2331">
        <v>31200</v>
      </c>
      <c r="AC2331">
        <v>160</v>
      </c>
      <c r="AD2331">
        <v>4</v>
      </c>
      <c r="AE2331">
        <v>465.76</v>
      </c>
      <c r="AF2331">
        <v>465.76</v>
      </c>
      <c r="AG2331" s="29" t="s">
        <v>3113</v>
      </c>
      <c r="AH2331" s="29" t="s">
        <v>3562</v>
      </c>
      <c r="AI2331" s="29" t="s">
        <v>3159</v>
      </c>
      <c r="AJ2331" s="29" t="s">
        <v>3563</v>
      </c>
      <c r="AL2331" s="29" t="s">
        <v>3114</v>
      </c>
    </row>
    <row r="2332" spans="15:38">
      <c r="O2332" t="s">
        <v>24</v>
      </c>
      <c r="P2332" t="s">
        <v>43</v>
      </c>
      <c r="Q2332" t="s">
        <v>25</v>
      </c>
      <c r="R2332" t="s">
        <v>60</v>
      </c>
      <c r="S2332">
        <v>2024.17</v>
      </c>
      <c r="T2332">
        <v>140400</v>
      </c>
      <c r="U2332">
        <v>82000.918999999994</v>
      </c>
      <c r="V2332">
        <v>82000.918999999994</v>
      </c>
      <c r="AA2332" s="29" t="s">
        <v>43</v>
      </c>
      <c r="AB2332">
        <v>31200</v>
      </c>
      <c r="AC2332">
        <v>160</v>
      </c>
      <c r="AD2332">
        <v>4</v>
      </c>
      <c r="AE2332">
        <v>2033</v>
      </c>
      <c r="AF2332">
        <v>2033</v>
      </c>
      <c r="AG2332" s="29" t="s">
        <v>3113</v>
      </c>
      <c r="AH2332" s="29" t="s">
        <v>3564</v>
      </c>
      <c r="AI2332" s="29" t="s">
        <v>3159</v>
      </c>
      <c r="AJ2332" s="29" t="s">
        <v>3565</v>
      </c>
      <c r="AL2332" s="29" t="s">
        <v>3114</v>
      </c>
    </row>
    <row r="2333" spans="15:38">
      <c r="O2333" t="s">
        <v>24</v>
      </c>
      <c r="P2333" t="s">
        <v>43</v>
      </c>
      <c r="Q2333" t="s">
        <v>25</v>
      </c>
      <c r="R2333" t="s">
        <v>60</v>
      </c>
      <c r="S2333">
        <v>2024.18</v>
      </c>
      <c r="T2333">
        <v>140400</v>
      </c>
      <c r="U2333">
        <v>82000.918999999994</v>
      </c>
      <c r="V2333">
        <v>82000.918999999994</v>
      </c>
      <c r="AA2333" s="29" t="s">
        <v>43</v>
      </c>
      <c r="AB2333">
        <v>31200</v>
      </c>
      <c r="AC2333">
        <v>160</v>
      </c>
      <c r="AD2333">
        <v>4</v>
      </c>
      <c r="AE2333">
        <v>406.6</v>
      </c>
      <c r="AF2333">
        <v>406.6</v>
      </c>
      <c r="AG2333" s="29" t="s">
        <v>3113</v>
      </c>
      <c r="AH2333" s="29" t="s">
        <v>3517</v>
      </c>
      <c r="AI2333" s="29" t="s">
        <v>3159</v>
      </c>
      <c r="AJ2333" s="29" t="s">
        <v>611</v>
      </c>
      <c r="AL2333" s="29" t="s">
        <v>3114</v>
      </c>
    </row>
    <row r="2334" spans="15:38">
      <c r="O2334" t="s">
        <v>24</v>
      </c>
      <c r="P2334" t="s">
        <v>43</v>
      </c>
      <c r="Q2334" t="s">
        <v>25</v>
      </c>
      <c r="R2334" t="s">
        <v>60</v>
      </c>
      <c r="S2334">
        <v>2024.19</v>
      </c>
      <c r="T2334">
        <v>140400</v>
      </c>
      <c r="U2334">
        <v>82000.918999999994</v>
      </c>
      <c r="V2334">
        <v>82000.918999999994</v>
      </c>
      <c r="AA2334" s="29" t="s">
        <v>43</v>
      </c>
      <c r="AB2334">
        <v>31200</v>
      </c>
      <c r="AC2334">
        <v>160</v>
      </c>
      <c r="AD2334">
        <v>4</v>
      </c>
      <c r="AE2334">
        <v>291.04000000000002</v>
      </c>
      <c r="AF2334">
        <v>291.04000000000002</v>
      </c>
      <c r="AG2334" s="29" t="s">
        <v>3113</v>
      </c>
      <c r="AH2334" s="29" t="s">
        <v>3566</v>
      </c>
      <c r="AI2334" s="29" t="s">
        <v>3159</v>
      </c>
      <c r="AJ2334" s="29" t="s">
        <v>3567</v>
      </c>
      <c r="AL2334" s="29" t="s">
        <v>3114</v>
      </c>
    </row>
    <row r="2335" spans="15:38">
      <c r="O2335" t="s">
        <v>24</v>
      </c>
      <c r="P2335" t="s">
        <v>43</v>
      </c>
      <c r="Q2335" t="s">
        <v>25</v>
      </c>
      <c r="R2335" t="s">
        <v>60</v>
      </c>
      <c r="S2335">
        <v>2024.2</v>
      </c>
      <c r="T2335">
        <v>140400</v>
      </c>
      <c r="U2335">
        <v>82000.918999999994</v>
      </c>
      <c r="V2335">
        <v>82000.918999999994</v>
      </c>
      <c r="AA2335" s="29" t="s">
        <v>43</v>
      </c>
      <c r="AB2335">
        <v>31200</v>
      </c>
      <c r="AC2335">
        <v>160</v>
      </c>
      <c r="AD2335">
        <v>4</v>
      </c>
      <c r="AE2335">
        <v>616.32000000000005</v>
      </c>
      <c r="AF2335">
        <v>616.32000000000005</v>
      </c>
      <c r="AG2335" s="29" t="s">
        <v>3113</v>
      </c>
      <c r="AH2335" s="29" t="s">
        <v>3342</v>
      </c>
      <c r="AI2335" s="29" t="s">
        <v>3159</v>
      </c>
      <c r="AJ2335" s="29" t="s">
        <v>2095</v>
      </c>
      <c r="AL2335" s="29" t="s">
        <v>3114</v>
      </c>
    </row>
    <row r="2336" spans="15:38">
      <c r="O2336" t="s">
        <v>24</v>
      </c>
      <c r="P2336" t="s">
        <v>43</v>
      </c>
      <c r="Q2336" t="s">
        <v>25</v>
      </c>
      <c r="R2336" t="s">
        <v>60</v>
      </c>
      <c r="S2336">
        <v>2024.21</v>
      </c>
      <c r="T2336">
        <v>140400</v>
      </c>
      <c r="U2336">
        <v>82000.918999999994</v>
      </c>
      <c r="V2336">
        <v>82000.918999999994</v>
      </c>
      <c r="AA2336" s="29" t="s">
        <v>43</v>
      </c>
      <c r="AB2336">
        <v>31200</v>
      </c>
      <c r="AC2336">
        <v>160</v>
      </c>
      <c r="AD2336">
        <v>4</v>
      </c>
      <c r="AE2336">
        <v>297.45999999999998</v>
      </c>
      <c r="AF2336">
        <v>297.45999999999998</v>
      </c>
      <c r="AG2336" s="29" t="s">
        <v>3113</v>
      </c>
      <c r="AH2336" s="29" t="s">
        <v>3568</v>
      </c>
      <c r="AI2336" s="29" t="s">
        <v>3159</v>
      </c>
      <c r="AJ2336" s="29" t="s">
        <v>352</v>
      </c>
      <c r="AL2336" s="29" t="s">
        <v>3114</v>
      </c>
    </row>
    <row r="2337" spans="15:38">
      <c r="O2337" t="s">
        <v>24</v>
      </c>
      <c r="P2337" t="s">
        <v>43</v>
      </c>
      <c r="Q2337" t="s">
        <v>25</v>
      </c>
      <c r="R2337" t="s">
        <v>60</v>
      </c>
      <c r="S2337">
        <v>2024.28</v>
      </c>
      <c r="T2337">
        <v>140400</v>
      </c>
      <c r="U2337">
        <v>82000.918999999994</v>
      </c>
      <c r="V2337">
        <v>82000.918999999994</v>
      </c>
      <c r="AA2337" s="29" t="s">
        <v>43</v>
      </c>
      <c r="AB2337">
        <v>31200</v>
      </c>
      <c r="AC2337">
        <v>160</v>
      </c>
      <c r="AD2337">
        <v>4</v>
      </c>
      <c r="AE2337">
        <v>13.31</v>
      </c>
      <c r="AF2337">
        <v>13.31</v>
      </c>
      <c r="AG2337" s="29" t="s">
        <v>3113</v>
      </c>
      <c r="AH2337" s="29" t="s">
        <v>3522</v>
      </c>
      <c r="AI2337" s="29" t="s">
        <v>3159</v>
      </c>
      <c r="AJ2337" s="29" t="s">
        <v>3523</v>
      </c>
      <c r="AL2337" s="29" t="s">
        <v>3114</v>
      </c>
    </row>
    <row r="2338" spans="15:38">
      <c r="O2338" t="s">
        <v>24</v>
      </c>
      <c r="P2338" t="s">
        <v>43</v>
      </c>
      <c r="Q2338" t="s">
        <v>25</v>
      </c>
      <c r="R2338" t="s">
        <v>60</v>
      </c>
      <c r="S2338">
        <v>2024.38</v>
      </c>
      <c r="T2338">
        <v>140400</v>
      </c>
      <c r="U2338">
        <v>82000.918999999994</v>
      </c>
      <c r="V2338">
        <v>82000.918999999994</v>
      </c>
      <c r="AA2338" s="29" t="s">
        <v>43</v>
      </c>
      <c r="AB2338">
        <v>31200</v>
      </c>
      <c r="AC2338">
        <v>160</v>
      </c>
      <c r="AD2338">
        <v>4</v>
      </c>
      <c r="AE2338">
        <v>13.31</v>
      </c>
      <c r="AF2338">
        <v>13.31</v>
      </c>
      <c r="AG2338" s="29" t="s">
        <v>3113</v>
      </c>
      <c r="AH2338" s="29" t="s">
        <v>3522</v>
      </c>
      <c r="AI2338" s="29" t="s">
        <v>3159</v>
      </c>
      <c r="AJ2338" s="29" t="s">
        <v>3523</v>
      </c>
      <c r="AL2338" s="29" t="s">
        <v>3114</v>
      </c>
    </row>
    <row r="2339" spans="15:38">
      <c r="O2339" t="s">
        <v>24</v>
      </c>
      <c r="P2339" t="s">
        <v>43</v>
      </c>
      <c r="Q2339" t="s">
        <v>25</v>
      </c>
      <c r="R2339" t="s">
        <v>60</v>
      </c>
      <c r="S2339">
        <v>2024.47</v>
      </c>
      <c r="T2339">
        <v>140400</v>
      </c>
      <c r="U2339">
        <v>82000.918999999994</v>
      </c>
      <c r="V2339">
        <v>102000.91899999999</v>
      </c>
      <c r="AA2339" s="29" t="s">
        <v>43</v>
      </c>
      <c r="AB2339">
        <v>31200</v>
      </c>
      <c r="AC2339">
        <v>160</v>
      </c>
      <c r="AD2339">
        <v>4</v>
      </c>
      <c r="AE2339">
        <v>26.4</v>
      </c>
      <c r="AF2339">
        <v>26.4</v>
      </c>
      <c r="AG2339" s="29" t="s">
        <v>3113</v>
      </c>
      <c r="AH2339" s="29" t="s">
        <v>3569</v>
      </c>
      <c r="AI2339" s="29" t="s">
        <v>3159</v>
      </c>
      <c r="AJ2339" s="29" t="s">
        <v>3570</v>
      </c>
      <c r="AL2339" s="29" t="s">
        <v>3114</v>
      </c>
    </row>
    <row r="2340" spans="15:38">
      <c r="O2340" t="s">
        <v>24</v>
      </c>
      <c r="P2340" t="s">
        <v>43</v>
      </c>
      <c r="Q2340" t="s">
        <v>25</v>
      </c>
      <c r="R2340" t="s">
        <v>60</v>
      </c>
      <c r="S2340">
        <v>2025.08</v>
      </c>
      <c r="T2340">
        <v>219.72</v>
      </c>
      <c r="U2340">
        <v>82000.918999999994</v>
      </c>
      <c r="V2340">
        <v>102000.91899999999</v>
      </c>
      <c r="AA2340" s="29" t="s">
        <v>43</v>
      </c>
      <c r="AB2340">
        <v>31200</v>
      </c>
      <c r="AC2340">
        <v>160</v>
      </c>
      <c r="AD2340">
        <v>4</v>
      </c>
      <c r="AE2340">
        <v>931.52</v>
      </c>
      <c r="AF2340">
        <v>931.52</v>
      </c>
      <c r="AG2340" s="29" t="s">
        <v>3113</v>
      </c>
      <c r="AH2340" s="29" t="s">
        <v>3571</v>
      </c>
      <c r="AI2340" s="29" t="s">
        <v>3159</v>
      </c>
      <c r="AJ2340" s="29" t="s">
        <v>3572</v>
      </c>
      <c r="AL2340" s="29" t="s">
        <v>3114</v>
      </c>
    </row>
    <row r="2341" spans="15:38">
      <c r="O2341" t="s">
        <v>24</v>
      </c>
      <c r="P2341" t="s">
        <v>43</v>
      </c>
      <c r="Q2341" t="s">
        <v>25</v>
      </c>
      <c r="R2341" t="s">
        <v>60</v>
      </c>
      <c r="S2341">
        <v>2025.1</v>
      </c>
      <c r="T2341">
        <v>219.72</v>
      </c>
      <c r="U2341">
        <v>82000.918999999994</v>
      </c>
      <c r="V2341">
        <v>102000.91899999999</v>
      </c>
      <c r="AA2341" s="29" t="s">
        <v>43</v>
      </c>
      <c r="AB2341">
        <v>31200</v>
      </c>
      <c r="AC2341">
        <v>160</v>
      </c>
      <c r="AD2341">
        <v>4</v>
      </c>
      <c r="AE2341">
        <v>892.38</v>
      </c>
      <c r="AF2341">
        <v>892.38</v>
      </c>
      <c r="AG2341" s="29" t="s">
        <v>3113</v>
      </c>
      <c r="AH2341" s="29" t="s">
        <v>3306</v>
      </c>
      <c r="AI2341" s="29" t="s">
        <v>3159</v>
      </c>
      <c r="AJ2341" s="29" t="s">
        <v>350</v>
      </c>
      <c r="AL2341" s="29" t="s">
        <v>3114</v>
      </c>
    </row>
    <row r="2342" spans="15:38">
      <c r="O2342" t="s">
        <v>24</v>
      </c>
      <c r="P2342" t="s">
        <v>43</v>
      </c>
      <c r="Q2342" t="s">
        <v>25</v>
      </c>
      <c r="R2342" t="s">
        <v>60</v>
      </c>
      <c r="S2342">
        <v>2025.11</v>
      </c>
      <c r="T2342">
        <v>219.72</v>
      </c>
      <c r="U2342">
        <v>82000.918999999994</v>
      </c>
      <c r="V2342">
        <v>102000.91899999999</v>
      </c>
      <c r="AA2342" s="29" t="s">
        <v>43</v>
      </c>
      <c r="AB2342">
        <v>31200</v>
      </c>
      <c r="AC2342">
        <v>160</v>
      </c>
      <c r="AD2342">
        <v>4</v>
      </c>
      <c r="AE2342">
        <v>46.32</v>
      </c>
      <c r="AF2342">
        <v>46.32</v>
      </c>
      <c r="AG2342" s="29" t="s">
        <v>3113</v>
      </c>
      <c r="AH2342" s="29" t="s">
        <v>3357</v>
      </c>
      <c r="AI2342" s="29" t="s">
        <v>3159</v>
      </c>
      <c r="AJ2342" s="29" t="s">
        <v>447</v>
      </c>
      <c r="AL2342" s="29" t="s">
        <v>3114</v>
      </c>
    </row>
    <row r="2343" spans="15:38">
      <c r="O2343" t="s">
        <v>24</v>
      </c>
      <c r="P2343" t="s">
        <v>43</v>
      </c>
      <c r="Q2343" t="s">
        <v>25</v>
      </c>
      <c r="R2343" t="s">
        <v>60</v>
      </c>
      <c r="S2343">
        <v>2025.12</v>
      </c>
      <c r="T2343">
        <v>219.72</v>
      </c>
      <c r="U2343">
        <v>82000.918999999994</v>
      </c>
      <c r="V2343">
        <v>102000.91899999999</v>
      </c>
      <c r="AA2343" s="29" t="s">
        <v>43</v>
      </c>
      <c r="AB2343">
        <v>31200</v>
      </c>
      <c r="AC2343">
        <v>160</v>
      </c>
      <c r="AD2343">
        <v>4</v>
      </c>
      <c r="AE2343">
        <v>46.32</v>
      </c>
      <c r="AF2343">
        <v>46.32</v>
      </c>
      <c r="AG2343" s="29" t="s">
        <v>3113</v>
      </c>
      <c r="AH2343" s="29" t="s">
        <v>3357</v>
      </c>
      <c r="AI2343" s="29" t="s">
        <v>3159</v>
      </c>
      <c r="AJ2343" s="29" t="s">
        <v>447</v>
      </c>
      <c r="AL2343" s="29" t="s">
        <v>3114</v>
      </c>
    </row>
    <row r="2344" spans="15:38">
      <c r="O2344" t="s">
        <v>24</v>
      </c>
      <c r="P2344" t="s">
        <v>43</v>
      </c>
      <c r="Q2344" t="s">
        <v>25</v>
      </c>
      <c r="R2344" t="s">
        <v>67</v>
      </c>
      <c r="S2344">
        <v>2023.47</v>
      </c>
      <c r="T2344">
        <v>0</v>
      </c>
      <c r="U2344">
        <v>20577.27</v>
      </c>
      <c r="V2344">
        <v>20577.27</v>
      </c>
      <c r="AA2344" s="29" t="s">
        <v>43</v>
      </c>
      <c r="AB2344">
        <v>31200</v>
      </c>
      <c r="AC2344">
        <v>160</v>
      </c>
      <c r="AD2344">
        <v>4</v>
      </c>
      <c r="AE2344">
        <v>46.32</v>
      </c>
      <c r="AF2344">
        <v>46.32</v>
      </c>
      <c r="AG2344" s="29" t="s">
        <v>3113</v>
      </c>
      <c r="AH2344" s="29" t="s">
        <v>3357</v>
      </c>
      <c r="AI2344" s="29" t="s">
        <v>3159</v>
      </c>
      <c r="AJ2344" s="29" t="s">
        <v>447</v>
      </c>
      <c r="AL2344" s="29" t="s">
        <v>3114</v>
      </c>
    </row>
    <row r="2345" spans="15:38">
      <c r="O2345" t="s">
        <v>24</v>
      </c>
      <c r="P2345" t="s">
        <v>43</v>
      </c>
      <c r="Q2345" t="s">
        <v>25</v>
      </c>
      <c r="R2345" t="s">
        <v>67</v>
      </c>
      <c r="S2345">
        <v>2024.48</v>
      </c>
      <c r="T2345">
        <v>0</v>
      </c>
      <c r="U2345">
        <v>20577.27</v>
      </c>
      <c r="V2345">
        <v>35577.269999999997</v>
      </c>
      <c r="AA2345" s="29" t="s">
        <v>43</v>
      </c>
      <c r="AB2345">
        <v>31200</v>
      </c>
      <c r="AC2345">
        <v>160</v>
      </c>
      <c r="AD2345">
        <v>4</v>
      </c>
      <c r="AE2345">
        <v>46.32</v>
      </c>
      <c r="AF2345">
        <v>46.32</v>
      </c>
      <c r="AG2345" s="29" t="s">
        <v>3113</v>
      </c>
      <c r="AH2345" s="29" t="s">
        <v>3357</v>
      </c>
      <c r="AI2345" s="29" t="s">
        <v>3159</v>
      </c>
      <c r="AJ2345" s="29" t="s">
        <v>447</v>
      </c>
      <c r="AL2345" s="29" t="s">
        <v>3114</v>
      </c>
    </row>
    <row r="2346" spans="15:38">
      <c r="O2346" t="s">
        <v>24</v>
      </c>
      <c r="P2346" t="s">
        <v>43</v>
      </c>
      <c r="Q2346" t="s">
        <v>25</v>
      </c>
      <c r="R2346" t="s">
        <v>64</v>
      </c>
      <c r="S2346">
        <v>2024.43</v>
      </c>
      <c r="T2346">
        <v>437.16</v>
      </c>
      <c r="U2346">
        <v>0</v>
      </c>
      <c r="V2346">
        <v>0</v>
      </c>
      <c r="AA2346" s="29" t="s">
        <v>43</v>
      </c>
      <c r="AB2346">
        <v>31200</v>
      </c>
      <c r="AC2346">
        <v>160</v>
      </c>
      <c r="AD2346">
        <v>4</v>
      </c>
      <c r="AE2346">
        <v>44344</v>
      </c>
      <c r="AF2346">
        <v>44344</v>
      </c>
      <c r="AG2346" s="29" t="s">
        <v>3113</v>
      </c>
      <c r="AH2346" s="29" t="s">
        <v>3573</v>
      </c>
      <c r="AI2346" s="29" t="s">
        <v>3159</v>
      </c>
      <c r="AJ2346" s="29" t="s">
        <v>3574</v>
      </c>
      <c r="AL2346" s="29" t="s">
        <v>3114</v>
      </c>
    </row>
    <row r="2347" spans="15:38">
      <c r="O2347" t="s">
        <v>24</v>
      </c>
      <c r="P2347" t="s">
        <v>43</v>
      </c>
      <c r="Q2347" t="s">
        <v>25</v>
      </c>
      <c r="R2347" t="s">
        <v>64</v>
      </c>
      <c r="S2347">
        <v>2024.44</v>
      </c>
      <c r="T2347">
        <v>10831.96</v>
      </c>
      <c r="U2347">
        <v>0</v>
      </c>
      <c r="V2347">
        <v>0</v>
      </c>
      <c r="AA2347" s="29" t="s">
        <v>43</v>
      </c>
      <c r="AB2347">
        <v>31200</v>
      </c>
      <c r="AC2347">
        <v>160</v>
      </c>
      <c r="AD2347">
        <v>4</v>
      </c>
      <c r="AE2347">
        <v>0</v>
      </c>
      <c r="AF2347">
        <v>0</v>
      </c>
      <c r="AG2347" s="29" t="s">
        <v>3113</v>
      </c>
      <c r="AH2347" s="29" t="s">
        <v>3119</v>
      </c>
      <c r="AI2347" s="29" t="s">
        <v>3159</v>
      </c>
      <c r="AJ2347" s="29" t="s">
        <v>3575</v>
      </c>
      <c r="AL2347" s="29" t="s">
        <v>3114</v>
      </c>
    </row>
    <row r="2348" spans="15:38">
      <c r="O2348" t="s">
        <v>24</v>
      </c>
      <c r="P2348" t="s">
        <v>43</v>
      </c>
      <c r="Q2348" t="s">
        <v>25</v>
      </c>
      <c r="R2348" t="s">
        <v>64</v>
      </c>
      <c r="S2348">
        <v>2024.45</v>
      </c>
      <c r="T2348">
        <v>10831.96</v>
      </c>
      <c r="U2348">
        <v>0</v>
      </c>
      <c r="V2348">
        <v>0</v>
      </c>
      <c r="AA2348" s="29" t="s">
        <v>43</v>
      </c>
      <c r="AB2348">
        <v>31200</v>
      </c>
      <c r="AC2348">
        <v>160</v>
      </c>
      <c r="AD2348">
        <v>4</v>
      </c>
      <c r="AE2348">
        <v>0</v>
      </c>
      <c r="AF2348">
        <v>0</v>
      </c>
      <c r="AG2348" s="29" t="s">
        <v>3113</v>
      </c>
      <c r="AH2348" s="29" t="s">
        <v>3119</v>
      </c>
      <c r="AI2348" s="29" t="s">
        <v>3159</v>
      </c>
      <c r="AJ2348" s="29" t="s">
        <v>3576</v>
      </c>
      <c r="AL2348" s="29" t="s">
        <v>3114</v>
      </c>
    </row>
    <row r="2349" spans="15:38">
      <c r="O2349" t="s">
        <v>24</v>
      </c>
      <c r="P2349" t="s">
        <v>43</v>
      </c>
      <c r="Q2349" t="s">
        <v>25</v>
      </c>
      <c r="R2349" t="s">
        <v>64</v>
      </c>
      <c r="S2349">
        <v>2024.47</v>
      </c>
      <c r="T2349">
        <v>10831.96</v>
      </c>
      <c r="U2349">
        <v>0</v>
      </c>
      <c r="V2349">
        <v>0</v>
      </c>
      <c r="AA2349" s="29" t="s">
        <v>43</v>
      </c>
      <c r="AB2349">
        <v>31200</v>
      </c>
      <c r="AC2349">
        <v>160</v>
      </c>
      <c r="AD2349">
        <v>4</v>
      </c>
      <c r="AE2349">
        <v>0</v>
      </c>
      <c r="AF2349">
        <v>0</v>
      </c>
      <c r="AG2349" s="29" t="s">
        <v>3113</v>
      </c>
      <c r="AH2349" s="29" t="s">
        <v>3119</v>
      </c>
      <c r="AI2349" s="29" t="s">
        <v>3159</v>
      </c>
      <c r="AJ2349" s="29" t="s">
        <v>3577</v>
      </c>
      <c r="AL2349" s="29" t="s">
        <v>3114</v>
      </c>
    </row>
    <row r="2350" spans="15:38">
      <c r="O2350" t="s">
        <v>24</v>
      </c>
      <c r="P2350" t="s">
        <v>43</v>
      </c>
      <c r="Q2350" t="s">
        <v>25</v>
      </c>
      <c r="R2350" t="s">
        <v>64</v>
      </c>
      <c r="S2350">
        <v>2024.48</v>
      </c>
      <c r="T2350">
        <v>10831.96</v>
      </c>
      <c r="U2350">
        <v>0</v>
      </c>
      <c r="V2350">
        <v>10831.96</v>
      </c>
      <c r="AA2350" s="29" t="s">
        <v>43</v>
      </c>
      <c r="AB2350">
        <v>31200</v>
      </c>
      <c r="AC2350">
        <v>160</v>
      </c>
      <c r="AD2350">
        <v>4</v>
      </c>
      <c r="AE2350">
        <v>1994</v>
      </c>
      <c r="AF2350">
        <v>1994</v>
      </c>
      <c r="AG2350" s="29" t="s">
        <v>3113</v>
      </c>
      <c r="AH2350" s="29" t="s">
        <v>3578</v>
      </c>
      <c r="AI2350" s="29" t="s">
        <v>3159</v>
      </c>
      <c r="AJ2350" s="29" t="s">
        <v>3579</v>
      </c>
      <c r="AL2350" s="29" t="s">
        <v>3114</v>
      </c>
    </row>
    <row r="2351" spans="15:38">
      <c r="O2351" t="s">
        <v>24</v>
      </c>
      <c r="P2351" t="s">
        <v>43</v>
      </c>
      <c r="Q2351" t="s">
        <v>25</v>
      </c>
      <c r="R2351" t="s">
        <v>64</v>
      </c>
      <c r="S2351">
        <v>2024.49</v>
      </c>
      <c r="T2351">
        <v>10831.96</v>
      </c>
      <c r="U2351">
        <v>0</v>
      </c>
      <c r="V2351">
        <v>10831.96</v>
      </c>
      <c r="AA2351" s="29" t="s">
        <v>43</v>
      </c>
      <c r="AB2351">
        <v>31200</v>
      </c>
      <c r="AC2351">
        <v>160</v>
      </c>
      <c r="AD2351">
        <v>4</v>
      </c>
      <c r="AE2351">
        <v>1994</v>
      </c>
      <c r="AF2351">
        <v>1994</v>
      </c>
      <c r="AG2351" s="29" t="s">
        <v>3113</v>
      </c>
      <c r="AH2351" s="29" t="s">
        <v>3578</v>
      </c>
      <c r="AI2351" s="29" t="s">
        <v>3159</v>
      </c>
      <c r="AJ2351" s="29" t="s">
        <v>3580</v>
      </c>
      <c r="AL2351" s="29" t="s">
        <v>3114</v>
      </c>
    </row>
    <row r="2352" spans="15:38">
      <c r="O2352" t="s">
        <v>24</v>
      </c>
      <c r="P2352" t="s">
        <v>43</v>
      </c>
      <c r="Q2352" t="s">
        <v>25</v>
      </c>
      <c r="R2352" t="s">
        <v>64</v>
      </c>
      <c r="S2352">
        <v>2025.03</v>
      </c>
      <c r="T2352">
        <v>10831.96</v>
      </c>
      <c r="U2352">
        <v>0</v>
      </c>
      <c r="V2352">
        <v>10831.96</v>
      </c>
      <c r="AA2352" s="29" t="s">
        <v>43</v>
      </c>
      <c r="AB2352">
        <v>31200</v>
      </c>
      <c r="AC2352">
        <v>160</v>
      </c>
      <c r="AD2352">
        <v>4</v>
      </c>
      <c r="AE2352">
        <v>223.12</v>
      </c>
      <c r="AF2352">
        <v>223.12</v>
      </c>
      <c r="AG2352" s="29" t="s">
        <v>3113</v>
      </c>
      <c r="AH2352" s="29" t="s">
        <v>3581</v>
      </c>
      <c r="AI2352" s="29" t="s">
        <v>3159</v>
      </c>
      <c r="AJ2352" s="29" t="s">
        <v>3582</v>
      </c>
      <c r="AL2352" s="29" t="s">
        <v>3114</v>
      </c>
    </row>
    <row r="2353" spans="15:38">
      <c r="O2353" t="s">
        <v>24</v>
      </c>
      <c r="P2353" t="s">
        <v>43</v>
      </c>
      <c r="Q2353" t="s">
        <v>25</v>
      </c>
      <c r="R2353" t="s">
        <v>64</v>
      </c>
      <c r="S2353">
        <v>2025.08</v>
      </c>
      <c r="T2353">
        <v>10831.96</v>
      </c>
      <c r="U2353">
        <v>0</v>
      </c>
      <c r="V2353">
        <v>10831.96</v>
      </c>
      <c r="AA2353" s="29" t="s">
        <v>43</v>
      </c>
      <c r="AB2353">
        <v>31200</v>
      </c>
      <c r="AC2353">
        <v>160</v>
      </c>
      <c r="AD2353">
        <v>4</v>
      </c>
      <c r="AE2353">
        <v>154.08000000000001</v>
      </c>
      <c r="AF2353">
        <v>154.08000000000001</v>
      </c>
      <c r="AG2353" s="29" t="s">
        <v>3113</v>
      </c>
      <c r="AH2353" s="29" t="s">
        <v>3583</v>
      </c>
      <c r="AI2353" s="29" t="s">
        <v>3159</v>
      </c>
      <c r="AJ2353" s="29" t="s">
        <v>3584</v>
      </c>
      <c r="AL2353" s="29" t="s">
        <v>3114</v>
      </c>
    </row>
    <row r="2354" spans="15:38">
      <c r="O2354" t="s">
        <v>24</v>
      </c>
      <c r="P2354" t="s">
        <v>43</v>
      </c>
      <c r="Q2354" t="s">
        <v>25</v>
      </c>
      <c r="R2354" t="s">
        <v>64</v>
      </c>
      <c r="S2354">
        <v>2025.1</v>
      </c>
      <c r="T2354">
        <v>10831.96</v>
      </c>
      <c r="U2354">
        <v>0</v>
      </c>
      <c r="V2354">
        <v>10831.96</v>
      </c>
      <c r="AA2354" s="29" t="s">
        <v>43</v>
      </c>
      <c r="AB2354">
        <v>31200</v>
      </c>
      <c r="AC2354">
        <v>160</v>
      </c>
      <c r="AD2354">
        <v>4</v>
      </c>
      <c r="AE2354">
        <v>285.60000000000002</v>
      </c>
      <c r="AF2354">
        <v>285.60000000000002</v>
      </c>
      <c r="AG2354" s="29" t="s">
        <v>3113</v>
      </c>
      <c r="AH2354" s="29" t="s">
        <v>3240</v>
      </c>
      <c r="AI2354" s="29" t="s">
        <v>3159</v>
      </c>
      <c r="AJ2354" s="29" t="s">
        <v>3241</v>
      </c>
      <c r="AL2354" s="29" t="s">
        <v>3114</v>
      </c>
    </row>
    <row r="2355" spans="15:38">
      <c r="O2355" t="s">
        <v>24</v>
      </c>
      <c r="P2355" t="s">
        <v>43</v>
      </c>
      <c r="Q2355" t="s">
        <v>25</v>
      </c>
      <c r="R2355" t="s">
        <v>64</v>
      </c>
      <c r="S2355">
        <v>2025.11</v>
      </c>
      <c r="T2355">
        <v>10831.96</v>
      </c>
      <c r="U2355">
        <v>0</v>
      </c>
      <c r="V2355">
        <v>10831.96</v>
      </c>
      <c r="AA2355" s="29" t="s">
        <v>43</v>
      </c>
      <c r="AB2355">
        <v>31200</v>
      </c>
      <c r="AC2355">
        <v>160</v>
      </c>
      <c r="AD2355">
        <v>4</v>
      </c>
      <c r="AE2355">
        <v>110.8</v>
      </c>
      <c r="AF2355">
        <v>110.8</v>
      </c>
      <c r="AG2355" s="29" t="s">
        <v>3113</v>
      </c>
      <c r="AH2355" s="29" t="s">
        <v>3585</v>
      </c>
      <c r="AI2355" s="29" t="s">
        <v>3159</v>
      </c>
      <c r="AJ2355" s="29" t="s">
        <v>3586</v>
      </c>
      <c r="AL2355" s="29" t="s">
        <v>3114</v>
      </c>
    </row>
    <row r="2356" spans="15:38">
      <c r="O2356" t="s">
        <v>24</v>
      </c>
      <c r="P2356" t="s">
        <v>43</v>
      </c>
      <c r="Q2356" t="s">
        <v>25</v>
      </c>
      <c r="R2356" t="s">
        <v>64</v>
      </c>
      <c r="S2356">
        <v>2025.12</v>
      </c>
      <c r="T2356">
        <v>10831.96</v>
      </c>
      <c r="U2356">
        <v>0</v>
      </c>
      <c r="V2356">
        <v>10831.96</v>
      </c>
      <c r="AA2356" s="29" t="s">
        <v>43</v>
      </c>
      <c r="AB2356">
        <v>31200</v>
      </c>
      <c r="AC2356">
        <v>160</v>
      </c>
      <c r="AD2356">
        <v>4</v>
      </c>
      <c r="AE2356">
        <v>631.20000000000005</v>
      </c>
      <c r="AF2356">
        <v>631.20000000000005</v>
      </c>
      <c r="AG2356" s="29" t="s">
        <v>3113</v>
      </c>
      <c r="AH2356" s="29" t="s">
        <v>3587</v>
      </c>
      <c r="AI2356" s="29" t="s">
        <v>3159</v>
      </c>
      <c r="AJ2356" s="29" t="s">
        <v>3588</v>
      </c>
      <c r="AL2356" s="29" t="s">
        <v>3114</v>
      </c>
    </row>
    <row r="2357" spans="15:38">
      <c r="O2357" t="s">
        <v>24</v>
      </c>
      <c r="P2357" t="s">
        <v>43</v>
      </c>
      <c r="Q2357" t="s">
        <v>25</v>
      </c>
      <c r="R2357" t="s">
        <v>56</v>
      </c>
      <c r="S2357">
        <v>2023.47</v>
      </c>
      <c r="T2357">
        <v>0</v>
      </c>
      <c r="U2357">
        <v>53523.433599999997</v>
      </c>
      <c r="V2357">
        <v>53523.433599999997</v>
      </c>
      <c r="AA2357" s="29" t="s">
        <v>43</v>
      </c>
      <c r="AB2357">
        <v>31200</v>
      </c>
      <c r="AC2357">
        <v>160</v>
      </c>
      <c r="AD2357">
        <v>4</v>
      </c>
      <c r="AE2357">
        <v>53.5</v>
      </c>
      <c r="AF2357">
        <v>53.5</v>
      </c>
      <c r="AG2357" s="29" t="s">
        <v>3113</v>
      </c>
      <c r="AH2357" s="29" t="s">
        <v>3254</v>
      </c>
      <c r="AI2357" s="29" t="s">
        <v>3159</v>
      </c>
      <c r="AJ2357" s="29" t="s">
        <v>3257</v>
      </c>
      <c r="AL2357" s="29" t="s">
        <v>3114</v>
      </c>
    </row>
    <row r="2358" spans="15:38">
      <c r="O2358" t="s">
        <v>24</v>
      </c>
      <c r="P2358" t="s">
        <v>43</v>
      </c>
      <c r="Q2358" t="s">
        <v>25</v>
      </c>
      <c r="R2358" t="s">
        <v>56</v>
      </c>
      <c r="S2358">
        <v>2024.44</v>
      </c>
      <c r="T2358">
        <v>0</v>
      </c>
      <c r="U2358">
        <v>53523.433599999997</v>
      </c>
      <c r="V2358">
        <v>53523.433599999997</v>
      </c>
      <c r="AA2358" s="29" t="s">
        <v>43</v>
      </c>
      <c r="AB2358">
        <v>31200</v>
      </c>
      <c r="AC2358">
        <v>160</v>
      </c>
      <c r="AD2358">
        <v>4</v>
      </c>
      <c r="AE2358">
        <v>107</v>
      </c>
      <c r="AF2358">
        <v>107</v>
      </c>
      <c r="AG2358" s="29" t="s">
        <v>3113</v>
      </c>
      <c r="AH2358" s="29" t="s">
        <v>3320</v>
      </c>
      <c r="AI2358" s="29" t="s">
        <v>3159</v>
      </c>
      <c r="AJ2358" s="29" t="s">
        <v>3321</v>
      </c>
      <c r="AL2358" s="29" t="s">
        <v>3114</v>
      </c>
    </row>
    <row r="2359" spans="15:38">
      <c r="O2359" t="s">
        <v>24</v>
      </c>
      <c r="P2359" t="s">
        <v>43</v>
      </c>
      <c r="Q2359" t="s">
        <v>25</v>
      </c>
      <c r="R2359" t="s">
        <v>62</v>
      </c>
      <c r="S2359">
        <v>2023.47</v>
      </c>
      <c r="T2359">
        <v>0</v>
      </c>
      <c r="U2359">
        <v>185389.35690000001</v>
      </c>
      <c r="V2359">
        <v>185389.35690000001</v>
      </c>
      <c r="AA2359" s="29" t="s">
        <v>43</v>
      </c>
      <c r="AB2359">
        <v>31200</v>
      </c>
      <c r="AC2359">
        <v>160</v>
      </c>
      <c r="AD2359">
        <v>4</v>
      </c>
      <c r="AE2359">
        <v>107</v>
      </c>
      <c r="AF2359">
        <v>107</v>
      </c>
      <c r="AG2359" s="29" t="s">
        <v>3113</v>
      </c>
      <c r="AH2359" s="29" t="s">
        <v>3320</v>
      </c>
      <c r="AI2359" s="29" t="s">
        <v>3159</v>
      </c>
      <c r="AJ2359" s="29" t="s">
        <v>3534</v>
      </c>
      <c r="AL2359" s="29" t="s">
        <v>3114</v>
      </c>
    </row>
    <row r="2360" spans="15:38">
      <c r="O2360" t="s">
        <v>24</v>
      </c>
      <c r="P2360" t="s">
        <v>43</v>
      </c>
      <c r="Q2360" t="s">
        <v>25</v>
      </c>
      <c r="R2360" t="s">
        <v>62</v>
      </c>
      <c r="S2360">
        <v>2023.51</v>
      </c>
      <c r="T2360">
        <v>118800</v>
      </c>
      <c r="U2360">
        <v>185389.35690000001</v>
      </c>
      <c r="V2360">
        <v>185389.35690000001</v>
      </c>
      <c r="AA2360" s="29" t="s">
        <v>43</v>
      </c>
      <c r="AB2360">
        <v>31200</v>
      </c>
      <c r="AC2360">
        <v>160</v>
      </c>
      <c r="AD2360">
        <v>4</v>
      </c>
      <c r="AE2360">
        <v>374.5</v>
      </c>
      <c r="AF2360">
        <v>374.5</v>
      </c>
      <c r="AG2360" s="29" t="s">
        <v>3113</v>
      </c>
      <c r="AH2360" s="29" t="s">
        <v>3318</v>
      </c>
      <c r="AI2360" s="29" t="s">
        <v>3159</v>
      </c>
      <c r="AJ2360" s="29" t="s">
        <v>3589</v>
      </c>
      <c r="AL2360" s="29" t="s">
        <v>3114</v>
      </c>
    </row>
    <row r="2361" spans="15:38">
      <c r="O2361" t="s">
        <v>24</v>
      </c>
      <c r="P2361" t="s">
        <v>43</v>
      </c>
      <c r="Q2361" t="s">
        <v>25</v>
      </c>
      <c r="R2361" t="s">
        <v>62</v>
      </c>
      <c r="S2361">
        <v>2024.05</v>
      </c>
      <c r="T2361">
        <v>118800</v>
      </c>
      <c r="U2361">
        <v>185389.35690000001</v>
      </c>
      <c r="V2361">
        <v>185389.35690000001</v>
      </c>
      <c r="AA2361" s="29" t="s">
        <v>43</v>
      </c>
      <c r="AB2361">
        <v>31200</v>
      </c>
      <c r="AC2361">
        <v>160</v>
      </c>
      <c r="AD2361">
        <v>4</v>
      </c>
      <c r="AE2361">
        <v>107</v>
      </c>
      <c r="AF2361">
        <v>107</v>
      </c>
      <c r="AG2361" s="29" t="s">
        <v>3113</v>
      </c>
      <c r="AH2361" s="29" t="s">
        <v>3320</v>
      </c>
      <c r="AI2361" s="29" t="s">
        <v>3159</v>
      </c>
      <c r="AJ2361" s="29" t="s">
        <v>3590</v>
      </c>
      <c r="AL2361" s="29" t="s">
        <v>3114</v>
      </c>
    </row>
    <row r="2362" spans="15:38">
      <c r="O2362" t="s">
        <v>24</v>
      </c>
      <c r="P2362" t="s">
        <v>43</v>
      </c>
      <c r="Q2362" t="s">
        <v>25</v>
      </c>
      <c r="R2362" t="s">
        <v>62</v>
      </c>
      <c r="S2362">
        <v>2024.06</v>
      </c>
      <c r="T2362">
        <v>118800</v>
      </c>
      <c r="U2362">
        <v>185389.35690000001</v>
      </c>
      <c r="V2362">
        <v>185389.35690000001</v>
      </c>
      <c r="AA2362" s="29" t="s">
        <v>43</v>
      </c>
      <c r="AB2362">
        <v>31200</v>
      </c>
      <c r="AC2362">
        <v>160</v>
      </c>
      <c r="AD2362">
        <v>4</v>
      </c>
      <c r="AE2362">
        <v>107</v>
      </c>
      <c r="AF2362">
        <v>107</v>
      </c>
      <c r="AG2362" s="29" t="s">
        <v>3113</v>
      </c>
      <c r="AH2362" s="29" t="s">
        <v>3320</v>
      </c>
      <c r="AI2362" s="29" t="s">
        <v>3159</v>
      </c>
      <c r="AJ2362" s="29" t="s">
        <v>3591</v>
      </c>
      <c r="AL2362" s="29" t="s">
        <v>3114</v>
      </c>
    </row>
    <row r="2363" spans="15:38">
      <c r="O2363" t="s">
        <v>24</v>
      </c>
      <c r="P2363" t="s">
        <v>43</v>
      </c>
      <c r="Q2363" t="s">
        <v>25</v>
      </c>
      <c r="R2363" t="s">
        <v>62</v>
      </c>
      <c r="S2363">
        <v>2024.07</v>
      </c>
      <c r="T2363">
        <v>118800</v>
      </c>
      <c r="U2363">
        <v>185389.35690000001</v>
      </c>
      <c r="V2363">
        <v>185389.35690000001</v>
      </c>
      <c r="AA2363" s="29" t="s">
        <v>43</v>
      </c>
      <c r="AB2363">
        <v>31200</v>
      </c>
      <c r="AC2363">
        <v>160</v>
      </c>
      <c r="AD2363">
        <v>4</v>
      </c>
      <c r="AE2363">
        <v>3220.7</v>
      </c>
      <c r="AF2363">
        <v>3220.7</v>
      </c>
      <c r="AG2363" s="29" t="s">
        <v>3113</v>
      </c>
      <c r="AH2363" s="29" t="s">
        <v>3592</v>
      </c>
      <c r="AI2363" s="29" t="s">
        <v>3159</v>
      </c>
      <c r="AJ2363" s="29" t="s">
        <v>3593</v>
      </c>
      <c r="AL2363" s="29" t="s">
        <v>3114</v>
      </c>
    </row>
    <row r="2364" spans="15:38">
      <c r="O2364" t="s">
        <v>24</v>
      </c>
      <c r="P2364" t="s">
        <v>43</v>
      </c>
      <c r="Q2364" t="s">
        <v>25</v>
      </c>
      <c r="R2364" t="s">
        <v>62</v>
      </c>
      <c r="S2364">
        <v>2024.08</v>
      </c>
      <c r="T2364">
        <v>118800</v>
      </c>
      <c r="U2364">
        <v>185389.35690000001</v>
      </c>
      <c r="V2364">
        <v>185389.35690000001</v>
      </c>
      <c r="AA2364" s="29" t="s">
        <v>43</v>
      </c>
      <c r="AB2364">
        <v>31200</v>
      </c>
      <c r="AC2364">
        <v>160</v>
      </c>
      <c r="AD2364">
        <v>4</v>
      </c>
      <c r="AE2364">
        <v>2033</v>
      </c>
      <c r="AF2364">
        <v>2033</v>
      </c>
      <c r="AG2364" s="29" t="s">
        <v>3113</v>
      </c>
      <c r="AH2364" s="29" t="s">
        <v>3564</v>
      </c>
      <c r="AI2364" s="29" t="s">
        <v>3159</v>
      </c>
      <c r="AJ2364" s="29" t="s">
        <v>3565</v>
      </c>
      <c r="AL2364" s="29" t="s">
        <v>3114</v>
      </c>
    </row>
    <row r="2365" spans="15:38">
      <c r="O2365" t="s">
        <v>24</v>
      </c>
      <c r="P2365" t="s">
        <v>43</v>
      </c>
      <c r="Q2365" t="s">
        <v>25</v>
      </c>
      <c r="R2365" t="s">
        <v>62</v>
      </c>
      <c r="S2365">
        <v>2024.09</v>
      </c>
      <c r="T2365">
        <v>118800</v>
      </c>
      <c r="U2365">
        <v>185389.35690000001</v>
      </c>
      <c r="V2365">
        <v>185389.35690000001</v>
      </c>
      <c r="AA2365" s="29" t="s">
        <v>43</v>
      </c>
      <c r="AB2365">
        <v>31200</v>
      </c>
      <c r="AC2365">
        <v>160</v>
      </c>
      <c r="AD2365">
        <v>4</v>
      </c>
      <c r="AE2365">
        <v>406.6</v>
      </c>
      <c r="AF2365">
        <v>406.6</v>
      </c>
      <c r="AG2365" s="29" t="s">
        <v>3113</v>
      </c>
      <c r="AH2365" s="29" t="s">
        <v>3517</v>
      </c>
      <c r="AI2365" s="29" t="s">
        <v>3159</v>
      </c>
      <c r="AJ2365" s="29" t="s">
        <v>611</v>
      </c>
      <c r="AL2365" s="29" t="s">
        <v>3114</v>
      </c>
    </row>
    <row r="2366" spans="15:38">
      <c r="O2366" t="s">
        <v>24</v>
      </c>
      <c r="P2366" t="s">
        <v>43</v>
      </c>
      <c r="Q2366" t="s">
        <v>25</v>
      </c>
      <c r="R2366" t="s">
        <v>62</v>
      </c>
      <c r="S2366">
        <v>2024.1</v>
      </c>
      <c r="T2366">
        <v>118800</v>
      </c>
      <c r="U2366">
        <v>185389.35690000001</v>
      </c>
      <c r="V2366">
        <v>185389.35690000001</v>
      </c>
      <c r="AA2366" s="29" t="s">
        <v>43</v>
      </c>
      <c r="AB2366">
        <v>31200</v>
      </c>
      <c r="AC2366">
        <v>160</v>
      </c>
      <c r="AD2366">
        <v>4</v>
      </c>
      <c r="AE2366">
        <v>159.80000000000001</v>
      </c>
      <c r="AF2366">
        <v>159.80000000000001</v>
      </c>
      <c r="AG2366" s="29" t="s">
        <v>3113</v>
      </c>
      <c r="AH2366" s="29" t="s">
        <v>3250</v>
      </c>
      <c r="AI2366" s="29" t="s">
        <v>3159</v>
      </c>
      <c r="AJ2366" s="29" t="s">
        <v>3251</v>
      </c>
      <c r="AL2366" s="29" t="s">
        <v>3114</v>
      </c>
    </row>
    <row r="2367" spans="15:38">
      <c r="O2367" t="s">
        <v>24</v>
      </c>
      <c r="P2367" t="s">
        <v>43</v>
      </c>
      <c r="Q2367" t="s">
        <v>25</v>
      </c>
      <c r="R2367" t="s">
        <v>62</v>
      </c>
      <c r="S2367">
        <v>2024.11</v>
      </c>
      <c r="T2367">
        <v>118800</v>
      </c>
      <c r="U2367">
        <v>185389.35690000001</v>
      </c>
      <c r="V2367">
        <v>185389.35690000001</v>
      </c>
      <c r="AA2367" s="29" t="s">
        <v>43</v>
      </c>
      <c r="AB2367">
        <v>31200</v>
      </c>
      <c r="AC2367">
        <v>160</v>
      </c>
      <c r="AD2367">
        <v>4</v>
      </c>
      <c r="AE2367">
        <v>637.72</v>
      </c>
      <c r="AF2367">
        <v>637.72</v>
      </c>
      <c r="AG2367" s="29" t="s">
        <v>3113</v>
      </c>
      <c r="AH2367" s="29" t="s">
        <v>3288</v>
      </c>
      <c r="AI2367" s="29" t="s">
        <v>3159</v>
      </c>
      <c r="AJ2367" s="29" t="s">
        <v>584</v>
      </c>
      <c r="AL2367" s="29" t="s">
        <v>3114</v>
      </c>
    </row>
    <row r="2368" spans="15:38">
      <c r="O2368" t="s">
        <v>24</v>
      </c>
      <c r="P2368" t="s">
        <v>43</v>
      </c>
      <c r="Q2368" t="s">
        <v>25</v>
      </c>
      <c r="R2368" t="s">
        <v>62</v>
      </c>
      <c r="S2368">
        <v>2024.12</v>
      </c>
      <c r="T2368">
        <v>118800</v>
      </c>
      <c r="U2368">
        <v>185389.35690000001</v>
      </c>
      <c r="V2368">
        <v>185389.35690000001</v>
      </c>
      <c r="AA2368" s="29" t="s">
        <v>43</v>
      </c>
      <c r="AB2368">
        <v>31200</v>
      </c>
      <c r="AC2368">
        <v>160</v>
      </c>
      <c r="AD2368">
        <v>4</v>
      </c>
      <c r="AE2368">
        <v>37.950000000000003</v>
      </c>
      <c r="AF2368">
        <v>37.950000000000003</v>
      </c>
      <c r="AG2368" s="29" t="s">
        <v>3113</v>
      </c>
      <c r="AH2368" s="29" t="s">
        <v>3226</v>
      </c>
      <c r="AI2368" s="29" t="s">
        <v>3159</v>
      </c>
      <c r="AJ2368" s="29" t="s">
        <v>3227</v>
      </c>
      <c r="AL2368" s="29" t="s">
        <v>3114</v>
      </c>
    </row>
    <row r="2369" spans="15:38">
      <c r="O2369" t="s">
        <v>24</v>
      </c>
      <c r="P2369" t="s">
        <v>43</v>
      </c>
      <c r="Q2369" t="s">
        <v>25</v>
      </c>
      <c r="R2369" t="s">
        <v>62</v>
      </c>
      <c r="S2369">
        <v>2024.14</v>
      </c>
      <c r="T2369">
        <v>118800</v>
      </c>
      <c r="U2369">
        <v>185389.35690000001</v>
      </c>
      <c r="V2369">
        <v>185389.35690000001</v>
      </c>
      <c r="AA2369" s="29" t="s">
        <v>43</v>
      </c>
      <c r="AB2369">
        <v>31200</v>
      </c>
      <c r="AC2369">
        <v>160</v>
      </c>
      <c r="AD2369">
        <v>4</v>
      </c>
      <c r="AE2369">
        <v>26.75</v>
      </c>
      <c r="AF2369">
        <v>26.75</v>
      </c>
      <c r="AG2369" s="29" t="s">
        <v>3113</v>
      </c>
      <c r="AH2369" s="29" t="s">
        <v>3224</v>
      </c>
      <c r="AI2369" s="29" t="s">
        <v>3159</v>
      </c>
      <c r="AJ2369" s="29" t="s">
        <v>3594</v>
      </c>
      <c r="AL2369" s="29" t="s">
        <v>3114</v>
      </c>
    </row>
    <row r="2370" spans="15:38">
      <c r="O2370" t="s">
        <v>24</v>
      </c>
      <c r="P2370" t="s">
        <v>43</v>
      </c>
      <c r="Q2370" t="s">
        <v>25</v>
      </c>
      <c r="R2370" t="s">
        <v>62</v>
      </c>
      <c r="S2370">
        <v>2024.17</v>
      </c>
      <c r="T2370">
        <v>118800</v>
      </c>
      <c r="U2370">
        <v>185389.35690000001</v>
      </c>
      <c r="V2370">
        <v>185389.35690000001</v>
      </c>
      <c r="AA2370" s="29" t="s">
        <v>43</v>
      </c>
      <c r="AB2370">
        <v>31200</v>
      </c>
      <c r="AC2370">
        <v>160</v>
      </c>
      <c r="AD2370">
        <v>4</v>
      </c>
      <c r="AE2370">
        <v>53.5</v>
      </c>
      <c r="AF2370">
        <v>53.5</v>
      </c>
      <c r="AG2370" s="29" t="s">
        <v>3113</v>
      </c>
      <c r="AH2370" s="29" t="s">
        <v>3254</v>
      </c>
      <c r="AI2370" s="29" t="s">
        <v>3159</v>
      </c>
      <c r="AJ2370" s="29" t="s">
        <v>3305</v>
      </c>
      <c r="AL2370" s="29" t="s">
        <v>3114</v>
      </c>
    </row>
    <row r="2371" spans="15:38">
      <c r="O2371" t="s">
        <v>24</v>
      </c>
      <c r="P2371" t="s">
        <v>43</v>
      </c>
      <c r="Q2371" t="s">
        <v>25</v>
      </c>
      <c r="R2371" t="s">
        <v>62</v>
      </c>
      <c r="S2371">
        <v>2024.18</v>
      </c>
      <c r="T2371">
        <v>118800</v>
      </c>
      <c r="U2371">
        <v>185389.35690000001</v>
      </c>
      <c r="V2371">
        <v>185389.35690000001</v>
      </c>
      <c r="AA2371" s="29" t="s">
        <v>43</v>
      </c>
      <c r="AB2371">
        <v>31200</v>
      </c>
      <c r="AC2371">
        <v>160</v>
      </c>
      <c r="AD2371">
        <v>4</v>
      </c>
      <c r="AE2371">
        <v>214</v>
      </c>
      <c r="AF2371">
        <v>214</v>
      </c>
      <c r="AG2371" s="29" t="s">
        <v>3113</v>
      </c>
      <c r="AH2371" s="29" t="s">
        <v>3364</v>
      </c>
      <c r="AI2371" s="29" t="s">
        <v>3159</v>
      </c>
      <c r="AJ2371" s="29" t="s">
        <v>3595</v>
      </c>
      <c r="AL2371" s="29" t="s">
        <v>3114</v>
      </c>
    </row>
    <row r="2372" spans="15:38">
      <c r="O2372" t="s">
        <v>24</v>
      </c>
      <c r="P2372" t="s">
        <v>43</v>
      </c>
      <c r="Q2372" t="s">
        <v>25</v>
      </c>
      <c r="R2372" t="s">
        <v>62</v>
      </c>
      <c r="S2372">
        <v>2024.19</v>
      </c>
      <c r="T2372">
        <v>118800</v>
      </c>
      <c r="U2372">
        <v>185389.35690000001</v>
      </c>
      <c r="V2372">
        <v>185389.35690000001</v>
      </c>
      <c r="AA2372" s="29" t="s">
        <v>43</v>
      </c>
      <c r="AB2372">
        <v>31200</v>
      </c>
      <c r="AC2372">
        <v>160</v>
      </c>
      <c r="AD2372">
        <v>4</v>
      </c>
      <c r="AE2372">
        <v>107</v>
      </c>
      <c r="AF2372">
        <v>107</v>
      </c>
      <c r="AG2372" s="29" t="s">
        <v>3113</v>
      </c>
      <c r="AH2372" s="29" t="s">
        <v>3320</v>
      </c>
      <c r="AI2372" s="29" t="s">
        <v>3159</v>
      </c>
      <c r="AJ2372" s="29" t="s">
        <v>3534</v>
      </c>
      <c r="AL2372" s="29" t="s">
        <v>3114</v>
      </c>
    </row>
    <row r="2373" spans="15:38">
      <c r="O2373" t="s">
        <v>24</v>
      </c>
      <c r="P2373" t="s">
        <v>43</v>
      </c>
      <c r="Q2373" t="s">
        <v>25</v>
      </c>
      <c r="R2373" t="s">
        <v>62</v>
      </c>
      <c r="S2373">
        <v>2024.2</v>
      </c>
      <c r="T2373">
        <v>118800</v>
      </c>
      <c r="U2373">
        <v>185389.35690000001</v>
      </c>
      <c r="V2373">
        <v>185389.35690000001</v>
      </c>
      <c r="AA2373" s="29" t="s">
        <v>43</v>
      </c>
      <c r="AB2373">
        <v>31200</v>
      </c>
      <c r="AC2373">
        <v>160</v>
      </c>
      <c r="AD2373">
        <v>4</v>
      </c>
      <c r="AE2373">
        <v>166.2</v>
      </c>
      <c r="AF2373">
        <v>166.2</v>
      </c>
      <c r="AG2373" s="29" t="s">
        <v>3113</v>
      </c>
      <c r="AH2373" s="29" t="s">
        <v>3410</v>
      </c>
      <c r="AI2373" s="29" t="s">
        <v>3159</v>
      </c>
      <c r="AJ2373" s="29" t="s">
        <v>3411</v>
      </c>
      <c r="AL2373" s="29" t="s">
        <v>3114</v>
      </c>
    </row>
    <row r="2374" spans="15:38">
      <c r="O2374" t="s">
        <v>24</v>
      </c>
      <c r="P2374" t="s">
        <v>43</v>
      </c>
      <c r="Q2374" t="s">
        <v>25</v>
      </c>
      <c r="R2374" t="s">
        <v>62</v>
      </c>
      <c r="S2374">
        <v>2024.21</v>
      </c>
      <c r="T2374">
        <v>118800</v>
      </c>
      <c r="U2374">
        <v>185389.35690000001</v>
      </c>
      <c r="V2374">
        <v>185389.35690000001</v>
      </c>
      <c r="AA2374" s="29" t="s">
        <v>43</v>
      </c>
      <c r="AB2374">
        <v>31200</v>
      </c>
      <c r="AC2374">
        <v>160</v>
      </c>
      <c r="AD2374">
        <v>4</v>
      </c>
      <c r="AE2374">
        <v>166.2</v>
      </c>
      <c r="AF2374">
        <v>166.2</v>
      </c>
      <c r="AG2374" s="29" t="s">
        <v>3113</v>
      </c>
      <c r="AH2374" s="29" t="s">
        <v>3410</v>
      </c>
      <c r="AI2374" s="29" t="s">
        <v>3159</v>
      </c>
      <c r="AJ2374" s="29" t="s">
        <v>3411</v>
      </c>
      <c r="AL2374" s="29" t="s">
        <v>3114</v>
      </c>
    </row>
    <row r="2375" spans="15:38">
      <c r="O2375" t="s">
        <v>24</v>
      </c>
      <c r="P2375" t="s">
        <v>43</v>
      </c>
      <c r="Q2375" t="s">
        <v>25</v>
      </c>
      <c r="R2375" t="s">
        <v>62</v>
      </c>
      <c r="S2375">
        <v>2024.28</v>
      </c>
      <c r="T2375">
        <v>119225.16</v>
      </c>
      <c r="U2375">
        <v>185389.35690000001</v>
      </c>
      <c r="V2375">
        <v>185389.35690000001</v>
      </c>
      <c r="AA2375" s="29" t="s">
        <v>43</v>
      </c>
      <c r="AB2375">
        <v>31200</v>
      </c>
      <c r="AC2375">
        <v>160</v>
      </c>
      <c r="AD2375">
        <v>4</v>
      </c>
      <c r="AE2375">
        <v>-166.2</v>
      </c>
      <c r="AF2375">
        <v>-166.2</v>
      </c>
      <c r="AG2375" s="29" t="s">
        <v>3113</v>
      </c>
      <c r="AH2375" s="29" t="s">
        <v>3414</v>
      </c>
      <c r="AI2375" s="29" t="s">
        <v>3159</v>
      </c>
      <c r="AJ2375" s="29" t="s">
        <v>3415</v>
      </c>
      <c r="AL2375" s="29" t="s">
        <v>3114</v>
      </c>
    </row>
    <row r="2376" spans="15:38">
      <c r="O2376" t="s">
        <v>24</v>
      </c>
      <c r="P2376" t="s">
        <v>43</v>
      </c>
      <c r="Q2376" t="s">
        <v>25</v>
      </c>
      <c r="R2376" t="s">
        <v>62</v>
      </c>
      <c r="S2376">
        <v>2024.38</v>
      </c>
      <c r="T2376">
        <v>119225.16</v>
      </c>
      <c r="U2376">
        <v>185389.35690000001</v>
      </c>
      <c r="V2376">
        <v>185389.35690000001</v>
      </c>
      <c r="AA2376" s="29" t="s">
        <v>43</v>
      </c>
      <c r="AB2376">
        <v>31200</v>
      </c>
      <c r="AC2376">
        <v>160</v>
      </c>
      <c r="AD2376">
        <v>4</v>
      </c>
      <c r="AE2376">
        <v>166.2</v>
      </c>
      <c r="AF2376">
        <v>166.2</v>
      </c>
      <c r="AG2376" s="29" t="s">
        <v>3113</v>
      </c>
      <c r="AH2376" s="29" t="s">
        <v>3410</v>
      </c>
      <c r="AI2376" s="29" t="s">
        <v>3159</v>
      </c>
      <c r="AJ2376" s="29" t="s">
        <v>3411</v>
      </c>
      <c r="AL2376" s="29" t="s">
        <v>3114</v>
      </c>
    </row>
    <row r="2377" spans="15:38">
      <c r="O2377" t="s">
        <v>24</v>
      </c>
      <c r="P2377" t="s">
        <v>43</v>
      </c>
      <c r="Q2377" t="s">
        <v>25</v>
      </c>
      <c r="R2377" t="s">
        <v>62</v>
      </c>
      <c r="S2377">
        <v>2024.39</v>
      </c>
      <c r="T2377">
        <v>425.16</v>
      </c>
      <c r="U2377">
        <v>185389.35690000001</v>
      </c>
      <c r="V2377">
        <v>185389.35690000001</v>
      </c>
      <c r="AA2377" s="29" t="s">
        <v>43</v>
      </c>
      <c r="AB2377">
        <v>31200</v>
      </c>
      <c r="AC2377">
        <v>160</v>
      </c>
      <c r="AD2377">
        <v>4</v>
      </c>
      <c r="AE2377">
        <v>315.60000000000002</v>
      </c>
      <c r="AF2377">
        <v>315.60000000000002</v>
      </c>
      <c r="AG2377" s="29" t="s">
        <v>3113</v>
      </c>
      <c r="AH2377" s="29" t="s">
        <v>3596</v>
      </c>
      <c r="AI2377" s="29" t="s">
        <v>3159</v>
      </c>
      <c r="AJ2377" s="29" t="s">
        <v>3597</v>
      </c>
      <c r="AL2377" s="29" t="s">
        <v>3114</v>
      </c>
    </row>
    <row r="2378" spans="15:38">
      <c r="O2378" t="s">
        <v>24</v>
      </c>
      <c r="P2378" t="s">
        <v>43</v>
      </c>
      <c r="Q2378" t="s">
        <v>25</v>
      </c>
      <c r="R2378" t="s">
        <v>62</v>
      </c>
      <c r="S2378">
        <v>2024.41</v>
      </c>
      <c r="T2378">
        <v>425.16</v>
      </c>
      <c r="U2378">
        <v>185389.35690000001</v>
      </c>
      <c r="V2378">
        <v>185389.35690000001</v>
      </c>
      <c r="AA2378" s="29" t="s">
        <v>43</v>
      </c>
      <c r="AB2378">
        <v>31200</v>
      </c>
      <c r="AC2378">
        <v>160</v>
      </c>
      <c r="AD2378">
        <v>4</v>
      </c>
      <c r="AE2378">
        <v>53.5</v>
      </c>
      <c r="AF2378">
        <v>53.5</v>
      </c>
      <c r="AG2378" s="29" t="s">
        <v>3113</v>
      </c>
      <c r="AH2378" s="29" t="s">
        <v>3254</v>
      </c>
      <c r="AI2378" s="29" t="s">
        <v>3159</v>
      </c>
      <c r="AJ2378" s="29" t="s">
        <v>3257</v>
      </c>
      <c r="AL2378" s="29" t="s">
        <v>3114</v>
      </c>
    </row>
    <row r="2379" spans="15:38">
      <c r="O2379" t="s">
        <v>24</v>
      </c>
      <c r="P2379" t="s">
        <v>43</v>
      </c>
      <c r="Q2379" t="s">
        <v>25</v>
      </c>
      <c r="R2379" t="s">
        <v>62</v>
      </c>
      <c r="S2379">
        <v>2024.43</v>
      </c>
      <c r="T2379">
        <v>425.16</v>
      </c>
      <c r="U2379">
        <v>185389.35690000001</v>
      </c>
      <c r="V2379">
        <v>185389.35690000001</v>
      </c>
      <c r="AA2379" s="29" t="s">
        <v>43</v>
      </c>
      <c r="AB2379">
        <v>31200</v>
      </c>
      <c r="AC2379">
        <v>160</v>
      </c>
      <c r="AD2379">
        <v>4</v>
      </c>
      <c r="AE2379">
        <v>107</v>
      </c>
      <c r="AF2379">
        <v>107</v>
      </c>
      <c r="AG2379" s="29" t="s">
        <v>3113</v>
      </c>
      <c r="AH2379" s="29" t="s">
        <v>3320</v>
      </c>
      <c r="AI2379" s="29" t="s">
        <v>3159</v>
      </c>
      <c r="AJ2379" s="29" t="s">
        <v>3321</v>
      </c>
      <c r="AL2379" s="29" t="s">
        <v>3114</v>
      </c>
    </row>
    <row r="2380" spans="15:38">
      <c r="O2380" t="s">
        <v>24</v>
      </c>
      <c r="P2380" t="s">
        <v>43</v>
      </c>
      <c r="Q2380" t="s">
        <v>25</v>
      </c>
      <c r="R2380" t="s">
        <v>62</v>
      </c>
      <c r="S2380">
        <v>2024.44</v>
      </c>
      <c r="T2380">
        <v>425.16</v>
      </c>
      <c r="U2380">
        <v>185389.35690000001</v>
      </c>
      <c r="V2380">
        <v>185389.35690000001</v>
      </c>
      <c r="AA2380" s="29" t="s">
        <v>43</v>
      </c>
      <c r="AB2380">
        <v>31200</v>
      </c>
      <c r="AC2380">
        <v>160</v>
      </c>
      <c r="AD2380">
        <v>4</v>
      </c>
      <c r="AE2380">
        <v>321</v>
      </c>
      <c r="AF2380">
        <v>321</v>
      </c>
      <c r="AG2380" s="29" t="s">
        <v>3113</v>
      </c>
      <c r="AH2380" s="29" t="s">
        <v>3472</v>
      </c>
      <c r="AI2380" s="29" t="s">
        <v>3159</v>
      </c>
      <c r="AJ2380" s="29" t="s">
        <v>3473</v>
      </c>
      <c r="AL2380" s="29" t="s">
        <v>3114</v>
      </c>
    </row>
    <row r="2381" spans="15:38">
      <c r="O2381" t="s">
        <v>24</v>
      </c>
      <c r="P2381" t="s">
        <v>43</v>
      </c>
      <c r="Q2381" t="s">
        <v>25</v>
      </c>
      <c r="R2381" t="s">
        <v>62</v>
      </c>
      <c r="S2381">
        <v>2024.45</v>
      </c>
      <c r="T2381">
        <v>575.74</v>
      </c>
      <c r="U2381">
        <v>185389.35690000001</v>
      </c>
      <c r="V2381">
        <v>185389.35690000001</v>
      </c>
      <c r="AA2381" s="29" t="s">
        <v>43</v>
      </c>
      <c r="AB2381">
        <v>31200</v>
      </c>
      <c r="AC2381">
        <v>160</v>
      </c>
      <c r="AD2381">
        <v>4</v>
      </c>
      <c r="AE2381">
        <v>877.4</v>
      </c>
      <c r="AF2381">
        <v>877.4</v>
      </c>
      <c r="AG2381" s="29" t="s">
        <v>3113</v>
      </c>
      <c r="AH2381" s="29" t="s">
        <v>3598</v>
      </c>
      <c r="AI2381" s="29" t="s">
        <v>3159</v>
      </c>
      <c r="AJ2381" s="29" t="s">
        <v>3599</v>
      </c>
      <c r="AL2381" s="29" t="s">
        <v>3114</v>
      </c>
    </row>
    <row r="2382" spans="15:38">
      <c r="O2382" t="s">
        <v>24</v>
      </c>
      <c r="P2382" t="s">
        <v>43</v>
      </c>
      <c r="Q2382" t="s">
        <v>25</v>
      </c>
      <c r="R2382" t="s">
        <v>62</v>
      </c>
      <c r="S2382">
        <v>2024.47</v>
      </c>
      <c r="T2382">
        <v>575.74</v>
      </c>
      <c r="U2382">
        <v>185389.35690000001</v>
      </c>
      <c r="V2382">
        <v>165389.35690000001</v>
      </c>
      <c r="AA2382" s="29" t="s">
        <v>43</v>
      </c>
      <c r="AB2382">
        <v>31200</v>
      </c>
      <c r="AC2382">
        <v>160</v>
      </c>
      <c r="AD2382">
        <v>4</v>
      </c>
      <c r="AE2382">
        <v>1489.44</v>
      </c>
      <c r="AF2382">
        <v>1489.44</v>
      </c>
      <c r="AG2382" s="29" t="s">
        <v>3113</v>
      </c>
      <c r="AH2382" s="29" t="s">
        <v>3474</v>
      </c>
      <c r="AI2382" s="29" t="s">
        <v>3159</v>
      </c>
      <c r="AJ2382" s="29" t="s">
        <v>3475</v>
      </c>
      <c r="AL2382" s="29" t="s">
        <v>3114</v>
      </c>
    </row>
    <row r="2383" spans="15:38">
      <c r="O2383" t="s">
        <v>24</v>
      </c>
      <c r="P2383" t="s">
        <v>43</v>
      </c>
      <c r="Q2383" t="s">
        <v>25</v>
      </c>
      <c r="R2383" t="s">
        <v>62</v>
      </c>
      <c r="S2383">
        <v>2024.48</v>
      </c>
      <c r="T2383">
        <v>575.74</v>
      </c>
      <c r="U2383">
        <v>185389.35690000001</v>
      </c>
      <c r="V2383">
        <v>165389.35690000001</v>
      </c>
      <c r="AA2383" s="29" t="s">
        <v>43</v>
      </c>
      <c r="AB2383">
        <v>31200</v>
      </c>
      <c r="AC2383">
        <v>160</v>
      </c>
      <c r="AD2383">
        <v>4</v>
      </c>
      <c r="AE2383">
        <v>791.8</v>
      </c>
      <c r="AF2383">
        <v>791.8</v>
      </c>
      <c r="AG2383" s="29" t="s">
        <v>3113</v>
      </c>
      <c r="AH2383" s="29" t="s">
        <v>3600</v>
      </c>
      <c r="AI2383" s="29" t="s">
        <v>3159</v>
      </c>
      <c r="AJ2383" s="29" t="s">
        <v>527</v>
      </c>
      <c r="AL2383" s="29" t="s">
        <v>3114</v>
      </c>
    </row>
    <row r="2384" spans="15:38">
      <c r="O2384" t="s">
        <v>24</v>
      </c>
      <c r="P2384" t="s">
        <v>43</v>
      </c>
      <c r="Q2384" t="s">
        <v>25</v>
      </c>
      <c r="R2384" t="s">
        <v>62</v>
      </c>
      <c r="S2384">
        <v>2024.49</v>
      </c>
      <c r="T2384">
        <v>575.74</v>
      </c>
      <c r="U2384">
        <v>185389.35690000001</v>
      </c>
      <c r="V2384">
        <v>165389.35690000001</v>
      </c>
      <c r="AA2384" s="29" t="s">
        <v>43</v>
      </c>
      <c r="AB2384">
        <v>31200</v>
      </c>
      <c r="AC2384">
        <v>160</v>
      </c>
      <c r="AD2384">
        <v>4</v>
      </c>
      <c r="AE2384">
        <v>406.6</v>
      </c>
      <c r="AF2384">
        <v>406.6</v>
      </c>
      <c r="AG2384" s="29" t="s">
        <v>3113</v>
      </c>
      <c r="AH2384" s="29" t="s">
        <v>3517</v>
      </c>
      <c r="AI2384" s="29" t="s">
        <v>3159</v>
      </c>
      <c r="AJ2384" s="29" t="s">
        <v>611</v>
      </c>
      <c r="AL2384" s="29" t="s">
        <v>3114</v>
      </c>
    </row>
    <row r="2385" spans="15:38">
      <c r="O2385" t="s">
        <v>24</v>
      </c>
      <c r="P2385" t="s">
        <v>43</v>
      </c>
      <c r="Q2385" t="s">
        <v>25</v>
      </c>
      <c r="R2385" t="s">
        <v>62</v>
      </c>
      <c r="S2385">
        <v>2025.03</v>
      </c>
      <c r="T2385">
        <v>575.74</v>
      </c>
      <c r="U2385">
        <v>185389.35690000001</v>
      </c>
      <c r="V2385">
        <v>165389.35690000001</v>
      </c>
      <c r="AA2385" s="29" t="s">
        <v>43</v>
      </c>
      <c r="AB2385">
        <v>31200</v>
      </c>
      <c r="AC2385">
        <v>160</v>
      </c>
      <c r="AD2385">
        <v>4</v>
      </c>
      <c r="AE2385">
        <v>406.6</v>
      </c>
      <c r="AF2385">
        <v>406.6</v>
      </c>
      <c r="AG2385" s="29" t="s">
        <v>3113</v>
      </c>
      <c r="AH2385" s="29" t="s">
        <v>3517</v>
      </c>
      <c r="AI2385" s="29" t="s">
        <v>3159</v>
      </c>
      <c r="AJ2385" s="29" t="s">
        <v>611</v>
      </c>
      <c r="AL2385" s="29" t="s">
        <v>3114</v>
      </c>
    </row>
    <row r="2386" spans="15:38">
      <c r="O2386" t="s">
        <v>24</v>
      </c>
      <c r="P2386" t="s">
        <v>43</v>
      </c>
      <c r="Q2386" t="s">
        <v>25</v>
      </c>
      <c r="R2386" t="s">
        <v>62</v>
      </c>
      <c r="S2386">
        <v>2025.08</v>
      </c>
      <c r="T2386">
        <v>575.74</v>
      </c>
      <c r="U2386">
        <v>185389.35690000001</v>
      </c>
      <c r="V2386">
        <v>165389.35690000001</v>
      </c>
      <c r="AA2386" s="29" t="s">
        <v>43</v>
      </c>
      <c r="AB2386">
        <v>31200</v>
      </c>
      <c r="AC2386">
        <v>160</v>
      </c>
      <c r="AD2386">
        <v>4</v>
      </c>
      <c r="AE2386">
        <v>1275.44</v>
      </c>
      <c r="AF2386">
        <v>1275.44</v>
      </c>
      <c r="AG2386" s="29" t="s">
        <v>3113</v>
      </c>
      <c r="AH2386" s="29" t="s">
        <v>3366</v>
      </c>
      <c r="AI2386" s="29" t="s">
        <v>3159</v>
      </c>
      <c r="AJ2386" s="29" t="s">
        <v>378</v>
      </c>
      <c r="AL2386" s="29" t="s">
        <v>3114</v>
      </c>
    </row>
    <row r="2387" spans="15:38">
      <c r="O2387" t="s">
        <v>24</v>
      </c>
      <c r="P2387" t="s">
        <v>43</v>
      </c>
      <c r="Q2387" t="s">
        <v>25</v>
      </c>
      <c r="R2387" t="s">
        <v>62</v>
      </c>
      <c r="S2387">
        <v>2025.1</v>
      </c>
      <c r="T2387">
        <v>575.74</v>
      </c>
      <c r="U2387">
        <v>185389.35690000001</v>
      </c>
      <c r="V2387">
        <v>165389.35690000001</v>
      </c>
      <c r="AA2387" s="29" t="s">
        <v>43</v>
      </c>
      <c r="AB2387">
        <v>31200</v>
      </c>
      <c r="AC2387">
        <v>160</v>
      </c>
      <c r="AD2387">
        <v>4</v>
      </c>
      <c r="AE2387">
        <v>616.32000000000005</v>
      </c>
      <c r="AF2387">
        <v>616.32000000000005</v>
      </c>
      <c r="AG2387" s="29" t="s">
        <v>3113</v>
      </c>
      <c r="AH2387" s="29" t="s">
        <v>3342</v>
      </c>
      <c r="AI2387" s="29" t="s">
        <v>3159</v>
      </c>
      <c r="AJ2387" s="29" t="s">
        <v>2095</v>
      </c>
      <c r="AL2387" s="29" t="s">
        <v>3114</v>
      </c>
    </row>
    <row r="2388" spans="15:38">
      <c r="O2388" t="s">
        <v>24</v>
      </c>
      <c r="P2388" t="s">
        <v>43</v>
      </c>
      <c r="Q2388" t="s">
        <v>25</v>
      </c>
      <c r="R2388" t="s">
        <v>62</v>
      </c>
      <c r="S2388">
        <v>2025.11</v>
      </c>
      <c r="T2388">
        <v>575.74</v>
      </c>
      <c r="U2388">
        <v>185389.35690000001</v>
      </c>
      <c r="V2388">
        <v>165389.35690000001</v>
      </c>
      <c r="AA2388" s="29" t="s">
        <v>43</v>
      </c>
      <c r="AB2388">
        <v>31200</v>
      </c>
      <c r="AC2388">
        <v>160</v>
      </c>
      <c r="AD2388">
        <v>4</v>
      </c>
      <c r="AE2388">
        <v>892.38</v>
      </c>
      <c r="AF2388">
        <v>892.38</v>
      </c>
      <c r="AG2388" s="29" t="s">
        <v>3113</v>
      </c>
      <c r="AH2388" s="29" t="s">
        <v>3306</v>
      </c>
      <c r="AI2388" s="29" t="s">
        <v>3159</v>
      </c>
      <c r="AJ2388" s="29" t="s">
        <v>350</v>
      </c>
      <c r="AL2388" s="29" t="s">
        <v>3114</v>
      </c>
    </row>
    <row r="2389" spans="15:38">
      <c r="O2389" t="s">
        <v>24</v>
      </c>
      <c r="P2389" t="s">
        <v>43</v>
      </c>
      <c r="Q2389" t="s">
        <v>25</v>
      </c>
      <c r="R2389" t="s">
        <v>62</v>
      </c>
      <c r="S2389">
        <v>2025.12</v>
      </c>
      <c r="T2389">
        <v>575.74</v>
      </c>
      <c r="U2389">
        <v>185389.35690000001</v>
      </c>
      <c r="V2389">
        <v>165389.35690000001</v>
      </c>
      <c r="AA2389" s="29" t="s">
        <v>43</v>
      </c>
      <c r="AB2389">
        <v>31200</v>
      </c>
      <c r="AC2389">
        <v>160</v>
      </c>
      <c r="AD2389">
        <v>4</v>
      </c>
      <c r="AE2389">
        <v>10.56</v>
      </c>
      <c r="AF2389">
        <v>10.56</v>
      </c>
      <c r="AG2389" s="29" t="s">
        <v>3113</v>
      </c>
      <c r="AH2389" s="29" t="s">
        <v>3345</v>
      </c>
      <c r="AI2389" s="29" t="s">
        <v>3159</v>
      </c>
      <c r="AJ2389" s="29" t="s">
        <v>3346</v>
      </c>
      <c r="AL2389" s="29" t="s">
        <v>3114</v>
      </c>
    </row>
    <row r="2390" spans="15:38">
      <c r="O2390" t="s">
        <v>24</v>
      </c>
      <c r="P2390" t="s">
        <v>43</v>
      </c>
      <c r="Q2390" t="s">
        <v>19</v>
      </c>
      <c r="R2390" t="s">
        <v>60</v>
      </c>
      <c r="S2390">
        <v>2023.47</v>
      </c>
      <c r="T2390">
        <v>0</v>
      </c>
      <c r="U2390">
        <v>148449.93969999999</v>
      </c>
      <c r="V2390">
        <v>148449.93969999999</v>
      </c>
      <c r="AA2390" s="29" t="s">
        <v>43</v>
      </c>
      <c r="AB2390">
        <v>31200</v>
      </c>
      <c r="AC2390">
        <v>160</v>
      </c>
      <c r="AD2390">
        <v>4</v>
      </c>
      <c r="AE2390">
        <v>611.30999999999995</v>
      </c>
      <c r="AF2390">
        <v>611.30999999999995</v>
      </c>
      <c r="AG2390" s="29" t="s">
        <v>3113</v>
      </c>
      <c r="AH2390" s="29" t="s">
        <v>3601</v>
      </c>
      <c r="AI2390" s="29" t="s">
        <v>3159</v>
      </c>
      <c r="AJ2390" s="29" t="s">
        <v>3602</v>
      </c>
      <c r="AL2390" s="29" t="s">
        <v>3114</v>
      </c>
    </row>
    <row r="2391" spans="15:38">
      <c r="O2391" t="s">
        <v>24</v>
      </c>
      <c r="P2391" t="s">
        <v>43</v>
      </c>
      <c r="Q2391" t="s">
        <v>19</v>
      </c>
      <c r="R2391" t="s">
        <v>60</v>
      </c>
      <c r="S2391">
        <v>2023.51</v>
      </c>
      <c r="T2391">
        <v>114750</v>
      </c>
      <c r="U2391">
        <v>148449.93969999999</v>
      </c>
      <c r="V2391">
        <v>148449.93969999999</v>
      </c>
      <c r="AA2391" s="29" t="s">
        <v>43</v>
      </c>
      <c r="AB2391">
        <v>31200</v>
      </c>
      <c r="AC2391">
        <v>160</v>
      </c>
      <c r="AD2391">
        <v>4</v>
      </c>
      <c r="AE2391">
        <v>316.92</v>
      </c>
      <c r="AF2391">
        <v>316.92</v>
      </c>
      <c r="AG2391" s="29" t="s">
        <v>3113</v>
      </c>
      <c r="AH2391" s="29" t="s">
        <v>3482</v>
      </c>
      <c r="AI2391" s="29" t="s">
        <v>3159</v>
      </c>
      <c r="AJ2391" s="29" t="s">
        <v>3483</v>
      </c>
      <c r="AL2391" s="29" t="s">
        <v>3114</v>
      </c>
    </row>
    <row r="2392" spans="15:38">
      <c r="O2392" t="s">
        <v>24</v>
      </c>
      <c r="P2392" t="s">
        <v>43</v>
      </c>
      <c r="Q2392" t="s">
        <v>19</v>
      </c>
      <c r="R2392" t="s">
        <v>60</v>
      </c>
      <c r="S2392">
        <v>2024.05</v>
      </c>
      <c r="T2392">
        <v>114750</v>
      </c>
      <c r="U2392">
        <v>148449.93969999999</v>
      </c>
      <c r="V2392">
        <v>148449.93969999999</v>
      </c>
      <c r="AA2392" s="29" t="s">
        <v>43</v>
      </c>
      <c r="AB2392">
        <v>31200</v>
      </c>
      <c r="AC2392">
        <v>160</v>
      </c>
      <c r="AD2392">
        <v>4</v>
      </c>
      <c r="AE2392">
        <v>29.44</v>
      </c>
      <c r="AF2392">
        <v>29.44</v>
      </c>
      <c r="AG2392" s="29" t="s">
        <v>3113</v>
      </c>
      <c r="AH2392" s="29" t="s">
        <v>3603</v>
      </c>
      <c r="AI2392" s="29" t="s">
        <v>3159</v>
      </c>
      <c r="AJ2392" s="29" t="s">
        <v>3604</v>
      </c>
      <c r="AL2392" s="29" t="s">
        <v>3114</v>
      </c>
    </row>
    <row r="2393" spans="15:38">
      <c r="O2393" t="s">
        <v>24</v>
      </c>
      <c r="P2393" t="s">
        <v>43</v>
      </c>
      <c r="Q2393" t="s">
        <v>19</v>
      </c>
      <c r="R2393" t="s">
        <v>60</v>
      </c>
      <c r="S2393">
        <v>2024.06</v>
      </c>
      <c r="T2393">
        <v>114750</v>
      </c>
      <c r="U2393">
        <v>148449.93969999999</v>
      </c>
      <c r="V2393">
        <v>148449.93969999999</v>
      </c>
      <c r="AA2393" s="29" t="s">
        <v>43</v>
      </c>
      <c r="AB2393">
        <v>31200</v>
      </c>
      <c r="AC2393">
        <v>160</v>
      </c>
      <c r="AD2393">
        <v>4</v>
      </c>
      <c r="AE2393">
        <v>53.5</v>
      </c>
      <c r="AF2393">
        <v>53.5</v>
      </c>
      <c r="AG2393" s="29" t="s">
        <v>3113</v>
      </c>
      <c r="AH2393" s="29" t="s">
        <v>3254</v>
      </c>
      <c r="AI2393" s="29" t="s">
        <v>3159</v>
      </c>
      <c r="AJ2393" s="29" t="s">
        <v>3304</v>
      </c>
      <c r="AL2393" s="29" t="s">
        <v>3114</v>
      </c>
    </row>
    <row r="2394" spans="15:38">
      <c r="O2394" t="s">
        <v>24</v>
      </c>
      <c r="P2394" t="s">
        <v>43</v>
      </c>
      <c r="Q2394" t="s">
        <v>19</v>
      </c>
      <c r="R2394" t="s">
        <v>60</v>
      </c>
      <c r="S2394">
        <v>2024.07</v>
      </c>
      <c r="T2394">
        <v>114750</v>
      </c>
      <c r="U2394">
        <v>148449.93969999999</v>
      </c>
      <c r="V2394">
        <v>148449.93969999999</v>
      </c>
      <c r="AA2394" s="29" t="s">
        <v>43</v>
      </c>
      <c r="AB2394">
        <v>31200</v>
      </c>
      <c r="AC2394">
        <v>160</v>
      </c>
      <c r="AD2394">
        <v>4</v>
      </c>
      <c r="AE2394">
        <v>107</v>
      </c>
      <c r="AF2394">
        <v>107</v>
      </c>
      <c r="AG2394" s="29" t="s">
        <v>3113</v>
      </c>
      <c r="AH2394" s="29" t="s">
        <v>3320</v>
      </c>
      <c r="AI2394" s="29" t="s">
        <v>3159</v>
      </c>
      <c r="AJ2394" s="29" t="s">
        <v>3605</v>
      </c>
      <c r="AL2394" s="29" t="s">
        <v>3114</v>
      </c>
    </row>
    <row r="2395" spans="15:38">
      <c r="O2395" t="s">
        <v>24</v>
      </c>
      <c r="P2395" t="s">
        <v>43</v>
      </c>
      <c r="Q2395" t="s">
        <v>19</v>
      </c>
      <c r="R2395" t="s">
        <v>60</v>
      </c>
      <c r="S2395">
        <v>2024.08</v>
      </c>
      <c r="T2395">
        <v>114750</v>
      </c>
      <c r="U2395">
        <v>148449.93969999999</v>
      </c>
      <c r="V2395">
        <v>148449.93969999999</v>
      </c>
      <c r="AA2395" s="29" t="s">
        <v>43</v>
      </c>
      <c r="AB2395">
        <v>31200</v>
      </c>
      <c r="AC2395">
        <v>160</v>
      </c>
      <c r="AD2395">
        <v>4</v>
      </c>
      <c r="AE2395">
        <v>53.5</v>
      </c>
      <c r="AF2395">
        <v>53.5</v>
      </c>
      <c r="AG2395" s="29" t="s">
        <v>3113</v>
      </c>
      <c r="AH2395" s="29" t="s">
        <v>3254</v>
      </c>
      <c r="AI2395" s="29" t="s">
        <v>3159</v>
      </c>
      <c r="AJ2395" s="29" t="s">
        <v>3407</v>
      </c>
      <c r="AL2395" s="29" t="s">
        <v>3114</v>
      </c>
    </row>
    <row r="2396" spans="15:38">
      <c r="O2396" t="s">
        <v>24</v>
      </c>
      <c r="P2396" t="s">
        <v>43</v>
      </c>
      <c r="Q2396" t="s">
        <v>19</v>
      </c>
      <c r="R2396" t="s">
        <v>60</v>
      </c>
      <c r="S2396">
        <v>2024.09</v>
      </c>
      <c r="T2396">
        <v>114750</v>
      </c>
      <c r="U2396">
        <v>148449.93969999999</v>
      </c>
      <c r="V2396">
        <v>148449.93969999999</v>
      </c>
      <c r="AA2396" s="29" t="s">
        <v>43</v>
      </c>
      <c r="AB2396">
        <v>31200</v>
      </c>
      <c r="AC2396">
        <v>160</v>
      </c>
      <c r="AD2396">
        <v>4</v>
      </c>
      <c r="AE2396">
        <v>53.5</v>
      </c>
      <c r="AF2396">
        <v>53.5</v>
      </c>
      <c r="AG2396" s="29" t="s">
        <v>3113</v>
      </c>
      <c r="AH2396" s="29" t="s">
        <v>3254</v>
      </c>
      <c r="AI2396" s="29" t="s">
        <v>3159</v>
      </c>
      <c r="AJ2396" s="29" t="s">
        <v>3406</v>
      </c>
      <c r="AL2396" s="29" t="s">
        <v>3114</v>
      </c>
    </row>
    <row r="2397" spans="15:38">
      <c r="O2397" t="s">
        <v>24</v>
      </c>
      <c r="P2397" t="s">
        <v>43</v>
      </c>
      <c r="Q2397" t="s">
        <v>19</v>
      </c>
      <c r="R2397" t="s">
        <v>60</v>
      </c>
      <c r="S2397">
        <v>2024.1</v>
      </c>
      <c r="T2397">
        <v>114750</v>
      </c>
      <c r="U2397">
        <v>148449.93969999999</v>
      </c>
      <c r="V2397">
        <v>148449.93969999999</v>
      </c>
      <c r="AA2397" s="29" t="s">
        <v>43</v>
      </c>
      <c r="AB2397">
        <v>31200</v>
      </c>
      <c r="AC2397">
        <v>160</v>
      </c>
      <c r="AD2397">
        <v>4</v>
      </c>
      <c r="AE2397">
        <v>53.5</v>
      </c>
      <c r="AF2397">
        <v>53.5</v>
      </c>
      <c r="AG2397" s="29" t="s">
        <v>3113</v>
      </c>
      <c r="AH2397" s="29" t="s">
        <v>3254</v>
      </c>
      <c r="AI2397" s="29" t="s">
        <v>3159</v>
      </c>
      <c r="AJ2397" s="29" t="s">
        <v>3304</v>
      </c>
      <c r="AL2397" s="29" t="s">
        <v>3114</v>
      </c>
    </row>
    <row r="2398" spans="15:38">
      <c r="O2398" t="s">
        <v>24</v>
      </c>
      <c r="P2398" t="s">
        <v>43</v>
      </c>
      <c r="Q2398" t="s">
        <v>19</v>
      </c>
      <c r="R2398" t="s">
        <v>60</v>
      </c>
      <c r="S2398">
        <v>2024.11</v>
      </c>
      <c r="T2398">
        <v>114750</v>
      </c>
      <c r="U2398">
        <v>148449.93969999999</v>
      </c>
      <c r="V2398">
        <v>148449.93969999999</v>
      </c>
      <c r="AA2398" s="29" t="s">
        <v>43</v>
      </c>
      <c r="AB2398">
        <v>31200</v>
      </c>
      <c r="AC2398">
        <v>160</v>
      </c>
      <c r="AD2398">
        <v>4</v>
      </c>
      <c r="AE2398">
        <v>53.5</v>
      </c>
      <c r="AF2398">
        <v>53.5</v>
      </c>
      <c r="AG2398" s="29" t="s">
        <v>3113</v>
      </c>
      <c r="AH2398" s="29" t="s">
        <v>3254</v>
      </c>
      <c r="AI2398" s="29" t="s">
        <v>3159</v>
      </c>
      <c r="AJ2398" s="29" t="s">
        <v>3305</v>
      </c>
      <c r="AL2398" s="29" t="s">
        <v>3114</v>
      </c>
    </row>
    <row r="2399" spans="15:38">
      <c r="O2399" t="s">
        <v>24</v>
      </c>
      <c r="P2399" t="s">
        <v>43</v>
      </c>
      <c r="Q2399" t="s">
        <v>19</v>
      </c>
      <c r="R2399" t="s">
        <v>60</v>
      </c>
      <c r="S2399">
        <v>2024.12</v>
      </c>
      <c r="T2399">
        <v>114750</v>
      </c>
      <c r="U2399">
        <v>148449.93969999999</v>
      </c>
      <c r="V2399">
        <v>148449.93969999999</v>
      </c>
      <c r="AA2399" s="29" t="s">
        <v>43</v>
      </c>
      <c r="AB2399">
        <v>31200</v>
      </c>
      <c r="AC2399">
        <v>160</v>
      </c>
      <c r="AD2399">
        <v>4</v>
      </c>
      <c r="AE2399">
        <v>159.80000000000001</v>
      </c>
      <c r="AF2399">
        <v>159.80000000000001</v>
      </c>
      <c r="AG2399" s="29" t="s">
        <v>3113</v>
      </c>
      <c r="AH2399" s="29" t="s">
        <v>3250</v>
      </c>
      <c r="AI2399" s="29" t="s">
        <v>3159</v>
      </c>
      <c r="AJ2399" s="29" t="s">
        <v>3251</v>
      </c>
      <c r="AL2399" s="29" t="s">
        <v>3114</v>
      </c>
    </row>
    <row r="2400" spans="15:38">
      <c r="O2400" t="s">
        <v>24</v>
      </c>
      <c r="P2400" t="s">
        <v>43</v>
      </c>
      <c r="Q2400" t="s">
        <v>19</v>
      </c>
      <c r="R2400" t="s">
        <v>60</v>
      </c>
      <c r="S2400">
        <v>2024.14</v>
      </c>
      <c r="T2400">
        <v>114750</v>
      </c>
      <c r="U2400">
        <v>148449.93969999999</v>
      </c>
      <c r="V2400">
        <v>148449.93969999999</v>
      </c>
      <c r="AA2400" s="29" t="s">
        <v>43</v>
      </c>
      <c r="AB2400">
        <v>31200</v>
      </c>
      <c r="AC2400">
        <v>160</v>
      </c>
      <c r="AD2400">
        <v>4</v>
      </c>
      <c r="AE2400">
        <v>166.2</v>
      </c>
      <c r="AF2400">
        <v>166.2</v>
      </c>
      <c r="AG2400" s="29" t="s">
        <v>3113</v>
      </c>
      <c r="AH2400" s="29" t="s">
        <v>3410</v>
      </c>
      <c r="AI2400" s="29" t="s">
        <v>3159</v>
      </c>
      <c r="AJ2400" s="29" t="s">
        <v>3411</v>
      </c>
      <c r="AL2400" s="29" t="s">
        <v>3114</v>
      </c>
    </row>
    <row r="2401" spans="15:38">
      <c r="O2401" t="s">
        <v>24</v>
      </c>
      <c r="P2401" t="s">
        <v>43</v>
      </c>
      <c r="Q2401" t="s">
        <v>19</v>
      </c>
      <c r="R2401" t="s">
        <v>60</v>
      </c>
      <c r="S2401">
        <v>2024.17</v>
      </c>
      <c r="T2401">
        <v>114750</v>
      </c>
      <c r="U2401">
        <v>148449.93969999999</v>
      </c>
      <c r="V2401">
        <v>148449.93969999999</v>
      </c>
      <c r="AA2401" s="29" t="s">
        <v>43</v>
      </c>
      <c r="AB2401">
        <v>31200</v>
      </c>
      <c r="AC2401">
        <v>160</v>
      </c>
      <c r="AD2401">
        <v>4</v>
      </c>
      <c r="AE2401">
        <v>53.5</v>
      </c>
      <c r="AF2401">
        <v>53.5</v>
      </c>
      <c r="AG2401" s="29" t="s">
        <v>3113</v>
      </c>
      <c r="AH2401" s="29" t="s">
        <v>3254</v>
      </c>
      <c r="AI2401" s="29" t="s">
        <v>3159</v>
      </c>
      <c r="AJ2401" s="29" t="s">
        <v>3257</v>
      </c>
      <c r="AL2401" s="29" t="s">
        <v>3114</v>
      </c>
    </row>
    <row r="2402" spans="15:38">
      <c r="O2402" t="s">
        <v>24</v>
      </c>
      <c r="P2402" t="s">
        <v>43</v>
      </c>
      <c r="Q2402" t="s">
        <v>19</v>
      </c>
      <c r="R2402" t="s">
        <v>60</v>
      </c>
      <c r="S2402">
        <v>2024.18</v>
      </c>
      <c r="T2402">
        <v>114750</v>
      </c>
      <c r="U2402">
        <v>148449.93969999999</v>
      </c>
      <c r="V2402">
        <v>148449.93969999999</v>
      </c>
      <c r="AA2402" s="29" t="s">
        <v>43</v>
      </c>
      <c r="AB2402">
        <v>31200</v>
      </c>
      <c r="AC2402">
        <v>160</v>
      </c>
      <c r="AD2402">
        <v>4</v>
      </c>
      <c r="AE2402">
        <v>892.38</v>
      </c>
      <c r="AF2402">
        <v>892.38</v>
      </c>
      <c r="AG2402" s="29" t="s">
        <v>3113</v>
      </c>
      <c r="AH2402" s="29" t="s">
        <v>3306</v>
      </c>
      <c r="AI2402" s="29" t="s">
        <v>3159</v>
      </c>
      <c r="AJ2402" s="29" t="s">
        <v>350</v>
      </c>
      <c r="AL2402" s="29" t="s">
        <v>3114</v>
      </c>
    </row>
    <row r="2403" spans="15:38">
      <c r="O2403" t="s">
        <v>24</v>
      </c>
      <c r="P2403" t="s">
        <v>43</v>
      </c>
      <c r="Q2403" t="s">
        <v>19</v>
      </c>
      <c r="R2403" t="s">
        <v>60</v>
      </c>
      <c r="S2403">
        <v>2024.19</v>
      </c>
      <c r="T2403">
        <v>114750</v>
      </c>
      <c r="U2403">
        <v>148449.93969999999</v>
      </c>
      <c r="V2403">
        <v>148449.93969999999</v>
      </c>
      <c r="AA2403" s="29" t="s">
        <v>43</v>
      </c>
      <c r="AB2403">
        <v>31200</v>
      </c>
      <c r="AC2403">
        <v>160</v>
      </c>
      <c r="AD2403">
        <v>4</v>
      </c>
      <c r="AE2403">
        <v>12.4</v>
      </c>
      <c r="AF2403">
        <v>12.4</v>
      </c>
      <c r="AG2403" s="29" t="s">
        <v>3113</v>
      </c>
      <c r="AH2403" s="29" t="s">
        <v>3343</v>
      </c>
      <c r="AI2403" s="29" t="s">
        <v>3159</v>
      </c>
      <c r="AJ2403" s="29" t="s">
        <v>3344</v>
      </c>
      <c r="AL2403" s="29" t="s">
        <v>3114</v>
      </c>
    </row>
    <row r="2404" spans="15:38">
      <c r="O2404" t="s">
        <v>24</v>
      </c>
      <c r="P2404" t="s">
        <v>43</v>
      </c>
      <c r="Q2404" t="s">
        <v>19</v>
      </c>
      <c r="R2404" t="s">
        <v>60</v>
      </c>
      <c r="S2404">
        <v>2024.2</v>
      </c>
      <c r="T2404">
        <v>114750</v>
      </c>
      <c r="U2404">
        <v>148449.93969999999</v>
      </c>
      <c r="V2404">
        <v>148449.93969999999</v>
      </c>
      <c r="AA2404" s="29" t="s">
        <v>43</v>
      </c>
      <c r="AB2404">
        <v>31200</v>
      </c>
      <c r="AC2404">
        <v>160</v>
      </c>
      <c r="AD2404">
        <v>4</v>
      </c>
      <c r="AE2404">
        <v>5.28</v>
      </c>
      <c r="AF2404">
        <v>5.28</v>
      </c>
      <c r="AG2404" s="29" t="s">
        <v>3113</v>
      </c>
      <c r="AH2404" s="29" t="s">
        <v>3272</v>
      </c>
      <c r="AI2404" s="29" t="s">
        <v>3159</v>
      </c>
      <c r="AJ2404" s="29" t="s">
        <v>445</v>
      </c>
      <c r="AL2404" s="29" t="s">
        <v>3114</v>
      </c>
    </row>
    <row r="2405" spans="15:38">
      <c r="O2405" t="s">
        <v>24</v>
      </c>
      <c r="P2405" t="s">
        <v>43</v>
      </c>
      <c r="Q2405" t="s">
        <v>19</v>
      </c>
      <c r="R2405" t="s">
        <v>60</v>
      </c>
      <c r="S2405">
        <v>2024.21</v>
      </c>
      <c r="T2405">
        <v>115335.92</v>
      </c>
      <c r="U2405">
        <v>148449.93969999999</v>
      </c>
      <c r="V2405">
        <v>148449.93969999999</v>
      </c>
      <c r="AA2405" s="29" t="s">
        <v>43</v>
      </c>
      <c r="AB2405">
        <v>31200</v>
      </c>
      <c r="AC2405">
        <v>160</v>
      </c>
      <c r="AD2405">
        <v>4</v>
      </c>
      <c r="AE2405">
        <v>232.88</v>
      </c>
      <c r="AF2405">
        <v>232.88</v>
      </c>
      <c r="AG2405" s="29" t="s">
        <v>3113</v>
      </c>
      <c r="AH2405" s="29" t="s">
        <v>3606</v>
      </c>
      <c r="AI2405" s="29" t="s">
        <v>3159</v>
      </c>
      <c r="AJ2405" s="29" t="s">
        <v>3607</v>
      </c>
      <c r="AL2405" s="29" t="s">
        <v>3114</v>
      </c>
    </row>
    <row r="2406" spans="15:38">
      <c r="O2406" t="s">
        <v>24</v>
      </c>
      <c r="P2406" t="s">
        <v>43</v>
      </c>
      <c r="Q2406" t="s">
        <v>19</v>
      </c>
      <c r="R2406" t="s">
        <v>60</v>
      </c>
      <c r="S2406">
        <v>2024.28</v>
      </c>
      <c r="T2406">
        <v>115628.88</v>
      </c>
      <c r="U2406">
        <v>148449.93969999999</v>
      </c>
      <c r="V2406">
        <v>148449.93969999999</v>
      </c>
      <c r="AA2406" s="29" t="s">
        <v>43</v>
      </c>
      <c r="AB2406">
        <v>31200</v>
      </c>
      <c r="AC2406">
        <v>160</v>
      </c>
      <c r="AD2406">
        <v>4</v>
      </c>
      <c r="AE2406">
        <v>438.7</v>
      </c>
      <c r="AF2406">
        <v>438.7</v>
      </c>
      <c r="AG2406" s="29" t="s">
        <v>3113</v>
      </c>
      <c r="AH2406" s="29" t="s">
        <v>3536</v>
      </c>
      <c r="AI2406" s="29" t="s">
        <v>3159</v>
      </c>
      <c r="AJ2406" s="29" t="s">
        <v>3537</v>
      </c>
      <c r="AL2406" s="29" t="s">
        <v>3114</v>
      </c>
    </row>
    <row r="2407" spans="15:38">
      <c r="O2407" t="s">
        <v>24</v>
      </c>
      <c r="P2407" t="s">
        <v>43</v>
      </c>
      <c r="Q2407" t="s">
        <v>19</v>
      </c>
      <c r="R2407" t="s">
        <v>60</v>
      </c>
      <c r="S2407">
        <v>2024.38</v>
      </c>
      <c r="T2407">
        <v>115628.88</v>
      </c>
      <c r="U2407">
        <v>148449.93969999999</v>
      </c>
      <c r="V2407">
        <v>148449.93969999999</v>
      </c>
      <c r="AA2407" s="29" t="s">
        <v>43</v>
      </c>
      <c r="AB2407">
        <v>31200</v>
      </c>
      <c r="AC2407">
        <v>160</v>
      </c>
      <c r="AD2407">
        <v>4</v>
      </c>
      <c r="AE2407">
        <v>269.76</v>
      </c>
      <c r="AF2407">
        <v>269.76</v>
      </c>
      <c r="AG2407" s="29" t="s">
        <v>3113</v>
      </c>
      <c r="AH2407" s="29" t="s">
        <v>3388</v>
      </c>
      <c r="AI2407" s="29" t="s">
        <v>3159</v>
      </c>
      <c r="AJ2407" s="29" t="s">
        <v>3389</v>
      </c>
      <c r="AL2407" s="29" t="s">
        <v>3114</v>
      </c>
    </row>
    <row r="2408" spans="15:38">
      <c r="O2408" t="s">
        <v>24</v>
      </c>
      <c r="P2408" t="s">
        <v>43</v>
      </c>
      <c r="Q2408" t="s">
        <v>19</v>
      </c>
      <c r="R2408" t="s">
        <v>60</v>
      </c>
      <c r="S2408">
        <v>2024.39</v>
      </c>
      <c r="T2408">
        <v>878.88</v>
      </c>
      <c r="U2408">
        <v>148449.93969999999</v>
      </c>
      <c r="V2408">
        <v>148449.93969999999</v>
      </c>
      <c r="AA2408" s="29" t="s">
        <v>43</v>
      </c>
      <c r="AB2408">
        <v>31200</v>
      </c>
      <c r="AC2408">
        <v>160</v>
      </c>
      <c r="AD2408">
        <v>4</v>
      </c>
      <c r="AE2408">
        <v>46.32</v>
      </c>
      <c r="AF2408">
        <v>46.32</v>
      </c>
      <c r="AG2408" s="29" t="s">
        <v>3113</v>
      </c>
      <c r="AH2408" s="29" t="s">
        <v>3357</v>
      </c>
      <c r="AI2408" s="29" t="s">
        <v>3159</v>
      </c>
      <c r="AJ2408" s="29" t="s">
        <v>447</v>
      </c>
      <c r="AL2408" s="29" t="s">
        <v>3114</v>
      </c>
    </row>
    <row r="2409" spans="15:38">
      <c r="O2409" t="s">
        <v>24</v>
      </c>
      <c r="P2409" t="s">
        <v>43</v>
      </c>
      <c r="Q2409" t="s">
        <v>19</v>
      </c>
      <c r="R2409" t="s">
        <v>60</v>
      </c>
      <c r="S2409">
        <v>2024.41</v>
      </c>
      <c r="T2409">
        <v>18878.88</v>
      </c>
      <c r="U2409">
        <v>148449.93969999999</v>
      </c>
      <c r="V2409">
        <v>148449.93969999999</v>
      </c>
      <c r="AA2409" s="29" t="s">
        <v>43</v>
      </c>
      <c r="AB2409">
        <v>31200</v>
      </c>
      <c r="AC2409">
        <v>160</v>
      </c>
      <c r="AD2409">
        <v>4</v>
      </c>
      <c r="AE2409">
        <v>128.52000000000001</v>
      </c>
      <c r="AF2409">
        <v>128.52000000000001</v>
      </c>
      <c r="AG2409" s="29" t="s">
        <v>3113</v>
      </c>
      <c r="AH2409" s="29" t="s">
        <v>3608</v>
      </c>
      <c r="AI2409" s="29" t="s">
        <v>3159</v>
      </c>
      <c r="AJ2409" s="29" t="s">
        <v>3609</v>
      </c>
      <c r="AL2409" s="29" t="s">
        <v>3114</v>
      </c>
    </row>
    <row r="2410" spans="15:38">
      <c r="O2410" t="s">
        <v>24</v>
      </c>
      <c r="P2410" t="s">
        <v>43</v>
      </c>
      <c r="Q2410" t="s">
        <v>19</v>
      </c>
      <c r="R2410" t="s">
        <v>60</v>
      </c>
      <c r="S2410">
        <v>2024.43</v>
      </c>
      <c r="T2410">
        <v>18878.88</v>
      </c>
      <c r="U2410">
        <v>148449.93969999999</v>
      </c>
      <c r="V2410">
        <v>148449.93969999999</v>
      </c>
      <c r="AA2410" s="29" t="s">
        <v>43</v>
      </c>
      <c r="AB2410">
        <v>31200</v>
      </c>
      <c r="AC2410">
        <v>160</v>
      </c>
      <c r="AD2410">
        <v>4</v>
      </c>
      <c r="AE2410">
        <v>59542</v>
      </c>
      <c r="AF2410">
        <v>59542</v>
      </c>
      <c r="AG2410" s="29" t="s">
        <v>3113</v>
      </c>
      <c r="AH2410" s="29" t="s">
        <v>3610</v>
      </c>
      <c r="AI2410" s="29" t="s">
        <v>3159</v>
      </c>
      <c r="AJ2410" s="29" t="s">
        <v>3611</v>
      </c>
      <c r="AL2410" s="29" t="s">
        <v>3114</v>
      </c>
    </row>
    <row r="2411" spans="15:38">
      <c r="O2411" t="s">
        <v>24</v>
      </c>
      <c r="P2411" t="s">
        <v>43</v>
      </c>
      <c r="Q2411" t="s">
        <v>19</v>
      </c>
      <c r="R2411" t="s">
        <v>60</v>
      </c>
      <c r="S2411">
        <v>2024.44</v>
      </c>
      <c r="T2411">
        <v>18878.88</v>
      </c>
      <c r="U2411">
        <v>148449.93969999999</v>
      </c>
      <c r="V2411">
        <v>148449.93969999999</v>
      </c>
      <c r="AA2411" s="29" t="s">
        <v>43</v>
      </c>
      <c r="AB2411">
        <v>31200</v>
      </c>
      <c r="AC2411">
        <v>160</v>
      </c>
      <c r="AD2411">
        <v>4</v>
      </c>
      <c r="AE2411">
        <v>219.16</v>
      </c>
      <c r="AF2411">
        <v>219.16</v>
      </c>
      <c r="AG2411" s="29" t="s">
        <v>3113</v>
      </c>
      <c r="AH2411" s="29" t="s">
        <v>3412</v>
      </c>
      <c r="AI2411" s="29" t="s">
        <v>3159</v>
      </c>
      <c r="AJ2411" s="29" t="s">
        <v>3413</v>
      </c>
      <c r="AL2411" s="29" t="s">
        <v>3114</v>
      </c>
    </row>
    <row r="2412" spans="15:38">
      <c r="O2412" t="s">
        <v>24</v>
      </c>
      <c r="P2412" t="s">
        <v>43</v>
      </c>
      <c r="Q2412" t="s">
        <v>19</v>
      </c>
      <c r="R2412" t="s">
        <v>60</v>
      </c>
      <c r="S2412">
        <v>2024.45</v>
      </c>
      <c r="T2412">
        <v>18878.88</v>
      </c>
      <c r="U2412">
        <v>148449.93969999999</v>
      </c>
      <c r="V2412">
        <v>148449.93969999999</v>
      </c>
      <c r="AA2412" s="29" t="s">
        <v>43</v>
      </c>
      <c r="AB2412">
        <v>31200</v>
      </c>
      <c r="AC2412">
        <v>160</v>
      </c>
      <c r="AD2412">
        <v>4</v>
      </c>
      <c r="AE2412">
        <v>371.52</v>
      </c>
      <c r="AF2412">
        <v>371.52</v>
      </c>
      <c r="AG2412" s="29" t="s">
        <v>3113</v>
      </c>
      <c r="AH2412" s="29" t="s">
        <v>3612</v>
      </c>
      <c r="AI2412" s="29" t="s">
        <v>3159</v>
      </c>
      <c r="AJ2412" s="29" t="s">
        <v>3613</v>
      </c>
      <c r="AL2412" s="29" t="s">
        <v>3114</v>
      </c>
    </row>
    <row r="2413" spans="15:38">
      <c r="O2413" t="s">
        <v>24</v>
      </c>
      <c r="P2413" t="s">
        <v>43</v>
      </c>
      <c r="Q2413" t="s">
        <v>19</v>
      </c>
      <c r="R2413" t="s">
        <v>60</v>
      </c>
      <c r="S2413">
        <v>2024.47</v>
      </c>
      <c r="T2413">
        <v>18878.88</v>
      </c>
      <c r="U2413">
        <v>148449.93969999999</v>
      </c>
      <c r="V2413">
        <v>128449.9397</v>
      </c>
      <c r="AA2413" s="29" t="s">
        <v>43</v>
      </c>
      <c r="AB2413">
        <v>31200</v>
      </c>
      <c r="AC2413">
        <v>160</v>
      </c>
      <c r="AD2413">
        <v>4</v>
      </c>
      <c r="AE2413">
        <v>35.6</v>
      </c>
      <c r="AF2413">
        <v>35.6</v>
      </c>
      <c r="AG2413" s="29" t="s">
        <v>3113</v>
      </c>
      <c r="AH2413" s="29" t="s">
        <v>3614</v>
      </c>
      <c r="AI2413" s="29" t="s">
        <v>3159</v>
      </c>
      <c r="AJ2413" s="29" t="s">
        <v>3615</v>
      </c>
      <c r="AL2413" s="29" t="s">
        <v>3114</v>
      </c>
    </row>
    <row r="2414" spans="15:38">
      <c r="O2414" t="s">
        <v>24</v>
      </c>
      <c r="P2414" t="s">
        <v>43</v>
      </c>
      <c r="Q2414" t="s">
        <v>19</v>
      </c>
      <c r="R2414" t="s">
        <v>60</v>
      </c>
      <c r="S2414">
        <v>2024.48</v>
      </c>
      <c r="T2414">
        <v>18878.88</v>
      </c>
      <c r="U2414">
        <v>148449.93969999999</v>
      </c>
      <c r="V2414">
        <v>128449.9397</v>
      </c>
      <c r="AA2414" s="29" t="s">
        <v>43</v>
      </c>
      <c r="AB2414">
        <v>31200</v>
      </c>
      <c r="AC2414">
        <v>160</v>
      </c>
      <c r="AD2414">
        <v>4</v>
      </c>
      <c r="AE2414">
        <v>1.92</v>
      </c>
      <c r="AF2414">
        <v>1.92</v>
      </c>
      <c r="AG2414" s="29" t="s">
        <v>3113</v>
      </c>
      <c r="AH2414" s="29" t="s">
        <v>3616</v>
      </c>
      <c r="AI2414" s="29" t="s">
        <v>3159</v>
      </c>
      <c r="AJ2414" s="29" t="s">
        <v>3617</v>
      </c>
      <c r="AL2414" s="29" t="s">
        <v>3114</v>
      </c>
    </row>
    <row r="2415" spans="15:38">
      <c r="O2415" t="s">
        <v>24</v>
      </c>
      <c r="P2415" t="s">
        <v>43</v>
      </c>
      <c r="Q2415" t="s">
        <v>19</v>
      </c>
      <c r="R2415" t="s">
        <v>60</v>
      </c>
      <c r="S2415">
        <v>2024.49</v>
      </c>
      <c r="T2415">
        <v>23273.279999999999</v>
      </c>
      <c r="U2415">
        <v>148449.93969999999</v>
      </c>
      <c r="V2415">
        <v>128449.9397</v>
      </c>
      <c r="AA2415" s="29" t="s">
        <v>43</v>
      </c>
      <c r="AB2415">
        <v>31200</v>
      </c>
      <c r="AC2415">
        <v>160</v>
      </c>
      <c r="AD2415">
        <v>4</v>
      </c>
      <c r="AE2415">
        <v>896</v>
      </c>
      <c r="AF2415">
        <v>896</v>
      </c>
      <c r="AG2415" s="29" t="s">
        <v>3113</v>
      </c>
      <c r="AH2415" s="29" t="s">
        <v>3618</v>
      </c>
      <c r="AI2415" s="29" t="s">
        <v>3159</v>
      </c>
      <c r="AJ2415" s="29" t="s">
        <v>3619</v>
      </c>
      <c r="AL2415" s="29" t="s">
        <v>3114</v>
      </c>
    </row>
    <row r="2416" spans="15:38">
      <c r="O2416" t="s">
        <v>24</v>
      </c>
      <c r="P2416" t="s">
        <v>43</v>
      </c>
      <c r="Q2416" t="s">
        <v>19</v>
      </c>
      <c r="R2416" t="s">
        <v>60</v>
      </c>
      <c r="S2416">
        <v>2025.03</v>
      </c>
      <c r="T2416">
        <v>27374.720000000001</v>
      </c>
      <c r="U2416">
        <v>148449.93969999999</v>
      </c>
      <c r="V2416">
        <v>128449.9397</v>
      </c>
      <c r="AA2416" s="29" t="s">
        <v>43</v>
      </c>
      <c r="AB2416">
        <v>31200</v>
      </c>
      <c r="AC2416">
        <v>160</v>
      </c>
      <c r="AD2416">
        <v>4</v>
      </c>
      <c r="AE2416">
        <v>0</v>
      </c>
      <c r="AF2416">
        <v>0</v>
      </c>
      <c r="AG2416" s="29" t="s">
        <v>3113</v>
      </c>
      <c r="AH2416" s="29" t="s">
        <v>3119</v>
      </c>
      <c r="AI2416" s="29" t="s">
        <v>3159</v>
      </c>
      <c r="AJ2416" s="29" t="s">
        <v>3620</v>
      </c>
      <c r="AL2416" s="29" t="s">
        <v>3114</v>
      </c>
    </row>
    <row r="2417" spans="15:38">
      <c r="O2417" t="s">
        <v>24</v>
      </c>
      <c r="P2417" t="s">
        <v>43</v>
      </c>
      <c r="Q2417" t="s">
        <v>19</v>
      </c>
      <c r="R2417" t="s">
        <v>60</v>
      </c>
      <c r="S2417">
        <v>2025.08</v>
      </c>
      <c r="T2417">
        <v>33526.879999999997</v>
      </c>
      <c r="U2417">
        <v>148449.93969999999</v>
      </c>
      <c r="V2417">
        <v>128449.9397</v>
      </c>
      <c r="AA2417" s="29" t="s">
        <v>43</v>
      </c>
      <c r="AB2417">
        <v>31200</v>
      </c>
      <c r="AC2417">
        <v>160</v>
      </c>
      <c r="AD2417">
        <v>4</v>
      </c>
      <c r="AE2417">
        <v>0</v>
      </c>
      <c r="AF2417">
        <v>0</v>
      </c>
      <c r="AG2417" s="29" t="s">
        <v>3113</v>
      </c>
      <c r="AH2417" s="29" t="s">
        <v>3119</v>
      </c>
      <c r="AI2417" s="29" t="s">
        <v>3159</v>
      </c>
      <c r="AJ2417" s="29" t="s">
        <v>3621</v>
      </c>
      <c r="AL2417" s="29" t="s">
        <v>3114</v>
      </c>
    </row>
    <row r="2418" spans="15:38">
      <c r="O2418" t="s">
        <v>24</v>
      </c>
      <c r="P2418" t="s">
        <v>43</v>
      </c>
      <c r="Q2418" t="s">
        <v>19</v>
      </c>
      <c r="R2418" t="s">
        <v>60</v>
      </c>
      <c r="S2418">
        <v>2025.1</v>
      </c>
      <c r="T2418">
        <v>40061.360000000001</v>
      </c>
      <c r="U2418">
        <v>148449.93969999999</v>
      </c>
      <c r="V2418">
        <v>128449.9397</v>
      </c>
      <c r="AA2418" s="29" t="s">
        <v>43</v>
      </c>
      <c r="AB2418">
        <v>31200</v>
      </c>
      <c r="AC2418">
        <v>160</v>
      </c>
      <c r="AD2418">
        <v>4</v>
      </c>
      <c r="AE2418">
        <v>0</v>
      </c>
      <c r="AF2418">
        <v>0</v>
      </c>
      <c r="AG2418" s="29" t="s">
        <v>3113</v>
      </c>
      <c r="AH2418" s="29" t="s">
        <v>3119</v>
      </c>
      <c r="AI2418" s="29" t="s">
        <v>3159</v>
      </c>
      <c r="AJ2418" s="29" t="s">
        <v>3510</v>
      </c>
      <c r="AL2418" s="29" t="s">
        <v>3114</v>
      </c>
    </row>
    <row r="2419" spans="15:38">
      <c r="O2419" t="s">
        <v>24</v>
      </c>
      <c r="P2419" t="s">
        <v>43</v>
      </c>
      <c r="Q2419" t="s">
        <v>19</v>
      </c>
      <c r="R2419" t="s">
        <v>60</v>
      </c>
      <c r="S2419">
        <v>2025.11</v>
      </c>
      <c r="T2419">
        <v>40061.360000000001</v>
      </c>
      <c r="U2419">
        <v>148449.93969999999</v>
      </c>
      <c r="V2419">
        <v>128449.9397</v>
      </c>
      <c r="AA2419" s="29" t="s">
        <v>43</v>
      </c>
      <c r="AB2419">
        <v>31200</v>
      </c>
      <c r="AC2419">
        <v>160</v>
      </c>
      <c r="AD2419">
        <v>4</v>
      </c>
      <c r="AE2419">
        <v>1994</v>
      </c>
      <c r="AF2419">
        <v>1994</v>
      </c>
      <c r="AG2419" s="29" t="s">
        <v>3113</v>
      </c>
      <c r="AH2419" s="29" t="s">
        <v>3578</v>
      </c>
      <c r="AI2419" s="29" t="s">
        <v>3159</v>
      </c>
      <c r="AJ2419" s="29" t="s">
        <v>3579</v>
      </c>
      <c r="AL2419" s="29" t="s">
        <v>3114</v>
      </c>
    </row>
    <row r="2420" spans="15:38">
      <c r="O2420" t="s">
        <v>24</v>
      </c>
      <c r="P2420" t="s">
        <v>43</v>
      </c>
      <c r="Q2420" t="s">
        <v>19</v>
      </c>
      <c r="R2420" t="s">
        <v>60</v>
      </c>
      <c r="S2420">
        <v>2025.12</v>
      </c>
      <c r="T2420">
        <v>40061.360000000001</v>
      </c>
      <c r="U2420">
        <v>148449.93969999999</v>
      </c>
      <c r="V2420">
        <v>128449.9397</v>
      </c>
      <c r="AA2420" s="29" t="s">
        <v>43</v>
      </c>
      <c r="AB2420">
        <v>31200</v>
      </c>
      <c r="AC2420">
        <v>160</v>
      </c>
      <c r="AD2420">
        <v>4</v>
      </c>
      <c r="AE2420">
        <v>1994</v>
      </c>
      <c r="AF2420">
        <v>1994</v>
      </c>
      <c r="AG2420" s="29" t="s">
        <v>3113</v>
      </c>
      <c r="AH2420" s="29" t="s">
        <v>3578</v>
      </c>
      <c r="AI2420" s="29" t="s">
        <v>3159</v>
      </c>
      <c r="AJ2420" s="29" t="s">
        <v>3580</v>
      </c>
      <c r="AL2420" s="29" t="s">
        <v>3114</v>
      </c>
    </row>
    <row r="2421" spans="15:38">
      <c r="O2421" t="s">
        <v>24</v>
      </c>
      <c r="P2421" t="s">
        <v>43</v>
      </c>
      <c r="Q2421" t="s">
        <v>19</v>
      </c>
      <c r="R2421" t="s">
        <v>54</v>
      </c>
      <c r="S2421">
        <v>2024.49</v>
      </c>
      <c r="T2421">
        <v>856.25</v>
      </c>
      <c r="U2421">
        <v>0</v>
      </c>
      <c r="V2421">
        <v>0</v>
      </c>
      <c r="AA2421" s="29" t="s">
        <v>43</v>
      </c>
      <c r="AB2421">
        <v>31200</v>
      </c>
      <c r="AC2421">
        <v>160</v>
      </c>
      <c r="AD2421">
        <v>4</v>
      </c>
      <c r="AE2421">
        <v>247.8</v>
      </c>
      <c r="AF2421">
        <v>247.8</v>
      </c>
      <c r="AG2421" s="29" t="s">
        <v>3113</v>
      </c>
      <c r="AH2421" s="29" t="s">
        <v>3354</v>
      </c>
      <c r="AI2421" s="29" t="s">
        <v>3159</v>
      </c>
      <c r="AJ2421" s="29" t="s">
        <v>3355</v>
      </c>
      <c r="AL2421" s="29" t="s">
        <v>3114</v>
      </c>
    </row>
    <row r="2422" spans="15:38">
      <c r="O2422" t="s">
        <v>24</v>
      </c>
      <c r="P2422" t="s">
        <v>43</v>
      </c>
      <c r="Q2422" t="s">
        <v>19</v>
      </c>
      <c r="R2422" t="s">
        <v>54</v>
      </c>
      <c r="S2422">
        <v>2025.03</v>
      </c>
      <c r="T2422">
        <v>1141.25</v>
      </c>
      <c r="U2422">
        <v>0</v>
      </c>
      <c r="V2422">
        <v>1141.25</v>
      </c>
      <c r="AA2422" s="29" t="s">
        <v>43</v>
      </c>
      <c r="AB2422">
        <v>31200</v>
      </c>
      <c r="AC2422">
        <v>160</v>
      </c>
      <c r="AD2422">
        <v>4</v>
      </c>
      <c r="AE2422">
        <v>69.92</v>
      </c>
      <c r="AF2422">
        <v>69.92</v>
      </c>
      <c r="AG2422" s="29" t="s">
        <v>3113</v>
      </c>
      <c r="AH2422" s="29" t="s">
        <v>3493</v>
      </c>
      <c r="AI2422" s="29" t="s">
        <v>3159</v>
      </c>
      <c r="AJ2422" s="29" t="s">
        <v>3494</v>
      </c>
      <c r="AL2422" s="29" t="s">
        <v>3114</v>
      </c>
    </row>
    <row r="2423" spans="15:38">
      <c r="O2423" t="s">
        <v>24</v>
      </c>
      <c r="P2423" t="s">
        <v>43</v>
      </c>
      <c r="Q2423" t="s">
        <v>19</v>
      </c>
      <c r="R2423" t="s">
        <v>54</v>
      </c>
      <c r="S2423">
        <v>2025.08</v>
      </c>
      <c r="T2423">
        <v>1141.25</v>
      </c>
      <c r="U2423">
        <v>0</v>
      </c>
      <c r="V2423">
        <v>1141.25</v>
      </c>
      <c r="AA2423" s="29" t="s">
        <v>43</v>
      </c>
      <c r="AB2423">
        <v>31200</v>
      </c>
      <c r="AC2423">
        <v>160</v>
      </c>
      <c r="AD2423">
        <v>4</v>
      </c>
      <c r="AE2423">
        <v>55.4</v>
      </c>
      <c r="AF2423">
        <v>55.4</v>
      </c>
      <c r="AG2423" s="29" t="s">
        <v>3113</v>
      </c>
      <c r="AH2423" s="29" t="s">
        <v>3555</v>
      </c>
      <c r="AI2423" s="29" t="s">
        <v>3159</v>
      </c>
      <c r="AJ2423" s="29" t="s">
        <v>3556</v>
      </c>
      <c r="AL2423" s="29" t="s">
        <v>3114</v>
      </c>
    </row>
    <row r="2424" spans="15:38">
      <c r="O2424" t="s">
        <v>24</v>
      </c>
      <c r="P2424" t="s">
        <v>43</v>
      </c>
      <c r="Q2424" t="s">
        <v>19</v>
      </c>
      <c r="R2424" t="s">
        <v>54</v>
      </c>
      <c r="S2424">
        <v>2025.1</v>
      </c>
      <c r="T2424">
        <v>2671.25</v>
      </c>
      <c r="U2424">
        <v>0</v>
      </c>
      <c r="V2424">
        <v>1141.25</v>
      </c>
      <c r="AA2424" s="29" t="s">
        <v>43</v>
      </c>
      <c r="AB2424">
        <v>31200</v>
      </c>
      <c r="AC2424">
        <v>160</v>
      </c>
      <c r="AD2424">
        <v>4</v>
      </c>
      <c r="AE2424">
        <v>111.56</v>
      </c>
      <c r="AF2424">
        <v>111.56</v>
      </c>
      <c r="AG2424" s="29" t="s">
        <v>3113</v>
      </c>
      <c r="AH2424" s="29" t="s">
        <v>3622</v>
      </c>
      <c r="AI2424" s="29" t="s">
        <v>3159</v>
      </c>
      <c r="AJ2424" s="29" t="s">
        <v>3623</v>
      </c>
      <c r="AL2424" s="29" t="s">
        <v>3114</v>
      </c>
    </row>
    <row r="2425" spans="15:38">
      <c r="O2425" t="s">
        <v>24</v>
      </c>
      <c r="P2425" t="s">
        <v>43</v>
      </c>
      <c r="Q2425" t="s">
        <v>19</v>
      </c>
      <c r="R2425" t="s">
        <v>54</v>
      </c>
      <c r="S2425">
        <v>2025.11</v>
      </c>
      <c r="T2425">
        <v>2671.25</v>
      </c>
      <c r="U2425">
        <v>0</v>
      </c>
      <c r="V2425">
        <v>1141.25</v>
      </c>
      <c r="AA2425" s="29" t="s">
        <v>43</v>
      </c>
      <c r="AB2425">
        <v>31200</v>
      </c>
      <c r="AC2425">
        <v>160</v>
      </c>
      <c r="AD2425">
        <v>4</v>
      </c>
      <c r="AE2425">
        <v>189.36</v>
      </c>
      <c r="AF2425">
        <v>189.36</v>
      </c>
      <c r="AG2425" s="29" t="s">
        <v>3113</v>
      </c>
      <c r="AH2425" s="29" t="s">
        <v>3448</v>
      </c>
      <c r="AI2425" s="29" t="s">
        <v>3159</v>
      </c>
      <c r="AJ2425" s="29" t="s">
        <v>3449</v>
      </c>
      <c r="AL2425" s="29" t="s">
        <v>3114</v>
      </c>
    </row>
    <row r="2426" spans="15:38">
      <c r="O2426" t="s">
        <v>24</v>
      </c>
      <c r="P2426" t="s">
        <v>43</v>
      </c>
      <c r="Q2426" t="s">
        <v>19</v>
      </c>
      <c r="R2426" t="s">
        <v>54</v>
      </c>
      <c r="S2426">
        <v>2025.12</v>
      </c>
      <c r="T2426">
        <v>2671.25</v>
      </c>
      <c r="U2426">
        <v>0</v>
      </c>
      <c r="V2426">
        <v>1141.25</v>
      </c>
      <c r="AA2426" s="29" t="s">
        <v>43</v>
      </c>
      <c r="AB2426">
        <v>31200</v>
      </c>
      <c r="AC2426">
        <v>160</v>
      </c>
      <c r="AD2426">
        <v>4</v>
      </c>
      <c r="AE2426">
        <v>6356</v>
      </c>
      <c r="AF2426">
        <v>6356</v>
      </c>
      <c r="AG2426" s="29" t="s">
        <v>3113</v>
      </c>
      <c r="AH2426" s="29" t="s">
        <v>3624</v>
      </c>
      <c r="AI2426" s="29" t="s">
        <v>3159</v>
      </c>
      <c r="AJ2426" s="29" t="s">
        <v>3625</v>
      </c>
      <c r="AL2426" s="29" t="s">
        <v>3114</v>
      </c>
    </row>
    <row r="2427" spans="15:38">
      <c r="O2427" t="s">
        <v>24</v>
      </c>
      <c r="P2427" t="s">
        <v>43</v>
      </c>
      <c r="Q2427" t="s">
        <v>19</v>
      </c>
      <c r="R2427" t="s">
        <v>66</v>
      </c>
      <c r="S2427">
        <v>2024.48</v>
      </c>
      <c r="T2427">
        <v>0</v>
      </c>
      <c r="U2427">
        <v>0</v>
      </c>
      <c r="V2427">
        <v>5000</v>
      </c>
      <c r="AA2427" s="29" t="s">
        <v>43</v>
      </c>
      <c r="AB2427">
        <v>31200</v>
      </c>
      <c r="AC2427">
        <v>160</v>
      </c>
      <c r="AD2427">
        <v>4</v>
      </c>
      <c r="AE2427">
        <v>53.5</v>
      </c>
      <c r="AF2427">
        <v>53.5</v>
      </c>
      <c r="AG2427" s="29" t="s">
        <v>3113</v>
      </c>
      <c r="AH2427" s="29" t="s">
        <v>3254</v>
      </c>
      <c r="AI2427" s="29" t="s">
        <v>3159</v>
      </c>
      <c r="AJ2427" s="29" t="s">
        <v>3257</v>
      </c>
      <c r="AL2427" s="29" t="s">
        <v>3114</v>
      </c>
    </row>
    <row r="2428" spans="15:38">
      <c r="O2428" t="s">
        <v>24</v>
      </c>
      <c r="P2428" t="s">
        <v>43</v>
      </c>
      <c r="Q2428" t="s">
        <v>19</v>
      </c>
      <c r="R2428" t="s">
        <v>67</v>
      </c>
      <c r="S2428">
        <v>2023.47</v>
      </c>
      <c r="T2428">
        <v>0</v>
      </c>
      <c r="U2428">
        <v>36485.682099999998</v>
      </c>
      <c r="V2428">
        <v>36485.682099999998</v>
      </c>
      <c r="AA2428" s="29" t="s">
        <v>43</v>
      </c>
      <c r="AB2428">
        <v>31200</v>
      </c>
      <c r="AC2428">
        <v>160</v>
      </c>
      <c r="AD2428">
        <v>4</v>
      </c>
      <c r="AE2428">
        <v>107</v>
      </c>
      <c r="AF2428">
        <v>107</v>
      </c>
      <c r="AG2428" s="29" t="s">
        <v>3113</v>
      </c>
      <c r="AH2428" s="29" t="s">
        <v>3320</v>
      </c>
      <c r="AI2428" s="29" t="s">
        <v>3159</v>
      </c>
      <c r="AJ2428" s="29" t="s">
        <v>3321</v>
      </c>
      <c r="AL2428" s="29" t="s">
        <v>3114</v>
      </c>
    </row>
    <row r="2429" spans="15:38">
      <c r="O2429" t="s">
        <v>24</v>
      </c>
      <c r="P2429" t="s">
        <v>43</v>
      </c>
      <c r="Q2429" t="s">
        <v>19</v>
      </c>
      <c r="R2429" t="s">
        <v>67</v>
      </c>
      <c r="S2429">
        <v>2024.44</v>
      </c>
      <c r="T2429">
        <v>0</v>
      </c>
      <c r="U2429">
        <v>58914.315600000002</v>
      </c>
      <c r="V2429">
        <v>58914.315600000002</v>
      </c>
      <c r="AA2429" s="29" t="s">
        <v>43</v>
      </c>
      <c r="AB2429">
        <v>31200</v>
      </c>
      <c r="AC2429">
        <v>160</v>
      </c>
      <c r="AD2429">
        <v>4</v>
      </c>
      <c r="AE2429">
        <v>107</v>
      </c>
      <c r="AF2429">
        <v>107</v>
      </c>
      <c r="AG2429" s="29" t="s">
        <v>3113</v>
      </c>
      <c r="AH2429" s="29" t="s">
        <v>3320</v>
      </c>
      <c r="AI2429" s="29" t="s">
        <v>3159</v>
      </c>
      <c r="AJ2429" s="29" t="s">
        <v>3534</v>
      </c>
      <c r="AL2429" s="29" t="s">
        <v>3114</v>
      </c>
    </row>
    <row r="2430" spans="15:38">
      <c r="O2430" t="s">
        <v>24</v>
      </c>
      <c r="P2430" t="s">
        <v>43</v>
      </c>
      <c r="Q2430" t="s">
        <v>19</v>
      </c>
      <c r="R2430" t="s">
        <v>67</v>
      </c>
      <c r="S2430">
        <v>2024.48</v>
      </c>
      <c r="T2430">
        <v>0</v>
      </c>
      <c r="U2430">
        <v>58914.315600000002</v>
      </c>
      <c r="V2430">
        <v>38914.315600000002</v>
      </c>
      <c r="AA2430" s="29" t="s">
        <v>43</v>
      </c>
      <c r="AB2430">
        <v>31200</v>
      </c>
      <c r="AC2430">
        <v>160</v>
      </c>
      <c r="AD2430">
        <v>4</v>
      </c>
      <c r="AE2430">
        <v>107</v>
      </c>
      <c r="AF2430">
        <v>107</v>
      </c>
      <c r="AG2430" s="29" t="s">
        <v>3113</v>
      </c>
      <c r="AH2430" s="29" t="s">
        <v>3320</v>
      </c>
      <c r="AI2430" s="29" t="s">
        <v>3159</v>
      </c>
      <c r="AJ2430" s="29" t="s">
        <v>3557</v>
      </c>
      <c r="AL2430" s="29" t="s">
        <v>3114</v>
      </c>
    </row>
    <row r="2431" spans="15:38">
      <c r="O2431" t="s">
        <v>24</v>
      </c>
      <c r="P2431" t="s">
        <v>43</v>
      </c>
      <c r="Q2431" t="s">
        <v>19</v>
      </c>
      <c r="R2431" t="s">
        <v>67</v>
      </c>
      <c r="S2431">
        <v>2025.11</v>
      </c>
      <c r="T2431">
        <v>1544.48</v>
      </c>
      <c r="U2431">
        <v>58914.315600000002</v>
      </c>
      <c r="V2431">
        <v>38914.315600000002</v>
      </c>
      <c r="AA2431" s="29" t="s">
        <v>43</v>
      </c>
      <c r="AB2431">
        <v>31200</v>
      </c>
      <c r="AC2431">
        <v>160</v>
      </c>
      <c r="AD2431">
        <v>4</v>
      </c>
      <c r="AE2431">
        <v>920.2</v>
      </c>
      <c r="AF2431">
        <v>920.2</v>
      </c>
      <c r="AG2431" s="29" t="s">
        <v>3113</v>
      </c>
      <c r="AH2431" s="29" t="s">
        <v>3626</v>
      </c>
      <c r="AI2431" s="29" t="s">
        <v>3159</v>
      </c>
      <c r="AJ2431" s="29" t="s">
        <v>3627</v>
      </c>
      <c r="AL2431" s="29" t="s">
        <v>3114</v>
      </c>
    </row>
    <row r="2432" spans="15:38">
      <c r="O2432" t="s">
        <v>24</v>
      </c>
      <c r="P2432" t="s">
        <v>43</v>
      </c>
      <c r="Q2432" t="s">
        <v>19</v>
      </c>
      <c r="R2432" t="s">
        <v>67</v>
      </c>
      <c r="S2432">
        <v>2025.12</v>
      </c>
      <c r="T2432">
        <v>2868.32</v>
      </c>
      <c r="U2432">
        <v>58914.315600000002</v>
      </c>
      <c r="V2432">
        <v>38914.315600000002</v>
      </c>
      <c r="AA2432" s="29" t="s">
        <v>43</v>
      </c>
      <c r="AB2432">
        <v>31200</v>
      </c>
      <c r="AC2432">
        <v>160</v>
      </c>
      <c r="AD2432">
        <v>4</v>
      </c>
      <c r="AE2432">
        <v>877.4</v>
      </c>
      <c r="AF2432">
        <v>877.4</v>
      </c>
      <c r="AG2432" s="29" t="s">
        <v>3113</v>
      </c>
      <c r="AH2432" s="29" t="s">
        <v>3598</v>
      </c>
      <c r="AI2432" s="29" t="s">
        <v>3159</v>
      </c>
      <c r="AJ2432" s="29" t="s">
        <v>3599</v>
      </c>
      <c r="AL2432" s="29" t="s">
        <v>3114</v>
      </c>
    </row>
    <row r="2433" spans="15:38">
      <c r="O2433" t="s">
        <v>24</v>
      </c>
      <c r="P2433" t="s">
        <v>43</v>
      </c>
      <c r="Q2433" t="s">
        <v>19</v>
      </c>
      <c r="R2433" t="s">
        <v>55</v>
      </c>
      <c r="S2433">
        <v>2023.47</v>
      </c>
      <c r="T2433">
        <v>0</v>
      </c>
      <c r="U2433">
        <v>11015.4653</v>
      </c>
      <c r="V2433">
        <v>11015.4653</v>
      </c>
      <c r="AA2433" s="29" t="s">
        <v>43</v>
      </c>
      <c r="AB2433">
        <v>31200</v>
      </c>
      <c r="AC2433">
        <v>160</v>
      </c>
      <c r="AD2433">
        <v>4</v>
      </c>
      <c r="AE2433">
        <v>2234.16</v>
      </c>
      <c r="AF2433">
        <v>2234.16</v>
      </c>
      <c r="AG2433" s="29" t="s">
        <v>3113</v>
      </c>
      <c r="AH2433" s="29" t="s">
        <v>3450</v>
      </c>
      <c r="AI2433" s="29" t="s">
        <v>3159</v>
      </c>
      <c r="AJ2433" s="29" t="s">
        <v>3451</v>
      </c>
      <c r="AL2433" s="29" t="s">
        <v>3114</v>
      </c>
    </row>
    <row r="2434" spans="15:38">
      <c r="O2434" t="s">
        <v>24</v>
      </c>
      <c r="P2434" t="s">
        <v>43</v>
      </c>
      <c r="Q2434" t="s">
        <v>19</v>
      </c>
      <c r="R2434" t="s">
        <v>56</v>
      </c>
      <c r="S2434">
        <v>2023.47</v>
      </c>
      <c r="T2434">
        <v>0</v>
      </c>
      <c r="U2434">
        <v>32008.087800000001</v>
      </c>
      <c r="V2434">
        <v>32008.087800000001</v>
      </c>
      <c r="AA2434" s="29" t="s">
        <v>43</v>
      </c>
      <c r="AB2434">
        <v>31200</v>
      </c>
      <c r="AC2434">
        <v>160</v>
      </c>
      <c r="AD2434">
        <v>4</v>
      </c>
      <c r="AE2434">
        <v>1219.8</v>
      </c>
      <c r="AF2434">
        <v>1219.8</v>
      </c>
      <c r="AG2434" s="29" t="s">
        <v>3113</v>
      </c>
      <c r="AH2434" s="29" t="s">
        <v>3515</v>
      </c>
      <c r="AI2434" s="29" t="s">
        <v>3159</v>
      </c>
      <c r="AJ2434" s="29" t="s">
        <v>3516</v>
      </c>
      <c r="AL2434" s="29" t="s">
        <v>3114</v>
      </c>
    </row>
    <row r="2435" spans="15:38">
      <c r="O2435" t="s">
        <v>24</v>
      </c>
      <c r="P2435" t="s">
        <v>43</v>
      </c>
      <c r="Q2435" t="s">
        <v>19</v>
      </c>
      <c r="R2435" t="s">
        <v>56</v>
      </c>
      <c r="S2435">
        <v>2024.18</v>
      </c>
      <c r="T2435">
        <v>548.79999999999995</v>
      </c>
      <c r="U2435">
        <v>32008.087800000001</v>
      </c>
      <c r="V2435">
        <v>32008.087800000001</v>
      </c>
      <c r="AA2435" s="29" t="s">
        <v>43</v>
      </c>
      <c r="AB2435">
        <v>31200</v>
      </c>
      <c r="AC2435">
        <v>160</v>
      </c>
      <c r="AD2435">
        <v>4</v>
      </c>
      <c r="AE2435">
        <v>406.6</v>
      </c>
      <c r="AF2435">
        <v>406.6</v>
      </c>
      <c r="AG2435" s="29" t="s">
        <v>3113</v>
      </c>
      <c r="AH2435" s="29" t="s">
        <v>3517</v>
      </c>
      <c r="AI2435" s="29" t="s">
        <v>3159</v>
      </c>
      <c r="AJ2435" s="29" t="s">
        <v>611</v>
      </c>
      <c r="AL2435" s="29" t="s">
        <v>3114</v>
      </c>
    </row>
    <row r="2436" spans="15:38">
      <c r="O2436" t="s">
        <v>24</v>
      </c>
      <c r="P2436" t="s">
        <v>43</v>
      </c>
      <c r="Q2436" t="s">
        <v>19</v>
      </c>
      <c r="R2436" t="s">
        <v>56</v>
      </c>
      <c r="S2436">
        <v>2024.19</v>
      </c>
      <c r="T2436">
        <v>1097.5999999999999</v>
      </c>
      <c r="U2436">
        <v>32008.087800000001</v>
      </c>
      <c r="V2436">
        <v>32008.087800000001</v>
      </c>
      <c r="AA2436" s="29" t="s">
        <v>43</v>
      </c>
      <c r="AB2436">
        <v>31200</v>
      </c>
      <c r="AC2436">
        <v>160</v>
      </c>
      <c r="AD2436">
        <v>4</v>
      </c>
      <c r="AE2436">
        <v>6.4</v>
      </c>
      <c r="AF2436">
        <v>6.4</v>
      </c>
      <c r="AG2436" s="29" t="s">
        <v>3113</v>
      </c>
      <c r="AH2436" s="29" t="s">
        <v>3628</v>
      </c>
      <c r="AI2436" s="29" t="s">
        <v>3159</v>
      </c>
      <c r="AJ2436" s="29" t="s">
        <v>328</v>
      </c>
      <c r="AL2436" s="29" t="s">
        <v>3114</v>
      </c>
    </row>
    <row r="2437" spans="15:38">
      <c r="O2437" t="s">
        <v>24</v>
      </c>
      <c r="P2437" t="s">
        <v>43</v>
      </c>
      <c r="Q2437" t="s">
        <v>19</v>
      </c>
      <c r="R2437" t="s">
        <v>56</v>
      </c>
      <c r="S2437">
        <v>2024.2</v>
      </c>
      <c r="T2437">
        <v>2469.6</v>
      </c>
      <c r="U2437">
        <v>32008.087800000001</v>
      </c>
      <c r="V2437">
        <v>32008.087800000001</v>
      </c>
      <c r="AA2437" s="29" t="s">
        <v>43</v>
      </c>
      <c r="AB2437">
        <v>31200</v>
      </c>
      <c r="AC2437">
        <v>160</v>
      </c>
      <c r="AD2437">
        <v>4</v>
      </c>
      <c r="AE2437">
        <v>637.72</v>
      </c>
      <c r="AF2437">
        <v>637.72</v>
      </c>
      <c r="AG2437" s="29" t="s">
        <v>3113</v>
      </c>
      <c r="AH2437" s="29" t="s">
        <v>3288</v>
      </c>
      <c r="AI2437" s="29" t="s">
        <v>3159</v>
      </c>
      <c r="AJ2437" s="29" t="s">
        <v>584</v>
      </c>
      <c r="AL2437" s="29" t="s">
        <v>3114</v>
      </c>
    </row>
    <row r="2438" spans="15:38">
      <c r="O2438" t="s">
        <v>24</v>
      </c>
      <c r="P2438" t="s">
        <v>43</v>
      </c>
      <c r="Q2438" t="s">
        <v>19</v>
      </c>
      <c r="R2438" t="s">
        <v>56</v>
      </c>
      <c r="S2438">
        <v>2024.21</v>
      </c>
      <c r="T2438">
        <v>3841.6</v>
      </c>
      <c r="U2438">
        <v>32008.087800000001</v>
      </c>
      <c r="V2438">
        <v>32008.087800000001</v>
      </c>
      <c r="AA2438" s="29" t="s">
        <v>43</v>
      </c>
      <c r="AB2438">
        <v>31200</v>
      </c>
      <c r="AC2438">
        <v>160</v>
      </c>
      <c r="AD2438">
        <v>4</v>
      </c>
      <c r="AE2438">
        <v>297.45999999999998</v>
      </c>
      <c r="AF2438">
        <v>297.45999999999998</v>
      </c>
      <c r="AG2438" s="29" t="s">
        <v>3113</v>
      </c>
      <c r="AH2438" s="29" t="s">
        <v>3568</v>
      </c>
      <c r="AI2438" s="29" t="s">
        <v>3159</v>
      </c>
      <c r="AJ2438" s="29" t="s">
        <v>352</v>
      </c>
      <c r="AL2438" s="29" t="s">
        <v>3114</v>
      </c>
    </row>
    <row r="2439" spans="15:38">
      <c r="O2439" t="s">
        <v>24</v>
      </c>
      <c r="P2439" t="s">
        <v>43</v>
      </c>
      <c r="Q2439" t="s">
        <v>19</v>
      </c>
      <c r="R2439" t="s">
        <v>56</v>
      </c>
      <c r="S2439">
        <v>2024.28</v>
      </c>
      <c r="T2439">
        <v>10873.1</v>
      </c>
      <c r="U2439">
        <v>32008.087800000001</v>
      </c>
      <c r="V2439">
        <v>32008.087800000001</v>
      </c>
      <c r="AA2439" s="29" t="s">
        <v>43</v>
      </c>
      <c r="AB2439">
        <v>31200</v>
      </c>
      <c r="AC2439">
        <v>160</v>
      </c>
      <c r="AD2439">
        <v>4</v>
      </c>
      <c r="AE2439">
        <v>116.44</v>
      </c>
      <c r="AF2439">
        <v>116.44</v>
      </c>
      <c r="AG2439" s="29" t="s">
        <v>3113</v>
      </c>
      <c r="AH2439" s="29" t="s">
        <v>3307</v>
      </c>
      <c r="AI2439" s="29" t="s">
        <v>3159</v>
      </c>
      <c r="AJ2439" s="29" t="s">
        <v>2070</v>
      </c>
      <c r="AL2439" s="29" t="s">
        <v>3114</v>
      </c>
    </row>
    <row r="2440" spans="15:38">
      <c r="O2440" t="s">
        <v>24</v>
      </c>
      <c r="P2440" t="s">
        <v>43</v>
      </c>
      <c r="Q2440" t="s">
        <v>19</v>
      </c>
      <c r="R2440" t="s">
        <v>56</v>
      </c>
      <c r="S2440">
        <v>2024.38</v>
      </c>
      <c r="T2440">
        <v>10461.5</v>
      </c>
      <c r="U2440">
        <v>32008.087800000001</v>
      </c>
      <c r="V2440">
        <v>32008.087800000001</v>
      </c>
      <c r="AA2440" s="29" t="s">
        <v>43</v>
      </c>
      <c r="AB2440">
        <v>31200</v>
      </c>
      <c r="AC2440">
        <v>160</v>
      </c>
      <c r="AD2440">
        <v>4</v>
      </c>
      <c r="AE2440">
        <v>53.5</v>
      </c>
      <c r="AF2440">
        <v>53.5</v>
      </c>
      <c r="AG2440" s="29" t="s">
        <v>3113</v>
      </c>
      <c r="AH2440" s="29" t="s">
        <v>3254</v>
      </c>
      <c r="AI2440" s="29" t="s">
        <v>3159</v>
      </c>
      <c r="AJ2440" s="29" t="s">
        <v>3629</v>
      </c>
      <c r="AL2440" s="29" t="s">
        <v>3114</v>
      </c>
    </row>
    <row r="2441" spans="15:38">
      <c r="O2441" t="s">
        <v>24</v>
      </c>
      <c r="P2441" t="s">
        <v>43</v>
      </c>
      <c r="Q2441" t="s">
        <v>19</v>
      </c>
      <c r="R2441" t="s">
        <v>56</v>
      </c>
      <c r="S2441">
        <v>2024.39</v>
      </c>
      <c r="T2441">
        <v>10461.5</v>
      </c>
      <c r="U2441">
        <v>32008.087800000001</v>
      </c>
      <c r="V2441">
        <v>32008.087800000001</v>
      </c>
      <c r="AA2441" s="29" t="s">
        <v>43</v>
      </c>
      <c r="AB2441">
        <v>31200</v>
      </c>
      <c r="AC2441">
        <v>160</v>
      </c>
      <c r="AD2441">
        <v>4</v>
      </c>
      <c r="AE2441">
        <v>308.16000000000003</v>
      </c>
      <c r="AF2441">
        <v>308.16000000000003</v>
      </c>
      <c r="AG2441" s="29" t="s">
        <v>3113</v>
      </c>
      <c r="AH2441" s="29" t="s">
        <v>3630</v>
      </c>
      <c r="AI2441" s="29" t="s">
        <v>3159</v>
      </c>
      <c r="AJ2441" s="29" t="s">
        <v>3631</v>
      </c>
      <c r="AL2441" s="29" t="s">
        <v>3114</v>
      </c>
    </row>
    <row r="2442" spans="15:38">
      <c r="O2442" t="s">
        <v>24</v>
      </c>
      <c r="P2442" t="s">
        <v>43</v>
      </c>
      <c r="Q2442" t="s">
        <v>19</v>
      </c>
      <c r="R2442" t="s">
        <v>56</v>
      </c>
      <c r="S2442">
        <v>2024.41</v>
      </c>
      <c r="T2442">
        <v>10461.5</v>
      </c>
      <c r="U2442">
        <v>32008.087800000001</v>
      </c>
      <c r="V2442">
        <v>32008.087800000001</v>
      </c>
      <c r="AA2442" s="29" t="s">
        <v>43</v>
      </c>
      <c r="AB2442">
        <v>31200</v>
      </c>
      <c r="AC2442">
        <v>160</v>
      </c>
      <c r="AD2442">
        <v>4</v>
      </c>
      <c r="AE2442">
        <v>921</v>
      </c>
      <c r="AF2442">
        <v>921</v>
      </c>
      <c r="AG2442" s="29" t="s">
        <v>3113</v>
      </c>
      <c r="AH2442" s="29" t="s">
        <v>3632</v>
      </c>
      <c r="AI2442" s="29" t="s">
        <v>3159</v>
      </c>
      <c r="AJ2442" s="29" t="s">
        <v>3633</v>
      </c>
      <c r="AL2442" s="29" t="s">
        <v>3114</v>
      </c>
    </row>
    <row r="2443" spans="15:38">
      <c r="O2443" t="s">
        <v>24</v>
      </c>
      <c r="P2443" t="s">
        <v>43</v>
      </c>
      <c r="Q2443" t="s">
        <v>19</v>
      </c>
      <c r="R2443" t="s">
        <v>56</v>
      </c>
      <c r="S2443">
        <v>2024.43</v>
      </c>
      <c r="T2443">
        <v>10461.5</v>
      </c>
      <c r="U2443">
        <v>32008.087800000001</v>
      </c>
      <c r="V2443">
        <v>32008.087800000001</v>
      </c>
      <c r="AA2443" s="29" t="s">
        <v>43</v>
      </c>
      <c r="AB2443">
        <v>31200</v>
      </c>
      <c r="AC2443">
        <v>160</v>
      </c>
      <c r="AD2443">
        <v>4</v>
      </c>
      <c r="AE2443">
        <v>0.7</v>
      </c>
      <c r="AF2443">
        <v>0.7</v>
      </c>
      <c r="AG2443" s="29" t="s">
        <v>3113</v>
      </c>
      <c r="AH2443" s="29" t="s">
        <v>3634</v>
      </c>
      <c r="AI2443" s="29" t="s">
        <v>3159</v>
      </c>
      <c r="AJ2443" s="29" t="s">
        <v>3635</v>
      </c>
      <c r="AL2443" s="29" t="s">
        <v>3114</v>
      </c>
    </row>
    <row r="2444" spans="15:38">
      <c r="O2444" t="s">
        <v>24</v>
      </c>
      <c r="P2444" t="s">
        <v>43</v>
      </c>
      <c r="Q2444" t="s">
        <v>19</v>
      </c>
      <c r="R2444" t="s">
        <v>56</v>
      </c>
      <c r="S2444">
        <v>2024.44</v>
      </c>
      <c r="T2444">
        <v>10461.5</v>
      </c>
      <c r="U2444">
        <v>138289.48439999999</v>
      </c>
      <c r="V2444">
        <v>138289.48439999999</v>
      </c>
      <c r="AA2444" s="29" t="s">
        <v>43</v>
      </c>
      <c r="AB2444">
        <v>31200</v>
      </c>
      <c r="AC2444">
        <v>160</v>
      </c>
      <c r="AD2444">
        <v>4</v>
      </c>
      <c r="AE2444">
        <v>13.31</v>
      </c>
      <c r="AF2444">
        <v>13.31</v>
      </c>
      <c r="AG2444" s="29" t="s">
        <v>3113</v>
      </c>
      <c r="AH2444" s="29" t="s">
        <v>3522</v>
      </c>
      <c r="AI2444" s="29" t="s">
        <v>3159</v>
      </c>
      <c r="AJ2444" s="29" t="s">
        <v>3523</v>
      </c>
      <c r="AL2444" s="29" t="s">
        <v>3114</v>
      </c>
    </row>
    <row r="2445" spans="15:38">
      <c r="O2445" t="s">
        <v>24</v>
      </c>
      <c r="P2445" t="s">
        <v>43</v>
      </c>
      <c r="Q2445" t="s">
        <v>19</v>
      </c>
      <c r="R2445" t="s">
        <v>56</v>
      </c>
      <c r="S2445">
        <v>2024.45</v>
      </c>
      <c r="T2445">
        <v>10461.5</v>
      </c>
      <c r="U2445">
        <v>138289.48439999999</v>
      </c>
      <c r="V2445">
        <v>138289.48439999999</v>
      </c>
      <c r="AA2445" s="29" t="s">
        <v>43</v>
      </c>
      <c r="AB2445">
        <v>31200</v>
      </c>
      <c r="AC2445">
        <v>160</v>
      </c>
      <c r="AD2445">
        <v>4</v>
      </c>
      <c r="AE2445">
        <v>13.31</v>
      </c>
      <c r="AF2445">
        <v>13.31</v>
      </c>
      <c r="AG2445" s="29" t="s">
        <v>3113</v>
      </c>
      <c r="AH2445" s="29" t="s">
        <v>3522</v>
      </c>
      <c r="AI2445" s="29" t="s">
        <v>3159</v>
      </c>
      <c r="AJ2445" s="29" t="s">
        <v>3523</v>
      </c>
      <c r="AL2445" s="29" t="s">
        <v>3114</v>
      </c>
    </row>
    <row r="2446" spans="15:38">
      <c r="O2446" t="s">
        <v>24</v>
      </c>
      <c r="P2446" t="s">
        <v>43</v>
      </c>
      <c r="Q2446" t="s">
        <v>19</v>
      </c>
      <c r="R2446" t="s">
        <v>56</v>
      </c>
      <c r="S2446">
        <v>2024.47</v>
      </c>
      <c r="T2446">
        <v>10461.5</v>
      </c>
      <c r="U2446">
        <v>138289.48439999999</v>
      </c>
      <c r="V2446">
        <v>138289.48439999999</v>
      </c>
      <c r="AA2446" s="29" t="s">
        <v>43</v>
      </c>
      <c r="AB2446">
        <v>31200</v>
      </c>
      <c r="AC2446">
        <v>160</v>
      </c>
      <c r="AD2446">
        <v>4</v>
      </c>
      <c r="AE2446">
        <v>30.08</v>
      </c>
      <c r="AF2446">
        <v>30.08</v>
      </c>
      <c r="AG2446" s="29" t="s">
        <v>3113</v>
      </c>
      <c r="AH2446" s="29" t="s">
        <v>3491</v>
      </c>
      <c r="AI2446" s="29" t="s">
        <v>3159</v>
      </c>
      <c r="AJ2446" s="29" t="s">
        <v>3492</v>
      </c>
      <c r="AL2446" s="29" t="s">
        <v>3114</v>
      </c>
    </row>
    <row r="2447" spans="15:38">
      <c r="O2447" t="s">
        <v>24</v>
      </c>
      <c r="P2447" t="s">
        <v>43</v>
      </c>
      <c r="Q2447" t="s">
        <v>19</v>
      </c>
      <c r="R2447" t="s">
        <v>56</v>
      </c>
      <c r="S2447">
        <v>2024.48</v>
      </c>
      <c r="T2447">
        <v>10461.5</v>
      </c>
      <c r="U2447">
        <v>138289.48439999999</v>
      </c>
      <c r="V2447">
        <v>108289.4844</v>
      </c>
      <c r="AA2447" s="29" t="s">
        <v>43</v>
      </c>
      <c r="AB2447">
        <v>31200</v>
      </c>
      <c r="AC2447">
        <v>160</v>
      </c>
      <c r="AD2447">
        <v>4</v>
      </c>
      <c r="AE2447">
        <v>633.84</v>
      </c>
      <c r="AF2447">
        <v>633.84</v>
      </c>
      <c r="AG2447" s="29" t="s">
        <v>3113</v>
      </c>
      <c r="AH2447" s="29" t="s">
        <v>3636</v>
      </c>
      <c r="AI2447" s="29" t="s">
        <v>3159</v>
      </c>
      <c r="AJ2447" s="29" t="s">
        <v>3637</v>
      </c>
      <c r="AL2447" s="29" t="s">
        <v>3114</v>
      </c>
    </row>
    <row r="2448" spans="15:38">
      <c r="O2448" t="s">
        <v>24</v>
      </c>
      <c r="P2448" t="s">
        <v>43</v>
      </c>
      <c r="Q2448" t="s">
        <v>19</v>
      </c>
      <c r="R2448" t="s">
        <v>56</v>
      </c>
      <c r="S2448">
        <v>2024.49</v>
      </c>
      <c r="T2448">
        <v>10461.5</v>
      </c>
      <c r="U2448">
        <v>138289.48439999999</v>
      </c>
      <c r="V2448">
        <v>108289.4844</v>
      </c>
      <c r="AA2448" s="29" t="s">
        <v>43</v>
      </c>
      <c r="AB2448">
        <v>31200</v>
      </c>
      <c r="AC2448">
        <v>160</v>
      </c>
      <c r="AD2448">
        <v>4</v>
      </c>
      <c r="AE2448">
        <v>166.2</v>
      </c>
      <c r="AF2448">
        <v>166.2</v>
      </c>
      <c r="AG2448" s="29" t="s">
        <v>3113</v>
      </c>
      <c r="AH2448" s="29" t="s">
        <v>3410</v>
      </c>
      <c r="AI2448" s="29" t="s">
        <v>3159</v>
      </c>
      <c r="AJ2448" s="29" t="s">
        <v>3411</v>
      </c>
      <c r="AL2448" s="29" t="s">
        <v>3114</v>
      </c>
    </row>
    <row r="2449" spans="15:38">
      <c r="O2449" t="s">
        <v>24</v>
      </c>
      <c r="P2449" t="s">
        <v>43</v>
      </c>
      <c r="Q2449" t="s">
        <v>19</v>
      </c>
      <c r="R2449" t="s">
        <v>56</v>
      </c>
      <c r="S2449">
        <v>2025.03</v>
      </c>
      <c r="T2449">
        <v>10461.5</v>
      </c>
      <c r="U2449">
        <v>138289.48439999999</v>
      </c>
      <c r="V2449">
        <v>108289.4844</v>
      </c>
      <c r="AA2449" s="29" t="s">
        <v>43</v>
      </c>
      <c r="AB2449">
        <v>31200</v>
      </c>
      <c r="AC2449">
        <v>160</v>
      </c>
      <c r="AD2449">
        <v>4</v>
      </c>
      <c r="AE2449">
        <v>-166.2</v>
      </c>
      <c r="AF2449">
        <v>-166.2</v>
      </c>
      <c r="AG2449" s="29" t="s">
        <v>3113</v>
      </c>
      <c r="AH2449" s="29" t="s">
        <v>3414</v>
      </c>
      <c r="AI2449" s="29" t="s">
        <v>3159</v>
      </c>
      <c r="AJ2449" s="29" t="s">
        <v>3415</v>
      </c>
      <c r="AL2449" s="29" t="s">
        <v>3114</v>
      </c>
    </row>
    <row r="2450" spans="15:38">
      <c r="O2450" t="s">
        <v>24</v>
      </c>
      <c r="P2450" t="s">
        <v>43</v>
      </c>
      <c r="Q2450" t="s">
        <v>19</v>
      </c>
      <c r="R2450" t="s">
        <v>56</v>
      </c>
      <c r="S2450">
        <v>2025.08</v>
      </c>
      <c r="T2450">
        <v>17184.3</v>
      </c>
      <c r="U2450">
        <v>138289.48439999999</v>
      </c>
      <c r="V2450">
        <v>108289.4844</v>
      </c>
      <c r="AA2450" s="29" t="s">
        <v>43</v>
      </c>
      <c r="AB2450">
        <v>31200</v>
      </c>
      <c r="AC2450">
        <v>160</v>
      </c>
      <c r="AD2450">
        <v>4</v>
      </c>
      <c r="AE2450">
        <v>166.2</v>
      </c>
      <c r="AF2450">
        <v>166.2</v>
      </c>
      <c r="AG2450" s="29" t="s">
        <v>3113</v>
      </c>
      <c r="AH2450" s="29" t="s">
        <v>3410</v>
      </c>
      <c r="AI2450" s="29" t="s">
        <v>3159</v>
      </c>
      <c r="AJ2450" s="29" t="s">
        <v>3411</v>
      </c>
      <c r="AL2450" s="29" t="s">
        <v>3114</v>
      </c>
    </row>
    <row r="2451" spans="15:38">
      <c r="O2451" t="s">
        <v>24</v>
      </c>
      <c r="P2451" t="s">
        <v>43</v>
      </c>
      <c r="Q2451" t="s">
        <v>19</v>
      </c>
      <c r="R2451" t="s">
        <v>56</v>
      </c>
      <c r="S2451">
        <v>2025.1</v>
      </c>
      <c r="T2451">
        <v>19352.3</v>
      </c>
      <c r="U2451">
        <v>138289.48439999999</v>
      </c>
      <c r="V2451">
        <v>108289.4844</v>
      </c>
      <c r="AA2451" s="29" t="s">
        <v>43</v>
      </c>
      <c r="AB2451">
        <v>31200</v>
      </c>
      <c r="AC2451">
        <v>160</v>
      </c>
      <c r="AD2451">
        <v>4</v>
      </c>
      <c r="AE2451">
        <v>166.2</v>
      </c>
      <c r="AF2451">
        <v>166.2</v>
      </c>
      <c r="AG2451" s="29" t="s">
        <v>3113</v>
      </c>
      <c r="AH2451" s="29" t="s">
        <v>3410</v>
      </c>
      <c r="AI2451" s="29" t="s">
        <v>3159</v>
      </c>
      <c r="AJ2451" s="29" t="s">
        <v>3411</v>
      </c>
      <c r="AL2451" s="29" t="s">
        <v>3114</v>
      </c>
    </row>
    <row r="2452" spans="15:38">
      <c r="O2452" t="s">
        <v>24</v>
      </c>
      <c r="P2452" t="s">
        <v>43</v>
      </c>
      <c r="Q2452" t="s">
        <v>19</v>
      </c>
      <c r="R2452" t="s">
        <v>56</v>
      </c>
      <c r="S2452">
        <v>2025.11</v>
      </c>
      <c r="T2452">
        <v>20614.7</v>
      </c>
      <c r="U2452">
        <v>138289.48439999999</v>
      </c>
      <c r="V2452">
        <v>108289.4844</v>
      </c>
      <c r="AA2452" s="29" t="s">
        <v>43</v>
      </c>
      <c r="AB2452">
        <v>31200</v>
      </c>
      <c r="AC2452">
        <v>160</v>
      </c>
      <c r="AD2452">
        <v>4</v>
      </c>
      <c r="AE2452">
        <v>23.48</v>
      </c>
      <c r="AF2452">
        <v>23.48</v>
      </c>
      <c r="AG2452" s="29" t="s">
        <v>3113</v>
      </c>
      <c r="AH2452" s="29" t="s">
        <v>3638</v>
      </c>
      <c r="AI2452" s="29" t="s">
        <v>3159</v>
      </c>
      <c r="AJ2452" s="29" t="s">
        <v>3639</v>
      </c>
      <c r="AL2452" s="29" t="s">
        <v>3114</v>
      </c>
    </row>
    <row r="2453" spans="15:38">
      <c r="O2453" t="s">
        <v>24</v>
      </c>
      <c r="P2453" t="s">
        <v>43</v>
      </c>
      <c r="Q2453" t="s">
        <v>19</v>
      </c>
      <c r="R2453" t="s">
        <v>56</v>
      </c>
      <c r="S2453">
        <v>2025.12</v>
      </c>
      <c r="T2453">
        <v>21679.85</v>
      </c>
      <c r="U2453">
        <v>138289.48439999999</v>
      </c>
      <c r="V2453">
        <v>108289.4844</v>
      </c>
      <c r="AA2453" s="29" t="s">
        <v>43</v>
      </c>
      <c r="AB2453">
        <v>31200</v>
      </c>
      <c r="AC2453">
        <v>160</v>
      </c>
      <c r="AD2453">
        <v>4</v>
      </c>
      <c r="AE2453">
        <v>107</v>
      </c>
      <c r="AF2453">
        <v>107</v>
      </c>
      <c r="AG2453" s="29" t="s">
        <v>3113</v>
      </c>
      <c r="AH2453" s="29" t="s">
        <v>3320</v>
      </c>
      <c r="AI2453" s="29" t="s">
        <v>3159</v>
      </c>
      <c r="AJ2453" s="29" t="s">
        <v>3605</v>
      </c>
      <c r="AL2453" s="29" t="s">
        <v>3114</v>
      </c>
    </row>
    <row r="2454" spans="15:38">
      <c r="O2454" t="s">
        <v>24</v>
      </c>
      <c r="P2454" t="s">
        <v>43</v>
      </c>
      <c r="Q2454" t="s">
        <v>19</v>
      </c>
      <c r="R2454" t="s">
        <v>62</v>
      </c>
      <c r="S2454">
        <v>2023.47</v>
      </c>
      <c r="T2454">
        <v>0</v>
      </c>
      <c r="U2454">
        <v>102861.43339999999</v>
      </c>
      <c r="V2454">
        <v>102861.43339999999</v>
      </c>
      <c r="AA2454" s="29" t="s">
        <v>43</v>
      </c>
      <c r="AB2454">
        <v>31200</v>
      </c>
      <c r="AC2454">
        <v>160</v>
      </c>
      <c r="AD2454">
        <v>4</v>
      </c>
      <c r="AE2454">
        <v>372.36</v>
      </c>
      <c r="AF2454">
        <v>372.36</v>
      </c>
      <c r="AG2454" s="29" t="s">
        <v>3113</v>
      </c>
      <c r="AH2454" s="29" t="s">
        <v>3640</v>
      </c>
      <c r="AI2454" s="29" t="s">
        <v>3159</v>
      </c>
      <c r="AJ2454" s="29" t="s">
        <v>625</v>
      </c>
      <c r="AL2454" s="29" t="s">
        <v>3114</v>
      </c>
    </row>
    <row r="2455" spans="15:38">
      <c r="O2455" t="s">
        <v>24</v>
      </c>
      <c r="P2455" t="s">
        <v>43</v>
      </c>
      <c r="Q2455" t="s">
        <v>19</v>
      </c>
      <c r="R2455" t="s">
        <v>62</v>
      </c>
      <c r="S2455">
        <v>2023.51</v>
      </c>
      <c r="T2455">
        <v>115850</v>
      </c>
      <c r="U2455">
        <v>102861.43339999999</v>
      </c>
      <c r="V2455">
        <v>102861.43339999999</v>
      </c>
      <c r="AA2455" s="29" t="s">
        <v>43</v>
      </c>
      <c r="AB2455">
        <v>31200</v>
      </c>
      <c r="AC2455">
        <v>160</v>
      </c>
      <c r="AD2455">
        <v>4</v>
      </c>
      <c r="AE2455">
        <v>372.36</v>
      </c>
      <c r="AF2455">
        <v>372.36</v>
      </c>
      <c r="AG2455" s="29" t="s">
        <v>3113</v>
      </c>
      <c r="AH2455" s="29" t="s">
        <v>3640</v>
      </c>
      <c r="AI2455" s="29" t="s">
        <v>3159</v>
      </c>
      <c r="AJ2455" s="29" t="s">
        <v>625</v>
      </c>
      <c r="AL2455" s="29" t="s">
        <v>3114</v>
      </c>
    </row>
    <row r="2456" spans="15:38">
      <c r="O2456" t="s">
        <v>24</v>
      </c>
      <c r="P2456" t="s">
        <v>43</v>
      </c>
      <c r="Q2456" t="s">
        <v>19</v>
      </c>
      <c r="R2456" t="s">
        <v>62</v>
      </c>
      <c r="S2456">
        <v>2024.05</v>
      </c>
      <c r="T2456">
        <v>115850</v>
      </c>
      <c r="U2456">
        <v>102861.43339999999</v>
      </c>
      <c r="V2456">
        <v>102861.43339999999</v>
      </c>
      <c r="AA2456" s="29" t="s">
        <v>43</v>
      </c>
      <c r="AB2456">
        <v>31200</v>
      </c>
      <c r="AC2456">
        <v>160</v>
      </c>
      <c r="AD2456">
        <v>4</v>
      </c>
      <c r="AE2456">
        <v>1.92</v>
      </c>
      <c r="AF2456">
        <v>1.92</v>
      </c>
      <c r="AG2456" s="29" t="s">
        <v>3113</v>
      </c>
      <c r="AH2456" s="29" t="s">
        <v>3616</v>
      </c>
      <c r="AI2456" s="29" t="s">
        <v>3159</v>
      </c>
      <c r="AJ2456" s="29" t="s">
        <v>3617</v>
      </c>
      <c r="AL2456" s="29" t="s">
        <v>3114</v>
      </c>
    </row>
    <row r="2457" spans="15:38">
      <c r="O2457" t="s">
        <v>24</v>
      </c>
      <c r="P2457" t="s">
        <v>43</v>
      </c>
      <c r="Q2457" t="s">
        <v>19</v>
      </c>
      <c r="R2457" t="s">
        <v>62</v>
      </c>
      <c r="S2457">
        <v>2024.06</v>
      </c>
      <c r="T2457">
        <v>115850</v>
      </c>
      <c r="U2457">
        <v>102861.43339999999</v>
      </c>
      <c r="V2457">
        <v>102861.43339999999</v>
      </c>
      <c r="AA2457" s="29" t="s">
        <v>43</v>
      </c>
      <c r="AB2457">
        <v>31200</v>
      </c>
      <c r="AC2457">
        <v>160</v>
      </c>
      <c r="AD2457">
        <v>4</v>
      </c>
      <c r="AE2457">
        <v>252.84</v>
      </c>
      <c r="AF2457">
        <v>252.84</v>
      </c>
      <c r="AG2457" s="29" t="s">
        <v>3113</v>
      </c>
      <c r="AH2457" s="29" t="s">
        <v>3641</v>
      </c>
      <c r="AI2457" s="29" t="s">
        <v>3159</v>
      </c>
      <c r="AJ2457" s="29" t="s">
        <v>3642</v>
      </c>
      <c r="AL2457" s="29" t="s">
        <v>3114</v>
      </c>
    </row>
    <row r="2458" spans="15:38">
      <c r="O2458" t="s">
        <v>24</v>
      </c>
      <c r="P2458" t="s">
        <v>43</v>
      </c>
      <c r="Q2458" t="s">
        <v>19</v>
      </c>
      <c r="R2458" t="s">
        <v>62</v>
      </c>
      <c r="S2458">
        <v>2024.07</v>
      </c>
      <c r="T2458">
        <v>115850</v>
      </c>
      <c r="U2458">
        <v>102861.43339999999</v>
      </c>
      <c r="V2458">
        <v>102861.43339999999</v>
      </c>
      <c r="AA2458" s="29" t="s">
        <v>43</v>
      </c>
      <c r="AB2458">
        <v>31200</v>
      </c>
      <c r="AC2458">
        <v>160</v>
      </c>
      <c r="AD2458">
        <v>4</v>
      </c>
      <c r="AE2458">
        <v>317.36</v>
      </c>
      <c r="AF2458">
        <v>317.36</v>
      </c>
      <c r="AG2458" s="29" t="s">
        <v>3113</v>
      </c>
      <c r="AH2458" s="29" t="s">
        <v>3545</v>
      </c>
      <c r="AI2458" s="29" t="s">
        <v>3159</v>
      </c>
      <c r="AJ2458" s="29" t="s">
        <v>3643</v>
      </c>
      <c r="AL2458" s="29" t="s">
        <v>3114</v>
      </c>
    </row>
    <row r="2459" spans="15:38">
      <c r="O2459" t="s">
        <v>24</v>
      </c>
      <c r="P2459" t="s">
        <v>43</v>
      </c>
      <c r="Q2459" t="s">
        <v>19</v>
      </c>
      <c r="R2459" t="s">
        <v>62</v>
      </c>
      <c r="S2459">
        <v>2024.08</v>
      </c>
      <c r="T2459">
        <v>115850</v>
      </c>
      <c r="U2459">
        <v>102861.43339999999</v>
      </c>
      <c r="V2459">
        <v>102861.43339999999</v>
      </c>
      <c r="AA2459" s="29" t="s">
        <v>43</v>
      </c>
      <c r="AB2459">
        <v>31200</v>
      </c>
      <c r="AC2459">
        <v>160</v>
      </c>
      <c r="AD2459">
        <v>4</v>
      </c>
      <c r="AE2459">
        <v>24536</v>
      </c>
      <c r="AF2459">
        <v>24536</v>
      </c>
      <c r="AG2459" s="29" t="s">
        <v>3113</v>
      </c>
      <c r="AH2459" s="29" t="s">
        <v>3644</v>
      </c>
      <c r="AI2459" s="29" t="s">
        <v>3159</v>
      </c>
      <c r="AJ2459" s="29" t="s">
        <v>3645</v>
      </c>
      <c r="AL2459" s="29" t="s">
        <v>3114</v>
      </c>
    </row>
    <row r="2460" spans="15:38">
      <c r="O2460" t="s">
        <v>24</v>
      </c>
      <c r="P2460" t="s">
        <v>43</v>
      </c>
      <c r="Q2460" t="s">
        <v>19</v>
      </c>
      <c r="R2460" t="s">
        <v>62</v>
      </c>
      <c r="S2460">
        <v>2024.09</v>
      </c>
      <c r="T2460">
        <v>115850</v>
      </c>
      <c r="U2460">
        <v>102861.43339999999</v>
      </c>
      <c r="V2460">
        <v>102861.43339999999</v>
      </c>
      <c r="AA2460" s="29" t="s">
        <v>43</v>
      </c>
      <c r="AB2460">
        <v>31200</v>
      </c>
      <c r="AC2460">
        <v>160</v>
      </c>
      <c r="AD2460">
        <v>4</v>
      </c>
      <c r="AE2460">
        <v>24536</v>
      </c>
      <c r="AF2460">
        <v>24536</v>
      </c>
      <c r="AG2460" s="29" t="s">
        <v>3113</v>
      </c>
      <c r="AH2460" s="29" t="s">
        <v>3644</v>
      </c>
      <c r="AI2460" s="29" t="s">
        <v>3159</v>
      </c>
      <c r="AJ2460" s="29" t="s">
        <v>3645</v>
      </c>
      <c r="AL2460" s="29" t="s">
        <v>3114</v>
      </c>
    </row>
    <row r="2461" spans="15:38">
      <c r="O2461" t="s">
        <v>24</v>
      </c>
      <c r="P2461" t="s">
        <v>43</v>
      </c>
      <c r="Q2461" t="s">
        <v>19</v>
      </c>
      <c r="R2461" t="s">
        <v>62</v>
      </c>
      <c r="S2461">
        <v>2024.1</v>
      </c>
      <c r="T2461">
        <v>115850</v>
      </c>
      <c r="U2461">
        <v>102861.43339999999</v>
      </c>
      <c r="V2461">
        <v>102861.43339999999</v>
      </c>
      <c r="AA2461" s="29" t="s">
        <v>43</v>
      </c>
      <c r="AB2461">
        <v>31200</v>
      </c>
      <c r="AC2461">
        <v>160</v>
      </c>
      <c r="AD2461">
        <v>4</v>
      </c>
      <c r="AE2461">
        <v>464</v>
      </c>
      <c r="AF2461">
        <v>464</v>
      </c>
      <c r="AG2461" s="29" t="s">
        <v>3113</v>
      </c>
      <c r="AH2461" s="29" t="s">
        <v>3115</v>
      </c>
      <c r="AI2461" s="29" t="s">
        <v>3159</v>
      </c>
      <c r="AJ2461" s="29" t="s">
        <v>3646</v>
      </c>
      <c r="AL2461" s="29" t="s">
        <v>3114</v>
      </c>
    </row>
    <row r="2462" spans="15:38">
      <c r="O2462" t="s">
        <v>24</v>
      </c>
      <c r="P2462" t="s">
        <v>43</v>
      </c>
      <c r="Q2462" t="s">
        <v>19</v>
      </c>
      <c r="R2462" t="s">
        <v>62</v>
      </c>
      <c r="S2462">
        <v>2024.11</v>
      </c>
      <c r="T2462">
        <v>115850</v>
      </c>
      <c r="U2462">
        <v>102861.43339999999</v>
      </c>
      <c r="V2462">
        <v>102861.43339999999</v>
      </c>
      <c r="AA2462" s="29" t="s">
        <v>43</v>
      </c>
      <c r="AB2462">
        <v>31200</v>
      </c>
      <c r="AC2462">
        <v>160</v>
      </c>
      <c r="AD2462">
        <v>4</v>
      </c>
      <c r="AE2462">
        <v>1.92</v>
      </c>
      <c r="AF2462">
        <v>1.92</v>
      </c>
      <c r="AG2462" s="29" t="s">
        <v>3113</v>
      </c>
      <c r="AH2462" s="29" t="s">
        <v>3616</v>
      </c>
      <c r="AI2462" s="29" t="s">
        <v>3159</v>
      </c>
      <c r="AJ2462" s="29" t="s">
        <v>3617</v>
      </c>
      <c r="AL2462" s="29" t="s">
        <v>3114</v>
      </c>
    </row>
    <row r="2463" spans="15:38">
      <c r="O2463" t="s">
        <v>24</v>
      </c>
      <c r="P2463" t="s">
        <v>43</v>
      </c>
      <c r="Q2463" t="s">
        <v>19</v>
      </c>
      <c r="R2463" t="s">
        <v>62</v>
      </c>
      <c r="S2463">
        <v>2024.12</v>
      </c>
      <c r="T2463">
        <v>115850</v>
      </c>
      <c r="U2463">
        <v>102861.43339999999</v>
      </c>
      <c r="V2463">
        <v>102861.43339999999</v>
      </c>
      <c r="AA2463" s="29" t="s">
        <v>43</v>
      </c>
      <c r="AB2463">
        <v>31200</v>
      </c>
      <c r="AC2463">
        <v>160</v>
      </c>
      <c r="AD2463">
        <v>4</v>
      </c>
      <c r="AE2463">
        <v>571.20000000000005</v>
      </c>
      <c r="AF2463">
        <v>571.20000000000005</v>
      </c>
      <c r="AG2463" s="29" t="s">
        <v>3113</v>
      </c>
      <c r="AH2463" s="29" t="s">
        <v>3647</v>
      </c>
      <c r="AI2463" s="29" t="s">
        <v>3159</v>
      </c>
      <c r="AJ2463" s="29" t="s">
        <v>3648</v>
      </c>
      <c r="AL2463" s="29" t="s">
        <v>3114</v>
      </c>
    </row>
    <row r="2464" spans="15:38">
      <c r="O2464" t="s">
        <v>24</v>
      </c>
      <c r="P2464" t="s">
        <v>43</v>
      </c>
      <c r="Q2464" t="s">
        <v>19</v>
      </c>
      <c r="R2464" t="s">
        <v>62</v>
      </c>
      <c r="S2464">
        <v>2024.14</v>
      </c>
      <c r="T2464">
        <v>115850</v>
      </c>
      <c r="U2464">
        <v>102861.43339999999</v>
      </c>
      <c r="V2464">
        <v>102861.43339999999</v>
      </c>
      <c r="AA2464" s="29" t="s">
        <v>43</v>
      </c>
      <c r="AB2464">
        <v>31200</v>
      </c>
      <c r="AC2464">
        <v>160</v>
      </c>
      <c r="AD2464">
        <v>4</v>
      </c>
      <c r="AE2464">
        <v>896</v>
      </c>
      <c r="AF2464">
        <v>896</v>
      </c>
      <c r="AG2464" s="29" t="s">
        <v>3113</v>
      </c>
      <c r="AH2464" s="29" t="s">
        <v>3618</v>
      </c>
      <c r="AI2464" s="29" t="s">
        <v>3159</v>
      </c>
      <c r="AJ2464" s="29" t="s">
        <v>3619</v>
      </c>
      <c r="AL2464" s="29" t="s">
        <v>3114</v>
      </c>
    </row>
    <row r="2465" spans="15:38">
      <c r="O2465" t="s">
        <v>24</v>
      </c>
      <c r="P2465" t="s">
        <v>43</v>
      </c>
      <c r="Q2465" t="s">
        <v>19</v>
      </c>
      <c r="R2465" t="s">
        <v>62</v>
      </c>
      <c r="S2465">
        <v>2024.17</v>
      </c>
      <c r="T2465">
        <v>115850</v>
      </c>
      <c r="U2465">
        <v>102861.43339999999</v>
      </c>
      <c r="V2465">
        <v>102861.43339999999</v>
      </c>
      <c r="AA2465" s="29" t="s">
        <v>43</v>
      </c>
      <c r="AB2465">
        <v>31200</v>
      </c>
      <c r="AC2465">
        <v>160</v>
      </c>
      <c r="AD2465">
        <v>4</v>
      </c>
      <c r="AE2465">
        <v>0</v>
      </c>
      <c r="AF2465">
        <v>0</v>
      </c>
      <c r="AG2465" s="29" t="s">
        <v>3113</v>
      </c>
      <c r="AH2465" s="29" t="s">
        <v>3119</v>
      </c>
      <c r="AI2465" s="29" t="s">
        <v>3159</v>
      </c>
      <c r="AJ2465" s="29" t="s">
        <v>3649</v>
      </c>
      <c r="AL2465" s="29" t="s">
        <v>3114</v>
      </c>
    </row>
    <row r="2466" spans="15:38">
      <c r="O2466" t="s">
        <v>24</v>
      </c>
      <c r="P2466" t="s">
        <v>43</v>
      </c>
      <c r="Q2466" t="s">
        <v>19</v>
      </c>
      <c r="R2466" t="s">
        <v>62</v>
      </c>
      <c r="S2466">
        <v>2024.18</v>
      </c>
      <c r="T2466">
        <v>116009.44</v>
      </c>
      <c r="U2466">
        <v>102861.43339999999</v>
      </c>
      <c r="V2466">
        <v>102861.43339999999</v>
      </c>
      <c r="AA2466" s="29" t="s">
        <v>43</v>
      </c>
      <c r="AB2466">
        <v>31200</v>
      </c>
      <c r="AC2466">
        <v>160</v>
      </c>
      <c r="AD2466">
        <v>4</v>
      </c>
      <c r="AE2466">
        <v>1994</v>
      </c>
      <c r="AF2466">
        <v>1994</v>
      </c>
      <c r="AG2466" s="29" t="s">
        <v>3113</v>
      </c>
      <c r="AH2466" s="29" t="s">
        <v>3578</v>
      </c>
      <c r="AI2466" s="29" t="s">
        <v>3159</v>
      </c>
      <c r="AJ2466" s="29" t="s">
        <v>3579</v>
      </c>
      <c r="AL2466" s="29" t="s">
        <v>3114</v>
      </c>
    </row>
    <row r="2467" spans="15:38">
      <c r="O2467" t="s">
        <v>24</v>
      </c>
      <c r="P2467" t="s">
        <v>43</v>
      </c>
      <c r="Q2467" t="s">
        <v>19</v>
      </c>
      <c r="R2467" t="s">
        <v>62</v>
      </c>
      <c r="S2467">
        <v>2024.19</v>
      </c>
      <c r="T2467">
        <v>116009.44</v>
      </c>
      <c r="U2467">
        <v>102861.43339999999</v>
      </c>
      <c r="V2467">
        <v>102861.43339999999</v>
      </c>
      <c r="AA2467" s="29" t="s">
        <v>43</v>
      </c>
      <c r="AB2467">
        <v>31200</v>
      </c>
      <c r="AC2467">
        <v>160</v>
      </c>
      <c r="AD2467">
        <v>4</v>
      </c>
      <c r="AE2467">
        <v>1994</v>
      </c>
      <c r="AF2467">
        <v>1994</v>
      </c>
      <c r="AG2467" s="29" t="s">
        <v>3113</v>
      </c>
      <c r="AH2467" s="29" t="s">
        <v>3578</v>
      </c>
      <c r="AI2467" s="29" t="s">
        <v>3159</v>
      </c>
      <c r="AJ2467" s="29" t="s">
        <v>3580</v>
      </c>
      <c r="AL2467" s="29" t="s">
        <v>3114</v>
      </c>
    </row>
    <row r="2468" spans="15:38">
      <c r="O2468" t="s">
        <v>24</v>
      </c>
      <c r="P2468" t="s">
        <v>43</v>
      </c>
      <c r="Q2468" t="s">
        <v>19</v>
      </c>
      <c r="R2468" t="s">
        <v>62</v>
      </c>
      <c r="S2468">
        <v>2024.2</v>
      </c>
      <c r="T2468">
        <v>116009.44</v>
      </c>
      <c r="U2468">
        <v>102861.43339999999</v>
      </c>
      <c r="V2468">
        <v>102861.43339999999</v>
      </c>
      <c r="AA2468" s="29" t="s">
        <v>43</v>
      </c>
      <c r="AB2468">
        <v>31200</v>
      </c>
      <c r="AC2468">
        <v>160</v>
      </c>
      <c r="AD2468">
        <v>4</v>
      </c>
      <c r="AE2468">
        <v>111.56</v>
      </c>
      <c r="AF2468">
        <v>111.56</v>
      </c>
      <c r="AG2468" s="29" t="s">
        <v>3113</v>
      </c>
      <c r="AH2468" s="29" t="s">
        <v>3622</v>
      </c>
      <c r="AI2468" s="29" t="s">
        <v>3159</v>
      </c>
      <c r="AJ2468" s="29" t="s">
        <v>3623</v>
      </c>
      <c r="AL2468" s="29" t="s">
        <v>3114</v>
      </c>
    </row>
    <row r="2469" spans="15:38">
      <c r="O2469" t="s">
        <v>24</v>
      </c>
      <c r="P2469" t="s">
        <v>43</v>
      </c>
      <c r="Q2469" t="s">
        <v>19</v>
      </c>
      <c r="R2469" t="s">
        <v>62</v>
      </c>
      <c r="S2469">
        <v>2024.21</v>
      </c>
      <c r="T2469">
        <v>117143.2</v>
      </c>
      <c r="U2469">
        <v>102861.43339999999</v>
      </c>
      <c r="V2469">
        <v>102861.43339999999</v>
      </c>
      <c r="AA2469" s="29" t="s">
        <v>43</v>
      </c>
      <c r="AB2469">
        <v>31200</v>
      </c>
      <c r="AC2469">
        <v>160</v>
      </c>
      <c r="AD2469">
        <v>4</v>
      </c>
      <c r="AE2469">
        <v>64.2</v>
      </c>
      <c r="AF2469">
        <v>64.2</v>
      </c>
      <c r="AG2469" s="29" t="s">
        <v>3113</v>
      </c>
      <c r="AH2469" s="29" t="s">
        <v>3478</v>
      </c>
      <c r="AI2469" s="29" t="s">
        <v>3159</v>
      </c>
      <c r="AJ2469" s="29" t="s">
        <v>3650</v>
      </c>
      <c r="AL2469" s="29" t="s">
        <v>3114</v>
      </c>
    </row>
    <row r="2470" spans="15:38">
      <c r="O2470" t="s">
        <v>24</v>
      </c>
      <c r="P2470" t="s">
        <v>43</v>
      </c>
      <c r="Q2470" t="s">
        <v>19</v>
      </c>
      <c r="R2470" t="s">
        <v>62</v>
      </c>
      <c r="S2470">
        <v>2024.28</v>
      </c>
      <c r="T2470">
        <v>119862.46</v>
      </c>
      <c r="U2470">
        <v>102861.43339999999</v>
      </c>
      <c r="V2470">
        <v>102861.43339999999</v>
      </c>
      <c r="AA2470" s="29" t="s">
        <v>43</v>
      </c>
      <c r="AB2470">
        <v>31200</v>
      </c>
      <c r="AC2470">
        <v>160</v>
      </c>
      <c r="AD2470">
        <v>4</v>
      </c>
      <c r="AE2470">
        <v>21.4</v>
      </c>
      <c r="AF2470">
        <v>21.4</v>
      </c>
      <c r="AG2470" s="29" t="s">
        <v>3113</v>
      </c>
      <c r="AH2470" s="29" t="s">
        <v>3402</v>
      </c>
      <c r="AI2470" s="29" t="s">
        <v>3159</v>
      </c>
      <c r="AJ2470" s="29" t="s">
        <v>3403</v>
      </c>
      <c r="AL2470" s="29" t="s">
        <v>3114</v>
      </c>
    </row>
    <row r="2471" spans="15:38">
      <c r="O2471" t="s">
        <v>24</v>
      </c>
      <c r="P2471" t="s">
        <v>43</v>
      </c>
      <c r="Q2471" t="s">
        <v>19</v>
      </c>
      <c r="R2471" t="s">
        <v>62</v>
      </c>
      <c r="S2471">
        <v>2024.38</v>
      </c>
      <c r="T2471">
        <v>120925.36</v>
      </c>
      <c r="U2471">
        <v>102861.43339999999</v>
      </c>
      <c r="V2471">
        <v>102861.43339999999</v>
      </c>
      <c r="AA2471" s="29" t="s">
        <v>43</v>
      </c>
      <c r="AB2471">
        <v>31200</v>
      </c>
      <c r="AC2471">
        <v>160</v>
      </c>
      <c r="AD2471">
        <v>4</v>
      </c>
      <c r="AE2471">
        <v>214</v>
      </c>
      <c r="AF2471">
        <v>214</v>
      </c>
      <c r="AG2471" s="29" t="s">
        <v>3113</v>
      </c>
      <c r="AH2471" s="29" t="s">
        <v>3364</v>
      </c>
      <c r="AI2471" s="29" t="s">
        <v>3159</v>
      </c>
      <c r="AJ2471" s="29" t="s">
        <v>3651</v>
      </c>
      <c r="AL2471" s="29" t="s">
        <v>3114</v>
      </c>
    </row>
    <row r="2472" spans="15:38">
      <c r="O2472" t="s">
        <v>24</v>
      </c>
      <c r="P2472" t="s">
        <v>43</v>
      </c>
      <c r="Q2472" t="s">
        <v>19</v>
      </c>
      <c r="R2472" t="s">
        <v>62</v>
      </c>
      <c r="S2472">
        <v>2024.39</v>
      </c>
      <c r="T2472">
        <v>5075.3599999999997</v>
      </c>
      <c r="U2472">
        <v>102861.43339999999</v>
      </c>
      <c r="V2472">
        <v>102861.43339999999</v>
      </c>
      <c r="AA2472" s="29" t="s">
        <v>43</v>
      </c>
      <c r="AB2472">
        <v>31200</v>
      </c>
      <c r="AC2472">
        <v>160</v>
      </c>
      <c r="AD2472">
        <v>4</v>
      </c>
      <c r="AE2472">
        <v>107</v>
      </c>
      <c r="AF2472">
        <v>107</v>
      </c>
      <c r="AG2472" s="29" t="s">
        <v>3113</v>
      </c>
      <c r="AH2472" s="29" t="s">
        <v>3320</v>
      </c>
      <c r="AI2472" s="29" t="s">
        <v>3159</v>
      </c>
      <c r="AJ2472" s="29" t="s">
        <v>3652</v>
      </c>
      <c r="AL2472" s="29" t="s">
        <v>3114</v>
      </c>
    </row>
    <row r="2473" spans="15:38">
      <c r="O2473" t="s">
        <v>24</v>
      </c>
      <c r="P2473" t="s">
        <v>43</v>
      </c>
      <c r="Q2473" t="s">
        <v>19</v>
      </c>
      <c r="R2473" t="s">
        <v>62</v>
      </c>
      <c r="S2473">
        <v>2024.41</v>
      </c>
      <c r="T2473">
        <v>5075.3599999999997</v>
      </c>
      <c r="U2473">
        <v>102861.43339999999</v>
      </c>
      <c r="V2473">
        <v>102861.43339999999</v>
      </c>
      <c r="AA2473" s="29" t="s">
        <v>43</v>
      </c>
      <c r="AB2473">
        <v>31200</v>
      </c>
      <c r="AC2473">
        <v>160</v>
      </c>
      <c r="AD2473">
        <v>4</v>
      </c>
      <c r="AE2473">
        <v>107</v>
      </c>
      <c r="AF2473">
        <v>107</v>
      </c>
      <c r="AG2473" s="29" t="s">
        <v>3113</v>
      </c>
      <c r="AH2473" s="29" t="s">
        <v>3320</v>
      </c>
      <c r="AI2473" s="29" t="s">
        <v>3159</v>
      </c>
      <c r="AJ2473" s="29" t="s">
        <v>3653</v>
      </c>
      <c r="AL2473" s="29" t="s">
        <v>3114</v>
      </c>
    </row>
    <row r="2474" spans="15:38">
      <c r="O2474" t="s">
        <v>24</v>
      </c>
      <c r="P2474" t="s">
        <v>43</v>
      </c>
      <c r="Q2474" t="s">
        <v>19</v>
      </c>
      <c r="R2474" t="s">
        <v>62</v>
      </c>
      <c r="S2474">
        <v>2024.43</v>
      </c>
      <c r="T2474">
        <v>5075.3599999999997</v>
      </c>
      <c r="U2474">
        <v>102861.43339999999</v>
      </c>
      <c r="V2474">
        <v>102861.43339999999</v>
      </c>
      <c r="AA2474" s="29" t="s">
        <v>43</v>
      </c>
      <c r="AB2474">
        <v>31200</v>
      </c>
      <c r="AC2474">
        <v>160</v>
      </c>
      <c r="AD2474">
        <v>4</v>
      </c>
      <c r="AE2474">
        <v>0</v>
      </c>
      <c r="AF2474">
        <v>0</v>
      </c>
      <c r="AG2474" s="29" t="s">
        <v>3113</v>
      </c>
      <c r="AH2474" s="29" t="s">
        <v>3119</v>
      </c>
      <c r="AI2474" s="29" t="s">
        <v>3159</v>
      </c>
      <c r="AJ2474" s="29" t="s">
        <v>3512</v>
      </c>
      <c r="AL2474" s="29" t="s">
        <v>3114</v>
      </c>
    </row>
    <row r="2475" spans="15:38">
      <c r="O2475" t="s">
        <v>24</v>
      </c>
      <c r="P2475" t="s">
        <v>43</v>
      </c>
      <c r="Q2475" t="s">
        <v>19</v>
      </c>
      <c r="R2475" t="s">
        <v>62</v>
      </c>
      <c r="S2475">
        <v>2024.44</v>
      </c>
      <c r="T2475">
        <v>5075.3599999999997</v>
      </c>
      <c r="U2475">
        <v>102861.43339999999</v>
      </c>
      <c r="V2475">
        <v>102861.43339999999</v>
      </c>
      <c r="AA2475" s="29" t="s">
        <v>43</v>
      </c>
      <c r="AB2475">
        <v>31200</v>
      </c>
      <c r="AC2475">
        <v>160</v>
      </c>
      <c r="AD2475">
        <v>4</v>
      </c>
      <c r="AE2475">
        <v>264.56</v>
      </c>
      <c r="AF2475">
        <v>264.56</v>
      </c>
      <c r="AG2475" s="29" t="s">
        <v>3113</v>
      </c>
      <c r="AH2475" s="29" t="s">
        <v>3654</v>
      </c>
      <c r="AI2475" s="29" t="s">
        <v>3159</v>
      </c>
      <c r="AJ2475" s="29" t="s">
        <v>3655</v>
      </c>
      <c r="AL2475" s="29" t="s">
        <v>3114</v>
      </c>
    </row>
    <row r="2476" spans="15:38">
      <c r="O2476" t="s">
        <v>24</v>
      </c>
      <c r="P2476" t="s">
        <v>43</v>
      </c>
      <c r="Q2476" t="s">
        <v>19</v>
      </c>
      <c r="R2476" t="s">
        <v>62</v>
      </c>
      <c r="S2476">
        <v>2024.45</v>
      </c>
      <c r="T2476">
        <v>5075.3599999999997</v>
      </c>
      <c r="U2476">
        <v>102861.43339999999</v>
      </c>
      <c r="V2476">
        <v>102861.43339999999</v>
      </c>
      <c r="AA2476" s="29" t="s">
        <v>43</v>
      </c>
      <c r="AB2476">
        <v>31200</v>
      </c>
      <c r="AC2476">
        <v>160</v>
      </c>
      <c r="AD2476">
        <v>5</v>
      </c>
      <c r="AE2476">
        <v>123.9</v>
      </c>
      <c r="AF2476">
        <v>123.9</v>
      </c>
      <c r="AG2476" s="29" t="s">
        <v>3113</v>
      </c>
      <c r="AH2476" s="29" t="s">
        <v>3370</v>
      </c>
      <c r="AI2476" s="29" t="s">
        <v>3159</v>
      </c>
      <c r="AJ2476" s="29" t="s">
        <v>3419</v>
      </c>
      <c r="AK2476" t="s">
        <v>3656</v>
      </c>
      <c r="AL2476" s="29" t="s">
        <v>3114</v>
      </c>
    </row>
    <row r="2477" spans="15:38">
      <c r="O2477" t="s">
        <v>24</v>
      </c>
      <c r="P2477" t="s">
        <v>43</v>
      </c>
      <c r="Q2477" t="s">
        <v>19</v>
      </c>
      <c r="R2477" t="s">
        <v>62</v>
      </c>
      <c r="S2477">
        <v>2024.47</v>
      </c>
      <c r="T2477">
        <v>5075.3599999999997</v>
      </c>
      <c r="U2477">
        <v>102861.43339999999</v>
      </c>
      <c r="V2477">
        <v>102861.43339999999</v>
      </c>
      <c r="AA2477" s="29" t="s">
        <v>43</v>
      </c>
      <c r="AB2477">
        <v>31200</v>
      </c>
      <c r="AC2477">
        <v>160</v>
      </c>
      <c r="AD2477">
        <v>5</v>
      </c>
      <c r="AE2477">
        <v>0.96</v>
      </c>
      <c r="AF2477">
        <v>0.96</v>
      </c>
      <c r="AG2477" s="29" t="s">
        <v>3113</v>
      </c>
      <c r="AH2477" s="29" t="s">
        <v>3242</v>
      </c>
      <c r="AI2477" s="29" t="s">
        <v>3159</v>
      </c>
      <c r="AJ2477" s="29" t="s">
        <v>3419</v>
      </c>
      <c r="AK2477" t="s">
        <v>3657</v>
      </c>
      <c r="AL2477" s="29" t="s">
        <v>3114</v>
      </c>
    </row>
    <row r="2478" spans="15:38">
      <c r="O2478" t="s">
        <v>24</v>
      </c>
      <c r="P2478" t="s">
        <v>43</v>
      </c>
      <c r="Q2478" t="s">
        <v>19</v>
      </c>
      <c r="R2478" t="s">
        <v>62</v>
      </c>
      <c r="S2478">
        <v>2024.48</v>
      </c>
      <c r="T2478">
        <v>5075.3599999999997</v>
      </c>
      <c r="U2478">
        <v>102861.43339999999</v>
      </c>
      <c r="V2478">
        <v>137861.43340000001</v>
      </c>
      <c r="AA2478" s="29" t="s">
        <v>43</v>
      </c>
      <c r="AB2478">
        <v>31200</v>
      </c>
      <c r="AC2478">
        <v>160</v>
      </c>
      <c r="AD2478">
        <v>5</v>
      </c>
      <c r="AE2478">
        <v>348</v>
      </c>
      <c r="AF2478">
        <v>348</v>
      </c>
      <c r="AG2478" s="29" t="s">
        <v>3113</v>
      </c>
      <c r="AH2478" s="29" t="s">
        <v>3297</v>
      </c>
      <c r="AI2478" s="29" t="s">
        <v>3159</v>
      </c>
      <c r="AJ2478" s="29" t="s">
        <v>3419</v>
      </c>
      <c r="AK2478" t="s">
        <v>3658</v>
      </c>
      <c r="AL2478" s="29" t="s">
        <v>3114</v>
      </c>
    </row>
    <row r="2479" spans="15:38">
      <c r="O2479" t="s">
        <v>24</v>
      </c>
      <c r="P2479" t="s">
        <v>43</v>
      </c>
      <c r="Q2479" t="s">
        <v>19</v>
      </c>
      <c r="R2479" t="s">
        <v>62</v>
      </c>
      <c r="S2479">
        <v>2024.49</v>
      </c>
      <c r="T2479">
        <v>14287.19</v>
      </c>
      <c r="U2479">
        <v>102861.43339999999</v>
      </c>
      <c r="V2479">
        <v>137861.43340000001</v>
      </c>
      <c r="AA2479" s="29" t="s">
        <v>43</v>
      </c>
      <c r="AB2479">
        <v>31200</v>
      </c>
      <c r="AC2479">
        <v>160</v>
      </c>
      <c r="AD2479">
        <v>5</v>
      </c>
      <c r="AE2479">
        <v>26.75</v>
      </c>
      <c r="AF2479">
        <v>26.75</v>
      </c>
      <c r="AG2479" s="29" t="s">
        <v>3113</v>
      </c>
      <c r="AH2479" s="29" t="s">
        <v>3224</v>
      </c>
      <c r="AI2479" s="29" t="s">
        <v>3159</v>
      </c>
      <c r="AJ2479" s="29" t="s">
        <v>3419</v>
      </c>
      <c r="AK2479" t="s">
        <v>3659</v>
      </c>
      <c r="AL2479" s="29" t="s">
        <v>3114</v>
      </c>
    </row>
    <row r="2480" spans="15:38">
      <c r="O2480" t="s">
        <v>24</v>
      </c>
      <c r="P2480" t="s">
        <v>43</v>
      </c>
      <c r="Q2480" t="s">
        <v>19</v>
      </c>
      <c r="R2480" t="s">
        <v>62</v>
      </c>
      <c r="S2480">
        <v>2025.03</v>
      </c>
      <c r="T2480">
        <v>24871.919999999998</v>
      </c>
      <c r="U2480">
        <v>102861.43339999999</v>
      </c>
      <c r="V2480">
        <v>137861.43340000001</v>
      </c>
      <c r="AA2480" s="29" t="s">
        <v>43</v>
      </c>
      <c r="AB2480">
        <v>31200</v>
      </c>
      <c r="AC2480">
        <v>160</v>
      </c>
      <c r="AD2480">
        <v>5</v>
      </c>
      <c r="AE2480">
        <v>26.75</v>
      </c>
      <c r="AF2480">
        <v>26.75</v>
      </c>
      <c r="AG2480" s="29" t="s">
        <v>3113</v>
      </c>
      <c r="AH2480" s="29" t="s">
        <v>3224</v>
      </c>
      <c r="AI2480" s="29" t="s">
        <v>3159</v>
      </c>
      <c r="AJ2480" s="29" t="s">
        <v>3419</v>
      </c>
      <c r="AK2480" t="s">
        <v>3660</v>
      </c>
      <c r="AL2480" s="29" t="s">
        <v>3114</v>
      </c>
    </row>
    <row r="2481" spans="15:38">
      <c r="O2481" t="s">
        <v>24</v>
      </c>
      <c r="P2481" t="s">
        <v>43</v>
      </c>
      <c r="Q2481" t="s">
        <v>19</v>
      </c>
      <c r="R2481" t="s">
        <v>62</v>
      </c>
      <c r="S2481">
        <v>2025.08</v>
      </c>
      <c r="T2481">
        <v>40239.72</v>
      </c>
      <c r="U2481">
        <v>102861.43339999999</v>
      </c>
      <c r="V2481">
        <v>137861.43340000001</v>
      </c>
      <c r="AA2481" s="29" t="s">
        <v>43</v>
      </c>
      <c r="AB2481">
        <v>31200</v>
      </c>
      <c r="AC2481">
        <v>160</v>
      </c>
      <c r="AD2481">
        <v>5</v>
      </c>
      <c r="AE2481">
        <v>5.88</v>
      </c>
      <c r="AF2481">
        <v>5.88</v>
      </c>
      <c r="AG2481" s="29" t="s">
        <v>3113</v>
      </c>
      <c r="AH2481" s="29" t="s">
        <v>3293</v>
      </c>
      <c r="AI2481" s="29" t="s">
        <v>3159</v>
      </c>
      <c r="AJ2481" s="29" t="s">
        <v>3419</v>
      </c>
      <c r="AK2481" t="s">
        <v>3661</v>
      </c>
      <c r="AL2481" s="29" t="s">
        <v>3114</v>
      </c>
    </row>
    <row r="2482" spans="15:38">
      <c r="O2482" t="s">
        <v>24</v>
      </c>
      <c r="P2482" t="s">
        <v>43</v>
      </c>
      <c r="Q2482" t="s">
        <v>19</v>
      </c>
      <c r="R2482" t="s">
        <v>62</v>
      </c>
      <c r="S2482">
        <v>2025.1</v>
      </c>
      <c r="T2482">
        <v>49475.35</v>
      </c>
      <c r="U2482">
        <v>102861.43339999999</v>
      </c>
      <c r="V2482">
        <v>137861.43340000001</v>
      </c>
      <c r="AA2482" s="29" t="s">
        <v>43</v>
      </c>
      <c r="AB2482">
        <v>31200</v>
      </c>
      <c r="AC2482">
        <v>160</v>
      </c>
      <c r="AD2482">
        <v>5</v>
      </c>
      <c r="AE2482">
        <v>5.28</v>
      </c>
      <c r="AF2482">
        <v>5.28</v>
      </c>
      <c r="AG2482" s="29" t="s">
        <v>3113</v>
      </c>
      <c r="AH2482" s="29" t="s">
        <v>3272</v>
      </c>
      <c r="AI2482" s="29" t="s">
        <v>3159</v>
      </c>
      <c r="AJ2482" s="29" t="s">
        <v>3419</v>
      </c>
      <c r="AK2482" t="s">
        <v>3662</v>
      </c>
      <c r="AL2482" s="29" t="s">
        <v>3114</v>
      </c>
    </row>
    <row r="2483" spans="15:38">
      <c r="O2483" t="s">
        <v>24</v>
      </c>
      <c r="P2483" t="s">
        <v>43</v>
      </c>
      <c r="Q2483" t="s">
        <v>19</v>
      </c>
      <c r="R2483" t="s">
        <v>62</v>
      </c>
      <c r="S2483">
        <v>2025.11</v>
      </c>
      <c r="T2483">
        <v>49475.35</v>
      </c>
      <c r="U2483">
        <v>102861.43339999999</v>
      </c>
      <c r="V2483">
        <v>137861.43340000001</v>
      </c>
      <c r="AA2483" s="29" t="s">
        <v>43</v>
      </c>
      <c r="AB2483">
        <v>31200</v>
      </c>
      <c r="AC2483">
        <v>160</v>
      </c>
      <c r="AD2483">
        <v>5</v>
      </c>
      <c r="AE2483">
        <v>637.72</v>
      </c>
      <c r="AF2483">
        <v>637.72</v>
      </c>
      <c r="AG2483" s="29" t="s">
        <v>3113</v>
      </c>
      <c r="AH2483" s="29" t="s">
        <v>3288</v>
      </c>
      <c r="AI2483" s="29" t="s">
        <v>3159</v>
      </c>
      <c r="AJ2483" s="29" t="s">
        <v>3419</v>
      </c>
      <c r="AK2483" t="s">
        <v>3663</v>
      </c>
      <c r="AL2483" s="29" t="s">
        <v>3114</v>
      </c>
    </row>
    <row r="2484" spans="15:38">
      <c r="O2484" t="s">
        <v>24</v>
      </c>
      <c r="P2484" t="s">
        <v>43</v>
      </c>
      <c r="Q2484" t="s">
        <v>19</v>
      </c>
      <c r="R2484" t="s">
        <v>62</v>
      </c>
      <c r="S2484">
        <v>2025.12</v>
      </c>
      <c r="T2484">
        <v>49475.35</v>
      </c>
      <c r="U2484">
        <v>102861.43339999999</v>
      </c>
      <c r="V2484">
        <v>137861.43340000001</v>
      </c>
      <c r="AA2484" s="29" t="s">
        <v>43</v>
      </c>
      <c r="AB2484">
        <v>31200</v>
      </c>
      <c r="AC2484">
        <v>160</v>
      </c>
      <c r="AD2484">
        <v>5</v>
      </c>
      <c r="AE2484">
        <v>23.16</v>
      </c>
      <c r="AF2484">
        <v>23.16</v>
      </c>
      <c r="AG2484" s="29" t="s">
        <v>3113</v>
      </c>
      <c r="AH2484" s="29" t="s">
        <v>3277</v>
      </c>
      <c r="AI2484" s="29" t="s">
        <v>3159</v>
      </c>
      <c r="AJ2484" s="29" t="s">
        <v>3419</v>
      </c>
      <c r="AK2484" t="s">
        <v>3664</v>
      </c>
      <c r="AL2484" s="29" t="s">
        <v>3114</v>
      </c>
    </row>
    <row r="2485" spans="15:38">
      <c r="O2485" t="s">
        <v>24</v>
      </c>
      <c r="P2485" t="s">
        <v>43</v>
      </c>
      <c r="Q2485" t="s">
        <v>2</v>
      </c>
      <c r="R2485" t="s">
        <v>54</v>
      </c>
      <c r="S2485">
        <v>2024.44</v>
      </c>
      <c r="T2485">
        <v>0</v>
      </c>
      <c r="U2485">
        <v>2063.5250999999998</v>
      </c>
      <c r="V2485">
        <v>2063.5250999999998</v>
      </c>
      <c r="AA2485" s="29" t="s">
        <v>43</v>
      </c>
      <c r="AB2485">
        <v>31200</v>
      </c>
      <c r="AC2485">
        <v>160</v>
      </c>
      <c r="AD2485">
        <v>5</v>
      </c>
      <c r="AE2485">
        <v>26.75</v>
      </c>
      <c r="AF2485">
        <v>26.75</v>
      </c>
      <c r="AG2485" s="29" t="s">
        <v>3113</v>
      </c>
      <c r="AH2485" s="29" t="s">
        <v>3224</v>
      </c>
      <c r="AI2485" s="29" t="s">
        <v>3159</v>
      </c>
      <c r="AJ2485" s="29" t="s">
        <v>3419</v>
      </c>
      <c r="AK2485" t="s">
        <v>3665</v>
      </c>
      <c r="AL2485" s="29" t="s">
        <v>3114</v>
      </c>
    </row>
    <row r="2486" spans="15:38">
      <c r="O2486" t="s">
        <v>24</v>
      </c>
      <c r="P2486" t="s">
        <v>43</v>
      </c>
      <c r="Q2486" t="s">
        <v>2</v>
      </c>
      <c r="R2486" t="s">
        <v>54</v>
      </c>
      <c r="S2486">
        <v>2025.08</v>
      </c>
      <c r="T2486">
        <v>19.75</v>
      </c>
      <c r="U2486">
        <v>2063.5250999999998</v>
      </c>
      <c r="V2486">
        <v>2063.5250999999998</v>
      </c>
      <c r="AA2486" s="29" t="s">
        <v>43</v>
      </c>
      <c r="AB2486">
        <v>31200</v>
      </c>
      <c r="AC2486">
        <v>160</v>
      </c>
      <c r="AD2486">
        <v>5</v>
      </c>
      <c r="AE2486">
        <v>26.75</v>
      </c>
      <c r="AF2486">
        <v>26.75</v>
      </c>
      <c r="AG2486" s="29" t="s">
        <v>3113</v>
      </c>
      <c r="AH2486" s="29" t="s">
        <v>3224</v>
      </c>
      <c r="AI2486" s="29" t="s">
        <v>3159</v>
      </c>
      <c r="AJ2486" s="29" t="s">
        <v>3419</v>
      </c>
      <c r="AK2486" t="s">
        <v>3666</v>
      </c>
      <c r="AL2486" s="29" t="s">
        <v>3114</v>
      </c>
    </row>
    <row r="2487" spans="15:38">
      <c r="O2487" t="s">
        <v>24</v>
      </c>
      <c r="P2487" t="s">
        <v>43</v>
      </c>
      <c r="Q2487" t="s">
        <v>2</v>
      </c>
      <c r="R2487" t="s">
        <v>54</v>
      </c>
      <c r="S2487">
        <v>2025.1</v>
      </c>
      <c r="T2487">
        <v>19.75</v>
      </c>
      <c r="U2487">
        <v>2063.5250999999998</v>
      </c>
      <c r="V2487">
        <v>2063.5250999999998</v>
      </c>
      <c r="AA2487" s="29" t="s">
        <v>43</v>
      </c>
      <c r="AB2487">
        <v>31200</v>
      </c>
      <c r="AC2487">
        <v>160</v>
      </c>
      <c r="AD2487">
        <v>5</v>
      </c>
      <c r="AE2487">
        <v>107</v>
      </c>
      <c r="AF2487">
        <v>107</v>
      </c>
      <c r="AG2487" s="29" t="s">
        <v>3113</v>
      </c>
      <c r="AH2487" s="29" t="s">
        <v>3320</v>
      </c>
      <c r="AI2487" s="29" t="s">
        <v>3159</v>
      </c>
      <c r="AJ2487" s="29" t="s">
        <v>3419</v>
      </c>
      <c r="AK2487" t="s">
        <v>3667</v>
      </c>
      <c r="AL2487" s="29" t="s">
        <v>3114</v>
      </c>
    </row>
    <row r="2488" spans="15:38">
      <c r="O2488" t="s">
        <v>24</v>
      </c>
      <c r="P2488" t="s">
        <v>43</v>
      </c>
      <c r="Q2488" t="s">
        <v>2</v>
      </c>
      <c r="R2488" t="s">
        <v>54</v>
      </c>
      <c r="S2488">
        <v>2025.11</v>
      </c>
      <c r="T2488">
        <v>19.75</v>
      </c>
      <c r="U2488">
        <v>2063.5250999999998</v>
      </c>
      <c r="V2488">
        <v>2063.5250999999998</v>
      </c>
      <c r="AA2488" s="29" t="s">
        <v>43</v>
      </c>
      <c r="AB2488">
        <v>31200</v>
      </c>
      <c r="AC2488">
        <v>160</v>
      </c>
      <c r="AD2488">
        <v>5</v>
      </c>
      <c r="AE2488">
        <v>406.6</v>
      </c>
      <c r="AF2488">
        <v>406.6</v>
      </c>
      <c r="AG2488" s="29" t="s">
        <v>3113</v>
      </c>
      <c r="AH2488" s="29" t="s">
        <v>3517</v>
      </c>
      <c r="AI2488" s="29" t="s">
        <v>3159</v>
      </c>
      <c r="AJ2488" s="29" t="s">
        <v>3419</v>
      </c>
      <c r="AK2488" t="s">
        <v>3668</v>
      </c>
      <c r="AL2488" s="29" t="s">
        <v>3114</v>
      </c>
    </row>
    <row r="2489" spans="15:38">
      <c r="O2489" t="s">
        <v>24</v>
      </c>
      <c r="P2489" t="s">
        <v>43</v>
      </c>
      <c r="Q2489" t="s">
        <v>2</v>
      </c>
      <c r="R2489" t="s">
        <v>54</v>
      </c>
      <c r="S2489">
        <v>2025.12</v>
      </c>
      <c r="T2489">
        <v>19.75</v>
      </c>
      <c r="U2489">
        <v>2063.5250999999998</v>
      </c>
      <c r="V2489">
        <v>2063.5250999999998</v>
      </c>
      <c r="AA2489" s="29" t="s">
        <v>43</v>
      </c>
      <c r="AB2489">
        <v>31200</v>
      </c>
      <c r="AC2489">
        <v>170</v>
      </c>
      <c r="AD2489">
        <v>1</v>
      </c>
      <c r="AE2489">
        <v>0</v>
      </c>
      <c r="AF2489">
        <v>0</v>
      </c>
      <c r="AG2489" s="29" t="s">
        <v>3669</v>
      </c>
      <c r="AH2489" s="29"/>
      <c r="AI2489" s="29"/>
      <c r="AJ2489" s="29"/>
      <c r="AL2489" s="29" t="s">
        <v>3670</v>
      </c>
    </row>
    <row r="2490" spans="15:38">
      <c r="O2490" t="s">
        <v>24</v>
      </c>
      <c r="P2490" t="s">
        <v>43</v>
      </c>
      <c r="Q2490" t="s">
        <v>2</v>
      </c>
      <c r="R2490" t="s">
        <v>65</v>
      </c>
      <c r="S2490">
        <v>2025.08</v>
      </c>
      <c r="T2490">
        <v>12</v>
      </c>
      <c r="U2490">
        <v>0</v>
      </c>
      <c r="V2490">
        <v>0</v>
      </c>
      <c r="AA2490" s="29" t="s">
        <v>43</v>
      </c>
      <c r="AB2490">
        <v>31200</v>
      </c>
      <c r="AC2490">
        <v>170</v>
      </c>
      <c r="AD2490">
        <v>3</v>
      </c>
      <c r="AE2490">
        <v>234.5</v>
      </c>
      <c r="AF2490">
        <v>234.5</v>
      </c>
      <c r="AG2490" s="29" t="s">
        <v>3669</v>
      </c>
      <c r="AH2490" s="29" t="s">
        <v>3671</v>
      </c>
      <c r="AI2490" s="29" t="s">
        <v>3672</v>
      </c>
      <c r="AJ2490" s="29"/>
      <c r="AL2490" s="29" t="s">
        <v>3670</v>
      </c>
    </row>
    <row r="2491" spans="15:38">
      <c r="O2491" t="s">
        <v>24</v>
      </c>
      <c r="P2491" t="s">
        <v>43</v>
      </c>
      <c r="Q2491" t="s">
        <v>2</v>
      </c>
      <c r="R2491" t="s">
        <v>65</v>
      </c>
      <c r="S2491">
        <v>2025.1</v>
      </c>
      <c r="T2491">
        <v>12</v>
      </c>
      <c r="U2491">
        <v>0</v>
      </c>
      <c r="V2491">
        <v>0</v>
      </c>
      <c r="AA2491" s="29" t="s">
        <v>43</v>
      </c>
      <c r="AB2491">
        <v>31200</v>
      </c>
      <c r="AC2491">
        <v>170</v>
      </c>
      <c r="AD2491">
        <v>3</v>
      </c>
      <c r="AE2491">
        <v>0</v>
      </c>
      <c r="AF2491">
        <v>0</v>
      </c>
      <c r="AG2491" s="29" t="s">
        <v>3669</v>
      </c>
      <c r="AH2491" s="29" t="s">
        <v>3673</v>
      </c>
      <c r="AI2491" s="29" t="s">
        <v>3674</v>
      </c>
      <c r="AJ2491" s="29"/>
      <c r="AL2491" s="29" t="s">
        <v>3670</v>
      </c>
    </row>
    <row r="2492" spans="15:38">
      <c r="O2492" t="s">
        <v>24</v>
      </c>
      <c r="P2492" t="s">
        <v>43</v>
      </c>
      <c r="Q2492" t="s">
        <v>2</v>
      </c>
      <c r="R2492" t="s">
        <v>65</v>
      </c>
      <c r="S2492">
        <v>2025.11</v>
      </c>
      <c r="T2492">
        <v>12</v>
      </c>
      <c r="U2492">
        <v>0</v>
      </c>
      <c r="V2492">
        <v>0</v>
      </c>
      <c r="AA2492" s="29" t="s">
        <v>43</v>
      </c>
      <c r="AB2492">
        <v>31200</v>
      </c>
      <c r="AC2492">
        <v>170</v>
      </c>
      <c r="AD2492">
        <v>3</v>
      </c>
      <c r="AE2492">
        <v>340</v>
      </c>
      <c r="AF2492">
        <v>340</v>
      </c>
      <c r="AG2492" s="29" t="s">
        <v>3669</v>
      </c>
      <c r="AH2492" s="29" t="s">
        <v>3675</v>
      </c>
      <c r="AI2492" s="29" t="s">
        <v>3676</v>
      </c>
      <c r="AJ2492" s="29"/>
      <c r="AL2492" s="29" t="s">
        <v>3670</v>
      </c>
    </row>
    <row r="2493" spans="15:38">
      <c r="O2493" t="s">
        <v>24</v>
      </c>
      <c r="P2493" t="s">
        <v>43</v>
      </c>
      <c r="Q2493" t="s">
        <v>2</v>
      </c>
      <c r="R2493" t="s">
        <v>65</v>
      </c>
      <c r="S2493">
        <v>2025.12</v>
      </c>
      <c r="T2493">
        <v>12</v>
      </c>
      <c r="U2493">
        <v>0</v>
      </c>
      <c r="V2493">
        <v>0</v>
      </c>
      <c r="AA2493" s="29" t="s">
        <v>43</v>
      </c>
      <c r="AB2493">
        <v>31200</v>
      </c>
      <c r="AC2493">
        <v>170</v>
      </c>
      <c r="AD2493">
        <v>3</v>
      </c>
      <c r="AE2493">
        <v>390</v>
      </c>
      <c r="AF2493">
        <v>390</v>
      </c>
      <c r="AG2493" s="29" t="s">
        <v>3669</v>
      </c>
      <c r="AH2493" s="29" t="s">
        <v>3677</v>
      </c>
      <c r="AI2493" s="29" t="s">
        <v>3678</v>
      </c>
      <c r="AJ2493" s="29"/>
      <c r="AL2493" s="29" t="s">
        <v>3670</v>
      </c>
    </row>
    <row r="2494" spans="15:38">
      <c r="O2494" t="s">
        <v>24</v>
      </c>
      <c r="P2494" t="s">
        <v>43</v>
      </c>
      <c r="Q2494" t="s">
        <v>2</v>
      </c>
      <c r="R2494" t="s">
        <v>57</v>
      </c>
      <c r="S2494">
        <v>2024.21</v>
      </c>
      <c r="T2494">
        <v>141.6</v>
      </c>
      <c r="U2494">
        <v>0</v>
      </c>
      <c r="V2494">
        <v>0</v>
      </c>
      <c r="AA2494" s="29" t="s">
        <v>43</v>
      </c>
      <c r="AB2494">
        <v>31200</v>
      </c>
      <c r="AC2494">
        <v>170</v>
      </c>
      <c r="AD2494">
        <v>3</v>
      </c>
      <c r="AE2494">
        <v>0</v>
      </c>
      <c r="AF2494">
        <v>0</v>
      </c>
      <c r="AG2494" s="29" t="s">
        <v>3669</v>
      </c>
      <c r="AH2494" s="29" t="s">
        <v>3673</v>
      </c>
      <c r="AI2494" s="29" t="s">
        <v>3679</v>
      </c>
      <c r="AJ2494" s="29"/>
      <c r="AL2494" s="29" t="s">
        <v>3670</v>
      </c>
    </row>
    <row r="2495" spans="15:38">
      <c r="O2495" t="s">
        <v>24</v>
      </c>
      <c r="P2495" t="s">
        <v>43</v>
      </c>
      <c r="Q2495" t="s">
        <v>2</v>
      </c>
      <c r="R2495" t="s">
        <v>57</v>
      </c>
      <c r="S2495">
        <v>2024.28</v>
      </c>
      <c r="T2495">
        <v>141.6</v>
      </c>
      <c r="U2495">
        <v>0</v>
      </c>
      <c r="V2495">
        <v>0</v>
      </c>
      <c r="AA2495" s="29" t="s">
        <v>43</v>
      </c>
      <c r="AB2495">
        <v>31200</v>
      </c>
      <c r="AC2495">
        <v>170</v>
      </c>
      <c r="AD2495">
        <v>3</v>
      </c>
      <c r="AE2495">
        <v>100.5</v>
      </c>
      <c r="AF2495">
        <v>100.5</v>
      </c>
      <c r="AG2495" s="29" t="s">
        <v>3669</v>
      </c>
      <c r="AH2495" s="29" t="s">
        <v>3680</v>
      </c>
      <c r="AI2495" s="29" t="s">
        <v>3681</v>
      </c>
      <c r="AJ2495" s="29"/>
      <c r="AL2495" s="29" t="s">
        <v>3670</v>
      </c>
    </row>
    <row r="2496" spans="15:38">
      <c r="O2496" t="s">
        <v>24</v>
      </c>
      <c r="P2496" t="s">
        <v>43</v>
      </c>
      <c r="Q2496" t="s">
        <v>2</v>
      </c>
      <c r="R2496" t="s">
        <v>57</v>
      </c>
      <c r="S2496">
        <v>2024.38</v>
      </c>
      <c r="T2496">
        <v>141.6</v>
      </c>
      <c r="U2496">
        <v>0</v>
      </c>
      <c r="V2496">
        <v>0</v>
      </c>
      <c r="AA2496" s="29" t="s">
        <v>43</v>
      </c>
      <c r="AB2496">
        <v>31200</v>
      </c>
      <c r="AC2496">
        <v>170</v>
      </c>
      <c r="AD2496">
        <v>3</v>
      </c>
      <c r="AE2496">
        <v>0</v>
      </c>
      <c r="AF2496">
        <v>0</v>
      </c>
      <c r="AG2496" s="29" t="s">
        <v>3669</v>
      </c>
      <c r="AH2496" s="29" t="s">
        <v>3673</v>
      </c>
      <c r="AI2496" s="29" t="s">
        <v>3682</v>
      </c>
      <c r="AJ2496" s="29"/>
      <c r="AL2496" s="29" t="s">
        <v>3670</v>
      </c>
    </row>
    <row r="2497" spans="15:38">
      <c r="O2497" t="s">
        <v>24</v>
      </c>
      <c r="P2497" t="s">
        <v>43</v>
      </c>
      <c r="Q2497" t="s">
        <v>2</v>
      </c>
      <c r="R2497" t="s">
        <v>57</v>
      </c>
      <c r="S2497">
        <v>2024.39</v>
      </c>
      <c r="T2497">
        <v>141.6</v>
      </c>
      <c r="U2497">
        <v>0</v>
      </c>
      <c r="V2497">
        <v>0</v>
      </c>
      <c r="AA2497" s="29" t="s">
        <v>43</v>
      </c>
      <c r="AB2497">
        <v>31200</v>
      </c>
      <c r="AC2497">
        <v>170</v>
      </c>
      <c r="AD2497">
        <v>3</v>
      </c>
      <c r="AE2497">
        <v>183.6</v>
      </c>
      <c r="AF2497">
        <v>183.6</v>
      </c>
      <c r="AG2497" s="29" t="s">
        <v>3669</v>
      </c>
      <c r="AH2497" s="29" t="s">
        <v>3683</v>
      </c>
      <c r="AI2497" s="29" t="s">
        <v>3684</v>
      </c>
      <c r="AJ2497" s="29"/>
      <c r="AL2497" s="29" t="s">
        <v>3670</v>
      </c>
    </row>
    <row r="2498" spans="15:38">
      <c r="O2498" t="s">
        <v>24</v>
      </c>
      <c r="P2498" t="s">
        <v>43</v>
      </c>
      <c r="Q2498" t="s">
        <v>2</v>
      </c>
      <c r="R2498" t="s">
        <v>57</v>
      </c>
      <c r="S2498">
        <v>2024.41</v>
      </c>
      <c r="T2498">
        <v>141.6</v>
      </c>
      <c r="U2498">
        <v>0</v>
      </c>
      <c r="V2498">
        <v>0</v>
      </c>
      <c r="AA2498" s="29" t="s">
        <v>43</v>
      </c>
      <c r="AB2498">
        <v>31200</v>
      </c>
      <c r="AC2498">
        <v>170</v>
      </c>
      <c r="AD2498">
        <v>3</v>
      </c>
      <c r="AE2498">
        <v>0</v>
      </c>
      <c r="AF2498">
        <v>0</v>
      </c>
      <c r="AG2498" s="29" t="s">
        <v>3669</v>
      </c>
      <c r="AH2498" s="29" t="s">
        <v>3673</v>
      </c>
      <c r="AI2498" s="29" t="s">
        <v>3685</v>
      </c>
      <c r="AJ2498" s="29"/>
      <c r="AL2498" s="29" t="s">
        <v>3670</v>
      </c>
    </row>
    <row r="2499" spans="15:38">
      <c r="O2499" t="s">
        <v>24</v>
      </c>
      <c r="P2499" t="s">
        <v>43</v>
      </c>
      <c r="Q2499" t="s">
        <v>2</v>
      </c>
      <c r="R2499" t="s">
        <v>57</v>
      </c>
      <c r="S2499">
        <v>2024.43</v>
      </c>
      <c r="T2499">
        <v>141.6</v>
      </c>
      <c r="U2499">
        <v>0</v>
      </c>
      <c r="V2499">
        <v>0</v>
      </c>
      <c r="AA2499" s="29" t="s">
        <v>43</v>
      </c>
      <c r="AB2499">
        <v>31200</v>
      </c>
      <c r="AC2499">
        <v>170</v>
      </c>
      <c r="AD2499">
        <v>3</v>
      </c>
      <c r="AE2499">
        <v>0</v>
      </c>
      <c r="AF2499">
        <v>0</v>
      </c>
      <c r="AG2499" s="29" t="s">
        <v>3669</v>
      </c>
      <c r="AH2499" s="29" t="s">
        <v>3673</v>
      </c>
      <c r="AI2499" s="29" t="s">
        <v>3686</v>
      </c>
      <c r="AJ2499" s="29"/>
      <c r="AL2499" s="29" t="s">
        <v>3670</v>
      </c>
    </row>
    <row r="2500" spans="15:38">
      <c r="O2500" t="s">
        <v>24</v>
      </c>
      <c r="P2500" t="s">
        <v>43</v>
      </c>
      <c r="Q2500" t="s">
        <v>2</v>
      </c>
      <c r="R2500" t="s">
        <v>57</v>
      </c>
      <c r="S2500">
        <v>2024.44</v>
      </c>
      <c r="T2500">
        <v>141.6</v>
      </c>
      <c r="U2500">
        <v>0</v>
      </c>
      <c r="V2500">
        <v>0</v>
      </c>
      <c r="AA2500" s="29" t="s">
        <v>43</v>
      </c>
      <c r="AB2500">
        <v>31200</v>
      </c>
      <c r="AC2500">
        <v>170</v>
      </c>
      <c r="AD2500">
        <v>3</v>
      </c>
      <c r="AE2500">
        <v>105</v>
      </c>
      <c r="AF2500">
        <v>105</v>
      </c>
      <c r="AG2500" s="29" t="s">
        <v>3669</v>
      </c>
      <c r="AH2500" s="29" t="s">
        <v>3687</v>
      </c>
      <c r="AI2500" s="29" t="s">
        <v>3688</v>
      </c>
      <c r="AJ2500" s="29"/>
      <c r="AL2500" s="29" t="s">
        <v>3670</v>
      </c>
    </row>
    <row r="2501" spans="15:38">
      <c r="O2501" t="s">
        <v>24</v>
      </c>
      <c r="P2501" t="s">
        <v>43</v>
      </c>
      <c r="Q2501" t="s">
        <v>2</v>
      </c>
      <c r="R2501" t="s">
        <v>57</v>
      </c>
      <c r="S2501">
        <v>2024.45</v>
      </c>
      <c r="T2501">
        <v>141.6</v>
      </c>
      <c r="U2501">
        <v>0</v>
      </c>
      <c r="V2501">
        <v>0</v>
      </c>
      <c r="AA2501" s="29" t="s">
        <v>43</v>
      </c>
      <c r="AB2501">
        <v>31200</v>
      </c>
      <c r="AC2501">
        <v>170</v>
      </c>
      <c r="AD2501">
        <v>3</v>
      </c>
      <c r="AE2501">
        <v>177.63</v>
      </c>
      <c r="AF2501">
        <v>177.63</v>
      </c>
      <c r="AG2501" s="29" t="s">
        <v>3669</v>
      </c>
      <c r="AH2501" s="29" t="s">
        <v>3689</v>
      </c>
      <c r="AI2501" s="29" t="s">
        <v>3690</v>
      </c>
      <c r="AJ2501" s="29"/>
      <c r="AL2501" s="29" t="s">
        <v>3670</v>
      </c>
    </row>
    <row r="2502" spans="15:38">
      <c r="O2502" t="s">
        <v>24</v>
      </c>
      <c r="P2502" t="s">
        <v>43</v>
      </c>
      <c r="Q2502" t="s">
        <v>2</v>
      </c>
      <c r="R2502" t="s">
        <v>57</v>
      </c>
      <c r="S2502">
        <v>2024.47</v>
      </c>
      <c r="T2502">
        <v>141.6</v>
      </c>
      <c r="U2502">
        <v>0</v>
      </c>
      <c r="V2502">
        <v>0</v>
      </c>
      <c r="AA2502" s="29" t="s">
        <v>43</v>
      </c>
      <c r="AB2502">
        <v>31200</v>
      </c>
      <c r="AC2502">
        <v>170</v>
      </c>
      <c r="AD2502">
        <v>3</v>
      </c>
      <c r="AE2502">
        <v>70.5</v>
      </c>
      <c r="AF2502">
        <v>70.5</v>
      </c>
      <c r="AG2502" s="29" t="s">
        <v>3669</v>
      </c>
      <c r="AH2502" s="29" t="s">
        <v>3691</v>
      </c>
      <c r="AI2502" s="29" t="s">
        <v>3692</v>
      </c>
      <c r="AJ2502" s="29"/>
      <c r="AL2502" s="29" t="s">
        <v>3670</v>
      </c>
    </row>
    <row r="2503" spans="15:38">
      <c r="O2503" t="s">
        <v>24</v>
      </c>
      <c r="P2503" t="s">
        <v>43</v>
      </c>
      <c r="Q2503" t="s">
        <v>2</v>
      </c>
      <c r="R2503" t="s">
        <v>57</v>
      </c>
      <c r="S2503">
        <v>2024.48</v>
      </c>
      <c r="T2503">
        <v>141.6</v>
      </c>
      <c r="U2503">
        <v>0</v>
      </c>
      <c r="V2503">
        <v>141.6</v>
      </c>
      <c r="AA2503" s="29" t="s">
        <v>43</v>
      </c>
      <c r="AB2503">
        <v>31200</v>
      </c>
      <c r="AC2503">
        <v>170</v>
      </c>
      <c r="AD2503">
        <v>3</v>
      </c>
      <c r="AE2503">
        <v>846</v>
      </c>
      <c r="AF2503">
        <v>846</v>
      </c>
      <c r="AG2503" s="29" t="s">
        <v>3669</v>
      </c>
      <c r="AH2503" s="29" t="s">
        <v>3693</v>
      </c>
      <c r="AI2503" s="29" t="s">
        <v>3694</v>
      </c>
      <c r="AJ2503" s="29"/>
      <c r="AL2503" s="29" t="s">
        <v>3670</v>
      </c>
    </row>
    <row r="2504" spans="15:38">
      <c r="O2504" t="s">
        <v>24</v>
      </c>
      <c r="P2504" t="s">
        <v>43</v>
      </c>
      <c r="Q2504" t="s">
        <v>2</v>
      </c>
      <c r="R2504" t="s">
        <v>57</v>
      </c>
      <c r="S2504">
        <v>2024.49</v>
      </c>
      <c r="T2504">
        <v>141.6</v>
      </c>
      <c r="U2504">
        <v>0</v>
      </c>
      <c r="V2504">
        <v>141.6</v>
      </c>
      <c r="AA2504" s="29" t="s">
        <v>43</v>
      </c>
      <c r="AB2504">
        <v>31200</v>
      </c>
      <c r="AC2504">
        <v>170</v>
      </c>
      <c r="AD2504">
        <v>3</v>
      </c>
      <c r="AE2504">
        <v>0</v>
      </c>
      <c r="AF2504">
        <v>0</v>
      </c>
      <c r="AG2504" s="29" t="s">
        <v>3669</v>
      </c>
      <c r="AH2504" s="29" t="s">
        <v>3673</v>
      </c>
      <c r="AI2504" s="29" t="s">
        <v>3695</v>
      </c>
      <c r="AJ2504" s="29"/>
      <c r="AL2504" s="29" t="s">
        <v>3670</v>
      </c>
    </row>
    <row r="2505" spans="15:38">
      <c r="O2505" t="s">
        <v>24</v>
      </c>
      <c r="P2505" t="s">
        <v>43</v>
      </c>
      <c r="Q2505" t="s">
        <v>2</v>
      </c>
      <c r="R2505" t="s">
        <v>57</v>
      </c>
      <c r="S2505">
        <v>2025.03</v>
      </c>
      <c r="T2505">
        <v>141.6</v>
      </c>
      <c r="U2505">
        <v>0</v>
      </c>
      <c r="V2505">
        <v>141.6</v>
      </c>
      <c r="AA2505" s="29" t="s">
        <v>43</v>
      </c>
      <c r="AB2505">
        <v>31200</v>
      </c>
      <c r="AC2505">
        <v>170</v>
      </c>
      <c r="AD2505">
        <v>3</v>
      </c>
      <c r="AE2505">
        <v>-110</v>
      </c>
      <c r="AF2505">
        <v>-110</v>
      </c>
      <c r="AG2505" s="29" t="s">
        <v>3669</v>
      </c>
      <c r="AH2505" s="29" t="s">
        <v>3696</v>
      </c>
      <c r="AI2505" s="29" t="s">
        <v>3697</v>
      </c>
      <c r="AJ2505" s="29"/>
      <c r="AL2505" s="29" t="s">
        <v>3670</v>
      </c>
    </row>
    <row r="2506" spans="15:38">
      <c r="O2506" t="s">
        <v>24</v>
      </c>
      <c r="P2506" t="s">
        <v>43</v>
      </c>
      <c r="Q2506" t="s">
        <v>2</v>
      </c>
      <c r="R2506" t="s">
        <v>57</v>
      </c>
      <c r="S2506">
        <v>2025.08</v>
      </c>
      <c r="T2506">
        <v>146.47</v>
      </c>
      <c r="U2506">
        <v>0</v>
      </c>
      <c r="V2506">
        <v>141.6</v>
      </c>
      <c r="AA2506" s="29" t="s">
        <v>43</v>
      </c>
      <c r="AB2506">
        <v>31200</v>
      </c>
      <c r="AC2506">
        <v>170</v>
      </c>
      <c r="AD2506">
        <v>3</v>
      </c>
      <c r="AE2506">
        <v>440</v>
      </c>
      <c r="AF2506">
        <v>440</v>
      </c>
      <c r="AG2506" s="29" t="s">
        <v>3669</v>
      </c>
      <c r="AH2506" s="29" t="s">
        <v>3698</v>
      </c>
      <c r="AI2506" s="29" t="s">
        <v>3699</v>
      </c>
      <c r="AJ2506" s="29"/>
      <c r="AL2506" s="29" t="s">
        <v>3670</v>
      </c>
    </row>
    <row r="2507" spans="15:38">
      <c r="O2507" t="s">
        <v>24</v>
      </c>
      <c r="P2507" t="s">
        <v>43</v>
      </c>
      <c r="Q2507" t="s">
        <v>2</v>
      </c>
      <c r="R2507" t="s">
        <v>57</v>
      </c>
      <c r="S2507">
        <v>2025.1</v>
      </c>
      <c r="T2507">
        <v>146.47</v>
      </c>
      <c r="U2507">
        <v>0</v>
      </c>
      <c r="V2507">
        <v>141.6</v>
      </c>
      <c r="AA2507" s="29" t="s">
        <v>43</v>
      </c>
      <c r="AB2507">
        <v>31200</v>
      </c>
      <c r="AC2507">
        <v>170</v>
      </c>
      <c r="AD2507">
        <v>3</v>
      </c>
      <c r="AE2507">
        <v>570</v>
      </c>
      <c r="AF2507">
        <v>570</v>
      </c>
      <c r="AG2507" s="29" t="s">
        <v>3669</v>
      </c>
      <c r="AH2507" s="29" t="s">
        <v>3700</v>
      </c>
      <c r="AI2507" s="29" t="s">
        <v>3701</v>
      </c>
      <c r="AJ2507" s="29"/>
      <c r="AL2507" s="29" t="s">
        <v>3670</v>
      </c>
    </row>
    <row r="2508" spans="15:38">
      <c r="O2508" t="s">
        <v>24</v>
      </c>
      <c r="P2508" t="s">
        <v>43</v>
      </c>
      <c r="Q2508" t="s">
        <v>2</v>
      </c>
      <c r="R2508" t="s">
        <v>57</v>
      </c>
      <c r="S2508">
        <v>2025.11</v>
      </c>
      <c r="T2508">
        <v>146.47</v>
      </c>
      <c r="U2508">
        <v>0</v>
      </c>
      <c r="V2508">
        <v>141.6</v>
      </c>
      <c r="AA2508" s="29" t="s">
        <v>43</v>
      </c>
      <c r="AB2508">
        <v>31200</v>
      </c>
      <c r="AC2508">
        <v>170</v>
      </c>
      <c r="AD2508">
        <v>3</v>
      </c>
      <c r="AE2508">
        <v>7604.76</v>
      </c>
      <c r="AF2508">
        <v>7604.76</v>
      </c>
      <c r="AG2508" s="29" t="s">
        <v>3669</v>
      </c>
      <c r="AH2508" s="29" t="s">
        <v>3702</v>
      </c>
      <c r="AI2508" s="29" t="s">
        <v>3703</v>
      </c>
      <c r="AJ2508" s="29"/>
      <c r="AL2508" s="29" t="s">
        <v>3670</v>
      </c>
    </row>
    <row r="2509" spans="15:38">
      <c r="O2509" t="s">
        <v>24</v>
      </c>
      <c r="P2509" t="s">
        <v>43</v>
      </c>
      <c r="Q2509" t="s">
        <v>2</v>
      </c>
      <c r="R2509" t="s">
        <v>57</v>
      </c>
      <c r="S2509">
        <v>2025.12</v>
      </c>
      <c r="T2509">
        <v>146.47</v>
      </c>
      <c r="U2509">
        <v>0</v>
      </c>
      <c r="V2509">
        <v>141.6</v>
      </c>
      <c r="AA2509" s="29" t="s">
        <v>43</v>
      </c>
      <c r="AB2509">
        <v>31200</v>
      </c>
      <c r="AC2509">
        <v>170</v>
      </c>
      <c r="AD2509">
        <v>3</v>
      </c>
      <c r="AE2509">
        <v>0</v>
      </c>
      <c r="AF2509">
        <v>0</v>
      </c>
      <c r="AG2509" s="29" t="s">
        <v>3669</v>
      </c>
      <c r="AH2509" s="29" t="s">
        <v>3673</v>
      </c>
      <c r="AI2509" s="29" t="s">
        <v>3704</v>
      </c>
      <c r="AJ2509" s="29"/>
      <c r="AL2509" s="29" t="s">
        <v>3670</v>
      </c>
    </row>
    <row r="2510" spans="15:38">
      <c r="O2510" t="s">
        <v>24</v>
      </c>
      <c r="P2510" t="s">
        <v>43</v>
      </c>
      <c r="Q2510" t="s">
        <v>2</v>
      </c>
      <c r="R2510" t="s">
        <v>58</v>
      </c>
      <c r="S2510">
        <v>2023.51</v>
      </c>
      <c r="T2510">
        <v>26.3</v>
      </c>
      <c r="U2510">
        <v>0</v>
      </c>
      <c r="V2510">
        <v>0</v>
      </c>
      <c r="AA2510" s="29" t="s">
        <v>43</v>
      </c>
      <c r="AB2510">
        <v>31200</v>
      </c>
      <c r="AC2510">
        <v>170</v>
      </c>
      <c r="AD2510">
        <v>3</v>
      </c>
      <c r="AE2510">
        <v>452.92</v>
      </c>
      <c r="AF2510">
        <v>452.92</v>
      </c>
      <c r="AG2510" s="29" t="s">
        <v>3669</v>
      </c>
      <c r="AH2510" s="29" t="s">
        <v>3705</v>
      </c>
      <c r="AI2510" s="29" t="s">
        <v>3706</v>
      </c>
      <c r="AJ2510" s="29"/>
      <c r="AL2510" s="29" t="s">
        <v>3670</v>
      </c>
    </row>
    <row r="2511" spans="15:38">
      <c r="O2511" t="s">
        <v>24</v>
      </c>
      <c r="P2511" t="s">
        <v>43</v>
      </c>
      <c r="Q2511" t="s">
        <v>2</v>
      </c>
      <c r="R2511" t="s">
        <v>58</v>
      </c>
      <c r="S2511">
        <v>2024.09</v>
      </c>
      <c r="T2511">
        <v>26.3</v>
      </c>
      <c r="U2511">
        <v>0</v>
      </c>
      <c r="V2511">
        <v>0</v>
      </c>
      <c r="AA2511" s="29" t="s">
        <v>43</v>
      </c>
      <c r="AB2511">
        <v>31200</v>
      </c>
      <c r="AC2511">
        <v>170</v>
      </c>
      <c r="AD2511">
        <v>3</v>
      </c>
      <c r="AE2511">
        <v>27.6</v>
      </c>
      <c r="AF2511">
        <v>27.6</v>
      </c>
      <c r="AG2511" s="29" t="s">
        <v>3669</v>
      </c>
      <c r="AH2511" s="29" t="s">
        <v>3707</v>
      </c>
      <c r="AI2511" s="29" t="s">
        <v>3708</v>
      </c>
      <c r="AJ2511" s="29"/>
      <c r="AL2511" s="29" t="s">
        <v>3670</v>
      </c>
    </row>
    <row r="2512" spans="15:38">
      <c r="O2512" t="s">
        <v>24</v>
      </c>
      <c r="P2512" t="s">
        <v>43</v>
      </c>
      <c r="Q2512" t="s">
        <v>2</v>
      </c>
      <c r="R2512" t="s">
        <v>58</v>
      </c>
      <c r="S2512">
        <v>2024.1</v>
      </c>
      <c r="T2512">
        <v>264.60000000000002</v>
      </c>
      <c r="U2512">
        <v>0</v>
      </c>
      <c r="V2512">
        <v>0</v>
      </c>
      <c r="AA2512" s="29" t="s">
        <v>43</v>
      </c>
      <c r="AB2512">
        <v>31200</v>
      </c>
      <c r="AC2512">
        <v>170</v>
      </c>
      <c r="AD2512">
        <v>3</v>
      </c>
      <c r="AE2512">
        <v>0</v>
      </c>
      <c r="AF2512">
        <v>0</v>
      </c>
      <c r="AG2512" s="29" t="s">
        <v>3669</v>
      </c>
      <c r="AH2512" s="29" t="s">
        <v>3673</v>
      </c>
      <c r="AI2512" s="29" t="s">
        <v>3709</v>
      </c>
      <c r="AJ2512" s="29"/>
      <c r="AL2512" s="29" t="s">
        <v>3670</v>
      </c>
    </row>
    <row r="2513" spans="15:38">
      <c r="O2513" t="s">
        <v>24</v>
      </c>
      <c r="P2513" t="s">
        <v>43</v>
      </c>
      <c r="Q2513" t="s">
        <v>2</v>
      </c>
      <c r="R2513" t="s">
        <v>58</v>
      </c>
      <c r="S2513">
        <v>2024.11</v>
      </c>
      <c r="T2513">
        <v>264.60000000000002</v>
      </c>
      <c r="U2513">
        <v>0</v>
      </c>
      <c r="V2513">
        <v>0</v>
      </c>
      <c r="AA2513" s="29" t="s">
        <v>43</v>
      </c>
      <c r="AB2513">
        <v>31200</v>
      </c>
      <c r="AC2513">
        <v>170</v>
      </c>
      <c r="AD2513">
        <v>3</v>
      </c>
      <c r="AE2513">
        <v>837</v>
      </c>
      <c r="AF2513">
        <v>837</v>
      </c>
      <c r="AG2513" s="29" t="s">
        <v>3669</v>
      </c>
      <c r="AH2513" s="29" t="s">
        <v>3710</v>
      </c>
      <c r="AI2513" s="29" t="s">
        <v>3711</v>
      </c>
      <c r="AJ2513" s="29"/>
      <c r="AL2513" s="29" t="s">
        <v>3670</v>
      </c>
    </row>
    <row r="2514" spans="15:38">
      <c r="O2514" t="s">
        <v>24</v>
      </c>
      <c r="P2514" t="s">
        <v>43</v>
      </c>
      <c r="Q2514" t="s">
        <v>2</v>
      </c>
      <c r="R2514" t="s">
        <v>58</v>
      </c>
      <c r="S2514">
        <v>2024.12</v>
      </c>
      <c r="T2514">
        <v>264.60000000000002</v>
      </c>
      <c r="U2514">
        <v>0</v>
      </c>
      <c r="V2514">
        <v>0</v>
      </c>
      <c r="AA2514" s="29" t="s">
        <v>43</v>
      </c>
      <c r="AB2514">
        <v>31200</v>
      </c>
      <c r="AC2514">
        <v>170</v>
      </c>
      <c r="AD2514">
        <v>3</v>
      </c>
      <c r="AE2514">
        <v>63.2</v>
      </c>
      <c r="AF2514">
        <v>63.2</v>
      </c>
      <c r="AG2514" s="29" t="s">
        <v>3669</v>
      </c>
      <c r="AH2514" s="29" t="s">
        <v>3712</v>
      </c>
      <c r="AI2514" s="29" t="s">
        <v>3713</v>
      </c>
      <c r="AJ2514" s="29"/>
      <c r="AL2514" s="29" t="s">
        <v>3670</v>
      </c>
    </row>
    <row r="2515" spans="15:38">
      <c r="O2515" t="s">
        <v>24</v>
      </c>
      <c r="P2515" t="s">
        <v>43</v>
      </c>
      <c r="Q2515" t="s">
        <v>2</v>
      </c>
      <c r="R2515" t="s">
        <v>58</v>
      </c>
      <c r="S2515">
        <v>2024.14</v>
      </c>
      <c r="T2515">
        <v>2546.25</v>
      </c>
      <c r="U2515">
        <v>0</v>
      </c>
      <c r="V2515">
        <v>0</v>
      </c>
      <c r="AA2515" s="29" t="s">
        <v>43</v>
      </c>
      <c r="AB2515">
        <v>31200</v>
      </c>
      <c r="AC2515">
        <v>170</v>
      </c>
      <c r="AD2515">
        <v>3</v>
      </c>
      <c r="AE2515">
        <v>115.9</v>
      </c>
      <c r="AF2515">
        <v>115.9</v>
      </c>
      <c r="AG2515" s="29" t="s">
        <v>3669</v>
      </c>
      <c r="AH2515" s="29" t="s">
        <v>3714</v>
      </c>
      <c r="AI2515" s="29" t="s">
        <v>3715</v>
      </c>
      <c r="AJ2515" s="29"/>
      <c r="AL2515" s="29" t="s">
        <v>3670</v>
      </c>
    </row>
    <row r="2516" spans="15:38">
      <c r="O2516" t="s">
        <v>24</v>
      </c>
      <c r="P2516" t="s">
        <v>43</v>
      </c>
      <c r="Q2516" t="s">
        <v>2</v>
      </c>
      <c r="R2516" t="s">
        <v>58</v>
      </c>
      <c r="S2516">
        <v>2024.17</v>
      </c>
      <c r="T2516">
        <v>2546.25</v>
      </c>
      <c r="U2516">
        <v>0</v>
      </c>
      <c r="V2516">
        <v>0</v>
      </c>
      <c r="AA2516" s="29" t="s">
        <v>43</v>
      </c>
      <c r="AB2516">
        <v>31200</v>
      </c>
      <c r="AC2516">
        <v>170</v>
      </c>
      <c r="AD2516">
        <v>3</v>
      </c>
      <c r="AE2516">
        <v>568</v>
      </c>
      <c r="AF2516">
        <v>568</v>
      </c>
      <c r="AG2516" s="29" t="s">
        <v>3669</v>
      </c>
      <c r="AH2516" s="29" t="s">
        <v>3716</v>
      </c>
      <c r="AI2516" s="29" t="s">
        <v>3717</v>
      </c>
      <c r="AJ2516" s="29"/>
      <c r="AL2516" s="29" t="s">
        <v>3670</v>
      </c>
    </row>
    <row r="2517" spans="15:38">
      <c r="O2517" t="s">
        <v>24</v>
      </c>
      <c r="P2517" t="s">
        <v>43</v>
      </c>
      <c r="Q2517" t="s">
        <v>2</v>
      </c>
      <c r="R2517" t="s">
        <v>58</v>
      </c>
      <c r="S2517">
        <v>2024.18</v>
      </c>
      <c r="T2517">
        <v>2546.25</v>
      </c>
      <c r="U2517">
        <v>0</v>
      </c>
      <c r="V2517">
        <v>0</v>
      </c>
      <c r="AA2517" s="29" t="s">
        <v>43</v>
      </c>
      <c r="AB2517">
        <v>31200</v>
      </c>
      <c r="AC2517">
        <v>170</v>
      </c>
      <c r="AD2517">
        <v>3</v>
      </c>
      <c r="AE2517">
        <v>220</v>
      </c>
      <c r="AF2517">
        <v>220</v>
      </c>
      <c r="AG2517" s="29" t="s">
        <v>3669</v>
      </c>
      <c r="AH2517" s="29" t="s">
        <v>3718</v>
      </c>
      <c r="AI2517" s="29" t="s">
        <v>3719</v>
      </c>
      <c r="AJ2517" s="29"/>
      <c r="AL2517" s="29" t="s">
        <v>3670</v>
      </c>
    </row>
    <row r="2518" spans="15:38">
      <c r="O2518" t="s">
        <v>24</v>
      </c>
      <c r="P2518" t="s">
        <v>43</v>
      </c>
      <c r="Q2518" t="s">
        <v>2</v>
      </c>
      <c r="R2518" t="s">
        <v>58</v>
      </c>
      <c r="S2518">
        <v>2024.19</v>
      </c>
      <c r="T2518">
        <v>2546.25</v>
      </c>
      <c r="U2518">
        <v>0</v>
      </c>
      <c r="V2518">
        <v>0</v>
      </c>
      <c r="AA2518" s="29" t="s">
        <v>43</v>
      </c>
      <c r="AB2518">
        <v>31200</v>
      </c>
      <c r="AC2518">
        <v>170</v>
      </c>
      <c r="AD2518">
        <v>3</v>
      </c>
      <c r="AE2518">
        <v>110</v>
      </c>
      <c r="AF2518">
        <v>110</v>
      </c>
      <c r="AG2518" s="29" t="s">
        <v>3669</v>
      </c>
      <c r="AH2518" s="29" t="s">
        <v>3720</v>
      </c>
      <c r="AI2518" s="29" t="s">
        <v>3721</v>
      </c>
      <c r="AJ2518" s="29"/>
      <c r="AL2518" s="29" t="s">
        <v>3670</v>
      </c>
    </row>
    <row r="2519" spans="15:38">
      <c r="O2519" t="s">
        <v>24</v>
      </c>
      <c r="P2519" t="s">
        <v>43</v>
      </c>
      <c r="Q2519" t="s">
        <v>2</v>
      </c>
      <c r="R2519" t="s">
        <v>58</v>
      </c>
      <c r="S2519">
        <v>2024.2</v>
      </c>
      <c r="T2519">
        <v>2546.25</v>
      </c>
      <c r="U2519">
        <v>0</v>
      </c>
      <c r="V2519">
        <v>0</v>
      </c>
      <c r="AA2519" s="29" t="s">
        <v>43</v>
      </c>
      <c r="AB2519">
        <v>31200</v>
      </c>
      <c r="AC2519">
        <v>170</v>
      </c>
      <c r="AD2519">
        <v>3</v>
      </c>
      <c r="AE2519">
        <v>440</v>
      </c>
      <c r="AF2519">
        <v>440</v>
      </c>
      <c r="AG2519" s="29" t="s">
        <v>3669</v>
      </c>
      <c r="AH2519" s="29" t="s">
        <v>3698</v>
      </c>
      <c r="AI2519" s="29" t="s">
        <v>3699</v>
      </c>
      <c r="AJ2519" s="29"/>
      <c r="AL2519" s="29" t="s">
        <v>3670</v>
      </c>
    </row>
    <row r="2520" spans="15:38">
      <c r="O2520" t="s">
        <v>24</v>
      </c>
      <c r="P2520" t="s">
        <v>43</v>
      </c>
      <c r="Q2520" t="s">
        <v>2</v>
      </c>
      <c r="R2520" t="s">
        <v>58</v>
      </c>
      <c r="S2520">
        <v>2024.21</v>
      </c>
      <c r="T2520">
        <v>2547.54</v>
      </c>
      <c r="U2520">
        <v>0</v>
      </c>
      <c r="V2520">
        <v>0</v>
      </c>
      <c r="AA2520" s="29" t="s">
        <v>43</v>
      </c>
      <c r="AB2520">
        <v>31200</v>
      </c>
      <c r="AC2520">
        <v>170</v>
      </c>
      <c r="AD2520">
        <v>3</v>
      </c>
      <c r="AE2520">
        <v>-440</v>
      </c>
      <c r="AF2520">
        <v>-440</v>
      </c>
      <c r="AG2520" s="29" t="s">
        <v>3669</v>
      </c>
      <c r="AH2520" s="29" t="s">
        <v>3722</v>
      </c>
      <c r="AI2520" s="29" t="s">
        <v>3723</v>
      </c>
      <c r="AJ2520" s="29"/>
      <c r="AL2520" s="29" t="s">
        <v>3670</v>
      </c>
    </row>
    <row r="2521" spans="15:38">
      <c r="O2521" t="s">
        <v>24</v>
      </c>
      <c r="P2521" t="s">
        <v>43</v>
      </c>
      <c r="Q2521" t="s">
        <v>2</v>
      </c>
      <c r="R2521" t="s">
        <v>58</v>
      </c>
      <c r="S2521">
        <v>2024.28</v>
      </c>
      <c r="T2521">
        <v>2892.57</v>
      </c>
      <c r="U2521">
        <v>0</v>
      </c>
      <c r="V2521">
        <v>0</v>
      </c>
      <c r="AA2521" s="29" t="s">
        <v>43</v>
      </c>
      <c r="AB2521">
        <v>31200</v>
      </c>
      <c r="AC2521">
        <v>170</v>
      </c>
      <c r="AD2521">
        <v>3</v>
      </c>
      <c r="AE2521">
        <v>0</v>
      </c>
      <c r="AF2521">
        <v>0</v>
      </c>
      <c r="AG2521" s="29" t="s">
        <v>3669</v>
      </c>
      <c r="AH2521" s="29" t="s">
        <v>3673</v>
      </c>
      <c r="AI2521" s="29" t="s">
        <v>3724</v>
      </c>
      <c r="AJ2521" s="29"/>
      <c r="AL2521" s="29" t="s">
        <v>3670</v>
      </c>
    </row>
    <row r="2522" spans="15:38">
      <c r="O2522" t="s">
        <v>24</v>
      </c>
      <c r="P2522" t="s">
        <v>43</v>
      </c>
      <c r="Q2522" t="s">
        <v>2</v>
      </c>
      <c r="R2522" t="s">
        <v>58</v>
      </c>
      <c r="S2522">
        <v>2024.38</v>
      </c>
      <c r="T2522">
        <v>2892.57</v>
      </c>
      <c r="U2522">
        <v>0</v>
      </c>
      <c r="V2522">
        <v>0</v>
      </c>
      <c r="AA2522" s="29" t="s">
        <v>43</v>
      </c>
      <c r="AB2522">
        <v>31200</v>
      </c>
      <c r="AC2522">
        <v>170</v>
      </c>
      <c r="AD2522">
        <v>3</v>
      </c>
      <c r="AE2522">
        <v>560</v>
      </c>
      <c r="AF2522">
        <v>560</v>
      </c>
      <c r="AG2522" s="29" t="s">
        <v>3669</v>
      </c>
      <c r="AH2522" s="29" t="s">
        <v>3725</v>
      </c>
      <c r="AI2522" s="29" t="s">
        <v>3726</v>
      </c>
      <c r="AJ2522" s="29"/>
      <c r="AL2522" s="29" t="s">
        <v>3670</v>
      </c>
    </row>
    <row r="2523" spans="15:38">
      <c r="O2523" t="s">
        <v>24</v>
      </c>
      <c r="P2523" t="s">
        <v>43</v>
      </c>
      <c r="Q2523" t="s">
        <v>2</v>
      </c>
      <c r="R2523" t="s">
        <v>58</v>
      </c>
      <c r="S2523">
        <v>2024.39</v>
      </c>
      <c r="T2523">
        <v>2892.57</v>
      </c>
      <c r="U2523">
        <v>0</v>
      </c>
      <c r="V2523">
        <v>0</v>
      </c>
      <c r="AA2523" s="29" t="s">
        <v>43</v>
      </c>
      <c r="AB2523">
        <v>31200</v>
      </c>
      <c r="AC2523">
        <v>170</v>
      </c>
      <c r="AD2523">
        <v>3</v>
      </c>
      <c r="AE2523">
        <v>594</v>
      </c>
      <c r="AF2523">
        <v>594</v>
      </c>
      <c r="AG2523" s="29" t="s">
        <v>3669</v>
      </c>
      <c r="AH2523" s="29" t="s">
        <v>3727</v>
      </c>
      <c r="AI2523" s="29" t="s">
        <v>3728</v>
      </c>
      <c r="AJ2523" s="29"/>
      <c r="AL2523" s="29" t="s">
        <v>3670</v>
      </c>
    </row>
    <row r="2524" spans="15:38">
      <c r="O2524" t="s">
        <v>24</v>
      </c>
      <c r="P2524" t="s">
        <v>43</v>
      </c>
      <c r="Q2524" t="s">
        <v>2</v>
      </c>
      <c r="R2524" t="s">
        <v>58</v>
      </c>
      <c r="S2524">
        <v>2024.41</v>
      </c>
      <c r="T2524">
        <v>2895.18</v>
      </c>
      <c r="U2524">
        <v>0</v>
      </c>
      <c r="V2524">
        <v>0</v>
      </c>
      <c r="AA2524" s="29" t="s">
        <v>43</v>
      </c>
      <c r="AB2524">
        <v>31200</v>
      </c>
      <c r="AC2524">
        <v>170</v>
      </c>
      <c r="AD2524">
        <v>3</v>
      </c>
      <c r="AE2524">
        <v>380</v>
      </c>
      <c r="AF2524">
        <v>380</v>
      </c>
      <c r="AG2524" s="29" t="s">
        <v>3669</v>
      </c>
      <c r="AH2524" s="29" t="s">
        <v>3729</v>
      </c>
      <c r="AI2524" s="29" t="s">
        <v>3730</v>
      </c>
      <c r="AJ2524" s="29"/>
      <c r="AL2524" s="29" t="s">
        <v>3670</v>
      </c>
    </row>
    <row r="2525" spans="15:38">
      <c r="O2525" t="s">
        <v>24</v>
      </c>
      <c r="P2525" t="s">
        <v>43</v>
      </c>
      <c r="Q2525" t="s">
        <v>2</v>
      </c>
      <c r="R2525" t="s">
        <v>58</v>
      </c>
      <c r="S2525">
        <v>2024.43</v>
      </c>
      <c r="T2525">
        <v>2895.18</v>
      </c>
      <c r="U2525">
        <v>0</v>
      </c>
      <c r="V2525">
        <v>0</v>
      </c>
      <c r="AA2525" s="29" t="s">
        <v>43</v>
      </c>
      <c r="AB2525">
        <v>31200</v>
      </c>
      <c r="AC2525">
        <v>170</v>
      </c>
      <c r="AD2525">
        <v>3</v>
      </c>
      <c r="AE2525">
        <v>0</v>
      </c>
      <c r="AF2525">
        <v>0</v>
      </c>
      <c r="AG2525" s="29" t="s">
        <v>3669</v>
      </c>
      <c r="AH2525" s="29" t="s">
        <v>3673</v>
      </c>
      <c r="AI2525" s="29" t="s">
        <v>3731</v>
      </c>
      <c r="AJ2525" s="29"/>
      <c r="AL2525" s="29" t="s">
        <v>3670</v>
      </c>
    </row>
    <row r="2526" spans="15:38">
      <c r="O2526" t="s">
        <v>24</v>
      </c>
      <c r="P2526" t="s">
        <v>43</v>
      </c>
      <c r="Q2526" t="s">
        <v>2</v>
      </c>
      <c r="R2526" t="s">
        <v>58</v>
      </c>
      <c r="S2526">
        <v>2024.44</v>
      </c>
      <c r="T2526">
        <v>2895.18</v>
      </c>
      <c r="U2526">
        <v>0</v>
      </c>
      <c r="V2526">
        <v>0</v>
      </c>
      <c r="AA2526" s="29" t="s">
        <v>43</v>
      </c>
      <c r="AB2526">
        <v>31200</v>
      </c>
      <c r="AC2526">
        <v>170</v>
      </c>
      <c r="AD2526">
        <v>3</v>
      </c>
      <c r="AE2526">
        <v>0</v>
      </c>
      <c r="AF2526">
        <v>0</v>
      </c>
      <c r="AG2526" s="29" t="s">
        <v>3669</v>
      </c>
      <c r="AH2526" s="29" t="s">
        <v>3673</v>
      </c>
      <c r="AI2526" s="29" t="s">
        <v>3732</v>
      </c>
      <c r="AJ2526" s="29"/>
      <c r="AL2526" s="29" t="s">
        <v>3670</v>
      </c>
    </row>
    <row r="2527" spans="15:38">
      <c r="O2527" t="s">
        <v>24</v>
      </c>
      <c r="P2527" t="s">
        <v>43</v>
      </c>
      <c r="Q2527" t="s">
        <v>2</v>
      </c>
      <c r="R2527" t="s">
        <v>58</v>
      </c>
      <c r="S2527">
        <v>2024.45</v>
      </c>
      <c r="T2527">
        <v>2895.18</v>
      </c>
      <c r="U2527">
        <v>0</v>
      </c>
      <c r="V2527">
        <v>0</v>
      </c>
      <c r="AA2527" s="29" t="s">
        <v>43</v>
      </c>
      <c r="AB2527">
        <v>31200</v>
      </c>
      <c r="AC2527">
        <v>170</v>
      </c>
      <c r="AD2527">
        <v>3</v>
      </c>
      <c r="AE2527">
        <v>0</v>
      </c>
      <c r="AF2527">
        <v>0</v>
      </c>
      <c r="AG2527" s="29" t="s">
        <v>3669</v>
      </c>
      <c r="AH2527" s="29" t="s">
        <v>3673</v>
      </c>
      <c r="AI2527" s="29" t="s">
        <v>3733</v>
      </c>
      <c r="AJ2527" s="29"/>
      <c r="AL2527" s="29" t="s">
        <v>3670</v>
      </c>
    </row>
    <row r="2528" spans="15:38">
      <c r="O2528" t="s">
        <v>24</v>
      </c>
      <c r="P2528" t="s">
        <v>43</v>
      </c>
      <c r="Q2528" t="s">
        <v>2</v>
      </c>
      <c r="R2528" t="s">
        <v>58</v>
      </c>
      <c r="S2528">
        <v>2024.47</v>
      </c>
      <c r="T2528">
        <v>2895.18</v>
      </c>
      <c r="U2528">
        <v>0</v>
      </c>
      <c r="V2528">
        <v>0</v>
      </c>
      <c r="AA2528" s="29" t="s">
        <v>43</v>
      </c>
      <c r="AB2528">
        <v>31200</v>
      </c>
      <c r="AC2528">
        <v>170</v>
      </c>
      <c r="AD2528">
        <v>3</v>
      </c>
      <c r="AE2528">
        <v>0</v>
      </c>
      <c r="AF2528">
        <v>0</v>
      </c>
      <c r="AG2528" s="29" t="s">
        <v>3669</v>
      </c>
      <c r="AH2528" s="29" t="s">
        <v>3673</v>
      </c>
      <c r="AI2528" s="29" t="s">
        <v>3734</v>
      </c>
      <c r="AJ2528" s="29"/>
      <c r="AL2528" s="29" t="s">
        <v>3670</v>
      </c>
    </row>
    <row r="2529" spans="15:38">
      <c r="O2529" t="s">
        <v>24</v>
      </c>
      <c r="P2529" t="s">
        <v>43</v>
      </c>
      <c r="Q2529" t="s">
        <v>2</v>
      </c>
      <c r="R2529" t="s">
        <v>58</v>
      </c>
      <c r="S2529">
        <v>2024.48</v>
      </c>
      <c r="T2529">
        <v>3207.94</v>
      </c>
      <c r="U2529">
        <v>0</v>
      </c>
      <c r="V2529">
        <v>2895.18</v>
      </c>
      <c r="AA2529" s="29" t="s">
        <v>43</v>
      </c>
      <c r="AB2529">
        <v>31200</v>
      </c>
      <c r="AC2529">
        <v>170</v>
      </c>
      <c r="AD2529">
        <v>3</v>
      </c>
      <c r="AE2529">
        <v>0</v>
      </c>
      <c r="AF2529">
        <v>0</v>
      </c>
      <c r="AG2529" s="29" t="s">
        <v>3669</v>
      </c>
      <c r="AH2529" s="29" t="s">
        <v>3673</v>
      </c>
      <c r="AI2529" s="29" t="s">
        <v>3735</v>
      </c>
      <c r="AJ2529" s="29"/>
      <c r="AL2529" s="29" t="s">
        <v>3670</v>
      </c>
    </row>
    <row r="2530" spans="15:38">
      <c r="O2530" t="s">
        <v>24</v>
      </c>
      <c r="P2530" t="s">
        <v>43</v>
      </c>
      <c r="Q2530" t="s">
        <v>2</v>
      </c>
      <c r="R2530" t="s">
        <v>58</v>
      </c>
      <c r="S2530">
        <v>2024.49</v>
      </c>
      <c r="T2530">
        <v>3207.94</v>
      </c>
      <c r="U2530">
        <v>0</v>
      </c>
      <c r="V2530">
        <v>2895.18</v>
      </c>
      <c r="AA2530" s="29" t="s">
        <v>43</v>
      </c>
      <c r="AB2530">
        <v>31200</v>
      </c>
      <c r="AC2530">
        <v>170</v>
      </c>
      <c r="AD2530">
        <v>3</v>
      </c>
      <c r="AE2530">
        <v>0</v>
      </c>
      <c r="AF2530">
        <v>0</v>
      </c>
      <c r="AG2530" s="29" t="s">
        <v>3669</v>
      </c>
      <c r="AH2530" s="29" t="s">
        <v>3673</v>
      </c>
      <c r="AI2530" s="29" t="s">
        <v>3736</v>
      </c>
      <c r="AJ2530" s="29"/>
      <c r="AL2530" s="29" t="s">
        <v>3670</v>
      </c>
    </row>
    <row r="2531" spans="15:38">
      <c r="O2531" t="s">
        <v>24</v>
      </c>
      <c r="P2531" t="s">
        <v>43</v>
      </c>
      <c r="Q2531" t="s">
        <v>2</v>
      </c>
      <c r="R2531" t="s">
        <v>58</v>
      </c>
      <c r="S2531">
        <v>2025.03</v>
      </c>
      <c r="T2531">
        <v>3207.94</v>
      </c>
      <c r="U2531">
        <v>0</v>
      </c>
      <c r="V2531">
        <v>3207.94</v>
      </c>
      <c r="AA2531" s="29" t="s">
        <v>43</v>
      </c>
      <c r="AB2531">
        <v>31200</v>
      </c>
      <c r="AC2531">
        <v>170</v>
      </c>
      <c r="AD2531">
        <v>3</v>
      </c>
      <c r="AE2531">
        <v>30</v>
      </c>
      <c r="AF2531">
        <v>30</v>
      </c>
      <c r="AG2531" s="29" t="s">
        <v>3669</v>
      </c>
      <c r="AH2531" s="29" t="s">
        <v>3737</v>
      </c>
      <c r="AI2531" s="29" t="s">
        <v>3738</v>
      </c>
      <c r="AJ2531" s="29"/>
      <c r="AL2531" s="29" t="s">
        <v>3670</v>
      </c>
    </row>
    <row r="2532" spans="15:38">
      <c r="O2532" t="s">
        <v>24</v>
      </c>
      <c r="P2532" t="s">
        <v>43</v>
      </c>
      <c r="Q2532" t="s">
        <v>2</v>
      </c>
      <c r="R2532" t="s">
        <v>58</v>
      </c>
      <c r="S2532">
        <v>2025.08</v>
      </c>
      <c r="T2532">
        <v>3285.71</v>
      </c>
      <c r="U2532">
        <v>0</v>
      </c>
      <c r="V2532">
        <v>3207.94</v>
      </c>
      <c r="AA2532" s="29" t="s">
        <v>43</v>
      </c>
      <c r="AB2532">
        <v>31200</v>
      </c>
      <c r="AC2532">
        <v>170</v>
      </c>
      <c r="AD2532">
        <v>3</v>
      </c>
      <c r="AE2532">
        <v>0</v>
      </c>
      <c r="AF2532">
        <v>0</v>
      </c>
      <c r="AG2532" s="29" t="s">
        <v>3669</v>
      </c>
      <c r="AH2532" s="29" t="s">
        <v>3673</v>
      </c>
      <c r="AI2532" s="29" t="s">
        <v>3739</v>
      </c>
      <c r="AJ2532" s="29"/>
      <c r="AL2532" s="29" t="s">
        <v>3670</v>
      </c>
    </row>
    <row r="2533" spans="15:38">
      <c r="O2533" t="s">
        <v>24</v>
      </c>
      <c r="P2533" t="s">
        <v>43</v>
      </c>
      <c r="Q2533" t="s">
        <v>2</v>
      </c>
      <c r="R2533" t="s">
        <v>58</v>
      </c>
      <c r="S2533">
        <v>2025.1</v>
      </c>
      <c r="T2533">
        <v>3285.71</v>
      </c>
      <c r="U2533">
        <v>0</v>
      </c>
      <c r="V2533">
        <v>3207.94</v>
      </c>
      <c r="AA2533" s="29" t="s">
        <v>43</v>
      </c>
      <c r="AB2533">
        <v>31200</v>
      </c>
      <c r="AC2533">
        <v>170</v>
      </c>
      <c r="AD2533">
        <v>3</v>
      </c>
      <c r="AE2533">
        <v>11250</v>
      </c>
      <c r="AF2533">
        <v>11250</v>
      </c>
      <c r="AG2533" s="29" t="s">
        <v>3669</v>
      </c>
      <c r="AH2533" s="29" t="s">
        <v>3740</v>
      </c>
      <c r="AI2533" s="29" t="s">
        <v>3741</v>
      </c>
      <c r="AJ2533" s="29"/>
      <c r="AL2533" s="29" t="s">
        <v>3670</v>
      </c>
    </row>
    <row r="2534" spans="15:38">
      <c r="O2534" t="s">
        <v>24</v>
      </c>
      <c r="P2534" t="s">
        <v>43</v>
      </c>
      <c r="Q2534" t="s">
        <v>2</v>
      </c>
      <c r="R2534" t="s">
        <v>58</v>
      </c>
      <c r="S2534">
        <v>2025.11</v>
      </c>
      <c r="T2534">
        <v>3285.71</v>
      </c>
      <c r="U2534">
        <v>0</v>
      </c>
      <c r="V2534">
        <v>3207.94</v>
      </c>
      <c r="AA2534" s="29" t="s">
        <v>43</v>
      </c>
      <c r="AB2534">
        <v>31200</v>
      </c>
      <c r="AC2534">
        <v>170</v>
      </c>
      <c r="AD2534">
        <v>3</v>
      </c>
      <c r="AE2534">
        <v>0</v>
      </c>
      <c r="AF2534">
        <v>0</v>
      </c>
      <c r="AG2534" s="29" t="s">
        <v>3669</v>
      </c>
      <c r="AH2534" s="29" t="s">
        <v>3673</v>
      </c>
      <c r="AI2534" s="29" t="s">
        <v>3742</v>
      </c>
      <c r="AJ2534" s="29"/>
      <c r="AL2534" s="29" t="s">
        <v>3670</v>
      </c>
    </row>
    <row r="2535" spans="15:38">
      <c r="O2535" t="s">
        <v>24</v>
      </c>
      <c r="P2535" t="s">
        <v>43</v>
      </c>
      <c r="Q2535" t="s">
        <v>2</v>
      </c>
      <c r="R2535" t="s">
        <v>58</v>
      </c>
      <c r="S2535">
        <v>2025.12</v>
      </c>
      <c r="T2535">
        <v>3285.71</v>
      </c>
      <c r="U2535">
        <v>0</v>
      </c>
      <c r="V2535">
        <v>3207.94</v>
      </c>
      <c r="AA2535" s="29" t="s">
        <v>43</v>
      </c>
      <c r="AB2535">
        <v>31200</v>
      </c>
      <c r="AC2535">
        <v>170</v>
      </c>
      <c r="AD2535">
        <v>3</v>
      </c>
      <c r="AE2535">
        <v>0</v>
      </c>
      <c r="AF2535">
        <v>0</v>
      </c>
      <c r="AG2535" s="29" t="s">
        <v>3669</v>
      </c>
      <c r="AH2535" s="29" t="s">
        <v>3673</v>
      </c>
      <c r="AI2535" s="29" t="s">
        <v>3743</v>
      </c>
      <c r="AJ2535" s="29"/>
      <c r="AL2535" s="29" t="s">
        <v>3670</v>
      </c>
    </row>
    <row r="2536" spans="15:38">
      <c r="O2536" t="s">
        <v>24</v>
      </c>
      <c r="P2536" t="s">
        <v>43</v>
      </c>
      <c r="Q2536" t="s">
        <v>2</v>
      </c>
      <c r="R2536" t="s">
        <v>55</v>
      </c>
      <c r="S2536">
        <v>2025.1</v>
      </c>
      <c r="T2536">
        <v>238.48</v>
      </c>
      <c r="U2536">
        <v>0</v>
      </c>
      <c r="V2536">
        <v>0</v>
      </c>
      <c r="AA2536" s="29" t="s">
        <v>43</v>
      </c>
      <c r="AB2536">
        <v>31200</v>
      </c>
      <c r="AC2536">
        <v>170</v>
      </c>
      <c r="AD2536">
        <v>3</v>
      </c>
      <c r="AE2536">
        <v>0</v>
      </c>
      <c r="AF2536">
        <v>0</v>
      </c>
      <c r="AG2536" s="29" t="s">
        <v>3669</v>
      </c>
      <c r="AH2536" s="29" t="s">
        <v>3673</v>
      </c>
      <c r="AI2536" s="29" t="s">
        <v>3744</v>
      </c>
      <c r="AJ2536" s="29"/>
      <c r="AL2536" s="29" t="s">
        <v>3670</v>
      </c>
    </row>
    <row r="2537" spans="15:38">
      <c r="O2537" t="s">
        <v>24</v>
      </c>
      <c r="P2537" t="s">
        <v>43</v>
      </c>
      <c r="Q2537" t="s">
        <v>2</v>
      </c>
      <c r="R2537" t="s">
        <v>55</v>
      </c>
      <c r="S2537">
        <v>2025.11</v>
      </c>
      <c r="T2537">
        <v>238.48</v>
      </c>
      <c r="U2537">
        <v>0</v>
      </c>
      <c r="V2537">
        <v>0</v>
      </c>
      <c r="AA2537" s="29" t="s">
        <v>43</v>
      </c>
      <c r="AB2537">
        <v>31200</v>
      </c>
      <c r="AC2537">
        <v>170</v>
      </c>
      <c r="AD2537">
        <v>3</v>
      </c>
      <c r="AE2537">
        <v>0</v>
      </c>
      <c r="AF2537">
        <v>0</v>
      </c>
      <c r="AG2537" s="29" t="s">
        <v>3669</v>
      </c>
      <c r="AH2537" s="29" t="s">
        <v>3673</v>
      </c>
      <c r="AI2537" s="29" t="s">
        <v>3745</v>
      </c>
      <c r="AJ2537" s="29"/>
      <c r="AL2537" s="29" t="s">
        <v>3670</v>
      </c>
    </row>
    <row r="2538" spans="15:38">
      <c r="O2538" t="s">
        <v>24</v>
      </c>
      <c r="P2538" t="s">
        <v>43</v>
      </c>
      <c r="Q2538" t="s">
        <v>2</v>
      </c>
      <c r="R2538" t="s">
        <v>55</v>
      </c>
      <c r="S2538">
        <v>2025.12</v>
      </c>
      <c r="T2538">
        <v>238.48</v>
      </c>
      <c r="U2538">
        <v>0</v>
      </c>
      <c r="V2538">
        <v>0</v>
      </c>
      <c r="AA2538" s="29" t="s">
        <v>43</v>
      </c>
      <c r="AB2538">
        <v>31200</v>
      </c>
      <c r="AC2538">
        <v>170</v>
      </c>
      <c r="AD2538">
        <v>3</v>
      </c>
      <c r="AE2538">
        <v>0</v>
      </c>
      <c r="AF2538">
        <v>0</v>
      </c>
      <c r="AG2538" s="29" t="s">
        <v>3669</v>
      </c>
      <c r="AH2538" s="29" t="s">
        <v>3673</v>
      </c>
      <c r="AI2538" s="29" t="s">
        <v>3746</v>
      </c>
      <c r="AJ2538" s="29"/>
      <c r="AL2538" s="29" t="s">
        <v>3670</v>
      </c>
    </row>
    <row r="2539" spans="15:38">
      <c r="O2539" t="s">
        <v>24</v>
      </c>
      <c r="P2539" t="s">
        <v>43</v>
      </c>
      <c r="Q2539" t="s">
        <v>2</v>
      </c>
      <c r="R2539" t="s">
        <v>56</v>
      </c>
      <c r="S2539">
        <v>2023.51</v>
      </c>
      <c r="T2539">
        <v>1549</v>
      </c>
      <c r="U2539">
        <v>0</v>
      </c>
      <c r="V2539">
        <v>0</v>
      </c>
      <c r="AA2539" s="29" t="s">
        <v>43</v>
      </c>
      <c r="AB2539">
        <v>31200</v>
      </c>
      <c r="AC2539">
        <v>170</v>
      </c>
      <c r="AD2539">
        <v>3</v>
      </c>
      <c r="AE2539">
        <v>0</v>
      </c>
      <c r="AF2539">
        <v>0</v>
      </c>
      <c r="AG2539" s="29" t="s">
        <v>3669</v>
      </c>
      <c r="AH2539" s="29" t="s">
        <v>3673</v>
      </c>
      <c r="AI2539" s="29" t="s">
        <v>3747</v>
      </c>
      <c r="AJ2539" s="29"/>
      <c r="AL2539" s="29" t="s">
        <v>3670</v>
      </c>
    </row>
    <row r="2540" spans="15:38">
      <c r="O2540" t="s">
        <v>24</v>
      </c>
      <c r="P2540" t="s">
        <v>43</v>
      </c>
      <c r="Q2540" t="s">
        <v>2</v>
      </c>
      <c r="R2540" t="s">
        <v>56</v>
      </c>
      <c r="S2540">
        <v>2024.08</v>
      </c>
      <c r="T2540">
        <v>198.35</v>
      </c>
      <c r="U2540">
        <v>0</v>
      </c>
      <c r="V2540">
        <v>0</v>
      </c>
      <c r="AA2540" s="29" t="s">
        <v>43</v>
      </c>
      <c r="AB2540">
        <v>31200</v>
      </c>
      <c r="AC2540">
        <v>170</v>
      </c>
      <c r="AD2540">
        <v>3</v>
      </c>
      <c r="AE2540">
        <v>416</v>
      </c>
      <c r="AF2540">
        <v>416</v>
      </c>
      <c r="AG2540" s="29" t="s">
        <v>3669</v>
      </c>
      <c r="AH2540" s="29" t="s">
        <v>3748</v>
      </c>
      <c r="AI2540" s="29" t="s">
        <v>3749</v>
      </c>
      <c r="AJ2540" s="29"/>
      <c r="AL2540" s="29" t="s">
        <v>3670</v>
      </c>
    </row>
    <row r="2541" spans="15:38">
      <c r="O2541" t="s">
        <v>24</v>
      </c>
      <c r="P2541" t="s">
        <v>43</v>
      </c>
      <c r="Q2541" t="s">
        <v>2</v>
      </c>
      <c r="R2541" t="s">
        <v>56</v>
      </c>
      <c r="S2541">
        <v>2024.09</v>
      </c>
      <c r="T2541">
        <v>1549</v>
      </c>
      <c r="U2541">
        <v>0</v>
      </c>
      <c r="V2541">
        <v>0</v>
      </c>
      <c r="AA2541" s="29" t="s">
        <v>43</v>
      </c>
      <c r="AB2541">
        <v>31200</v>
      </c>
      <c r="AC2541">
        <v>170</v>
      </c>
      <c r="AD2541">
        <v>3</v>
      </c>
      <c r="AE2541">
        <v>0</v>
      </c>
      <c r="AF2541">
        <v>0</v>
      </c>
      <c r="AG2541" s="29" t="s">
        <v>3669</v>
      </c>
      <c r="AH2541" s="29" t="s">
        <v>3673</v>
      </c>
      <c r="AI2541" s="29" t="s">
        <v>3750</v>
      </c>
      <c r="AJ2541" s="29"/>
      <c r="AL2541" s="29" t="s">
        <v>3670</v>
      </c>
    </row>
    <row r="2542" spans="15:38">
      <c r="O2542" t="s">
        <v>24</v>
      </c>
      <c r="P2542" t="s">
        <v>43</v>
      </c>
      <c r="Q2542" t="s">
        <v>2</v>
      </c>
      <c r="R2542" t="s">
        <v>56</v>
      </c>
      <c r="S2542">
        <v>2024.1</v>
      </c>
      <c r="T2542">
        <v>2455.7199999999998</v>
      </c>
      <c r="U2542">
        <v>0</v>
      </c>
      <c r="V2542">
        <v>0</v>
      </c>
      <c r="AA2542" s="29" t="s">
        <v>43</v>
      </c>
      <c r="AB2542">
        <v>31200</v>
      </c>
      <c r="AC2542">
        <v>170</v>
      </c>
      <c r="AD2542">
        <v>3</v>
      </c>
      <c r="AE2542">
        <v>0</v>
      </c>
      <c r="AF2542">
        <v>0</v>
      </c>
      <c r="AG2542" s="29" t="s">
        <v>3669</v>
      </c>
      <c r="AH2542" s="29" t="s">
        <v>3673</v>
      </c>
      <c r="AI2542" s="29" t="s">
        <v>3751</v>
      </c>
      <c r="AJ2542" s="29"/>
      <c r="AL2542" s="29" t="s">
        <v>3670</v>
      </c>
    </row>
    <row r="2543" spans="15:38">
      <c r="O2543" t="s">
        <v>24</v>
      </c>
      <c r="P2543" t="s">
        <v>43</v>
      </c>
      <c r="Q2543" t="s">
        <v>2</v>
      </c>
      <c r="R2543" t="s">
        <v>56</v>
      </c>
      <c r="S2543">
        <v>2024.11</v>
      </c>
      <c r="T2543">
        <v>3305.78</v>
      </c>
      <c r="U2543">
        <v>0</v>
      </c>
      <c r="V2543">
        <v>0</v>
      </c>
      <c r="AA2543" s="29" t="s">
        <v>43</v>
      </c>
      <c r="AB2543">
        <v>31200</v>
      </c>
      <c r="AC2543">
        <v>170</v>
      </c>
      <c r="AD2543">
        <v>3</v>
      </c>
      <c r="AE2543">
        <v>0</v>
      </c>
      <c r="AF2543">
        <v>0</v>
      </c>
      <c r="AG2543" s="29" t="s">
        <v>3669</v>
      </c>
      <c r="AH2543" s="29" t="s">
        <v>3673</v>
      </c>
      <c r="AI2543" s="29" t="s">
        <v>3752</v>
      </c>
      <c r="AJ2543" s="29"/>
      <c r="AL2543" s="29" t="s">
        <v>3670</v>
      </c>
    </row>
    <row r="2544" spans="15:38">
      <c r="O2544" t="s">
        <v>24</v>
      </c>
      <c r="P2544" t="s">
        <v>43</v>
      </c>
      <c r="Q2544" t="s">
        <v>2</v>
      </c>
      <c r="R2544" t="s">
        <v>56</v>
      </c>
      <c r="S2544">
        <v>2024.12</v>
      </c>
      <c r="T2544">
        <v>4780.6899999999996</v>
      </c>
      <c r="U2544">
        <v>0</v>
      </c>
      <c r="V2544">
        <v>0</v>
      </c>
      <c r="AA2544" s="29" t="s">
        <v>43</v>
      </c>
      <c r="AB2544">
        <v>31200</v>
      </c>
      <c r="AC2544">
        <v>170</v>
      </c>
      <c r="AD2544">
        <v>3</v>
      </c>
      <c r="AE2544">
        <v>0</v>
      </c>
      <c r="AF2544">
        <v>0</v>
      </c>
      <c r="AG2544" s="29" t="s">
        <v>3669</v>
      </c>
      <c r="AH2544" s="29" t="s">
        <v>3673</v>
      </c>
      <c r="AI2544" s="29" t="s">
        <v>3753</v>
      </c>
      <c r="AJ2544" s="29"/>
      <c r="AL2544" s="29" t="s">
        <v>3670</v>
      </c>
    </row>
    <row r="2545" spans="15:38">
      <c r="O2545" t="s">
        <v>24</v>
      </c>
      <c r="P2545" t="s">
        <v>43</v>
      </c>
      <c r="Q2545" t="s">
        <v>2</v>
      </c>
      <c r="R2545" t="s">
        <v>56</v>
      </c>
      <c r="S2545">
        <v>2024.14</v>
      </c>
      <c r="T2545">
        <v>5989.79</v>
      </c>
      <c r="U2545">
        <v>0</v>
      </c>
      <c r="V2545">
        <v>0</v>
      </c>
      <c r="AA2545" s="29" t="s">
        <v>43</v>
      </c>
      <c r="AB2545">
        <v>31200</v>
      </c>
      <c r="AC2545">
        <v>170</v>
      </c>
      <c r="AD2545">
        <v>3</v>
      </c>
      <c r="AE2545">
        <v>0</v>
      </c>
      <c r="AF2545">
        <v>0</v>
      </c>
      <c r="AG2545" s="29" t="s">
        <v>3669</v>
      </c>
      <c r="AH2545" s="29" t="s">
        <v>3673</v>
      </c>
      <c r="AI2545" s="29" t="s">
        <v>3754</v>
      </c>
      <c r="AJ2545" s="29"/>
      <c r="AL2545" s="29" t="s">
        <v>3670</v>
      </c>
    </row>
    <row r="2546" spans="15:38">
      <c r="O2546" t="s">
        <v>24</v>
      </c>
      <c r="P2546" t="s">
        <v>43</v>
      </c>
      <c r="Q2546" t="s">
        <v>2</v>
      </c>
      <c r="R2546" t="s">
        <v>56</v>
      </c>
      <c r="S2546">
        <v>2024.17</v>
      </c>
      <c r="T2546">
        <v>6126.99</v>
      </c>
      <c r="U2546">
        <v>0</v>
      </c>
      <c r="V2546">
        <v>0</v>
      </c>
      <c r="AA2546" s="29" t="s">
        <v>43</v>
      </c>
      <c r="AB2546">
        <v>31200</v>
      </c>
      <c r="AC2546">
        <v>170</v>
      </c>
      <c r="AD2546">
        <v>3</v>
      </c>
      <c r="AE2546">
        <v>0</v>
      </c>
      <c r="AF2546">
        <v>0</v>
      </c>
      <c r="AG2546" s="29" t="s">
        <v>3669</v>
      </c>
      <c r="AH2546" s="29" t="s">
        <v>3673</v>
      </c>
      <c r="AI2546" s="29" t="s">
        <v>3755</v>
      </c>
      <c r="AJ2546" s="29"/>
      <c r="AL2546" s="29" t="s">
        <v>3670</v>
      </c>
    </row>
    <row r="2547" spans="15:38">
      <c r="O2547" t="s">
        <v>24</v>
      </c>
      <c r="P2547" t="s">
        <v>43</v>
      </c>
      <c r="Q2547" t="s">
        <v>2</v>
      </c>
      <c r="R2547" t="s">
        <v>56</v>
      </c>
      <c r="S2547">
        <v>2024.18</v>
      </c>
      <c r="T2547">
        <v>7490.43</v>
      </c>
      <c r="U2547">
        <v>0</v>
      </c>
      <c r="V2547">
        <v>0</v>
      </c>
      <c r="AA2547" s="29" t="s">
        <v>43</v>
      </c>
      <c r="AB2547">
        <v>31200</v>
      </c>
      <c r="AC2547">
        <v>170</v>
      </c>
      <c r="AD2547">
        <v>3</v>
      </c>
      <c r="AE2547">
        <v>88</v>
      </c>
      <c r="AF2547">
        <v>88</v>
      </c>
      <c r="AG2547" s="29" t="s">
        <v>3669</v>
      </c>
      <c r="AH2547" s="29" t="s">
        <v>3756</v>
      </c>
      <c r="AI2547" s="29" t="s">
        <v>3757</v>
      </c>
      <c r="AJ2547" s="29"/>
      <c r="AL2547" s="29" t="s">
        <v>3670</v>
      </c>
    </row>
    <row r="2548" spans="15:38">
      <c r="O2548" t="s">
        <v>24</v>
      </c>
      <c r="P2548" t="s">
        <v>43</v>
      </c>
      <c r="Q2548" t="s">
        <v>2</v>
      </c>
      <c r="R2548" t="s">
        <v>56</v>
      </c>
      <c r="S2548">
        <v>2024.19</v>
      </c>
      <c r="T2548">
        <v>8819.57</v>
      </c>
      <c r="U2548">
        <v>0</v>
      </c>
      <c r="V2548">
        <v>0</v>
      </c>
      <c r="AA2548" s="29" t="s">
        <v>43</v>
      </c>
      <c r="AB2548">
        <v>31200</v>
      </c>
      <c r="AC2548">
        <v>170</v>
      </c>
      <c r="AD2548">
        <v>3</v>
      </c>
      <c r="AE2548">
        <v>340</v>
      </c>
      <c r="AF2548">
        <v>340</v>
      </c>
      <c r="AG2548" s="29" t="s">
        <v>3669</v>
      </c>
      <c r="AH2548" s="29" t="s">
        <v>3675</v>
      </c>
      <c r="AI2548" s="29" t="s">
        <v>3758</v>
      </c>
      <c r="AJ2548" s="29"/>
      <c r="AL2548" s="29" t="s">
        <v>3670</v>
      </c>
    </row>
    <row r="2549" spans="15:38">
      <c r="O2549" t="s">
        <v>24</v>
      </c>
      <c r="P2549" t="s">
        <v>43</v>
      </c>
      <c r="Q2549" t="s">
        <v>2</v>
      </c>
      <c r="R2549" t="s">
        <v>56</v>
      </c>
      <c r="S2549">
        <v>2024.2</v>
      </c>
      <c r="T2549">
        <v>9385.5300000000007</v>
      </c>
      <c r="U2549">
        <v>0</v>
      </c>
      <c r="V2549">
        <v>0</v>
      </c>
      <c r="AA2549" s="29" t="s">
        <v>43</v>
      </c>
      <c r="AB2549">
        <v>31200</v>
      </c>
      <c r="AC2549">
        <v>170</v>
      </c>
      <c r="AD2549">
        <v>3</v>
      </c>
      <c r="AE2549">
        <v>0</v>
      </c>
      <c r="AF2549">
        <v>0</v>
      </c>
      <c r="AG2549" s="29" t="s">
        <v>3669</v>
      </c>
      <c r="AH2549" s="29" t="s">
        <v>3673</v>
      </c>
      <c r="AI2549" s="29" t="s">
        <v>3759</v>
      </c>
      <c r="AJ2549" s="29"/>
      <c r="AL2549" s="29" t="s">
        <v>3670</v>
      </c>
    </row>
    <row r="2550" spans="15:38">
      <c r="O2550" t="s">
        <v>24</v>
      </c>
      <c r="P2550" t="s">
        <v>43</v>
      </c>
      <c r="Q2550" t="s">
        <v>2</v>
      </c>
      <c r="R2550" t="s">
        <v>56</v>
      </c>
      <c r="S2550">
        <v>2024.21</v>
      </c>
      <c r="T2550">
        <v>10517.45</v>
      </c>
      <c r="U2550">
        <v>0</v>
      </c>
      <c r="V2550">
        <v>0</v>
      </c>
      <c r="AA2550" s="29" t="s">
        <v>43</v>
      </c>
      <c r="AB2550">
        <v>31200</v>
      </c>
      <c r="AC2550">
        <v>170</v>
      </c>
      <c r="AD2550">
        <v>3</v>
      </c>
      <c r="AE2550">
        <v>232</v>
      </c>
      <c r="AF2550">
        <v>232</v>
      </c>
      <c r="AG2550" s="29" t="s">
        <v>3669</v>
      </c>
      <c r="AH2550" s="29" t="s">
        <v>3760</v>
      </c>
      <c r="AI2550" s="29" t="s">
        <v>3761</v>
      </c>
      <c r="AJ2550" s="29"/>
      <c r="AL2550" s="29" t="s">
        <v>3670</v>
      </c>
    </row>
    <row r="2551" spans="15:38">
      <c r="O2551" t="s">
        <v>24</v>
      </c>
      <c r="P2551" t="s">
        <v>43</v>
      </c>
      <c r="Q2551" t="s">
        <v>2</v>
      </c>
      <c r="R2551" t="s">
        <v>56</v>
      </c>
      <c r="S2551">
        <v>2024.28</v>
      </c>
      <c r="T2551">
        <v>12223.9</v>
      </c>
      <c r="U2551">
        <v>0</v>
      </c>
      <c r="V2551">
        <v>0</v>
      </c>
      <c r="AA2551" s="29" t="s">
        <v>43</v>
      </c>
      <c r="AB2551">
        <v>31200</v>
      </c>
      <c r="AC2551">
        <v>170</v>
      </c>
      <c r="AD2551">
        <v>3</v>
      </c>
      <c r="AE2551">
        <v>119</v>
      </c>
      <c r="AF2551">
        <v>119</v>
      </c>
      <c r="AG2551" s="29" t="s">
        <v>3669</v>
      </c>
      <c r="AH2551" s="29" t="s">
        <v>3762</v>
      </c>
      <c r="AI2551" s="29" t="s">
        <v>3763</v>
      </c>
      <c r="AJ2551" s="29"/>
      <c r="AL2551" s="29" t="s">
        <v>3670</v>
      </c>
    </row>
    <row r="2552" spans="15:38">
      <c r="O2552" t="s">
        <v>24</v>
      </c>
      <c r="P2552" t="s">
        <v>43</v>
      </c>
      <c r="Q2552" t="s">
        <v>2</v>
      </c>
      <c r="R2552" t="s">
        <v>56</v>
      </c>
      <c r="S2552">
        <v>2024.38</v>
      </c>
      <c r="T2552">
        <v>12223.9</v>
      </c>
      <c r="U2552">
        <v>0</v>
      </c>
      <c r="V2552">
        <v>0</v>
      </c>
      <c r="AA2552" s="29" t="s">
        <v>43</v>
      </c>
      <c r="AB2552">
        <v>31200</v>
      </c>
      <c r="AC2552">
        <v>170</v>
      </c>
      <c r="AD2552">
        <v>3</v>
      </c>
      <c r="AE2552">
        <v>30.06</v>
      </c>
      <c r="AF2552">
        <v>30.06</v>
      </c>
      <c r="AG2552" s="29" t="s">
        <v>3669</v>
      </c>
      <c r="AH2552" s="29" t="s">
        <v>3764</v>
      </c>
      <c r="AI2552" s="29" t="s">
        <v>3765</v>
      </c>
      <c r="AJ2552" s="29"/>
      <c r="AL2552" s="29" t="s">
        <v>3670</v>
      </c>
    </row>
    <row r="2553" spans="15:38">
      <c r="O2553" t="s">
        <v>24</v>
      </c>
      <c r="P2553" t="s">
        <v>43</v>
      </c>
      <c r="Q2553" t="s">
        <v>2</v>
      </c>
      <c r="R2553" t="s">
        <v>56</v>
      </c>
      <c r="S2553">
        <v>2024.39</v>
      </c>
      <c r="T2553">
        <v>12223.9</v>
      </c>
      <c r="U2553">
        <v>0</v>
      </c>
      <c r="V2553">
        <v>0</v>
      </c>
      <c r="AA2553" s="29" t="s">
        <v>43</v>
      </c>
      <c r="AB2553">
        <v>31200</v>
      </c>
      <c r="AC2553">
        <v>170</v>
      </c>
      <c r="AD2553">
        <v>3</v>
      </c>
      <c r="AE2553">
        <v>4158</v>
      </c>
      <c r="AF2553">
        <v>4158</v>
      </c>
      <c r="AG2553" s="29" t="s">
        <v>3669</v>
      </c>
      <c r="AH2553" s="29" t="s">
        <v>3766</v>
      </c>
      <c r="AI2553" s="29" t="s">
        <v>3767</v>
      </c>
      <c r="AJ2553" s="29"/>
      <c r="AL2553" s="29" t="s">
        <v>3670</v>
      </c>
    </row>
    <row r="2554" spans="15:38">
      <c r="O2554" t="s">
        <v>24</v>
      </c>
      <c r="P2554" t="s">
        <v>43</v>
      </c>
      <c r="Q2554" t="s">
        <v>2</v>
      </c>
      <c r="R2554" t="s">
        <v>56</v>
      </c>
      <c r="S2554">
        <v>2024.41</v>
      </c>
      <c r="T2554">
        <v>12223.9</v>
      </c>
      <c r="U2554">
        <v>0</v>
      </c>
      <c r="V2554">
        <v>0</v>
      </c>
      <c r="AA2554" s="29" t="s">
        <v>43</v>
      </c>
      <c r="AB2554">
        <v>31200</v>
      </c>
      <c r="AC2554">
        <v>170</v>
      </c>
      <c r="AD2554">
        <v>3</v>
      </c>
      <c r="AE2554">
        <v>170</v>
      </c>
      <c r="AF2554">
        <v>170</v>
      </c>
      <c r="AG2554" s="29" t="s">
        <v>3669</v>
      </c>
      <c r="AH2554" s="29" t="s">
        <v>3768</v>
      </c>
      <c r="AI2554" s="29" t="s">
        <v>3769</v>
      </c>
      <c r="AJ2554" s="29"/>
      <c r="AL2554" s="29" t="s">
        <v>3670</v>
      </c>
    </row>
    <row r="2555" spans="15:38">
      <c r="O2555" t="s">
        <v>24</v>
      </c>
      <c r="P2555" t="s">
        <v>43</v>
      </c>
      <c r="Q2555" t="s">
        <v>2</v>
      </c>
      <c r="R2555" t="s">
        <v>56</v>
      </c>
      <c r="S2555">
        <v>2024.43</v>
      </c>
      <c r="T2555">
        <v>12223.9</v>
      </c>
      <c r="U2555">
        <v>0</v>
      </c>
      <c r="V2555">
        <v>0</v>
      </c>
      <c r="AA2555" s="29" t="s">
        <v>43</v>
      </c>
      <c r="AB2555">
        <v>31200</v>
      </c>
      <c r="AC2555">
        <v>170</v>
      </c>
      <c r="AD2555">
        <v>3</v>
      </c>
      <c r="AE2555">
        <v>552</v>
      </c>
      <c r="AF2555">
        <v>552</v>
      </c>
      <c r="AG2555" s="29" t="s">
        <v>3669</v>
      </c>
      <c r="AH2555" s="29" t="s">
        <v>3770</v>
      </c>
      <c r="AI2555" s="29" t="s">
        <v>3771</v>
      </c>
      <c r="AJ2555" s="29"/>
      <c r="AL2555" s="29" t="s">
        <v>3670</v>
      </c>
    </row>
    <row r="2556" spans="15:38">
      <c r="O2556" t="s">
        <v>24</v>
      </c>
      <c r="P2556" t="s">
        <v>43</v>
      </c>
      <c r="Q2556" t="s">
        <v>2</v>
      </c>
      <c r="R2556" t="s">
        <v>56</v>
      </c>
      <c r="S2556">
        <v>2024.44</v>
      </c>
      <c r="T2556">
        <v>12223.9</v>
      </c>
      <c r="U2556">
        <v>37589.007599999997</v>
      </c>
      <c r="V2556">
        <v>37589.007599999997</v>
      </c>
      <c r="AA2556" s="29" t="s">
        <v>43</v>
      </c>
      <c r="AB2556">
        <v>31200</v>
      </c>
      <c r="AC2556">
        <v>170</v>
      </c>
      <c r="AD2556">
        <v>3</v>
      </c>
      <c r="AE2556">
        <v>15706.5</v>
      </c>
      <c r="AF2556">
        <v>15706.5</v>
      </c>
      <c r="AG2556" s="29" t="s">
        <v>3669</v>
      </c>
      <c r="AH2556" s="29" t="s">
        <v>3772</v>
      </c>
      <c r="AI2556" s="29" t="s">
        <v>3773</v>
      </c>
      <c r="AJ2556" s="29"/>
      <c r="AL2556" s="29" t="s">
        <v>3670</v>
      </c>
    </row>
    <row r="2557" spans="15:38">
      <c r="O2557" t="s">
        <v>24</v>
      </c>
      <c r="P2557" t="s">
        <v>43</v>
      </c>
      <c r="Q2557" t="s">
        <v>2</v>
      </c>
      <c r="R2557" t="s">
        <v>56</v>
      </c>
      <c r="S2557">
        <v>2024.45</v>
      </c>
      <c r="T2557">
        <v>13501.58</v>
      </c>
      <c r="U2557">
        <v>37589.007599999997</v>
      </c>
      <c r="V2557">
        <v>37589.007599999997</v>
      </c>
      <c r="AA2557" s="29" t="s">
        <v>43</v>
      </c>
      <c r="AB2557">
        <v>31200</v>
      </c>
      <c r="AC2557">
        <v>170</v>
      </c>
      <c r="AD2557">
        <v>3</v>
      </c>
      <c r="AE2557">
        <v>15706.5</v>
      </c>
      <c r="AF2557">
        <v>15706.5</v>
      </c>
      <c r="AG2557" s="29" t="s">
        <v>3669</v>
      </c>
      <c r="AH2557" s="29" t="s">
        <v>3772</v>
      </c>
      <c r="AI2557" s="29" t="s">
        <v>3773</v>
      </c>
      <c r="AJ2557" s="29"/>
      <c r="AL2557" s="29" t="s">
        <v>3670</v>
      </c>
    </row>
    <row r="2558" spans="15:38">
      <c r="O2558" t="s">
        <v>24</v>
      </c>
      <c r="P2558" t="s">
        <v>43</v>
      </c>
      <c r="Q2558" t="s">
        <v>2</v>
      </c>
      <c r="R2558" t="s">
        <v>56</v>
      </c>
      <c r="S2558">
        <v>2024.47</v>
      </c>
      <c r="T2558">
        <v>13501.58</v>
      </c>
      <c r="U2558">
        <v>37589.007599999997</v>
      </c>
      <c r="V2558">
        <v>37589.007599999997</v>
      </c>
      <c r="AA2558" s="29" t="s">
        <v>43</v>
      </c>
      <c r="AB2558">
        <v>31200</v>
      </c>
      <c r="AC2558">
        <v>170</v>
      </c>
      <c r="AD2558">
        <v>3</v>
      </c>
      <c r="AE2558">
        <v>10471</v>
      </c>
      <c r="AF2558">
        <v>10471</v>
      </c>
      <c r="AG2558" s="29" t="s">
        <v>3669</v>
      </c>
      <c r="AH2558" s="29" t="s">
        <v>3774</v>
      </c>
      <c r="AI2558" s="29" t="s">
        <v>3775</v>
      </c>
      <c r="AJ2558" s="29"/>
      <c r="AL2558" s="29" t="s">
        <v>3670</v>
      </c>
    </row>
    <row r="2559" spans="15:38">
      <c r="O2559" t="s">
        <v>24</v>
      </c>
      <c r="P2559" t="s">
        <v>43</v>
      </c>
      <c r="Q2559" t="s">
        <v>2</v>
      </c>
      <c r="R2559" t="s">
        <v>56</v>
      </c>
      <c r="S2559">
        <v>2024.48</v>
      </c>
      <c r="T2559">
        <v>13501.58</v>
      </c>
      <c r="U2559">
        <v>37589.007599999997</v>
      </c>
      <c r="V2559">
        <v>37589.007599999997</v>
      </c>
      <c r="AA2559" s="29" t="s">
        <v>43</v>
      </c>
      <c r="AB2559">
        <v>31200</v>
      </c>
      <c r="AC2559">
        <v>170</v>
      </c>
      <c r="AD2559">
        <v>3</v>
      </c>
      <c r="AE2559">
        <v>5235.5</v>
      </c>
      <c r="AF2559">
        <v>5235.5</v>
      </c>
      <c r="AG2559" s="29" t="s">
        <v>3669</v>
      </c>
      <c r="AH2559" s="29" t="s">
        <v>3776</v>
      </c>
      <c r="AI2559" s="29" t="s">
        <v>3777</v>
      </c>
      <c r="AJ2559" s="29"/>
      <c r="AL2559" s="29" t="s">
        <v>3670</v>
      </c>
    </row>
    <row r="2560" spans="15:38">
      <c r="O2560" t="s">
        <v>24</v>
      </c>
      <c r="P2560" t="s">
        <v>43</v>
      </c>
      <c r="Q2560" t="s">
        <v>2</v>
      </c>
      <c r="R2560" t="s">
        <v>56</v>
      </c>
      <c r="S2560">
        <v>2024.49</v>
      </c>
      <c r="T2560">
        <v>15045.08</v>
      </c>
      <c r="U2560">
        <v>37589.007599999997</v>
      </c>
      <c r="V2560">
        <v>37589.007599999997</v>
      </c>
      <c r="AA2560" s="29" t="s">
        <v>43</v>
      </c>
      <c r="AB2560">
        <v>31200</v>
      </c>
      <c r="AC2560">
        <v>170</v>
      </c>
      <c r="AD2560">
        <v>3</v>
      </c>
      <c r="AE2560">
        <v>5235.5</v>
      </c>
      <c r="AF2560">
        <v>5235.5</v>
      </c>
      <c r="AG2560" s="29" t="s">
        <v>3669</v>
      </c>
      <c r="AH2560" s="29" t="s">
        <v>3776</v>
      </c>
      <c r="AI2560" s="29" t="s">
        <v>3777</v>
      </c>
      <c r="AJ2560" s="29"/>
      <c r="AL2560" s="29" t="s">
        <v>3670</v>
      </c>
    </row>
    <row r="2561" spans="15:38">
      <c r="O2561" t="s">
        <v>24</v>
      </c>
      <c r="P2561" t="s">
        <v>43</v>
      </c>
      <c r="Q2561" t="s">
        <v>2</v>
      </c>
      <c r="R2561" t="s">
        <v>56</v>
      </c>
      <c r="S2561">
        <v>2025.03</v>
      </c>
      <c r="T2561">
        <v>17351.78</v>
      </c>
      <c r="U2561">
        <v>37589.007599999997</v>
      </c>
      <c r="V2561">
        <v>37589.007599999997</v>
      </c>
      <c r="AA2561" s="29" t="s">
        <v>43</v>
      </c>
      <c r="AB2561">
        <v>31200</v>
      </c>
      <c r="AC2561">
        <v>170</v>
      </c>
      <c r="AD2561">
        <v>3</v>
      </c>
      <c r="AE2561">
        <v>380</v>
      </c>
      <c r="AF2561">
        <v>380</v>
      </c>
      <c r="AG2561" s="29" t="s">
        <v>3669</v>
      </c>
      <c r="AH2561" s="29" t="s">
        <v>3729</v>
      </c>
      <c r="AI2561" s="29" t="s">
        <v>3778</v>
      </c>
      <c r="AJ2561" s="29"/>
      <c r="AL2561" s="29" t="s">
        <v>3670</v>
      </c>
    </row>
    <row r="2562" spans="15:38">
      <c r="O2562" t="s">
        <v>24</v>
      </c>
      <c r="P2562" t="s">
        <v>43</v>
      </c>
      <c r="Q2562" t="s">
        <v>2</v>
      </c>
      <c r="R2562" t="s">
        <v>56</v>
      </c>
      <c r="S2562">
        <v>2025.08</v>
      </c>
      <c r="T2562">
        <v>28876.68</v>
      </c>
      <c r="U2562">
        <v>37589.007599999997</v>
      </c>
      <c r="V2562">
        <v>37589.007599999997</v>
      </c>
      <c r="AA2562" s="29" t="s">
        <v>43</v>
      </c>
      <c r="AB2562">
        <v>31200</v>
      </c>
      <c r="AC2562">
        <v>170</v>
      </c>
      <c r="AD2562">
        <v>3</v>
      </c>
      <c r="AE2562">
        <v>792</v>
      </c>
      <c r="AF2562">
        <v>792</v>
      </c>
      <c r="AG2562" s="29" t="s">
        <v>3669</v>
      </c>
      <c r="AH2562" s="29" t="s">
        <v>3779</v>
      </c>
      <c r="AI2562" s="29" t="s">
        <v>3780</v>
      </c>
      <c r="AJ2562" s="29"/>
      <c r="AL2562" s="29" t="s">
        <v>3670</v>
      </c>
    </row>
    <row r="2563" spans="15:38">
      <c r="O2563" t="s">
        <v>24</v>
      </c>
      <c r="P2563" t="s">
        <v>43</v>
      </c>
      <c r="Q2563" t="s">
        <v>2</v>
      </c>
      <c r="R2563" t="s">
        <v>56</v>
      </c>
      <c r="S2563">
        <v>2025.1</v>
      </c>
      <c r="T2563">
        <v>34933</v>
      </c>
      <c r="U2563">
        <v>37589.007599999997</v>
      </c>
      <c r="V2563">
        <v>37589.007599999997</v>
      </c>
      <c r="AA2563" s="29" t="s">
        <v>43</v>
      </c>
      <c r="AB2563">
        <v>31200</v>
      </c>
      <c r="AC2563">
        <v>170</v>
      </c>
      <c r="AD2563">
        <v>3</v>
      </c>
      <c r="AE2563">
        <v>462</v>
      </c>
      <c r="AF2563">
        <v>462</v>
      </c>
      <c r="AG2563" s="29" t="s">
        <v>3669</v>
      </c>
      <c r="AH2563" s="29" t="s">
        <v>3781</v>
      </c>
      <c r="AI2563" s="29" t="s">
        <v>3782</v>
      </c>
      <c r="AJ2563" s="29"/>
      <c r="AL2563" s="29" t="s">
        <v>3670</v>
      </c>
    </row>
    <row r="2564" spans="15:38">
      <c r="O2564" t="s">
        <v>24</v>
      </c>
      <c r="P2564" t="s">
        <v>43</v>
      </c>
      <c r="Q2564" t="s">
        <v>2</v>
      </c>
      <c r="R2564" t="s">
        <v>56</v>
      </c>
      <c r="S2564">
        <v>2025.11</v>
      </c>
      <c r="T2564">
        <v>36777.279999999999</v>
      </c>
      <c r="U2564">
        <v>37589.007599999997</v>
      </c>
      <c r="V2564">
        <v>37589.007599999997</v>
      </c>
      <c r="AA2564" s="29" t="s">
        <v>43</v>
      </c>
      <c r="AB2564">
        <v>31200</v>
      </c>
      <c r="AC2564">
        <v>170</v>
      </c>
      <c r="AD2564">
        <v>3</v>
      </c>
      <c r="AE2564">
        <v>272</v>
      </c>
      <c r="AF2564">
        <v>272</v>
      </c>
      <c r="AG2564" s="29" t="s">
        <v>3669</v>
      </c>
      <c r="AH2564" s="29" t="s">
        <v>3783</v>
      </c>
      <c r="AI2564" s="29" t="s">
        <v>3784</v>
      </c>
      <c r="AJ2564" s="29"/>
      <c r="AL2564" s="29" t="s">
        <v>3670</v>
      </c>
    </row>
    <row r="2565" spans="15:38">
      <c r="O2565" t="s">
        <v>24</v>
      </c>
      <c r="P2565" t="s">
        <v>43</v>
      </c>
      <c r="Q2565" t="s">
        <v>2</v>
      </c>
      <c r="R2565" t="s">
        <v>56</v>
      </c>
      <c r="S2565">
        <v>2025.12</v>
      </c>
      <c r="T2565">
        <v>38079.120000000003</v>
      </c>
      <c r="U2565">
        <v>37589.007599999997</v>
      </c>
      <c r="V2565">
        <v>37589.007599999997</v>
      </c>
      <c r="AA2565" s="29" t="s">
        <v>43</v>
      </c>
      <c r="AB2565">
        <v>31200</v>
      </c>
      <c r="AC2565">
        <v>170</v>
      </c>
      <c r="AD2565">
        <v>4</v>
      </c>
      <c r="AE2565">
        <v>0.17</v>
      </c>
      <c r="AF2565">
        <v>0.17</v>
      </c>
      <c r="AG2565" s="29" t="s">
        <v>3669</v>
      </c>
      <c r="AH2565" s="29" t="s">
        <v>3785</v>
      </c>
      <c r="AI2565" s="29" t="s">
        <v>3703</v>
      </c>
      <c r="AJ2565" s="29" t="s">
        <v>3786</v>
      </c>
      <c r="AL2565" s="29" t="s">
        <v>3670</v>
      </c>
    </row>
    <row r="2566" spans="15:38">
      <c r="O2566" t="s">
        <v>24</v>
      </c>
      <c r="P2566" t="s">
        <v>43</v>
      </c>
      <c r="Q2566" t="s">
        <v>4</v>
      </c>
      <c r="R2566" t="s">
        <v>63</v>
      </c>
      <c r="S2566">
        <v>2023.47</v>
      </c>
      <c r="T2566">
        <v>0</v>
      </c>
      <c r="U2566">
        <v>95906.078099999999</v>
      </c>
      <c r="V2566">
        <v>95906.078099999999</v>
      </c>
      <c r="AA2566" s="29" t="s">
        <v>43</v>
      </c>
      <c r="AB2566">
        <v>31200</v>
      </c>
      <c r="AC2566">
        <v>170</v>
      </c>
      <c r="AD2566">
        <v>4</v>
      </c>
      <c r="AE2566">
        <v>0.33</v>
      </c>
      <c r="AF2566">
        <v>0.33</v>
      </c>
      <c r="AG2566" s="29" t="s">
        <v>3669</v>
      </c>
      <c r="AH2566" s="29" t="s">
        <v>3787</v>
      </c>
      <c r="AI2566" s="29" t="s">
        <v>3703</v>
      </c>
      <c r="AJ2566" s="29" t="s">
        <v>3788</v>
      </c>
      <c r="AL2566" s="29" t="s">
        <v>3670</v>
      </c>
    </row>
    <row r="2567" spans="15:38">
      <c r="O2567" t="s">
        <v>24</v>
      </c>
      <c r="P2567" t="s">
        <v>43</v>
      </c>
      <c r="Q2567" t="s">
        <v>4</v>
      </c>
      <c r="R2567" t="s">
        <v>63</v>
      </c>
      <c r="S2567">
        <v>2023.51</v>
      </c>
      <c r="T2567">
        <v>44361.08</v>
      </c>
      <c r="U2567">
        <v>95906.078099999999</v>
      </c>
      <c r="V2567">
        <v>95906.078099999999</v>
      </c>
      <c r="AA2567" s="29" t="s">
        <v>43</v>
      </c>
      <c r="AB2567">
        <v>31200</v>
      </c>
      <c r="AC2567">
        <v>170</v>
      </c>
      <c r="AD2567">
        <v>4</v>
      </c>
      <c r="AE2567">
        <v>0.72</v>
      </c>
      <c r="AF2567">
        <v>0.72</v>
      </c>
      <c r="AG2567" s="29" t="s">
        <v>3669</v>
      </c>
      <c r="AH2567" s="29" t="s">
        <v>3789</v>
      </c>
      <c r="AI2567" s="29" t="s">
        <v>3703</v>
      </c>
      <c r="AJ2567" s="29" t="s">
        <v>3790</v>
      </c>
      <c r="AL2567" s="29" t="s">
        <v>3670</v>
      </c>
    </row>
    <row r="2568" spans="15:38">
      <c r="O2568" t="s">
        <v>24</v>
      </c>
      <c r="P2568" t="s">
        <v>43</v>
      </c>
      <c r="Q2568" t="s">
        <v>4</v>
      </c>
      <c r="R2568" t="s">
        <v>63</v>
      </c>
      <c r="S2568">
        <v>2024.05</v>
      </c>
      <c r="T2568">
        <v>25676.42</v>
      </c>
      <c r="U2568">
        <v>95906.078099999999</v>
      </c>
      <c r="V2568">
        <v>95906.078099999999</v>
      </c>
      <c r="AA2568" s="29" t="s">
        <v>43</v>
      </c>
      <c r="AB2568">
        <v>31200</v>
      </c>
      <c r="AC2568">
        <v>170</v>
      </c>
      <c r="AD2568">
        <v>4</v>
      </c>
      <c r="AE2568">
        <v>4.2699999999999996</v>
      </c>
      <c r="AF2568">
        <v>4.2699999999999996</v>
      </c>
      <c r="AG2568" s="29" t="s">
        <v>3669</v>
      </c>
      <c r="AH2568" s="29" t="s">
        <v>3791</v>
      </c>
      <c r="AI2568" s="29" t="s">
        <v>3703</v>
      </c>
      <c r="AJ2568" s="29" t="s">
        <v>3792</v>
      </c>
      <c r="AL2568" s="29" t="s">
        <v>3670</v>
      </c>
    </row>
    <row r="2569" spans="15:38">
      <c r="O2569" t="s">
        <v>24</v>
      </c>
      <c r="P2569" t="s">
        <v>43</v>
      </c>
      <c r="Q2569" t="s">
        <v>4</v>
      </c>
      <c r="R2569" t="s">
        <v>63</v>
      </c>
      <c r="S2569">
        <v>2024.06</v>
      </c>
      <c r="T2569">
        <v>25688.43</v>
      </c>
      <c r="U2569">
        <v>95906.078099999999</v>
      </c>
      <c r="V2569">
        <v>95906.078099999999</v>
      </c>
      <c r="AA2569" s="29" t="s">
        <v>43</v>
      </c>
      <c r="AB2569">
        <v>31200</v>
      </c>
      <c r="AC2569">
        <v>170</v>
      </c>
      <c r="AD2569">
        <v>4</v>
      </c>
      <c r="AE2569">
        <v>11.56</v>
      </c>
      <c r="AF2569">
        <v>11.56</v>
      </c>
      <c r="AG2569" s="29" t="s">
        <v>3669</v>
      </c>
      <c r="AH2569" s="29" t="s">
        <v>3793</v>
      </c>
      <c r="AI2569" s="29" t="s">
        <v>3703</v>
      </c>
      <c r="AJ2569" s="29" t="s">
        <v>3794</v>
      </c>
      <c r="AL2569" s="29" t="s">
        <v>3670</v>
      </c>
    </row>
    <row r="2570" spans="15:38">
      <c r="O2570" t="s">
        <v>24</v>
      </c>
      <c r="P2570" t="s">
        <v>43</v>
      </c>
      <c r="Q2570" t="s">
        <v>4</v>
      </c>
      <c r="R2570" t="s">
        <v>63</v>
      </c>
      <c r="S2570">
        <v>2024.07</v>
      </c>
      <c r="T2570">
        <v>28250.83</v>
      </c>
      <c r="U2570">
        <v>95906.078099999999</v>
      </c>
      <c r="V2570">
        <v>95906.078099999999</v>
      </c>
      <c r="AA2570" s="29" t="s">
        <v>43</v>
      </c>
      <c r="AB2570">
        <v>31200</v>
      </c>
      <c r="AC2570">
        <v>170</v>
      </c>
      <c r="AD2570">
        <v>4</v>
      </c>
      <c r="AE2570">
        <v>3.81</v>
      </c>
      <c r="AF2570">
        <v>3.81</v>
      </c>
      <c r="AG2570" s="29" t="s">
        <v>3669</v>
      </c>
      <c r="AH2570" s="29" t="s">
        <v>3795</v>
      </c>
      <c r="AI2570" s="29" t="s">
        <v>3703</v>
      </c>
      <c r="AJ2570" s="29" t="s">
        <v>3796</v>
      </c>
      <c r="AL2570" s="29" t="s">
        <v>3670</v>
      </c>
    </row>
    <row r="2571" spans="15:38">
      <c r="O2571" t="s">
        <v>24</v>
      </c>
      <c r="P2571" t="s">
        <v>43</v>
      </c>
      <c r="Q2571" t="s">
        <v>4</v>
      </c>
      <c r="R2571" t="s">
        <v>63</v>
      </c>
      <c r="S2571">
        <v>2024.08</v>
      </c>
      <c r="T2571">
        <v>28250.83</v>
      </c>
      <c r="U2571">
        <v>95906.078099999999</v>
      </c>
      <c r="V2571">
        <v>95906.078099999999</v>
      </c>
      <c r="AA2571" s="29" t="s">
        <v>43</v>
      </c>
      <c r="AB2571">
        <v>31200</v>
      </c>
      <c r="AC2571">
        <v>170</v>
      </c>
      <c r="AD2571">
        <v>4</v>
      </c>
      <c r="AE2571">
        <v>2.48</v>
      </c>
      <c r="AF2571">
        <v>2.48</v>
      </c>
      <c r="AG2571" s="29" t="s">
        <v>3669</v>
      </c>
      <c r="AH2571" s="29" t="s">
        <v>3797</v>
      </c>
      <c r="AI2571" s="29" t="s">
        <v>3703</v>
      </c>
      <c r="AJ2571" s="29" t="s">
        <v>3798</v>
      </c>
      <c r="AL2571" s="29" t="s">
        <v>3670</v>
      </c>
    </row>
    <row r="2572" spans="15:38">
      <c r="O2572" t="s">
        <v>24</v>
      </c>
      <c r="P2572" t="s">
        <v>43</v>
      </c>
      <c r="Q2572" t="s">
        <v>4</v>
      </c>
      <c r="R2572" t="s">
        <v>63</v>
      </c>
      <c r="S2572">
        <v>2024.09</v>
      </c>
      <c r="T2572">
        <v>44361.08</v>
      </c>
      <c r="U2572">
        <v>95906.078099999999</v>
      </c>
      <c r="V2572">
        <v>95906.078099999999</v>
      </c>
      <c r="AA2572" s="29" t="s">
        <v>43</v>
      </c>
      <c r="AB2572">
        <v>31200</v>
      </c>
      <c r="AC2572">
        <v>170</v>
      </c>
      <c r="AD2572">
        <v>4</v>
      </c>
      <c r="AE2572">
        <v>0.44</v>
      </c>
      <c r="AF2572">
        <v>0.44</v>
      </c>
      <c r="AG2572" s="29" t="s">
        <v>3669</v>
      </c>
      <c r="AH2572" s="29" t="s">
        <v>3799</v>
      </c>
      <c r="AI2572" s="29" t="s">
        <v>3703</v>
      </c>
      <c r="AJ2572" s="29" t="s">
        <v>3800</v>
      </c>
      <c r="AL2572" s="29" t="s">
        <v>3670</v>
      </c>
    </row>
    <row r="2573" spans="15:38">
      <c r="O2573" t="s">
        <v>24</v>
      </c>
      <c r="P2573" t="s">
        <v>43</v>
      </c>
      <c r="Q2573" t="s">
        <v>4</v>
      </c>
      <c r="R2573" t="s">
        <v>63</v>
      </c>
      <c r="S2573">
        <v>2024.1</v>
      </c>
      <c r="T2573">
        <v>31437.63</v>
      </c>
      <c r="U2573">
        <v>95906.078099999999</v>
      </c>
      <c r="V2573">
        <v>95906.078099999999</v>
      </c>
      <c r="AA2573" s="29" t="s">
        <v>43</v>
      </c>
      <c r="AB2573">
        <v>31200</v>
      </c>
      <c r="AC2573">
        <v>170</v>
      </c>
      <c r="AD2573">
        <v>4</v>
      </c>
      <c r="AE2573">
        <v>27.3</v>
      </c>
      <c r="AF2573">
        <v>27.3</v>
      </c>
      <c r="AG2573" s="29" t="s">
        <v>3669</v>
      </c>
      <c r="AH2573" s="29" t="s">
        <v>3801</v>
      </c>
      <c r="AI2573" s="29" t="s">
        <v>3703</v>
      </c>
      <c r="AJ2573" s="29" t="s">
        <v>1667</v>
      </c>
      <c r="AL2573" s="29" t="s">
        <v>3670</v>
      </c>
    </row>
    <row r="2574" spans="15:38">
      <c r="O2574" t="s">
        <v>24</v>
      </c>
      <c r="P2574" t="s">
        <v>43</v>
      </c>
      <c r="Q2574" t="s">
        <v>4</v>
      </c>
      <c r="R2574" t="s">
        <v>63</v>
      </c>
      <c r="S2574">
        <v>2024.11</v>
      </c>
      <c r="T2574">
        <v>31437.63</v>
      </c>
      <c r="U2574">
        <v>95906.078099999999</v>
      </c>
      <c r="V2574">
        <v>95906.078099999999</v>
      </c>
      <c r="AA2574" s="29" t="s">
        <v>43</v>
      </c>
      <c r="AB2574">
        <v>31200</v>
      </c>
      <c r="AC2574">
        <v>170</v>
      </c>
      <c r="AD2574">
        <v>4</v>
      </c>
      <c r="AE2574">
        <v>8.93</v>
      </c>
      <c r="AF2574">
        <v>8.93</v>
      </c>
      <c r="AG2574" s="29" t="s">
        <v>3669</v>
      </c>
      <c r="AH2574" s="29" t="s">
        <v>3802</v>
      </c>
      <c r="AI2574" s="29" t="s">
        <v>3703</v>
      </c>
      <c r="AJ2574" s="29" t="s">
        <v>1522</v>
      </c>
      <c r="AL2574" s="29" t="s">
        <v>3670</v>
      </c>
    </row>
    <row r="2575" spans="15:38">
      <c r="O2575" t="s">
        <v>24</v>
      </c>
      <c r="P2575" t="s">
        <v>43</v>
      </c>
      <c r="Q2575" t="s">
        <v>4</v>
      </c>
      <c r="R2575" t="s">
        <v>63</v>
      </c>
      <c r="S2575">
        <v>2024.12</v>
      </c>
      <c r="T2575">
        <v>31437.63</v>
      </c>
      <c r="U2575">
        <v>95906.078099999999</v>
      </c>
      <c r="V2575">
        <v>95906.078099999999</v>
      </c>
      <c r="AA2575" s="29" t="s">
        <v>43</v>
      </c>
      <c r="AB2575">
        <v>31200</v>
      </c>
      <c r="AC2575">
        <v>170</v>
      </c>
      <c r="AD2575">
        <v>4</v>
      </c>
      <c r="AE2575">
        <v>14.4</v>
      </c>
      <c r="AF2575">
        <v>14.4</v>
      </c>
      <c r="AG2575" s="29" t="s">
        <v>3669</v>
      </c>
      <c r="AH2575" s="29" t="s">
        <v>3803</v>
      </c>
      <c r="AI2575" s="29" t="s">
        <v>3703</v>
      </c>
      <c r="AJ2575" s="29" t="s">
        <v>3804</v>
      </c>
      <c r="AL2575" s="29" t="s">
        <v>3670</v>
      </c>
    </row>
    <row r="2576" spans="15:38">
      <c r="O2576" t="s">
        <v>24</v>
      </c>
      <c r="P2576" t="s">
        <v>43</v>
      </c>
      <c r="Q2576" t="s">
        <v>4</v>
      </c>
      <c r="R2576" t="s">
        <v>63</v>
      </c>
      <c r="S2576">
        <v>2024.14</v>
      </c>
      <c r="T2576">
        <v>32127.040000000001</v>
      </c>
      <c r="U2576">
        <v>95906.078099999999</v>
      </c>
      <c r="V2576">
        <v>95906.078099999999</v>
      </c>
      <c r="AA2576" s="29" t="s">
        <v>43</v>
      </c>
      <c r="AB2576">
        <v>31200</v>
      </c>
      <c r="AC2576">
        <v>170</v>
      </c>
      <c r="AD2576">
        <v>4</v>
      </c>
      <c r="AE2576">
        <v>0</v>
      </c>
      <c r="AF2576">
        <v>0</v>
      </c>
      <c r="AG2576" s="29" t="s">
        <v>3669</v>
      </c>
      <c r="AH2576" s="29" t="s">
        <v>3673</v>
      </c>
      <c r="AI2576" s="29" t="s">
        <v>3703</v>
      </c>
      <c r="AJ2576" s="29" t="s">
        <v>3805</v>
      </c>
      <c r="AL2576" s="29" t="s">
        <v>3670</v>
      </c>
    </row>
    <row r="2577" spans="15:38">
      <c r="O2577" t="s">
        <v>24</v>
      </c>
      <c r="P2577" t="s">
        <v>43</v>
      </c>
      <c r="Q2577" t="s">
        <v>4</v>
      </c>
      <c r="R2577" t="s">
        <v>63</v>
      </c>
      <c r="S2577">
        <v>2024.17</v>
      </c>
      <c r="T2577">
        <v>32127.4</v>
      </c>
      <c r="U2577">
        <v>95906.078099999999</v>
      </c>
      <c r="V2577">
        <v>95906.078099999999</v>
      </c>
      <c r="AA2577" s="29" t="s">
        <v>43</v>
      </c>
      <c r="AB2577">
        <v>31200</v>
      </c>
      <c r="AC2577">
        <v>170</v>
      </c>
      <c r="AD2577">
        <v>4</v>
      </c>
      <c r="AE2577">
        <v>165</v>
      </c>
      <c r="AF2577">
        <v>165</v>
      </c>
      <c r="AG2577" s="29" t="s">
        <v>3669</v>
      </c>
      <c r="AH2577" s="29" t="s">
        <v>3806</v>
      </c>
      <c r="AI2577" s="29" t="s">
        <v>3703</v>
      </c>
      <c r="AJ2577" s="29" t="s">
        <v>3807</v>
      </c>
      <c r="AL2577" s="29" t="s">
        <v>3670</v>
      </c>
    </row>
    <row r="2578" spans="15:38">
      <c r="O2578" t="s">
        <v>24</v>
      </c>
      <c r="P2578" t="s">
        <v>43</v>
      </c>
      <c r="Q2578" t="s">
        <v>4</v>
      </c>
      <c r="R2578" t="s">
        <v>63</v>
      </c>
      <c r="S2578">
        <v>2024.18</v>
      </c>
      <c r="T2578">
        <v>37019.9</v>
      </c>
      <c r="U2578">
        <v>95906.078099999999</v>
      </c>
      <c r="V2578">
        <v>95906.078099999999</v>
      </c>
      <c r="AA2578" s="29" t="s">
        <v>43</v>
      </c>
      <c r="AB2578">
        <v>31200</v>
      </c>
      <c r="AC2578">
        <v>170</v>
      </c>
      <c r="AD2578">
        <v>4</v>
      </c>
      <c r="AE2578">
        <v>9.08</v>
      </c>
      <c r="AF2578">
        <v>9.08</v>
      </c>
      <c r="AG2578" s="29" t="s">
        <v>3669</v>
      </c>
      <c r="AH2578" s="29" t="s">
        <v>3808</v>
      </c>
      <c r="AI2578" s="29" t="s">
        <v>3703</v>
      </c>
      <c r="AJ2578" s="29" t="s">
        <v>3809</v>
      </c>
      <c r="AL2578" s="29" t="s">
        <v>3670</v>
      </c>
    </row>
    <row r="2579" spans="15:38">
      <c r="O2579" t="s">
        <v>24</v>
      </c>
      <c r="P2579" t="s">
        <v>43</v>
      </c>
      <c r="Q2579" t="s">
        <v>4</v>
      </c>
      <c r="R2579" t="s">
        <v>63</v>
      </c>
      <c r="S2579">
        <v>2024.19</v>
      </c>
      <c r="T2579">
        <v>37019.9</v>
      </c>
      <c r="U2579">
        <v>95906.078099999999</v>
      </c>
      <c r="V2579">
        <v>95906.078099999999</v>
      </c>
      <c r="AA2579" s="29" t="s">
        <v>43</v>
      </c>
      <c r="AB2579">
        <v>31200</v>
      </c>
      <c r="AC2579">
        <v>170</v>
      </c>
      <c r="AD2579">
        <v>4</v>
      </c>
      <c r="AE2579">
        <v>5.57</v>
      </c>
      <c r="AF2579">
        <v>5.57</v>
      </c>
      <c r="AG2579" s="29" t="s">
        <v>3669</v>
      </c>
      <c r="AH2579" s="29" t="s">
        <v>3810</v>
      </c>
      <c r="AI2579" s="29" t="s">
        <v>3703</v>
      </c>
      <c r="AJ2579" s="29" t="s">
        <v>3811</v>
      </c>
      <c r="AL2579" s="29" t="s">
        <v>3670</v>
      </c>
    </row>
    <row r="2580" spans="15:38">
      <c r="O2580" t="s">
        <v>24</v>
      </c>
      <c r="P2580" t="s">
        <v>43</v>
      </c>
      <c r="Q2580" t="s">
        <v>4</v>
      </c>
      <c r="R2580" t="s">
        <v>63</v>
      </c>
      <c r="S2580">
        <v>2024.2</v>
      </c>
      <c r="T2580">
        <v>37019.9</v>
      </c>
      <c r="U2580">
        <v>95906.078099999999</v>
      </c>
      <c r="V2580">
        <v>95906.078099999999</v>
      </c>
      <c r="AA2580" s="29" t="s">
        <v>43</v>
      </c>
      <c r="AB2580">
        <v>31200</v>
      </c>
      <c r="AC2580">
        <v>170</v>
      </c>
      <c r="AD2580">
        <v>4</v>
      </c>
      <c r="AE2580">
        <v>12.91</v>
      </c>
      <c r="AF2580">
        <v>12.91</v>
      </c>
      <c r="AG2580" s="29" t="s">
        <v>3669</v>
      </c>
      <c r="AH2580" s="29" t="s">
        <v>3812</v>
      </c>
      <c r="AI2580" s="29" t="s">
        <v>3703</v>
      </c>
      <c r="AJ2580" s="29" t="s">
        <v>3813</v>
      </c>
      <c r="AL2580" s="29" t="s">
        <v>3670</v>
      </c>
    </row>
    <row r="2581" spans="15:38">
      <c r="O2581" t="s">
        <v>24</v>
      </c>
      <c r="P2581" t="s">
        <v>43</v>
      </c>
      <c r="Q2581" t="s">
        <v>4</v>
      </c>
      <c r="R2581" t="s">
        <v>63</v>
      </c>
      <c r="S2581">
        <v>2024.21</v>
      </c>
      <c r="T2581">
        <v>37364.6</v>
      </c>
      <c r="U2581">
        <v>95906.078099999999</v>
      </c>
      <c r="V2581">
        <v>95906.078099999999</v>
      </c>
      <c r="AA2581" s="29" t="s">
        <v>43</v>
      </c>
      <c r="AB2581">
        <v>31200</v>
      </c>
      <c r="AC2581">
        <v>170</v>
      </c>
      <c r="AD2581">
        <v>4</v>
      </c>
      <c r="AE2581">
        <v>0</v>
      </c>
      <c r="AF2581">
        <v>0</v>
      </c>
      <c r="AG2581" s="29" t="s">
        <v>3669</v>
      </c>
      <c r="AH2581" s="29" t="s">
        <v>3673</v>
      </c>
      <c r="AI2581" s="29" t="s">
        <v>3703</v>
      </c>
      <c r="AJ2581" s="29" t="s">
        <v>3814</v>
      </c>
      <c r="AL2581" s="29" t="s">
        <v>3670</v>
      </c>
    </row>
    <row r="2582" spans="15:38">
      <c r="O2582" t="s">
        <v>24</v>
      </c>
      <c r="P2582" t="s">
        <v>43</v>
      </c>
      <c r="Q2582" t="s">
        <v>4</v>
      </c>
      <c r="R2582" t="s">
        <v>63</v>
      </c>
      <c r="S2582">
        <v>2024.28</v>
      </c>
      <c r="T2582">
        <v>39576.44</v>
      </c>
      <c r="U2582">
        <v>95906.078099999999</v>
      </c>
      <c r="V2582">
        <v>95906.078099999999</v>
      </c>
      <c r="AA2582" s="29" t="s">
        <v>43</v>
      </c>
      <c r="AB2582">
        <v>31200</v>
      </c>
      <c r="AC2582">
        <v>170</v>
      </c>
      <c r="AD2582">
        <v>4</v>
      </c>
      <c r="AE2582">
        <v>396.31</v>
      </c>
      <c r="AF2582">
        <v>396.31</v>
      </c>
      <c r="AG2582" s="29" t="s">
        <v>3669</v>
      </c>
      <c r="AH2582" s="29" t="s">
        <v>3815</v>
      </c>
      <c r="AI2582" s="29" t="s">
        <v>3703</v>
      </c>
      <c r="AJ2582" s="29" t="s">
        <v>3816</v>
      </c>
      <c r="AL2582" s="29" t="s">
        <v>3670</v>
      </c>
    </row>
    <row r="2583" spans="15:38">
      <c r="O2583" t="s">
        <v>24</v>
      </c>
      <c r="P2583" t="s">
        <v>43</v>
      </c>
      <c r="Q2583" t="s">
        <v>4</v>
      </c>
      <c r="R2583" t="s">
        <v>63</v>
      </c>
      <c r="S2583">
        <v>2024.38</v>
      </c>
      <c r="T2583">
        <v>40878.65</v>
      </c>
      <c r="U2583">
        <v>95906.078099999999</v>
      </c>
      <c r="V2583">
        <v>95906.078099999999</v>
      </c>
      <c r="AA2583" s="29" t="s">
        <v>43</v>
      </c>
      <c r="AB2583">
        <v>31200</v>
      </c>
      <c r="AC2583">
        <v>170</v>
      </c>
      <c r="AD2583">
        <v>4</v>
      </c>
      <c r="AE2583">
        <v>6.38</v>
      </c>
      <c r="AF2583">
        <v>6.38</v>
      </c>
      <c r="AG2583" s="29" t="s">
        <v>3669</v>
      </c>
      <c r="AH2583" s="29" t="s">
        <v>3817</v>
      </c>
      <c r="AI2583" s="29" t="s">
        <v>3703</v>
      </c>
      <c r="AJ2583" s="29" t="s">
        <v>3818</v>
      </c>
      <c r="AL2583" s="29" t="s">
        <v>3670</v>
      </c>
    </row>
    <row r="2584" spans="15:38">
      <c r="O2584" t="s">
        <v>24</v>
      </c>
      <c r="P2584" t="s">
        <v>43</v>
      </c>
      <c r="Q2584" t="s">
        <v>4</v>
      </c>
      <c r="R2584" t="s">
        <v>63</v>
      </c>
      <c r="S2584">
        <v>2024.39</v>
      </c>
      <c r="T2584">
        <v>40878.65</v>
      </c>
      <c r="U2584">
        <v>95906.078099999999</v>
      </c>
      <c r="V2584">
        <v>95906.078099999999</v>
      </c>
      <c r="AA2584" s="29" t="s">
        <v>43</v>
      </c>
      <c r="AB2584">
        <v>31200</v>
      </c>
      <c r="AC2584">
        <v>170</v>
      </c>
      <c r="AD2584">
        <v>4</v>
      </c>
      <c r="AE2584">
        <v>1082.1600000000001</v>
      </c>
      <c r="AF2584">
        <v>1082.1600000000001</v>
      </c>
      <c r="AG2584" s="29" t="s">
        <v>3669</v>
      </c>
      <c r="AH2584" s="29" t="s">
        <v>3819</v>
      </c>
      <c r="AI2584" s="29" t="s">
        <v>3703</v>
      </c>
      <c r="AJ2584" s="29" t="s">
        <v>3820</v>
      </c>
      <c r="AL2584" s="29" t="s">
        <v>3670</v>
      </c>
    </row>
    <row r="2585" spans="15:38">
      <c r="O2585" t="s">
        <v>24</v>
      </c>
      <c r="P2585" t="s">
        <v>43</v>
      </c>
      <c r="Q2585" t="s">
        <v>4</v>
      </c>
      <c r="R2585" t="s">
        <v>63</v>
      </c>
      <c r="S2585">
        <v>2024.41</v>
      </c>
      <c r="T2585">
        <v>42142.55</v>
      </c>
      <c r="U2585">
        <v>95906.078099999999</v>
      </c>
      <c r="V2585">
        <v>95906.078099999999</v>
      </c>
      <c r="AA2585" s="29" t="s">
        <v>43</v>
      </c>
      <c r="AB2585">
        <v>31200</v>
      </c>
      <c r="AC2585">
        <v>170</v>
      </c>
      <c r="AD2585">
        <v>4</v>
      </c>
      <c r="AE2585">
        <v>167.58</v>
      </c>
      <c r="AF2585">
        <v>167.58</v>
      </c>
      <c r="AG2585" s="29" t="s">
        <v>3669</v>
      </c>
      <c r="AH2585" s="29" t="s">
        <v>3821</v>
      </c>
      <c r="AI2585" s="29" t="s">
        <v>3703</v>
      </c>
      <c r="AJ2585" s="29" t="s">
        <v>3822</v>
      </c>
      <c r="AL2585" s="29" t="s">
        <v>3670</v>
      </c>
    </row>
    <row r="2586" spans="15:38">
      <c r="O2586" t="s">
        <v>24</v>
      </c>
      <c r="P2586" t="s">
        <v>43</v>
      </c>
      <c r="Q2586" t="s">
        <v>4</v>
      </c>
      <c r="R2586" t="s">
        <v>63</v>
      </c>
      <c r="S2586">
        <v>2024.43</v>
      </c>
      <c r="T2586">
        <v>43607.53</v>
      </c>
      <c r="U2586">
        <v>95906.078099999999</v>
      </c>
      <c r="V2586">
        <v>95906.078099999999</v>
      </c>
      <c r="AA2586" s="29" t="s">
        <v>43</v>
      </c>
      <c r="AB2586">
        <v>31200</v>
      </c>
      <c r="AC2586">
        <v>170</v>
      </c>
      <c r="AD2586">
        <v>4</v>
      </c>
      <c r="AE2586">
        <v>2823.37</v>
      </c>
      <c r="AF2586">
        <v>2823.37</v>
      </c>
      <c r="AG2586" s="29" t="s">
        <v>3669</v>
      </c>
      <c r="AH2586" s="29" t="s">
        <v>3823</v>
      </c>
      <c r="AI2586" s="29" t="s">
        <v>3703</v>
      </c>
      <c r="AJ2586" s="29" t="s">
        <v>3824</v>
      </c>
      <c r="AL2586" s="29" t="s">
        <v>3670</v>
      </c>
    </row>
    <row r="2587" spans="15:38">
      <c r="O2587" t="s">
        <v>24</v>
      </c>
      <c r="P2587" t="s">
        <v>43</v>
      </c>
      <c r="Q2587" t="s">
        <v>4</v>
      </c>
      <c r="R2587" t="s">
        <v>63</v>
      </c>
      <c r="S2587">
        <v>2024.44</v>
      </c>
      <c r="T2587">
        <v>43607.53</v>
      </c>
      <c r="U2587">
        <v>124653.13</v>
      </c>
      <c r="V2587">
        <v>64768.13</v>
      </c>
      <c r="AA2587" s="29" t="s">
        <v>43</v>
      </c>
      <c r="AB2587">
        <v>31200</v>
      </c>
      <c r="AC2587">
        <v>170</v>
      </c>
      <c r="AD2587">
        <v>4</v>
      </c>
      <c r="AE2587">
        <v>1540.02</v>
      </c>
      <c r="AF2587">
        <v>1540.02</v>
      </c>
      <c r="AG2587" s="29" t="s">
        <v>3669</v>
      </c>
      <c r="AH2587" s="29" t="s">
        <v>3825</v>
      </c>
      <c r="AI2587" s="29" t="s">
        <v>3703</v>
      </c>
      <c r="AJ2587" s="29" t="s">
        <v>3826</v>
      </c>
      <c r="AL2587" s="29" t="s">
        <v>3670</v>
      </c>
    </row>
    <row r="2588" spans="15:38">
      <c r="O2588" t="s">
        <v>24</v>
      </c>
      <c r="P2588" t="s">
        <v>43</v>
      </c>
      <c r="Q2588" t="s">
        <v>4</v>
      </c>
      <c r="R2588" t="s">
        <v>63</v>
      </c>
      <c r="S2588">
        <v>2024.45</v>
      </c>
      <c r="T2588">
        <v>43875.63</v>
      </c>
      <c r="U2588">
        <v>124653.13</v>
      </c>
      <c r="V2588">
        <v>64768.13</v>
      </c>
      <c r="AA2588" s="29" t="s">
        <v>43</v>
      </c>
      <c r="AB2588">
        <v>31200</v>
      </c>
      <c r="AC2588">
        <v>170</v>
      </c>
      <c r="AD2588">
        <v>4</v>
      </c>
      <c r="AE2588">
        <v>1.85</v>
      </c>
      <c r="AF2588">
        <v>1.85</v>
      </c>
      <c r="AG2588" s="29" t="s">
        <v>3669</v>
      </c>
      <c r="AH2588" s="29" t="s">
        <v>3827</v>
      </c>
      <c r="AI2588" s="29" t="s">
        <v>3703</v>
      </c>
      <c r="AJ2588" s="29" t="s">
        <v>3828</v>
      </c>
      <c r="AL2588" s="29" t="s">
        <v>3670</v>
      </c>
    </row>
    <row r="2589" spans="15:38">
      <c r="O2589" t="s">
        <v>24</v>
      </c>
      <c r="P2589" t="s">
        <v>43</v>
      </c>
      <c r="Q2589" t="s">
        <v>4</v>
      </c>
      <c r="R2589" t="s">
        <v>63</v>
      </c>
      <c r="S2589">
        <v>2024.47</v>
      </c>
      <c r="T2589">
        <v>43875.63</v>
      </c>
      <c r="U2589">
        <v>124653.13</v>
      </c>
      <c r="V2589">
        <v>64768.13</v>
      </c>
      <c r="AA2589" s="29" t="s">
        <v>43</v>
      </c>
      <c r="AB2589">
        <v>31200</v>
      </c>
      <c r="AC2589">
        <v>170</v>
      </c>
      <c r="AD2589">
        <v>4</v>
      </c>
      <c r="AE2589">
        <v>0</v>
      </c>
      <c r="AF2589">
        <v>0</v>
      </c>
      <c r="AG2589" s="29" t="s">
        <v>3669</v>
      </c>
      <c r="AH2589" s="29" t="s">
        <v>3673</v>
      </c>
      <c r="AI2589" s="29" t="s">
        <v>3703</v>
      </c>
      <c r="AJ2589" s="29" t="s">
        <v>3829</v>
      </c>
      <c r="AL2589" s="29" t="s">
        <v>3670</v>
      </c>
    </row>
    <row r="2590" spans="15:38">
      <c r="O2590" t="s">
        <v>24</v>
      </c>
      <c r="P2590" t="s">
        <v>43</v>
      </c>
      <c r="Q2590" t="s">
        <v>4</v>
      </c>
      <c r="R2590" t="s">
        <v>63</v>
      </c>
      <c r="S2590">
        <v>2024.48</v>
      </c>
      <c r="T2590">
        <v>44651.21</v>
      </c>
      <c r="U2590">
        <v>124653.13</v>
      </c>
      <c r="V2590">
        <v>74768.13</v>
      </c>
      <c r="AA2590" s="29" t="s">
        <v>43</v>
      </c>
      <c r="AB2590">
        <v>31200</v>
      </c>
      <c r="AC2590">
        <v>170</v>
      </c>
      <c r="AD2590">
        <v>4</v>
      </c>
      <c r="AE2590">
        <v>8</v>
      </c>
      <c r="AF2590">
        <v>8</v>
      </c>
      <c r="AG2590" s="29" t="s">
        <v>3669</v>
      </c>
      <c r="AH2590" s="29" t="s">
        <v>3830</v>
      </c>
      <c r="AI2590" s="29" t="s">
        <v>3703</v>
      </c>
      <c r="AJ2590" s="29" t="s">
        <v>3831</v>
      </c>
      <c r="AL2590" s="29" t="s">
        <v>3670</v>
      </c>
    </row>
    <row r="2591" spans="15:38">
      <c r="O2591" t="s">
        <v>24</v>
      </c>
      <c r="P2591" t="s">
        <v>43</v>
      </c>
      <c r="Q2591" t="s">
        <v>4</v>
      </c>
      <c r="R2591" t="s">
        <v>63</v>
      </c>
      <c r="S2591">
        <v>2024.49</v>
      </c>
      <c r="T2591">
        <v>44967.19</v>
      </c>
      <c r="U2591">
        <v>124653.13</v>
      </c>
      <c r="V2591">
        <v>74768.13</v>
      </c>
      <c r="AA2591" s="29" t="s">
        <v>43</v>
      </c>
      <c r="AB2591">
        <v>31200</v>
      </c>
      <c r="AC2591">
        <v>170</v>
      </c>
      <c r="AD2591">
        <v>4</v>
      </c>
      <c r="AE2591">
        <v>76.400000000000006</v>
      </c>
      <c r="AF2591">
        <v>76.400000000000006</v>
      </c>
      <c r="AG2591" s="29" t="s">
        <v>3669</v>
      </c>
      <c r="AH2591" s="29" t="s">
        <v>3832</v>
      </c>
      <c r="AI2591" s="29" t="s">
        <v>3703</v>
      </c>
      <c r="AJ2591" s="29" t="s">
        <v>3833</v>
      </c>
      <c r="AL2591" s="29" t="s">
        <v>3670</v>
      </c>
    </row>
    <row r="2592" spans="15:38">
      <c r="O2592" t="s">
        <v>24</v>
      </c>
      <c r="P2592" t="s">
        <v>43</v>
      </c>
      <c r="Q2592" t="s">
        <v>4</v>
      </c>
      <c r="R2592" t="s">
        <v>63</v>
      </c>
      <c r="S2592">
        <v>2025.03</v>
      </c>
      <c r="T2592">
        <v>45436.37</v>
      </c>
      <c r="U2592">
        <v>124653.13</v>
      </c>
      <c r="V2592">
        <v>74768.13</v>
      </c>
      <c r="AA2592" s="29" t="s">
        <v>43</v>
      </c>
      <c r="AB2592">
        <v>31200</v>
      </c>
      <c r="AC2592">
        <v>170</v>
      </c>
      <c r="AD2592">
        <v>4</v>
      </c>
      <c r="AE2592">
        <v>38.1</v>
      </c>
      <c r="AF2592">
        <v>38.1</v>
      </c>
      <c r="AG2592" s="29" t="s">
        <v>3669</v>
      </c>
      <c r="AH2592" s="29" t="s">
        <v>3834</v>
      </c>
      <c r="AI2592" s="29" t="s">
        <v>3703</v>
      </c>
      <c r="AJ2592" s="29" t="s">
        <v>3835</v>
      </c>
      <c r="AL2592" s="29" t="s">
        <v>3670</v>
      </c>
    </row>
    <row r="2593" spans="15:38">
      <c r="O2593" t="s">
        <v>24</v>
      </c>
      <c r="P2593" t="s">
        <v>43</v>
      </c>
      <c r="Q2593" t="s">
        <v>4</v>
      </c>
      <c r="R2593" t="s">
        <v>63</v>
      </c>
      <c r="S2593">
        <v>2025.08</v>
      </c>
      <c r="T2593">
        <v>45991.73</v>
      </c>
      <c r="U2593">
        <v>124653.13</v>
      </c>
      <c r="V2593">
        <v>74768.13</v>
      </c>
      <c r="AA2593" s="29" t="s">
        <v>43</v>
      </c>
      <c r="AB2593">
        <v>31200</v>
      </c>
      <c r="AC2593">
        <v>170</v>
      </c>
      <c r="AD2593">
        <v>4</v>
      </c>
      <c r="AE2593">
        <v>17.510000000000002</v>
      </c>
      <c r="AF2593">
        <v>17.510000000000002</v>
      </c>
      <c r="AG2593" s="29" t="s">
        <v>3669</v>
      </c>
      <c r="AH2593" s="29" t="s">
        <v>3836</v>
      </c>
      <c r="AI2593" s="29" t="s">
        <v>3703</v>
      </c>
      <c r="AJ2593" s="29" t="s">
        <v>3837</v>
      </c>
      <c r="AL2593" s="29" t="s">
        <v>3670</v>
      </c>
    </row>
    <row r="2594" spans="15:38">
      <c r="O2594" t="s">
        <v>24</v>
      </c>
      <c r="P2594" t="s">
        <v>43</v>
      </c>
      <c r="Q2594" t="s">
        <v>4</v>
      </c>
      <c r="R2594" t="s">
        <v>63</v>
      </c>
      <c r="S2594">
        <v>2025.1</v>
      </c>
      <c r="T2594">
        <v>46262.93</v>
      </c>
      <c r="U2594">
        <v>124653.13</v>
      </c>
      <c r="V2594">
        <v>74768.13</v>
      </c>
      <c r="AA2594" s="29" t="s">
        <v>43</v>
      </c>
      <c r="AB2594">
        <v>31200</v>
      </c>
      <c r="AC2594">
        <v>170</v>
      </c>
      <c r="AD2594">
        <v>4</v>
      </c>
      <c r="AE2594">
        <v>80</v>
      </c>
      <c r="AF2594">
        <v>80</v>
      </c>
      <c r="AG2594" s="29" t="s">
        <v>3669</v>
      </c>
      <c r="AH2594" s="29" t="s">
        <v>3838</v>
      </c>
      <c r="AI2594" s="29" t="s">
        <v>3703</v>
      </c>
      <c r="AJ2594" s="29" t="s">
        <v>3839</v>
      </c>
      <c r="AL2594" s="29" t="s">
        <v>3670</v>
      </c>
    </row>
    <row r="2595" spans="15:38">
      <c r="O2595" t="s">
        <v>24</v>
      </c>
      <c r="P2595" t="s">
        <v>43</v>
      </c>
      <c r="Q2595" t="s">
        <v>4</v>
      </c>
      <c r="R2595" t="s">
        <v>63</v>
      </c>
      <c r="S2595">
        <v>2025.11</v>
      </c>
      <c r="T2595">
        <v>46262.93</v>
      </c>
      <c r="U2595">
        <v>124653.13</v>
      </c>
      <c r="V2595">
        <v>74768.13</v>
      </c>
      <c r="AA2595" s="29" t="s">
        <v>43</v>
      </c>
      <c r="AB2595">
        <v>31200</v>
      </c>
      <c r="AC2595">
        <v>170</v>
      </c>
      <c r="AD2595">
        <v>4</v>
      </c>
      <c r="AE2595">
        <v>43.65</v>
      </c>
      <c r="AF2595">
        <v>43.65</v>
      </c>
      <c r="AG2595" s="29" t="s">
        <v>3669</v>
      </c>
      <c r="AH2595" s="29" t="s">
        <v>3840</v>
      </c>
      <c r="AI2595" s="29" t="s">
        <v>3703</v>
      </c>
      <c r="AJ2595" s="29" t="s">
        <v>3841</v>
      </c>
      <c r="AL2595" s="29" t="s">
        <v>3670</v>
      </c>
    </row>
    <row r="2596" spans="15:38">
      <c r="O2596" t="s">
        <v>24</v>
      </c>
      <c r="P2596" t="s">
        <v>43</v>
      </c>
      <c r="Q2596" t="s">
        <v>4</v>
      </c>
      <c r="R2596" t="s">
        <v>63</v>
      </c>
      <c r="S2596">
        <v>2025.12</v>
      </c>
      <c r="T2596">
        <v>46262.93</v>
      </c>
      <c r="U2596">
        <v>124653.13</v>
      </c>
      <c r="V2596">
        <v>74768.13</v>
      </c>
      <c r="AA2596" s="29" t="s">
        <v>43</v>
      </c>
      <c r="AB2596">
        <v>31200</v>
      </c>
      <c r="AC2596">
        <v>170</v>
      </c>
      <c r="AD2596">
        <v>4</v>
      </c>
      <c r="AE2596">
        <v>109.08</v>
      </c>
      <c r="AF2596">
        <v>109.08</v>
      </c>
      <c r="AG2596" s="29" t="s">
        <v>3669</v>
      </c>
      <c r="AH2596" s="29" t="s">
        <v>3842</v>
      </c>
      <c r="AI2596" s="29" t="s">
        <v>3703</v>
      </c>
      <c r="AJ2596" s="29" t="s">
        <v>3843</v>
      </c>
      <c r="AL2596" s="29" t="s">
        <v>3670</v>
      </c>
    </row>
    <row r="2597" spans="15:38">
      <c r="O2597" t="s">
        <v>24</v>
      </c>
      <c r="P2597" t="s">
        <v>43</v>
      </c>
      <c r="Q2597" t="s">
        <v>46</v>
      </c>
      <c r="R2597" t="s">
        <v>59</v>
      </c>
      <c r="S2597">
        <v>2023.47</v>
      </c>
      <c r="T2597">
        <v>0</v>
      </c>
      <c r="U2597">
        <v>117376.5405</v>
      </c>
      <c r="V2597">
        <v>117376.5405</v>
      </c>
      <c r="AA2597" s="29" t="s">
        <v>43</v>
      </c>
      <c r="AB2597">
        <v>31200</v>
      </c>
      <c r="AC2597">
        <v>170</v>
      </c>
      <c r="AD2597">
        <v>4</v>
      </c>
      <c r="AE2597">
        <v>7.76</v>
      </c>
      <c r="AF2597">
        <v>7.76</v>
      </c>
      <c r="AG2597" s="29" t="s">
        <v>3669</v>
      </c>
      <c r="AH2597" s="29" t="s">
        <v>3844</v>
      </c>
      <c r="AI2597" s="29" t="s">
        <v>3703</v>
      </c>
      <c r="AJ2597" s="29" t="s">
        <v>3845</v>
      </c>
      <c r="AL2597" s="29" t="s">
        <v>3670</v>
      </c>
    </row>
    <row r="2598" spans="15:38">
      <c r="O2598" t="s">
        <v>24</v>
      </c>
      <c r="P2598" t="s">
        <v>43</v>
      </c>
      <c r="Q2598" t="s">
        <v>46</v>
      </c>
      <c r="R2598" t="s">
        <v>59</v>
      </c>
      <c r="S2598">
        <v>2024.48</v>
      </c>
      <c r="T2598">
        <v>0</v>
      </c>
      <c r="U2598">
        <v>117376.5405</v>
      </c>
      <c r="V2598">
        <v>187376.5405</v>
      </c>
      <c r="AA2598" s="29" t="s">
        <v>43</v>
      </c>
      <c r="AB2598">
        <v>31200</v>
      </c>
      <c r="AC2598">
        <v>170</v>
      </c>
      <c r="AD2598">
        <v>4</v>
      </c>
      <c r="AE2598">
        <v>7.28</v>
      </c>
      <c r="AF2598">
        <v>7.28</v>
      </c>
      <c r="AG2598" s="29" t="s">
        <v>3669</v>
      </c>
      <c r="AH2598" s="29" t="s">
        <v>3846</v>
      </c>
      <c r="AI2598" s="29" t="s">
        <v>3703</v>
      </c>
      <c r="AJ2598" s="29" t="s">
        <v>3847</v>
      </c>
      <c r="AL2598" s="29" t="s">
        <v>3670</v>
      </c>
    </row>
    <row r="2599" spans="15:38">
      <c r="AA2599" s="29" t="s">
        <v>43</v>
      </c>
      <c r="AB2599">
        <v>31200</v>
      </c>
      <c r="AC2599">
        <v>170</v>
      </c>
      <c r="AD2599">
        <v>4</v>
      </c>
      <c r="AE2599">
        <v>1.93</v>
      </c>
      <c r="AF2599">
        <v>1.93</v>
      </c>
      <c r="AG2599" s="29" t="s">
        <v>3669</v>
      </c>
      <c r="AH2599" s="29" t="s">
        <v>3848</v>
      </c>
      <c r="AI2599" s="29" t="s">
        <v>3703</v>
      </c>
      <c r="AJ2599" s="29" t="s">
        <v>3849</v>
      </c>
      <c r="AL2599" s="29" t="s">
        <v>3670</v>
      </c>
    </row>
    <row r="2600" spans="15:38">
      <c r="AA2600" s="29" t="s">
        <v>43</v>
      </c>
      <c r="AB2600">
        <v>31200</v>
      </c>
      <c r="AC2600">
        <v>170</v>
      </c>
      <c r="AD2600">
        <v>4</v>
      </c>
      <c r="AE2600">
        <v>180</v>
      </c>
      <c r="AF2600">
        <v>180</v>
      </c>
      <c r="AG2600" s="29" t="s">
        <v>3669</v>
      </c>
      <c r="AH2600" s="29" t="s">
        <v>3850</v>
      </c>
      <c r="AI2600" s="29" t="s">
        <v>3703</v>
      </c>
      <c r="AJ2600" s="29" t="s">
        <v>3851</v>
      </c>
      <c r="AL2600" s="29" t="s">
        <v>3670</v>
      </c>
    </row>
    <row r="2601" spans="15:38">
      <c r="AA2601" s="29" t="s">
        <v>43</v>
      </c>
      <c r="AB2601">
        <v>31200</v>
      </c>
      <c r="AC2601">
        <v>170</v>
      </c>
      <c r="AD2601">
        <v>4</v>
      </c>
      <c r="AE2601">
        <v>177.45</v>
      </c>
      <c r="AF2601">
        <v>177.45</v>
      </c>
      <c r="AG2601" s="29" t="s">
        <v>3669</v>
      </c>
      <c r="AH2601" s="29" t="s">
        <v>3852</v>
      </c>
      <c r="AI2601" s="29" t="s">
        <v>3703</v>
      </c>
      <c r="AJ2601" s="29" t="s">
        <v>3853</v>
      </c>
      <c r="AL2601" s="29" t="s">
        <v>3670</v>
      </c>
    </row>
    <row r="2602" spans="15:38">
      <c r="AA2602" s="29" t="s">
        <v>43</v>
      </c>
      <c r="AB2602">
        <v>31200</v>
      </c>
      <c r="AC2602">
        <v>170</v>
      </c>
      <c r="AD2602">
        <v>4</v>
      </c>
      <c r="AE2602">
        <v>80.849999999999994</v>
      </c>
      <c r="AF2602">
        <v>80.849999999999994</v>
      </c>
      <c r="AG2602" s="29" t="s">
        <v>3669</v>
      </c>
      <c r="AH2602" s="29" t="s">
        <v>3854</v>
      </c>
      <c r="AI2602" s="29" t="s">
        <v>3703</v>
      </c>
      <c r="AJ2602" s="29" t="s">
        <v>3855</v>
      </c>
      <c r="AL2602" s="29" t="s">
        <v>3670</v>
      </c>
    </row>
    <row r="2603" spans="15:38">
      <c r="AA2603" s="29" t="s">
        <v>43</v>
      </c>
      <c r="AB2603">
        <v>31200</v>
      </c>
      <c r="AC2603">
        <v>170</v>
      </c>
      <c r="AD2603">
        <v>4</v>
      </c>
      <c r="AE2603">
        <v>5334.03</v>
      </c>
      <c r="AF2603">
        <v>5334.03</v>
      </c>
      <c r="AG2603" s="29" t="s">
        <v>3669</v>
      </c>
      <c r="AH2603" s="29" t="s">
        <v>3856</v>
      </c>
      <c r="AI2603" s="29" t="s">
        <v>3703</v>
      </c>
      <c r="AJ2603" s="29" t="s">
        <v>3857</v>
      </c>
      <c r="AL2603" s="29" t="s">
        <v>3670</v>
      </c>
    </row>
    <row r="2604" spans="15:38">
      <c r="AA2604" s="29" t="s">
        <v>43</v>
      </c>
      <c r="AB2604">
        <v>31200</v>
      </c>
      <c r="AC2604">
        <v>170</v>
      </c>
      <c r="AD2604">
        <v>4</v>
      </c>
      <c r="AE2604">
        <v>313.45</v>
      </c>
      <c r="AF2604">
        <v>313.45</v>
      </c>
      <c r="AG2604" s="29" t="s">
        <v>3669</v>
      </c>
      <c r="AH2604" s="29" t="s">
        <v>3858</v>
      </c>
      <c r="AI2604" s="29" t="s">
        <v>3703</v>
      </c>
      <c r="AJ2604" s="29" t="s">
        <v>3070</v>
      </c>
      <c r="AL2604" s="29" t="s">
        <v>3670</v>
      </c>
    </row>
    <row r="2605" spans="15:38">
      <c r="AA2605" s="29" t="s">
        <v>43</v>
      </c>
      <c r="AB2605">
        <v>31200</v>
      </c>
      <c r="AC2605">
        <v>170</v>
      </c>
      <c r="AD2605">
        <v>4</v>
      </c>
      <c r="AE2605">
        <v>2225</v>
      </c>
      <c r="AF2605">
        <v>2225</v>
      </c>
      <c r="AG2605" s="29" t="s">
        <v>3669</v>
      </c>
      <c r="AH2605" s="29" t="s">
        <v>3859</v>
      </c>
      <c r="AI2605" s="29" t="s">
        <v>3703</v>
      </c>
      <c r="AJ2605" s="29" t="s">
        <v>3860</v>
      </c>
      <c r="AL2605" s="29" t="s">
        <v>3670</v>
      </c>
    </row>
    <row r="2606" spans="15:38">
      <c r="AA2606" s="29" t="s">
        <v>43</v>
      </c>
      <c r="AB2606">
        <v>31200</v>
      </c>
      <c r="AC2606">
        <v>170</v>
      </c>
      <c r="AD2606">
        <v>4</v>
      </c>
      <c r="AE2606">
        <v>124.83</v>
      </c>
      <c r="AF2606">
        <v>124.83</v>
      </c>
      <c r="AG2606" s="29" t="s">
        <v>3669</v>
      </c>
      <c r="AH2606" s="29" t="s">
        <v>3861</v>
      </c>
      <c r="AI2606" s="29" t="s">
        <v>3703</v>
      </c>
      <c r="AJ2606" s="29" t="s">
        <v>3862</v>
      </c>
      <c r="AL2606" s="29" t="s">
        <v>3670</v>
      </c>
    </row>
    <row r="2607" spans="15:38">
      <c r="AA2607" s="29" t="s">
        <v>43</v>
      </c>
      <c r="AB2607">
        <v>31200</v>
      </c>
      <c r="AC2607">
        <v>170</v>
      </c>
      <c r="AD2607">
        <v>4</v>
      </c>
      <c r="AE2607">
        <v>1075</v>
      </c>
      <c r="AF2607">
        <v>1075</v>
      </c>
      <c r="AG2607" s="29" t="s">
        <v>3669</v>
      </c>
      <c r="AH2607" s="29" t="s">
        <v>3863</v>
      </c>
      <c r="AI2607" s="29" t="s">
        <v>3703</v>
      </c>
      <c r="AJ2607" s="29" t="s">
        <v>3864</v>
      </c>
      <c r="AL2607" s="29" t="s">
        <v>3670</v>
      </c>
    </row>
    <row r="2608" spans="15:38">
      <c r="AA2608" s="29" t="s">
        <v>43</v>
      </c>
      <c r="AB2608">
        <v>31200</v>
      </c>
      <c r="AC2608">
        <v>170</v>
      </c>
      <c r="AD2608">
        <v>4</v>
      </c>
      <c r="AE2608">
        <v>2100</v>
      </c>
      <c r="AF2608">
        <v>2100</v>
      </c>
      <c r="AG2608" s="29" t="s">
        <v>3669</v>
      </c>
      <c r="AH2608" s="29" t="s">
        <v>3865</v>
      </c>
      <c r="AI2608" s="29" t="s">
        <v>3703</v>
      </c>
      <c r="AJ2608" s="29" t="s">
        <v>3866</v>
      </c>
      <c r="AL2608" s="29" t="s">
        <v>3670</v>
      </c>
    </row>
    <row r="2609" spans="27:38">
      <c r="AA2609" s="29" t="s">
        <v>43</v>
      </c>
      <c r="AB2609">
        <v>31200</v>
      </c>
      <c r="AC2609">
        <v>170</v>
      </c>
      <c r="AD2609">
        <v>4</v>
      </c>
      <c r="AE2609">
        <v>2430</v>
      </c>
      <c r="AF2609">
        <v>2430</v>
      </c>
      <c r="AG2609" s="29" t="s">
        <v>3669</v>
      </c>
      <c r="AH2609" s="29" t="s">
        <v>3867</v>
      </c>
      <c r="AI2609" s="29" t="s">
        <v>3703</v>
      </c>
      <c r="AJ2609" s="29" t="s">
        <v>3868</v>
      </c>
      <c r="AL2609" s="29" t="s">
        <v>3670</v>
      </c>
    </row>
    <row r="2610" spans="27:38">
      <c r="AA2610" s="29" t="s">
        <v>43</v>
      </c>
      <c r="AB2610">
        <v>31200</v>
      </c>
      <c r="AC2610">
        <v>170</v>
      </c>
      <c r="AD2610">
        <v>4</v>
      </c>
      <c r="AE2610">
        <v>2530</v>
      </c>
      <c r="AF2610">
        <v>2530</v>
      </c>
      <c r="AG2610" s="29" t="s">
        <v>3669</v>
      </c>
      <c r="AH2610" s="29" t="s">
        <v>3869</v>
      </c>
      <c r="AI2610" s="29" t="s">
        <v>3703</v>
      </c>
      <c r="AJ2610" s="29" t="s">
        <v>3870</v>
      </c>
      <c r="AL2610" s="29" t="s">
        <v>3670</v>
      </c>
    </row>
    <row r="2611" spans="27:38">
      <c r="AA2611" s="29" t="s">
        <v>43</v>
      </c>
      <c r="AB2611">
        <v>31200</v>
      </c>
      <c r="AC2611">
        <v>170</v>
      </c>
      <c r="AD2611">
        <v>4</v>
      </c>
      <c r="AE2611">
        <v>1150</v>
      </c>
      <c r="AF2611">
        <v>1150</v>
      </c>
      <c r="AG2611" s="29" t="s">
        <v>3669</v>
      </c>
      <c r="AH2611" s="29" t="s">
        <v>3871</v>
      </c>
      <c r="AI2611" s="29" t="s">
        <v>3703</v>
      </c>
      <c r="AJ2611" s="29" t="s">
        <v>3872</v>
      </c>
      <c r="AL2611" s="29" t="s">
        <v>3670</v>
      </c>
    </row>
    <row r="2612" spans="27:38">
      <c r="AA2612" s="29" t="s">
        <v>43</v>
      </c>
      <c r="AB2612">
        <v>31200</v>
      </c>
      <c r="AC2612">
        <v>170</v>
      </c>
      <c r="AD2612">
        <v>4</v>
      </c>
      <c r="AE2612">
        <v>568</v>
      </c>
      <c r="AF2612">
        <v>568</v>
      </c>
      <c r="AG2612" s="29" t="s">
        <v>3669</v>
      </c>
      <c r="AH2612" s="29" t="s">
        <v>3716</v>
      </c>
      <c r="AI2612" s="29" t="s">
        <v>3703</v>
      </c>
      <c r="AJ2612" s="29" t="s">
        <v>3873</v>
      </c>
      <c r="AL2612" s="29" t="s">
        <v>3670</v>
      </c>
    </row>
    <row r="2613" spans="27:38">
      <c r="AA2613" s="29" t="s">
        <v>43</v>
      </c>
      <c r="AB2613">
        <v>31200</v>
      </c>
      <c r="AC2613">
        <v>170</v>
      </c>
      <c r="AD2613">
        <v>4</v>
      </c>
      <c r="AE2613">
        <v>695.4</v>
      </c>
      <c r="AF2613">
        <v>695.4</v>
      </c>
      <c r="AG2613" s="29" t="s">
        <v>3669</v>
      </c>
      <c r="AH2613" s="29" t="s">
        <v>3874</v>
      </c>
      <c r="AI2613" s="29" t="s">
        <v>3703</v>
      </c>
      <c r="AJ2613" s="29" t="s">
        <v>3875</v>
      </c>
      <c r="AL2613" s="29" t="s">
        <v>3670</v>
      </c>
    </row>
    <row r="2614" spans="27:38">
      <c r="AA2614" s="29" t="s">
        <v>43</v>
      </c>
      <c r="AB2614">
        <v>31200</v>
      </c>
      <c r="AC2614">
        <v>170</v>
      </c>
      <c r="AD2614">
        <v>4</v>
      </c>
      <c r="AE2614">
        <v>1417.04</v>
      </c>
      <c r="AF2614">
        <v>1417.04</v>
      </c>
      <c r="AG2614" s="29" t="s">
        <v>3669</v>
      </c>
      <c r="AH2614" s="29" t="s">
        <v>3876</v>
      </c>
      <c r="AI2614" s="29" t="s">
        <v>3703</v>
      </c>
      <c r="AJ2614" s="29" t="s">
        <v>3877</v>
      </c>
      <c r="AL2614" s="29" t="s">
        <v>3670</v>
      </c>
    </row>
    <row r="2615" spans="27:38">
      <c r="AA2615" s="29" t="s">
        <v>43</v>
      </c>
      <c r="AB2615">
        <v>31200</v>
      </c>
      <c r="AC2615">
        <v>170</v>
      </c>
      <c r="AD2615">
        <v>4</v>
      </c>
      <c r="AE2615">
        <v>2.6</v>
      </c>
      <c r="AF2615">
        <v>2.6</v>
      </c>
      <c r="AG2615" s="29" t="s">
        <v>3669</v>
      </c>
      <c r="AH2615" s="29" t="s">
        <v>3878</v>
      </c>
      <c r="AI2615" s="29" t="s">
        <v>3703</v>
      </c>
      <c r="AJ2615" s="29" t="s">
        <v>3879</v>
      </c>
      <c r="AL2615" s="29" t="s">
        <v>3670</v>
      </c>
    </row>
    <row r="2616" spans="27:38">
      <c r="AA2616" s="29" t="s">
        <v>43</v>
      </c>
      <c r="AB2616">
        <v>31200</v>
      </c>
      <c r="AC2616">
        <v>170</v>
      </c>
      <c r="AD2616">
        <v>4</v>
      </c>
      <c r="AE2616">
        <v>3040</v>
      </c>
      <c r="AF2616">
        <v>3040</v>
      </c>
      <c r="AG2616" s="29" t="s">
        <v>3669</v>
      </c>
      <c r="AH2616" s="29" t="s">
        <v>3880</v>
      </c>
      <c r="AI2616" s="29" t="s">
        <v>3703</v>
      </c>
      <c r="AJ2616" s="29" t="s">
        <v>3881</v>
      </c>
      <c r="AL2616" s="29" t="s">
        <v>3670</v>
      </c>
    </row>
    <row r="2617" spans="27:38">
      <c r="AA2617" s="29" t="s">
        <v>43</v>
      </c>
      <c r="AB2617">
        <v>31200</v>
      </c>
      <c r="AC2617">
        <v>170</v>
      </c>
      <c r="AD2617">
        <v>4</v>
      </c>
      <c r="AE2617">
        <v>5657.4</v>
      </c>
      <c r="AF2617">
        <v>5657.4</v>
      </c>
      <c r="AG2617" s="29" t="s">
        <v>3669</v>
      </c>
      <c r="AH2617" s="29" t="s">
        <v>3882</v>
      </c>
      <c r="AI2617" s="29" t="s">
        <v>3703</v>
      </c>
      <c r="AJ2617" s="29" t="s">
        <v>3883</v>
      </c>
      <c r="AL2617" s="29" t="s">
        <v>3670</v>
      </c>
    </row>
    <row r="2618" spans="27:38">
      <c r="AA2618" s="29" t="s">
        <v>43</v>
      </c>
      <c r="AB2618">
        <v>31200</v>
      </c>
      <c r="AC2618">
        <v>170</v>
      </c>
      <c r="AD2618">
        <v>4</v>
      </c>
      <c r="AE2618">
        <v>21.39</v>
      </c>
      <c r="AF2618">
        <v>21.39</v>
      </c>
      <c r="AG2618" s="29" t="s">
        <v>3669</v>
      </c>
      <c r="AH2618" s="29" t="s">
        <v>3884</v>
      </c>
      <c r="AI2618" s="29" t="s">
        <v>3703</v>
      </c>
      <c r="AJ2618" s="29" t="s">
        <v>3885</v>
      </c>
      <c r="AL2618" s="29" t="s">
        <v>3670</v>
      </c>
    </row>
    <row r="2619" spans="27:38">
      <c r="AA2619" s="29" t="s">
        <v>43</v>
      </c>
      <c r="AB2619">
        <v>31200</v>
      </c>
      <c r="AC2619">
        <v>170</v>
      </c>
      <c r="AD2619">
        <v>4</v>
      </c>
      <c r="AE2619">
        <v>47.5</v>
      </c>
      <c r="AF2619">
        <v>47.5</v>
      </c>
      <c r="AG2619" s="29" t="s">
        <v>3669</v>
      </c>
      <c r="AH2619" s="29" t="s">
        <v>3886</v>
      </c>
      <c r="AI2619" s="29" t="s">
        <v>3703</v>
      </c>
      <c r="AJ2619" s="29" t="s">
        <v>3887</v>
      </c>
      <c r="AL2619" s="29" t="s">
        <v>3670</v>
      </c>
    </row>
    <row r="2620" spans="27:38">
      <c r="AA2620" s="29" t="s">
        <v>43</v>
      </c>
      <c r="AB2620">
        <v>31200</v>
      </c>
      <c r="AC2620">
        <v>170</v>
      </c>
      <c r="AD2620">
        <v>4</v>
      </c>
      <c r="AE2620">
        <v>9.3000000000000007</v>
      </c>
      <c r="AF2620">
        <v>9.3000000000000007</v>
      </c>
      <c r="AG2620" s="29" t="s">
        <v>3669</v>
      </c>
      <c r="AH2620" s="29" t="s">
        <v>3888</v>
      </c>
      <c r="AI2620" s="29" t="s">
        <v>3703</v>
      </c>
      <c r="AJ2620" s="29" t="s">
        <v>3889</v>
      </c>
      <c r="AL2620" s="29" t="s">
        <v>3670</v>
      </c>
    </row>
    <row r="2621" spans="27:38">
      <c r="AA2621" s="29" t="s">
        <v>43</v>
      </c>
      <c r="AB2621">
        <v>31200</v>
      </c>
      <c r="AC2621">
        <v>170</v>
      </c>
      <c r="AD2621">
        <v>4</v>
      </c>
      <c r="AE2621">
        <v>3.6</v>
      </c>
      <c r="AF2621">
        <v>3.6</v>
      </c>
      <c r="AG2621" s="29" t="s">
        <v>3669</v>
      </c>
      <c r="AH2621" s="29" t="s">
        <v>3890</v>
      </c>
      <c r="AI2621" s="29" t="s">
        <v>3703</v>
      </c>
      <c r="AJ2621" s="29" t="s">
        <v>3891</v>
      </c>
      <c r="AL2621" s="29" t="s">
        <v>3670</v>
      </c>
    </row>
    <row r="2622" spans="27:38">
      <c r="AA2622" s="29" t="s">
        <v>43</v>
      </c>
      <c r="AB2622">
        <v>31200</v>
      </c>
      <c r="AC2622">
        <v>170</v>
      </c>
      <c r="AD2622">
        <v>4</v>
      </c>
      <c r="AE2622">
        <v>6.49</v>
      </c>
      <c r="AF2622">
        <v>6.49</v>
      </c>
      <c r="AG2622" s="29" t="s">
        <v>3669</v>
      </c>
      <c r="AH2622" s="29" t="s">
        <v>3892</v>
      </c>
      <c r="AI2622" s="29" t="s">
        <v>3703</v>
      </c>
      <c r="AJ2622" s="29" t="s">
        <v>3893</v>
      </c>
      <c r="AL2622" s="29" t="s">
        <v>3670</v>
      </c>
    </row>
    <row r="2623" spans="27:38">
      <c r="AA2623" s="29" t="s">
        <v>43</v>
      </c>
      <c r="AB2623">
        <v>31200</v>
      </c>
      <c r="AC2623">
        <v>170</v>
      </c>
      <c r="AD2623">
        <v>4</v>
      </c>
      <c r="AE2623">
        <v>0</v>
      </c>
      <c r="AF2623">
        <v>0</v>
      </c>
      <c r="AG2623" s="29" t="s">
        <v>3669</v>
      </c>
      <c r="AH2623" s="29" t="s">
        <v>3673</v>
      </c>
      <c r="AI2623" s="29" t="s">
        <v>3703</v>
      </c>
      <c r="AJ2623" s="29" t="s">
        <v>3011</v>
      </c>
      <c r="AL2623" s="29" t="s">
        <v>3670</v>
      </c>
    </row>
    <row r="2624" spans="27:38">
      <c r="AA2624" s="29" t="s">
        <v>43</v>
      </c>
      <c r="AB2624">
        <v>31200</v>
      </c>
      <c r="AC2624">
        <v>170</v>
      </c>
      <c r="AD2624">
        <v>4</v>
      </c>
      <c r="AE2624">
        <v>18.82</v>
      </c>
      <c r="AF2624">
        <v>18.82</v>
      </c>
      <c r="AG2624" s="29" t="s">
        <v>3669</v>
      </c>
      <c r="AH2624" s="29" t="s">
        <v>3894</v>
      </c>
      <c r="AI2624" s="29" t="s">
        <v>3703</v>
      </c>
      <c r="AJ2624" s="29" t="s">
        <v>3895</v>
      </c>
      <c r="AL2624" s="29" t="s">
        <v>3670</v>
      </c>
    </row>
    <row r="2625" spans="27:38">
      <c r="AA2625" s="29" t="s">
        <v>43</v>
      </c>
      <c r="AB2625">
        <v>31200</v>
      </c>
      <c r="AC2625">
        <v>170</v>
      </c>
      <c r="AD2625">
        <v>4</v>
      </c>
      <c r="AE2625">
        <v>0.9</v>
      </c>
      <c r="AF2625">
        <v>0.9</v>
      </c>
      <c r="AG2625" s="29" t="s">
        <v>3669</v>
      </c>
      <c r="AH2625" s="29" t="s">
        <v>3896</v>
      </c>
      <c r="AI2625" s="29" t="s">
        <v>3703</v>
      </c>
      <c r="AJ2625" s="29" t="s">
        <v>3897</v>
      </c>
      <c r="AL2625" s="29" t="s">
        <v>3670</v>
      </c>
    </row>
    <row r="2626" spans="27:38">
      <c r="AA2626" s="29" t="s">
        <v>43</v>
      </c>
      <c r="AB2626">
        <v>31200</v>
      </c>
      <c r="AC2626">
        <v>170</v>
      </c>
      <c r="AD2626">
        <v>4</v>
      </c>
      <c r="AE2626">
        <v>173.9</v>
      </c>
      <c r="AF2626">
        <v>173.9</v>
      </c>
      <c r="AG2626" s="29" t="s">
        <v>3669</v>
      </c>
      <c r="AH2626" s="29" t="s">
        <v>3898</v>
      </c>
      <c r="AI2626" s="29" t="s">
        <v>3703</v>
      </c>
      <c r="AJ2626" s="29" t="s">
        <v>3899</v>
      </c>
      <c r="AL2626" s="29" t="s">
        <v>3670</v>
      </c>
    </row>
    <row r="2627" spans="27:38">
      <c r="AA2627" s="29" t="s">
        <v>43</v>
      </c>
      <c r="AB2627">
        <v>31200</v>
      </c>
      <c r="AC2627">
        <v>170</v>
      </c>
      <c r="AD2627">
        <v>4</v>
      </c>
      <c r="AE2627">
        <v>3.5</v>
      </c>
      <c r="AF2627">
        <v>3.5</v>
      </c>
      <c r="AG2627" s="29" t="s">
        <v>3669</v>
      </c>
      <c r="AH2627" s="29" t="s">
        <v>3900</v>
      </c>
      <c r="AI2627" s="29" t="s">
        <v>3703</v>
      </c>
      <c r="AJ2627" s="29" t="s">
        <v>3901</v>
      </c>
      <c r="AL2627" s="29" t="s">
        <v>3670</v>
      </c>
    </row>
    <row r="2628" spans="27:38">
      <c r="AA2628" s="29" t="s">
        <v>43</v>
      </c>
      <c r="AB2628">
        <v>31200</v>
      </c>
      <c r="AC2628">
        <v>170</v>
      </c>
      <c r="AD2628">
        <v>4</v>
      </c>
      <c r="AE2628">
        <v>4.46</v>
      </c>
      <c r="AF2628">
        <v>4.46</v>
      </c>
      <c r="AG2628" s="29" t="s">
        <v>3669</v>
      </c>
      <c r="AH2628" s="29" t="s">
        <v>3902</v>
      </c>
      <c r="AI2628" s="29" t="s">
        <v>3703</v>
      </c>
      <c r="AJ2628" s="29" t="s">
        <v>3903</v>
      </c>
      <c r="AL2628" s="29" t="s">
        <v>3670</v>
      </c>
    </row>
    <row r="2629" spans="27:38">
      <c r="AA2629" s="29" t="s">
        <v>43</v>
      </c>
      <c r="AB2629">
        <v>31200</v>
      </c>
      <c r="AC2629">
        <v>170</v>
      </c>
      <c r="AD2629">
        <v>4</v>
      </c>
      <c r="AE2629">
        <v>2.7</v>
      </c>
      <c r="AF2629">
        <v>2.7</v>
      </c>
      <c r="AG2629" s="29" t="s">
        <v>3669</v>
      </c>
      <c r="AH2629" s="29" t="s">
        <v>3904</v>
      </c>
      <c r="AI2629" s="29" t="s">
        <v>3703</v>
      </c>
      <c r="AJ2629" s="29" t="s">
        <v>3905</v>
      </c>
      <c r="AL2629" s="29" t="s">
        <v>3670</v>
      </c>
    </row>
    <row r="2630" spans="27:38">
      <c r="AA2630" s="29" t="s">
        <v>43</v>
      </c>
      <c r="AB2630">
        <v>31200</v>
      </c>
      <c r="AC2630">
        <v>170</v>
      </c>
      <c r="AD2630">
        <v>4</v>
      </c>
      <c r="AE2630">
        <v>7.9</v>
      </c>
      <c r="AF2630">
        <v>7.9</v>
      </c>
      <c r="AG2630" s="29" t="s">
        <v>3669</v>
      </c>
      <c r="AH2630" s="29" t="s">
        <v>3906</v>
      </c>
      <c r="AI2630" s="29" t="s">
        <v>3703</v>
      </c>
      <c r="AJ2630" s="29" t="s">
        <v>1524</v>
      </c>
      <c r="AL2630" s="29" t="s">
        <v>3670</v>
      </c>
    </row>
    <row r="2631" spans="27:38">
      <c r="AA2631" s="29" t="s">
        <v>43</v>
      </c>
      <c r="AB2631">
        <v>31200</v>
      </c>
      <c r="AC2631">
        <v>170</v>
      </c>
      <c r="AD2631">
        <v>4</v>
      </c>
      <c r="AE2631">
        <v>1654.08</v>
      </c>
      <c r="AF2631">
        <v>1654.08</v>
      </c>
      <c r="AG2631" s="29" t="s">
        <v>3669</v>
      </c>
      <c r="AH2631" s="29" t="s">
        <v>3907</v>
      </c>
      <c r="AI2631" s="29" t="s">
        <v>3703</v>
      </c>
      <c r="AJ2631" s="29" t="s">
        <v>3908</v>
      </c>
      <c r="AL2631" s="29" t="s">
        <v>3670</v>
      </c>
    </row>
    <row r="2632" spans="27:38">
      <c r="AA2632" s="29" t="s">
        <v>43</v>
      </c>
      <c r="AB2632">
        <v>31200</v>
      </c>
      <c r="AC2632">
        <v>170</v>
      </c>
      <c r="AD2632">
        <v>4</v>
      </c>
      <c r="AE2632">
        <v>6.2</v>
      </c>
      <c r="AF2632">
        <v>6.2</v>
      </c>
      <c r="AG2632" s="29" t="s">
        <v>3669</v>
      </c>
      <c r="AH2632" s="29" t="s">
        <v>3909</v>
      </c>
      <c r="AI2632" s="29" t="s">
        <v>3703</v>
      </c>
      <c r="AJ2632" s="29" t="s">
        <v>3910</v>
      </c>
      <c r="AL2632" s="29" t="s">
        <v>3670</v>
      </c>
    </row>
    <row r="2633" spans="27:38">
      <c r="AA2633" s="29" t="s">
        <v>43</v>
      </c>
      <c r="AB2633">
        <v>31200</v>
      </c>
      <c r="AC2633">
        <v>170</v>
      </c>
      <c r="AD2633">
        <v>4</v>
      </c>
      <c r="AE2633">
        <v>490.86</v>
      </c>
      <c r="AF2633">
        <v>490.86</v>
      </c>
      <c r="AG2633" s="29" t="s">
        <v>3669</v>
      </c>
      <c r="AH2633" s="29" t="s">
        <v>3911</v>
      </c>
      <c r="AI2633" s="29" t="s">
        <v>3703</v>
      </c>
      <c r="AJ2633" s="29" t="s">
        <v>3912</v>
      </c>
      <c r="AL2633" s="29" t="s">
        <v>3670</v>
      </c>
    </row>
    <row r="2634" spans="27:38">
      <c r="AA2634" s="29" t="s">
        <v>43</v>
      </c>
      <c r="AB2634">
        <v>31200</v>
      </c>
      <c r="AC2634">
        <v>170</v>
      </c>
      <c r="AD2634">
        <v>4</v>
      </c>
      <c r="AE2634">
        <v>3.6</v>
      </c>
      <c r="AF2634">
        <v>3.6</v>
      </c>
      <c r="AG2634" s="29" t="s">
        <v>3669</v>
      </c>
      <c r="AH2634" s="29" t="s">
        <v>3890</v>
      </c>
      <c r="AI2634" s="29" t="s">
        <v>3703</v>
      </c>
      <c r="AJ2634" s="29" t="s">
        <v>3913</v>
      </c>
      <c r="AL2634" s="29" t="s">
        <v>3670</v>
      </c>
    </row>
    <row r="2635" spans="27:38">
      <c r="AA2635" s="29" t="s">
        <v>43</v>
      </c>
      <c r="AB2635">
        <v>31200</v>
      </c>
      <c r="AC2635">
        <v>170</v>
      </c>
      <c r="AD2635">
        <v>4</v>
      </c>
      <c r="AE2635">
        <v>692.55</v>
      </c>
      <c r="AF2635">
        <v>692.55</v>
      </c>
      <c r="AG2635" s="29" t="s">
        <v>3669</v>
      </c>
      <c r="AH2635" s="29" t="s">
        <v>3914</v>
      </c>
      <c r="AI2635" s="29" t="s">
        <v>3703</v>
      </c>
      <c r="AJ2635" s="29" t="s">
        <v>3915</v>
      </c>
      <c r="AL2635" s="29" t="s">
        <v>3670</v>
      </c>
    </row>
    <row r="2636" spans="27:38">
      <c r="AA2636" s="29" t="s">
        <v>43</v>
      </c>
      <c r="AB2636">
        <v>31200</v>
      </c>
      <c r="AC2636">
        <v>170</v>
      </c>
      <c r="AD2636">
        <v>4</v>
      </c>
      <c r="AE2636">
        <v>289.23</v>
      </c>
      <c r="AF2636">
        <v>289.23</v>
      </c>
      <c r="AG2636" s="29" t="s">
        <v>3669</v>
      </c>
      <c r="AH2636" s="29" t="s">
        <v>3916</v>
      </c>
      <c r="AI2636" s="29" t="s">
        <v>3703</v>
      </c>
      <c r="AJ2636" s="29" t="s">
        <v>3917</v>
      </c>
      <c r="AL2636" s="29" t="s">
        <v>3670</v>
      </c>
    </row>
    <row r="2637" spans="27:38">
      <c r="AA2637" s="29" t="s">
        <v>43</v>
      </c>
      <c r="AB2637">
        <v>31200</v>
      </c>
      <c r="AC2637">
        <v>170</v>
      </c>
      <c r="AD2637">
        <v>4</v>
      </c>
      <c r="AE2637">
        <v>170</v>
      </c>
      <c r="AF2637">
        <v>170</v>
      </c>
      <c r="AG2637" s="29" t="s">
        <v>3669</v>
      </c>
      <c r="AH2637" s="29" t="s">
        <v>3768</v>
      </c>
      <c r="AI2637" s="29" t="s">
        <v>3703</v>
      </c>
      <c r="AJ2637" s="29" t="s">
        <v>3918</v>
      </c>
      <c r="AL2637" s="29" t="s">
        <v>3670</v>
      </c>
    </row>
    <row r="2638" spans="27:38">
      <c r="AA2638" s="29" t="s">
        <v>43</v>
      </c>
      <c r="AB2638">
        <v>31200</v>
      </c>
      <c r="AC2638">
        <v>170</v>
      </c>
      <c r="AD2638">
        <v>4</v>
      </c>
      <c r="AE2638">
        <v>44.31</v>
      </c>
      <c r="AF2638">
        <v>44.31</v>
      </c>
      <c r="AG2638" s="29" t="s">
        <v>3669</v>
      </c>
      <c r="AH2638" s="29" t="s">
        <v>3919</v>
      </c>
      <c r="AI2638" s="29" t="s">
        <v>3703</v>
      </c>
      <c r="AJ2638" s="29" t="s">
        <v>3920</v>
      </c>
      <c r="AL2638" s="29" t="s">
        <v>3670</v>
      </c>
    </row>
    <row r="2639" spans="27:38">
      <c r="AA2639" s="29" t="s">
        <v>43</v>
      </c>
      <c r="AB2639">
        <v>31200</v>
      </c>
      <c r="AC2639">
        <v>170</v>
      </c>
      <c r="AD2639">
        <v>4</v>
      </c>
      <c r="AE2639">
        <v>367.92</v>
      </c>
      <c r="AF2639">
        <v>367.92</v>
      </c>
      <c r="AG2639" s="29" t="s">
        <v>3669</v>
      </c>
      <c r="AH2639" s="29" t="s">
        <v>3921</v>
      </c>
      <c r="AI2639" s="29" t="s">
        <v>3703</v>
      </c>
      <c r="AJ2639" s="29" t="s">
        <v>3922</v>
      </c>
      <c r="AL2639" s="29" t="s">
        <v>3670</v>
      </c>
    </row>
    <row r="2640" spans="27:38">
      <c r="AA2640" s="29" t="s">
        <v>43</v>
      </c>
      <c r="AB2640">
        <v>31200</v>
      </c>
      <c r="AC2640">
        <v>170</v>
      </c>
      <c r="AD2640">
        <v>4</v>
      </c>
      <c r="AE2640">
        <v>306.8</v>
      </c>
      <c r="AF2640">
        <v>306.8</v>
      </c>
      <c r="AG2640" s="29" t="s">
        <v>3669</v>
      </c>
      <c r="AH2640" s="29" t="s">
        <v>3923</v>
      </c>
      <c r="AI2640" s="29" t="s">
        <v>3703</v>
      </c>
      <c r="AJ2640" s="29" t="s">
        <v>3924</v>
      </c>
      <c r="AL2640" s="29" t="s">
        <v>3670</v>
      </c>
    </row>
    <row r="2641" spans="27:38">
      <c r="AA2641" s="29" t="s">
        <v>43</v>
      </c>
      <c r="AB2641">
        <v>31200</v>
      </c>
      <c r="AC2641">
        <v>170</v>
      </c>
      <c r="AD2641">
        <v>4</v>
      </c>
      <c r="AE2641">
        <v>91.87</v>
      </c>
      <c r="AF2641">
        <v>91.87</v>
      </c>
      <c r="AG2641" s="29" t="s">
        <v>3669</v>
      </c>
      <c r="AH2641" s="29" t="s">
        <v>3925</v>
      </c>
      <c r="AI2641" s="29" t="s">
        <v>3703</v>
      </c>
      <c r="AJ2641" s="29" t="s">
        <v>3926</v>
      </c>
      <c r="AL2641" s="29" t="s">
        <v>3670</v>
      </c>
    </row>
    <row r="2642" spans="27:38">
      <c r="AA2642" s="29" t="s">
        <v>43</v>
      </c>
      <c r="AB2642">
        <v>31200</v>
      </c>
      <c r="AC2642">
        <v>170</v>
      </c>
      <c r="AD2642">
        <v>4</v>
      </c>
      <c r="AE2642">
        <v>42.72</v>
      </c>
      <c r="AF2642">
        <v>42.72</v>
      </c>
      <c r="AG2642" s="29" t="s">
        <v>3669</v>
      </c>
      <c r="AH2642" s="29" t="s">
        <v>3927</v>
      </c>
      <c r="AI2642" s="29" t="s">
        <v>3703</v>
      </c>
      <c r="AJ2642" s="29" t="s">
        <v>3928</v>
      </c>
      <c r="AL2642" s="29" t="s">
        <v>3670</v>
      </c>
    </row>
    <row r="2643" spans="27:38">
      <c r="AA2643" s="29" t="s">
        <v>43</v>
      </c>
      <c r="AB2643">
        <v>31200</v>
      </c>
      <c r="AC2643">
        <v>170</v>
      </c>
      <c r="AD2643">
        <v>4</v>
      </c>
      <c r="AE2643">
        <v>46.5</v>
      </c>
      <c r="AF2643">
        <v>46.5</v>
      </c>
      <c r="AG2643" s="29" t="s">
        <v>3669</v>
      </c>
      <c r="AH2643" s="29" t="s">
        <v>3929</v>
      </c>
      <c r="AI2643" s="29" t="s">
        <v>3703</v>
      </c>
      <c r="AJ2643" s="29" t="s">
        <v>3930</v>
      </c>
      <c r="AL2643" s="29" t="s">
        <v>3670</v>
      </c>
    </row>
    <row r="2644" spans="27:38">
      <c r="AA2644" s="29" t="s">
        <v>43</v>
      </c>
      <c r="AB2644">
        <v>31200</v>
      </c>
      <c r="AC2644">
        <v>170</v>
      </c>
      <c r="AD2644">
        <v>4</v>
      </c>
      <c r="AE2644">
        <v>134.4</v>
      </c>
      <c r="AF2644">
        <v>134.4</v>
      </c>
      <c r="AG2644" s="29" t="s">
        <v>3669</v>
      </c>
      <c r="AH2644" s="29" t="s">
        <v>3931</v>
      </c>
      <c r="AI2644" s="29" t="s">
        <v>3703</v>
      </c>
      <c r="AJ2644" s="29" t="s">
        <v>3932</v>
      </c>
      <c r="AL2644" s="29" t="s">
        <v>3670</v>
      </c>
    </row>
    <row r="2645" spans="27:38">
      <c r="AA2645" s="29" t="s">
        <v>43</v>
      </c>
      <c r="AB2645">
        <v>31200</v>
      </c>
      <c r="AC2645">
        <v>170</v>
      </c>
      <c r="AD2645">
        <v>4</v>
      </c>
      <c r="AE2645">
        <v>241.8</v>
      </c>
      <c r="AF2645">
        <v>241.8</v>
      </c>
      <c r="AG2645" s="29" t="s">
        <v>3669</v>
      </c>
      <c r="AH2645" s="29" t="s">
        <v>3933</v>
      </c>
      <c r="AI2645" s="29" t="s">
        <v>3703</v>
      </c>
      <c r="AJ2645" s="29" t="s">
        <v>3934</v>
      </c>
      <c r="AL2645" s="29" t="s">
        <v>3670</v>
      </c>
    </row>
    <row r="2646" spans="27:38">
      <c r="AA2646" s="29" t="s">
        <v>43</v>
      </c>
      <c r="AB2646">
        <v>31200</v>
      </c>
      <c r="AC2646">
        <v>170</v>
      </c>
      <c r="AD2646">
        <v>4</v>
      </c>
      <c r="AE2646">
        <v>949.62</v>
      </c>
      <c r="AF2646">
        <v>949.62</v>
      </c>
      <c r="AG2646" s="29" t="s">
        <v>3669</v>
      </c>
      <c r="AH2646" s="29" t="s">
        <v>3935</v>
      </c>
      <c r="AI2646" s="29" t="s">
        <v>3703</v>
      </c>
      <c r="AJ2646" s="29" t="s">
        <v>3936</v>
      </c>
      <c r="AL2646" s="29" t="s">
        <v>3670</v>
      </c>
    </row>
    <row r="2647" spans="27:38">
      <c r="AA2647" s="29" t="s">
        <v>43</v>
      </c>
      <c r="AB2647">
        <v>31200</v>
      </c>
      <c r="AC2647">
        <v>170</v>
      </c>
      <c r="AD2647">
        <v>4</v>
      </c>
      <c r="AE2647">
        <v>1345.36</v>
      </c>
      <c r="AF2647">
        <v>1345.36</v>
      </c>
      <c r="AG2647" s="29" t="s">
        <v>3669</v>
      </c>
      <c r="AH2647" s="29" t="s">
        <v>3937</v>
      </c>
      <c r="AI2647" s="29" t="s">
        <v>3703</v>
      </c>
      <c r="AJ2647" s="29" t="s">
        <v>3938</v>
      </c>
      <c r="AL2647" s="29" t="s">
        <v>3670</v>
      </c>
    </row>
    <row r="2648" spans="27:38">
      <c r="AA2648" s="29" t="s">
        <v>43</v>
      </c>
      <c r="AB2648">
        <v>31200</v>
      </c>
      <c r="AC2648">
        <v>170</v>
      </c>
      <c r="AD2648">
        <v>4</v>
      </c>
      <c r="AE2648">
        <v>182</v>
      </c>
      <c r="AF2648">
        <v>182</v>
      </c>
      <c r="AG2648" s="29" t="s">
        <v>3669</v>
      </c>
      <c r="AH2648" s="29" t="s">
        <v>3939</v>
      </c>
      <c r="AI2648" s="29" t="s">
        <v>3703</v>
      </c>
      <c r="AJ2648" s="29" t="s">
        <v>3940</v>
      </c>
      <c r="AL2648" s="29" t="s">
        <v>3670</v>
      </c>
    </row>
    <row r="2649" spans="27:38">
      <c r="AA2649" s="29" t="s">
        <v>43</v>
      </c>
      <c r="AB2649">
        <v>31200</v>
      </c>
      <c r="AC2649">
        <v>170</v>
      </c>
      <c r="AD2649">
        <v>4</v>
      </c>
      <c r="AE2649">
        <v>1737.96</v>
      </c>
      <c r="AF2649">
        <v>1737.96</v>
      </c>
      <c r="AG2649" s="29" t="s">
        <v>3669</v>
      </c>
      <c r="AH2649" s="29" t="s">
        <v>3941</v>
      </c>
      <c r="AI2649" s="29" t="s">
        <v>3703</v>
      </c>
      <c r="AJ2649" s="29" t="s">
        <v>3942</v>
      </c>
      <c r="AL2649" s="29" t="s">
        <v>3670</v>
      </c>
    </row>
    <row r="2650" spans="27:38">
      <c r="AA2650" s="29" t="s">
        <v>43</v>
      </c>
      <c r="AB2650">
        <v>31200</v>
      </c>
      <c r="AC2650">
        <v>170</v>
      </c>
      <c r="AD2650">
        <v>4</v>
      </c>
      <c r="AE2650">
        <v>20.399999999999999</v>
      </c>
      <c r="AF2650">
        <v>20.399999999999999</v>
      </c>
      <c r="AG2650" s="29" t="s">
        <v>3669</v>
      </c>
      <c r="AH2650" s="29" t="s">
        <v>3943</v>
      </c>
      <c r="AI2650" s="29" t="s">
        <v>3703</v>
      </c>
      <c r="AJ2650" s="29" t="s">
        <v>3944</v>
      </c>
      <c r="AL2650" s="29" t="s">
        <v>3670</v>
      </c>
    </row>
    <row r="2651" spans="27:38">
      <c r="AA2651" s="29" t="s">
        <v>43</v>
      </c>
      <c r="AB2651">
        <v>31200</v>
      </c>
      <c r="AC2651">
        <v>170</v>
      </c>
      <c r="AD2651">
        <v>4</v>
      </c>
      <c r="AE2651">
        <v>4003.72</v>
      </c>
      <c r="AF2651">
        <v>4003.72</v>
      </c>
      <c r="AG2651" s="29" t="s">
        <v>3669</v>
      </c>
      <c r="AH2651" s="29" t="s">
        <v>3945</v>
      </c>
      <c r="AI2651" s="29" t="s">
        <v>3703</v>
      </c>
      <c r="AJ2651" s="29" t="s">
        <v>3946</v>
      </c>
      <c r="AL2651" s="29" t="s">
        <v>3670</v>
      </c>
    </row>
    <row r="2652" spans="27:38">
      <c r="AA2652" s="29" t="s">
        <v>43</v>
      </c>
      <c r="AB2652">
        <v>31200</v>
      </c>
      <c r="AC2652">
        <v>170</v>
      </c>
      <c r="AD2652">
        <v>4</v>
      </c>
      <c r="AE2652">
        <v>50.22</v>
      </c>
      <c r="AF2652">
        <v>50.22</v>
      </c>
      <c r="AG2652" s="29" t="s">
        <v>3669</v>
      </c>
      <c r="AH2652" s="29" t="s">
        <v>3947</v>
      </c>
      <c r="AI2652" s="29" t="s">
        <v>3703</v>
      </c>
      <c r="AJ2652" s="29" t="s">
        <v>3948</v>
      </c>
      <c r="AL2652" s="29" t="s">
        <v>3670</v>
      </c>
    </row>
    <row r="2653" spans="27:38">
      <c r="AA2653" s="29" t="s">
        <v>43</v>
      </c>
      <c r="AB2653">
        <v>31200</v>
      </c>
      <c r="AC2653">
        <v>170</v>
      </c>
      <c r="AD2653">
        <v>4</v>
      </c>
      <c r="AE2653">
        <v>8.11</v>
      </c>
      <c r="AF2653">
        <v>8.11</v>
      </c>
      <c r="AG2653" s="29" t="s">
        <v>3669</v>
      </c>
      <c r="AH2653" s="29" t="s">
        <v>3949</v>
      </c>
      <c r="AI2653" s="29" t="s">
        <v>3703</v>
      </c>
      <c r="AJ2653" s="29" t="s">
        <v>3950</v>
      </c>
      <c r="AL2653" s="29" t="s">
        <v>3670</v>
      </c>
    </row>
    <row r="2654" spans="27:38">
      <c r="AA2654" s="29" t="s">
        <v>43</v>
      </c>
      <c r="AB2654">
        <v>31200</v>
      </c>
      <c r="AC2654">
        <v>170</v>
      </c>
      <c r="AD2654">
        <v>4</v>
      </c>
      <c r="AE2654">
        <v>4.4400000000000004</v>
      </c>
      <c r="AF2654">
        <v>4.4400000000000004</v>
      </c>
      <c r="AG2654" s="29" t="s">
        <v>3669</v>
      </c>
      <c r="AH2654" s="29" t="s">
        <v>3951</v>
      </c>
      <c r="AI2654" s="29" t="s">
        <v>3703</v>
      </c>
      <c r="AJ2654" s="29" t="s">
        <v>3952</v>
      </c>
      <c r="AL2654" s="29" t="s">
        <v>3670</v>
      </c>
    </row>
    <row r="2655" spans="27:38">
      <c r="AA2655" s="29" t="s">
        <v>43</v>
      </c>
      <c r="AB2655">
        <v>31200</v>
      </c>
      <c r="AC2655">
        <v>170</v>
      </c>
      <c r="AD2655">
        <v>4</v>
      </c>
      <c r="AE2655">
        <v>32.89</v>
      </c>
      <c r="AF2655">
        <v>32.89</v>
      </c>
      <c r="AG2655" s="29" t="s">
        <v>3669</v>
      </c>
      <c r="AH2655" s="29" t="s">
        <v>3953</v>
      </c>
      <c r="AI2655" s="29" t="s">
        <v>3703</v>
      </c>
      <c r="AJ2655" s="29" t="s">
        <v>3954</v>
      </c>
      <c r="AL2655" s="29" t="s">
        <v>3670</v>
      </c>
    </row>
    <row r="2656" spans="27:38">
      <c r="AA2656" s="29" t="s">
        <v>43</v>
      </c>
      <c r="AB2656">
        <v>31200</v>
      </c>
      <c r="AC2656">
        <v>170</v>
      </c>
      <c r="AD2656">
        <v>4</v>
      </c>
      <c r="AE2656">
        <v>13</v>
      </c>
      <c r="AF2656">
        <v>13</v>
      </c>
      <c r="AG2656" s="29" t="s">
        <v>3669</v>
      </c>
      <c r="AH2656" s="29" t="s">
        <v>3955</v>
      </c>
      <c r="AI2656" s="29" t="s">
        <v>3703</v>
      </c>
      <c r="AJ2656" s="29" t="s">
        <v>3956</v>
      </c>
      <c r="AL2656" s="29" t="s">
        <v>3670</v>
      </c>
    </row>
    <row r="2657" spans="27:38">
      <c r="AA2657" s="29" t="s">
        <v>43</v>
      </c>
      <c r="AB2657">
        <v>31200</v>
      </c>
      <c r="AC2657">
        <v>170</v>
      </c>
      <c r="AD2657">
        <v>4</v>
      </c>
      <c r="AE2657">
        <v>9.9</v>
      </c>
      <c r="AF2657">
        <v>9.9</v>
      </c>
      <c r="AG2657" s="29" t="s">
        <v>3669</v>
      </c>
      <c r="AH2657" s="29" t="s">
        <v>3957</v>
      </c>
      <c r="AI2657" s="29" t="s">
        <v>3703</v>
      </c>
      <c r="AJ2657" s="29" t="s">
        <v>3958</v>
      </c>
      <c r="AL2657" s="29" t="s">
        <v>3670</v>
      </c>
    </row>
    <row r="2658" spans="27:38">
      <c r="AA2658" s="29" t="s">
        <v>43</v>
      </c>
      <c r="AB2658">
        <v>31200</v>
      </c>
      <c r="AC2658">
        <v>170</v>
      </c>
      <c r="AD2658">
        <v>4</v>
      </c>
      <c r="AE2658">
        <v>0.55000000000000004</v>
      </c>
      <c r="AF2658">
        <v>0.55000000000000004</v>
      </c>
      <c r="AG2658" s="29" t="s">
        <v>3669</v>
      </c>
      <c r="AH2658" s="29" t="s">
        <v>3959</v>
      </c>
      <c r="AI2658" s="29" t="s">
        <v>3703</v>
      </c>
      <c r="AJ2658" s="29" t="s">
        <v>3960</v>
      </c>
      <c r="AL2658" s="29" t="s">
        <v>3670</v>
      </c>
    </row>
    <row r="2659" spans="27:38">
      <c r="AA2659" s="29" t="s">
        <v>43</v>
      </c>
      <c r="AB2659">
        <v>31200</v>
      </c>
      <c r="AC2659">
        <v>170</v>
      </c>
      <c r="AD2659">
        <v>4</v>
      </c>
      <c r="AE2659">
        <v>4.2699999999999996</v>
      </c>
      <c r="AF2659">
        <v>4.2699999999999996</v>
      </c>
      <c r="AG2659" s="29" t="s">
        <v>3669</v>
      </c>
      <c r="AH2659" s="29" t="s">
        <v>3791</v>
      </c>
      <c r="AI2659" s="29" t="s">
        <v>3703</v>
      </c>
      <c r="AJ2659" s="29" t="s">
        <v>3030</v>
      </c>
      <c r="AL2659" s="29" t="s">
        <v>3670</v>
      </c>
    </row>
    <row r="2660" spans="27:38">
      <c r="AA2660" s="29" t="s">
        <v>43</v>
      </c>
      <c r="AB2660">
        <v>31200</v>
      </c>
      <c r="AC2660">
        <v>170</v>
      </c>
      <c r="AD2660">
        <v>4</v>
      </c>
      <c r="AE2660">
        <v>73.680000000000007</v>
      </c>
      <c r="AF2660">
        <v>73.680000000000007</v>
      </c>
      <c r="AG2660" s="29" t="s">
        <v>3669</v>
      </c>
      <c r="AH2660" s="29" t="s">
        <v>3961</v>
      </c>
      <c r="AI2660" s="29" t="s">
        <v>3703</v>
      </c>
      <c r="AJ2660" s="29" t="s">
        <v>3962</v>
      </c>
      <c r="AL2660" s="29" t="s">
        <v>3670</v>
      </c>
    </row>
    <row r="2661" spans="27:38">
      <c r="AA2661" s="29" t="s">
        <v>43</v>
      </c>
      <c r="AB2661">
        <v>31200</v>
      </c>
      <c r="AC2661">
        <v>170</v>
      </c>
      <c r="AD2661">
        <v>4</v>
      </c>
      <c r="AE2661">
        <v>54.54</v>
      </c>
      <c r="AF2661">
        <v>54.54</v>
      </c>
      <c r="AG2661" s="29" t="s">
        <v>3669</v>
      </c>
      <c r="AH2661" s="29" t="s">
        <v>3963</v>
      </c>
      <c r="AI2661" s="29" t="s">
        <v>3703</v>
      </c>
      <c r="AJ2661" s="29" t="s">
        <v>3964</v>
      </c>
      <c r="AL2661" s="29" t="s">
        <v>3670</v>
      </c>
    </row>
    <row r="2662" spans="27:38">
      <c r="AA2662" s="29" t="s">
        <v>43</v>
      </c>
      <c r="AB2662">
        <v>31200</v>
      </c>
      <c r="AC2662">
        <v>170</v>
      </c>
      <c r="AD2662">
        <v>4</v>
      </c>
      <c r="AE2662">
        <v>5.6</v>
      </c>
      <c r="AF2662">
        <v>5.6</v>
      </c>
      <c r="AG2662" s="29" t="s">
        <v>3669</v>
      </c>
      <c r="AH2662" s="29" t="s">
        <v>3965</v>
      </c>
      <c r="AI2662" s="29" t="s">
        <v>3703</v>
      </c>
      <c r="AJ2662" s="29" t="s">
        <v>3966</v>
      </c>
      <c r="AL2662" s="29" t="s">
        <v>3670</v>
      </c>
    </row>
    <row r="2663" spans="27:38">
      <c r="AA2663" s="29" t="s">
        <v>43</v>
      </c>
      <c r="AB2663">
        <v>31200</v>
      </c>
      <c r="AC2663">
        <v>170</v>
      </c>
      <c r="AD2663">
        <v>4</v>
      </c>
      <c r="AE2663">
        <v>7</v>
      </c>
      <c r="AF2663">
        <v>7</v>
      </c>
      <c r="AG2663" s="29" t="s">
        <v>3669</v>
      </c>
      <c r="AH2663" s="29" t="s">
        <v>3967</v>
      </c>
      <c r="AI2663" s="29" t="s">
        <v>3703</v>
      </c>
      <c r="AJ2663" s="29" t="s">
        <v>3968</v>
      </c>
      <c r="AL2663" s="29" t="s">
        <v>3670</v>
      </c>
    </row>
    <row r="2664" spans="27:38">
      <c r="AA2664" s="29" t="s">
        <v>43</v>
      </c>
      <c r="AB2664">
        <v>31200</v>
      </c>
      <c r="AC2664">
        <v>170</v>
      </c>
      <c r="AD2664">
        <v>4</v>
      </c>
      <c r="AE2664">
        <v>1.4</v>
      </c>
      <c r="AF2664">
        <v>1.4</v>
      </c>
      <c r="AG2664" s="29" t="s">
        <v>3669</v>
      </c>
      <c r="AH2664" s="29" t="s">
        <v>3969</v>
      </c>
      <c r="AI2664" s="29" t="s">
        <v>3703</v>
      </c>
      <c r="AJ2664" s="29" t="s">
        <v>3970</v>
      </c>
      <c r="AL2664" s="29" t="s">
        <v>3670</v>
      </c>
    </row>
    <row r="2665" spans="27:38">
      <c r="AA2665" s="29" t="s">
        <v>43</v>
      </c>
      <c r="AB2665">
        <v>31200</v>
      </c>
      <c r="AC2665">
        <v>170</v>
      </c>
      <c r="AD2665">
        <v>4</v>
      </c>
      <c r="AE2665">
        <v>0</v>
      </c>
      <c r="AF2665">
        <v>0</v>
      </c>
      <c r="AG2665" s="29" t="s">
        <v>3669</v>
      </c>
      <c r="AH2665" s="29" t="s">
        <v>3673</v>
      </c>
      <c r="AI2665" s="29" t="s">
        <v>3703</v>
      </c>
      <c r="AJ2665" s="29" t="s">
        <v>3971</v>
      </c>
      <c r="AL2665" s="29" t="s">
        <v>3670</v>
      </c>
    </row>
    <row r="2666" spans="27:38">
      <c r="AA2666" s="29" t="s">
        <v>43</v>
      </c>
      <c r="AB2666">
        <v>31200</v>
      </c>
      <c r="AC2666">
        <v>170</v>
      </c>
      <c r="AD2666">
        <v>4</v>
      </c>
      <c r="AE2666">
        <v>6.6</v>
      </c>
      <c r="AF2666">
        <v>6.6</v>
      </c>
      <c r="AG2666" s="29" t="s">
        <v>3669</v>
      </c>
      <c r="AH2666" s="29" t="s">
        <v>3972</v>
      </c>
      <c r="AI2666" s="29" t="s">
        <v>3703</v>
      </c>
      <c r="AJ2666" s="29" t="s">
        <v>3973</v>
      </c>
      <c r="AL2666" s="29" t="s">
        <v>3670</v>
      </c>
    </row>
    <row r="2667" spans="27:38">
      <c r="AA2667" s="29" t="s">
        <v>43</v>
      </c>
      <c r="AB2667">
        <v>31200</v>
      </c>
      <c r="AC2667">
        <v>170</v>
      </c>
      <c r="AD2667">
        <v>4</v>
      </c>
      <c r="AE2667">
        <v>75</v>
      </c>
      <c r="AF2667">
        <v>75</v>
      </c>
      <c r="AG2667" s="29" t="s">
        <v>3669</v>
      </c>
      <c r="AH2667" s="29" t="s">
        <v>3974</v>
      </c>
      <c r="AI2667" s="29" t="s">
        <v>3703</v>
      </c>
      <c r="AJ2667" s="29" t="s">
        <v>3975</v>
      </c>
      <c r="AL2667" s="29" t="s">
        <v>3670</v>
      </c>
    </row>
    <row r="2668" spans="27:38">
      <c r="AA2668" s="29" t="s">
        <v>43</v>
      </c>
      <c r="AB2668">
        <v>31200</v>
      </c>
      <c r="AC2668">
        <v>170</v>
      </c>
      <c r="AD2668">
        <v>4</v>
      </c>
      <c r="AE2668">
        <v>54.54</v>
      </c>
      <c r="AF2668">
        <v>54.54</v>
      </c>
      <c r="AG2668" s="29" t="s">
        <v>3669</v>
      </c>
      <c r="AH2668" s="29" t="s">
        <v>3963</v>
      </c>
      <c r="AI2668" s="29" t="s">
        <v>3703</v>
      </c>
      <c r="AJ2668" s="29" t="s">
        <v>3964</v>
      </c>
      <c r="AL2668" s="29" t="s">
        <v>3670</v>
      </c>
    </row>
    <row r="2669" spans="27:38">
      <c r="AA2669" s="29" t="s">
        <v>43</v>
      </c>
      <c r="AB2669">
        <v>31200</v>
      </c>
      <c r="AC2669">
        <v>170</v>
      </c>
      <c r="AD2669">
        <v>4</v>
      </c>
      <c r="AE2669">
        <v>4976.01</v>
      </c>
      <c r="AF2669">
        <v>4976.01</v>
      </c>
      <c r="AG2669" s="29" t="s">
        <v>3669</v>
      </c>
      <c r="AH2669" s="29" t="s">
        <v>3976</v>
      </c>
      <c r="AI2669" s="29" t="s">
        <v>3703</v>
      </c>
      <c r="AJ2669" s="29" t="s">
        <v>3977</v>
      </c>
      <c r="AL2669" s="29" t="s">
        <v>3670</v>
      </c>
    </row>
    <row r="2670" spans="27:38">
      <c r="AA2670" s="29" t="s">
        <v>43</v>
      </c>
      <c r="AB2670">
        <v>31200</v>
      </c>
      <c r="AC2670">
        <v>170</v>
      </c>
      <c r="AD2670">
        <v>4</v>
      </c>
      <c r="AE2670">
        <v>3664.2</v>
      </c>
      <c r="AF2670">
        <v>3664.2</v>
      </c>
      <c r="AG2670" s="29" t="s">
        <v>3669</v>
      </c>
      <c r="AH2670" s="29" t="s">
        <v>3978</v>
      </c>
      <c r="AI2670" s="29" t="s">
        <v>3703</v>
      </c>
      <c r="AJ2670" s="29" t="s">
        <v>3979</v>
      </c>
      <c r="AL2670" s="29" t="s">
        <v>3670</v>
      </c>
    </row>
    <row r="2671" spans="27:38">
      <c r="AA2671" s="29" t="s">
        <v>43</v>
      </c>
      <c r="AB2671">
        <v>31200</v>
      </c>
      <c r="AC2671">
        <v>170</v>
      </c>
      <c r="AD2671">
        <v>4</v>
      </c>
      <c r="AE2671">
        <v>459.9</v>
      </c>
      <c r="AF2671">
        <v>459.9</v>
      </c>
      <c r="AG2671" s="29" t="s">
        <v>3669</v>
      </c>
      <c r="AH2671" s="29" t="s">
        <v>3980</v>
      </c>
      <c r="AI2671" s="29" t="s">
        <v>3703</v>
      </c>
      <c r="AJ2671" s="29" t="s">
        <v>3981</v>
      </c>
      <c r="AL2671" s="29" t="s">
        <v>3670</v>
      </c>
    </row>
    <row r="2672" spans="27:38">
      <c r="AA2672" s="29" t="s">
        <v>43</v>
      </c>
      <c r="AB2672">
        <v>31200</v>
      </c>
      <c r="AC2672">
        <v>170</v>
      </c>
      <c r="AD2672">
        <v>4</v>
      </c>
      <c r="AE2672">
        <v>4072.2</v>
      </c>
      <c r="AF2672">
        <v>4072.2</v>
      </c>
      <c r="AG2672" s="29" t="s">
        <v>3669</v>
      </c>
      <c r="AH2672" s="29" t="s">
        <v>3982</v>
      </c>
      <c r="AI2672" s="29" t="s">
        <v>3703</v>
      </c>
      <c r="AJ2672" s="29" t="s">
        <v>3983</v>
      </c>
      <c r="AL2672" s="29" t="s">
        <v>3670</v>
      </c>
    </row>
    <row r="2673" spans="27:38">
      <c r="AA2673" s="29" t="s">
        <v>43</v>
      </c>
      <c r="AB2673">
        <v>31200</v>
      </c>
      <c r="AC2673">
        <v>170</v>
      </c>
      <c r="AD2673">
        <v>4</v>
      </c>
      <c r="AE2673">
        <v>905.84</v>
      </c>
      <c r="AF2673">
        <v>905.84</v>
      </c>
      <c r="AG2673" s="29" t="s">
        <v>3669</v>
      </c>
      <c r="AH2673" s="29" t="s">
        <v>3984</v>
      </c>
      <c r="AI2673" s="29" t="s">
        <v>3703</v>
      </c>
      <c r="AJ2673" s="29" t="s">
        <v>3985</v>
      </c>
      <c r="AL2673" s="29" t="s">
        <v>3670</v>
      </c>
    </row>
    <row r="2674" spans="27:38">
      <c r="AA2674" s="29" t="s">
        <v>43</v>
      </c>
      <c r="AB2674">
        <v>31200</v>
      </c>
      <c r="AC2674">
        <v>170</v>
      </c>
      <c r="AD2674">
        <v>4</v>
      </c>
      <c r="AE2674">
        <v>136</v>
      </c>
      <c r="AF2674">
        <v>136</v>
      </c>
      <c r="AG2674" s="29" t="s">
        <v>3669</v>
      </c>
      <c r="AH2674" s="29" t="s">
        <v>3986</v>
      </c>
      <c r="AI2674" s="29" t="s">
        <v>3703</v>
      </c>
      <c r="AJ2674" s="29" t="s">
        <v>3987</v>
      </c>
      <c r="AL2674" s="29" t="s">
        <v>3670</v>
      </c>
    </row>
    <row r="2675" spans="27:38">
      <c r="AA2675" s="29" t="s">
        <v>43</v>
      </c>
      <c r="AB2675">
        <v>31200</v>
      </c>
      <c r="AC2675">
        <v>170</v>
      </c>
      <c r="AD2675">
        <v>4</v>
      </c>
      <c r="AE2675">
        <v>124.07</v>
      </c>
      <c r="AF2675">
        <v>124.07</v>
      </c>
      <c r="AG2675" s="29" t="s">
        <v>3669</v>
      </c>
      <c r="AH2675" s="29" t="s">
        <v>3988</v>
      </c>
      <c r="AI2675" s="29" t="s">
        <v>3703</v>
      </c>
      <c r="AJ2675" s="29" t="s">
        <v>3989</v>
      </c>
      <c r="AL2675" s="29" t="s">
        <v>3670</v>
      </c>
    </row>
    <row r="2676" spans="27:38">
      <c r="AA2676" s="29" t="s">
        <v>43</v>
      </c>
      <c r="AB2676">
        <v>31200</v>
      </c>
      <c r="AC2676">
        <v>170</v>
      </c>
      <c r="AD2676">
        <v>4</v>
      </c>
      <c r="AE2676">
        <v>875.61</v>
      </c>
      <c r="AF2676">
        <v>875.61</v>
      </c>
      <c r="AG2676" s="29" t="s">
        <v>3669</v>
      </c>
      <c r="AH2676" s="29" t="s">
        <v>3990</v>
      </c>
      <c r="AI2676" s="29" t="s">
        <v>3703</v>
      </c>
      <c r="AJ2676" s="29" t="s">
        <v>3991</v>
      </c>
      <c r="AL2676" s="29" t="s">
        <v>3670</v>
      </c>
    </row>
    <row r="2677" spans="27:38">
      <c r="AA2677" s="29" t="s">
        <v>43</v>
      </c>
      <c r="AB2677">
        <v>31200</v>
      </c>
      <c r="AC2677">
        <v>170</v>
      </c>
      <c r="AD2677">
        <v>4</v>
      </c>
      <c r="AE2677">
        <v>161</v>
      </c>
      <c r="AF2677">
        <v>161</v>
      </c>
      <c r="AG2677" s="29" t="s">
        <v>3669</v>
      </c>
      <c r="AH2677" s="29" t="s">
        <v>3992</v>
      </c>
      <c r="AI2677" s="29" t="s">
        <v>3703</v>
      </c>
      <c r="AJ2677" s="29" t="s">
        <v>3993</v>
      </c>
      <c r="AL2677" s="29" t="s">
        <v>3670</v>
      </c>
    </row>
    <row r="2678" spans="27:38">
      <c r="AA2678" s="29" t="s">
        <v>43</v>
      </c>
      <c r="AB2678">
        <v>31200</v>
      </c>
      <c r="AC2678">
        <v>170</v>
      </c>
      <c r="AD2678">
        <v>4</v>
      </c>
      <c r="AE2678">
        <v>194.35</v>
      </c>
      <c r="AF2678">
        <v>194.35</v>
      </c>
      <c r="AG2678" s="29" t="s">
        <v>3669</v>
      </c>
      <c r="AH2678" s="29" t="s">
        <v>3994</v>
      </c>
      <c r="AI2678" s="29" t="s">
        <v>3703</v>
      </c>
      <c r="AJ2678" s="29" t="s">
        <v>3995</v>
      </c>
      <c r="AL2678" s="29" t="s">
        <v>3670</v>
      </c>
    </row>
    <row r="2679" spans="27:38">
      <c r="AA2679" s="29" t="s">
        <v>43</v>
      </c>
      <c r="AB2679">
        <v>31200</v>
      </c>
      <c r="AC2679">
        <v>170</v>
      </c>
      <c r="AD2679">
        <v>4</v>
      </c>
      <c r="AE2679">
        <v>318.01</v>
      </c>
      <c r="AF2679">
        <v>318.01</v>
      </c>
      <c r="AG2679" s="29" t="s">
        <v>3669</v>
      </c>
      <c r="AH2679" s="29" t="s">
        <v>3996</v>
      </c>
      <c r="AI2679" s="29" t="s">
        <v>3703</v>
      </c>
      <c r="AJ2679" s="29" t="s">
        <v>3997</v>
      </c>
      <c r="AL2679" s="29" t="s">
        <v>3670</v>
      </c>
    </row>
    <row r="2680" spans="27:38">
      <c r="AA2680" s="29" t="s">
        <v>43</v>
      </c>
      <c r="AB2680">
        <v>31200</v>
      </c>
      <c r="AC2680">
        <v>170</v>
      </c>
      <c r="AD2680">
        <v>4</v>
      </c>
      <c r="AE2680">
        <v>3856</v>
      </c>
      <c r="AF2680">
        <v>3856</v>
      </c>
      <c r="AG2680" s="29" t="s">
        <v>3669</v>
      </c>
      <c r="AH2680" s="29" t="s">
        <v>3998</v>
      </c>
      <c r="AI2680" s="29" t="s">
        <v>3703</v>
      </c>
      <c r="AJ2680" s="29" t="s">
        <v>3999</v>
      </c>
      <c r="AL2680" s="29" t="s">
        <v>3670</v>
      </c>
    </row>
    <row r="2681" spans="27:38">
      <c r="AA2681" s="29" t="s">
        <v>43</v>
      </c>
      <c r="AB2681">
        <v>31200</v>
      </c>
      <c r="AC2681">
        <v>170</v>
      </c>
      <c r="AD2681">
        <v>4</v>
      </c>
      <c r="AE2681">
        <v>14.4</v>
      </c>
      <c r="AF2681">
        <v>14.4</v>
      </c>
      <c r="AG2681" s="29" t="s">
        <v>3669</v>
      </c>
      <c r="AH2681" s="29" t="s">
        <v>3803</v>
      </c>
      <c r="AI2681" s="29" t="s">
        <v>3703</v>
      </c>
      <c r="AJ2681" s="29" t="s">
        <v>4000</v>
      </c>
      <c r="AL2681" s="29" t="s">
        <v>3670</v>
      </c>
    </row>
    <row r="2682" spans="27:38">
      <c r="AA2682" s="29" t="s">
        <v>43</v>
      </c>
      <c r="AB2682">
        <v>31200</v>
      </c>
      <c r="AC2682">
        <v>170</v>
      </c>
      <c r="AD2682">
        <v>4</v>
      </c>
      <c r="AE2682">
        <v>15.45</v>
      </c>
      <c r="AF2682">
        <v>15.45</v>
      </c>
      <c r="AG2682" s="29" t="s">
        <v>3669</v>
      </c>
      <c r="AH2682" s="29" t="s">
        <v>4001</v>
      </c>
      <c r="AI2682" s="29" t="s">
        <v>3703</v>
      </c>
      <c r="AJ2682" s="29" t="s">
        <v>2756</v>
      </c>
      <c r="AL2682" s="29" t="s">
        <v>3670</v>
      </c>
    </row>
    <row r="2683" spans="27:38">
      <c r="AA2683" s="29" t="s">
        <v>43</v>
      </c>
      <c r="AB2683">
        <v>31200</v>
      </c>
      <c r="AC2683">
        <v>170</v>
      </c>
      <c r="AD2683">
        <v>4</v>
      </c>
      <c r="AE2683">
        <v>108.15</v>
      </c>
      <c r="AF2683">
        <v>108.15</v>
      </c>
      <c r="AG2683" s="29" t="s">
        <v>3669</v>
      </c>
      <c r="AH2683" s="29" t="s">
        <v>4002</v>
      </c>
      <c r="AI2683" s="29" t="s">
        <v>3703</v>
      </c>
      <c r="AJ2683" s="29" t="s">
        <v>2758</v>
      </c>
      <c r="AL2683" s="29" t="s">
        <v>3670</v>
      </c>
    </row>
    <row r="2684" spans="27:38">
      <c r="AA2684" s="29" t="s">
        <v>43</v>
      </c>
      <c r="AB2684">
        <v>31200</v>
      </c>
      <c r="AC2684">
        <v>170</v>
      </c>
      <c r="AD2684">
        <v>4</v>
      </c>
      <c r="AE2684">
        <v>100.5</v>
      </c>
      <c r="AF2684">
        <v>100.5</v>
      </c>
      <c r="AG2684" s="29" t="s">
        <v>3669</v>
      </c>
      <c r="AH2684" s="29" t="s">
        <v>3680</v>
      </c>
      <c r="AI2684" s="29" t="s">
        <v>3703</v>
      </c>
      <c r="AJ2684" s="29" t="s">
        <v>4003</v>
      </c>
      <c r="AL2684" s="29" t="s">
        <v>3670</v>
      </c>
    </row>
    <row r="2685" spans="27:38">
      <c r="AA2685" s="29" t="s">
        <v>43</v>
      </c>
      <c r="AB2685">
        <v>31200</v>
      </c>
      <c r="AC2685">
        <v>170</v>
      </c>
      <c r="AD2685">
        <v>4</v>
      </c>
      <c r="AE2685">
        <v>97.2</v>
      </c>
      <c r="AF2685">
        <v>97.2</v>
      </c>
      <c r="AG2685" s="29" t="s">
        <v>3669</v>
      </c>
      <c r="AH2685" s="29" t="s">
        <v>4004</v>
      </c>
      <c r="AI2685" s="29" t="s">
        <v>3703</v>
      </c>
      <c r="AJ2685" s="29" t="s">
        <v>4005</v>
      </c>
      <c r="AL2685" s="29" t="s">
        <v>3670</v>
      </c>
    </row>
    <row r="2686" spans="27:38">
      <c r="AA2686" s="29" t="s">
        <v>43</v>
      </c>
      <c r="AB2686">
        <v>31200</v>
      </c>
      <c r="AC2686">
        <v>170</v>
      </c>
      <c r="AD2686">
        <v>4</v>
      </c>
      <c r="AE2686">
        <v>1687</v>
      </c>
      <c r="AF2686">
        <v>1687</v>
      </c>
      <c r="AG2686" s="29" t="s">
        <v>3669</v>
      </c>
      <c r="AH2686" s="29" t="s">
        <v>4006</v>
      </c>
      <c r="AI2686" s="29" t="s">
        <v>3703</v>
      </c>
      <c r="AJ2686" s="29" t="s">
        <v>4007</v>
      </c>
      <c r="AL2686" s="29" t="s">
        <v>3670</v>
      </c>
    </row>
    <row r="2687" spans="27:38">
      <c r="AA2687" s="29" t="s">
        <v>43</v>
      </c>
      <c r="AB2687">
        <v>31200</v>
      </c>
      <c r="AC2687">
        <v>170</v>
      </c>
      <c r="AD2687">
        <v>4</v>
      </c>
      <c r="AE2687">
        <v>57.6</v>
      </c>
      <c r="AF2687">
        <v>57.6</v>
      </c>
      <c r="AG2687" s="29" t="s">
        <v>3669</v>
      </c>
      <c r="AH2687" s="29" t="s">
        <v>4008</v>
      </c>
      <c r="AI2687" s="29" t="s">
        <v>3703</v>
      </c>
      <c r="AJ2687" s="29" t="s">
        <v>4009</v>
      </c>
      <c r="AL2687" s="29" t="s">
        <v>3670</v>
      </c>
    </row>
    <row r="2688" spans="27:38">
      <c r="AA2688" s="29" t="s">
        <v>43</v>
      </c>
      <c r="AB2688">
        <v>31200</v>
      </c>
      <c r="AC2688">
        <v>170</v>
      </c>
      <c r="AD2688">
        <v>4</v>
      </c>
      <c r="AE2688">
        <v>571.14</v>
      </c>
      <c r="AF2688">
        <v>571.14</v>
      </c>
      <c r="AG2688" s="29" t="s">
        <v>3669</v>
      </c>
      <c r="AH2688" s="29" t="s">
        <v>4010</v>
      </c>
      <c r="AI2688" s="29" t="s">
        <v>3703</v>
      </c>
      <c r="AJ2688" s="29" t="s">
        <v>4011</v>
      </c>
      <c r="AL2688" s="29" t="s">
        <v>3670</v>
      </c>
    </row>
    <row r="2689" spans="27:38">
      <c r="AA2689" s="29" t="s">
        <v>43</v>
      </c>
      <c r="AB2689">
        <v>31200</v>
      </c>
      <c r="AC2689">
        <v>170</v>
      </c>
      <c r="AD2689">
        <v>4</v>
      </c>
      <c r="AE2689">
        <v>4.38</v>
      </c>
      <c r="AF2689">
        <v>4.38</v>
      </c>
      <c r="AG2689" s="29" t="s">
        <v>3669</v>
      </c>
      <c r="AH2689" s="29" t="s">
        <v>4012</v>
      </c>
      <c r="AI2689" s="29" t="s">
        <v>3703</v>
      </c>
      <c r="AJ2689" s="29" t="s">
        <v>4013</v>
      </c>
      <c r="AL2689" s="29" t="s">
        <v>3670</v>
      </c>
    </row>
    <row r="2690" spans="27:38">
      <c r="AA2690" s="29" t="s">
        <v>43</v>
      </c>
      <c r="AB2690">
        <v>31200</v>
      </c>
      <c r="AC2690">
        <v>170</v>
      </c>
      <c r="AD2690">
        <v>4</v>
      </c>
      <c r="AE2690">
        <v>139.5</v>
      </c>
      <c r="AF2690">
        <v>139.5</v>
      </c>
      <c r="AG2690" s="29" t="s">
        <v>3669</v>
      </c>
      <c r="AH2690" s="29" t="s">
        <v>4014</v>
      </c>
      <c r="AI2690" s="29" t="s">
        <v>3703</v>
      </c>
      <c r="AJ2690" s="29" t="s">
        <v>4015</v>
      </c>
      <c r="AL2690" s="29" t="s">
        <v>3670</v>
      </c>
    </row>
    <row r="2691" spans="27:38">
      <c r="AA2691" s="29" t="s">
        <v>43</v>
      </c>
      <c r="AB2691">
        <v>31200</v>
      </c>
      <c r="AC2691">
        <v>170</v>
      </c>
      <c r="AD2691">
        <v>4</v>
      </c>
      <c r="AE2691">
        <v>1.8</v>
      </c>
      <c r="AF2691">
        <v>1.8</v>
      </c>
      <c r="AG2691" s="29" t="s">
        <v>3669</v>
      </c>
      <c r="AH2691" s="29" t="s">
        <v>4016</v>
      </c>
      <c r="AI2691" s="29" t="s">
        <v>3703</v>
      </c>
      <c r="AJ2691" s="29" t="s">
        <v>1832</v>
      </c>
      <c r="AL2691" s="29" t="s">
        <v>3670</v>
      </c>
    </row>
    <row r="2692" spans="27:38">
      <c r="AA2692" s="29" t="s">
        <v>43</v>
      </c>
      <c r="AB2692">
        <v>31200</v>
      </c>
      <c r="AC2692">
        <v>170</v>
      </c>
      <c r="AD2692">
        <v>4</v>
      </c>
      <c r="AE2692">
        <v>1.1000000000000001</v>
      </c>
      <c r="AF2692">
        <v>1.1000000000000001</v>
      </c>
      <c r="AG2692" s="29" t="s">
        <v>3669</v>
      </c>
      <c r="AH2692" s="29" t="s">
        <v>4017</v>
      </c>
      <c r="AI2692" s="29" t="s">
        <v>3703</v>
      </c>
      <c r="AJ2692" s="29" t="s">
        <v>4018</v>
      </c>
      <c r="AL2692" s="29" t="s">
        <v>3670</v>
      </c>
    </row>
    <row r="2693" spans="27:38">
      <c r="AA2693" s="29" t="s">
        <v>43</v>
      </c>
      <c r="AB2693">
        <v>31200</v>
      </c>
      <c r="AC2693">
        <v>170</v>
      </c>
      <c r="AD2693">
        <v>4</v>
      </c>
      <c r="AE2693">
        <v>17.53</v>
      </c>
      <c r="AF2693">
        <v>17.53</v>
      </c>
      <c r="AG2693" s="29" t="s">
        <v>3669</v>
      </c>
      <c r="AH2693" s="29" t="s">
        <v>4019</v>
      </c>
      <c r="AI2693" s="29" t="s">
        <v>3703</v>
      </c>
      <c r="AJ2693" s="29" t="s">
        <v>4020</v>
      </c>
      <c r="AL2693" s="29" t="s">
        <v>3670</v>
      </c>
    </row>
    <row r="2694" spans="27:38">
      <c r="AA2694" s="29" t="s">
        <v>43</v>
      </c>
      <c r="AB2694">
        <v>31200</v>
      </c>
      <c r="AC2694">
        <v>170</v>
      </c>
      <c r="AD2694">
        <v>4</v>
      </c>
      <c r="AE2694">
        <v>2.72</v>
      </c>
      <c r="AF2694">
        <v>2.72</v>
      </c>
      <c r="AG2694" s="29" t="s">
        <v>3669</v>
      </c>
      <c r="AH2694" s="29" t="s">
        <v>4021</v>
      </c>
      <c r="AI2694" s="29" t="s">
        <v>3703</v>
      </c>
      <c r="AJ2694" s="29" t="s">
        <v>4022</v>
      </c>
      <c r="AL2694" s="29" t="s">
        <v>3670</v>
      </c>
    </row>
    <row r="2695" spans="27:38">
      <c r="AA2695" s="29" t="s">
        <v>43</v>
      </c>
      <c r="AB2695">
        <v>31200</v>
      </c>
      <c r="AC2695">
        <v>170</v>
      </c>
      <c r="AD2695">
        <v>4</v>
      </c>
      <c r="AE2695">
        <v>35.57</v>
      </c>
      <c r="AF2695">
        <v>35.57</v>
      </c>
      <c r="AG2695" s="29" t="s">
        <v>3669</v>
      </c>
      <c r="AH2695" s="29" t="s">
        <v>4023</v>
      </c>
      <c r="AI2695" s="29" t="s">
        <v>3703</v>
      </c>
      <c r="AJ2695" s="29" t="s">
        <v>4024</v>
      </c>
      <c r="AL2695" s="29" t="s">
        <v>3670</v>
      </c>
    </row>
    <row r="2696" spans="27:38">
      <c r="AA2696" s="29" t="s">
        <v>43</v>
      </c>
      <c r="AB2696">
        <v>31200</v>
      </c>
      <c r="AC2696">
        <v>170</v>
      </c>
      <c r="AD2696">
        <v>4</v>
      </c>
      <c r="AE2696">
        <v>48</v>
      </c>
      <c r="AF2696">
        <v>48</v>
      </c>
      <c r="AG2696" s="29" t="s">
        <v>3669</v>
      </c>
      <c r="AH2696" s="29" t="s">
        <v>4025</v>
      </c>
      <c r="AI2696" s="29" t="s">
        <v>3703</v>
      </c>
      <c r="AJ2696" s="29" t="s">
        <v>4026</v>
      </c>
      <c r="AL2696" s="29" t="s">
        <v>3670</v>
      </c>
    </row>
    <row r="2697" spans="27:38">
      <c r="AA2697" s="29" t="s">
        <v>43</v>
      </c>
      <c r="AB2697">
        <v>31200</v>
      </c>
      <c r="AC2697">
        <v>170</v>
      </c>
      <c r="AD2697">
        <v>4</v>
      </c>
      <c r="AE2697">
        <v>1.98</v>
      </c>
      <c r="AF2697">
        <v>1.98</v>
      </c>
      <c r="AG2697" s="29" t="s">
        <v>3669</v>
      </c>
      <c r="AH2697" s="29" t="s">
        <v>4027</v>
      </c>
      <c r="AI2697" s="29" t="s">
        <v>3703</v>
      </c>
      <c r="AJ2697" s="29" t="s">
        <v>4028</v>
      </c>
      <c r="AL2697" s="29" t="s">
        <v>3670</v>
      </c>
    </row>
    <row r="2698" spans="27:38">
      <c r="AA2698" s="29" t="s">
        <v>43</v>
      </c>
      <c r="AB2698">
        <v>31200</v>
      </c>
      <c r="AC2698">
        <v>170</v>
      </c>
      <c r="AD2698">
        <v>4</v>
      </c>
      <c r="AE2698">
        <v>1.86</v>
      </c>
      <c r="AF2698">
        <v>1.86</v>
      </c>
      <c r="AG2698" s="29" t="s">
        <v>3669</v>
      </c>
      <c r="AH2698" s="29" t="s">
        <v>4029</v>
      </c>
      <c r="AI2698" s="29" t="s">
        <v>3703</v>
      </c>
      <c r="AJ2698" s="29" t="s">
        <v>4030</v>
      </c>
      <c r="AL2698" s="29" t="s">
        <v>3670</v>
      </c>
    </row>
    <row r="2699" spans="27:38">
      <c r="AA2699" s="29" t="s">
        <v>43</v>
      </c>
      <c r="AB2699">
        <v>31200</v>
      </c>
      <c r="AC2699">
        <v>170</v>
      </c>
      <c r="AD2699">
        <v>4</v>
      </c>
      <c r="AE2699">
        <v>1.1200000000000001</v>
      </c>
      <c r="AF2699">
        <v>1.1200000000000001</v>
      </c>
      <c r="AG2699" s="29" t="s">
        <v>3669</v>
      </c>
      <c r="AH2699" s="29" t="s">
        <v>4031</v>
      </c>
      <c r="AI2699" s="29" t="s">
        <v>3703</v>
      </c>
      <c r="AJ2699" s="29" t="s">
        <v>4032</v>
      </c>
      <c r="AL2699" s="29" t="s">
        <v>3670</v>
      </c>
    </row>
    <row r="2700" spans="27:38">
      <c r="AA2700" s="29" t="s">
        <v>43</v>
      </c>
      <c r="AB2700">
        <v>31200</v>
      </c>
      <c r="AC2700">
        <v>170</v>
      </c>
      <c r="AD2700">
        <v>4</v>
      </c>
      <c r="AE2700">
        <v>1.4</v>
      </c>
      <c r="AF2700">
        <v>1.4</v>
      </c>
      <c r="AG2700" s="29" t="s">
        <v>3669</v>
      </c>
      <c r="AH2700" s="29" t="s">
        <v>3969</v>
      </c>
      <c r="AI2700" s="29" t="s">
        <v>3703</v>
      </c>
      <c r="AJ2700" s="29" t="s">
        <v>4033</v>
      </c>
      <c r="AL2700" s="29" t="s">
        <v>3670</v>
      </c>
    </row>
    <row r="2701" spans="27:38">
      <c r="AA2701" s="29" t="s">
        <v>43</v>
      </c>
      <c r="AB2701">
        <v>31200</v>
      </c>
      <c r="AC2701">
        <v>170</v>
      </c>
      <c r="AD2701">
        <v>4</v>
      </c>
      <c r="AE2701">
        <v>0.36</v>
      </c>
      <c r="AF2701">
        <v>0.36</v>
      </c>
      <c r="AG2701" s="29" t="s">
        <v>3669</v>
      </c>
      <c r="AH2701" s="29" t="s">
        <v>4034</v>
      </c>
      <c r="AI2701" s="29" t="s">
        <v>3703</v>
      </c>
      <c r="AJ2701" s="29" t="s">
        <v>4035</v>
      </c>
      <c r="AL2701" s="29" t="s">
        <v>3670</v>
      </c>
    </row>
    <row r="2702" spans="27:38">
      <c r="AA2702" s="29" t="s">
        <v>43</v>
      </c>
      <c r="AB2702">
        <v>31200</v>
      </c>
      <c r="AC2702">
        <v>170</v>
      </c>
      <c r="AD2702">
        <v>4</v>
      </c>
      <c r="AE2702">
        <v>4.2699999999999996</v>
      </c>
      <c r="AF2702">
        <v>4.2699999999999996</v>
      </c>
      <c r="AG2702" s="29" t="s">
        <v>3669</v>
      </c>
      <c r="AH2702" s="29" t="s">
        <v>3791</v>
      </c>
      <c r="AI2702" s="29" t="s">
        <v>3703</v>
      </c>
      <c r="AJ2702" s="29" t="s">
        <v>3030</v>
      </c>
      <c r="AL2702" s="29" t="s">
        <v>3670</v>
      </c>
    </row>
    <row r="2703" spans="27:38">
      <c r="AA2703" s="29" t="s">
        <v>43</v>
      </c>
      <c r="AB2703">
        <v>31200</v>
      </c>
      <c r="AC2703">
        <v>170</v>
      </c>
      <c r="AD2703">
        <v>4</v>
      </c>
      <c r="AE2703">
        <v>11.27</v>
      </c>
      <c r="AF2703">
        <v>11.27</v>
      </c>
      <c r="AG2703" s="29" t="s">
        <v>3669</v>
      </c>
      <c r="AH2703" s="29" t="s">
        <v>4036</v>
      </c>
      <c r="AI2703" s="29" t="s">
        <v>3703</v>
      </c>
      <c r="AJ2703" s="29" t="s">
        <v>4037</v>
      </c>
      <c r="AL2703" s="29" t="s">
        <v>3670</v>
      </c>
    </row>
    <row r="2704" spans="27:38">
      <c r="AA2704" s="29" t="s">
        <v>43</v>
      </c>
      <c r="AB2704">
        <v>31200</v>
      </c>
      <c r="AC2704">
        <v>170</v>
      </c>
      <c r="AD2704">
        <v>4</v>
      </c>
      <c r="AE2704">
        <v>13.6</v>
      </c>
      <c r="AF2704">
        <v>13.6</v>
      </c>
      <c r="AG2704" s="29" t="s">
        <v>3669</v>
      </c>
      <c r="AH2704" s="29" t="s">
        <v>4038</v>
      </c>
      <c r="AI2704" s="29" t="s">
        <v>3703</v>
      </c>
      <c r="AJ2704" s="29" t="s">
        <v>4039</v>
      </c>
      <c r="AL2704" s="29" t="s">
        <v>3670</v>
      </c>
    </row>
    <row r="2705" spans="27:38">
      <c r="AA2705" s="29" t="s">
        <v>43</v>
      </c>
      <c r="AB2705">
        <v>31200</v>
      </c>
      <c r="AC2705">
        <v>170</v>
      </c>
      <c r="AD2705">
        <v>4</v>
      </c>
      <c r="AE2705">
        <v>203</v>
      </c>
      <c r="AF2705">
        <v>203</v>
      </c>
      <c r="AG2705" s="29" t="s">
        <v>3669</v>
      </c>
      <c r="AH2705" s="29" t="s">
        <v>4040</v>
      </c>
      <c r="AI2705" s="29" t="s">
        <v>3703</v>
      </c>
      <c r="AJ2705" s="29" t="s">
        <v>4041</v>
      </c>
      <c r="AL2705" s="29" t="s">
        <v>3670</v>
      </c>
    </row>
    <row r="2706" spans="27:38">
      <c r="AA2706" s="29" t="s">
        <v>43</v>
      </c>
      <c r="AB2706">
        <v>31200</v>
      </c>
      <c r="AC2706">
        <v>170</v>
      </c>
      <c r="AD2706">
        <v>4</v>
      </c>
      <c r="AE2706">
        <v>589.5</v>
      </c>
      <c r="AF2706">
        <v>589.5</v>
      </c>
      <c r="AG2706" s="29" t="s">
        <v>3669</v>
      </c>
      <c r="AH2706" s="29" t="s">
        <v>4042</v>
      </c>
      <c r="AI2706" s="29" t="s">
        <v>3703</v>
      </c>
      <c r="AJ2706" s="29" t="s">
        <v>4043</v>
      </c>
      <c r="AL2706" s="29" t="s">
        <v>3670</v>
      </c>
    </row>
    <row r="2707" spans="27:38">
      <c r="AA2707" s="29" t="s">
        <v>43</v>
      </c>
      <c r="AB2707">
        <v>31200</v>
      </c>
      <c r="AC2707">
        <v>170</v>
      </c>
      <c r="AD2707">
        <v>4</v>
      </c>
      <c r="AE2707">
        <v>8</v>
      </c>
      <c r="AF2707">
        <v>8</v>
      </c>
      <c r="AG2707" s="29" t="s">
        <v>3669</v>
      </c>
      <c r="AH2707" s="29" t="s">
        <v>3830</v>
      </c>
      <c r="AI2707" s="29" t="s">
        <v>3703</v>
      </c>
      <c r="AJ2707" s="29" t="s">
        <v>4044</v>
      </c>
      <c r="AL2707" s="29" t="s">
        <v>3670</v>
      </c>
    </row>
    <row r="2708" spans="27:38">
      <c r="AA2708" s="29" t="s">
        <v>43</v>
      </c>
      <c r="AB2708">
        <v>31200</v>
      </c>
      <c r="AC2708">
        <v>170</v>
      </c>
      <c r="AD2708">
        <v>4</v>
      </c>
      <c r="AE2708">
        <v>122.75</v>
      </c>
      <c r="AF2708">
        <v>122.75</v>
      </c>
      <c r="AG2708" s="29" t="s">
        <v>3669</v>
      </c>
      <c r="AH2708" s="29" t="s">
        <v>4045</v>
      </c>
      <c r="AI2708" s="29" t="s">
        <v>3703</v>
      </c>
      <c r="AJ2708" s="29" t="s">
        <v>4046</v>
      </c>
      <c r="AL2708" s="29" t="s">
        <v>3670</v>
      </c>
    </row>
    <row r="2709" spans="27:38">
      <c r="AA2709" s="29" t="s">
        <v>43</v>
      </c>
      <c r="AB2709">
        <v>31200</v>
      </c>
      <c r="AC2709">
        <v>170</v>
      </c>
      <c r="AD2709">
        <v>4</v>
      </c>
      <c r="AE2709">
        <v>45.34</v>
      </c>
      <c r="AF2709">
        <v>45.34</v>
      </c>
      <c r="AG2709" s="29" t="s">
        <v>3669</v>
      </c>
      <c r="AH2709" s="29" t="s">
        <v>4047</v>
      </c>
      <c r="AI2709" s="29" t="s">
        <v>3703</v>
      </c>
      <c r="AJ2709" s="29" t="s">
        <v>2928</v>
      </c>
      <c r="AL2709" s="29" t="s">
        <v>3670</v>
      </c>
    </row>
    <row r="2710" spans="27:38">
      <c r="AA2710" s="29" t="s">
        <v>43</v>
      </c>
      <c r="AB2710">
        <v>31200</v>
      </c>
      <c r="AC2710">
        <v>170</v>
      </c>
      <c r="AD2710">
        <v>4</v>
      </c>
      <c r="AE2710">
        <v>320</v>
      </c>
      <c r="AF2710">
        <v>320</v>
      </c>
      <c r="AG2710" s="29" t="s">
        <v>3669</v>
      </c>
      <c r="AH2710" s="29" t="s">
        <v>4048</v>
      </c>
      <c r="AI2710" s="29" t="s">
        <v>3703</v>
      </c>
      <c r="AJ2710" s="29" t="s">
        <v>4049</v>
      </c>
      <c r="AL2710" s="29" t="s">
        <v>3670</v>
      </c>
    </row>
    <row r="2711" spans="27:38">
      <c r="AA2711" s="29" t="s">
        <v>43</v>
      </c>
      <c r="AB2711">
        <v>31200</v>
      </c>
      <c r="AC2711">
        <v>170</v>
      </c>
      <c r="AD2711">
        <v>4</v>
      </c>
      <c r="AE2711">
        <v>30.22</v>
      </c>
      <c r="AF2711">
        <v>30.22</v>
      </c>
      <c r="AG2711" s="29" t="s">
        <v>3669</v>
      </c>
      <c r="AH2711" s="29" t="s">
        <v>4050</v>
      </c>
      <c r="AI2711" s="29" t="s">
        <v>3703</v>
      </c>
      <c r="AJ2711" s="29" t="s">
        <v>4051</v>
      </c>
      <c r="AL2711" s="29" t="s">
        <v>3670</v>
      </c>
    </row>
    <row r="2712" spans="27:38">
      <c r="AA2712" s="29" t="s">
        <v>43</v>
      </c>
      <c r="AB2712">
        <v>31200</v>
      </c>
      <c r="AC2712">
        <v>170</v>
      </c>
      <c r="AD2712">
        <v>4</v>
      </c>
      <c r="AE2712">
        <v>1403.28</v>
      </c>
      <c r="AF2712">
        <v>1403.28</v>
      </c>
      <c r="AG2712" s="29" t="s">
        <v>3669</v>
      </c>
      <c r="AH2712" s="29" t="s">
        <v>4052</v>
      </c>
      <c r="AI2712" s="29" t="s">
        <v>3703</v>
      </c>
      <c r="AJ2712" s="29" t="s">
        <v>4053</v>
      </c>
      <c r="AL2712" s="29" t="s">
        <v>3670</v>
      </c>
    </row>
    <row r="2713" spans="27:38">
      <c r="AA2713" s="29" t="s">
        <v>43</v>
      </c>
      <c r="AB2713">
        <v>31200</v>
      </c>
      <c r="AC2713">
        <v>170</v>
      </c>
      <c r="AD2713">
        <v>4</v>
      </c>
      <c r="AE2713">
        <v>35</v>
      </c>
      <c r="AF2713">
        <v>35</v>
      </c>
      <c r="AG2713" s="29" t="s">
        <v>3669</v>
      </c>
      <c r="AH2713" s="29" t="s">
        <v>4054</v>
      </c>
      <c r="AI2713" s="29" t="s">
        <v>3703</v>
      </c>
      <c r="AJ2713" s="29" t="s">
        <v>2818</v>
      </c>
      <c r="AL2713" s="29" t="s">
        <v>3670</v>
      </c>
    </row>
    <row r="2714" spans="27:38">
      <c r="AA2714" s="29" t="s">
        <v>43</v>
      </c>
      <c r="AB2714">
        <v>31200</v>
      </c>
      <c r="AC2714">
        <v>170</v>
      </c>
      <c r="AD2714">
        <v>4</v>
      </c>
      <c r="AE2714">
        <v>45</v>
      </c>
      <c r="AF2714">
        <v>45</v>
      </c>
      <c r="AG2714" s="29" t="s">
        <v>3669</v>
      </c>
      <c r="AH2714" s="29" t="s">
        <v>4055</v>
      </c>
      <c r="AI2714" s="29" t="s">
        <v>3703</v>
      </c>
      <c r="AJ2714" s="29" t="s">
        <v>2821</v>
      </c>
      <c r="AL2714" s="29" t="s">
        <v>3670</v>
      </c>
    </row>
    <row r="2715" spans="27:38">
      <c r="AA2715" s="29" t="s">
        <v>43</v>
      </c>
      <c r="AB2715">
        <v>31200</v>
      </c>
      <c r="AC2715">
        <v>170</v>
      </c>
      <c r="AD2715">
        <v>4</v>
      </c>
      <c r="AE2715">
        <v>124.67</v>
      </c>
      <c r="AF2715">
        <v>124.67</v>
      </c>
      <c r="AG2715" s="29" t="s">
        <v>3669</v>
      </c>
      <c r="AH2715" s="29" t="s">
        <v>4056</v>
      </c>
      <c r="AI2715" s="29" t="s">
        <v>3703</v>
      </c>
      <c r="AJ2715" s="29" t="s">
        <v>4057</v>
      </c>
      <c r="AL2715" s="29" t="s">
        <v>3670</v>
      </c>
    </row>
    <row r="2716" spans="27:38">
      <c r="AA2716" s="29" t="s">
        <v>43</v>
      </c>
      <c r="AB2716">
        <v>31200</v>
      </c>
      <c r="AC2716">
        <v>170</v>
      </c>
      <c r="AD2716">
        <v>4</v>
      </c>
      <c r="AE2716">
        <v>1018.5</v>
      </c>
      <c r="AF2716">
        <v>1018.5</v>
      </c>
      <c r="AG2716" s="29" t="s">
        <v>3669</v>
      </c>
      <c r="AH2716" s="29" t="s">
        <v>4058</v>
      </c>
      <c r="AI2716" s="29" t="s">
        <v>3703</v>
      </c>
      <c r="AJ2716" s="29" t="s">
        <v>4059</v>
      </c>
      <c r="AL2716" s="29" t="s">
        <v>3670</v>
      </c>
    </row>
    <row r="2717" spans="27:38">
      <c r="AA2717" s="29" t="s">
        <v>43</v>
      </c>
      <c r="AB2717">
        <v>31200</v>
      </c>
      <c r="AC2717">
        <v>170</v>
      </c>
      <c r="AD2717">
        <v>4</v>
      </c>
      <c r="AE2717">
        <v>38.049999999999997</v>
      </c>
      <c r="AF2717">
        <v>38.049999999999997</v>
      </c>
      <c r="AG2717" s="29" t="s">
        <v>3669</v>
      </c>
      <c r="AH2717" s="29" t="s">
        <v>4060</v>
      </c>
      <c r="AI2717" s="29" t="s">
        <v>3703</v>
      </c>
      <c r="AJ2717" s="29" t="s">
        <v>1715</v>
      </c>
      <c r="AL2717" s="29" t="s">
        <v>3670</v>
      </c>
    </row>
    <row r="2718" spans="27:38">
      <c r="AA2718" s="29" t="s">
        <v>43</v>
      </c>
      <c r="AB2718">
        <v>31200</v>
      </c>
      <c r="AC2718">
        <v>170</v>
      </c>
      <c r="AD2718">
        <v>4</v>
      </c>
      <c r="AE2718">
        <v>378.22</v>
      </c>
      <c r="AF2718">
        <v>378.22</v>
      </c>
      <c r="AG2718" s="29" t="s">
        <v>3669</v>
      </c>
      <c r="AH2718" s="29" t="s">
        <v>4061</v>
      </c>
      <c r="AI2718" s="29" t="s">
        <v>3703</v>
      </c>
      <c r="AJ2718" s="29" t="s">
        <v>1717</v>
      </c>
      <c r="AL2718" s="29" t="s">
        <v>3670</v>
      </c>
    </row>
    <row r="2719" spans="27:38">
      <c r="AA2719" s="29" t="s">
        <v>43</v>
      </c>
      <c r="AB2719">
        <v>31200</v>
      </c>
      <c r="AC2719">
        <v>170</v>
      </c>
      <c r="AD2719">
        <v>4</v>
      </c>
      <c r="AE2719">
        <v>47.28</v>
      </c>
      <c r="AF2719">
        <v>47.28</v>
      </c>
      <c r="AG2719" s="29" t="s">
        <v>3669</v>
      </c>
      <c r="AH2719" s="29" t="s">
        <v>4062</v>
      </c>
      <c r="AI2719" s="29" t="s">
        <v>3703</v>
      </c>
      <c r="AJ2719" s="29" t="s">
        <v>4063</v>
      </c>
      <c r="AL2719" s="29" t="s">
        <v>3670</v>
      </c>
    </row>
    <row r="2720" spans="27:38">
      <c r="AA2720" s="29" t="s">
        <v>43</v>
      </c>
      <c r="AB2720">
        <v>31200</v>
      </c>
      <c r="AC2720">
        <v>170</v>
      </c>
      <c r="AD2720">
        <v>4</v>
      </c>
      <c r="AE2720">
        <v>772.2</v>
      </c>
      <c r="AF2720">
        <v>772.2</v>
      </c>
      <c r="AG2720" s="29" t="s">
        <v>3669</v>
      </c>
      <c r="AH2720" s="29" t="s">
        <v>4064</v>
      </c>
      <c r="AI2720" s="29" t="s">
        <v>3703</v>
      </c>
      <c r="AJ2720" s="29" t="s">
        <v>4065</v>
      </c>
      <c r="AL2720" s="29" t="s">
        <v>3670</v>
      </c>
    </row>
    <row r="2721" spans="27:38">
      <c r="AA2721" s="29" t="s">
        <v>43</v>
      </c>
      <c r="AB2721">
        <v>31200</v>
      </c>
      <c r="AC2721">
        <v>170</v>
      </c>
      <c r="AD2721">
        <v>4</v>
      </c>
      <c r="AE2721">
        <v>772.2</v>
      </c>
      <c r="AF2721">
        <v>772.2</v>
      </c>
      <c r="AG2721" s="29" t="s">
        <v>3669</v>
      </c>
      <c r="AH2721" s="29" t="s">
        <v>4064</v>
      </c>
      <c r="AI2721" s="29" t="s">
        <v>3703</v>
      </c>
      <c r="AJ2721" s="29" t="s">
        <v>4065</v>
      </c>
      <c r="AL2721" s="29" t="s">
        <v>3670</v>
      </c>
    </row>
    <row r="2722" spans="27:38">
      <c r="AA2722" s="29" t="s">
        <v>43</v>
      </c>
      <c r="AB2722">
        <v>31200</v>
      </c>
      <c r="AC2722">
        <v>170</v>
      </c>
      <c r="AD2722">
        <v>4</v>
      </c>
      <c r="AE2722">
        <v>200.62</v>
      </c>
      <c r="AF2722">
        <v>200.62</v>
      </c>
      <c r="AG2722" s="29" t="s">
        <v>3669</v>
      </c>
      <c r="AH2722" s="29" t="s">
        <v>4066</v>
      </c>
      <c r="AI2722" s="29" t="s">
        <v>3703</v>
      </c>
      <c r="AJ2722" s="29" t="s">
        <v>4067</v>
      </c>
      <c r="AL2722" s="29" t="s">
        <v>3670</v>
      </c>
    </row>
    <row r="2723" spans="27:38">
      <c r="AA2723" s="29" t="s">
        <v>43</v>
      </c>
      <c r="AB2723">
        <v>31200</v>
      </c>
      <c r="AC2723">
        <v>170</v>
      </c>
      <c r="AD2723">
        <v>4</v>
      </c>
      <c r="AE2723">
        <v>339.5</v>
      </c>
      <c r="AF2723">
        <v>339.5</v>
      </c>
      <c r="AG2723" s="29" t="s">
        <v>3669</v>
      </c>
      <c r="AH2723" s="29" t="s">
        <v>4068</v>
      </c>
      <c r="AI2723" s="29" t="s">
        <v>3703</v>
      </c>
      <c r="AJ2723" s="29" t="s">
        <v>4069</v>
      </c>
      <c r="AL2723" s="29" t="s">
        <v>3670</v>
      </c>
    </row>
    <row r="2724" spans="27:38">
      <c r="AA2724" s="29" t="s">
        <v>43</v>
      </c>
      <c r="AB2724">
        <v>31200</v>
      </c>
      <c r="AC2724">
        <v>170</v>
      </c>
      <c r="AD2724">
        <v>4</v>
      </c>
      <c r="AE2724">
        <v>16.600000000000001</v>
      </c>
      <c r="AF2724">
        <v>16.600000000000001</v>
      </c>
      <c r="AG2724" s="29" t="s">
        <v>3669</v>
      </c>
      <c r="AH2724" s="29" t="s">
        <v>4070</v>
      </c>
      <c r="AI2724" s="29" t="s">
        <v>3703</v>
      </c>
      <c r="AJ2724" s="29" t="s">
        <v>4071</v>
      </c>
      <c r="AL2724" s="29" t="s">
        <v>3670</v>
      </c>
    </row>
    <row r="2725" spans="27:38">
      <c r="AA2725" s="29" t="s">
        <v>43</v>
      </c>
      <c r="AB2725">
        <v>31200</v>
      </c>
      <c r="AC2725">
        <v>170</v>
      </c>
      <c r="AD2725">
        <v>4</v>
      </c>
      <c r="AE2725">
        <v>14.58</v>
      </c>
      <c r="AF2725">
        <v>14.58</v>
      </c>
      <c r="AG2725" s="29" t="s">
        <v>3669</v>
      </c>
      <c r="AH2725" s="29" t="s">
        <v>4072</v>
      </c>
      <c r="AI2725" s="29" t="s">
        <v>3703</v>
      </c>
      <c r="AJ2725" s="29" t="s">
        <v>1814</v>
      </c>
      <c r="AL2725" s="29" t="s">
        <v>3670</v>
      </c>
    </row>
    <row r="2726" spans="27:38">
      <c r="AA2726" s="29" t="s">
        <v>43</v>
      </c>
      <c r="AB2726">
        <v>31200</v>
      </c>
      <c r="AC2726">
        <v>170</v>
      </c>
      <c r="AD2726">
        <v>4</v>
      </c>
      <c r="AE2726">
        <v>5195.53</v>
      </c>
      <c r="AF2726">
        <v>5195.53</v>
      </c>
      <c r="AG2726" s="29" t="s">
        <v>3669</v>
      </c>
      <c r="AH2726" s="29" t="s">
        <v>4073</v>
      </c>
      <c r="AI2726" s="29" t="s">
        <v>3703</v>
      </c>
      <c r="AJ2726" s="29" t="s">
        <v>4074</v>
      </c>
      <c r="AL2726" s="29" t="s">
        <v>3670</v>
      </c>
    </row>
    <row r="2727" spans="27:38">
      <c r="AA2727" s="29" t="s">
        <v>43</v>
      </c>
      <c r="AB2727">
        <v>31200</v>
      </c>
      <c r="AC2727">
        <v>170</v>
      </c>
      <c r="AD2727">
        <v>4</v>
      </c>
      <c r="AE2727">
        <v>130</v>
      </c>
      <c r="AF2727">
        <v>130</v>
      </c>
      <c r="AG2727" s="29" t="s">
        <v>3669</v>
      </c>
      <c r="AH2727" s="29" t="s">
        <v>4075</v>
      </c>
      <c r="AI2727" s="29" t="s">
        <v>3703</v>
      </c>
      <c r="AJ2727" s="29" t="s">
        <v>4076</v>
      </c>
      <c r="AL2727" s="29" t="s">
        <v>3670</v>
      </c>
    </row>
    <row r="2728" spans="27:38">
      <c r="AA2728" s="29" t="s">
        <v>43</v>
      </c>
      <c r="AB2728">
        <v>31200</v>
      </c>
      <c r="AC2728">
        <v>170</v>
      </c>
      <c r="AD2728">
        <v>4</v>
      </c>
      <c r="AE2728">
        <v>20.47</v>
      </c>
      <c r="AF2728">
        <v>20.47</v>
      </c>
      <c r="AG2728" s="29" t="s">
        <v>3669</v>
      </c>
      <c r="AH2728" s="29" t="s">
        <v>4077</v>
      </c>
      <c r="AI2728" s="29" t="s">
        <v>3703</v>
      </c>
      <c r="AJ2728" s="29" t="s">
        <v>2807</v>
      </c>
      <c r="AL2728" s="29" t="s">
        <v>3670</v>
      </c>
    </row>
    <row r="2729" spans="27:38">
      <c r="AA2729" s="29" t="s">
        <v>43</v>
      </c>
      <c r="AB2729">
        <v>31200</v>
      </c>
      <c r="AC2729">
        <v>170</v>
      </c>
      <c r="AD2729">
        <v>4</v>
      </c>
      <c r="AE2729">
        <v>-20.47</v>
      </c>
      <c r="AF2729">
        <v>-20.47</v>
      </c>
      <c r="AG2729" s="29" t="s">
        <v>3669</v>
      </c>
      <c r="AH2729" s="29" t="s">
        <v>4078</v>
      </c>
      <c r="AI2729" s="29" t="s">
        <v>3703</v>
      </c>
      <c r="AJ2729" s="29" t="s">
        <v>2899</v>
      </c>
      <c r="AL2729" s="29" t="s">
        <v>3670</v>
      </c>
    </row>
    <row r="2730" spans="27:38">
      <c r="AA2730" s="29" t="s">
        <v>43</v>
      </c>
      <c r="AB2730">
        <v>31200</v>
      </c>
      <c r="AC2730">
        <v>170</v>
      </c>
      <c r="AD2730">
        <v>4</v>
      </c>
      <c r="AE2730">
        <v>20.47</v>
      </c>
      <c r="AF2730">
        <v>20.47</v>
      </c>
      <c r="AG2730" s="29" t="s">
        <v>3669</v>
      </c>
      <c r="AH2730" s="29" t="s">
        <v>4077</v>
      </c>
      <c r="AI2730" s="29" t="s">
        <v>3703</v>
      </c>
      <c r="AJ2730" s="29" t="s">
        <v>2807</v>
      </c>
      <c r="AL2730" s="29" t="s">
        <v>3670</v>
      </c>
    </row>
    <row r="2731" spans="27:38">
      <c r="AA2731" s="29" t="s">
        <v>43</v>
      </c>
      <c r="AB2731">
        <v>31200</v>
      </c>
      <c r="AC2731">
        <v>170</v>
      </c>
      <c r="AD2731">
        <v>4</v>
      </c>
      <c r="AE2731">
        <v>62.65</v>
      </c>
      <c r="AF2731">
        <v>62.65</v>
      </c>
      <c r="AG2731" s="29" t="s">
        <v>3669</v>
      </c>
      <c r="AH2731" s="29" t="s">
        <v>4079</v>
      </c>
      <c r="AI2731" s="29" t="s">
        <v>3703</v>
      </c>
      <c r="AJ2731" s="29" t="s">
        <v>4080</v>
      </c>
      <c r="AL2731" s="29" t="s">
        <v>3670</v>
      </c>
    </row>
    <row r="2732" spans="27:38">
      <c r="AA2732" s="29" t="s">
        <v>43</v>
      </c>
      <c r="AB2732">
        <v>31200</v>
      </c>
      <c r="AC2732">
        <v>170</v>
      </c>
      <c r="AD2732">
        <v>4</v>
      </c>
      <c r="AE2732">
        <v>58.38</v>
      </c>
      <c r="AF2732">
        <v>58.38</v>
      </c>
      <c r="AG2732" s="29" t="s">
        <v>3669</v>
      </c>
      <c r="AH2732" s="29" t="s">
        <v>4081</v>
      </c>
      <c r="AI2732" s="29" t="s">
        <v>3703</v>
      </c>
      <c r="AJ2732" s="29" t="s">
        <v>4082</v>
      </c>
      <c r="AL2732" s="29" t="s">
        <v>3670</v>
      </c>
    </row>
    <row r="2733" spans="27:38">
      <c r="AA2733" s="29" t="s">
        <v>43</v>
      </c>
      <c r="AB2733">
        <v>31200</v>
      </c>
      <c r="AC2733">
        <v>170</v>
      </c>
      <c r="AD2733">
        <v>4</v>
      </c>
      <c r="AE2733">
        <v>133.03</v>
      </c>
      <c r="AF2733">
        <v>133.03</v>
      </c>
      <c r="AG2733" s="29" t="s">
        <v>3669</v>
      </c>
      <c r="AH2733" s="29" t="s">
        <v>4083</v>
      </c>
      <c r="AI2733" s="29" t="s">
        <v>3703</v>
      </c>
      <c r="AJ2733" s="29" t="s">
        <v>4084</v>
      </c>
      <c r="AL2733" s="29" t="s">
        <v>3670</v>
      </c>
    </row>
    <row r="2734" spans="27:38">
      <c r="AA2734" s="29" t="s">
        <v>43</v>
      </c>
      <c r="AB2734">
        <v>31200</v>
      </c>
      <c r="AC2734">
        <v>170</v>
      </c>
      <c r="AD2734">
        <v>4</v>
      </c>
      <c r="AE2734">
        <v>-58.38</v>
      </c>
      <c r="AF2734">
        <v>-58.38</v>
      </c>
      <c r="AG2734" s="29" t="s">
        <v>3669</v>
      </c>
      <c r="AH2734" s="29" t="s">
        <v>4085</v>
      </c>
      <c r="AI2734" s="29" t="s">
        <v>3703</v>
      </c>
      <c r="AJ2734" s="29" t="s">
        <v>4086</v>
      </c>
      <c r="AL2734" s="29" t="s">
        <v>3670</v>
      </c>
    </row>
    <row r="2735" spans="27:38">
      <c r="AA2735" s="29" t="s">
        <v>43</v>
      </c>
      <c r="AB2735">
        <v>31200</v>
      </c>
      <c r="AC2735">
        <v>170</v>
      </c>
      <c r="AD2735">
        <v>4</v>
      </c>
      <c r="AE2735">
        <v>52.36</v>
      </c>
      <c r="AF2735">
        <v>52.36</v>
      </c>
      <c r="AG2735" s="29" t="s">
        <v>3669</v>
      </c>
      <c r="AH2735" s="29" t="s">
        <v>4087</v>
      </c>
      <c r="AI2735" s="29" t="s">
        <v>3703</v>
      </c>
      <c r="AJ2735" s="29" t="s">
        <v>4088</v>
      </c>
      <c r="AL2735" s="29" t="s">
        <v>3670</v>
      </c>
    </row>
    <row r="2736" spans="27:38">
      <c r="AA2736" s="29" t="s">
        <v>43</v>
      </c>
      <c r="AB2736">
        <v>31200</v>
      </c>
      <c r="AC2736">
        <v>170</v>
      </c>
      <c r="AD2736">
        <v>4</v>
      </c>
      <c r="AE2736">
        <v>9.09</v>
      </c>
      <c r="AF2736">
        <v>9.09</v>
      </c>
      <c r="AG2736" s="29" t="s">
        <v>3669</v>
      </c>
      <c r="AH2736" s="29" t="s">
        <v>4089</v>
      </c>
      <c r="AI2736" s="29" t="s">
        <v>3703</v>
      </c>
      <c r="AJ2736" s="29" t="s">
        <v>4090</v>
      </c>
      <c r="AL2736" s="29" t="s">
        <v>3670</v>
      </c>
    </row>
    <row r="2737" spans="27:38">
      <c r="AA2737" s="29" t="s">
        <v>43</v>
      </c>
      <c r="AB2737">
        <v>31200</v>
      </c>
      <c r="AC2737">
        <v>170</v>
      </c>
      <c r="AD2737">
        <v>4</v>
      </c>
      <c r="AE2737">
        <v>99.97</v>
      </c>
      <c r="AF2737">
        <v>99.97</v>
      </c>
      <c r="AG2737" s="29" t="s">
        <v>3669</v>
      </c>
      <c r="AH2737" s="29" t="s">
        <v>4091</v>
      </c>
      <c r="AI2737" s="29" t="s">
        <v>3703</v>
      </c>
      <c r="AJ2737" s="29" t="s">
        <v>4092</v>
      </c>
      <c r="AL2737" s="29" t="s">
        <v>3670</v>
      </c>
    </row>
    <row r="2738" spans="27:38">
      <c r="AA2738" s="29" t="s">
        <v>43</v>
      </c>
      <c r="AB2738">
        <v>31200</v>
      </c>
      <c r="AC2738">
        <v>170</v>
      </c>
      <c r="AD2738">
        <v>4</v>
      </c>
      <c r="AE2738">
        <v>343.71</v>
      </c>
      <c r="AF2738">
        <v>343.71</v>
      </c>
      <c r="AG2738" s="29" t="s">
        <v>3669</v>
      </c>
      <c r="AH2738" s="29" t="s">
        <v>4093</v>
      </c>
      <c r="AI2738" s="29" t="s">
        <v>3703</v>
      </c>
      <c r="AJ2738" s="29" t="s">
        <v>4094</v>
      </c>
      <c r="AL2738" s="29" t="s">
        <v>3670</v>
      </c>
    </row>
    <row r="2739" spans="27:38">
      <c r="AA2739" s="29" t="s">
        <v>43</v>
      </c>
      <c r="AB2739">
        <v>31200</v>
      </c>
      <c r="AC2739">
        <v>170</v>
      </c>
      <c r="AD2739">
        <v>4</v>
      </c>
      <c r="AE2739">
        <v>3463.69</v>
      </c>
      <c r="AF2739">
        <v>3463.69</v>
      </c>
      <c r="AG2739" s="29" t="s">
        <v>3669</v>
      </c>
      <c r="AH2739" s="29" t="s">
        <v>4095</v>
      </c>
      <c r="AI2739" s="29" t="s">
        <v>3703</v>
      </c>
      <c r="AJ2739" s="29" t="s">
        <v>4096</v>
      </c>
      <c r="AL2739" s="29" t="s">
        <v>3670</v>
      </c>
    </row>
    <row r="2740" spans="27:38">
      <c r="AA2740" s="29" t="s">
        <v>43</v>
      </c>
      <c r="AB2740">
        <v>31200</v>
      </c>
      <c r="AC2740">
        <v>170</v>
      </c>
      <c r="AD2740">
        <v>4</v>
      </c>
      <c r="AE2740">
        <v>-3463.69</v>
      </c>
      <c r="AF2740">
        <v>-3463.69</v>
      </c>
      <c r="AG2740" s="29" t="s">
        <v>3669</v>
      </c>
      <c r="AH2740" s="29" t="s">
        <v>4097</v>
      </c>
      <c r="AI2740" s="29" t="s">
        <v>3703</v>
      </c>
      <c r="AJ2740" s="29" t="s">
        <v>4098</v>
      </c>
      <c r="AL2740" s="29" t="s">
        <v>3670</v>
      </c>
    </row>
    <row r="2741" spans="27:38">
      <c r="AA2741" s="29" t="s">
        <v>43</v>
      </c>
      <c r="AB2741">
        <v>31200</v>
      </c>
      <c r="AC2741">
        <v>170</v>
      </c>
      <c r="AD2741">
        <v>4</v>
      </c>
      <c r="AE2741">
        <v>58.38</v>
      </c>
      <c r="AF2741">
        <v>58.38</v>
      </c>
      <c r="AG2741" s="29" t="s">
        <v>3669</v>
      </c>
      <c r="AH2741" s="29" t="s">
        <v>4081</v>
      </c>
      <c r="AI2741" s="29" t="s">
        <v>3703</v>
      </c>
      <c r="AJ2741" s="29" t="s">
        <v>4082</v>
      </c>
      <c r="AL2741" s="29" t="s">
        <v>3670</v>
      </c>
    </row>
    <row r="2742" spans="27:38">
      <c r="AA2742" s="29" t="s">
        <v>43</v>
      </c>
      <c r="AB2742">
        <v>31200</v>
      </c>
      <c r="AC2742">
        <v>170</v>
      </c>
      <c r="AD2742">
        <v>4</v>
      </c>
      <c r="AE2742">
        <v>1224.48</v>
      </c>
      <c r="AF2742">
        <v>1224.48</v>
      </c>
      <c r="AG2742" s="29" t="s">
        <v>3669</v>
      </c>
      <c r="AH2742" s="29" t="s">
        <v>4099</v>
      </c>
      <c r="AI2742" s="29" t="s">
        <v>3703</v>
      </c>
      <c r="AJ2742" s="29" t="s">
        <v>4100</v>
      </c>
      <c r="AL2742" s="29" t="s">
        <v>3670</v>
      </c>
    </row>
    <row r="2743" spans="27:38">
      <c r="AA2743" s="29" t="s">
        <v>43</v>
      </c>
      <c r="AB2743">
        <v>31200</v>
      </c>
      <c r="AC2743">
        <v>170</v>
      </c>
      <c r="AD2743">
        <v>4</v>
      </c>
      <c r="AE2743">
        <v>8.86</v>
      </c>
      <c r="AF2743">
        <v>8.86</v>
      </c>
      <c r="AG2743" s="29" t="s">
        <v>3669</v>
      </c>
      <c r="AH2743" s="29" t="s">
        <v>4101</v>
      </c>
      <c r="AI2743" s="29" t="s">
        <v>3703</v>
      </c>
      <c r="AJ2743" s="29" t="s">
        <v>4102</v>
      </c>
      <c r="AL2743" s="29" t="s">
        <v>3670</v>
      </c>
    </row>
    <row r="2744" spans="27:38">
      <c r="AA2744" s="29" t="s">
        <v>43</v>
      </c>
      <c r="AB2744">
        <v>31200</v>
      </c>
      <c r="AC2744">
        <v>170</v>
      </c>
      <c r="AD2744">
        <v>4</v>
      </c>
      <c r="AE2744">
        <v>90.18</v>
      </c>
      <c r="AF2744">
        <v>90.18</v>
      </c>
      <c r="AG2744" s="29" t="s">
        <v>3669</v>
      </c>
      <c r="AH2744" s="29" t="s">
        <v>4103</v>
      </c>
      <c r="AI2744" s="29" t="s">
        <v>3703</v>
      </c>
      <c r="AJ2744" s="29" t="s">
        <v>4104</v>
      </c>
      <c r="AL2744" s="29" t="s">
        <v>3670</v>
      </c>
    </row>
    <row r="2745" spans="27:38">
      <c r="AA2745" s="29" t="s">
        <v>43</v>
      </c>
      <c r="AB2745">
        <v>31200</v>
      </c>
      <c r="AC2745">
        <v>170</v>
      </c>
      <c r="AD2745">
        <v>4</v>
      </c>
      <c r="AE2745">
        <v>907.41</v>
      </c>
      <c r="AF2745">
        <v>907.41</v>
      </c>
      <c r="AG2745" s="29" t="s">
        <v>3669</v>
      </c>
      <c r="AH2745" s="29" t="s">
        <v>4105</v>
      </c>
      <c r="AI2745" s="29" t="s">
        <v>3703</v>
      </c>
      <c r="AJ2745" s="29" t="s">
        <v>4106</v>
      </c>
      <c r="AL2745" s="29" t="s">
        <v>3670</v>
      </c>
    </row>
    <row r="2746" spans="27:38">
      <c r="AA2746" s="29" t="s">
        <v>43</v>
      </c>
      <c r="AB2746">
        <v>31200</v>
      </c>
      <c r="AC2746">
        <v>170</v>
      </c>
      <c r="AD2746">
        <v>4</v>
      </c>
      <c r="AE2746">
        <v>33.18</v>
      </c>
      <c r="AF2746">
        <v>33.18</v>
      </c>
      <c r="AG2746" s="29" t="s">
        <v>3669</v>
      </c>
      <c r="AH2746" s="29" t="s">
        <v>4107</v>
      </c>
      <c r="AI2746" s="29" t="s">
        <v>3703</v>
      </c>
      <c r="AJ2746" s="29" t="s">
        <v>4108</v>
      </c>
      <c r="AL2746" s="29" t="s">
        <v>3670</v>
      </c>
    </row>
    <row r="2747" spans="27:38">
      <c r="AA2747" s="29" t="s">
        <v>43</v>
      </c>
      <c r="AB2747">
        <v>31200</v>
      </c>
      <c r="AC2747">
        <v>170</v>
      </c>
      <c r="AD2747">
        <v>4</v>
      </c>
      <c r="AE2747">
        <v>26</v>
      </c>
      <c r="AF2747">
        <v>26</v>
      </c>
      <c r="AG2747" s="29" t="s">
        <v>3669</v>
      </c>
      <c r="AH2747" s="29" t="s">
        <v>4109</v>
      </c>
      <c r="AI2747" s="29" t="s">
        <v>3703</v>
      </c>
      <c r="AJ2747" s="29" t="s">
        <v>4110</v>
      </c>
      <c r="AL2747" s="29" t="s">
        <v>3670</v>
      </c>
    </row>
    <row r="2748" spans="27:38">
      <c r="AA2748" s="29" t="s">
        <v>43</v>
      </c>
      <c r="AB2748">
        <v>31200</v>
      </c>
      <c r="AC2748">
        <v>170</v>
      </c>
      <c r="AD2748">
        <v>4</v>
      </c>
      <c r="AE2748">
        <v>56.2</v>
      </c>
      <c r="AF2748">
        <v>56.2</v>
      </c>
      <c r="AG2748" s="29" t="s">
        <v>3669</v>
      </c>
      <c r="AH2748" s="29" t="s">
        <v>4111</v>
      </c>
      <c r="AI2748" s="29" t="s">
        <v>3703</v>
      </c>
      <c r="AJ2748" s="29" t="s">
        <v>4112</v>
      </c>
      <c r="AL2748" s="29" t="s">
        <v>3670</v>
      </c>
    </row>
    <row r="2749" spans="27:38">
      <c r="AA2749" s="29" t="s">
        <v>43</v>
      </c>
      <c r="AB2749">
        <v>31200</v>
      </c>
      <c r="AC2749">
        <v>170</v>
      </c>
      <c r="AD2749">
        <v>4</v>
      </c>
      <c r="AE2749">
        <v>83.4</v>
      </c>
      <c r="AF2749">
        <v>83.4</v>
      </c>
      <c r="AG2749" s="29" t="s">
        <v>3669</v>
      </c>
      <c r="AH2749" s="29" t="s">
        <v>4113</v>
      </c>
      <c r="AI2749" s="29" t="s">
        <v>3703</v>
      </c>
      <c r="AJ2749" s="29" t="s">
        <v>4114</v>
      </c>
      <c r="AL2749" s="29" t="s">
        <v>3670</v>
      </c>
    </row>
    <row r="2750" spans="27:38">
      <c r="AA2750" s="29" t="s">
        <v>43</v>
      </c>
      <c r="AB2750">
        <v>31200</v>
      </c>
      <c r="AC2750">
        <v>170</v>
      </c>
      <c r="AD2750">
        <v>4</v>
      </c>
      <c r="AE2750">
        <v>218.34</v>
      </c>
      <c r="AF2750">
        <v>218.34</v>
      </c>
      <c r="AG2750" s="29" t="s">
        <v>3669</v>
      </c>
      <c r="AH2750" s="29" t="s">
        <v>4115</v>
      </c>
      <c r="AI2750" s="29" t="s">
        <v>3703</v>
      </c>
      <c r="AJ2750" s="29" t="s">
        <v>4116</v>
      </c>
      <c r="AL2750" s="29" t="s">
        <v>3670</v>
      </c>
    </row>
    <row r="2751" spans="27:38">
      <c r="AA2751" s="29" t="s">
        <v>43</v>
      </c>
      <c r="AB2751">
        <v>31200</v>
      </c>
      <c r="AC2751">
        <v>170</v>
      </c>
      <c r="AD2751">
        <v>4</v>
      </c>
      <c r="AE2751">
        <v>172.8</v>
      </c>
      <c r="AF2751">
        <v>172.8</v>
      </c>
      <c r="AG2751" s="29" t="s">
        <v>3669</v>
      </c>
      <c r="AH2751" s="29" t="s">
        <v>4117</v>
      </c>
      <c r="AI2751" s="29" t="s">
        <v>3703</v>
      </c>
      <c r="AJ2751" s="29" t="s">
        <v>908</v>
      </c>
      <c r="AL2751" s="29" t="s">
        <v>3670</v>
      </c>
    </row>
    <row r="2752" spans="27:38">
      <c r="AA2752" s="29" t="s">
        <v>43</v>
      </c>
      <c r="AB2752">
        <v>31200</v>
      </c>
      <c r="AC2752">
        <v>170</v>
      </c>
      <c r="AD2752">
        <v>4</v>
      </c>
      <c r="AE2752">
        <v>26.21</v>
      </c>
      <c r="AF2752">
        <v>26.21</v>
      </c>
      <c r="AG2752" s="29" t="s">
        <v>3669</v>
      </c>
      <c r="AH2752" s="29" t="s">
        <v>4118</v>
      </c>
      <c r="AI2752" s="29" t="s">
        <v>3703</v>
      </c>
      <c r="AJ2752" s="29" t="s">
        <v>4119</v>
      </c>
      <c r="AL2752" s="29" t="s">
        <v>3670</v>
      </c>
    </row>
    <row r="2753" spans="27:38">
      <c r="AA2753" s="29" t="s">
        <v>43</v>
      </c>
      <c r="AB2753">
        <v>31200</v>
      </c>
      <c r="AC2753">
        <v>170</v>
      </c>
      <c r="AD2753">
        <v>4</v>
      </c>
      <c r="AE2753">
        <v>1696.75</v>
      </c>
      <c r="AF2753">
        <v>1696.75</v>
      </c>
      <c r="AG2753" s="29" t="s">
        <v>3669</v>
      </c>
      <c r="AH2753" s="29" t="s">
        <v>4120</v>
      </c>
      <c r="AI2753" s="29" t="s">
        <v>3703</v>
      </c>
      <c r="AJ2753" s="29" t="s">
        <v>4121</v>
      </c>
      <c r="AL2753" s="29" t="s">
        <v>3670</v>
      </c>
    </row>
    <row r="2754" spans="27:38">
      <c r="AA2754" s="29" t="s">
        <v>43</v>
      </c>
      <c r="AB2754">
        <v>31200</v>
      </c>
      <c r="AC2754">
        <v>170</v>
      </c>
      <c r="AD2754">
        <v>4</v>
      </c>
      <c r="AE2754">
        <v>925.76</v>
      </c>
      <c r="AF2754">
        <v>925.76</v>
      </c>
      <c r="AG2754" s="29" t="s">
        <v>3669</v>
      </c>
      <c r="AH2754" s="29" t="s">
        <v>4122</v>
      </c>
      <c r="AI2754" s="29" t="s">
        <v>3703</v>
      </c>
      <c r="AJ2754" s="29" t="s">
        <v>4123</v>
      </c>
      <c r="AL2754" s="29" t="s">
        <v>3670</v>
      </c>
    </row>
    <row r="2755" spans="27:38">
      <c r="AA2755" s="29" t="s">
        <v>43</v>
      </c>
      <c r="AB2755">
        <v>31200</v>
      </c>
      <c r="AC2755">
        <v>170</v>
      </c>
      <c r="AD2755">
        <v>4</v>
      </c>
      <c r="AE2755">
        <v>427.5</v>
      </c>
      <c r="AF2755">
        <v>427.5</v>
      </c>
      <c r="AG2755" s="29" t="s">
        <v>3669</v>
      </c>
      <c r="AH2755" s="29" t="s">
        <v>4124</v>
      </c>
      <c r="AI2755" s="29" t="s">
        <v>3703</v>
      </c>
      <c r="AJ2755" s="29" t="s">
        <v>4125</v>
      </c>
      <c r="AL2755" s="29" t="s">
        <v>3670</v>
      </c>
    </row>
    <row r="2756" spans="27:38">
      <c r="AA2756" s="29" t="s">
        <v>43</v>
      </c>
      <c r="AB2756">
        <v>31200</v>
      </c>
      <c r="AC2756">
        <v>170</v>
      </c>
      <c r="AD2756">
        <v>4</v>
      </c>
      <c r="AE2756">
        <v>316.95999999999998</v>
      </c>
      <c r="AF2756">
        <v>316.95999999999998</v>
      </c>
      <c r="AG2756" s="29" t="s">
        <v>3669</v>
      </c>
      <c r="AH2756" s="29" t="s">
        <v>4126</v>
      </c>
      <c r="AI2756" s="29" t="s">
        <v>3703</v>
      </c>
      <c r="AJ2756" s="29" t="s">
        <v>4127</v>
      </c>
      <c r="AL2756" s="29" t="s">
        <v>3670</v>
      </c>
    </row>
    <row r="2757" spans="27:38">
      <c r="AA2757" s="29" t="s">
        <v>43</v>
      </c>
      <c r="AB2757">
        <v>31200</v>
      </c>
      <c r="AC2757">
        <v>170</v>
      </c>
      <c r="AD2757">
        <v>4</v>
      </c>
      <c r="AE2757">
        <v>94.32</v>
      </c>
      <c r="AF2757">
        <v>94.32</v>
      </c>
      <c r="AG2757" s="29" t="s">
        <v>3669</v>
      </c>
      <c r="AH2757" s="29" t="s">
        <v>4128</v>
      </c>
      <c r="AI2757" s="29" t="s">
        <v>3703</v>
      </c>
      <c r="AJ2757" s="29" t="s">
        <v>4129</v>
      </c>
      <c r="AL2757" s="29" t="s">
        <v>3670</v>
      </c>
    </row>
    <row r="2758" spans="27:38">
      <c r="AA2758" s="29" t="s">
        <v>43</v>
      </c>
      <c r="AB2758">
        <v>31200</v>
      </c>
      <c r="AC2758">
        <v>170</v>
      </c>
      <c r="AD2758">
        <v>4</v>
      </c>
      <c r="AE2758">
        <v>8.2799999999999994</v>
      </c>
      <c r="AF2758">
        <v>8.2799999999999994</v>
      </c>
      <c r="AG2758" s="29" t="s">
        <v>3669</v>
      </c>
      <c r="AH2758" s="29" t="s">
        <v>4130</v>
      </c>
      <c r="AI2758" s="29" t="s">
        <v>3703</v>
      </c>
      <c r="AJ2758" s="29" t="s">
        <v>4131</v>
      </c>
      <c r="AL2758" s="29" t="s">
        <v>3670</v>
      </c>
    </row>
    <row r="2759" spans="27:38">
      <c r="AA2759" s="29" t="s">
        <v>43</v>
      </c>
      <c r="AB2759">
        <v>31200</v>
      </c>
      <c r="AC2759">
        <v>170</v>
      </c>
      <c r="AD2759">
        <v>4</v>
      </c>
      <c r="AE2759">
        <v>90.18</v>
      </c>
      <c r="AF2759">
        <v>90.18</v>
      </c>
      <c r="AG2759" s="29" t="s">
        <v>3669</v>
      </c>
      <c r="AH2759" s="29" t="s">
        <v>4103</v>
      </c>
      <c r="AI2759" s="29" t="s">
        <v>3703</v>
      </c>
      <c r="AJ2759" s="29" t="s">
        <v>4104</v>
      </c>
      <c r="AL2759" s="29" t="s">
        <v>3670</v>
      </c>
    </row>
    <row r="2760" spans="27:38">
      <c r="AA2760" s="29" t="s">
        <v>43</v>
      </c>
      <c r="AB2760">
        <v>31200</v>
      </c>
      <c r="AC2760">
        <v>170</v>
      </c>
      <c r="AD2760">
        <v>4</v>
      </c>
      <c r="AE2760">
        <v>52.56</v>
      </c>
      <c r="AF2760">
        <v>52.56</v>
      </c>
      <c r="AG2760" s="29" t="s">
        <v>3669</v>
      </c>
      <c r="AH2760" s="29" t="s">
        <v>4132</v>
      </c>
      <c r="AI2760" s="29" t="s">
        <v>3703</v>
      </c>
      <c r="AJ2760" s="29" t="s">
        <v>4133</v>
      </c>
      <c r="AL2760" s="29" t="s">
        <v>3670</v>
      </c>
    </row>
    <row r="2761" spans="27:38">
      <c r="AA2761" s="29" t="s">
        <v>43</v>
      </c>
      <c r="AB2761">
        <v>31200</v>
      </c>
      <c r="AC2761">
        <v>170</v>
      </c>
      <c r="AD2761">
        <v>4</v>
      </c>
      <c r="AE2761">
        <v>259.2</v>
      </c>
      <c r="AF2761">
        <v>259.2</v>
      </c>
      <c r="AG2761" s="29" t="s">
        <v>3669</v>
      </c>
      <c r="AH2761" s="29" t="s">
        <v>4134</v>
      </c>
      <c r="AI2761" s="29" t="s">
        <v>3703</v>
      </c>
      <c r="AJ2761" s="29" t="s">
        <v>4135</v>
      </c>
      <c r="AL2761" s="29" t="s">
        <v>3670</v>
      </c>
    </row>
    <row r="2762" spans="27:38">
      <c r="AA2762" s="29" t="s">
        <v>43</v>
      </c>
      <c r="AB2762">
        <v>31200</v>
      </c>
      <c r="AC2762">
        <v>170</v>
      </c>
      <c r="AD2762">
        <v>4</v>
      </c>
      <c r="AE2762">
        <v>184.84</v>
      </c>
      <c r="AF2762">
        <v>184.84</v>
      </c>
      <c r="AG2762" s="29" t="s">
        <v>3669</v>
      </c>
      <c r="AH2762" s="29" t="s">
        <v>4136</v>
      </c>
      <c r="AI2762" s="29" t="s">
        <v>3703</v>
      </c>
      <c r="AJ2762" s="29" t="s">
        <v>4137</v>
      </c>
      <c r="AL2762" s="29" t="s">
        <v>3670</v>
      </c>
    </row>
    <row r="2763" spans="27:38">
      <c r="AA2763" s="29" t="s">
        <v>43</v>
      </c>
      <c r="AB2763">
        <v>31200</v>
      </c>
      <c r="AC2763">
        <v>170</v>
      </c>
      <c r="AD2763">
        <v>4</v>
      </c>
      <c r="AE2763">
        <v>1061.3399999999999</v>
      </c>
      <c r="AF2763">
        <v>1061.3399999999999</v>
      </c>
      <c r="AG2763" s="29" t="s">
        <v>3669</v>
      </c>
      <c r="AH2763" s="29" t="s">
        <v>4138</v>
      </c>
      <c r="AI2763" s="29" t="s">
        <v>3703</v>
      </c>
      <c r="AJ2763" s="29" t="s">
        <v>4139</v>
      </c>
      <c r="AL2763" s="29" t="s">
        <v>3670</v>
      </c>
    </row>
    <row r="2764" spans="27:38">
      <c r="AA2764" s="29" t="s">
        <v>43</v>
      </c>
      <c r="AB2764">
        <v>31200</v>
      </c>
      <c r="AC2764">
        <v>170</v>
      </c>
      <c r="AD2764">
        <v>4</v>
      </c>
      <c r="AE2764">
        <v>336.34</v>
      </c>
      <c r="AF2764">
        <v>336.34</v>
      </c>
      <c r="AG2764" s="29" t="s">
        <v>3669</v>
      </c>
      <c r="AH2764" s="29" t="s">
        <v>4140</v>
      </c>
      <c r="AI2764" s="29" t="s">
        <v>3703</v>
      </c>
      <c r="AJ2764" s="29" t="s">
        <v>4141</v>
      </c>
      <c r="AL2764" s="29" t="s">
        <v>3670</v>
      </c>
    </row>
    <row r="2765" spans="27:38">
      <c r="AA2765" s="29" t="s">
        <v>43</v>
      </c>
      <c r="AB2765">
        <v>31200</v>
      </c>
      <c r="AC2765">
        <v>170</v>
      </c>
      <c r="AD2765">
        <v>4</v>
      </c>
      <c r="AE2765">
        <v>45.5</v>
      </c>
      <c r="AF2765">
        <v>45.5</v>
      </c>
      <c r="AG2765" s="29" t="s">
        <v>3669</v>
      </c>
      <c r="AH2765" s="29" t="s">
        <v>4142</v>
      </c>
      <c r="AI2765" s="29" t="s">
        <v>3703</v>
      </c>
      <c r="AJ2765" s="29" t="s">
        <v>4143</v>
      </c>
      <c r="AL2765" s="29" t="s">
        <v>3670</v>
      </c>
    </row>
    <row r="2766" spans="27:38">
      <c r="AA2766" s="29" t="s">
        <v>43</v>
      </c>
      <c r="AB2766">
        <v>31200</v>
      </c>
      <c r="AC2766">
        <v>170</v>
      </c>
      <c r="AD2766">
        <v>4</v>
      </c>
      <c r="AE2766">
        <v>434.49</v>
      </c>
      <c r="AF2766">
        <v>434.49</v>
      </c>
      <c r="AG2766" s="29" t="s">
        <v>3669</v>
      </c>
      <c r="AH2766" s="29" t="s">
        <v>4144</v>
      </c>
      <c r="AI2766" s="29" t="s">
        <v>3703</v>
      </c>
      <c r="AJ2766" s="29" t="s">
        <v>4145</v>
      </c>
      <c r="AL2766" s="29" t="s">
        <v>3670</v>
      </c>
    </row>
    <row r="2767" spans="27:38">
      <c r="AA2767" s="29" t="s">
        <v>43</v>
      </c>
      <c r="AB2767">
        <v>31200</v>
      </c>
      <c r="AC2767">
        <v>170</v>
      </c>
      <c r="AD2767">
        <v>4</v>
      </c>
      <c r="AE2767">
        <v>571.96</v>
      </c>
      <c r="AF2767">
        <v>571.96</v>
      </c>
      <c r="AG2767" s="29" t="s">
        <v>3669</v>
      </c>
      <c r="AH2767" s="29" t="s">
        <v>4146</v>
      </c>
      <c r="AI2767" s="29" t="s">
        <v>3703</v>
      </c>
      <c r="AJ2767" s="29" t="s">
        <v>4147</v>
      </c>
      <c r="AL2767" s="29" t="s">
        <v>3670</v>
      </c>
    </row>
    <row r="2768" spans="27:38">
      <c r="AA2768" s="29" t="s">
        <v>43</v>
      </c>
      <c r="AB2768">
        <v>31200</v>
      </c>
      <c r="AC2768">
        <v>170</v>
      </c>
      <c r="AD2768">
        <v>4</v>
      </c>
      <c r="AE2768">
        <v>1319.72</v>
      </c>
      <c r="AF2768">
        <v>1319.72</v>
      </c>
      <c r="AG2768" s="29" t="s">
        <v>3669</v>
      </c>
      <c r="AH2768" s="29" t="s">
        <v>4148</v>
      </c>
      <c r="AI2768" s="29" t="s">
        <v>3703</v>
      </c>
      <c r="AJ2768" s="29" t="s">
        <v>4149</v>
      </c>
      <c r="AL2768" s="29" t="s">
        <v>3670</v>
      </c>
    </row>
    <row r="2769" spans="27:38">
      <c r="AA2769" s="29" t="s">
        <v>43</v>
      </c>
      <c r="AB2769">
        <v>31200</v>
      </c>
      <c r="AC2769">
        <v>170</v>
      </c>
      <c r="AD2769">
        <v>4</v>
      </c>
      <c r="AE2769">
        <v>440</v>
      </c>
      <c r="AF2769">
        <v>440</v>
      </c>
      <c r="AG2769" s="29" t="s">
        <v>3669</v>
      </c>
      <c r="AH2769" s="29" t="s">
        <v>3698</v>
      </c>
      <c r="AI2769" s="29" t="s">
        <v>3703</v>
      </c>
      <c r="AJ2769" s="29" t="s">
        <v>4150</v>
      </c>
      <c r="AL2769" s="29" t="s">
        <v>3670</v>
      </c>
    </row>
    <row r="2770" spans="27:38">
      <c r="AA2770" s="29" t="s">
        <v>43</v>
      </c>
      <c r="AB2770">
        <v>31200</v>
      </c>
      <c r="AC2770">
        <v>170</v>
      </c>
      <c r="AD2770">
        <v>4</v>
      </c>
      <c r="AE2770">
        <v>1319.72</v>
      </c>
      <c r="AF2770">
        <v>1319.72</v>
      </c>
      <c r="AG2770" s="29" t="s">
        <v>3669</v>
      </c>
      <c r="AH2770" s="29" t="s">
        <v>4148</v>
      </c>
      <c r="AI2770" s="29" t="s">
        <v>3703</v>
      </c>
      <c r="AJ2770" s="29" t="s">
        <v>4149</v>
      </c>
      <c r="AL2770" s="29" t="s">
        <v>3670</v>
      </c>
    </row>
    <row r="2771" spans="27:38">
      <c r="AA2771" s="29" t="s">
        <v>43</v>
      </c>
      <c r="AB2771">
        <v>31200</v>
      </c>
      <c r="AC2771">
        <v>170</v>
      </c>
      <c r="AD2771">
        <v>4</v>
      </c>
      <c r="AE2771">
        <v>52.42</v>
      </c>
      <c r="AF2771">
        <v>52.42</v>
      </c>
      <c r="AG2771" s="29" t="s">
        <v>3669</v>
      </c>
      <c r="AH2771" s="29" t="s">
        <v>4151</v>
      </c>
      <c r="AI2771" s="29" t="s">
        <v>3703</v>
      </c>
      <c r="AJ2771" s="29" t="s">
        <v>4152</v>
      </c>
      <c r="AL2771" s="29" t="s">
        <v>3670</v>
      </c>
    </row>
    <row r="2772" spans="27:38">
      <c r="AA2772" s="29" t="s">
        <v>43</v>
      </c>
      <c r="AB2772">
        <v>31200</v>
      </c>
      <c r="AC2772">
        <v>170</v>
      </c>
      <c r="AD2772">
        <v>4</v>
      </c>
      <c r="AE2772">
        <v>1319.72</v>
      </c>
      <c r="AF2772">
        <v>1319.72</v>
      </c>
      <c r="AG2772" s="29" t="s">
        <v>3669</v>
      </c>
      <c r="AH2772" s="29" t="s">
        <v>4148</v>
      </c>
      <c r="AI2772" s="29" t="s">
        <v>3703</v>
      </c>
      <c r="AJ2772" s="29" t="s">
        <v>4149</v>
      </c>
      <c r="AL2772" s="29" t="s">
        <v>3670</v>
      </c>
    </row>
    <row r="2773" spans="27:38">
      <c r="AA2773" s="29" t="s">
        <v>43</v>
      </c>
      <c r="AB2773">
        <v>31200</v>
      </c>
      <c r="AC2773">
        <v>170</v>
      </c>
      <c r="AD2773">
        <v>4</v>
      </c>
      <c r="AE2773">
        <v>1319.72</v>
      </c>
      <c r="AF2773">
        <v>1319.72</v>
      </c>
      <c r="AG2773" s="29" t="s">
        <v>3669</v>
      </c>
      <c r="AH2773" s="29" t="s">
        <v>4148</v>
      </c>
      <c r="AI2773" s="29" t="s">
        <v>3703</v>
      </c>
      <c r="AJ2773" s="29" t="s">
        <v>4149</v>
      </c>
      <c r="AL2773" s="29" t="s">
        <v>3670</v>
      </c>
    </row>
    <row r="2774" spans="27:38">
      <c r="AA2774" s="29" t="s">
        <v>43</v>
      </c>
      <c r="AB2774">
        <v>31200</v>
      </c>
      <c r="AC2774">
        <v>170</v>
      </c>
      <c r="AD2774">
        <v>4</v>
      </c>
      <c r="AE2774">
        <v>484.34</v>
      </c>
      <c r="AF2774">
        <v>484.34</v>
      </c>
      <c r="AG2774" s="29" t="s">
        <v>3669</v>
      </c>
      <c r="AH2774" s="29" t="s">
        <v>4153</v>
      </c>
      <c r="AI2774" s="29" t="s">
        <v>3703</v>
      </c>
      <c r="AJ2774" s="29" t="s">
        <v>4154</v>
      </c>
      <c r="AL2774" s="29" t="s">
        <v>3670</v>
      </c>
    </row>
    <row r="2775" spans="27:38">
      <c r="AA2775" s="29" t="s">
        <v>43</v>
      </c>
      <c r="AB2775">
        <v>31200</v>
      </c>
      <c r="AC2775">
        <v>170</v>
      </c>
      <c r="AD2775">
        <v>4</v>
      </c>
      <c r="AE2775">
        <v>2392.08</v>
      </c>
      <c r="AF2775">
        <v>2392.08</v>
      </c>
      <c r="AG2775" s="29" t="s">
        <v>3669</v>
      </c>
      <c r="AH2775" s="29" t="s">
        <v>4155</v>
      </c>
      <c r="AI2775" s="29" t="s">
        <v>3703</v>
      </c>
      <c r="AJ2775" s="29" t="s">
        <v>4156</v>
      </c>
      <c r="AL2775" s="29" t="s">
        <v>3670</v>
      </c>
    </row>
    <row r="2776" spans="27:38">
      <c r="AA2776" s="29" t="s">
        <v>43</v>
      </c>
      <c r="AB2776">
        <v>31200</v>
      </c>
      <c r="AC2776">
        <v>170</v>
      </c>
      <c r="AD2776">
        <v>4</v>
      </c>
      <c r="AE2776">
        <v>82.2</v>
      </c>
      <c r="AF2776">
        <v>82.2</v>
      </c>
      <c r="AG2776" s="29" t="s">
        <v>3669</v>
      </c>
      <c r="AH2776" s="29" t="s">
        <v>4157</v>
      </c>
      <c r="AI2776" s="29" t="s">
        <v>3703</v>
      </c>
      <c r="AJ2776" s="29" t="s">
        <v>4158</v>
      </c>
      <c r="AL2776" s="29" t="s">
        <v>3670</v>
      </c>
    </row>
    <row r="2777" spans="27:38">
      <c r="AA2777" s="29" t="s">
        <v>43</v>
      </c>
      <c r="AB2777">
        <v>31200</v>
      </c>
      <c r="AC2777">
        <v>170</v>
      </c>
      <c r="AD2777">
        <v>4</v>
      </c>
      <c r="AE2777">
        <v>546.32000000000005</v>
      </c>
      <c r="AF2777">
        <v>546.32000000000005</v>
      </c>
      <c r="AG2777" s="29" t="s">
        <v>3669</v>
      </c>
      <c r="AH2777" s="29" t="s">
        <v>4159</v>
      </c>
      <c r="AI2777" s="29" t="s">
        <v>3703</v>
      </c>
      <c r="AJ2777" s="29" t="s">
        <v>4160</v>
      </c>
      <c r="AL2777" s="29" t="s">
        <v>3670</v>
      </c>
    </row>
    <row r="2778" spans="27:38">
      <c r="AA2778" s="29" t="s">
        <v>43</v>
      </c>
      <c r="AB2778">
        <v>31200</v>
      </c>
      <c r="AC2778">
        <v>170</v>
      </c>
      <c r="AD2778">
        <v>4</v>
      </c>
      <c r="AE2778">
        <v>1216</v>
      </c>
      <c r="AF2778">
        <v>1216</v>
      </c>
      <c r="AG2778" s="29" t="s">
        <v>3669</v>
      </c>
      <c r="AH2778" s="29" t="s">
        <v>4161</v>
      </c>
      <c r="AI2778" s="29" t="s">
        <v>3703</v>
      </c>
      <c r="AJ2778" s="29" t="s">
        <v>4162</v>
      </c>
      <c r="AL2778" s="29" t="s">
        <v>3670</v>
      </c>
    </row>
    <row r="2779" spans="27:38">
      <c r="AA2779" s="29" t="s">
        <v>43</v>
      </c>
      <c r="AB2779">
        <v>31200</v>
      </c>
      <c r="AC2779">
        <v>170</v>
      </c>
      <c r="AD2779">
        <v>4</v>
      </c>
      <c r="AE2779">
        <v>39</v>
      </c>
      <c r="AF2779">
        <v>39</v>
      </c>
      <c r="AG2779" s="29" t="s">
        <v>3669</v>
      </c>
      <c r="AH2779" s="29" t="s">
        <v>4163</v>
      </c>
      <c r="AI2779" s="29" t="s">
        <v>3703</v>
      </c>
      <c r="AJ2779" s="29" t="s">
        <v>4164</v>
      </c>
      <c r="AL2779" s="29" t="s">
        <v>3670</v>
      </c>
    </row>
    <row r="2780" spans="27:38">
      <c r="AA2780" s="29" t="s">
        <v>43</v>
      </c>
      <c r="AB2780">
        <v>31200</v>
      </c>
      <c r="AC2780">
        <v>170</v>
      </c>
      <c r="AD2780">
        <v>4</v>
      </c>
      <c r="AE2780">
        <v>3.6</v>
      </c>
      <c r="AF2780">
        <v>3.6</v>
      </c>
      <c r="AG2780" s="29" t="s">
        <v>3669</v>
      </c>
      <c r="AH2780" s="29" t="s">
        <v>3890</v>
      </c>
      <c r="AI2780" s="29" t="s">
        <v>3703</v>
      </c>
      <c r="AJ2780" s="29" t="s">
        <v>2897</v>
      </c>
      <c r="AL2780" s="29" t="s">
        <v>3670</v>
      </c>
    </row>
    <row r="2781" spans="27:38">
      <c r="AA2781" s="29" t="s">
        <v>43</v>
      </c>
      <c r="AB2781">
        <v>31200</v>
      </c>
      <c r="AC2781">
        <v>170</v>
      </c>
      <c r="AD2781">
        <v>4</v>
      </c>
      <c r="AE2781">
        <v>9</v>
      </c>
      <c r="AF2781">
        <v>9</v>
      </c>
      <c r="AG2781" s="29" t="s">
        <v>3669</v>
      </c>
      <c r="AH2781" s="29" t="s">
        <v>4165</v>
      </c>
      <c r="AI2781" s="29" t="s">
        <v>3703</v>
      </c>
      <c r="AJ2781" s="29" t="s">
        <v>4166</v>
      </c>
      <c r="AL2781" s="29" t="s">
        <v>3670</v>
      </c>
    </row>
    <row r="2782" spans="27:38">
      <c r="AA2782" s="29" t="s">
        <v>43</v>
      </c>
      <c r="AB2782">
        <v>31200</v>
      </c>
      <c r="AC2782">
        <v>170</v>
      </c>
      <c r="AD2782">
        <v>4</v>
      </c>
      <c r="AE2782">
        <v>8.58</v>
      </c>
      <c r="AF2782">
        <v>8.58</v>
      </c>
      <c r="AG2782" s="29" t="s">
        <v>3669</v>
      </c>
      <c r="AH2782" s="29" t="s">
        <v>4167</v>
      </c>
      <c r="AI2782" s="29" t="s">
        <v>3703</v>
      </c>
      <c r="AJ2782" s="29" t="s">
        <v>4168</v>
      </c>
      <c r="AL2782" s="29" t="s">
        <v>3670</v>
      </c>
    </row>
    <row r="2783" spans="27:38">
      <c r="AA2783" s="29" t="s">
        <v>43</v>
      </c>
      <c r="AB2783">
        <v>31200</v>
      </c>
      <c r="AC2783">
        <v>170</v>
      </c>
      <c r="AD2783">
        <v>4</v>
      </c>
      <c r="AE2783">
        <v>0</v>
      </c>
      <c r="AF2783">
        <v>0</v>
      </c>
      <c r="AG2783" s="29" t="s">
        <v>3669</v>
      </c>
      <c r="AH2783" s="29" t="s">
        <v>3673</v>
      </c>
      <c r="AI2783" s="29" t="s">
        <v>3703</v>
      </c>
      <c r="AJ2783" s="29" t="s">
        <v>824</v>
      </c>
      <c r="AL2783" s="29" t="s">
        <v>3670</v>
      </c>
    </row>
    <row r="2784" spans="27:38">
      <c r="AA2784" s="29" t="s">
        <v>43</v>
      </c>
      <c r="AB2784">
        <v>31200</v>
      </c>
      <c r="AC2784">
        <v>170</v>
      </c>
      <c r="AD2784">
        <v>4</v>
      </c>
      <c r="AE2784">
        <v>104.8</v>
      </c>
      <c r="AF2784">
        <v>104.8</v>
      </c>
      <c r="AG2784" s="29" t="s">
        <v>3669</v>
      </c>
      <c r="AH2784" s="29" t="s">
        <v>4169</v>
      </c>
      <c r="AI2784" s="29" t="s">
        <v>3703</v>
      </c>
      <c r="AJ2784" s="29" t="s">
        <v>4170</v>
      </c>
      <c r="AL2784" s="29" t="s">
        <v>3670</v>
      </c>
    </row>
    <row r="2785" spans="27:38">
      <c r="AA2785" s="29" t="s">
        <v>43</v>
      </c>
      <c r="AB2785">
        <v>31200</v>
      </c>
      <c r="AC2785">
        <v>170</v>
      </c>
      <c r="AD2785">
        <v>4</v>
      </c>
      <c r="AE2785">
        <v>1.1000000000000001</v>
      </c>
      <c r="AF2785">
        <v>1.1000000000000001</v>
      </c>
      <c r="AG2785" s="29" t="s">
        <v>3669</v>
      </c>
      <c r="AH2785" s="29" t="s">
        <v>4017</v>
      </c>
      <c r="AI2785" s="29" t="s">
        <v>3703</v>
      </c>
      <c r="AJ2785" s="29" t="s">
        <v>821</v>
      </c>
      <c r="AL2785" s="29" t="s">
        <v>3670</v>
      </c>
    </row>
    <row r="2786" spans="27:38">
      <c r="AA2786" s="29" t="s">
        <v>43</v>
      </c>
      <c r="AB2786">
        <v>31200</v>
      </c>
      <c r="AC2786">
        <v>170</v>
      </c>
      <c r="AD2786">
        <v>4</v>
      </c>
      <c r="AE2786">
        <v>22.1</v>
      </c>
      <c r="AF2786">
        <v>22.1</v>
      </c>
      <c r="AG2786" s="29" t="s">
        <v>3669</v>
      </c>
      <c r="AH2786" s="29" t="s">
        <v>4171</v>
      </c>
      <c r="AI2786" s="29" t="s">
        <v>3703</v>
      </c>
      <c r="AJ2786" s="29" t="s">
        <v>4172</v>
      </c>
      <c r="AL2786" s="29" t="s">
        <v>3670</v>
      </c>
    </row>
    <row r="2787" spans="27:38">
      <c r="AA2787" s="29" t="s">
        <v>43</v>
      </c>
      <c r="AB2787">
        <v>31200</v>
      </c>
      <c r="AC2787">
        <v>170</v>
      </c>
      <c r="AD2787">
        <v>4</v>
      </c>
      <c r="AE2787">
        <v>1.1200000000000001</v>
      </c>
      <c r="AF2787">
        <v>1.1200000000000001</v>
      </c>
      <c r="AG2787" s="29" t="s">
        <v>3669</v>
      </c>
      <c r="AH2787" s="29" t="s">
        <v>4031</v>
      </c>
      <c r="AI2787" s="29" t="s">
        <v>3703</v>
      </c>
      <c r="AJ2787" s="29" t="s">
        <v>4173</v>
      </c>
      <c r="AL2787" s="29" t="s">
        <v>3670</v>
      </c>
    </row>
    <row r="2788" spans="27:38">
      <c r="AA2788" s="29" t="s">
        <v>43</v>
      </c>
      <c r="AB2788">
        <v>31200</v>
      </c>
      <c r="AC2788">
        <v>170</v>
      </c>
      <c r="AD2788">
        <v>4</v>
      </c>
      <c r="AE2788">
        <v>2.7</v>
      </c>
      <c r="AF2788">
        <v>2.7</v>
      </c>
      <c r="AG2788" s="29" t="s">
        <v>3669</v>
      </c>
      <c r="AH2788" s="29" t="s">
        <v>3904</v>
      </c>
      <c r="AI2788" s="29" t="s">
        <v>3703</v>
      </c>
      <c r="AJ2788" s="29" t="s">
        <v>4174</v>
      </c>
      <c r="AL2788" s="29" t="s">
        <v>3670</v>
      </c>
    </row>
    <row r="2789" spans="27:38">
      <c r="AA2789" s="29" t="s">
        <v>43</v>
      </c>
      <c r="AB2789">
        <v>31200</v>
      </c>
      <c r="AC2789">
        <v>170</v>
      </c>
      <c r="AD2789">
        <v>4</v>
      </c>
      <c r="AE2789">
        <v>1018.05</v>
      </c>
      <c r="AF2789">
        <v>1018.05</v>
      </c>
      <c r="AG2789" s="29" t="s">
        <v>3669</v>
      </c>
      <c r="AH2789" s="29" t="s">
        <v>4175</v>
      </c>
      <c r="AI2789" s="29" t="s">
        <v>3703</v>
      </c>
      <c r="AJ2789" s="29" t="s">
        <v>4176</v>
      </c>
      <c r="AL2789" s="29" t="s">
        <v>3670</v>
      </c>
    </row>
    <row r="2790" spans="27:38">
      <c r="AA2790" s="29" t="s">
        <v>43</v>
      </c>
      <c r="AB2790">
        <v>31200</v>
      </c>
      <c r="AC2790">
        <v>170</v>
      </c>
      <c r="AD2790">
        <v>4</v>
      </c>
      <c r="AE2790">
        <v>7.56</v>
      </c>
      <c r="AF2790">
        <v>7.56</v>
      </c>
      <c r="AG2790" s="29" t="s">
        <v>3669</v>
      </c>
      <c r="AH2790" s="29" t="s">
        <v>4177</v>
      </c>
      <c r="AI2790" s="29" t="s">
        <v>3703</v>
      </c>
      <c r="AJ2790" s="29" t="s">
        <v>4178</v>
      </c>
      <c r="AL2790" s="29" t="s">
        <v>3670</v>
      </c>
    </row>
    <row r="2791" spans="27:38">
      <c r="AA2791" s="29" t="s">
        <v>43</v>
      </c>
      <c r="AB2791">
        <v>31200</v>
      </c>
      <c r="AC2791">
        <v>170</v>
      </c>
      <c r="AD2791">
        <v>4</v>
      </c>
      <c r="AE2791">
        <v>115</v>
      </c>
      <c r="AF2791">
        <v>115</v>
      </c>
      <c r="AG2791" s="29" t="s">
        <v>3669</v>
      </c>
      <c r="AH2791" s="29" t="s">
        <v>4179</v>
      </c>
      <c r="AI2791" s="29" t="s">
        <v>3703</v>
      </c>
      <c r="AJ2791" s="29" t="s">
        <v>4180</v>
      </c>
      <c r="AL2791" s="29" t="s">
        <v>3670</v>
      </c>
    </row>
    <row r="2792" spans="27:38">
      <c r="AA2792" s="29" t="s">
        <v>43</v>
      </c>
      <c r="AB2792">
        <v>31200</v>
      </c>
      <c r="AC2792">
        <v>170</v>
      </c>
      <c r="AD2792">
        <v>4</v>
      </c>
      <c r="AE2792">
        <v>45.43</v>
      </c>
      <c r="AF2792">
        <v>45.43</v>
      </c>
      <c r="AG2792" s="29" t="s">
        <v>3669</v>
      </c>
      <c r="AH2792" s="29" t="s">
        <v>4181</v>
      </c>
      <c r="AI2792" s="29" t="s">
        <v>3703</v>
      </c>
      <c r="AJ2792" s="29" t="s">
        <v>4182</v>
      </c>
      <c r="AL2792" s="29" t="s">
        <v>3670</v>
      </c>
    </row>
    <row r="2793" spans="27:38">
      <c r="AA2793" s="29" t="s">
        <v>43</v>
      </c>
      <c r="AB2793">
        <v>31200</v>
      </c>
      <c r="AC2793">
        <v>170</v>
      </c>
      <c r="AD2793">
        <v>4</v>
      </c>
      <c r="AE2793">
        <v>1687</v>
      </c>
      <c r="AF2793">
        <v>1687</v>
      </c>
      <c r="AG2793" s="29" t="s">
        <v>3669</v>
      </c>
      <c r="AH2793" s="29" t="s">
        <v>4006</v>
      </c>
      <c r="AI2793" s="29" t="s">
        <v>3703</v>
      </c>
      <c r="AJ2793" s="29" t="s">
        <v>4007</v>
      </c>
      <c r="AL2793" s="29" t="s">
        <v>3670</v>
      </c>
    </row>
    <row r="2794" spans="27:38">
      <c r="AA2794" s="29" t="s">
        <v>43</v>
      </c>
      <c r="AB2794">
        <v>31200</v>
      </c>
      <c r="AC2794">
        <v>170</v>
      </c>
      <c r="AD2794">
        <v>4</v>
      </c>
      <c r="AE2794">
        <v>2169</v>
      </c>
      <c r="AF2794">
        <v>2169</v>
      </c>
      <c r="AG2794" s="29" t="s">
        <v>3669</v>
      </c>
      <c r="AH2794" s="29" t="s">
        <v>4183</v>
      </c>
      <c r="AI2794" s="29" t="s">
        <v>3703</v>
      </c>
      <c r="AJ2794" s="29" t="s">
        <v>4184</v>
      </c>
      <c r="AL2794" s="29" t="s">
        <v>3670</v>
      </c>
    </row>
    <row r="2795" spans="27:38">
      <c r="AA2795" s="29" t="s">
        <v>43</v>
      </c>
      <c r="AB2795">
        <v>31200</v>
      </c>
      <c r="AC2795">
        <v>170</v>
      </c>
      <c r="AD2795">
        <v>4</v>
      </c>
      <c r="AE2795">
        <v>319.5</v>
      </c>
      <c r="AF2795">
        <v>319.5</v>
      </c>
      <c r="AG2795" s="29" t="s">
        <v>3669</v>
      </c>
      <c r="AH2795" s="29" t="s">
        <v>4185</v>
      </c>
      <c r="AI2795" s="29" t="s">
        <v>3703</v>
      </c>
      <c r="AJ2795" s="29" t="s">
        <v>4186</v>
      </c>
      <c r="AL2795" s="29" t="s">
        <v>3670</v>
      </c>
    </row>
    <row r="2796" spans="27:38">
      <c r="AA2796" s="29" t="s">
        <v>43</v>
      </c>
      <c r="AB2796">
        <v>31200</v>
      </c>
      <c r="AC2796">
        <v>170</v>
      </c>
      <c r="AD2796">
        <v>4</v>
      </c>
      <c r="AE2796">
        <v>15.45</v>
      </c>
      <c r="AF2796">
        <v>15.45</v>
      </c>
      <c r="AG2796" s="29" t="s">
        <v>3669</v>
      </c>
      <c r="AH2796" s="29" t="s">
        <v>4001</v>
      </c>
      <c r="AI2796" s="29" t="s">
        <v>3703</v>
      </c>
      <c r="AJ2796" s="29" t="s">
        <v>2756</v>
      </c>
      <c r="AL2796" s="29" t="s">
        <v>3670</v>
      </c>
    </row>
    <row r="2797" spans="27:38">
      <c r="AA2797" s="29" t="s">
        <v>43</v>
      </c>
      <c r="AB2797">
        <v>31200</v>
      </c>
      <c r="AC2797">
        <v>170</v>
      </c>
      <c r="AD2797">
        <v>4</v>
      </c>
      <c r="AE2797">
        <v>0</v>
      </c>
      <c r="AF2797">
        <v>0</v>
      </c>
      <c r="AG2797" s="29" t="s">
        <v>3669</v>
      </c>
      <c r="AH2797" s="29" t="s">
        <v>3673</v>
      </c>
      <c r="AI2797" s="29" t="s">
        <v>3703</v>
      </c>
      <c r="AJ2797" s="29" t="s">
        <v>4187</v>
      </c>
      <c r="AL2797" s="29" t="s">
        <v>3670</v>
      </c>
    </row>
    <row r="2798" spans="27:38">
      <c r="AA2798" s="29" t="s">
        <v>43</v>
      </c>
      <c r="AB2798">
        <v>31200</v>
      </c>
      <c r="AC2798">
        <v>170</v>
      </c>
      <c r="AD2798">
        <v>4</v>
      </c>
      <c r="AE2798">
        <v>44.2</v>
      </c>
      <c r="AF2798">
        <v>44.2</v>
      </c>
      <c r="AG2798" s="29" t="s">
        <v>3669</v>
      </c>
      <c r="AH2798" s="29" t="s">
        <v>4188</v>
      </c>
      <c r="AI2798" s="29" t="s">
        <v>3703</v>
      </c>
      <c r="AJ2798" s="29" t="s">
        <v>4189</v>
      </c>
      <c r="AL2798" s="29" t="s">
        <v>3670</v>
      </c>
    </row>
    <row r="2799" spans="27:38">
      <c r="AA2799" s="29" t="s">
        <v>43</v>
      </c>
      <c r="AB2799">
        <v>31200</v>
      </c>
      <c r="AC2799">
        <v>170</v>
      </c>
      <c r="AD2799">
        <v>4</v>
      </c>
      <c r="AE2799">
        <v>800</v>
      </c>
      <c r="AF2799">
        <v>800</v>
      </c>
      <c r="AG2799" s="29" t="s">
        <v>3669</v>
      </c>
      <c r="AH2799" s="29" t="s">
        <v>4190</v>
      </c>
      <c r="AI2799" s="29" t="s">
        <v>3703</v>
      </c>
      <c r="AJ2799" s="29" t="s">
        <v>4191</v>
      </c>
      <c r="AL2799" s="29" t="s">
        <v>3670</v>
      </c>
    </row>
    <row r="2800" spans="27:38">
      <c r="AA2800" s="29" t="s">
        <v>43</v>
      </c>
      <c r="AB2800">
        <v>31200</v>
      </c>
      <c r="AC2800">
        <v>170</v>
      </c>
      <c r="AD2800">
        <v>4</v>
      </c>
      <c r="AE2800">
        <v>470</v>
      </c>
      <c r="AF2800">
        <v>470</v>
      </c>
      <c r="AG2800" s="29" t="s">
        <v>3669</v>
      </c>
      <c r="AH2800" s="29" t="s">
        <v>4192</v>
      </c>
      <c r="AI2800" s="29" t="s">
        <v>3703</v>
      </c>
      <c r="AJ2800" s="29" t="s">
        <v>4193</v>
      </c>
      <c r="AL2800" s="29" t="s">
        <v>3670</v>
      </c>
    </row>
    <row r="2801" spans="27:38">
      <c r="AA2801" s="29" t="s">
        <v>43</v>
      </c>
      <c r="AB2801">
        <v>31200</v>
      </c>
      <c r="AC2801">
        <v>170</v>
      </c>
      <c r="AD2801">
        <v>4</v>
      </c>
      <c r="AE2801">
        <v>0.17</v>
      </c>
      <c r="AF2801">
        <v>0.17</v>
      </c>
      <c r="AG2801" s="29" t="s">
        <v>3669</v>
      </c>
      <c r="AH2801" s="29" t="s">
        <v>3785</v>
      </c>
      <c r="AI2801" s="29" t="s">
        <v>3703</v>
      </c>
      <c r="AJ2801" s="29" t="s">
        <v>4194</v>
      </c>
      <c r="AL2801" s="29" t="s">
        <v>3670</v>
      </c>
    </row>
    <row r="2802" spans="27:38">
      <c r="AA2802" s="29" t="s">
        <v>43</v>
      </c>
      <c r="AB2802">
        <v>31200</v>
      </c>
      <c r="AC2802">
        <v>170</v>
      </c>
      <c r="AD2802">
        <v>4</v>
      </c>
      <c r="AE2802">
        <v>1.4</v>
      </c>
      <c r="AF2802">
        <v>1.4</v>
      </c>
      <c r="AG2802" s="29" t="s">
        <v>3669</v>
      </c>
      <c r="AH2802" s="29" t="s">
        <v>3969</v>
      </c>
      <c r="AI2802" s="29" t="s">
        <v>3703</v>
      </c>
      <c r="AJ2802" s="29" t="s">
        <v>3970</v>
      </c>
      <c r="AL2802" s="29" t="s">
        <v>3670</v>
      </c>
    </row>
    <row r="2803" spans="27:38">
      <c r="AA2803" s="29" t="s">
        <v>43</v>
      </c>
      <c r="AB2803">
        <v>31200</v>
      </c>
      <c r="AC2803">
        <v>170</v>
      </c>
      <c r="AD2803">
        <v>4</v>
      </c>
      <c r="AE2803">
        <v>4.4000000000000004</v>
      </c>
      <c r="AF2803">
        <v>4.4000000000000004</v>
      </c>
      <c r="AG2803" s="29" t="s">
        <v>3669</v>
      </c>
      <c r="AH2803" s="29" t="s">
        <v>4195</v>
      </c>
      <c r="AI2803" s="29" t="s">
        <v>3703</v>
      </c>
      <c r="AJ2803" s="29" t="s">
        <v>4196</v>
      </c>
      <c r="AL2803" s="29" t="s">
        <v>3670</v>
      </c>
    </row>
    <row r="2804" spans="27:38">
      <c r="AA2804" s="29" t="s">
        <v>43</v>
      </c>
      <c r="AB2804">
        <v>31200</v>
      </c>
      <c r="AC2804">
        <v>170</v>
      </c>
      <c r="AD2804">
        <v>4</v>
      </c>
      <c r="AE2804">
        <v>0.44</v>
      </c>
      <c r="AF2804">
        <v>0.44</v>
      </c>
      <c r="AG2804" s="29" t="s">
        <v>3669</v>
      </c>
      <c r="AH2804" s="29" t="s">
        <v>3799</v>
      </c>
      <c r="AI2804" s="29" t="s">
        <v>3703</v>
      </c>
      <c r="AJ2804" s="29" t="s">
        <v>4197</v>
      </c>
      <c r="AL2804" s="29" t="s">
        <v>3670</v>
      </c>
    </row>
    <row r="2805" spans="27:38">
      <c r="AA2805" s="29" t="s">
        <v>43</v>
      </c>
      <c r="AB2805">
        <v>31200</v>
      </c>
      <c r="AC2805">
        <v>170</v>
      </c>
      <c r="AD2805">
        <v>4</v>
      </c>
      <c r="AE2805">
        <v>7.29</v>
      </c>
      <c r="AF2805">
        <v>7.29</v>
      </c>
      <c r="AG2805" s="29" t="s">
        <v>3669</v>
      </c>
      <c r="AH2805" s="29" t="s">
        <v>4198</v>
      </c>
      <c r="AI2805" s="29" t="s">
        <v>3703</v>
      </c>
      <c r="AJ2805" s="29" t="s">
        <v>4199</v>
      </c>
      <c r="AL2805" s="29" t="s">
        <v>3670</v>
      </c>
    </row>
    <row r="2806" spans="27:38">
      <c r="AA2806" s="29" t="s">
        <v>43</v>
      </c>
      <c r="AB2806">
        <v>31200</v>
      </c>
      <c r="AC2806">
        <v>170</v>
      </c>
      <c r="AD2806">
        <v>4</v>
      </c>
      <c r="AE2806">
        <v>13.92</v>
      </c>
      <c r="AF2806">
        <v>13.92</v>
      </c>
      <c r="AG2806" s="29" t="s">
        <v>3669</v>
      </c>
      <c r="AH2806" s="29" t="s">
        <v>4200</v>
      </c>
      <c r="AI2806" s="29" t="s">
        <v>3703</v>
      </c>
      <c r="AJ2806" s="29" t="s">
        <v>4201</v>
      </c>
      <c r="AL2806" s="29" t="s">
        <v>3670</v>
      </c>
    </row>
    <row r="2807" spans="27:38">
      <c r="AA2807" s="29" t="s">
        <v>43</v>
      </c>
      <c r="AB2807">
        <v>31200</v>
      </c>
      <c r="AC2807">
        <v>170</v>
      </c>
      <c r="AD2807">
        <v>4</v>
      </c>
      <c r="AE2807">
        <v>47.5</v>
      </c>
      <c r="AF2807">
        <v>47.5</v>
      </c>
      <c r="AG2807" s="29" t="s">
        <v>3669</v>
      </c>
      <c r="AH2807" s="29" t="s">
        <v>3886</v>
      </c>
      <c r="AI2807" s="29" t="s">
        <v>3703</v>
      </c>
      <c r="AJ2807" s="29" t="s">
        <v>3887</v>
      </c>
      <c r="AL2807" s="29" t="s">
        <v>3670</v>
      </c>
    </row>
    <row r="2808" spans="27:38">
      <c r="AA2808" s="29" t="s">
        <v>43</v>
      </c>
      <c r="AB2808">
        <v>31200</v>
      </c>
      <c r="AC2808">
        <v>170</v>
      </c>
      <c r="AD2808">
        <v>4</v>
      </c>
      <c r="AE2808">
        <v>54.55</v>
      </c>
      <c r="AF2808">
        <v>54.55</v>
      </c>
      <c r="AG2808" s="29" t="s">
        <v>3669</v>
      </c>
      <c r="AH2808" s="29" t="s">
        <v>4202</v>
      </c>
      <c r="AI2808" s="29" t="s">
        <v>3703</v>
      </c>
      <c r="AJ2808" s="29" t="s">
        <v>4203</v>
      </c>
      <c r="AL2808" s="29" t="s">
        <v>3670</v>
      </c>
    </row>
    <row r="2809" spans="27:38">
      <c r="AA2809" s="29" t="s">
        <v>43</v>
      </c>
      <c r="AB2809">
        <v>31200</v>
      </c>
      <c r="AC2809">
        <v>170</v>
      </c>
      <c r="AD2809">
        <v>4</v>
      </c>
      <c r="AE2809">
        <v>0</v>
      </c>
      <c r="AF2809">
        <v>0</v>
      </c>
      <c r="AG2809" s="29" t="s">
        <v>3669</v>
      </c>
      <c r="AH2809" s="29" t="s">
        <v>3673</v>
      </c>
      <c r="AI2809" s="29" t="s">
        <v>3703</v>
      </c>
      <c r="AJ2809" s="29" t="s">
        <v>824</v>
      </c>
      <c r="AL2809" s="29" t="s">
        <v>3670</v>
      </c>
    </row>
    <row r="2810" spans="27:38">
      <c r="AA2810" s="29" t="s">
        <v>43</v>
      </c>
      <c r="AB2810">
        <v>31200</v>
      </c>
      <c r="AC2810">
        <v>170</v>
      </c>
      <c r="AD2810">
        <v>4</v>
      </c>
      <c r="AE2810">
        <v>43.64</v>
      </c>
      <c r="AF2810">
        <v>43.64</v>
      </c>
      <c r="AG2810" s="29" t="s">
        <v>3669</v>
      </c>
      <c r="AH2810" s="29" t="s">
        <v>4204</v>
      </c>
      <c r="AI2810" s="29" t="s">
        <v>3703</v>
      </c>
      <c r="AJ2810" s="29" t="s">
        <v>4205</v>
      </c>
      <c r="AL2810" s="29" t="s">
        <v>3670</v>
      </c>
    </row>
    <row r="2811" spans="27:38">
      <c r="AA2811" s="29" t="s">
        <v>43</v>
      </c>
      <c r="AB2811">
        <v>31200</v>
      </c>
      <c r="AC2811">
        <v>170</v>
      </c>
      <c r="AD2811">
        <v>4</v>
      </c>
      <c r="AE2811">
        <v>3.3</v>
      </c>
      <c r="AF2811">
        <v>3.3</v>
      </c>
      <c r="AG2811" s="29" t="s">
        <v>3669</v>
      </c>
      <c r="AH2811" s="29" t="s">
        <v>4206</v>
      </c>
      <c r="AI2811" s="29" t="s">
        <v>3703</v>
      </c>
      <c r="AJ2811" s="29" t="s">
        <v>4207</v>
      </c>
      <c r="AL2811" s="29" t="s">
        <v>3670</v>
      </c>
    </row>
    <row r="2812" spans="27:38">
      <c r="AA2812" s="29" t="s">
        <v>43</v>
      </c>
      <c r="AB2812">
        <v>31200</v>
      </c>
      <c r="AC2812">
        <v>170</v>
      </c>
      <c r="AD2812">
        <v>4</v>
      </c>
      <c r="AE2812">
        <v>26</v>
      </c>
      <c r="AF2812">
        <v>26</v>
      </c>
      <c r="AG2812" s="29" t="s">
        <v>3669</v>
      </c>
      <c r="AH2812" s="29" t="s">
        <v>4109</v>
      </c>
      <c r="AI2812" s="29" t="s">
        <v>3703</v>
      </c>
      <c r="AJ2812" s="29" t="s">
        <v>4208</v>
      </c>
      <c r="AL2812" s="29" t="s">
        <v>3670</v>
      </c>
    </row>
    <row r="2813" spans="27:38">
      <c r="AA2813" s="29" t="s">
        <v>43</v>
      </c>
      <c r="AB2813">
        <v>31200</v>
      </c>
      <c r="AC2813">
        <v>170</v>
      </c>
      <c r="AD2813">
        <v>4</v>
      </c>
      <c r="AE2813">
        <v>0</v>
      </c>
      <c r="AF2813">
        <v>0</v>
      </c>
      <c r="AG2813" s="29" t="s">
        <v>3669</v>
      </c>
      <c r="AH2813" s="29" t="s">
        <v>3673</v>
      </c>
      <c r="AI2813" s="29" t="s">
        <v>3703</v>
      </c>
      <c r="AJ2813" s="29" t="s">
        <v>4209</v>
      </c>
      <c r="AL2813" s="29" t="s">
        <v>3670</v>
      </c>
    </row>
    <row r="2814" spans="27:38">
      <c r="AA2814" s="29" t="s">
        <v>43</v>
      </c>
      <c r="AB2814">
        <v>31200</v>
      </c>
      <c r="AC2814">
        <v>170</v>
      </c>
      <c r="AD2814">
        <v>4</v>
      </c>
      <c r="AE2814">
        <v>61.8</v>
      </c>
      <c r="AF2814">
        <v>61.8</v>
      </c>
      <c r="AG2814" s="29" t="s">
        <v>3669</v>
      </c>
      <c r="AH2814" s="29" t="s">
        <v>4210</v>
      </c>
      <c r="AI2814" s="29" t="s">
        <v>3703</v>
      </c>
      <c r="AJ2814" s="29" t="s">
        <v>4211</v>
      </c>
      <c r="AL2814" s="29" t="s">
        <v>3670</v>
      </c>
    </row>
    <row r="2815" spans="27:38">
      <c r="AA2815" s="29" t="s">
        <v>43</v>
      </c>
      <c r="AB2815">
        <v>31200</v>
      </c>
      <c r="AC2815">
        <v>170</v>
      </c>
      <c r="AD2815">
        <v>4</v>
      </c>
      <c r="AE2815">
        <v>26.3</v>
      </c>
      <c r="AF2815">
        <v>26.3</v>
      </c>
      <c r="AG2815" s="29" t="s">
        <v>3669</v>
      </c>
      <c r="AH2815" s="29" t="s">
        <v>4212</v>
      </c>
      <c r="AI2815" s="29" t="s">
        <v>3703</v>
      </c>
      <c r="AJ2815" s="29" t="s">
        <v>4213</v>
      </c>
      <c r="AL2815" s="29" t="s">
        <v>3670</v>
      </c>
    </row>
    <row r="2816" spans="27:38">
      <c r="AA2816" s="29" t="s">
        <v>43</v>
      </c>
      <c r="AB2816">
        <v>31200</v>
      </c>
      <c r="AC2816">
        <v>170</v>
      </c>
      <c r="AD2816">
        <v>4</v>
      </c>
      <c r="AE2816">
        <v>105.2</v>
      </c>
      <c r="AF2816">
        <v>105.2</v>
      </c>
      <c r="AG2816" s="29" t="s">
        <v>3669</v>
      </c>
      <c r="AH2816" s="29" t="s">
        <v>4214</v>
      </c>
      <c r="AI2816" s="29" t="s">
        <v>3703</v>
      </c>
      <c r="AJ2816" s="29" t="s">
        <v>4215</v>
      </c>
      <c r="AL2816" s="29" t="s">
        <v>3670</v>
      </c>
    </row>
    <row r="2817" spans="27:38">
      <c r="AA2817" s="29" t="s">
        <v>43</v>
      </c>
      <c r="AB2817">
        <v>31200</v>
      </c>
      <c r="AC2817">
        <v>170</v>
      </c>
      <c r="AD2817">
        <v>4</v>
      </c>
      <c r="AE2817">
        <v>479.9</v>
      </c>
      <c r="AF2817">
        <v>479.9</v>
      </c>
      <c r="AG2817" s="29" t="s">
        <v>3669</v>
      </c>
      <c r="AH2817" s="29" t="s">
        <v>4216</v>
      </c>
      <c r="AI2817" s="29" t="s">
        <v>3703</v>
      </c>
      <c r="AJ2817" s="29" t="s">
        <v>4217</v>
      </c>
      <c r="AL2817" s="29" t="s">
        <v>3670</v>
      </c>
    </row>
    <row r="2818" spans="27:38">
      <c r="AA2818" s="29" t="s">
        <v>43</v>
      </c>
      <c r="AB2818">
        <v>31200</v>
      </c>
      <c r="AC2818">
        <v>170</v>
      </c>
      <c r="AD2818">
        <v>4</v>
      </c>
      <c r="AE2818">
        <v>959.8</v>
      </c>
      <c r="AF2818">
        <v>959.8</v>
      </c>
      <c r="AG2818" s="29" t="s">
        <v>3669</v>
      </c>
      <c r="AH2818" s="29" t="s">
        <v>4218</v>
      </c>
      <c r="AI2818" s="29" t="s">
        <v>3703</v>
      </c>
      <c r="AJ2818" s="29" t="s">
        <v>4219</v>
      </c>
      <c r="AL2818" s="29" t="s">
        <v>3670</v>
      </c>
    </row>
    <row r="2819" spans="27:38">
      <c r="AA2819" s="29" t="s">
        <v>43</v>
      </c>
      <c r="AB2819">
        <v>31200</v>
      </c>
      <c r="AC2819">
        <v>170</v>
      </c>
      <c r="AD2819">
        <v>4</v>
      </c>
      <c r="AE2819">
        <v>711.71</v>
      </c>
      <c r="AF2819">
        <v>711.71</v>
      </c>
      <c r="AG2819" s="29" t="s">
        <v>3669</v>
      </c>
      <c r="AH2819" s="29" t="s">
        <v>4220</v>
      </c>
      <c r="AI2819" s="29" t="s">
        <v>3703</v>
      </c>
      <c r="AJ2819" s="29" t="s">
        <v>4221</v>
      </c>
      <c r="AL2819" s="29" t="s">
        <v>3670</v>
      </c>
    </row>
    <row r="2820" spans="27:38">
      <c r="AA2820" s="29" t="s">
        <v>43</v>
      </c>
      <c r="AB2820">
        <v>31200</v>
      </c>
      <c r="AC2820">
        <v>170</v>
      </c>
      <c r="AD2820">
        <v>4</v>
      </c>
      <c r="AE2820">
        <v>215.56</v>
      </c>
      <c r="AF2820">
        <v>215.56</v>
      </c>
      <c r="AG2820" s="29" t="s">
        <v>3669</v>
      </c>
      <c r="AH2820" s="29" t="s">
        <v>4222</v>
      </c>
      <c r="AI2820" s="29" t="s">
        <v>3703</v>
      </c>
      <c r="AJ2820" s="29" t="s">
        <v>4223</v>
      </c>
      <c r="AL2820" s="29" t="s">
        <v>3670</v>
      </c>
    </row>
    <row r="2821" spans="27:38">
      <c r="AA2821" s="29" t="s">
        <v>43</v>
      </c>
      <c r="AB2821">
        <v>31200</v>
      </c>
      <c r="AC2821">
        <v>170</v>
      </c>
      <c r="AD2821">
        <v>4</v>
      </c>
      <c r="AE2821">
        <v>1163.52</v>
      </c>
      <c r="AF2821">
        <v>1163.52</v>
      </c>
      <c r="AG2821" s="29" t="s">
        <v>3669</v>
      </c>
      <c r="AH2821" s="29" t="s">
        <v>4224</v>
      </c>
      <c r="AI2821" s="29" t="s">
        <v>3703</v>
      </c>
      <c r="AJ2821" s="29" t="s">
        <v>4225</v>
      </c>
      <c r="AL2821" s="29" t="s">
        <v>3670</v>
      </c>
    </row>
    <row r="2822" spans="27:38">
      <c r="AA2822" s="29" t="s">
        <v>43</v>
      </c>
      <c r="AB2822">
        <v>31200</v>
      </c>
      <c r="AC2822">
        <v>170</v>
      </c>
      <c r="AD2822">
        <v>4</v>
      </c>
      <c r="AE2822">
        <v>1023.84</v>
      </c>
      <c r="AF2822">
        <v>1023.84</v>
      </c>
      <c r="AG2822" s="29" t="s">
        <v>3669</v>
      </c>
      <c r="AH2822" s="29" t="s">
        <v>4226</v>
      </c>
      <c r="AI2822" s="29" t="s">
        <v>3703</v>
      </c>
      <c r="AJ2822" s="29" t="s">
        <v>4227</v>
      </c>
      <c r="AL2822" s="29" t="s">
        <v>3670</v>
      </c>
    </row>
    <row r="2823" spans="27:38">
      <c r="AA2823" s="29" t="s">
        <v>43</v>
      </c>
      <c r="AB2823">
        <v>31200</v>
      </c>
      <c r="AC2823">
        <v>170</v>
      </c>
      <c r="AD2823">
        <v>4</v>
      </c>
      <c r="AE2823">
        <v>1199.76</v>
      </c>
      <c r="AF2823">
        <v>1199.76</v>
      </c>
      <c r="AG2823" s="29" t="s">
        <v>3669</v>
      </c>
      <c r="AH2823" s="29" t="s">
        <v>4228</v>
      </c>
      <c r="AI2823" s="29" t="s">
        <v>3703</v>
      </c>
      <c r="AJ2823" s="29" t="s">
        <v>4229</v>
      </c>
      <c r="AL2823" s="29" t="s">
        <v>3670</v>
      </c>
    </row>
    <row r="2824" spans="27:38">
      <c r="AA2824" s="29" t="s">
        <v>43</v>
      </c>
      <c r="AB2824">
        <v>31200</v>
      </c>
      <c r="AC2824">
        <v>170</v>
      </c>
      <c r="AD2824">
        <v>4</v>
      </c>
      <c r="AE2824">
        <v>325.08</v>
      </c>
      <c r="AF2824">
        <v>325.08</v>
      </c>
      <c r="AG2824" s="29" t="s">
        <v>3669</v>
      </c>
      <c r="AH2824" s="29" t="s">
        <v>4230</v>
      </c>
      <c r="AI2824" s="29" t="s">
        <v>3703</v>
      </c>
      <c r="AJ2824" s="29" t="s">
        <v>4231</v>
      </c>
      <c r="AL2824" s="29" t="s">
        <v>3670</v>
      </c>
    </row>
    <row r="2825" spans="27:38">
      <c r="AA2825" s="29" t="s">
        <v>43</v>
      </c>
      <c r="AB2825">
        <v>31200</v>
      </c>
      <c r="AC2825">
        <v>170</v>
      </c>
      <c r="AD2825">
        <v>4</v>
      </c>
      <c r="AE2825">
        <v>971.88</v>
      </c>
      <c r="AF2825">
        <v>971.88</v>
      </c>
      <c r="AG2825" s="29" t="s">
        <v>3669</v>
      </c>
      <c r="AH2825" s="29" t="s">
        <v>4232</v>
      </c>
      <c r="AI2825" s="29" t="s">
        <v>3703</v>
      </c>
      <c r="AJ2825" s="29" t="s">
        <v>4233</v>
      </c>
      <c r="AL2825" s="29" t="s">
        <v>3670</v>
      </c>
    </row>
    <row r="2826" spans="27:38">
      <c r="AA2826" s="29" t="s">
        <v>43</v>
      </c>
      <c r="AB2826">
        <v>31200</v>
      </c>
      <c r="AC2826">
        <v>170</v>
      </c>
      <c r="AD2826">
        <v>4</v>
      </c>
      <c r="AE2826">
        <v>41.6</v>
      </c>
      <c r="AF2826">
        <v>41.6</v>
      </c>
      <c r="AG2826" s="29" t="s">
        <v>3669</v>
      </c>
      <c r="AH2826" s="29" t="s">
        <v>4234</v>
      </c>
      <c r="AI2826" s="29" t="s">
        <v>3703</v>
      </c>
      <c r="AJ2826" s="29" t="s">
        <v>4235</v>
      </c>
      <c r="AL2826" s="29" t="s">
        <v>3670</v>
      </c>
    </row>
    <row r="2827" spans="27:38">
      <c r="AA2827" s="29" t="s">
        <v>43</v>
      </c>
      <c r="AB2827">
        <v>31200</v>
      </c>
      <c r="AC2827">
        <v>170</v>
      </c>
      <c r="AD2827">
        <v>4</v>
      </c>
      <c r="AE2827">
        <v>62</v>
      </c>
      <c r="AF2827">
        <v>62</v>
      </c>
      <c r="AG2827" s="29" t="s">
        <v>3669</v>
      </c>
      <c r="AH2827" s="29" t="s">
        <v>4236</v>
      </c>
      <c r="AI2827" s="29" t="s">
        <v>3703</v>
      </c>
      <c r="AJ2827" s="29" t="s">
        <v>4237</v>
      </c>
      <c r="AL2827" s="29" t="s">
        <v>3670</v>
      </c>
    </row>
    <row r="2828" spans="27:38">
      <c r="AA2828" s="29" t="s">
        <v>43</v>
      </c>
      <c r="AB2828">
        <v>31200</v>
      </c>
      <c r="AC2828">
        <v>170</v>
      </c>
      <c r="AD2828">
        <v>4</v>
      </c>
      <c r="AE2828">
        <v>46.2</v>
      </c>
      <c r="AF2828">
        <v>46.2</v>
      </c>
      <c r="AG2828" s="29" t="s">
        <v>3669</v>
      </c>
      <c r="AH2828" s="29" t="s">
        <v>4238</v>
      </c>
      <c r="AI2828" s="29" t="s">
        <v>3703</v>
      </c>
      <c r="AJ2828" s="29" t="s">
        <v>4239</v>
      </c>
      <c r="AL2828" s="29" t="s">
        <v>3670</v>
      </c>
    </row>
    <row r="2829" spans="27:38">
      <c r="AA2829" s="29" t="s">
        <v>43</v>
      </c>
      <c r="AB2829">
        <v>31200</v>
      </c>
      <c r="AC2829">
        <v>170</v>
      </c>
      <c r="AD2829">
        <v>4</v>
      </c>
      <c r="AE2829">
        <v>33</v>
      </c>
      <c r="AF2829">
        <v>33</v>
      </c>
      <c r="AG2829" s="29" t="s">
        <v>3669</v>
      </c>
      <c r="AH2829" s="29" t="s">
        <v>4240</v>
      </c>
      <c r="AI2829" s="29" t="s">
        <v>3703</v>
      </c>
      <c r="AJ2829" s="29" t="s">
        <v>4241</v>
      </c>
      <c r="AL2829" s="29" t="s">
        <v>3670</v>
      </c>
    </row>
    <row r="2830" spans="27:38">
      <c r="AA2830" s="29" t="s">
        <v>43</v>
      </c>
      <c r="AB2830">
        <v>31200</v>
      </c>
      <c r="AC2830">
        <v>170</v>
      </c>
      <c r="AD2830">
        <v>4</v>
      </c>
      <c r="AE2830">
        <v>43.2</v>
      </c>
      <c r="AF2830">
        <v>43.2</v>
      </c>
      <c r="AG2830" s="29" t="s">
        <v>3669</v>
      </c>
      <c r="AH2830" s="29" t="s">
        <v>4242</v>
      </c>
      <c r="AI2830" s="29" t="s">
        <v>3703</v>
      </c>
      <c r="AJ2830" s="29" t="s">
        <v>2895</v>
      </c>
      <c r="AL2830" s="29" t="s">
        <v>3670</v>
      </c>
    </row>
    <row r="2831" spans="27:38">
      <c r="AA2831" s="29" t="s">
        <v>43</v>
      </c>
      <c r="AB2831">
        <v>31200</v>
      </c>
      <c r="AC2831">
        <v>170</v>
      </c>
      <c r="AD2831">
        <v>4</v>
      </c>
      <c r="AE2831">
        <v>975.24</v>
      </c>
      <c r="AF2831">
        <v>975.24</v>
      </c>
      <c r="AG2831" s="29" t="s">
        <v>3669</v>
      </c>
      <c r="AH2831" s="29" t="s">
        <v>4243</v>
      </c>
      <c r="AI2831" s="29" t="s">
        <v>3703</v>
      </c>
      <c r="AJ2831" s="29" t="s">
        <v>4244</v>
      </c>
      <c r="AL2831" s="29" t="s">
        <v>3670</v>
      </c>
    </row>
    <row r="2832" spans="27:38">
      <c r="AA2832" s="29" t="s">
        <v>43</v>
      </c>
      <c r="AB2832">
        <v>31200</v>
      </c>
      <c r="AC2832">
        <v>170</v>
      </c>
      <c r="AD2832">
        <v>4</v>
      </c>
      <c r="AE2832">
        <v>1199.76</v>
      </c>
      <c r="AF2832">
        <v>1199.76</v>
      </c>
      <c r="AG2832" s="29" t="s">
        <v>3669</v>
      </c>
      <c r="AH2832" s="29" t="s">
        <v>4228</v>
      </c>
      <c r="AI2832" s="29" t="s">
        <v>3703</v>
      </c>
      <c r="AJ2832" s="29" t="s">
        <v>4245</v>
      </c>
      <c r="AL2832" s="29" t="s">
        <v>3670</v>
      </c>
    </row>
    <row r="2833" spans="27:38">
      <c r="AA2833" s="29" t="s">
        <v>43</v>
      </c>
      <c r="AB2833">
        <v>31200</v>
      </c>
      <c r="AC2833">
        <v>170</v>
      </c>
      <c r="AD2833">
        <v>4</v>
      </c>
      <c r="AE2833">
        <v>496.92</v>
      </c>
      <c r="AF2833">
        <v>496.92</v>
      </c>
      <c r="AG2833" s="29" t="s">
        <v>3669</v>
      </c>
      <c r="AH2833" s="29" t="s">
        <v>4246</v>
      </c>
      <c r="AI2833" s="29" t="s">
        <v>3703</v>
      </c>
      <c r="AJ2833" s="29" t="s">
        <v>4247</v>
      </c>
      <c r="AL2833" s="29" t="s">
        <v>3670</v>
      </c>
    </row>
    <row r="2834" spans="27:38">
      <c r="AA2834" s="29" t="s">
        <v>43</v>
      </c>
      <c r="AB2834">
        <v>31200</v>
      </c>
      <c r="AC2834">
        <v>170</v>
      </c>
      <c r="AD2834">
        <v>4</v>
      </c>
      <c r="AE2834">
        <v>1439.7</v>
      </c>
      <c r="AF2834">
        <v>1439.7</v>
      </c>
      <c r="AG2834" s="29" t="s">
        <v>3669</v>
      </c>
      <c r="AH2834" s="29" t="s">
        <v>4248</v>
      </c>
      <c r="AI2834" s="29" t="s">
        <v>3703</v>
      </c>
      <c r="AJ2834" s="29" t="s">
        <v>4249</v>
      </c>
      <c r="AL2834" s="29" t="s">
        <v>3670</v>
      </c>
    </row>
    <row r="2835" spans="27:38">
      <c r="AA2835" s="29" t="s">
        <v>43</v>
      </c>
      <c r="AB2835">
        <v>31200</v>
      </c>
      <c r="AC2835">
        <v>170</v>
      </c>
      <c r="AD2835">
        <v>4</v>
      </c>
      <c r="AE2835">
        <v>608</v>
      </c>
      <c r="AF2835">
        <v>608</v>
      </c>
      <c r="AG2835" s="29" t="s">
        <v>3669</v>
      </c>
      <c r="AH2835" s="29" t="s">
        <v>4250</v>
      </c>
      <c r="AI2835" s="29" t="s">
        <v>3703</v>
      </c>
      <c r="AJ2835" s="29" t="s">
        <v>4251</v>
      </c>
      <c r="AL2835" s="29" t="s">
        <v>3670</v>
      </c>
    </row>
    <row r="2836" spans="27:38">
      <c r="AA2836" s="29" t="s">
        <v>43</v>
      </c>
      <c r="AB2836">
        <v>31200</v>
      </c>
      <c r="AC2836">
        <v>170</v>
      </c>
      <c r="AD2836">
        <v>4</v>
      </c>
      <c r="AE2836">
        <v>259.2</v>
      </c>
      <c r="AF2836">
        <v>259.2</v>
      </c>
      <c r="AG2836" s="29" t="s">
        <v>3669</v>
      </c>
      <c r="AH2836" s="29" t="s">
        <v>4134</v>
      </c>
      <c r="AI2836" s="29" t="s">
        <v>3703</v>
      </c>
      <c r="AJ2836" s="29" t="s">
        <v>4135</v>
      </c>
      <c r="AL2836" s="29" t="s">
        <v>3670</v>
      </c>
    </row>
    <row r="2837" spans="27:38">
      <c r="AA2837" s="29" t="s">
        <v>43</v>
      </c>
      <c r="AB2837">
        <v>31200</v>
      </c>
      <c r="AC2837">
        <v>170</v>
      </c>
      <c r="AD2837">
        <v>4</v>
      </c>
      <c r="AE2837">
        <v>233.6</v>
      </c>
      <c r="AF2837">
        <v>233.6</v>
      </c>
      <c r="AG2837" s="29" t="s">
        <v>3669</v>
      </c>
      <c r="AH2837" s="29" t="s">
        <v>4252</v>
      </c>
      <c r="AI2837" s="29" t="s">
        <v>3703</v>
      </c>
      <c r="AJ2837" s="29" t="s">
        <v>4253</v>
      </c>
      <c r="AL2837" s="29" t="s">
        <v>3670</v>
      </c>
    </row>
    <row r="2838" spans="27:38">
      <c r="AA2838" s="29" t="s">
        <v>43</v>
      </c>
      <c r="AB2838">
        <v>31200</v>
      </c>
      <c r="AC2838">
        <v>170</v>
      </c>
      <c r="AD2838">
        <v>4</v>
      </c>
      <c r="AE2838">
        <v>46.72</v>
      </c>
      <c r="AF2838">
        <v>46.72</v>
      </c>
      <c r="AG2838" s="29" t="s">
        <v>3669</v>
      </c>
      <c r="AH2838" s="29" t="s">
        <v>4254</v>
      </c>
      <c r="AI2838" s="29" t="s">
        <v>3703</v>
      </c>
      <c r="AJ2838" s="29" t="s">
        <v>4255</v>
      </c>
      <c r="AL2838" s="29" t="s">
        <v>3670</v>
      </c>
    </row>
    <row r="2839" spans="27:38">
      <c r="AA2839" s="29" t="s">
        <v>43</v>
      </c>
      <c r="AB2839">
        <v>31200</v>
      </c>
      <c r="AC2839">
        <v>170</v>
      </c>
      <c r="AD2839">
        <v>4</v>
      </c>
      <c r="AE2839">
        <v>93.44</v>
      </c>
      <c r="AF2839">
        <v>93.44</v>
      </c>
      <c r="AG2839" s="29" t="s">
        <v>3669</v>
      </c>
      <c r="AH2839" s="29" t="s">
        <v>4256</v>
      </c>
      <c r="AI2839" s="29" t="s">
        <v>3703</v>
      </c>
      <c r="AJ2839" s="29" t="s">
        <v>4257</v>
      </c>
      <c r="AL2839" s="29" t="s">
        <v>3670</v>
      </c>
    </row>
    <row r="2840" spans="27:38">
      <c r="AA2840" s="29" t="s">
        <v>43</v>
      </c>
      <c r="AB2840">
        <v>31200</v>
      </c>
      <c r="AC2840">
        <v>170</v>
      </c>
      <c r="AD2840">
        <v>4</v>
      </c>
      <c r="AE2840">
        <v>324.54000000000002</v>
      </c>
      <c r="AF2840">
        <v>324.54000000000002</v>
      </c>
      <c r="AG2840" s="29" t="s">
        <v>3669</v>
      </c>
      <c r="AH2840" s="29" t="s">
        <v>4258</v>
      </c>
      <c r="AI2840" s="29" t="s">
        <v>3703</v>
      </c>
      <c r="AJ2840" s="29" t="s">
        <v>4259</v>
      </c>
      <c r="AL2840" s="29" t="s">
        <v>3670</v>
      </c>
    </row>
    <row r="2841" spans="27:38">
      <c r="AA2841" s="29" t="s">
        <v>43</v>
      </c>
      <c r="AB2841">
        <v>31200</v>
      </c>
      <c r="AC2841">
        <v>170</v>
      </c>
      <c r="AD2841">
        <v>4</v>
      </c>
      <c r="AE2841">
        <v>135.27000000000001</v>
      </c>
      <c r="AF2841">
        <v>135.27000000000001</v>
      </c>
      <c r="AG2841" s="29" t="s">
        <v>3669</v>
      </c>
      <c r="AH2841" s="29" t="s">
        <v>4260</v>
      </c>
      <c r="AI2841" s="29" t="s">
        <v>3703</v>
      </c>
      <c r="AJ2841" s="29" t="s">
        <v>916</v>
      </c>
      <c r="AL2841" s="29" t="s">
        <v>3670</v>
      </c>
    </row>
    <row r="2842" spans="27:38">
      <c r="AA2842" s="29" t="s">
        <v>43</v>
      </c>
      <c r="AB2842">
        <v>31200</v>
      </c>
      <c r="AC2842">
        <v>170</v>
      </c>
      <c r="AD2842">
        <v>4</v>
      </c>
      <c r="AE2842">
        <v>770.01</v>
      </c>
      <c r="AF2842">
        <v>770.01</v>
      </c>
      <c r="AG2842" s="29" t="s">
        <v>3669</v>
      </c>
      <c r="AH2842" s="29" t="s">
        <v>4261</v>
      </c>
      <c r="AI2842" s="29" t="s">
        <v>3703</v>
      </c>
      <c r="AJ2842" s="29" t="s">
        <v>4262</v>
      </c>
      <c r="AL2842" s="29" t="s">
        <v>3670</v>
      </c>
    </row>
    <row r="2843" spans="27:38">
      <c r="AA2843" s="29" t="s">
        <v>43</v>
      </c>
      <c r="AB2843">
        <v>31200</v>
      </c>
      <c r="AC2843">
        <v>170</v>
      </c>
      <c r="AD2843">
        <v>4</v>
      </c>
      <c r="AE2843">
        <v>1473.76</v>
      </c>
      <c r="AF2843">
        <v>1473.76</v>
      </c>
      <c r="AG2843" s="29" t="s">
        <v>3669</v>
      </c>
      <c r="AH2843" s="29" t="s">
        <v>4263</v>
      </c>
      <c r="AI2843" s="29" t="s">
        <v>3703</v>
      </c>
      <c r="AJ2843" s="29" t="s">
        <v>4264</v>
      </c>
      <c r="AL2843" s="29" t="s">
        <v>3670</v>
      </c>
    </row>
    <row r="2844" spans="27:38">
      <c r="AA2844" s="29" t="s">
        <v>43</v>
      </c>
      <c r="AB2844">
        <v>31200</v>
      </c>
      <c r="AC2844">
        <v>170</v>
      </c>
      <c r="AD2844">
        <v>4</v>
      </c>
      <c r="AE2844">
        <v>1713.72</v>
      </c>
      <c r="AF2844">
        <v>1713.72</v>
      </c>
      <c r="AG2844" s="29" t="s">
        <v>3669</v>
      </c>
      <c r="AH2844" s="29" t="s">
        <v>4265</v>
      </c>
      <c r="AI2844" s="29" t="s">
        <v>3703</v>
      </c>
      <c r="AJ2844" s="29" t="s">
        <v>4266</v>
      </c>
      <c r="AL2844" s="29" t="s">
        <v>3670</v>
      </c>
    </row>
    <row r="2845" spans="27:38">
      <c r="AA2845" s="29" t="s">
        <v>43</v>
      </c>
      <c r="AB2845">
        <v>31200</v>
      </c>
      <c r="AC2845">
        <v>170</v>
      </c>
      <c r="AD2845">
        <v>4</v>
      </c>
      <c r="AE2845">
        <v>1353.78</v>
      </c>
      <c r="AF2845">
        <v>1353.78</v>
      </c>
      <c r="AG2845" s="29" t="s">
        <v>3669</v>
      </c>
      <c r="AH2845" s="29" t="s">
        <v>4267</v>
      </c>
      <c r="AI2845" s="29" t="s">
        <v>3703</v>
      </c>
      <c r="AJ2845" s="29" t="s">
        <v>4268</v>
      </c>
      <c r="AL2845" s="29" t="s">
        <v>3670</v>
      </c>
    </row>
    <row r="2846" spans="27:38">
      <c r="AA2846" s="29" t="s">
        <v>43</v>
      </c>
      <c r="AB2846">
        <v>31200</v>
      </c>
      <c r="AC2846">
        <v>170</v>
      </c>
      <c r="AD2846">
        <v>4</v>
      </c>
      <c r="AE2846">
        <v>1319.72</v>
      </c>
      <c r="AF2846">
        <v>1319.72</v>
      </c>
      <c r="AG2846" s="29" t="s">
        <v>3669</v>
      </c>
      <c r="AH2846" s="29" t="s">
        <v>4148</v>
      </c>
      <c r="AI2846" s="29" t="s">
        <v>3703</v>
      </c>
      <c r="AJ2846" s="29" t="s">
        <v>4149</v>
      </c>
      <c r="AL2846" s="29" t="s">
        <v>3670</v>
      </c>
    </row>
    <row r="2847" spans="27:38">
      <c r="AA2847" s="29" t="s">
        <v>43</v>
      </c>
      <c r="AB2847">
        <v>31200</v>
      </c>
      <c r="AC2847">
        <v>170</v>
      </c>
      <c r="AD2847">
        <v>4</v>
      </c>
      <c r="AE2847">
        <v>1199.76</v>
      </c>
      <c r="AF2847">
        <v>1199.76</v>
      </c>
      <c r="AG2847" s="29" t="s">
        <v>3669</v>
      </c>
      <c r="AH2847" s="29" t="s">
        <v>4228</v>
      </c>
      <c r="AI2847" s="29" t="s">
        <v>3703</v>
      </c>
      <c r="AJ2847" s="29" t="s">
        <v>4269</v>
      </c>
      <c r="AL2847" s="29" t="s">
        <v>3670</v>
      </c>
    </row>
    <row r="2848" spans="27:38">
      <c r="AA2848" s="29" t="s">
        <v>43</v>
      </c>
      <c r="AB2848">
        <v>31200</v>
      </c>
      <c r="AC2848">
        <v>170</v>
      </c>
      <c r="AD2848">
        <v>4</v>
      </c>
      <c r="AE2848">
        <v>1113.82</v>
      </c>
      <c r="AF2848">
        <v>1113.82</v>
      </c>
      <c r="AG2848" s="29" t="s">
        <v>3669</v>
      </c>
      <c r="AH2848" s="29" t="s">
        <v>4270</v>
      </c>
      <c r="AI2848" s="29" t="s">
        <v>3703</v>
      </c>
      <c r="AJ2848" s="29" t="s">
        <v>4271</v>
      </c>
      <c r="AL2848" s="29" t="s">
        <v>3670</v>
      </c>
    </row>
    <row r="2849" spans="27:38">
      <c r="AA2849" s="29" t="s">
        <v>43</v>
      </c>
      <c r="AB2849">
        <v>31200</v>
      </c>
      <c r="AC2849">
        <v>170</v>
      </c>
      <c r="AD2849">
        <v>4</v>
      </c>
      <c r="AE2849">
        <v>1319.72</v>
      </c>
      <c r="AF2849">
        <v>1319.72</v>
      </c>
      <c r="AG2849" s="29" t="s">
        <v>3669</v>
      </c>
      <c r="AH2849" s="29" t="s">
        <v>4148</v>
      </c>
      <c r="AI2849" s="29" t="s">
        <v>3703</v>
      </c>
      <c r="AJ2849" s="29" t="s">
        <v>4272</v>
      </c>
      <c r="AL2849" s="29" t="s">
        <v>3670</v>
      </c>
    </row>
    <row r="2850" spans="27:38">
      <c r="AA2850" s="29" t="s">
        <v>43</v>
      </c>
      <c r="AB2850">
        <v>31200</v>
      </c>
      <c r="AC2850">
        <v>170</v>
      </c>
      <c r="AD2850">
        <v>4</v>
      </c>
      <c r="AE2850">
        <v>1202.5</v>
      </c>
      <c r="AF2850">
        <v>1202.5</v>
      </c>
      <c r="AG2850" s="29" t="s">
        <v>3669</v>
      </c>
      <c r="AH2850" s="29" t="s">
        <v>4273</v>
      </c>
      <c r="AI2850" s="29" t="s">
        <v>3703</v>
      </c>
      <c r="AJ2850" s="29" t="s">
        <v>4274</v>
      </c>
      <c r="AL2850" s="29" t="s">
        <v>3670</v>
      </c>
    </row>
    <row r="2851" spans="27:38">
      <c r="AA2851" s="29" t="s">
        <v>43</v>
      </c>
      <c r="AB2851">
        <v>31200</v>
      </c>
      <c r="AC2851">
        <v>170</v>
      </c>
      <c r="AD2851">
        <v>4</v>
      </c>
      <c r="AE2851">
        <v>46</v>
      </c>
      <c r="AF2851">
        <v>46</v>
      </c>
      <c r="AG2851" s="29" t="s">
        <v>3669</v>
      </c>
      <c r="AH2851" s="29" t="s">
        <v>4275</v>
      </c>
      <c r="AI2851" s="29" t="s">
        <v>3703</v>
      </c>
      <c r="AJ2851" s="29" t="s">
        <v>4276</v>
      </c>
      <c r="AL2851" s="29" t="s">
        <v>3670</v>
      </c>
    </row>
    <row r="2852" spans="27:38">
      <c r="AA2852" s="29" t="s">
        <v>43</v>
      </c>
      <c r="AB2852">
        <v>31200</v>
      </c>
      <c r="AC2852">
        <v>170</v>
      </c>
      <c r="AD2852">
        <v>4</v>
      </c>
      <c r="AE2852">
        <v>29.55</v>
      </c>
      <c r="AF2852">
        <v>29.55</v>
      </c>
      <c r="AG2852" s="29" t="s">
        <v>3669</v>
      </c>
      <c r="AH2852" s="29" t="s">
        <v>4277</v>
      </c>
      <c r="AI2852" s="29" t="s">
        <v>3703</v>
      </c>
      <c r="AJ2852" s="29" t="s">
        <v>4278</v>
      </c>
      <c r="AL2852" s="29" t="s">
        <v>3670</v>
      </c>
    </row>
    <row r="2853" spans="27:38">
      <c r="AA2853" s="29" t="s">
        <v>43</v>
      </c>
      <c r="AB2853">
        <v>31200</v>
      </c>
      <c r="AC2853">
        <v>170</v>
      </c>
      <c r="AD2853">
        <v>4</v>
      </c>
      <c r="AE2853">
        <v>60</v>
      </c>
      <c r="AF2853">
        <v>60</v>
      </c>
      <c r="AG2853" s="29" t="s">
        <v>3669</v>
      </c>
      <c r="AH2853" s="29" t="s">
        <v>4279</v>
      </c>
      <c r="AI2853" s="29" t="s">
        <v>3703</v>
      </c>
      <c r="AJ2853" s="29" t="s">
        <v>4280</v>
      </c>
      <c r="AL2853" s="29" t="s">
        <v>3670</v>
      </c>
    </row>
    <row r="2854" spans="27:38">
      <c r="AA2854" s="29" t="s">
        <v>43</v>
      </c>
      <c r="AB2854">
        <v>31200</v>
      </c>
      <c r="AC2854">
        <v>170</v>
      </c>
      <c r="AD2854">
        <v>4</v>
      </c>
      <c r="AE2854">
        <v>31.68</v>
      </c>
      <c r="AF2854">
        <v>31.68</v>
      </c>
      <c r="AG2854" s="29" t="s">
        <v>3669</v>
      </c>
      <c r="AH2854" s="29" t="s">
        <v>4281</v>
      </c>
      <c r="AI2854" s="29" t="s">
        <v>3703</v>
      </c>
      <c r="AJ2854" s="29" t="s">
        <v>4282</v>
      </c>
      <c r="AL2854" s="29" t="s">
        <v>3670</v>
      </c>
    </row>
    <row r="2855" spans="27:38">
      <c r="AA2855" s="29" t="s">
        <v>43</v>
      </c>
      <c r="AB2855">
        <v>31200</v>
      </c>
      <c r="AC2855">
        <v>170</v>
      </c>
      <c r="AD2855">
        <v>4</v>
      </c>
      <c r="AE2855">
        <v>4.3499999999999996</v>
      </c>
      <c r="AF2855">
        <v>4.3499999999999996</v>
      </c>
      <c r="AG2855" s="29" t="s">
        <v>3669</v>
      </c>
      <c r="AH2855" s="29" t="s">
        <v>4283</v>
      </c>
      <c r="AI2855" s="29" t="s">
        <v>3703</v>
      </c>
      <c r="AJ2855" s="29" t="s">
        <v>4284</v>
      </c>
      <c r="AL2855" s="29" t="s">
        <v>3670</v>
      </c>
    </row>
    <row r="2856" spans="27:38">
      <c r="AA2856" s="29" t="s">
        <v>43</v>
      </c>
      <c r="AB2856">
        <v>31200</v>
      </c>
      <c r="AC2856">
        <v>170</v>
      </c>
      <c r="AD2856">
        <v>4</v>
      </c>
      <c r="AE2856">
        <v>9.4</v>
      </c>
      <c r="AF2856">
        <v>9.4</v>
      </c>
      <c r="AG2856" s="29" t="s">
        <v>3669</v>
      </c>
      <c r="AH2856" s="29" t="s">
        <v>4285</v>
      </c>
      <c r="AI2856" s="29" t="s">
        <v>3703</v>
      </c>
      <c r="AJ2856" s="29" t="s">
        <v>3060</v>
      </c>
      <c r="AL2856" s="29" t="s">
        <v>3670</v>
      </c>
    </row>
    <row r="2857" spans="27:38">
      <c r="AA2857" s="29" t="s">
        <v>43</v>
      </c>
      <c r="AB2857">
        <v>31200</v>
      </c>
      <c r="AC2857">
        <v>170</v>
      </c>
      <c r="AD2857">
        <v>4</v>
      </c>
      <c r="AE2857">
        <v>0</v>
      </c>
      <c r="AF2857">
        <v>0</v>
      </c>
      <c r="AG2857" s="29" t="s">
        <v>3669</v>
      </c>
      <c r="AH2857" s="29" t="s">
        <v>3673</v>
      </c>
      <c r="AI2857" s="29" t="s">
        <v>3703</v>
      </c>
      <c r="AJ2857" s="29" t="s">
        <v>4286</v>
      </c>
      <c r="AL2857" s="29" t="s">
        <v>3670</v>
      </c>
    </row>
    <row r="2858" spans="27:38">
      <c r="AA2858" s="29" t="s">
        <v>43</v>
      </c>
      <c r="AB2858">
        <v>31200</v>
      </c>
      <c r="AC2858">
        <v>170</v>
      </c>
      <c r="AD2858">
        <v>4</v>
      </c>
      <c r="AE2858">
        <v>3.3</v>
      </c>
      <c r="AF2858">
        <v>3.3</v>
      </c>
      <c r="AG2858" s="29" t="s">
        <v>3669</v>
      </c>
      <c r="AH2858" s="29" t="s">
        <v>4206</v>
      </c>
      <c r="AI2858" s="29" t="s">
        <v>3703</v>
      </c>
      <c r="AJ2858" s="29" t="s">
        <v>4287</v>
      </c>
      <c r="AL2858" s="29" t="s">
        <v>3670</v>
      </c>
    </row>
    <row r="2859" spans="27:38">
      <c r="AA2859" s="29" t="s">
        <v>43</v>
      </c>
      <c r="AB2859">
        <v>31200</v>
      </c>
      <c r="AC2859">
        <v>170</v>
      </c>
      <c r="AD2859">
        <v>4</v>
      </c>
      <c r="AE2859">
        <v>0.57999999999999996</v>
      </c>
      <c r="AF2859">
        <v>0.57999999999999996</v>
      </c>
      <c r="AG2859" s="29" t="s">
        <v>3669</v>
      </c>
      <c r="AH2859" s="29" t="s">
        <v>4288</v>
      </c>
      <c r="AI2859" s="29" t="s">
        <v>3703</v>
      </c>
      <c r="AJ2859" s="29" t="s">
        <v>4289</v>
      </c>
      <c r="AL2859" s="29" t="s">
        <v>3670</v>
      </c>
    </row>
    <row r="2860" spans="27:38">
      <c r="AA2860" s="29" t="s">
        <v>43</v>
      </c>
      <c r="AB2860">
        <v>31200</v>
      </c>
      <c r="AC2860">
        <v>170</v>
      </c>
      <c r="AD2860">
        <v>4</v>
      </c>
      <c r="AE2860">
        <v>33.090000000000003</v>
      </c>
      <c r="AF2860">
        <v>33.090000000000003</v>
      </c>
      <c r="AG2860" s="29" t="s">
        <v>3669</v>
      </c>
      <c r="AH2860" s="29" t="s">
        <v>4290</v>
      </c>
      <c r="AI2860" s="29" t="s">
        <v>3703</v>
      </c>
      <c r="AJ2860" s="29" t="s">
        <v>4291</v>
      </c>
      <c r="AL2860" s="29" t="s">
        <v>3670</v>
      </c>
    </row>
    <row r="2861" spans="27:38">
      <c r="AA2861" s="29" t="s">
        <v>43</v>
      </c>
      <c r="AB2861">
        <v>31200</v>
      </c>
      <c r="AC2861">
        <v>170</v>
      </c>
      <c r="AD2861">
        <v>4</v>
      </c>
      <c r="AE2861">
        <v>3.05</v>
      </c>
      <c r="AF2861">
        <v>3.05</v>
      </c>
      <c r="AG2861" s="29" t="s">
        <v>3669</v>
      </c>
      <c r="AH2861" s="29" t="s">
        <v>4292</v>
      </c>
      <c r="AI2861" s="29" t="s">
        <v>3703</v>
      </c>
      <c r="AJ2861" s="29" t="s">
        <v>4293</v>
      </c>
      <c r="AL2861" s="29" t="s">
        <v>3670</v>
      </c>
    </row>
    <row r="2862" spans="27:38">
      <c r="AA2862" s="29" t="s">
        <v>43</v>
      </c>
      <c r="AB2862">
        <v>31200</v>
      </c>
      <c r="AC2862">
        <v>170</v>
      </c>
      <c r="AD2862">
        <v>4</v>
      </c>
      <c r="AE2862">
        <v>4.5</v>
      </c>
      <c r="AF2862">
        <v>4.5</v>
      </c>
      <c r="AG2862" s="29" t="s">
        <v>3669</v>
      </c>
      <c r="AH2862" s="29" t="s">
        <v>4294</v>
      </c>
      <c r="AI2862" s="29" t="s">
        <v>3703</v>
      </c>
      <c r="AJ2862" s="29" t="s">
        <v>4295</v>
      </c>
      <c r="AL2862" s="29" t="s">
        <v>3670</v>
      </c>
    </row>
    <row r="2863" spans="27:38">
      <c r="AA2863" s="29" t="s">
        <v>43</v>
      </c>
      <c r="AB2863">
        <v>31200</v>
      </c>
      <c r="AC2863">
        <v>170</v>
      </c>
      <c r="AD2863">
        <v>4</v>
      </c>
      <c r="AE2863">
        <v>1.85</v>
      </c>
      <c r="AF2863">
        <v>1.85</v>
      </c>
      <c r="AG2863" s="29" t="s">
        <v>3669</v>
      </c>
      <c r="AH2863" s="29" t="s">
        <v>3827</v>
      </c>
      <c r="AI2863" s="29" t="s">
        <v>3703</v>
      </c>
      <c r="AJ2863" s="29" t="s">
        <v>4296</v>
      </c>
      <c r="AL2863" s="29" t="s">
        <v>3670</v>
      </c>
    </row>
    <row r="2864" spans="27:38">
      <c r="AA2864" s="29" t="s">
        <v>43</v>
      </c>
      <c r="AB2864">
        <v>31200</v>
      </c>
      <c r="AC2864">
        <v>170</v>
      </c>
      <c r="AD2864">
        <v>4</v>
      </c>
      <c r="AE2864">
        <v>7.25</v>
      </c>
      <c r="AF2864">
        <v>7.25</v>
      </c>
      <c r="AG2864" s="29" t="s">
        <v>3669</v>
      </c>
      <c r="AH2864" s="29" t="s">
        <v>4297</v>
      </c>
      <c r="AI2864" s="29" t="s">
        <v>3703</v>
      </c>
      <c r="AJ2864" s="29" t="s">
        <v>4298</v>
      </c>
      <c r="AL2864" s="29" t="s">
        <v>3670</v>
      </c>
    </row>
    <row r="2865" spans="27:38">
      <c r="AA2865" s="29" t="s">
        <v>43</v>
      </c>
      <c r="AB2865">
        <v>31200</v>
      </c>
      <c r="AC2865">
        <v>170</v>
      </c>
      <c r="AD2865">
        <v>4</v>
      </c>
      <c r="AE2865">
        <v>5.15</v>
      </c>
      <c r="AF2865">
        <v>5.15</v>
      </c>
      <c r="AG2865" s="29" t="s">
        <v>3669</v>
      </c>
      <c r="AH2865" s="29" t="s">
        <v>4299</v>
      </c>
      <c r="AI2865" s="29" t="s">
        <v>3703</v>
      </c>
      <c r="AJ2865" s="29" t="s">
        <v>4300</v>
      </c>
      <c r="AL2865" s="29" t="s">
        <v>3670</v>
      </c>
    </row>
    <row r="2866" spans="27:38">
      <c r="AA2866" s="29" t="s">
        <v>43</v>
      </c>
      <c r="AB2866">
        <v>31200</v>
      </c>
      <c r="AC2866">
        <v>170</v>
      </c>
      <c r="AD2866">
        <v>4</v>
      </c>
      <c r="AE2866">
        <v>3.6</v>
      </c>
      <c r="AF2866">
        <v>3.6</v>
      </c>
      <c r="AG2866" s="29" t="s">
        <v>3669</v>
      </c>
      <c r="AH2866" s="29" t="s">
        <v>3890</v>
      </c>
      <c r="AI2866" s="29" t="s">
        <v>3703</v>
      </c>
      <c r="AJ2866" s="29" t="s">
        <v>4301</v>
      </c>
      <c r="AL2866" s="29" t="s">
        <v>3670</v>
      </c>
    </row>
    <row r="2867" spans="27:38">
      <c r="AA2867" s="29" t="s">
        <v>43</v>
      </c>
      <c r="AB2867">
        <v>31200</v>
      </c>
      <c r="AC2867">
        <v>170</v>
      </c>
      <c r="AD2867">
        <v>4</v>
      </c>
      <c r="AE2867">
        <v>0.88</v>
      </c>
      <c r="AF2867">
        <v>0.88</v>
      </c>
      <c r="AG2867" s="29" t="s">
        <v>3669</v>
      </c>
      <c r="AH2867" s="29" t="s">
        <v>4302</v>
      </c>
      <c r="AI2867" s="29" t="s">
        <v>3703</v>
      </c>
      <c r="AJ2867" s="29" t="s">
        <v>4303</v>
      </c>
      <c r="AL2867" s="29" t="s">
        <v>3670</v>
      </c>
    </row>
    <row r="2868" spans="27:38">
      <c r="AA2868" s="29" t="s">
        <v>43</v>
      </c>
      <c r="AB2868">
        <v>31200</v>
      </c>
      <c r="AC2868">
        <v>170</v>
      </c>
      <c r="AD2868">
        <v>4</v>
      </c>
      <c r="AE2868">
        <v>0.6</v>
      </c>
      <c r="AF2868">
        <v>0.6</v>
      </c>
      <c r="AG2868" s="29" t="s">
        <v>3669</v>
      </c>
      <c r="AH2868" s="29" t="s">
        <v>4304</v>
      </c>
      <c r="AI2868" s="29" t="s">
        <v>3703</v>
      </c>
      <c r="AJ2868" s="29" t="s">
        <v>3014</v>
      </c>
      <c r="AL2868" s="29" t="s">
        <v>3670</v>
      </c>
    </row>
    <row r="2869" spans="27:38">
      <c r="AA2869" s="29" t="s">
        <v>43</v>
      </c>
      <c r="AB2869">
        <v>31200</v>
      </c>
      <c r="AC2869">
        <v>170</v>
      </c>
      <c r="AD2869">
        <v>4</v>
      </c>
      <c r="AE2869">
        <v>1.4</v>
      </c>
      <c r="AF2869">
        <v>1.4</v>
      </c>
      <c r="AG2869" s="29" t="s">
        <v>3669</v>
      </c>
      <c r="AH2869" s="29" t="s">
        <v>3969</v>
      </c>
      <c r="AI2869" s="29" t="s">
        <v>3703</v>
      </c>
      <c r="AJ2869" s="29" t="s">
        <v>4305</v>
      </c>
      <c r="AL2869" s="29" t="s">
        <v>3670</v>
      </c>
    </row>
    <row r="2870" spans="27:38">
      <c r="AA2870" s="29" t="s">
        <v>43</v>
      </c>
      <c r="AB2870">
        <v>31200</v>
      </c>
      <c r="AC2870">
        <v>170</v>
      </c>
      <c r="AD2870">
        <v>4</v>
      </c>
      <c r="AE2870">
        <v>0</v>
      </c>
      <c r="AF2870">
        <v>0</v>
      </c>
      <c r="AG2870" s="29" t="s">
        <v>3669</v>
      </c>
      <c r="AH2870" s="29" t="s">
        <v>3673</v>
      </c>
      <c r="AI2870" s="29" t="s">
        <v>3703</v>
      </c>
      <c r="AJ2870" s="29" t="s">
        <v>4306</v>
      </c>
      <c r="AL2870" s="29" t="s">
        <v>3670</v>
      </c>
    </row>
    <row r="2871" spans="27:38">
      <c r="AA2871" s="29" t="s">
        <v>43</v>
      </c>
      <c r="AB2871">
        <v>31200</v>
      </c>
      <c r="AC2871">
        <v>170</v>
      </c>
      <c r="AD2871">
        <v>4</v>
      </c>
      <c r="AE2871">
        <v>6.68</v>
      </c>
      <c r="AF2871">
        <v>6.68</v>
      </c>
      <c r="AG2871" s="29" t="s">
        <v>3669</v>
      </c>
      <c r="AH2871" s="29" t="s">
        <v>4307</v>
      </c>
      <c r="AI2871" s="29" t="s">
        <v>3703</v>
      </c>
      <c r="AJ2871" s="29" t="s">
        <v>4308</v>
      </c>
      <c r="AL2871" s="29" t="s">
        <v>3670</v>
      </c>
    </row>
    <row r="2872" spans="27:38">
      <c r="AA2872" s="29" t="s">
        <v>43</v>
      </c>
      <c r="AB2872">
        <v>31200</v>
      </c>
      <c r="AC2872">
        <v>170</v>
      </c>
      <c r="AD2872">
        <v>4</v>
      </c>
      <c r="AE2872">
        <v>629.51</v>
      </c>
      <c r="AF2872">
        <v>629.51</v>
      </c>
      <c r="AG2872" s="29" t="s">
        <v>3669</v>
      </c>
      <c r="AH2872" s="29" t="s">
        <v>4309</v>
      </c>
      <c r="AI2872" s="29" t="s">
        <v>3703</v>
      </c>
      <c r="AJ2872" s="29" t="s">
        <v>4310</v>
      </c>
      <c r="AL2872" s="29" t="s">
        <v>3670</v>
      </c>
    </row>
    <row r="2873" spans="27:38">
      <c r="AA2873" s="29" t="s">
        <v>43</v>
      </c>
      <c r="AB2873">
        <v>31200</v>
      </c>
      <c r="AC2873">
        <v>170</v>
      </c>
      <c r="AD2873">
        <v>4</v>
      </c>
      <c r="AE2873">
        <v>2125</v>
      </c>
      <c r="AF2873">
        <v>2125</v>
      </c>
      <c r="AG2873" s="29" t="s">
        <v>3669</v>
      </c>
      <c r="AH2873" s="29" t="s">
        <v>4311</v>
      </c>
      <c r="AI2873" s="29" t="s">
        <v>3703</v>
      </c>
      <c r="AJ2873" s="29" t="s">
        <v>4312</v>
      </c>
      <c r="AL2873" s="29" t="s">
        <v>3670</v>
      </c>
    </row>
    <row r="2874" spans="27:38">
      <c r="AA2874" s="29" t="s">
        <v>43</v>
      </c>
      <c r="AB2874">
        <v>31200</v>
      </c>
      <c r="AC2874">
        <v>170</v>
      </c>
      <c r="AD2874">
        <v>4</v>
      </c>
      <c r="AE2874">
        <v>1738.2</v>
      </c>
      <c r="AF2874">
        <v>1738.2</v>
      </c>
      <c r="AG2874" s="29" t="s">
        <v>3669</v>
      </c>
      <c r="AH2874" s="29" t="s">
        <v>4313</v>
      </c>
      <c r="AI2874" s="29" t="s">
        <v>3703</v>
      </c>
      <c r="AJ2874" s="29" t="s">
        <v>4314</v>
      </c>
      <c r="AL2874" s="29" t="s">
        <v>3670</v>
      </c>
    </row>
    <row r="2875" spans="27:38">
      <c r="AA2875" s="29" t="s">
        <v>43</v>
      </c>
      <c r="AB2875">
        <v>31200</v>
      </c>
      <c r="AC2875">
        <v>170</v>
      </c>
      <c r="AD2875">
        <v>4</v>
      </c>
      <c r="AE2875">
        <v>304.66000000000003</v>
      </c>
      <c r="AF2875">
        <v>304.66000000000003</v>
      </c>
      <c r="AG2875" s="29" t="s">
        <v>3669</v>
      </c>
      <c r="AH2875" s="29" t="s">
        <v>4315</v>
      </c>
      <c r="AI2875" s="29" t="s">
        <v>3703</v>
      </c>
      <c r="AJ2875" s="29" t="s">
        <v>4316</v>
      </c>
      <c r="AL2875" s="29" t="s">
        <v>3670</v>
      </c>
    </row>
    <row r="2876" spans="27:38">
      <c r="AA2876" s="29" t="s">
        <v>43</v>
      </c>
      <c r="AB2876">
        <v>31200</v>
      </c>
      <c r="AC2876">
        <v>170</v>
      </c>
      <c r="AD2876">
        <v>4</v>
      </c>
      <c r="AE2876">
        <v>515.22</v>
      </c>
      <c r="AF2876">
        <v>515.22</v>
      </c>
      <c r="AG2876" s="29" t="s">
        <v>3669</v>
      </c>
      <c r="AH2876" s="29" t="s">
        <v>4317</v>
      </c>
      <c r="AI2876" s="29" t="s">
        <v>3703</v>
      </c>
      <c r="AJ2876" s="29" t="s">
        <v>4318</v>
      </c>
      <c r="AL2876" s="29" t="s">
        <v>3670</v>
      </c>
    </row>
    <row r="2877" spans="27:38">
      <c r="AA2877" s="29" t="s">
        <v>43</v>
      </c>
      <c r="AB2877">
        <v>31200</v>
      </c>
      <c r="AC2877">
        <v>170</v>
      </c>
      <c r="AD2877">
        <v>4</v>
      </c>
      <c r="AE2877">
        <v>121.7</v>
      </c>
      <c r="AF2877">
        <v>121.7</v>
      </c>
      <c r="AG2877" s="29" t="s">
        <v>3669</v>
      </c>
      <c r="AH2877" s="29" t="s">
        <v>4319</v>
      </c>
      <c r="AI2877" s="29" t="s">
        <v>3703</v>
      </c>
      <c r="AJ2877" s="29" t="s">
        <v>4320</v>
      </c>
      <c r="AL2877" s="29" t="s">
        <v>3670</v>
      </c>
    </row>
    <row r="2878" spans="27:38">
      <c r="AA2878" s="29" t="s">
        <v>43</v>
      </c>
      <c r="AB2878">
        <v>31200</v>
      </c>
      <c r="AC2878">
        <v>170</v>
      </c>
      <c r="AD2878">
        <v>4</v>
      </c>
      <c r="AE2878">
        <v>15.3</v>
      </c>
      <c r="AF2878">
        <v>15.3</v>
      </c>
      <c r="AG2878" s="29" t="s">
        <v>3669</v>
      </c>
      <c r="AH2878" s="29" t="s">
        <v>4321</v>
      </c>
      <c r="AI2878" s="29" t="s">
        <v>3703</v>
      </c>
      <c r="AJ2878" s="29" t="s">
        <v>4322</v>
      </c>
      <c r="AL2878" s="29" t="s">
        <v>3670</v>
      </c>
    </row>
    <row r="2879" spans="27:38">
      <c r="AA2879" s="29" t="s">
        <v>43</v>
      </c>
      <c r="AB2879">
        <v>31200</v>
      </c>
      <c r="AC2879">
        <v>170</v>
      </c>
      <c r="AD2879">
        <v>4</v>
      </c>
      <c r="AE2879">
        <v>3.39</v>
      </c>
      <c r="AF2879">
        <v>3.39</v>
      </c>
      <c r="AG2879" s="29" t="s">
        <v>3669</v>
      </c>
      <c r="AH2879" s="29" t="s">
        <v>4323</v>
      </c>
      <c r="AI2879" s="29" t="s">
        <v>3703</v>
      </c>
      <c r="AJ2879" s="29" t="s">
        <v>4324</v>
      </c>
      <c r="AL2879" s="29" t="s">
        <v>3670</v>
      </c>
    </row>
    <row r="2880" spans="27:38">
      <c r="AA2880" s="29" t="s">
        <v>43</v>
      </c>
      <c r="AB2880">
        <v>31200</v>
      </c>
      <c r="AC2880">
        <v>170</v>
      </c>
      <c r="AD2880">
        <v>4</v>
      </c>
      <c r="AE2880">
        <v>14.9</v>
      </c>
      <c r="AF2880">
        <v>14.9</v>
      </c>
      <c r="AG2880" s="29" t="s">
        <v>3669</v>
      </c>
      <c r="AH2880" s="29" t="s">
        <v>4325</v>
      </c>
      <c r="AI2880" s="29" t="s">
        <v>3703</v>
      </c>
      <c r="AJ2880" s="29" t="s">
        <v>4326</v>
      </c>
      <c r="AL2880" s="29" t="s">
        <v>3670</v>
      </c>
    </row>
    <row r="2881" spans="27:38">
      <c r="AA2881" s="29" t="s">
        <v>43</v>
      </c>
      <c r="AB2881">
        <v>31200</v>
      </c>
      <c r="AC2881">
        <v>170</v>
      </c>
      <c r="AD2881">
        <v>4</v>
      </c>
      <c r="AE2881">
        <v>9.23</v>
      </c>
      <c r="AF2881">
        <v>9.23</v>
      </c>
      <c r="AG2881" s="29" t="s">
        <v>3669</v>
      </c>
      <c r="AH2881" s="29" t="s">
        <v>4327</v>
      </c>
      <c r="AI2881" s="29" t="s">
        <v>3703</v>
      </c>
      <c r="AJ2881" s="29" t="s">
        <v>4328</v>
      </c>
      <c r="AL2881" s="29" t="s">
        <v>3670</v>
      </c>
    </row>
    <row r="2882" spans="27:38">
      <c r="AA2882" s="29" t="s">
        <v>43</v>
      </c>
      <c r="AB2882">
        <v>31200</v>
      </c>
      <c r="AC2882">
        <v>170</v>
      </c>
      <c r="AD2882">
        <v>4</v>
      </c>
      <c r="AE2882">
        <v>24.51</v>
      </c>
      <c r="AF2882">
        <v>24.51</v>
      </c>
      <c r="AG2882" s="29" t="s">
        <v>3669</v>
      </c>
      <c r="AH2882" s="29" t="s">
        <v>4329</v>
      </c>
      <c r="AI2882" s="29" t="s">
        <v>3703</v>
      </c>
      <c r="AJ2882" s="29" t="s">
        <v>4330</v>
      </c>
      <c r="AL2882" s="29" t="s">
        <v>3670</v>
      </c>
    </row>
    <row r="2883" spans="27:38">
      <c r="AA2883" s="29" t="s">
        <v>43</v>
      </c>
      <c r="AB2883">
        <v>31200</v>
      </c>
      <c r="AC2883">
        <v>170</v>
      </c>
      <c r="AD2883">
        <v>4</v>
      </c>
      <c r="AE2883">
        <v>26.4</v>
      </c>
      <c r="AF2883">
        <v>26.4</v>
      </c>
      <c r="AG2883" s="29" t="s">
        <v>3669</v>
      </c>
      <c r="AH2883" s="29" t="s">
        <v>4331</v>
      </c>
      <c r="AI2883" s="29" t="s">
        <v>3703</v>
      </c>
      <c r="AJ2883" s="29" t="s">
        <v>4332</v>
      </c>
      <c r="AL2883" s="29" t="s">
        <v>3670</v>
      </c>
    </row>
    <row r="2884" spans="27:38">
      <c r="AA2884" s="29" t="s">
        <v>43</v>
      </c>
      <c r="AB2884">
        <v>31200</v>
      </c>
      <c r="AC2884">
        <v>170</v>
      </c>
      <c r="AD2884">
        <v>4</v>
      </c>
      <c r="AE2884">
        <v>22</v>
      </c>
      <c r="AF2884">
        <v>22</v>
      </c>
      <c r="AG2884" s="29" t="s">
        <v>3669</v>
      </c>
      <c r="AH2884" s="29" t="s">
        <v>4333</v>
      </c>
      <c r="AI2884" s="29" t="s">
        <v>3703</v>
      </c>
      <c r="AJ2884" s="29" t="s">
        <v>4334</v>
      </c>
      <c r="AL2884" s="29" t="s">
        <v>3670</v>
      </c>
    </row>
    <row r="2885" spans="27:38">
      <c r="AA2885" s="29" t="s">
        <v>43</v>
      </c>
      <c r="AB2885">
        <v>31200</v>
      </c>
      <c r="AC2885">
        <v>170</v>
      </c>
      <c r="AD2885">
        <v>4</v>
      </c>
      <c r="AE2885">
        <v>9.1</v>
      </c>
      <c r="AF2885">
        <v>9.1</v>
      </c>
      <c r="AG2885" s="29" t="s">
        <v>3669</v>
      </c>
      <c r="AH2885" s="29" t="s">
        <v>4335</v>
      </c>
      <c r="AI2885" s="29" t="s">
        <v>3703</v>
      </c>
      <c r="AJ2885" s="29" t="s">
        <v>4336</v>
      </c>
      <c r="AL2885" s="29" t="s">
        <v>3670</v>
      </c>
    </row>
    <row r="2886" spans="27:38">
      <c r="AA2886" s="29" t="s">
        <v>43</v>
      </c>
      <c r="AB2886">
        <v>31200</v>
      </c>
      <c r="AC2886">
        <v>170</v>
      </c>
      <c r="AD2886">
        <v>4</v>
      </c>
      <c r="AE2886">
        <v>0</v>
      </c>
      <c r="AF2886">
        <v>0</v>
      </c>
      <c r="AG2886" s="29" t="s">
        <v>3669</v>
      </c>
      <c r="AH2886" s="29" t="s">
        <v>3673</v>
      </c>
      <c r="AI2886" s="29" t="s">
        <v>3703</v>
      </c>
      <c r="AJ2886" s="29" t="s">
        <v>4337</v>
      </c>
      <c r="AL2886" s="29" t="s">
        <v>3670</v>
      </c>
    </row>
    <row r="2887" spans="27:38">
      <c r="AA2887" s="29" t="s">
        <v>43</v>
      </c>
      <c r="AB2887">
        <v>31200</v>
      </c>
      <c r="AC2887">
        <v>170</v>
      </c>
      <c r="AD2887">
        <v>4</v>
      </c>
      <c r="AE2887">
        <v>0.14000000000000001</v>
      </c>
      <c r="AF2887">
        <v>0.14000000000000001</v>
      </c>
      <c r="AG2887" s="29" t="s">
        <v>3669</v>
      </c>
      <c r="AH2887" s="29" t="s">
        <v>4338</v>
      </c>
      <c r="AI2887" s="29" t="s">
        <v>3703</v>
      </c>
      <c r="AJ2887" s="29" t="s">
        <v>4339</v>
      </c>
      <c r="AL2887" s="29" t="s">
        <v>3670</v>
      </c>
    </row>
    <row r="2888" spans="27:38">
      <c r="AA2888" s="29" t="s">
        <v>43</v>
      </c>
      <c r="AB2888">
        <v>31200</v>
      </c>
      <c r="AC2888">
        <v>170</v>
      </c>
      <c r="AD2888">
        <v>4</v>
      </c>
      <c r="AE2888">
        <v>0.77</v>
      </c>
      <c r="AF2888">
        <v>0.77</v>
      </c>
      <c r="AG2888" s="29" t="s">
        <v>3669</v>
      </c>
      <c r="AH2888" s="29" t="s">
        <v>4340</v>
      </c>
      <c r="AI2888" s="29" t="s">
        <v>3703</v>
      </c>
      <c r="AJ2888" s="29" t="s">
        <v>2810</v>
      </c>
      <c r="AL2888" s="29" t="s">
        <v>3670</v>
      </c>
    </row>
    <row r="2889" spans="27:38">
      <c r="AA2889" s="29" t="s">
        <v>43</v>
      </c>
      <c r="AB2889">
        <v>31200</v>
      </c>
      <c r="AC2889">
        <v>170</v>
      </c>
      <c r="AD2889">
        <v>4</v>
      </c>
      <c r="AE2889">
        <v>21.6</v>
      </c>
      <c r="AF2889">
        <v>21.6</v>
      </c>
      <c r="AG2889" s="29" t="s">
        <v>3669</v>
      </c>
      <c r="AH2889" s="29" t="s">
        <v>4341</v>
      </c>
      <c r="AI2889" s="29" t="s">
        <v>3703</v>
      </c>
      <c r="AJ2889" s="29" t="s">
        <v>4342</v>
      </c>
      <c r="AL2889" s="29" t="s">
        <v>3670</v>
      </c>
    </row>
    <row r="2890" spans="27:38">
      <c r="AA2890" s="29" t="s">
        <v>43</v>
      </c>
      <c r="AB2890">
        <v>31200</v>
      </c>
      <c r="AC2890">
        <v>170</v>
      </c>
      <c r="AD2890">
        <v>4</v>
      </c>
      <c r="AE2890">
        <v>0</v>
      </c>
      <c r="AF2890">
        <v>0</v>
      </c>
      <c r="AG2890" s="29" t="s">
        <v>3669</v>
      </c>
      <c r="AH2890" s="29" t="s">
        <v>3673</v>
      </c>
      <c r="AI2890" s="29" t="s">
        <v>3703</v>
      </c>
      <c r="AJ2890" s="29" t="s">
        <v>4343</v>
      </c>
      <c r="AL2890" s="29" t="s">
        <v>3670</v>
      </c>
    </row>
    <row r="2891" spans="27:38">
      <c r="AA2891" s="29" t="s">
        <v>43</v>
      </c>
      <c r="AB2891">
        <v>31200</v>
      </c>
      <c r="AC2891">
        <v>170</v>
      </c>
      <c r="AD2891">
        <v>4</v>
      </c>
      <c r="AE2891">
        <v>1.89</v>
      </c>
      <c r="AF2891">
        <v>1.89</v>
      </c>
      <c r="AG2891" s="29" t="s">
        <v>3669</v>
      </c>
      <c r="AH2891" s="29" t="s">
        <v>4344</v>
      </c>
      <c r="AI2891" s="29" t="s">
        <v>3703</v>
      </c>
      <c r="AJ2891" s="29" t="s">
        <v>4345</v>
      </c>
      <c r="AL2891" s="29" t="s">
        <v>3670</v>
      </c>
    </row>
    <row r="2892" spans="27:38">
      <c r="AA2892" s="29" t="s">
        <v>43</v>
      </c>
      <c r="AB2892">
        <v>31200</v>
      </c>
      <c r="AC2892">
        <v>170</v>
      </c>
      <c r="AD2892">
        <v>4</v>
      </c>
      <c r="AE2892">
        <v>10.5</v>
      </c>
      <c r="AF2892">
        <v>10.5</v>
      </c>
      <c r="AG2892" s="29" t="s">
        <v>3669</v>
      </c>
      <c r="AH2892" s="29" t="s">
        <v>4346</v>
      </c>
      <c r="AI2892" s="29" t="s">
        <v>3703</v>
      </c>
      <c r="AJ2892" s="29" t="s">
        <v>4347</v>
      </c>
      <c r="AL2892" s="29" t="s">
        <v>3670</v>
      </c>
    </row>
    <row r="2893" spans="27:38">
      <c r="AA2893" s="29" t="s">
        <v>43</v>
      </c>
      <c r="AB2893">
        <v>31200</v>
      </c>
      <c r="AC2893">
        <v>170</v>
      </c>
      <c r="AD2893">
        <v>4</v>
      </c>
      <c r="AE2893">
        <v>3.64</v>
      </c>
      <c r="AF2893">
        <v>3.64</v>
      </c>
      <c r="AG2893" s="29" t="s">
        <v>3669</v>
      </c>
      <c r="AH2893" s="29" t="s">
        <v>4348</v>
      </c>
      <c r="AI2893" s="29" t="s">
        <v>3703</v>
      </c>
      <c r="AJ2893" s="29" t="s">
        <v>4349</v>
      </c>
      <c r="AL2893" s="29" t="s">
        <v>3670</v>
      </c>
    </row>
    <row r="2894" spans="27:38">
      <c r="AA2894" s="29" t="s">
        <v>43</v>
      </c>
      <c r="AB2894">
        <v>31200</v>
      </c>
      <c r="AC2894">
        <v>170</v>
      </c>
      <c r="AD2894">
        <v>4</v>
      </c>
      <c r="AE2894">
        <v>3.22</v>
      </c>
      <c r="AF2894">
        <v>3.22</v>
      </c>
      <c r="AG2894" s="29" t="s">
        <v>3669</v>
      </c>
      <c r="AH2894" s="29" t="s">
        <v>4350</v>
      </c>
      <c r="AI2894" s="29" t="s">
        <v>3703</v>
      </c>
      <c r="AJ2894" s="29" t="s">
        <v>4351</v>
      </c>
      <c r="AL2894" s="29" t="s">
        <v>3670</v>
      </c>
    </row>
    <row r="2895" spans="27:38">
      <c r="AA2895" s="29" t="s">
        <v>43</v>
      </c>
      <c r="AB2895">
        <v>31200</v>
      </c>
      <c r="AC2895">
        <v>170</v>
      </c>
      <c r="AD2895">
        <v>4</v>
      </c>
      <c r="AE2895">
        <v>33.14</v>
      </c>
      <c r="AF2895">
        <v>33.14</v>
      </c>
      <c r="AG2895" s="29" t="s">
        <v>3669</v>
      </c>
      <c r="AH2895" s="29" t="s">
        <v>4352</v>
      </c>
      <c r="AI2895" s="29" t="s">
        <v>3703</v>
      </c>
      <c r="AJ2895" s="29" t="s">
        <v>4353</v>
      </c>
      <c r="AL2895" s="29" t="s">
        <v>3670</v>
      </c>
    </row>
    <row r="2896" spans="27:38">
      <c r="AA2896" s="29" t="s">
        <v>43</v>
      </c>
      <c r="AB2896">
        <v>31200</v>
      </c>
      <c r="AC2896">
        <v>170</v>
      </c>
      <c r="AD2896">
        <v>4</v>
      </c>
      <c r="AE2896">
        <v>1.35</v>
      </c>
      <c r="AF2896">
        <v>1.35</v>
      </c>
      <c r="AG2896" s="29" t="s">
        <v>3669</v>
      </c>
      <c r="AH2896" s="29" t="s">
        <v>4354</v>
      </c>
      <c r="AI2896" s="29" t="s">
        <v>3703</v>
      </c>
      <c r="AJ2896" s="29" t="s">
        <v>4355</v>
      </c>
      <c r="AL2896" s="29" t="s">
        <v>3670</v>
      </c>
    </row>
    <row r="2897" spans="27:38">
      <c r="AA2897" s="29" t="s">
        <v>43</v>
      </c>
      <c r="AB2897">
        <v>31200</v>
      </c>
      <c r="AC2897">
        <v>170</v>
      </c>
      <c r="AD2897">
        <v>4</v>
      </c>
      <c r="AE2897">
        <v>13.26</v>
      </c>
      <c r="AF2897">
        <v>13.26</v>
      </c>
      <c r="AG2897" s="29" t="s">
        <v>3669</v>
      </c>
      <c r="AH2897" s="29" t="s">
        <v>4356</v>
      </c>
      <c r="AI2897" s="29" t="s">
        <v>3703</v>
      </c>
      <c r="AJ2897" s="29" t="s">
        <v>4357</v>
      </c>
      <c r="AL2897" s="29" t="s">
        <v>3670</v>
      </c>
    </row>
    <row r="2898" spans="27:38">
      <c r="AA2898" s="29" t="s">
        <v>43</v>
      </c>
      <c r="AB2898">
        <v>31200</v>
      </c>
      <c r="AC2898">
        <v>170</v>
      </c>
      <c r="AD2898">
        <v>4</v>
      </c>
      <c r="AE2898">
        <v>31.6</v>
      </c>
      <c r="AF2898">
        <v>31.6</v>
      </c>
      <c r="AG2898" s="29" t="s">
        <v>3669</v>
      </c>
      <c r="AH2898" s="29" t="s">
        <v>4358</v>
      </c>
      <c r="AI2898" s="29" t="s">
        <v>3703</v>
      </c>
      <c r="AJ2898" s="29" t="s">
        <v>4359</v>
      </c>
      <c r="AL2898" s="29" t="s">
        <v>3670</v>
      </c>
    </row>
    <row r="2899" spans="27:38">
      <c r="AA2899" s="29" t="s">
        <v>43</v>
      </c>
      <c r="AB2899">
        <v>31200</v>
      </c>
      <c r="AC2899">
        <v>170</v>
      </c>
      <c r="AD2899">
        <v>4</v>
      </c>
      <c r="AE2899">
        <v>4.4000000000000004</v>
      </c>
      <c r="AF2899">
        <v>4.4000000000000004</v>
      </c>
      <c r="AG2899" s="29" t="s">
        <v>3669</v>
      </c>
      <c r="AH2899" s="29" t="s">
        <v>4195</v>
      </c>
      <c r="AI2899" s="29" t="s">
        <v>3703</v>
      </c>
      <c r="AJ2899" s="29" t="s">
        <v>2965</v>
      </c>
      <c r="AL2899" s="29" t="s">
        <v>3670</v>
      </c>
    </row>
    <row r="2900" spans="27:38">
      <c r="AA2900" s="29" t="s">
        <v>43</v>
      </c>
      <c r="AB2900">
        <v>31200</v>
      </c>
      <c r="AC2900">
        <v>170</v>
      </c>
      <c r="AD2900">
        <v>4</v>
      </c>
      <c r="AE2900">
        <v>6.6</v>
      </c>
      <c r="AF2900">
        <v>6.6</v>
      </c>
      <c r="AG2900" s="29" t="s">
        <v>3669</v>
      </c>
      <c r="AH2900" s="29" t="s">
        <v>3972</v>
      </c>
      <c r="AI2900" s="29" t="s">
        <v>3703</v>
      </c>
      <c r="AJ2900" s="29" t="s">
        <v>4360</v>
      </c>
      <c r="AL2900" s="29" t="s">
        <v>3670</v>
      </c>
    </row>
    <row r="2901" spans="27:38">
      <c r="AA2901" s="29" t="s">
        <v>43</v>
      </c>
      <c r="AB2901">
        <v>31200</v>
      </c>
      <c r="AC2901">
        <v>170</v>
      </c>
      <c r="AD2901">
        <v>4</v>
      </c>
      <c r="AE2901">
        <v>3.06</v>
      </c>
      <c r="AF2901">
        <v>3.06</v>
      </c>
      <c r="AG2901" s="29" t="s">
        <v>3669</v>
      </c>
      <c r="AH2901" s="29" t="s">
        <v>4361</v>
      </c>
      <c r="AI2901" s="29" t="s">
        <v>3703</v>
      </c>
      <c r="AJ2901" s="29" t="s">
        <v>4362</v>
      </c>
      <c r="AL2901" s="29" t="s">
        <v>3670</v>
      </c>
    </row>
    <row r="2902" spans="27:38">
      <c r="AA2902" s="29" t="s">
        <v>43</v>
      </c>
      <c r="AB2902">
        <v>31200</v>
      </c>
      <c r="AC2902">
        <v>170</v>
      </c>
      <c r="AD2902">
        <v>4</v>
      </c>
      <c r="AE2902">
        <v>3.34</v>
      </c>
      <c r="AF2902">
        <v>3.34</v>
      </c>
      <c r="AG2902" s="29" t="s">
        <v>3669</v>
      </c>
      <c r="AH2902" s="29" t="s">
        <v>4363</v>
      </c>
      <c r="AI2902" s="29" t="s">
        <v>3703</v>
      </c>
      <c r="AJ2902" s="29" t="s">
        <v>4364</v>
      </c>
      <c r="AL2902" s="29" t="s">
        <v>3670</v>
      </c>
    </row>
    <row r="2903" spans="27:38">
      <c r="AA2903" s="29" t="s">
        <v>43</v>
      </c>
      <c r="AB2903">
        <v>31200</v>
      </c>
      <c r="AC2903">
        <v>170</v>
      </c>
      <c r="AD2903">
        <v>4</v>
      </c>
      <c r="AE2903">
        <v>6.28</v>
      </c>
      <c r="AF2903">
        <v>6.28</v>
      </c>
      <c r="AG2903" s="29" t="s">
        <v>3669</v>
      </c>
      <c r="AH2903" s="29" t="s">
        <v>4365</v>
      </c>
      <c r="AI2903" s="29" t="s">
        <v>3703</v>
      </c>
      <c r="AJ2903" s="29" t="s">
        <v>4366</v>
      </c>
      <c r="AL2903" s="29" t="s">
        <v>3670</v>
      </c>
    </row>
    <row r="2904" spans="27:38">
      <c r="AA2904" s="29" t="s">
        <v>43</v>
      </c>
      <c r="AB2904">
        <v>31200</v>
      </c>
      <c r="AC2904">
        <v>170</v>
      </c>
      <c r="AD2904">
        <v>4</v>
      </c>
      <c r="AE2904">
        <v>4.08</v>
      </c>
      <c r="AF2904">
        <v>4.08</v>
      </c>
      <c r="AG2904" s="29" t="s">
        <v>3669</v>
      </c>
      <c r="AH2904" s="29" t="s">
        <v>4367</v>
      </c>
      <c r="AI2904" s="29" t="s">
        <v>3703</v>
      </c>
      <c r="AJ2904" s="29" t="s">
        <v>4368</v>
      </c>
      <c r="AL2904" s="29" t="s">
        <v>3670</v>
      </c>
    </row>
    <row r="2905" spans="27:38">
      <c r="AA2905" s="29" t="s">
        <v>43</v>
      </c>
      <c r="AB2905">
        <v>31200</v>
      </c>
      <c r="AC2905">
        <v>170</v>
      </c>
      <c r="AD2905">
        <v>4</v>
      </c>
      <c r="AE2905">
        <v>3.78</v>
      </c>
      <c r="AF2905">
        <v>3.78</v>
      </c>
      <c r="AG2905" s="29" t="s">
        <v>3669</v>
      </c>
      <c r="AH2905" s="29" t="s">
        <v>4369</v>
      </c>
      <c r="AI2905" s="29" t="s">
        <v>3703</v>
      </c>
      <c r="AJ2905" s="29" t="s">
        <v>4370</v>
      </c>
      <c r="AL2905" s="29" t="s">
        <v>3670</v>
      </c>
    </row>
    <row r="2906" spans="27:38">
      <c r="AA2906" s="29" t="s">
        <v>43</v>
      </c>
      <c r="AB2906">
        <v>31200</v>
      </c>
      <c r="AC2906">
        <v>170</v>
      </c>
      <c r="AD2906">
        <v>4</v>
      </c>
      <c r="AE2906">
        <v>5.65</v>
      </c>
      <c r="AF2906">
        <v>5.65</v>
      </c>
      <c r="AG2906" s="29" t="s">
        <v>3669</v>
      </c>
      <c r="AH2906" s="29" t="s">
        <v>4371</v>
      </c>
      <c r="AI2906" s="29" t="s">
        <v>3703</v>
      </c>
      <c r="AJ2906" s="29" t="s">
        <v>4372</v>
      </c>
      <c r="AL2906" s="29" t="s">
        <v>3670</v>
      </c>
    </row>
    <row r="2907" spans="27:38">
      <c r="AA2907" s="29" t="s">
        <v>43</v>
      </c>
      <c r="AB2907">
        <v>31200</v>
      </c>
      <c r="AC2907">
        <v>170</v>
      </c>
      <c r="AD2907">
        <v>4</v>
      </c>
      <c r="AE2907">
        <v>6.4</v>
      </c>
      <c r="AF2907">
        <v>6.4</v>
      </c>
      <c r="AG2907" s="29" t="s">
        <v>3669</v>
      </c>
      <c r="AH2907" s="29" t="s">
        <v>4373</v>
      </c>
      <c r="AI2907" s="29" t="s">
        <v>3703</v>
      </c>
      <c r="AJ2907" s="29" t="s">
        <v>4374</v>
      </c>
      <c r="AL2907" s="29" t="s">
        <v>3670</v>
      </c>
    </row>
    <row r="2908" spans="27:38">
      <c r="AA2908" s="29" t="s">
        <v>43</v>
      </c>
      <c r="AB2908">
        <v>31200</v>
      </c>
      <c r="AC2908">
        <v>170</v>
      </c>
      <c r="AD2908">
        <v>4</v>
      </c>
      <c r="AE2908">
        <v>0</v>
      </c>
      <c r="AF2908">
        <v>0</v>
      </c>
      <c r="AG2908" s="29" t="s">
        <v>3669</v>
      </c>
      <c r="AH2908" s="29" t="s">
        <v>3673</v>
      </c>
      <c r="AI2908" s="29" t="s">
        <v>3703</v>
      </c>
      <c r="AJ2908" s="29" t="s">
        <v>4375</v>
      </c>
      <c r="AL2908" s="29" t="s">
        <v>3670</v>
      </c>
    </row>
    <row r="2909" spans="27:38">
      <c r="AA2909" s="29" t="s">
        <v>43</v>
      </c>
      <c r="AB2909">
        <v>31200</v>
      </c>
      <c r="AC2909">
        <v>170</v>
      </c>
      <c r="AD2909">
        <v>4</v>
      </c>
      <c r="AE2909">
        <v>9.5</v>
      </c>
      <c r="AF2909">
        <v>9.5</v>
      </c>
      <c r="AG2909" s="29" t="s">
        <v>3669</v>
      </c>
      <c r="AH2909" s="29" t="s">
        <v>4376</v>
      </c>
      <c r="AI2909" s="29" t="s">
        <v>3703</v>
      </c>
      <c r="AJ2909" s="29" t="s">
        <v>4377</v>
      </c>
      <c r="AL2909" s="29" t="s">
        <v>3670</v>
      </c>
    </row>
    <row r="2910" spans="27:38">
      <c r="AA2910" s="29" t="s">
        <v>43</v>
      </c>
      <c r="AB2910">
        <v>31200</v>
      </c>
      <c r="AC2910">
        <v>170</v>
      </c>
      <c r="AD2910">
        <v>4</v>
      </c>
      <c r="AE2910">
        <v>18.64</v>
      </c>
      <c r="AF2910">
        <v>18.64</v>
      </c>
      <c r="AG2910" s="29" t="s">
        <v>3669</v>
      </c>
      <c r="AH2910" s="29" t="s">
        <v>4378</v>
      </c>
      <c r="AI2910" s="29" t="s">
        <v>3703</v>
      </c>
      <c r="AJ2910" s="29" t="s">
        <v>4379</v>
      </c>
      <c r="AL2910" s="29" t="s">
        <v>3670</v>
      </c>
    </row>
    <row r="2911" spans="27:38">
      <c r="AA2911" s="29" t="s">
        <v>43</v>
      </c>
      <c r="AB2911">
        <v>31200</v>
      </c>
      <c r="AC2911">
        <v>170</v>
      </c>
      <c r="AD2911">
        <v>4</v>
      </c>
      <c r="AE2911">
        <v>11.7</v>
      </c>
      <c r="AF2911">
        <v>11.7</v>
      </c>
      <c r="AG2911" s="29" t="s">
        <v>3669</v>
      </c>
      <c r="AH2911" s="29" t="s">
        <v>4380</v>
      </c>
      <c r="AI2911" s="29" t="s">
        <v>3703</v>
      </c>
      <c r="AJ2911" s="29" t="s">
        <v>4381</v>
      </c>
      <c r="AL2911" s="29" t="s">
        <v>3670</v>
      </c>
    </row>
    <row r="2912" spans="27:38">
      <c r="AA2912" s="29" t="s">
        <v>43</v>
      </c>
      <c r="AB2912">
        <v>31200</v>
      </c>
      <c r="AC2912">
        <v>170</v>
      </c>
      <c r="AD2912">
        <v>4</v>
      </c>
      <c r="AE2912">
        <v>0</v>
      </c>
      <c r="AF2912">
        <v>0</v>
      </c>
      <c r="AG2912" s="29" t="s">
        <v>3669</v>
      </c>
      <c r="AH2912" s="29" t="s">
        <v>3673</v>
      </c>
      <c r="AI2912" s="29" t="s">
        <v>3703</v>
      </c>
      <c r="AJ2912" s="29" t="s">
        <v>4382</v>
      </c>
      <c r="AL2912" s="29" t="s">
        <v>3670</v>
      </c>
    </row>
    <row r="2913" spans="27:38">
      <c r="AA2913" s="29" t="s">
        <v>43</v>
      </c>
      <c r="AB2913">
        <v>31200</v>
      </c>
      <c r="AC2913">
        <v>170</v>
      </c>
      <c r="AD2913">
        <v>4</v>
      </c>
      <c r="AE2913">
        <v>1.2</v>
      </c>
      <c r="AF2913">
        <v>1.2</v>
      </c>
      <c r="AG2913" s="29" t="s">
        <v>3669</v>
      </c>
      <c r="AH2913" s="29" t="s">
        <v>4383</v>
      </c>
      <c r="AI2913" s="29" t="s">
        <v>3703</v>
      </c>
      <c r="AJ2913" s="29" t="s">
        <v>4384</v>
      </c>
      <c r="AL2913" s="29" t="s">
        <v>3670</v>
      </c>
    </row>
    <row r="2914" spans="27:38">
      <c r="AA2914" s="29" t="s">
        <v>43</v>
      </c>
      <c r="AB2914">
        <v>31200</v>
      </c>
      <c r="AC2914">
        <v>170</v>
      </c>
      <c r="AD2914">
        <v>4</v>
      </c>
      <c r="AE2914">
        <v>0.47</v>
      </c>
      <c r="AF2914">
        <v>0.47</v>
      </c>
      <c r="AG2914" s="29" t="s">
        <v>3669</v>
      </c>
      <c r="AH2914" s="29" t="s">
        <v>4385</v>
      </c>
      <c r="AI2914" s="29" t="s">
        <v>3703</v>
      </c>
      <c r="AJ2914" s="29" t="s">
        <v>4386</v>
      </c>
      <c r="AL2914" s="29" t="s">
        <v>3670</v>
      </c>
    </row>
    <row r="2915" spans="27:38">
      <c r="AA2915" s="29" t="s">
        <v>43</v>
      </c>
      <c r="AB2915">
        <v>31200</v>
      </c>
      <c r="AC2915">
        <v>170</v>
      </c>
      <c r="AD2915">
        <v>4</v>
      </c>
      <c r="AE2915">
        <v>10.5</v>
      </c>
      <c r="AF2915">
        <v>10.5</v>
      </c>
      <c r="AG2915" s="29" t="s">
        <v>3669</v>
      </c>
      <c r="AH2915" s="29" t="s">
        <v>4346</v>
      </c>
      <c r="AI2915" s="29" t="s">
        <v>3703</v>
      </c>
      <c r="AJ2915" s="29" t="s">
        <v>4347</v>
      </c>
      <c r="AL2915" s="29" t="s">
        <v>3670</v>
      </c>
    </row>
    <row r="2916" spans="27:38">
      <c r="AA2916" s="29" t="s">
        <v>43</v>
      </c>
      <c r="AB2916">
        <v>31200</v>
      </c>
      <c r="AC2916">
        <v>170</v>
      </c>
      <c r="AD2916">
        <v>4</v>
      </c>
      <c r="AE2916">
        <v>3.64</v>
      </c>
      <c r="AF2916">
        <v>3.64</v>
      </c>
      <c r="AG2916" s="29" t="s">
        <v>3669</v>
      </c>
      <c r="AH2916" s="29" t="s">
        <v>4348</v>
      </c>
      <c r="AI2916" s="29" t="s">
        <v>3703</v>
      </c>
      <c r="AJ2916" s="29" t="s">
        <v>4349</v>
      </c>
      <c r="AL2916" s="29" t="s">
        <v>3670</v>
      </c>
    </row>
    <row r="2917" spans="27:38">
      <c r="AA2917" s="29" t="s">
        <v>43</v>
      </c>
      <c r="AB2917">
        <v>31200</v>
      </c>
      <c r="AC2917">
        <v>170</v>
      </c>
      <c r="AD2917">
        <v>4</v>
      </c>
      <c r="AE2917">
        <v>0</v>
      </c>
      <c r="AF2917">
        <v>0</v>
      </c>
      <c r="AG2917" s="29" t="s">
        <v>3669</v>
      </c>
      <c r="AH2917" s="29" t="s">
        <v>3673</v>
      </c>
      <c r="AI2917" s="29" t="s">
        <v>3703</v>
      </c>
      <c r="AJ2917" s="29" t="s">
        <v>4382</v>
      </c>
      <c r="AL2917" s="29" t="s">
        <v>3670</v>
      </c>
    </row>
    <row r="2918" spans="27:38">
      <c r="AA2918" s="29" t="s">
        <v>43</v>
      </c>
      <c r="AB2918">
        <v>31200</v>
      </c>
      <c r="AC2918">
        <v>170</v>
      </c>
      <c r="AD2918">
        <v>4</v>
      </c>
      <c r="AE2918">
        <v>14.58</v>
      </c>
      <c r="AF2918">
        <v>14.58</v>
      </c>
      <c r="AG2918" s="29" t="s">
        <v>3669</v>
      </c>
      <c r="AH2918" s="29" t="s">
        <v>4072</v>
      </c>
      <c r="AI2918" s="29" t="s">
        <v>3703</v>
      </c>
      <c r="AJ2918" s="29" t="s">
        <v>4387</v>
      </c>
      <c r="AL2918" s="29" t="s">
        <v>3670</v>
      </c>
    </row>
    <row r="2919" spans="27:38">
      <c r="AA2919" s="29" t="s">
        <v>43</v>
      </c>
      <c r="AB2919">
        <v>31200</v>
      </c>
      <c r="AC2919">
        <v>170</v>
      </c>
      <c r="AD2919">
        <v>4</v>
      </c>
      <c r="AE2919">
        <v>17.649999999999999</v>
      </c>
      <c r="AF2919">
        <v>17.649999999999999</v>
      </c>
      <c r="AG2919" s="29" t="s">
        <v>3669</v>
      </c>
      <c r="AH2919" s="29" t="s">
        <v>4388</v>
      </c>
      <c r="AI2919" s="29" t="s">
        <v>3703</v>
      </c>
      <c r="AJ2919" s="29" t="s">
        <v>4389</v>
      </c>
      <c r="AL2919" s="29" t="s">
        <v>3670</v>
      </c>
    </row>
    <row r="2920" spans="27:38">
      <c r="AA2920" s="29" t="s">
        <v>43</v>
      </c>
      <c r="AB2920">
        <v>31200</v>
      </c>
      <c r="AC2920">
        <v>170</v>
      </c>
      <c r="AD2920">
        <v>4</v>
      </c>
      <c r="AE2920">
        <v>12.52</v>
      </c>
      <c r="AF2920">
        <v>12.52</v>
      </c>
      <c r="AG2920" s="29" t="s">
        <v>3669</v>
      </c>
      <c r="AH2920" s="29" t="s">
        <v>4390</v>
      </c>
      <c r="AI2920" s="29" t="s">
        <v>3703</v>
      </c>
      <c r="AJ2920" s="29" t="s">
        <v>4391</v>
      </c>
      <c r="AL2920" s="29" t="s">
        <v>3670</v>
      </c>
    </row>
    <row r="2921" spans="27:38">
      <c r="AA2921" s="29" t="s">
        <v>43</v>
      </c>
      <c r="AB2921">
        <v>31200</v>
      </c>
      <c r="AC2921">
        <v>170</v>
      </c>
      <c r="AD2921">
        <v>4</v>
      </c>
      <c r="AE2921">
        <v>14.9</v>
      </c>
      <c r="AF2921">
        <v>14.9</v>
      </c>
      <c r="AG2921" s="29" t="s">
        <v>3669</v>
      </c>
      <c r="AH2921" s="29" t="s">
        <v>4325</v>
      </c>
      <c r="AI2921" s="29" t="s">
        <v>3703</v>
      </c>
      <c r="AJ2921" s="29" t="s">
        <v>4326</v>
      </c>
      <c r="AL2921" s="29" t="s">
        <v>3670</v>
      </c>
    </row>
    <row r="2922" spans="27:38">
      <c r="AA2922" s="29" t="s">
        <v>43</v>
      </c>
      <c r="AB2922">
        <v>31200</v>
      </c>
      <c r="AC2922">
        <v>170</v>
      </c>
      <c r="AD2922">
        <v>4</v>
      </c>
      <c r="AE2922">
        <v>10</v>
      </c>
      <c r="AF2922">
        <v>10</v>
      </c>
      <c r="AG2922" s="29" t="s">
        <v>3669</v>
      </c>
      <c r="AH2922" s="29" t="s">
        <v>4392</v>
      </c>
      <c r="AI2922" s="29" t="s">
        <v>3703</v>
      </c>
      <c r="AJ2922" s="29" t="s">
        <v>4393</v>
      </c>
      <c r="AL2922" s="29" t="s">
        <v>3670</v>
      </c>
    </row>
    <row r="2923" spans="27:38">
      <c r="AA2923" s="29" t="s">
        <v>43</v>
      </c>
      <c r="AB2923">
        <v>31200</v>
      </c>
      <c r="AC2923">
        <v>170</v>
      </c>
      <c r="AD2923">
        <v>4</v>
      </c>
      <c r="AE2923">
        <v>323.66000000000003</v>
      </c>
      <c r="AF2923">
        <v>323.66000000000003</v>
      </c>
      <c r="AG2923" s="29" t="s">
        <v>3669</v>
      </c>
      <c r="AH2923" s="29" t="s">
        <v>4394</v>
      </c>
      <c r="AI2923" s="29" t="s">
        <v>3703</v>
      </c>
      <c r="AJ2923" s="29" t="s">
        <v>4395</v>
      </c>
      <c r="AL2923" s="29" t="s">
        <v>3670</v>
      </c>
    </row>
    <row r="2924" spans="27:38">
      <c r="AA2924" s="29" t="s">
        <v>43</v>
      </c>
      <c r="AB2924">
        <v>31200</v>
      </c>
      <c r="AC2924">
        <v>170</v>
      </c>
      <c r="AD2924">
        <v>4</v>
      </c>
      <c r="AE2924">
        <v>400</v>
      </c>
      <c r="AF2924">
        <v>400</v>
      </c>
      <c r="AG2924" s="29" t="s">
        <v>3669</v>
      </c>
      <c r="AH2924" s="29" t="s">
        <v>4396</v>
      </c>
      <c r="AI2924" s="29" t="s">
        <v>3703</v>
      </c>
      <c r="AJ2924" s="29" t="s">
        <v>4397</v>
      </c>
      <c r="AL2924" s="29" t="s">
        <v>3670</v>
      </c>
    </row>
    <row r="2925" spans="27:38">
      <c r="AA2925" s="29" t="s">
        <v>43</v>
      </c>
      <c r="AB2925">
        <v>31200</v>
      </c>
      <c r="AC2925">
        <v>170</v>
      </c>
      <c r="AD2925">
        <v>4</v>
      </c>
      <c r="AE2925">
        <v>926.2</v>
      </c>
      <c r="AF2925">
        <v>926.2</v>
      </c>
      <c r="AG2925" s="29" t="s">
        <v>3669</v>
      </c>
      <c r="AH2925" s="29" t="s">
        <v>4398</v>
      </c>
      <c r="AI2925" s="29" t="s">
        <v>3703</v>
      </c>
      <c r="AJ2925" s="29" t="s">
        <v>4399</v>
      </c>
      <c r="AL2925" s="29" t="s">
        <v>3670</v>
      </c>
    </row>
    <row r="2926" spans="27:38">
      <c r="AA2926" s="29" t="s">
        <v>43</v>
      </c>
      <c r="AB2926">
        <v>31200</v>
      </c>
      <c r="AC2926">
        <v>170</v>
      </c>
      <c r="AD2926">
        <v>4</v>
      </c>
      <c r="AE2926">
        <v>930</v>
      </c>
      <c r="AF2926">
        <v>930</v>
      </c>
      <c r="AG2926" s="29" t="s">
        <v>3669</v>
      </c>
      <c r="AH2926" s="29" t="s">
        <v>4400</v>
      </c>
      <c r="AI2926" s="29" t="s">
        <v>3703</v>
      </c>
      <c r="AJ2926" s="29" t="s">
        <v>4401</v>
      </c>
      <c r="AL2926" s="29" t="s">
        <v>3670</v>
      </c>
    </row>
    <row r="2927" spans="27:38">
      <c r="AA2927" s="29" t="s">
        <v>43</v>
      </c>
      <c r="AB2927">
        <v>31200</v>
      </c>
      <c r="AC2927">
        <v>170</v>
      </c>
      <c r="AD2927">
        <v>4</v>
      </c>
      <c r="AE2927">
        <v>61.2</v>
      </c>
      <c r="AF2927">
        <v>61.2</v>
      </c>
      <c r="AG2927" s="29" t="s">
        <v>3669</v>
      </c>
      <c r="AH2927" s="29" t="s">
        <v>4402</v>
      </c>
      <c r="AI2927" s="29" t="s">
        <v>3703</v>
      </c>
      <c r="AJ2927" s="29" t="s">
        <v>4403</v>
      </c>
      <c r="AL2927" s="29" t="s">
        <v>3670</v>
      </c>
    </row>
    <row r="2928" spans="27:38">
      <c r="AA2928" s="29" t="s">
        <v>43</v>
      </c>
      <c r="AB2928">
        <v>31200</v>
      </c>
      <c r="AC2928">
        <v>170</v>
      </c>
      <c r="AD2928">
        <v>4</v>
      </c>
      <c r="AE2928">
        <v>167.41</v>
      </c>
      <c r="AF2928">
        <v>167.41</v>
      </c>
      <c r="AG2928" s="29" t="s">
        <v>3669</v>
      </c>
      <c r="AH2928" s="29" t="s">
        <v>4404</v>
      </c>
      <c r="AI2928" s="29" t="s">
        <v>3703</v>
      </c>
      <c r="AJ2928" s="29" t="s">
        <v>4405</v>
      </c>
      <c r="AL2928" s="29" t="s">
        <v>3670</v>
      </c>
    </row>
    <row r="2929" spans="27:38">
      <c r="AA2929" s="29" t="s">
        <v>43</v>
      </c>
      <c r="AB2929">
        <v>31200</v>
      </c>
      <c r="AC2929">
        <v>170</v>
      </c>
      <c r="AD2929">
        <v>4</v>
      </c>
      <c r="AE2929">
        <v>46.94</v>
      </c>
      <c r="AF2929">
        <v>46.94</v>
      </c>
      <c r="AG2929" s="29" t="s">
        <v>3669</v>
      </c>
      <c r="AH2929" s="29" t="s">
        <v>4406</v>
      </c>
      <c r="AI2929" s="29" t="s">
        <v>3703</v>
      </c>
      <c r="AJ2929" s="29" t="s">
        <v>4407</v>
      </c>
      <c r="AL2929" s="29" t="s">
        <v>3670</v>
      </c>
    </row>
    <row r="2930" spans="27:38">
      <c r="AA2930" s="29" t="s">
        <v>43</v>
      </c>
      <c r="AB2930">
        <v>31200</v>
      </c>
      <c r="AC2930">
        <v>170</v>
      </c>
      <c r="AD2930">
        <v>4</v>
      </c>
      <c r="AE2930">
        <v>39.1</v>
      </c>
      <c r="AF2930">
        <v>39.1</v>
      </c>
      <c r="AG2930" s="29" t="s">
        <v>3669</v>
      </c>
      <c r="AH2930" s="29" t="s">
        <v>4408</v>
      </c>
      <c r="AI2930" s="29" t="s">
        <v>3703</v>
      </c>
      <c r="AJ2930" s="29" t="s">
        <v>4409</v>
      </c>
      <c r="AL2930" s="29" t="s">
        <v>3670</v>
      </c>
    </row>
    <row r="2931" spans="27:38">
      <c r="AA2931" s="29" t="s">
        <v>43</v>
      </c>
      <c r="AB2931">
        <v>31200</v>
      </c>
      <c r="AC2931">
        <v>170</v>
      </c>
      <c r="AD2931">
        <v>4</v>
      </c>
      <c r="AE2931">
        <v>706.91</v>
      </c>
      <c r="AF2931">
        <v>706.91</v>
      </c>
      <c r="AG2931" s="29" t="s">
        <v>3669</v>
      </c>
      <c r="AH2931" s="29" t="s">
        <v>4410</v>
      </c>
      <c r="AI2931" s="29" t="s">
        <v>3703</v>
      </c>
      <c r="AJ2931" s="29" t="s">
        <v>4411</v>
      </c>
      <c r="AL2931" s="29" t="s">
        <v>3670</v>
      </c>
    </row>
    <row r="2932" spans="27:38">
      <c r="AA2932" s="29" t="s">
        <v>43</v>
      </c>
      <c r="AB2932">
        <v>31200</v>
      </c>
      <c r="AC2932">
        <v>170</v>
      </c>
      <c r="AD2932">
        <v>4</v>
      </c>
      <c r="AE2932">
        <v>363.82</v>
      </c>
      <c r="AF2932">
        <v>363.82</v>
      </c>
      <c r="AG2932" s="29" t="s">
        <v>3669</v>
      </c>
      <c r="AH2932" s="29" t="s">
        <v>4412</v>
      </c>
      <c r="AI2932" s="29" t="s">
        <v>3703</v>
      </c>
      <c r="AJ2932" s="29" t="s">
        <v>4413</v>
      </c>
      <c r="AL2932" s="29" t="s">
        <v>3670</v>
      </c>
    </row>
    <row r="2933" spans="27:38">
      <c r="AA2933" s="29" t="s">
        <v>43</v>
      </c>
      <c r="AB2933">
        <v>31200</v>
      </c>
      <c r="AC2933">
        <v>170</v>
      </c>
      <c r="AD2933">
        <v>4</v>
      </c>
      <c r="AE2933">
        <v>256.89</v>
      </c>
      <c r="AF2933">
        <v>256.89</v>
      </c>
      <c r="AG2933" s="29" t="s">
        <v>3669</v>
      </c>
      <c r="AH2933" s="29" t="s">
        <v>4414</v>
      </c>
      <c r="AI2933" s="29" t="s">
        <v>3703</v>
      </c>
      <c r="AJ2933" s="29" t="s">
        <v>4415</v>
      </c>
      <c r="AL2933" s="29" t="s">
        <v>3670</v>
      </c>
    </row>
    <row r="2934" spans="27:38">
      <c r="AA2934" s="29" t="s">
        <v>43</v>
      </c>
      <c r="AB2934">
        <v>31200</v>
      </c>
      <c r="AC2934">
        <v>170</v>
      </c>
      <c r="AD2934">
        <v>4</v>
      </c>
      <c r="AE2934">
        <v>81.69</v>
      </c>
      <c r="AF2934">
        <v>81.69</v>
      </c>
      <c r="AG2934" s="29" t="s">
        <v>3669</v>
      </c>
      <c r="AH2934" s="29" t="s">
        <v>4416</v>
      </c>
      <c r="AI2934" s="29" t="s">
        <v>3703</v>
      </c>
      <c r="AJ2934" s="29" t="s">
        <v>4417</v>
      </c>
      <c r="AL2934" s="29" t="s">
        <v>3670</v>
      </c>
    </row>
    <row r="2935" spans="27:38">
      <c r="AA2935" s="29" t="s">
        <v>43</v>
      </c>
      <c r="AB2935">
        <v>31200</v>
      </c>
      <c r="AC2935">
        <v>170</v>
      </c>
      <c r="AD2935">
        <v>4</v>
      </c>
      <c r="AE2935">
        <v>242.65</v>
      </c>
      <c r="AF2935">
        <v>242.65</v>
      </c>
      <c r="AG2935" s="29" t="s">
        <v>3669</v>
      </c>
      <c r="AH2935" s="29" t="s">
        <v>4418</v>
      </c>
      <c r="AI2935" s="29" t="s">
        <v>3703</v>
      </c>
      <c r="AJ2935" s="29" t="s">
        <v>4419</v>
      </c>
      <c r="AL2935" s="29" t="s">
        <v>3670</v>
      </c>
    </row>
    <row r="2936" spans="27:38">
      <c r="AA2936" s="29" t="s">
        <v>43</v>
      </c>
      <c r="AB2936">
        <v>31200</v>
      </c>
      <c r="AC2936">
        <v>170</v>
      </c>
      <c r="AD2936">
        <v>4</v>
      </c>
      <c r="AE2936">
        <v>121.33</v>
      </c>
      <c r="AF2936">
        <v>121.33</v>
      </c>
      <c r="AG2936" s="29" t="s">
        <v>3669</v>
      </c>
      <c r="AH2936" s="29" t="s">
        <v>4420</v>
      </c>
      <c r="AI2936" s="29" t="s">
        <v>3703</v>
      </c>
      <c r="AJ2936" s="29" t="s">
        <v>4421</v>
      </c>
      <c r="AL2936" s="29" t="s">
        <v>3670</v>
      </c>
    </row>
    <row r="2937" spans="27:38">
      <c r="AA2937" s="29" t="s">
        <v>43</v>
      </c>
      <c r="AB2937">
        <v>31200</v>
      </c>
      <c r="AC2937">
        <v>170</v>
      </c>
      <c r="AD2937">
        <v>4</v>
      </c>
      <c r="AE2937">
        <v>67.27</v>
      </c>
      <c r="AF2937">
        <v>67.27</v>
      </c>
      <c r="AG2937" s="29" t="s">
        <v>3669</v>
      </c>
      <c r="AH2937" s="29" t="s">
        <v>4422</v>
      </c>
      <c r="AI2937" s="29" t="s">
        <v>3703</v>
      </c>
      <c r="AJ2937" s="29" t="s">
        <v>4423</v>
      </c>
      <c r="AL2937" s="29" t="s">
        <v>3670</v>
      </c>
    </row>
    <row r="2938" spans="27:38">
      <c r="AA2938" s="29" t="s">
        <v>43</v>
      </c>
      <c r="AB2938">
        <v>31200</v>
      </c>
      <c r="AC2938">
        <v>170</v>
      </c>
      <c r="AD2938">
        <v>4</v>
      </c>
      <c r="AE2938">
        <v>51.38</v>
      </c>
      <c r="AF2938">
        <v>51.38</v>
      </c>
      <c r="AG2938" s="29" t="s">
        <v>3669</v>
      </c>
      <c r="AH2938" s="29" t="s">
        <v>4424</v>
      </c>
      <c r="AI2938" s="29" t="s">
        <v>3703</v>
      </c>
      <c r="AJ2938" s="29" t="s">
        <v>1681</v>
      </c>
      <c r="AL2938" s="29" t="s">
        <v>3670</v>
      </c>
    </row>
    <row r="2939" spans="27:38">
      <c r="AA2939" s="29" t="s">
        <v>43</v>
      </c>
      <c r="AB2939">
        <v>31200</v>
      </c>
      <c r="AC2939">
        <v>170</v>
      </c>
      <c r="AD2939">
        <v>4</v>
      </c>
      <c r="AE2939">
        <v>12.85</v>
      </c>
      <c r="AF2939">
        <v>12.85</v>
      </c>
      <c r="AG2939" s="29" t="s">
        <v>3669</v>
      </c>
      <c r="AH2939" s="29" t="s">
        <v>4425</v>
      </c>
      <c r="AI2939" s="29" t="s">
        <v>3703</v>
      </c>
      <c r="AJ2939" s="29" t="s">
        <v>4426</v>
      </c>
      <c r="AL2939" s="29" t="s">
        <v>3670</v>
      </c>
    </row>
    <row r="2940" spans="27:38">
      <c r="AA2940" s="29" t="s">
        <v>43</v>
      </c>
      <c r="AB2940">
        <v>31200</v>
      </c>
      <c r="AC2940">
        <v>170</v>
      </c>
      <c r="AD2940">
        <v>4</v>
      </c>
      <c r="AE2940">
        <v>716.78</v>
      </c>
      <c r="AF2940">
        <v>716.78</v>
      </c>
      <c r="AG2940" s="29" t="s">
        <v>3669</v>
      </c>
      <c r="AH2940" s="29" t="s">
        <v>4427</v>
      </c>
      <c r="AI2940" s="29" t="s">
        <v>3703</v>
      </c>
      <c r="AJ2940" s="29" t="s">
        <v>4428</v>
      </c>
      <c r="AL2940" s="29" t="s">
        <v>3670</v>
      </c>
    </row>
    <row r="2941" spans="27:38">
      <c r="AA2941" s="29" t="s">
        <v>43</v>
      </c>
      <c r="AB2941">
        <v>31200</v>
      </c>
      <c r="AC2941">
        <v>170</v>
      </c>
      <c r="AD2941">
        <v>4</v>
      </c>
      <c r="AE2941">
        <v>134.55000000000001</v>
      </c>
      <c r="AF2941">
        <v>134.55000000000001</v>
      </c>
      <c r="AG2941" s="29" t="s">
        <v>3669</v>
      </c>
      <c r="AH2941" s="29" t="s">
        <v>4429</v>
      </c>
      <c r="AI2941" s="29" t="s">
        <v>3703</v>
      </c>
      <c r="AJ2941" s="29" t="s">
        <v>4430</v>
      </c>
      <c r="AL2941" s="29" t="s">
        <v>3670</v>
      </c>
    </row>
    <row r="2942" spans="27:38">
      <c r="AA2942" s="29" t="s">
        <v>43</v>
      </c>
      <c r="AB2942">
        <v>31200</v>
      </c>
      <c r="AC2942">
        <v>170</v>
      </c>
      <c r="AD2942">
        <v>4</v>
      </c>
      <c r="AE2942">
        <v>12.76</v>
      </c>
      <c r="AF2942">
        <v>12.76</v>
      </c>
      <c r="AG2942" s="29" t="s">
        <v>3669</v>
      </c>
      <c r="AH2942" s="29" t="s">
        <v>4431</v>
      </c>
      <c r="AI2942" s="29" t="s">
        <v>3703</v>
      </c>
      <c r="AJ2942" s="29" t="s">
        <v>4432</v>
      </c>
      <c r="AL2942" s="29" t="s">
        <v>3670</v>
      </c>
    </row>
    <row r="2943" spans="27:38">
      <c r="AA2943" s="29" t="s">
        <v>43</v>
      </c>
      <c r="AB2943">
        <v>31200</v>
      </c>
      <c r="AC2943">
        <v>170</v>
      </c>
      <c r="AD2943">
        <v>4</v>
      </c>
      <c r="AE2943">
        <v>86.88</v>
      </c>
      <c r="AF2943">
        <v>86.88</v>
      </c>
      <c r="AG2943" s="29" t="s">
        <v>3669</v>
      </c>
      <c r="AH2943" s="29" t="s">
        <v>4433</v>
      </c>
      <c r="AI2943" s="29" t="s">
        <v>3703</v>
      </c>
      <c r="AJ2943" s="29" t="s">
        <v>4434</v>
      </c>
      <c r="AL2943" s="29" t="s">
        <v>3670</v>
      </c>
    </row>
    <row r="2944" spans="27:38">
      <c r="AA2944" s="29" t="s">
        <v>43</v>
      </c>
      <c r="AB2944">
        <v>31200</v>
      </c>
      <c r="AC2944">
        <v>170</v>
      </c>
      <c r="AD2944">
        <v>4</v>
      </c>
      <c r="AE2944">
        <v>54.13</v>
      </c>
      <c r="AF2944">
        <v>54.13</v>
      </c>
      <c r="AG2944" s="29" t="s">
        <v>3669</v>
      </c>
      <c r="AH2944" s="29" t="s">
        <v>4435</v>
      </c>
      <c r="AI2944" s="29" t="s">
        <v>3703</v>
      </c>
      <c r="AJ2944" s="29" t="s">
        <v>3035</v>
      </c>
      <c r="AL2944" s="29" t="s">
        <v>3670</v>
      </c>
    </row>
    <row r="2945" spans="27:38">
      <c r="AA2945" s="29" t="s">
        <v>43</v>
      </c>
      <c r="AB2945">
        <v>31200</v>
      </c>
      <c r="AC2945">
        <v>170</v>
      </c>
      <c r="AD2945">
        <v>4</v>
      </c>
      <c r="AE2945">
        <v>118.24</v>
      </c>
      <c r="AF2945">
        <v>118.24</v>
      </c>
      <c r="AG2945" s="29" t="s">
        <v>3669</v>
      </c>
      <c r="AH2945" s="29" t="s">
        <v>4436</v>
      </c>
      <c r="AI2945" s="29" t="s">
        <v>3703</v>
      </c>
      <c r="AJ2945" s="29" t="s">
        <v>2871</v>
      </c>
      <c r="AL2945" s="29" t="s">
        <v>3670</v>
      </c>
    </row>
    <row r="2946" spans="27:38">
      <c r="AA2946" s="29" t="s">
        <v>43</v>
      </c>
      <c r="AB2946">
        <v>31200</v>
      </c>
      <c r="AC2946">
        <v>170</v>
      </c>
      <c r="AD2946">
        <v>4</v>
      </c>
      <c r="AE2946">
        <v>118.24</v>
      </c>
      <c r="AF2946">
        <v>118.24</v>
      </c>
      <c r="AG2946" s="29" t="s">
        <v>3669</v>
      </c>
      <c r="AH2946" s="29" t="s">
        <v>4436</v>
      </c>
      <c r="AI2946" s="29" t="s">
        <v>3703</v>
      </c>
      <c r="AJ2946" s="29" t="s">
        <v>4437</v>
      </c>
      <c r="AL2946" s="29" t="s">
        <v>3670</v>
      </c>
    </row>
    <row r="2947" spans="27:38">
      <c r="AA2947" s="29" t="s">
        <v>43</v>
      </c>
      <c r="AB2947">
        <v>31200</v>
      </c>
      <c r="AC2947">
        <v>170</v>
      </c>
      <c r="AD2947">
        <v>4</v>
      </c>
      <c r="AE2947">
        <v>8208</v>
      </c>
      <c r="AF2947">
        <v>8208</v>
      </c>
      <c r="AG2947" s="29" t="s">
        <v>3669</v>
      </c>
      <c r="AH2947" s="29" t="s">
        <v>4438</v>
      </c>
      <c r="AI2947" s="29" t="s">
        <v>3703</v>
      </c>
      <c r="AJ2947" s="29" t="s">
        <v>4439</v>
      </c>
      <c r="AL2947" s="29" t="s">
        <v>3670</v>
      </c>
    </row>
    <row r="2948" spans="27:38">
      <c r="AA2948" s="29" t="s">
        <v>43</v>
      </c>
      <c r="AB2948">
        <v>31200</v>
      </c>
      <c r="AC2948">
        <v>170</v>
      </c>
      <c r="AD2948">
        <v>4</v>
      </c>
      <c r="AE2948">
        <v>582</v>
      </c>
      <c r="AF2948">
        <v>582</v>
      </c>
      <c r="AG2948" s="29" t="s">
        <v>3669</v>
      </c>
      <c r="AH2948" s="29" t="s">
        <v>4440</v>
      </c>
      <c r="AI2948" s="29" t="s">
        <v>3703</v>
      </c>
      <c r="AJ2948" s="29" t="s">
        <v>4441</v>
      </c>
      <c r="AL2948" s="29" t="s">
        <v>3670</v>
      </c>
    </row>
    <row r="2949" spans="27:38">
      <c r="AA2949" s="29" t="s">
        <v>43</v>
      </c>
      <c r="AB2949">
        <v>31200</v>
      </c>
      <c r="AC2949">
        <v>170</v>
      </c>
      <c r="AD2949">
        <v>4</v>
      </c>
      <c r="AE2949">
        <v>410</v>
      </c>
      <c r="AF2949">
        <v>410</v>
      </c>
      <c r="AG2949" s="29" t="s">
        <v>3669</v>
      </c>
      <c r="AH2949" s="29" t="s">
        <v>4442</v>
      </c>
      <c r="AI2949" s="29" t="s">
        <v>3703</v>
      </c>
      <c r="AJ2949" s="29" t="s">
        <v>4443</v>
      </c>
      <c r="AL2949" s="29" t="s">
        <v>3670</v>
      </c>
    </row>
    <row r="2950" spans="27:38">
      <c r="AA2950" s="29" t="s">
        <v>43</v>
      </c>
      <c r="AB2950">
        <v>31200</v>
      </c>
      <c r="AC2950">
        <v>170</v>
      </c>
      <c r="AD2950">
        <v>4</v>
      </c>
      <c r="AE2950">
        <v>14.4</v>
      </c>
      <c r="AF2950">
        <v>14.4</v>
      </c>
      <c r="AG2950" s="29" t="s">
        <v>3669</v>
      </c>
      <c r="AH2950" s="29" t="s">
        <v>3803</v>
      </c>
      <c r="AI2950" s="29" t="s">
        <v>3703</v>
      </c>
      <c r="AJ2950" s="29" t="s">
        <v>3804</v>
      </c>
      <c r="AL2950" s="29" t="s">
        <v>3670</v>
      </c>
    </row>
    <row r="2951" spans="27:38">
      <c r="AA2951" s="29" t="s">
        <v>43</v>
      </c>
      <c r="AB2951">
        <v>31200</v>
      </c>
      <c r="AC2951">
        <v>170</v>
      </c>
      <c r="AD2951">
        <v>4</v>
      </c>
      <c r="AE2951">
        <v>5.2</v>
      </c>
      <c r="AF2951">
        <v>5.2</v>
      </c>
      <c r="AG2951" s="29" t="s">
        <v>3669</v>
      </c>
      <c r="AH2951" s="29" t="s">
        <v>4444</v>
      </c>
      <c r="AI2951" s="29" t="s">
        <v>3703</v>
      </c>
      <c r="AJ2951" s="29" t="s">
        <v>4445</v>
      </c>
      <c r="AL2951" s="29" t="s">
        <v>3670</v>
      </c>
    </row>
    <row r="2952" spans="27:38">
      <c r="AA2952" s="29" t="s">
        <v>43</v>
      </c>
      <c r="AB2952">
        <v>31200</v>
      </c>
      <c r="AC2952">
        <v>170</v>
      </c>
      <c r="AD2952">
        <v>4</v>
      </c>
      <c r="AE2952">
        <v>42.9</v>
      </c>
      <c r="AF2952">
        <v>42.9</v>
      </c>
      <c r="AG2952" s="29" t="s">
        <v>3669</v>
      </c>
      <c r="AH2952" s="29" t="s">
        <v>4446</v>
      </c>
      <c r="AI2952" s="29" t="s">
        <v>3703</v>
      </c>
      <c r="AJ2952" s="29" t="s">
        <v>4447</v>
      </c>
      <c r="AL2952" s="29" t="s">
        <v>3670</v>
      </c>
    </row>
    <row r="2953" spans="27:38">
      <c r="AA2953" s="29" t="s">
        <v>43</v>
      </c>
      <c r="AB2953">
        <v>31200</v>
      </c>
      <c r="AC2953">
        <v>170</v>
      </c>
      <c r="AD2953">
        <v>4</v>
      </c>
      <c r="AE2953">
        <v>49.32</v>
      </c>
      <c r="AF2953">
        <v>49.32</v>
      </c>
      <c r="AG2953" s="29" t="s">
        <v>3669</v>
      </c>
      <c r="AH2953" s="29" t="s">
        <v>4448</v>
      </c>
      <c r="AI2953" s="29" t="s">
        <v>3703</v>
      </c>
      <c r="AJ2953" s="29" t="s">
        <v>4449</v>
      </c>
      <c r="AL2953" s="29" t="s">
        <v>3670</v>
      </c>
    </row>
    <row r="2954" spans="27:38">
      <c r="AA2954" s="29" t="s">
        <v>43</v>
      </c>
      <c r="AB2954">
        <v>31200</v>
      </c>
      <c r="AC2954">
        <v>170</v>
      </c>
      <c r="AD2954">
        <v>4</v>
      </c>
      <c r="AE2954">
        <v>7.62</v>
      </c>
      <c r="AF2954">
        <v>7.62</v>
      </c>
      <c r="AG2954" s="29" t="s">
        <v>3669</v>
      </c>
      <c r="AH2954" s="29" t="s">
        <v>4450</v>
      </c>
      <c r="AI2954" s="29" t="s">
        <v>3703</v>
      </c>
      <c r="AJ2954" s="29" t="s">
        <v>4451</v>
      </c>
      <c r="AL2954" s="29" t="s">
        <v>3670</v>
      </c>
    </row>
    <row r="2955" spans="27:38">
      <c r="AA2955" s="29" t="s">
        <v>43</v>
      </c>
      <c r="AB2955">
        <v>31200</v>
      </c>
      <c r="AC2955">
        <v>170</v>
      </c>
      <c r="AD2955">
        <v>4</v>
      </c>
      <c r="AE2955">
        <v>0.88</v>
      </c>
      <c r="AF2955">
        <v>0.88</v>
      </c>
      <c r="AG2955" s="29" t="s">
        <v>3669</v>
      </c>
      <c r="AH2955" s="29" t="s">
        <v>4302</v>
      </c>
      <c r="AI2955" s="29" t="s">
        <v>3703</v>
      </c>
      <c r="AJ2955" s="29" t="s">
        <v>4452</v>
      </c>
      <c r="AL2955" s="29" t="s">
        <v>3670</v>
      </c>
    </row>
    <row r="2956" spans="27:38">
      <c r="AA2956" s="29" t="s">
        <v>43</v>
      </c>
      <c r="AB2956">
        <v>31200</v>
      </c>
      <c r="AC2956">
        <v>170</v>
      </c>
      <c r="AD2956">
        <v>4</v>
      </c>
      <c r="AE2956">
        <v>5.12</v>
      </c>
      <c r="AF2956">
        <v>5.12</v>
      </c>
      <c r="AG2956" s="29" t="s">
        <v>3669</v>
      </c>
      <c r="AH2956" s="29" t="s">
        <v>4453</v>
      </c>
      <c r="AI2956" s="29" t="s">
        <v>3703</v>
      </c>
      <c r="AJ2956" s="29" t="s">
        <v>4454</v>
      </c>
      <c r="AL2956" s="29" t="s">
        <v>3670</v>
      </c>
    </row>
    <row r="2957" spans="27:38">
      <c r="AA2957" s="29" t="s">
        <v>43</v>
      </c>
      <c r="AB2957">
        <v>31200</v>
      </c>
      <c r="AC2957">
        <v>170</v>
      </c>
      <c r="AD2957">
        <v>4</v>
      </c>
      <c r="AE2957">
        <v>20.5</v>
      </c>
      <c r="AF2957">
        <v>20.5</v>
      </c>
      <c r="AG2957" s="29" t="s">
        <v>3669</v>
      </c>
      <c r="AH2957" s="29" t="s">
        <v>4455</v>
      </c>
      <c r="AI2957" s="29" t="s">
        <v>3703</v>
      </c>
      <c r="AJ2957" s="29" t="s">
        <v>4456</v>
      </c>
      <c r="AL2957" s="29" t="s">
        <v>3670</v>
      </c>
    </row>
    <row r="2958" spans="27:38">
      <c r="AA2958" s="29" t="s">
        <v>43</v>
      </c>
      <c r="AB2958">
        <v>31200</v>
      </c>
      <c r="AC2958">
        <v>170</v>
      </c>
      <c r="AD2958">
        <v>4</v>
      </c>
      <c r="AE2958">
        <v>6.29</v>
      </c>
      <c r="AF2958">
        <v>6.29</v>
      </c>
      <c r="AG2958" s="29" t="s">
        <v>3669</v>
      </c>
      <c r="AH2958" s="29" t="s">
        <v>4457</v>
      </c>
      <c r="AI2958" s="29" t="s">
        <v>3703</v>
      </c>
      <c r="AJ2958" s="29" t="s">
        <v>4458</v>
      </c>
      <c r="AL2958" s="29" t="s">
        <v>3670</v>
      </c>
    </row>
    <row r="2959" spans="27:38">
      <c r="AA2959" s="29" t="s">
        <v>43</v>
      </c>
      <c r="AB2959">
        <v>31200</v>
      </c>
      <c r="AC2959">
        <v>170</v>
      </c>
      <c r="AD2959">
        <v>4</v>
      </c>
      <c r="AE2959">
        <v>57.75</v>
      </c>
      <c r="AF2959">
        <v>57.75</v>
      </c>
      <c r="AG2959" s="29" t="s">
        <v>3669</v>
      </c>
      <c r="AH2959" s="29" t="s">
        <v>4459</v>
      </c>
      <c r="AI2959" s="29" t="s">
        <v>3703</v>
      </c>
      <c r="AJ2959" s="29" t="s">
        <v>2950</v>
      </c>
      <c r="AL2959" s="29" t="s">
        <v>3670</v>
      </c>
    </row>
    <row r="2960" spans="27:38">
      <c r="AA2960" s="29" t="s">
        <v>43</v>
      </c>
      <c r="AB2960">
        <v>31200</v>
      </c>
      <c r="AC2960">
        <v>170</v>
      </c>
      <c r="AD2960">
        <v>4</v>
      </c>
      <c r="AE2960">
        <v>55.13</v>
      </c>
      <c r="AF2960">
        <v>55.13</v>
      </c>
      <c r="AG2960" s="29" t="s">
        <v>3669</v>
      </c>
      <c r="AH2960" s="29" t="s">
        <v>4460</v>
      </c>
      <c r="AI2960" s="29" t="s">
        <v>3703</v>
      </c>
      <c r="AJ2960" s="29" t="s">
        <v>3043</v>
      </c>
      <c r="AL2960" s="29" t="s">
        <v>3670</v>
      </c>
    </row>
    <row r="2961" spans="27:38">
      <c r="AA2961" s="29" t="s">
        <v>43</v>
      </c>
      <c r="AB2961">
        <v>31200</v>
      </c>
      <c r="AC2961">
        <v>170</v>
      </c>
      <c r="AD2961">
        <v>4</v>
      </c>
      <c r="AE2961">
        <v>0.51</v>
      </c>
      <c r="AF2961">
        <v>0.51</v>
      </c>
      <c r="AG2961" s="29" t="s">
        <v>3669</v>
      </c>
      <c r="AH2961" s="29" t="s">
        <v>4461</v>
      </c>
      <c r="AI2961" s="29" t="s">
        <v>3703</v>
      </c>
      <c r="AJ2961" s="29" t="s">
        <v>4462</v>
      </c>
      <c r="AL2961" s="29" t="s">
        <v>3670</v>
      </c>
    </row>
    <row r="2962" spans="27:38">
      <c r="AA2962" s="29" t="s">
        <v>43</v>
      </c>
      <c r="AB2962">
        <v>31200</v>
      </c>
      <c r="AC2962">
        <v>170</v>
      </c>
      <c r="AD2962">
        <v>4</v>
      </c>
      <c r="AE2962">
        <v>321.83</v>
      </c>
      <c r="AF2962">
        <v>321.83</v>
      </c>
      <c r="AG2962" s="29" t="s">
        <v>3669</v>
      </c>
      <c r="AH2962" s="29" t="s">
        <v>4463</v>
      </c>
      <c r="AI2962" s="29" t="s">
        <v>3703</v>
      </c>
      <c r="AJ2962" s="29" t="s">
        <v>4464</v>
      </c>
      <c r="AL2962" s="29" t="s">
        <v>3670</v>
      </c>
    </row>
    <row r="2963" spans="27:38">
      <c r="AA2963" s="29" t="s">
        <v>43</v>
      </c>
      <c r="AB2963">
        <v>31200</v>
      </c>
      <c r="AC2963">
        <v>170</v>
      </c>
      <c r="AD2963">
        <v>4</v>
      </c>
      <c r="AE2963">
        <v>1151.0999999999999</v>
      </c>
      <c r="AF2963">
        <v>1151.0999999999999</v>
      </c>
      <c r="AG2963" s="29" t="s">
        <v>3669</v>
      </c>
      <c r="AH2963" s="29" t="s">
        <v>4465</v>
      </c>
      <c r="AI2963" s="29" t="s">
        <v>3703</v>
      </c>
      <c r="AJ2963" s="29" t="s">
        <v>4466</v>
      </c>
      <c r="AL2963" s="29" t="s">
        <v>3670</v>
      </c>
    </row>
    <row r="2964" spans="27:38">
      <c r="AA2964" s="29" t="s">
        <v>43</v>
      </c>
      <c r="AB2964">
        <v>31200</v>
      </c>
      <c r="AC2964">
        <v>170</v>
      </c>
      <c r="AD2964">
        <v>4</v>
      </c>
      <c r="AE2964">
        <v>55.13</v>
      </c>
      <c r="AF2964">
        <v>55.13</v>
      </c>
      <c r="AG2964" s="29" t="s">
        <v>3669</v>
      </c>
      <c r="AH2964" s="29" t="s">
        <v>4460</v>
      </c>
      <c r="AI2964" s="29" t="s">
        <v>3703</v>
      </c>
      <c r="AJ2964" s="29" t="s">
        <v>3043</v>
      </c>
      <c r="AL2964" s="29" t="s">
        <v>3670</v>
      </c>
    </row>
    <row r="2965" spans="27:38">
      <c r="AA2965" s="29" t="s">
        <v>43</v>
      </c>
      <c r="AB2965">
        <v>31200</v>
      </c>
      <c r="AC2965">
        <v>170</v>
      </c>
      <c r="AD2965">
        <v>4</v>
      </c>
      <c r="AE2965">
        <v>-55.13</v>
      </c>
      <c r="AF2965">
        <v>-55.13</v>
      </c>
      <c r="AG2965" s="29" t="s">
        <v>3669</v>
      </c>
      <c r="AH2965" s="29" t="s">
        <v>4467</v>
      </c>
      <c r="AI2965" s="29" t="s">
        <v>3703</v>
      </c>
      <c r="AJ2965" s="29" t="s">
        <v>3045</v>
      </c>
      <c r="AL2965" s="29" t="s">
        <v>3670</v>
      </c>
    </row>
    <row r="2966" spans="27:38">
      <c r="AA2966" s="29" t="s">
        <v>43</v>
      </c>
      <c r="AB2966">
        <v>31200</v>
      </c>
      <c r="AC2966">
        <v>170</v>
      </c>
      <c r="AD2966">
        <v>4</v>
      </c>
      <c r="AE2966">
        <v>55.13</v>
      </c>
      <c r="AF2966">
        <v>55.13</v>
      </c>
      <c r="AG2966" s="29" t="s">
        <v>3669</v>
      </c>
      <c r="AH2966" s="29" t="s">
        <v>4460</v>
      </c>
      <c r="AI2966" s="29" t="s">
        <v>3703</v>
      </c>
      <c r="AJ2966" s="29" t="s">
        <v>3043</v>
      </c>
      <c r="AL2966" s="29" t="s">
        <v>3670</v>
      </c>
    </row>
    <row r="2967" spans="27:38">
      <c r="AA2967" s="29" t="s">
        <v>43</v>
      </c>
      <c r="AB2967">
        <v>31200</v>
      </c>
      <c r="AC2967">
        <v>170</v>
      </c>
      <c r="AD2967">
        <v>4</v>
      </c>
      <c r="AE2967">
        <v>418.99</v>
      </c>
      <c r="AF2967">
        <v>418.99</v>
      </c>
      <c r="AG2967" s="29" t="s">
        <v>3669</v>
      </c>
      <c r="AH2967" s="29" t="s">
        <v>4468</v>
      </c>
      <c r="AI2967" s="29" t="s">
        <v>3703</v>
      </c>
      <c r="AJ2967" s="29" t="s">
        <v>4469</v>
      </c>
      <c r="AL2967" s="29" t="s">
        <v>3670</v>
      </c>
    </row>
    <row r="2968" spans="27:38">
      <c r="AA2968" s="29" t="s">
        <v>43</v>
      </c>
      <c r="AB2968">
        <v>31200</v>
      </c>
      <c r="AC2968">
        <v>170</v>
      </c>
      <c r="AD2968">
        <v>4</v>
      </c>
      <c r="AE2968">
        <v>3739.35</v>
      </c>
      <c r="AF2968">
        <v>3739.35</v>
      </c>
      <c r="AG2968" s="29" t="s">
        <v>3669</v>
      </c>
      <c r="AH2968" s="29" t="s">
        <v>4470</v>
      </c>
      <c r="AI2968" s="29" t="s">
        <v>3703</v>
      </c>
      <c r="AJ2968" s="29" t="s">
        <v>4471</v>
      </c>
      <c r="AL2968" s="29" t="s">
        <v>3670</v>
      </c>
    </row>
    <row r="2969" spans="27:38">
      <c r="AA2969" s="29" t="s">
        <v>43</v>
      </c>
      <c r="AB2969">
        <v>31200</v>
      </c>
      <c r="AC2969">
        <v>170</v>
      </c>
      <c r="AD2969">
        <v>4</v>
      </c>
      <c r="AE2969">
        <v>659.44</v>
      </c>
      <c r="AF2969">
        <v>659.44</v>
      </c>
      <c r="AG2969" s="29" t="s">
        <v>3669</v>
      </c>
      <c r="AH2969" s="29" t="s">
        <v>4472</v>
      </c>
      <c r="AI2969" s="29" t="s">
        <v>3703</v>
      </c>
      <c r="AJ2969" s="29" t="s">
        <v>4473</v>
      </c>
      <c r="AL2969" s="29" t="s">
        <v>3670</v>
      </c>
    </row>
    <row r="2970" spans="27:38">
      <c r="AA2970" s="29" t="s">
        <v>43</v>
      </c>
      <c r="AB2970">
        <v>31200</v>
      </c>
      <c r="AC2970">
        <v>170</v>
      </c>
      <c r="AD2970">
        <v>4</v>
      </c>
      <c r="AE2970">
        <v>438.4</v>
      </c>
      <c r="AF2970">
        <v>438.4</v>
      </c>
      <c r="AG2970" s="29" t="s">
        <v>3669</v>
      </c>
      <c r="AH2970" s="29" t="s">
        <v>4474</v>
      </c>
      <c r="AI2970" s="29" t="s">
        <v>3703</v>
      </c>
      <c r="AJ2970" s="29" t="s">
        <v>4475</v>
      </c>
      <c r="AL2970" s="29" t="s">
        <v>3670</v>
      </c>
    </row>
    <row r="2971" spans="27:38">
      <c r="AA2971" s="29" t="s">
        <v>43</v>
      </c>
      <c r="AB2971">
        <v>31200</v>
      </c>
      <c r="AC2971">
        <v>170</v>
      </c>
      <c r="AD2971">
        <v>4</v>
      </c>
      <c r="AE2971">
        <v>407.6</v>
      </c>
      <c r="AF2971">
        <v>407.6</v>
      </c>
      <c r="AG2971" s="29" t="s">
        <v>3669</v>
      </c>
      <c r="AH2971" s="29" t="s">
        <v>4476</v>
      </c>
      <c r="AI2971" s="29" t="s">
        <v>3703</v>
      </c>
      <c r="AJ2971" s="29" t="s">
        <v>4477</v>
      </c>
      <c r="AL2971" s="29" t="s">
        <v>3670</v>
      </c>
    </row>
    <row r="2972" spans="27:38">
      <c r="AA2972" s="29" t="s">
        <v>43</v>
      </c>
      <c r="AB2972">
        <v>31200</v>
      </c>
      <c r="AC2972">
        <v>170</v>
      </c>
      <c r="AD2972">
        <v>4</v>
      </c>
      <c r="AE2972">
        <v>575.71</v>
      </c>
      <c r="AF2972">
        <v>575.71</v>
      </c>
      <c r="AG2972" s="29" t="s">
        <v>3669</v>
      </c>
      <c r="AH2972" s="29" t="s">
        <v>4478</v>
      </c>
      <c r="AI2972" s="29" t="s">
        <v>3703</v>
      </c>
      <c r="AJ2972" s="29" t="s">
        <v>4479</v>
      </c>
      <c r="AL2972" s="29" t="s">
        <v>3670</v>
      </c>
    </row>
    <row r="2973" spans="27:38">
      <c r="AA2973" s="29" t="s">
        <v>43</v>
      </c>
      <c r="AB2973">
        <v>31200</v>
      </c>
      <c r="AC2973">
        <v>170</v>
      </c>
      <c r="AD2973">
        <v>4</v>
      </c>
      <c r="AE2973">
        <v>418.8</v>
      </c>
      <c r="AF2973">
        <v>418.8</v>
      </c>
      <c r="AG2973" s="29" t="s">
        <v>3669</v>
      </c>
      <c r="AH2973" s="29" t="s">
        <v>4480</v>
      </c>
      <c r="AI2973" s="29" t="s">
        <v>3703</v>
      </c>
      <c r="AJ2973" s="29" t="s">
        <v>4481</v>
      </c>
      <c r="AL2973" s="29" t="s">
        <v>3670</v>
      </c>
    </row>
    <row r="2974" spans="27:38">
      <c r="AA2974" s="29" t="s">
        <v>43</v>
      </c>
      <c r="AB2974">
        <v>31200</v>
      </c>
      <c r="AC2974">
        <v>170</v>
      </c>
      <c r="AD2974">
        <v>4</v>
      </c>
      <c r="AE2974">
        <v>216</v>
      </c>
      <c r="AF2974">
        <v>216</v>
      </c>
      <c r="AG2974" s="29" t="s">
        <v>3669</v>
      </c>
      <c r="AH2974" s="29" t="s">
        <v>4482</v>
      </c>
      <c r="AI2974" s="29" t="s">
        <v>3703</v>
      </c>
      <c r="AJ2974" s="29" t="s">
        <v>4483</v>
      </c>
      <c r="AL2974" s="29" t="s">
        <v>3670</v>
      </c>
    </row>
    <row r="2975" spans="27:38">
      <c r="AA2975" s="29" t="s">
        <v>43</v>
      </c>
      <c r="AB2975">
        <v>31200</v>
      </c>
      <c r="AC2975">
        <v>170</v>
      </c>
      <c r="AD2975">
        <v>4</v>
      </c>
      <c r="AE2975">
        <v>67.599999999999994</v>
      </c>
      <c r="AF2975">
        <v>67.599999999999994</v>
      </c>
      <c r="AG2975" s="29" t="s">
        <v>3669</v>
      </c>
      <c r="AH2975" s="29" t="s">
        <v>4484</v>
      </c>
      <c r="AI2975" s="29" t="s">
        <v>3703</v>
      </c>
      <c r="AJ2975" s="29" t="s">
        <v>3051</v>
      </c>
      <c r="AL2975" s="29" t="s">
        <v>3670</v>
      </c>
    </row>
    <row r="2976" spans="27:38">
      <c r="AA2976" s="29" t="s">
        <v>43</v>
      </c>
      <c r="AB2976">
        <v>31200</v>
      </c>
      <c r="AC2976">
        <v>170</v>
      </c>
      <c r="AD2976">
        <v>4</v>
      </c>
      <c r="AE2976">
        <v>97.6</v>
      </c>
      <c r="AF2976">
        <v>97.6</v>
      </c>
      <c r="AG2976" s="29" t="s">
        <v>3669</v>
      </c>
      <c r="AH2976" s="29" t="s">
        <v>4485</v>
      </c>
      <c r="AI2976" s="29" t="s">
        <v>3703</v>
      </c>
      <c r="AJ2976" s="29" t="s">
        <v>3053</v>
      </c>
      <c r="AL2976" s="29" t="s">
        <v>3670</v>
      </c>
    </row>
    <row r="2977" spans="27:38">
      <c r="AA2977" s="29" t="s">
        <v>43</v>
      </c>
      <c r="AB2977">
        <v>31200</v>
      </c>
      <c r="AC2977">
        <v>170</v>
      </c>
      <c r="AD2977">
        <v>4</v>
      </c>
      <c r="AE2977">
        <v>630.45000000000005</v>
      </c>
      <c r="AF2977">
        <v>630.45000000000005</v>
      </c>
      <c r="AG2977" s="29" t="s">
        <v>3669</v>
      </c>
      <c r="AH2977" s="29" t="s">
        <v>4486</v>
      </c>
      <c r="AI2977" s="29" t="s">
        <v>3703</v>
      </c>
      <c r="AJ2977" s="29" t="s">
        <v>4487</v>
      </c>
      <c r="AL2977" s="29" t="s">
        <v>3670</v>
      </c>
    </row>
    <row r="2978" spans="27:38">
      <c r="AA2978" s="29" t="s">
        <v>43</v>
      </c>
      <c r="AB2978">
        <v>31200</v>
      </c>
      <c r="AC2978">
        <v>170</v>
      </c>
      <c r="AD2978">
        <v>4</v>
      </c>
      <c r="AE2978">
        <v>870.9</v>
      </c>
      <c r="AF2978">
        <v>870.9</v>
      </c>
      <c r="AG2978" s="29" t="s">
        <v>3669</v>
      </c>
      <c r="AH2978" s="29" t="s">
        <v>4488</v>
      </c>
      <c r="AI2978" s="29" t="s">
        <v>3703</v>
      </c>
      <c r="AJ2978" s="29" t="s">
        <v>4489</v>
      </c>
      <c r="AL2978" s="29" t="s">
        <v>3670</v>
      </c>
    </row>
    <row r="2979" spans="27:38">
      <c r="AA2979" s="29" t="s">
        <v>43</v>
      </c>
      <c r="AB2979">
        <v>31200</v>
      </c>
      <c r="AC2979">
        <v>170</v>
      </c>
      <c r="AD2979">
        <v>4</v>
      </c>
      <c r="AE2979">
        <v>155.93</v>
      </c>
      <c r="AF2979">
        <v>155.93</v>
      </c>
      <c r="AG2979" s="29" t="s">
        <v>3669</v>
      </c>
      <c r="AH2979" s="29" t="s">
        <v>4490</v>
      </c>
      <c r="AI2979" s="29" t="s">
        <v>3703</v>
      </c>
      <c r="AJ2979" s="29" t="s">
        <v>3055</v>
      </c>
      <c r="AL2979" s="29" t="s">
        <v>3670</v>
      </c>
    </row>
    <row r="2980" spans="27:38">
      <c r="AA2980" s="29" t="s">
        <v>43</v>
      </c>
      <c r="AB2980">
        <v>31200</v>
      </c>
      <c r="AC2980">
        <v>170</v>
      </c>
      <c r="AD2980">
        <v>4</v>
      </c>
      <c r="AE2980">
        <v>282.10000000000002</v>
      </c>
      <c r="AF2980">
        <v>282.10000000000002</v>
      </c>
      <c r="AG2980" s="29" t="s">
        <v>3669</v>
      </c>
      <c r="AH2980" s="29" t="s">
        <v>4491</v>
      </c>
      <c r="AI2980" s="29" t="s">
        <v>3703</v>
      </c>
      <c r="AJ2980" s="29" t="s">
        <v>4492</v>
      </c>
      <c r="AL2980" s="29" t="s">
        <v>3670</v>
      </c>
    </row>
    <row r="2981" spans="27:38">
      <c r="AA2981" s="29" t="s">
        <v>43</v>
      </c>
      <c r="AB2981">
        <v>31200</v>
      </c>
      <c r="AC2981">
        <v>170</v>
      </c>
      <c r="AD2981">
        <v>4</v>
      </c>
      <c r="AE2981">
        <v>458.69</v>
      </c>
      <c r="AF2981">
        <v>458.69</v>
      </c>
      <c r="AG2981" s="29" t="s">
        <v>3669</v>
      </c>
      <c r="AH2981" s="29" t="s">
        <v>4493</v>
      </c>
      <c r="AI2981" s="29" t="s">
        <v>3703</v>
      </c>
      <c r="AJ2981" s="29" t="s">
        <v>4494</v>
      </c>
      <c r="AL2981" s="29" t="s">
        <v>3670</v>
      </c>
    </row>
    <row r="2982" spans="27:38">
      <c r="AA2982" s="29" t="s">
        <v>43</v>
      </c>
      <c r="AB2982">
        <v>31200</v>
      </c>
      <c r="AC2982">
        <v>170</v>
      </c>
      <c r="AD2982">
        <v>4</v>
      </c>
      <c r="AE2982">
        <v>204.77</v>
      </c>
      <c r="AF2982">
        <v>204.77</v>
      </c>
      <c r="AG2982" s="29" t="s">
        <v>3669</v>
      </c>
      <c r="AH2982" s="29" t="s">
        <v>4495</v>
      </c>
      <c r="AI2982" s="29" t="s">
        <v>3703</v>
      </c>
      <c r="AJ2982" s="29" t="s">
        <v>2724</v>
      </c>
      <c r="AL2982" s="29" t="s">
        <v>3670</v>
      </c>
    </row>
    <row r="2983" spans="27:38">
      <c r="AA2983" s="29" t="s">
        <v>43</v>
      </c>
      <c r="AB2983">
        <v>31200</v>
      </c>
      <c r="AC2983">
        <v>170</v>
      </c>
      <c r="AD2983">
        <v>4</v>
      </c>
      <c r="AE2983">
        <v>614.29999999999995</v>
      </c>
      <c r="AF2983">
        <v>614.29999999999995</v>
      </c>
      <c r="AG2983" s="29" t="s">
        <v>3669</v>
      </c>
      <c r="AH2983" s="29" t="s">
        <v>4496</v>
      </c>
      <c r="AI2983" s="29" t="s">
        <v>3703</v>
      </c>
      <c r="AJ2983" s="29" t="s">
        <v>4497</v>
      </c>
      <c r="AL2983" s="29" t="s">
        <v>3670</v>
      </c>
    </row>
    <row r="2984" spans="27:38">
      <c r="AA2984" s="29" t="s">
        <v>43</v>
      </c>
      <c r="AB2984">
        <v>31200</v>
      </c>
      <c r="AC2984">
        <v>170</v>
      </c>
      <c r="AD2984">
        <v>4</v>
      </c>
      <c r="AE2984">
        <v>1523.13</v>
      </c>
      <c r="AF2984">
        <v>1523.13</v>
      </c>
      <c r="AG2984" s="29" t="s">
        <v>3669</v>
      </c>
      <c r="AH2984" s="29" t="s">
        <v>4498</v>
      </c>
      <c r="AI2984" s="29" t="s">
        <v>3703</v>
      </c>
      <c r="AJ2984" s="29" t="s">
        <v>4499</v>
      </c>
      <c r="AL2984" s="29" t="s">
        <v>3670</v>
      </c>
    </row>
    <row r="2985" spans="27:38">
      <c r="AA2985" s="29" t="s">
        <v>43</v>
      </c>
      <c r="AB2985">
        <v>31200</v>
      </c>
      <c r="AC2985">
        <v>170</v>
      </c>
      <c r="AD2985">
        <v>4</v>
      </c>
      <c r="AE2985">
        <v>190.35</v>
      </c>
      <c r="AF2985">
        <v>190.35</v>
      </c>
      <c r="AG2985" s="29" t="s">
        <v>3669</v>
      </c>
      <c r="AH2985" s="29" t="s">
        <v>4500</v>
      </c>
      <c r="AI2985" s="29" t="s">
        <v>3703</v>
      </c>
      <c r="AJ2985" s="29" t="s">
        <v>2942</v>
      </c>
      <c r="AL2985" s="29" t="s">
        <v>3670</v>
      </c>
    </row>
    <row r="2986" spans="27:38">
      <c r="AA2986" s="29" t="s">
        <v>43</v>
      </c>
      <c r="AB2986">
        <v>31200</v>
      </c>
      <c r="AC2986">
        <v>170</v>
      </c>
      <c r="AD2986">
        <v>4</v>
      </c>
      <c r="AE2986">
        <v>93.28</v>
      </c>
      <c r="AF2986">
        <v>93.28</v>
      </c>
      <c r="AG2986" s="29" t="s">
        <v>3669</v>
      </c>
      <c r="AH2986" s="29" t="s">
        <v>4501</v>
      </c>
      <c r="AI2986" s="29" t="s">
        <v>3703</v>
      </c>
      <c r="AJ2986" s="29" t="s">
        <v>1653</v>
      </c>
      <c r="AL2986" s="29" t="s">
        <v>3670</v>
      </c>
    </row>
    <row r="2987" spans="27:38">
      <c r="AA2987" s="29" t="s">
        <v>43</v>
      </c>
      <c r="AB2987">
        <v>31200</v>
      </c>
      <c r="AC2987">
        <v>170</v>
      </c>
      <c r="AD2987">
        <v>4</v>
      </c>
      <c r="AE2987">
        <v>7.18</v>
      </c>
      <c r="AF2987">
        <v>7.18</v>
      </c>
      <c r="AG2987" s="29" t="s">
        <v>3669</v>
      </c>
      <c r="AH2987" s="29" t="s">
        <v>4502</v>
      </c>
      <c r="AI2987" s="29" t="s">
        <v>3703</v>
      </c>
      <c r="AJ2987" s="29" t="s">
        <v>4503</v>
      </c>
      <c r="AL2987" s="29" t="s">
        <v>3670</v>
      </c>
    </row>
    <row r="2988" spans="27:38">
      <c r="AA2988" s="29" t="s">
        <v>43</v>
      </c>
      <c r="AB2988">
        <v>31200</v>
      </c>
      <c r="AC2988">
        <v>170</v>
      </c>
      <c r="AD2988">
        <v>4</v>
      </c>
      <c r="AE2988">
        <v>57.75</v>
      </c>
      <c r="AF2988">
        <v>57.75</v>
      </c>
      <c r="AG2988" s="29" t="s">
        <v>3669</v>
      </c>
      <c r="AH2988" s="29" t="s">
        <v>4459</v>
      </c>
      <c r="AI2988" s="29" t="s">
        <v>3703</v>
      </c>
      <c r="AJ2988" s="29" t="s">
        <v>2950</v>
      </c>
      <c r="AL2988" s="29" t="s">
        <v>3670</v>
      </c>
    </row>
    <row r="2989" spans="27:38">
      <c r="AA2989" s="29" t="s">
        <v>43</v>
      </c>
      <c r="AB2989">
        <v>31200</v>
      </c>
      <c r="AC2989">
        <v>170</v>
      </c>
      <c r="AD2989">
        <v>4</v>
      </c>
      <c r="AE2989">
        <v>-57.75</v>
      </c>
      <c r="AF2989">
        <v>-57.75</v>
      </c>
      <c r="AG2989" s="29" t="s">
        <v>3669</v>
      </c>
      <c r="AH2989" s="29" t="s">
        <v>4504</v>
      </c>
      <c r="AI2989" s="29" t="s">
        <v>3703</v>
      </c>
      <c r="AJ2989" s="29" t="s">
        <v>2997</v>
      </c>
      <c r="AL2989" s="29" t="s">
        <v>3670</v>
      </c>
    </row>
    <row r="2990" spans="27:38">
      <c r="AA2990" s="29" t="s">
        <v>43</v>
      </c>
      <c r="AB2990">
        <v>31200</v>
      </c>
      <c r="AC2990">
        <v>170</v>
      </c>
      <c r="AD2990">
        <v>4</v>
      </c>
      <c r="AE2990">
        <v>57.75</v>
      </c>
      <c r="AF2990">
        <v>57.75</v>
      </c>
      <c r="AG2990" s="29" t="s">
        <v>3669</v>
      </c>
      <c r="AH2990" s="29" t="s">
        <v>4459</v>
      </c>
      <c r="AI2990" s="29" t="s">
        <v>3703</v>
      </c>
      <c r="AJ2990" s="29" t="s">
        <v>2950</v>
      </c>
      <c r="AL2990" s="29" t="s">
        <v>3670</v>
      </c>
    </row>
    <row r="2991" spans="27:38">
      <c r="AA2991" s="29" t="s">
        <v>43</v>
      </c>
      <c r="AB2991">
        <v>31200</v>
      </c>
      <c r="AC2991">
        <v>170</v>
      </c>
      <c r="AD2991">
        <v>4</v>
      </c>
      <c r="AE2991">
        <v>438.9</v>
      </c>
      <c r="AF2991">
        <v>438.9</v>
      </c>
      <c r="AG2991" s="29" t="s">
        <v>3669</v>
      </c>
      <c r="AH2991" s="29" t="s">
        <v>4505</v>
      </c>
      <c r="AI2991" s="29" t="s">
        <v>3703</v>
      </c>
      <c r="AJ2991" s="29" t="s">
        <v>4506</v>
      </c>
      <c r="AL2991" s="29" t="s">
        <v>3670</v>
      </c>
    </row>
    <row r="2992" spans="27:38">
      <c r="AA2992" s="29" t="s">
        <v>43</v>
      </c>
      <c r="AB2992">
        <v>31200</v>
      </c>
      <c r="AC2992">
        <v>170</v>
      </c>
      <c r="AD2992">
        <v>4</v>
      </c>
      <c r="AE2992">
        <v>216.52</v>
      </c>
      <c r="AF2992">
        <v>216.52</v>
      </c>
      <c r="AG2992" s="29" t="s">
        <v>3669</v>
      </c>
      <c r="AH2992" s="29" t="s">
        <v>4507</v>
      </c>
      <c r="AI2992" s="29" t="s">
        <v>3703</v>
      </c>
      <c r="AJ2992" s="29" t="s">
        <v>4508</v>
      </c>
      <c r="AL2992" s="29" t="s">
        <v>3670</v>
      </c>
    </row>
    <row r="2993" spans="27:38">
      <c r="AA2993" s="29" t="s">
        <v>43</v>
      </c>
      <c r="AB2993">
        <v>31200</v>
      </c>
      <c r="AC2993">
        <v>170</v>
      </c>
      <c r="AD2993">
        <v>4</v>
      </c>
      <c r="AE2993">
        <v>570.42999999999995</v>
      </c>
      <c r="AF2993">
        <v>570.42999999999995</v>
      </c>
      <c r="AG2993" s="29" t="s">
        <v>3669</v>
      </c>
      <c r="AH2993" s="29" t="s">
        <v>4509</v>
      </c>
      <c r="AI2993" s="29" t="s">
        <v>3703</v>
      </c>
      <c r="AJ2993" s="29" t="s">
        <v>4510</v>
      </c>
      <c r="AL2993" s="29" t="s">
        <v>3670</v>
      </c>
    </row>
    <row r="2994" spans="27:38">
      <c r="AA2994" s="29" t="s">
        <v>43</v>
      </c>
      <c r="AB2994">
        <v>31200</v>
      </c>
      <c r="AC2994">
        <v>170</v>
      </c>
      <c r="AD2994">
        <v>4</v>
      </c>
      <c r="AE2994">
        <v>301.22000000000003</v>
      </c>
      <c r="AF2994">
        <v>301.22000000000003</v>
      </c>
      <c r="AG2994" s="29" t="s">
        <v>3669</v>
      </c>
      <c r="AH2994" s="29" t="s">
        <v>4511</v>
      </c>
      <c r="AI2994" s="29" t="s">
        <v>3703</v>
      </c>
      <c r="AJ2994" s="29" t="s">
        <v>1764</v>
      </c>
      <c r="AL2994" s="29" t="s">
        <v>3670</v>
      </c>
    </row>
    <row r="2995" spans="27:38">
      <c r="AA2995" s="29" t="s">
        <v>43</v>
      </c>
      <c r="AB2995">
        <v>31200</v>
      </c>
      <c r="AC2995">
        <v>170</v>
      </c>
      <c r="AD2995">
        <v>4</v>
      </c>
      <c r="AE2995">
        <v>285.61</v>
      </c>
      <c r="AF2995">
        <v>285.61</v>
      </c>
      <c r="AG2995" s="29" t="s">
        <v>3669</v>
      </c>
      <c r="AH2995" s="29" t="s">
        <v>4512</v>
      </c>
      <c r="AI2995" s="29" t="s">
        <v>3703</v>
      </c>
      <c r="AJ2995" s="29" t="s">
        <v>4513</v>
      </c>
      <c r="AL2995" s="29" t="s">
        <v>3670</v>
      </c>
    </row>
    <row r="2996" spans="27:38">
      <c r="AA2996" s="29" t="s">
        <v>43</v>
      </c>
      <c r="AB2996">
        <v>31200</v>
      </c>
      <c r="AC2996">
        <v>170</v>
      </c>
      <c r="AD2996">
        <v>4</v>
      </c>
      <c r="AE2996">
        <v>811.06</v>
      </c>
      <c r="AF2996">
        <v>811.06</v>
      </c>
      <c r="AG2996" s="29" t="s">
        <v>3669</v>
      </c>
      <c r="AH2996" s="29" t="s">
        <v>4514</v>
      </c>
      <c r="AI2996" s="29" t="s">
        <v>3703</v>
      </c>
      <c r="AJ2996" s="29" t="s">
        <v>4515</v>
      </c>
      <c r="AL2996" s="29" t="s">
        <v>3670</v>
      </c>
    </row>
    <row r="2997" spans="27:38">
      <c r="AA2997" s="29" t="s">
        <v>43</v>
      </c>
      <c r="AB2997">
        <v>31200</v>
      </c>
      <c r="AC2997">
        <v>170</v>
      </c>
      <c r="AD2997">
        <v>4</v>
      </c>
      <c r="AE2997">
        <v>342.9</v>
      </c>
      <c r="AF2997">
        <v>342.9</v>
      </c>
      <c r="AG2997" s="29" t="s">
        <v>3669</v>
      </c>
      <c r="AH2997" s="29" t="s">
        <v>4516</v>
      </c>
      <c r="AI2997" s="29" t="s">
        <v>3703</v>
      </c>
      <c r="AJ2997" s="29" t="s">
        <v>4517</v>
      </c>
      <c r="AL2997" s="29" t="s">
        <v>3670</v>
      </c>
    </row>
    <row r="2998" spans="27:38">
      <c r="AA2998" s="29" t="s">
        <v>43</v>
      </c>
      <c r="AB2998">
        <v>31200</v>
      </c>
      <c r="AC2998">
        <v>170</v>
      </c>
      <c r="AD2998">
        <v>4</v>
      </c>
      <c r="AE2998">
        <v>0.62</v>
      </c>
      <c r="AF2998">
        <v>0.62</v>
      </c>
      <c r="AG2998" s="29" t="s">
        <v>3669</v>
      </c>
      <c r="AH2998" s="29" t="s">
        <v>4518</v>
      </c>
      <c r="AI2998" s="29" t="s">
        <v>3703</v>
      </c>
      <c r="AJ2998" s="29" t="s">
        <v>4519</v>
      </c>
      <c r="AL2998" s="29" t="s">
        <v>3670</v>
      </c>
    </row>
    <row r="2999" spans="27:38">
      <c r="AA2999" s="29" t="s">
        <v>43</v>
      </c>
      <c r="AB2999">
        <v>31200</v>
      </c>
      <c r="AC2999">
        <v>170</v>
      </c>
      <c r="AD2999">
        <v>4</v>
      </c>
      <c r="AE2999">
        <v>9.23</v>
      </c>
      <c r="AF2999">
        <v>9.23</v>
      </c>
      <c r="AG2999" s="29" t="s">
        <v>3669</v>
      </c>
      <c r="AH2999" s="29" t="s">
        <v>4327</v>
      </c>
      <c r="AI2999" s="29" t="s">
        <v>3703</v>
      </c>
      <c r="AJ2999" s="29" t="s">
        <v>4328</v>
      </c>
      <c r="AL2999" s="29" t="s">
        <v>3670</v>
      </c>
    </row>
    <row r="3000" spans="27:38">
      <c r="AA3000" s="29" t="s">
        <v>43</v>
      </c>
      <c r="AB3000">
        <v>31200</v>
      </c>
      <c r="AC3000">
        <v>170</v>
      </c>
      <c r="AD3000">
        <v>4</v>
      </c>
      <c r="AE3000">
        <v>0</v>
      </c>
      <c r="AF3000">
        <v>0</v>
      </c>
      <c r="AG3000" s="29" t="s">
        <v>3669</v>
      </c>
      <c r="AH3000" s="29" t="s">
        <v>3673</v>
      </c>
      <c r="AI3000" s="29" t="s">
        <v>3703</v>
      </c>
      <c r="AJ3000" s="29" t="s">
        <v>4520</v>
      </c>
      <c r="AL3000" s="29" t="s">
        <v>3670</v>
      </c>
    </row>
    <row r="3001" spans="27:38">
      <c r="AA3001" s="29" t="s">
        <v>43</v>
      </c>
      <c r="AB3001">
        <v>31200</v>
      </c>
      <c r="AC3001">
        <v>170</v>
      </c>
      <c r="AD3001">
        <v>4</v>
      </c>
      <c r="AE3001">
        <v>121.33</v>
      </c>
      <c r="AF3001">
        <v>121.33</v>
      </c>
      <c r="AG3001" s="29" t="s">
        <v>3669</v>
      </c>
      <c r="AH3001" s="29" t="s">
        <v>4420</v>
      </c>
      <c r="AI3001" s="29" t="s">
        <v>3703</v>
      </c>
      <c r="AJ3001" s="29" t="s">
        <v>4521</v>
      </c>
      <c r="AL3001" s="29" t="s">
        <v>3670</v>
      </c>
    </row>
    <row r="3002" spans="27:38">
      <c r="AA3002" s="29" t="s">
        <v>43</v>
      </c>
      <c r="AB3002">
        <v>31200</v>
      </c>
      <c r="AC3002">
        <v>170</v>
      </c>
      <c r="AD3002">
        <v>4</v>
      </c>
      <c r="AE3002">
        <v>121.33</v>
      </c>
      <c r="AF3002">
        <v>121.33</v>
      </c>
      <c r="AG3002" s="29" t="s">
        <v>3669</v>
      </c>
      <c r="AH3002" s="29" t="s">
        <v>4420</v>
      </c>
      <c r="AI3002" s="29" t="s">
        <v>3703</v>
      </c>
      <c r="AJ3002" s="29" t="s">
        <v>4421</v>
      </c>
      <c r="AL3002" s="29" t="s">
        <v>3670</v>
      </c>
    </row>
    <row r="3003" spans="27:38">
      <c r="AA3003" s="29" t="s">
        <v>43</v>
      </c>
      <c r="AB3003">
        <v>31200</v>
      </c>
      <c r="AC3003">
        <v>170</v>
      </c>
      <c r="AD3003">
        <v>4</v>
      </c>
      <c r="AE3003">
        <v>133.46</v>
      </c>
      <c r="AF3003">
        <v>133.46</v>
      </c>
      <c r="AG3003" s="29" t="s">
        <v>3669</v>
      </c>
      <c r="AH3003" s="29" t="s">
        <v>4522</v>
      </c>
      <c r="AI3003" s="29" t="s">
        <v>3703</v>
      </c>
      <c r="AJ3003" s="29" t="s">
        <v>4523</v>
      </c>
      <c r="AL3003" s="29" t="s">
        <v>3670</v>
      </c>
    </row>
    <row r="3004" spans="27:38">
      <c r="AA3004" s="29" t="s">
        <v>43</v>
      </c>
      <c r="AB3004">
        <v>31200</v>
      </c>
      <c r="AC3004">
        <v>170</v>
      </c>
      <c r="AD3004">
        <v>4</v>
      </c>
      <c r="AE3004">
        <v>100.91</v>
      </c>
      <c r="AF3004">
        <v>100.91</v>
      </c>
      <c r="AG3004" s="29" t="s">
        <v>3669</v>
      </c>
      <c r="AH3004" s="29" t="s">
        <v>4524</v>
      </c>
      <c r="AI3004" s="29" t="s">
        <v>3703</v>
      </c>
      <c r="AJ3004" s="29" t="s">
        <v>4525</v>
      </c>
      <c r="AL3004" s="29" t="s">
        <v>3670</v>
      </c>
    </row>
    <row r="3005" spans="27:38">
      <c r="AA3005" s="29" t="s">
        <v>43</v>
      </c>
      <c r="AB3005">
        <v>31200</v>
      </c>
      <c r="AC3005">
        <v>170</v>
      </c>
      <c r="AD3005">
        <v>4</v>
      </c>
      <c r="AE3005">
        <v>67.27</v>
      </c>
      <c r="AF3005">
        <v>67.27</v>
      </c>
      <c r="AG3005" s="29" t="s">
        <v>3669</v>
      </c>
      <c r="AH3005" s="29" t="s">
        <v>4422</v>
      </c>
      <c r="AI3005" s="29" t="s">
        <v>3703</v>
      </c>
      <c r="AJ3005" s="29" t="s">
        <v>4423</v>
      </c>
      <c r="AL3005" s="29" t="s">
        <v>3670</v>
      </c>
    </row>
    <row r="3006" spans="27:38">
      <c r="AA3006" s="29" t="s">
        <v>43</v>
      </c>
      <c r="AB3006">
        <v>31200</v>
      </c>
      <c r="AC3006">
        <v>170</v>
      </c>
      <c r="AD3006">
        <v>4</v>
      </c>
      <c r="AE3006">
        <v>74</v>
      </c>
      <c r="AF3006">
        <v>74</v>
      </c>
      <c r="AG3006" s="29" t="s">
        <v>3669</v>
      </c>
      <c r="AH3006" s="29" t="s">
        <v>4526</v>
      </c>
      <c r="AI3006" s="29" t="s">
        <v>3703</v>
      </c>
      <c r="AJ3006" s="29" t="s">
        <v>4527</v>
      </c>
      <c r="AL3006" s="29" t="s">
        <v>3670</v>
      </c>
    </row>
    <row r="3007" spans="27:38">
      <c r="AA3007" s="29" t="s">
        <v>43</v>
      </c>
      <c r="AB3007">
        <v>31200</v>
      </c>
      <c r="AC3007">
        <v>170</v>
      </c>
      <c r="AD3007">
        <v>4</v>
      </c>
      <c r="AE3007">
        <v>3</v>
      </c>
      <c r="AF3007">
        <v>3</v>
      </c>
      <c r="AG3007" s="29" t="s">
        <v>3669</v>
      </c>
      <c r="AH3007" s="29" t="s">
        <v>4528</v>
      </c>
      <c r="AI3007" s="29" t="s">
        <v>3703</v>
      </c>
      <c r="AJ3007" s="29" t="s">
        <v>865</v>
      </c>
      <c r="AL3007" s="29" t="s">
        <v>3670</v>
      </c>
    </row>
    <row r="3008" spans="27:38">
      <c r="AA3008" s="29" t="s">
        <v>43</v>
      </c>
      <c r="AB3008">
        <v>31200</v>
      </c>
      <c r="AC3008">
        <v>170</v>
      </c>
      <c r="AD3008">
        <v>4</v>
      </c>
      <c r="AE3008">
        <v>51.38</v>
      </c>
      <c r="AF3008">
        <v>51.38</v>
      </c>
      <c r="AG3008" s="29" t="s">
        <v>3669</v>
      </c>
      <c r="AH3008" s="29" t="s">
        <v>4424</v>
      </c>
      <c r="AI3008" s="29" t="s">
        <v>3703</v>
      </c>
      <c r="AJ3008" s="29" t="s">
        <v>1681</v>
      </c>
      <c r="AL3008" s="29" t="s">
        <v>3670</v>
      </c>
    </row>
    <row r="3009" spans="27:38">
      <c r="AA3009" s="29" t="s">
        <v>43</v>
      </c>
      <c r="AB3009">
        <v>31200</v>
      </c>
      <c r="AC3009">
        <v>170</v>
      </c>
      <c r="AD3009">
        <v>4</v>
      </c>
      <c r="AE3009">
        <v>12.85</v>
      </c>
      <c r="AF3009">
        <v>12.85</v>
      </c>
      <c r="AG3009" s="29" t="s">
        <v>3669</v>
      </c>
      <c r="AH3009" s="29" t="s">
        <v>4425</v>
      </c>
      <c r="AI3009" s="29" t="s">
        <v>3703</v>
      </c>
      <c r="AJ3009" s="29" t="s">
        <v>4426</v>
      </c>
      <c r="AL3009" s="29" t="s">
        <v>3670</v>
      </c>
    </row>
    <row r="3010" spans="27:38">
      <c r="AA3010" s="29" t="s">
        <v>43</v>
      </c>
      <c r="AB3010">
        <v>31200</v>
      </c>
      <c r="AC3010">
        <v>170</v>
      </c>
      <c r="AD3010">
        <v>4</v>
      </c>
      <c r="AE3010">
        <v>55.13</v>
      </c>
      <c r="AF3010">
        <v>55.13</v>
      </c>
      <c r="AG3010" s="29" t="s">
        <v>3669</v>
      </c>
      <c r="AH3010" s="29" t="s">
        <v>4460</v>
      </c>
      <c r="AI3010" s="29" t="s">
        <v>3703</v>
      </c>
      <c r="AJ3010" s="29" t="s">
        <v>3043</v>
      </c>
      <c r="AL3010" s="29" t="s">
        <v>3670</v>
      </c>
    </row>
    <row r="3011" spans="27:38">
      <c r="AA3011" s="29" t="s">
        <v>43</v>
      </c>
      <c r="AB3011">
        <v>31200</v>
      </c>
      <c r="AC3011">
        <v>170</v>
      </c>
      <c r="AD3011">
        <v>4</v>
      </c>
      <c r="AE3011">
        <v>-55.13</v>
      </c>
      <c r="AF3011">
        <v>-55.13</v>
      </c>
      <c r="AG3011" s="29" t="s">
        <v>3669</v>
      </c>
      <c r="AH3011" s="29" t="s">
        <v>4467</v>
      </c>
      <c r="AI3011" s="29" t="s">
        <v>3703</v>
      </c>
      <c r="AJ3011" s="29" t="s">
        <v>3045</v>
      </c>
      <c r="AL3011" s="29" t="s">
        <v>3670</v>
      </c>
    </row>
    <row r="3012" spans="27:38">
      <c r="AA3012" s="29" t="s">
        <v>43</v>
      </c>
      <c r="AB3012">
        <v>31200</v>
      </c>
      <c r="AC3012">
        <v>170</v>
      </c>
      <c r="AD3012">
        <v>4</v>
      </c>
      <c r="AE3012">
        <v>55.13</v>
      </c>
      <c r="AF3012">
        <v>55.13</v>
      </c>
      <c r="AG3012" s="29" t="s">
        <v>3669</v>
      </c>
      <c r="AH3012" s="29" t="s">
        <v>4460</v>
      </c>
      <c r="AI3012" s="29" t="s">
        <v>3703</v>
      </c>
      <c r="AJ3012" s="29" t="s">
        <v>3043</v>
      </c>
      <c r="AL3012" s="29" t="s">
        <v>3670</v>
      </c>
    </row>
    <row r="3013" spans="27:38">
      <c r="AA3013" s="29" t="s">
        <v>43</v>
      </c>
      <c r="AB3013">
        <v>31200</v>
      </c>
      <c r="AC3013">
        <v>170</v>
      </c>
      <c r="AD3013">
        <v>4</v>
      </c>
      <c r="AE3013">
        <v>27.56</v>
      </c>
      <c r="AF3013">
        <v>27.56</v>
      </c>
      <c r="AG3013" s="29" t="s">
        <v>3669</v>
      </c>
      <c r="AH3013" s="29" t="s">
        <v>4529</v>
      </c>
      <c r="AI3013" s="29" t="s">
        <v>3703</v>
      </c>
      <c r="AJ3013" s="29" t="s">
        <v>4530</v>
      </c>
      <c r="AL3013" s="29" t="s">
        <v>3670</v>
      </c>
    </row>
    <row r="3014" spans="27:38">
      <c r="AA3014" s="29" t="s">
        <v>43</v>
      </c>
      <c r="AB3014">
        <v>31200</v>
      </c>
      <c r="AC3014">
        <v>170</v>
      </c>
      <c r="AD3014">
        <v>4</v>
      </c>
      <c r="AE3014">
        <v>824.85</v>
      </c>
      <c r="AF3014">
        <v>824.85</v>
      </c>
      <c r="AG3014" s="29" t="s">
        <v>3669</v>
      </c>
      <c r="AH3014" s="29" t="s">
        <v>4531</v>
      </c>
      <c r="AI3014" s="29" t="s">
        <v>3703</v>
      </c>
      <c r="AJ3014" s="29" t="s">
        <v>4532</v>
      </c>
      <c r="AL3014" s="29" t="s">
        <v>3670</v>
      </c>
    </row>
    <row r="3015" spans="27:38">
      <c r="AA3015" s="29" t="s">
        <v>43</v>
      </c>
      <c r="AB3015">
        <v>31200</v>
      </c>
      <c r="AC3015">
        <v>170</v>
      </c>
      <c r="AD3015">
        <v>4</v>
      </c>
      <c r="AE3015">
        <v>12.85</v>
      </c>
      <c r="AF3015">
        <v>12.85</v>
      </c>
      <c r="AG3015" s="29" t="s">
        <v>3669</v>
      </c>
      <c r="AH3015" s="29" t="s">
        <v>4425</v>
      </c>
      <c r="AI3015" s="29" t="s">
        <v>3703</v>
      </c>
      <c r="AJ3015" s="29" t="s">
        <v>4426</v>
      </c>
      <c r="AL3015" s="29" t="s">
        <v>3670</v>
      </c>
    </row>
    <row r="3016" spans="27:38">
      <c r="AA3016" s="29" t="s">
        <v>43</v>
      </c>
      <c r="AB3016">
        <v>31200</v>
      </c>
      <c r="AC3016">
        <v>170</v>
      </c>
      <c r="AD3016">
        <v>4</v>
      </c>
      <c r="AE3016">
        <v>181.99</v>
      </c>
      <c r="AF3016">
        <v>181.99</v>
      </c>
      <c r="AG3016" s="29" t="s">
        <v>3669</v>
      </c>
      <c r="AH3016" s="29" t="s">
        <v>4533</v>
      </c>
      <c r="AI3016" s="29" t="s">
        <v>3703</v>
      </c>
      <c r="AJ3016" s="29" t="s">
        <v>4534</v>
      </c>
      <c r="AL3016" s="29" t="s">
        <v>3670</v>
      </c>
    </row>
    <row r="3017" spans="27:38">
      <c r="AA3017" s="29" t="s">
        <v>43</v>
      </c>
      <c r="AB3017">
        <v>31200</v>
      </c>
      <c r="AC3017">
        <v>170</v>
      </c>
      <c r="AD3017">
        <v>4</v>
      </c>
      <c r="AE3017">
        <v>49.3</v>
      </c>
      <c r="AF3017">
        <v>49.3</v>
      </c>
      <c r="AG3017" s="29" t="s">
        <v>3669</v>
      </c>
      <c r="AH3017" s="29" t="s">
        <v>4535</v>
      </c>
      <c r="AI3017" s="29" t="s">
        <v>3703</v>
      </c>
      <c r="AJ3017" s="29" t="s">
        <v>4536</v>
      </c>
      <c r="AL3017" s="29" t="s">
        <v>3670</v>
      </c>
    </row>
    <row r="3018" spans="27:38">
      <c r="AA3018" s="29" t="s">
        <v>43</v>
      </c>
      <c r="AB3018">
        <v>31200</v>
      </c>
      <c r="AC3018">
        <v>170</v>
      </c>
      <c r="AD3018">
        <v>4</v>
      </c>
      <c r="AE3018">
        <v>88.36</v>
      </c>
      <c r="AF3018">
        <v>88.36</v>
      </c>
      <c r="AG3018" s="29" t="s">
        <v>3669</v>
      </c>
      <c r="AH3018" s="29" t="s">
        <v>4537</v>
      </c>
      <c r="AI3018" s="29" t="s">
        <v>3703</v>
      </c>
      <c r="AJ3018" s="29" t="s">
        <v>4538</v>
      </c>
      <c r="AL3018" s="29" t="s">
        <v>3670</v>
      </c>
    </row>
    <row r="3019" spans="27:38">
      <c r="AA3019" s="29" t="s">
        <v>43</v>
      </c>
      <c r="AB3019">
        <v>31200</v>
      </c>
      <c r="AC3019">
        <v>170</v>
      </c>
      <c r="AD3019">
        <v>4</v>
      </c>
      <c r="AE3019">
        <v>46.94</v>
      </c>
      <c r="AF3019">
        <v>46.94</v>
      </c>
      <c r="AG3019" s="29" t="s">
        <v>3669</v>
      </c>
      <c r="AH3019" s="29" t="s">
        <v>4406</v>
      </c>
      <c r="AI3019" s="29" t="s">
        <v>3703</v>
      </c>
      <c r="AJ3019" s="29" t="s">
        <v>4407</v>
      </c>
      <c r="AL3019" s="29" t="s">
        <v>3670</v>
      </c>
    </row>
    <row r="3020" spans="27:38">
      <c r="AA3020" s="29" t="s">
        <v>43</v>
      </c>
      <c r="AB3020">
        <v>31200</v>
      </c>
      <c r="AC3020">
        <v>170</v>
      </c>
      <c r="AD3020">
        <v>4</v>
      </c>
      <c r="AE3020">
        <v>14.08</v>
      </c>
      <c r="AF3020">
        <v>14.08</v>
      </c>
      <c r="AG3020" s="29" t="s">
        <v>3669</v>
      </c>
      <c r="AH3020" s="29" t="s">
        <v>4539</v>
      </c>
      <c r="AI3020" s="29" t="s">
        <v>3703</v>
      </c>
      <c r="AJ3020" s="29" t="s">
        <v>4540</v>
      </c>
      <c r="AL3020" s="29" t="s">
        <v>3670</v>
      </c>
    </row>
    <row r="3021" spans="27:38">
      <c r="AA3021" s="29" t="s">
        <v>43</v>
      </c>
      <c r="AB3021">
        <v>31200</v>
      </c>
      <c r="AC3021">
        <v>170</v>
      </c>
      <c r="AD3021">
        <v>4</v>
      </c>
      <c r="AE3021">
        <v>9.39</v>
      </c>
      <c r="AF3021">
        <v>9.39</v>
      </c>
      <c r="AG3021" s="29" t="s">
        <v>3669</v>
      </c>
      <c r="AH3021" s="29" t="s">
        <v>4541</v>
      </c>
      <c r="AI3021" s="29" t="s">
        <v>3703</v>
      </c>
      <c r="AJ3021" s="29" t="s">
        <v>4542</v>
      </c>
      <c r="AL3021" s="29" t="s">
        <v>3670</v>
      </c>
    </row>
    <row r="3022" spans="27:38">
      <c r="AA3022" s="29" t="s">
        <v>43</v>
      </c>
      <c r="AB3022">
        <v>31200</v>
      </c>
      <c r="AC3022">
        <v>170</v>
      </c>
      <c r="AD3022">
        <v>4</v>
      </c>
      <c r="AE3022">
        <v>14.08</v>
      </c>
      <c r="AF3022">
        <v>14.08</v>
      </c>
      <c r="AG3022" s="29" t="s">
        <v>3669</v>
      </c>
      <c r="AH3022" s="29" t="s">
        <v>4539</v>
      </c>
      <c r="AI3022" s="29" t="s">
        <v>3703</v>
      </c>
      <c r="AJ3022" s="29" t="s">
        <v>4540</v>
      </c>
      <c r="AL3022" s="29" t="s">
        <v>3670</v>
      </c>
    </row>
    <row r="3023" spans="27:38">
      <c r="AA3023" s="29" t="s">
        <v>43</v>
      </c>
      <c r="AB3023">
        <v>31200</v>
      </c>
      <c r="AC3023">
        <v>170</v>
      </c>
      <c r="AD3023">
        <v>4</v>
      </c>
      <c r="AE3023">
        <v>11.73</v>
      </c>
      <c r="AF3023">
        <v>11.73</v>
      </c>
      <c r="AG3023" s="29" t="s">
        <v>3669</v>
      </c>
      <c r="AH3023" s="29" t="s">
        <v>4543</v>
      </c>
      <c r="AI3023" s="29" t="s">
        <v>3703</v>
      </c>
      <c r="AJ3023" s="29" t="s">
        <v>4544</v>
      </c>
      <c r="AL3023" s="29" t="s">
        <v>3670</v>
      </c>
    </row>
    <row r="3024" spans="27:38">
      <c r="AA3024" s="29" t="s">
        <v>43</v>
      </c>
      <c r="AB3024">
        <v>31200</v>
      </c>
      <c r="AC3024">
        <v>170</v>
      </c>
      <c r="AD3024">
        <v>4</v>
      </c>
      <c r="AE3024">
        <v>70.650000000000006</v>
      </c>
      <c r="AF3024">
        <v>70.650000000000006</v>
      </c>
      <c r="AG3024" s="29" t="s">
        <v>3669</v>
      </c>
      <c r="AH3024" s="29" t="s">
        <v>4545</v>
      </c>
      <c r="AI3024" s="29" t="s">
        <v>3703</v>
      </c>
      <c r="AJ3024" s="29" t="s">
        <v>4546</v>
      </c>
      <c r="AL3024" s="29" t="s">
        <v>3670</v>
      </c>
    </row>
    <row r="3025" spans="27:38">
      <c r="AA3025" s="29" t="s">
        <v>43</v>
      </c>
      <c r="AB3025">
        <v>31200</v>
      </c>
      <c r="AC3025">
        <v>170</v>
      </c>
      <c r="AD3025">
        <v>4</v>
      </c>
      <c r="AE3025">
        <v>70.02</v>
      </c>
      <c r="AF3025">
        <v>70.02</v>
      </c>
      <c r="AG3025" s="29" t="s">
        <v>3669</v>
      </c>
      <c r="AH3025" s="29" t="s">
        <v>4547</v>
      </c>
      <c r="AI3025" s="29" t="s">
        <v>3703</v>
      </c>
      <c r="AJ3025" s="29" t="s">
        <v>4548</v>
      </c>
      <c r="AL3025" s="29" t="s">
        <v>3670</v>
      </c>
    </row>
    <row r="3026" spans="27:38">
      <c r="AA3026" s="29" t="s">
        <v>43</v>
      </c>
      <c r="AB3026">
        <v>31200</v>
      </c>
      <c r="AC3026">
        <v>170</v>
      </c>
      <c r="AD3026">
        <v>4</v>
      </c>
      <c r="AE3026">
        <v>48.26</v>
      </c>
      <c r="AF3026">
        <v>48.26</v>
      </c>
      <c r="AG3026" s="29" t="s">
        <v>3669</v>
      </c>
      <c r="AH3026" s="29" t="s">
        <v>4549</v>
      </c>
      <c r="AI3026" s="29" t="s">
        <v>3703</v>
      </c>
      <c r="AJ3026" s="29" t="s">
        <v>4550</v>
      </c>
      <c r="AL3026" s="29" t="s">
        <v>3670</v>
      </c>
    </row>
    <row r="3027" spans="27:38">
      <c r="AA3027" s="29" t="s">
        <v>43</v>
      </c>
      <c r="AB3027">
        <v>31200</v>
      </c>
      <c r="AC3027">
        <v>170</v>
      </c>
      <c r="AD3027">
        <v>4</v>
      </c>
      <c r="AE3027">
        <v>418.53</v>
      </c>
      <c r="AF3027">
        <v>418.53</v>
      </c>
      <c r="AG3027" s="29" t="s">
        <v>3669</v>
      </c>
      <c r="AH3027" s="29" t="s">
        <v>4551</v>
      </c>
      <c r="AI3027" s="29" t="s">
        <v>3703</v>
      </c>
      <c r="AJ3027" s="29" t="s">
        <v>4552</v>
      </c>
      <c r="AL3027" s="29" t="s">
        <v>3670</v>
      </c>
    </row>
    <row r="3028" spans="27:38">
      <c r="AA3028" s="29" t="s">
        <v>43</v>
      </c>
      <c r="AB3028">
        <v>31200</v>
      </c>
      <c r="AC3028">
        <v>170</v>
      </c>
      <c r="AD3028">
        <v>4</v>
      </c>
      <c r="AE3028">
        <v>134.55000000000001</v>
      </c>
      <c r="AF3028">
        <v>134.55000000000001</v>
      </c>
      <c r="AG3028" s="29" t="s">
        <v>3669</v>
      </c>
      <c r="AH3028" s="29" t="s">
        <v>4429</v>
      </c>
      <c r="AI3028" s="29" t="s">
        <v>3703</v>
      </c>
      <c r="AJ3028" s="29" t="s">
        <v>4430</v>
      </c>
      <c r="AL3028" s="29" t="s">
        <v>3670</v>
      </c>
    </row>
    <row r="3029" spans="27:38">
      <c r="AA3029" s="29" t="s">
        <v>43</v>
      </c>
      <c r="AB3029">
        <v>31200</v>
      </c>
      <c r="AC3029">
        <v>170</v>
      </c>
      <c r="AD3029">
        <v>4</v>
      </c>
      <c r="AE3029">
        <v>67.27</v>
      </c>
      <c r="AF3029">
        <v>67.27</v>
      </c>
      <c r="AG3029" s="29" t="s">
        <v>3669</v>
      </c>
      <c r="AH3029" s="29" t="s">
        <v>4422</v>
      </c>
      <c r="AI3029" s="29" t="s">
        <v>3703</v>
      </c>
      <c r="AJ3029" s="29" t="s">
        <v>4553</v>
      </c>
      <c r="AL3029" s="29" t="s">
        <v>3670</v>
      </c>
    </row>
    <row r="3030" spans="27:38">
      <c r="AA3030" s="29" t="s">
        <v>43</v>
      </c>
      <c r="AB3030">
        <v>31200</v>
      </c>
      <c r="AC3030">
        <v>170</v>
      </c>
      <c r="AD3030">
        <v>4</v>
      </c>
      <c r="AE3030">
        <v>218.12</v>
      </c>
      <c r="AF3030">
        <v>218.12</v>
      </c>
      <c r="AG3030" s="29" t="s">
        <v>3669</v>
      </c>
      <c r="AH3030" s="29" t="s">
        <v>4554</v>
      </c>
      <c r="AI3030" s="29" t="s">
        <v>3703</v>
      </c>
      <c r="AJ3030" s="29" t="s">
        <v>4555</v>
      </c>
      <c r="AL3030" s="29" t="s">
        <v>3670</v>
      </c>
    </row>
    <row r="3031" spans="27:38">
      <c r="AA3031" s="29" t="s">
        <v>43</v>
      </c>
      <c r="AB3031">
        <v>31200</v>
      </c>
      <c r="AC3031">
        <v>170</v>
      </c>
      <c r="AD3031">
        <v>4</v>
      </c>
      <c r="AE3031">
        <v>207.65</v>
      </c>
      <c r="AF3031">
        <v>207.65</v>
      </c>
      <c r="AG3031" s="29" t="s">
        <v>3669</v>
      </c>
      <c r="AH3031" s="29" t="s">
        <v>4556</v>
      </c>
      <c r="AI3031" s="29" t="s">
        <v>3703</v>
      </c>
      <c r="AJ3031" s="29" t="s">
        <v>4557</v>
      </c>
      <c r="AL3031" s="29" t="s">
        <v>3670</v>
      </c>
    </row>
    <row r="3032" spans="27:38">
      <c r="AA3032" s="29" t="s">
        <v>43</v>
      </c>
      <c r="AB3032">
        <v>31200</v>
      </c>
      <c r="AC3032">
        <v>170</v>
      </c>
      <c r="AD3032">
        <v>4</v>
      </c>
      <c r="AE3032">
        <v>6.78</v>
      </c>
      <c r="AF3032">
        <v>6.78</v>
      </c>
      <c r="AG3032" s="29" t="s">
        <v>3669</v>
      </c>
      <c r="AH3032" s="29" t="s">
        <v>4558</v>
      </c>
      <c r="AI3032" s="29" t="s">
        <v>3703</v>
      </c>
      <c r="AJ3032" s="29" t="s">
        <v>4559</v>
      </c>
      <c r="AL3032" s="29" t="s">
        <v>3670</v>
      </c>
    </row>
    <row r="3033" spans="27:38">
      <c r="AA3033" s="29" t="s">
        <v>43</v>
      </c>
      <c r="AB3033">
        <v>31200</v>
      </c>
      <c r="AC3033">
        <v>170</v>
      </c>
      <c r="AD3033">
        <v>4</v>
      </c>
      <c r="AE3033">
        <v>77.900000000000006</v>
      </c>
      <c r="AF3033">
        <v>77.900000000000006</v>
      </c>
      <c r="AG3033" s="29" t="s">
        <v>3669</v>
      </c>
      <c r="AH3033" s="29" t="s">
        <v>4560</v>
      </c>
      <c r="AI3033" s="29" t="s">
        <v>3703</v>
      </c>
      <c r="AJ3033" s="29" t="s">
        <v>4561</v>
      </c>
      <c r="AL3033" s="29" t="s">
        <v>3670</v>
      </c>
    </row>
    <row r="3034" spans="27:38">
      <c r="AA3034" s="29" t="s">
        <v>43</v>
      </c>
      <c r="AB3034">
        <v>31200</v>
      </c>
      <c r="AC3034">
        <v>170</v>
      </c>
      <c r="AD3034">
        <v>4</v>
      </c>
      <c r="AE3034">
        <v>5.68</v>
      </c>
      <c r="AF3034">
        <v>5.68</v>
      </c>
      <c r="AG3034" s="29" t="s">
        <v>3669</v>
      </c>
      <c r="AH3034" s="29" t="s">
        <v>4562</v>
      </c>
      <c r="AI3034" s="29" t="s">
        <v>3703</v>
      </c>
      <c r="AJ3034" s="29" t="s">
        <v>4563</v>
      </c>
      <c r="AL3034" s="29" t="s">
        <v>3670</v>
      </c>
    </row>
    <row r="3035" spans="27:38">
      <c r="AA3035" s="29" t="s">
        <v>43</v>
      </c>
      <c r="AB3035">
        <v>31200</v>
      </c>
      <c r="AC3035">
        <v>170</v>
      </c>
      <c r="AD3035">
        <v>4</v>
      </c>
      <c r="AE3035">
        <v>0</v>
      </c>
      <c r="AF3035">
        <v>0</v>
      </c>
      <c r="AG3035" s="29" t="s">
        <v>3669</v>
      </c>
      <c r="AH3035" s="29" t="s">
        <v>3673</v>
      </c>
      <c r="AI3035" s="29" t="s">
        <v>3703</v>
      </c>
      <c r="AJ3035" s="29" t="s">
        <v>4564</v>
      </c>
      <c r="AL3035" s="29" t="s">
        <v>3670</v>
      </c>
    </row>
    <row r="3036" spans="27:38">
      <c r="AA3036" s="29" t="s">
        <v>43</v>
      </c>
      <c r="AB3036">
        <v>31200</v>
      </c>
      <c r="AC3036">
        <v>170</v>
      </c>
      <c r="AD3036">
        <v>4</v>
      </c>
      <c r="AE3036">
        <v>30.69</v>
      </c>
      <c r="AF3036">
        <v>30.69</v>
      </c>
      <c r="AG3036" s="29" t="s">
        <v>3669</v>
      </c>
      <c r="AH3036" s="29" t="s">
        <v>4565</v>
      </c>
      <c r="AI3036" s="29" t="s">
        <v>3703</v>
      </c>
      <c r="AJ3036" s="29" t="s">
        <v>4566</v>
      </c>
      <c r="AL3036" s="29" t="s">
        <v>3670</v>
      </c>
    </row>
    <row r="3037" spans="27:38">
      <c r="AA3037" s="29" t="s">
        <v>43</v>
      </c>
      <c r="AB3037">
        <v>31200</v>
      </c>
      <c r="AC3037">
        <v>170</v>
      </c>
      <c r="AD3037">
        <v>4</v>
      </c>
      <c r="AE3037">
        <v>1218.1500000000001</v>
      </c>
      <c r="AF3037">
        <v>1218.1500000000001</v>
      </c>
      <c r="AG3037" s="29" t="s">
        <v>3669</v>
      </c>
      <c r="AH3037" s="29" t="s">
        <v>4567</v>
      </c>
      <c r="AI3037" s="29" t="s">
        <v>3703</v>
      </c>
      <c r="AJ3037" s="29" t="s">
        <v>4568</v>
      </c>
      <c r="AL3037" s="29" t="s">
        <v>3670</v>
      </c>
    </row>
    <row r="3038" spans="27:38">
      <c r="AA3038" s="29" t="s">
        <v>43</v>
      </c>
      <c r="AB3038">
        <v>31200</v>
      </c>
      <c r="AC3038">
        <v>170</v>
      </c>
      <c r="AD3038">
        <v>4</v>
      </c>
      <c r="AE3038">
        <v>12.83</v>
      </c>
      <c r="AF3038">
        <v>12.83</v>
      </c>
      <c r="AG3038" s="29" t="s">
        <v>3669</v>
      </c>
      <c r="AH3038" s="29" t="s">
        <v>4569</v>
      </c>
      <c r="AI3038" s="29" t="s">
        <v>3703</v>
      </c>
      <c r="AJ3038" s="29" t="s">
        <v>4570</v>
      </c>
      <c r="AL3038" s="29" t="s">
        <v>3670</v>
      </c>
    </row>
    <row r="3039" spans="27:38">
      <c r="AA3039" s="29" t="s">
        <v>43</v>
      </c>
      <c r="AB3039">
        <v>31200</v>
      </c>
      <c r="AC3039">
        <v>170</v>
      </c>
      <c r="AD3039">
        <v>4</v>
      </c>
      <c r="AE3039">
        <v>3.63</v>
      </c>
      <c r="AF3039">
        <v>3.63</v>
      </c>
      <c r="AG3039" s="29" t="s">
        <v>3669</v>
      </c>
      <c r="AH3039" s="29" t="s">
        <v>4571</v>
      </c>
      <c r="AI3039" s="29" t="s">
        <v>3703</v>
      </c>
      <c r="AJ3039" s="29" t="s">
        <v>4572</v>
      </c>
      <c r="AL3039" s="29" t="s">
        <v>3670</v>
      </c>
    </row>
    <row r="3040" spans="27:38">
      <c r="AA3040" s="29" t="s">
        <v>43</v>
      </c>
      <c r="AB3040">
        <v>31200</v>
      </c>
      <c r="AC3040">
        <v>170</v>
      </c>
      <c r="AD3040">
        <v>4</v>
      </c>
      <c r="AE3040">
        <v>21.64</v>
      </c>
      <c r="AF3040">
        <v>21.64</v>
      </c>
      <c r="AG3040" s="29" t="s">
        <v>3669</v>
      </c>
      <c r="AH3040" s="29" t="s">
        <v>4573</v>
      </c>
      <c r="AI3040" s="29" t="s">
        <v>3703</v>
      </c>
      <c r="AJ3040" s="29" t="s">
        <v>4574</v>
      </c>
      <c r="AL3040" s="29" t="s">
        <v>3670</v>
      </c>
    </row>
    <row r="3041" spans="27:38">
      <c r="AA3041" s="29" t="s">
        <v>43</v>
      </c>
      <c r="AB3041">
        <v>31200</v>
      </c>
      <c r="AC3041">
        <v>170</v>
      </c>
      <c r="AD3041">
        <v>4</v>
      </c>
      <c r="AE3041">
        <v>21.36</v>
      </c>
      <c r="AF3041">
        <v>21.36</v>
      </c>
      <c r="AG3041" s="29" t="s">
        <v>3669</v>
      </c>
      <c r="AH3041" s="29" t="s">
        <v>4575</v>
      </c>
      <c r="AI3041" s="29" t="s">
        <v>3703</v>
      </c>
      <c r="AJ3041" s="29" t="s">
        <v>4576</v>
      </c>
      <c r="AL3041" s="29" t="s">
        <v>3670</v>
      </c>
    </row>
    <row r="3042" spans="27:38">
      <c r="AA3042" s="29" t="s">
        <v>43</v>
      </c>
      <c r="AB3042">
        <v>31200</v>
      </c>
      <c r="AC3042">
        <v>170</v>
      </c>
      <c r="AD3042">
        <v>4</v>
      </c>
      <c r="AE3042">
        <v>38.81</v>
      </c>
      <c r="AF3042">
        <v>38.81</v>
      </c>
      <c r="AG3042" s="29" t="s">
        <v>3669</v>
      </c>
      <c r="AH3042" s="29" t="s">
        <v>4577</v>
      </c>
      <c r="AI3042" s="29" t="s">
        <v>3703</v>
      </c>
      <c r="AJ3042" s="29" t="s">
        <v>4578</v>
      </c>
      <c r="AL3042" s="29" t="s">
        <v>3670</v>
      </c>
    </row>
    <row r="3043" spans="27:38">
      <c r="AA3043" s="29" t="s">
        <v>43</v>
      </c>
      <c r="AB3043">
        <v>31200</v>
      </c>
      <c r="AC3043">
        <v>170</v>
      </c>
      <c r="AD3043">
        <v>4</v>
      </c>
      <c r="AE3043">
        <v>10.47</v>
      </c>
      <c r="AF3043">
        <v>10.47</v>
      </c>
      <c r="AG3043" s="29" t="s">
        <v>3669</v>
      </c>
      <c r="AH3043" s="29" t="s">
        <v>4579</v>
      </c>
      <c r="AI3043" s="29" t="s">
        <v>3703</v>
      </c>
      <c r="AJ3043" s="29" t="s">
        <v>4580</v>
      </c>
      <c r="AL3043" s="29" t="s">
        <v>3670</v>
      </c>
    </row>
    <row r="3044" spans="27:38">
      <c r="AA3044" s="29" t="s">
        <v>43</v>
      </c>
      <c r="AB3044">
        <v>31200</v>
      </c>
      <c r="AC3044">
        <v>170</v>
      </c>
      <c r="AD3044">
        <v>4</v>
      </c>
      <c r="AE3044">
        <v>205.14</v>
      </c>
      <c r="AF3044">
        <v>205.14</v>
      </c>
      <c r="AG3044" s="29" t="s">
        <v>3669</v>
      </c>
      <c r="AH3044" s="29" t="s">
        <v>4581</v>
      </c>
      <c r="AI3044" s="29" t="s">
        <v>3703</v>
      </c>
      <c r="AJ3044" s="29" t="s">
        <v>4582</v>
      </c>
      <c r="AL3044" s="29" t="s">
        <v>3670</v>
      </c>
    </row>
    <row r="3045" spans="27:38">
      <c r="AA3045" s="29" t="s">
        <v>43</v>
      </c>
      <c r="AB3045">
        <v>31200</v>
      </c>
      <c r="AC3045">
        <v>170</v>
      </c>
      <c r="AD3045">
        <v>4</v>
      </c>
      <c r="AE3045">
        <v>45.42</v>
      </c>
      <c r="AF3045">
        <v>45.42</v>
      </c>
      <c r="AG3045" s="29" t="s">
        <v>3669</v>
      </c>
      <c r="AH3045" s="29" t="s">
        <v>4583</v>
      </c>
      <c r="AI3045" s="29" t="s">
        <v>3703</v>
      </c>
      <c r="AJ3045" s="29" t="s">
        <v>4584</v>
      </c>
      <c r="AL3045" s="29" t="s">
        <v>3670</v>
      </c>
    </row>
    <row r="3046" spans="27:38">
      <c r="AA3046" s="29" t="s">
        <v>43</v>
      </c>
      <c r="AB3046">
        <v>31200</v>
      </c>
      <c r="AC3046">
        <v>170</v>
      </c>
      <c r="AD3046">
        <v>4</v>
      </c>
      <c r="AE3046">
        <v>17.510000000000002</v>
      </c>
      <c r="AF3046">
        <v>17.510000000000002</v>
      </c>
      <c r="AG3046" s="29" t="s">
        <v>3669</v>
      </c>
      <c r="AH3046" s="29" t="s">
        <v>3836</v>
      </c>
      <c r="AI3046" s="29" t="s">
        <v>3703</v>
      </c>
      <c r="AJ3046" s="29" t="s">
        <v>3837</v>
      </c>
      <c r="AL3046" s="29" t="s">
        <v>3670</v>
      </c>
    </row>
    <row r="3047" spans="27:38">
      <c r="AA3047" s="29" t="s">
        <v>43</v>
      </c>
      <c r="AB3047">
        <v>31200</v>
      </c>
      <c r="AC3047">
        <v>170</v>
      </c>
      <c r="AD3047">
        <v>4</v>
      </c>
      <c r="AE3047">
        <v>24</v>
      </c>
      <c r="AF3047">
        <v>24</v>
      </c>
      <c r="AG3047" s="29" t="s">
        <v>3669</v>
      </c>
      <c r="AH3047" s="29" t="s">
        <v>4585</v>
      </c>
      <c r="AI3047" s="29" t="s">
        <v>3703</v>
      </c>
      <c r="AJ3047" s="29" t="s">
        <v>4586</v>
      </c>
      <c r="AL3047" s="29" t="s">
        <v>3670</v>
      </c>
    </row>
    <row r="3048" spans="27:38">
      <c r="AA3048" s="29" t="s">
        <v>43</v>
      </c>
      <c r="AB3048">
        <v>31200</v>
      </c>
      <c r="AC3048">
        <v>170</v>
      </c>
      <c r="AD3048">
        <v>4</v>
      </c>
      <c r="AE3048">
        <v>120</v>
      </c>
      <c r="AF3048">
        <v>120</v>
      </c>
      <c r="AG3048" s="29" t="s">
        <v>3669</v>
      </c>
      <c r="AH3048" s="29" t="s">
        <v>4587</v>
      </c>
      <c r="AI3048" s="29" t="s">
        <v>3703</v>
      </c>
      <c r="AJ3048" s="29" t="s">
        <v>4588</v>
      </c>
      <c r="AL3048" s="29" t="s">
        <v>3670</v>
      </c>
    </row>
    <row r="3049" spans="27:38">
      <c r="AA3049" s="29" t="s">
        <v>43</v>
      </c>
      <c r="AB3049">
        <v>31200</v>
      </c>
      <c r="AC3049">
        <v>170</v>
      </c>
      <c r="AD3049">
        <v>4</v>
      </c>
      <c r="AE3049">
        <v>25</v>
      </c>
      <c r="AF3049">
        <v>25</v>
      </c>
      <c r="AG3049" s="29" t="s">
        <v>3669</v>
      </c>
      <c r="AH3049" s="29" t="s">
        <v>4589</v>
      </c>
      <c r="AI3049" s="29" t="s">
        <v>3703</v>
      </c>
      <c r="AJ3049" s="29" t="s">
        <v>4590</v>
      </c>
      <c r="AL3049" s="29" t="s">
        <v>3670</v>
      </c>
    </row>
    <row r="3050" spans="27:38">
      <c r="AA3050" s="29" t="s">
        <v>43</v>
      </c>
      <c r="AB3050">
        <v>31200</v>
      </c>
      <c r="AC3050">
        <v>170</v>
      </c>
      <c r="AD3050">
        <v>4</v>
      </c>
      <c r="AE3050">
        <v>22.86</v>
      </c>
      <c r="AF3050">
        <v>22.86</v>
      </c>
      <c r="AG3050" s="29" t="s">
        <v>3669</v>
      </c>
      <c r="AH3050" s="29" t="s">
        <v>4591</v>
      </c>
      <c r="AI3050" s="29" t="s">
        <v>3703</v>
      </c>
      <c r="AJ3050" s="29" t="s">
        <v>4592</v>
      </c>
      <c r="AL3050" s="29" t="s">
        <v>3670</v>
      </c>
    </row>
    <row r="3051" spans="27:38">
      <c r="AA3051" s="29" t="s">
        <v>43</v>
      </c>
      <c r="AB3051">
        <v>31200</v>
      </c>
      <c r="AC3051">
        <v>170</v>
      </c>
      <c r="AD3051">
        <v>4</v>
      </c>
      <c r="AE3051">
        <v>46.98</v>
      </c>
      <c r="AF3051">
        <v>46.98</v>
      </c>
      <c r="AG3051" s="29" t="s">
        <v>3669</v>
      </c>
      <c r="AH3051" s="29" t="s">
        <v>4593</v>
      </c>
      <c r="AI3051" s="29" t="s">
        <v>3703</v>
      </c>
      <c r="AJ3051" s="29" t="s">
        <v>4594</v>
      </c>
      <c r="AL3051" s="29" t="s">
        <v>3670</v>
      </c>
    </row>
    <row r="3052" spans="27:38">
      <c r="AA3052" s="29" t="s">
        <v>43</v>
      </c>
      <c r="AB3052">
        <v>31200</v>
      </c>
      <c r="AC3052">
        <v>170</v>
      </c>
      <c r="AD3052">
        <v>4</v>
      </c>
      <c r="AE3052">
        <v>12.51</v>
      </c>
      <c r="AF3052">
        <v>12.51</v>
      </c>
      <c r="AG3052" s="29" t="s">
        <v>3669</v>
      </c>
      <c r="AH3052" s="29" t="s">
        <v>4595</v>
      </c>
      <c r="AI3052" s="29" t="s">
        <v>3703</v>
      </c>
      <c r="AJ3052" s="29" t="s">
        <v>4596</v>
      </c>
      <c r="AL3052" s="29" t="s">
        <v>3670</v>
      </c>
    </row>
    <row r="3053" spans="27:38">
      <c r="AA3053" s="29" t="s">
        <v>43</v>
      </c>
      <c r="AB3053">
        <v>31200</v>
      </c>
      <c r="AC3053">
        <v>170</v>
      </c>
      <c r="AD3053">
        <v>4</v>
      </c>
      <c r="AE3053">
        <v>82.05</v>
      </c>
      <c r="AF3053">
        <v>82.05</v>
      </c>
      <c r="AG3053" s="29" t="s">
        <v>3669</v>
      </c>
      <c r="AH3053" s="29" t="s">
        <v>4597</v>
      </c>
      <c r="AI3053" s="29" t="s">
        <v>3703</v>
      </c>
      <c r="AJ3053" s="29" t="s">
        <v>4598</v>
      </c>
      <c r="AL3053" s="29" t="s">
        <v>3670</v>
      </c>
    </row>
    <row r="3054" spans="27:38">
      <c r="AA3054" s="29" t="s">
        <v>43</v>
      </c>
      <c r="AB3054">
        <v>31200</v>
      </c>
      <c r="AC3054">
        <v>170</v>
      </c>
      <c r="AD3054">
        <v>4</v>
      </c>
      <c r="AE3054">
        <v>193.92</v>
      </c>
      <c r="AF3054">
        <v>193.92</v>
      </c>
      <c r="AG3054" s="29" t="s">
        <v>3669</v>
      </c>
      <c r="AH3054" s="29" t="s">
        <v>4599</v>
      </c>
      <c r="AI3054" s="29" t="s">
        <v>3703</v>
      </c>
      <c r="AJ3054" s="29" t="s">
        <v>4600</v>
      </c>
      <c r="AL3054" s="29" t="s">
        <v>3670</v>
      </c>
    </row>
    <row r="3055" spans="27:38">
      <c r="AA3055" s="29" t="s">
        <v>43</v>
      </c>
      <c r="AB3055">
        <v>31200</v>
      </c>
      <c r="AC3055">
        <v>170</v>
      </c>
      <c r="AD3055">
        <v>4</v>
      </c>
      <c r="AE3055">
        <v>491.76</v>
      </c>
      <c r="AF3055">
        <v>491.76</v>
      </c>
      <c r="AG3055" s="29" t="s">
        <v>3669</v>
      </c>
      <c r="AH3055" s="29" t="s">
        <v>4601</v>
      </c>
      <c r="AI3055" s="29" t="s">
        <v>3703</v>
      </c>
      <c r="AJ3055" s="29" t="s">
        <v>4602</v>
      </c>
      <c r="AL3055" s="29" t="s">
        <v>3670</v>
      </c>
    </row>
    <row r="3056" spans="27:38">
      <c r="AA3056" s="29" t="s">
        <v>43</v>
      </c>
      <c r="AB3056">
        <v>31200</v>
      </c>
      <c r="AC3056">
        <v>170</v>
      </c>
      <c r="AD3056">
        <v>4</v>
      </c>
      <c r="AE3056">
        <v>0</v>
      </c>
      <c r="AF3056">
        <v>0</v>
      </c>
      <c r="AG3056" s="29" t="s">
        <v>3669</v>
      </c>
      <c r="AH3056" s="29" t="s">
        <v>3673</v>
      </c>
      <c r="AI3056" s="29" t="s">
        <v>3703</v>
      </c>
      <c r="AJ3056" s="29" t="s">
        <v>4603</v>
      </c>
      <c r="AL3056" s="29" t="s">
        <v>3670</v>
      </c>
    </row>
    <row r="3057" spans="27:38">
      <c r="AA3057" s="29" t="s">
        <v>43</v>
      </c>
      <c r="AB3057">
        <v>31200</v>
      </c>
      <c r="AC3057">
        <v>170</v>
      </c>
      <c r="AD3057">
        <v>4</v>
      </c>
      <c r="AE3057">
        <v>123.9</v>
      </c>
      <c r="AF3057">
        <v>123.9</v>
      </c>
      <c r="AG3057" s="29" t="s">
        <v>3669</v>
      </c>
      <c r="AH3057" s="29" t="s">
        <v>4604</v>
      </c>
      <c r="AI3057" s="29" t="s">
        <v>3703</v>
      </c>
      <c r="AJ3057" s="29" t="s">
        <v>4605</v>
      </c>
      <c r="AL3057" s="29" t="s">
        <v>3670</v>
      </c>
    </row>
    <row r="3058" spans="27:38">
      <c r="AA3058" s="29" t="s">
        <v>43</v>
      </c>
      <c r="AB3058">
        <v>31200</v>
      </c>
      <c r="AC3058">
        <v>170</v>
      </c>
      <c r="AD3058">
        <v>4</v>
      </c>
      <c r="AE3058">
        <v>144</v>
      </c>
      <c r="AF3058">
        <v>144</v>
      </c>
      <c r="AG3058" s="29" t="s">
        <v>3669</v>
      </c>
      <c r="AH3058" s="29" t="s">
        <v>4606</v>
      </c>
      <c r="AI3058" s="29" t="s">
        <v>3703</v>
      </c>
      <c r="AJ3058" s="29" t="s">
        <v>4607</v>
      </c>
      <c r="AL3058" s="29" t="s">
        <v>3670</v>
      </c>
    </row>
    <row r="3059" spans="27:38">
      <c r="AA3059" s="29" t="s">
        <v>43</v>
      </c>
      <c r="AB3059">
        <v>31200</v>
      </c>
      <c r="AC3059">
        <v>170</v>
      </c>
      <c r="AD3059">
        <v>4</v>
      </c>
      <c r="AE3059">
        <v>717.11</v>
      </c>
      <c r="AF3059">
        <v>717.11</v>
      </c>
      <c r="AG3059" s="29" t="s">
        <v>3669</v>
      </c>
      <c r="AH3059" s="29" t="s">
        <v>4608</v>
      </c>
      <c r="AI3059" s="29" t="s">
        <v>3703</v>
      </c>
      <c r="AJ3059" s="29" t="s">
        <v>4609</v>
      </c>
      <c r="AL3059" s="29" t="s">
        <v>3670</v>
      </c>
    </row>
    <row r="3060" spans="27:38">
      <c r="AA3060" s="29" t="s">
        <v>43</v>
      </c>
      <c r="AB3060">
        <v>31200</v>
      </c>
      <c r="AC3060">
        <v>170</v>
      </c>
      <c r="AD3060">
        <v>4</v>
      </c>
      <c r="AE3060">
        <v>536.4</v>
      </c>
      <c r="AF3060">
        <v>536.4</v>
      </c>
      <c r="AG3060" s="29" t="s">
        <v>3669</v>
      </c>
      <c r="AH3060" s="29" t="s">
        <v>4610</v>
      </c>
      <c r="AI3060" s="29" t="s">
        <v>3703</v>
      </c>
      <c r="AJ3060" s="29" t="s">
        <v>4611</v>
      </c>
      <c r="AL3060" s="29" t="s">
        <v>3670</v>
      </c>
    </row>
    <row r="3061" spans="27:38">
      <c r="AA3061" s="29" t="s">
        <v>43</v>
      </c>
      <c r="AB3061">
        <v>31200</v>
      </c>
      <c r="AC3061">
        <v>170</v>
      </c>
      <c r="AD3061">
        <v>4</v>
      </c>
      <c r="AE3061">
        <v>5240</v>
      </c>
      <c r="AF3061">
        <v>5240</v>
      </c>
      <c r="AG3061" s="29" t="s">
        <v>3669</v>
      </c>
      <c r="AH3061" s="29" t="s">
        <v>4612</v>
      </c>
      <c r="AI3061" s="29" t="s">
        <v>3703</v>
      </c>
      <c r="AJ3061" s="29" t="s">
        <v>4613</v>
      </c>
      <c r="AL3061" s="29" t="s">
        <v>3670</v>
      </c>
    </row>
    <row r="3062" spans="27:38">
      <c r="AA3062" s="29" t="s">
        <v>43</v>
      </c>
      <c r="AB3062">
        <v>31200</v>
      </c>
      <c r="AC3062">
        <v>170</v>
      </c>
      <c r="AD3062">
        <v>4</v>
      </c>
      <c r="AE3062">
        <v>223</v>
      </c>
      <c r="AF3062">
        <v>223</v>
      </c>
      <c r="AG3062" s="29" t="s">
        <v>3669</v>
      </c>
      <c r="AH3062" s="29" t="s">
        <v>4614</v>
      </c>
      <c r="AI3062" s="29" t="s">
        <v>3703</v>
      </c>
      <c r="AJ3062" s="29" t="s">
        <v>4615</v>
      </c>
      <c r="AL3062" s="29" t="s">
        <v>3670</v>
      </c>
    </row>
    <row r="3063" spans="27:38">
      <c r="AA3063" s="29" t="s">
        <v>43</v>
      </c>
      <c r="AB3063">
        <v>31200</v>
      </c>
      <c r="AC3063">
        <v>170</v>
      </c>
      <c r="AD3063">
        <v>4</v>
      </c>
      <c r="AE3063">
        <v>356</v>
      </c>
      <c r="AF3063">
        <v>356</v>
      </c>
      <c r="AG3063" s="29" t="s">
        <v>3669</v>
      </c>
      <c r="AH3063" s="29" t="s">
        <v>4616</v>
      </c>
      <c r="AI3063" s="29" t="s">
        <v>3703</v>
      </c>
      <c r="AJ3063" s="29" t="s">
        <v>4617</v>
      </c>
      <c r="AL3063" s="29" t="s">
        <v>3670</v>
      </c>
    </row>
    <row r="3064" spans="27:38">
      <c r="AA3064" s="29" t="s">
        <v>43</v>
      </c>
      <c r="AB3064">
        <v>31200</v>
      </c>
      <c r="AC3064">
        <v>170</v>
      </c>
      <c r="AD3064">
        <v>4</v>
      </c>
      <c r="AE3064">
        <v>1237.5</v>
      </c>
      <c r="AF3064">
        <v>1237.5</v>
      </c>
      <c r="AG3064" s="29" t="s">
        <v>3669</v>
      </c>
      <c r="AH3064" s="29" t="s">
        <v>4618</v>
      </c>
      <c r="AI3064" s="29" t="s">
        <v>3703</v>
      </c>
      <c r="AJ3064" s="29" t="s">
        <v>4619</v>
      </c>
      <c r="AL3064" s="29" t="s">
        <v>3670</v>
      </c>
    </row>
    <row r="3065" spans="27:38">
      <c r="AA3065" s="29" t="s">
        <v>43</v>
      </c>
      <c r="AB3065">
        <v>31200</v>
      </c>
      <c r="AC3065">
        <v>170</v>
      </c>
      <c r="AD3065">
        <v>4</v>
      </c>
      <c r="AE3065">
        <v>822</v>
      </c>
      <c r="AF3065">
        <v>822</v>
      </c>
      <c r="AG3065" s="29" t="s">
        <v>3669</v>
      </c>
      <c r="AH3065" s="29" t="s">
        <v>4620</v>
      </c>
      <c r="AI3065" s="29" t="s">
        <v>3703</v>
      </c>
      <c r="AJ3065" s="29" t="s">
        <v>4621</v>
      </c>
      <c r="AL3065" s="29" t="s">
        <v>3670</v>
      </c>
    </row>
    <row r="3066" spans="27:38">
      <c r="AA3066" s="29" t="s">
        <v>43</v>
      </c>
      <c r="AB3066">
        <v>31200</v>
      </c>
      <c r="AC3066">
        <v>170</v>
      </c>
      <c r="AD3066">
        <v>4</v>
      </c>
      <c r="AE3066">
        <v>645</v>
      </c>
      <c r="AF3066">
        <v>645</v>
      </c>
      <c r="AG3066" s="29" t="s">
        <v>3669</v>
      </c>
      <c r="AH3066" s="29" t="s">
        <v>4622</v>
      </c>
      <c r="AI3066" s="29" t="s">
        <v>3703</v>
      </c>
      <c r="AJ3066" s="29" t="s">
        <v>4623</v>
      </c>
      <c r="AL3066" s="29" t="s">
        <v>3670</v>
      </c>
    </row>
    <row r="3067" spans="27:38">
      <c r="AA3067" s="29" t="s">
        <v>43</v>
      </c>
      <c r="AB3067">
        <v>31200</v>
      </c>
      <c r="AC3067">
        <v>170</v>
      </c>
      <c r="AD3067">
        <v>4</v>
      </c>
      <c r="AE3067">
        <v>1143.68</v>
      </c>
      <c r="AF3067">
        <v>1143.68</v>
      </c>
      <c r="AG3067" s="29" t="s">
        <v>3669</v>
      </c>
      <c r="AH3067" s="29" t="s">
        <v>4624</v>
      </c>
      <c r="AI3067" s="29" t="s">
        <v>3703</v>
      </c>
      <c r="AJ3067" s="29" t="s">
        <v>4625</v>
      </c>
      <c r="AL3067" s="29" t="s">
        <v>3670</v>
      </c>
    </row>
    <row r="3068" spans="27:38">
      <c r="AA3068" s="29" t="s">
        <v>43</v>
      </c>
      <c r="AB3068">
        <v>31200</v>
      </c>
      <c r="AC3068">
        <v>170</v>
      </c>
      <c r="AD3068">
        <v>4</v>
      </c>
      <c r="AE3068">
        <v>1785</v>
      </c>
      <c r="AF3068">
        <v>1785</v>
      </c>
      <c r="AG3068" s="29" t="s">
        <v>3669</v>
      </c>
      <c r="AH3068" s="29" t="s">
        <v>4626</v>
      </c>
      <c r="AI3068" s="29" t="s">
        <v>3703</v>
      </c>
      <c r="AJ3068" s="29" t="s">
        <v>4627</v>
      </c>
      <c r="AL3068" s="29" t="s">
        <v>3670</v>
      </c>
    </row>
    <row r="3069" spans="27:38">
      <c r="AA3069" s="29" t="s">
        <v>43</v>
      </c>
      <c r="AB3069">
        <v>31200</v>
      </c>
      <c r="AC3069">
        <v>170</v>
      </c>
      <c r="AD3069">
        <v>4</v>
      </c>
      <c r="AE3069">
        <v>2096</v>
      </c>
      <c r="AF3069">
        <v>2096</v>
      </c>
      <c r="AG3069" s="29" t="s">
        <v>3669</v>
      </c>
      <c r="AH3069" s="29" t="s">
        <v>4628</v>
      </c>
      <c r="AI3069" s="29" t="s">
        <v>3703</v>
      </c>
      <c r="AJ3069" s="29" t="s">
        <v>4629</v>
      </c>
      <c r="AL3069" s="29" t="s">
        <v>3670</v>
      </c>
    </row>
    <row r="3070" spans="27:38">
      <c r="AA3070" s="29" t="s">
        <v>43</v>
      </c>
      <c r="AB3070">
        <v>31200</v>
      </c>
      <c r="AC3070">
        <v>170</v>
      </c>
      <c r="AD3070">
        <v>4</v>
      </c>
      <c r="AE3070">
        <v>1856</v>
      </c>
      <c r="AF3070">
        <v>1856</v>
      </c>
      <c r="AG3070" s="29" t="s">
        <v>3669</v>
      </c>
      <c r="AH3070" s="29" t="s">
        <v>4630</v>
      </c>
      <c r="AI3070" s="29" t="s">
        <v>3703</v>
      </c>
      <c r="AJ3070" s="29" t="s">
        <v>4631</v>
      </c>
      <c r="AL3070" s="29" t="s">
        <v>3670</v>
      </c>
    </row>
    <row r="3071" spans="27:38">
      <c r="AA3071" s="29" t="s">
        <v>43</v>
      </c>
      <c r="AB3071">
        <v>31200</v>
      </c>
      <c r="AC3071">
        <v>170</v>
      </c>
      <c r="AD3071">
        <v>4</v>
      </c>
      <c r="AE3071">
        <v>95.51</v>
      </c>
      <c r="AF3071">
        <v>95.51</v>
      </c>
      <c r="AG3071" s="29" t="s">
        <v>3669</v>
      </c>
      <c r="AH3071" s="29" t="s">
        <v>4632</v>
      </c>
      <c r="AI3071" s="29" t="s">
        <v>3703</v>
      </c>
      <c r="AJ3071" s="29" t="s">
        <v>4633</v>
      </c>
      <c r="AL3071" s="29" t="s">
        <v>3670</v>
      </c>
    </row>
    <row r="3072" spans="27:38">
      <c r="AA3072" s="29" t="s">
        <v>43</v>
      </c>
      <c r="AB3072">
        <v>31200</v>
      </c>
      <c r="AC3072">
        <v>170</v>
      </c>
      <c r="AD3072">
        <v>4</v>
      </c>
      <c r="AE3072">
        <v>19.149999999999999</v>
      </c>
      <c r="AF3072">
        <v>19.149999999999999</v>
      </c>
      <c r="AG3072" s="29" t="s">
        <v>3669</v>
      </c>
      <c r="AH3072" s="29" t="s">
        <v>4634</v>
      </c>
      <c r="AI3072" s="29" t="s">
        <v>3703</v>
      </c>
      <c r="AJ3072" s="29" t="s">
        <v>4635</v>
      </c>
      <c r="AL3072" s="29" t="s">
        <v>3670</v>
      </c>
    </row>
    <row r="3073" spans="27:38">
      <c r="AA3073" s="29" t="s">
        <v>43</v>
      </c>
      <c r="AB3073">
        <v>31200</v>
      </c>
      <c r="AC3073">
        <v>170</v>
      </c>
      <c r="AD3073">
        <v>4</v>
      </c>
      <c r="AE3073">
        <v>242.65</v>
      </c>
      <c r="AF3073">
        <v>242.65</v>
      </c>
      <c r="AG3073" s="29" t="s">
        <v>3669</v>
      </c>
      <c r="AH3073" s="29" t="s">
        <v>4418</v>
      </c>
      <c r="AI3073" s="29" t="s">
        <v>3703</v>
      </c>
      <c r="AJ3073" s="29" t="s">
        <v>4419</v>
      </c>
      <c r="AL3073" s="29" t="s">
        <v>3670</v>
      </c>
    </row>
    <row r="3074" spans="27:38">
      <c r="AA3074" s="29" t="s">
        <v>43</v>
      </c>
      <c r="AB3074">
        <v>31200</v>
      </c>
      <c r="AC3074">
        <v>170</v>
      </c>
      <c r="AD3074">
        <v>4</v>
      </c>
      <c r="AE3074">
        <v>130.32</v>
      </c>
      <c r="AF3074">
        <v>130.32</v>
      </c>
      <c r="AG3074" s="29" t="s">
        <v>3669</v>
      </c>
      <c r="AH3074" s="29" t="s">
        <v>4636</v>
      </c>
      <c r="AI3074" s="29" t="s">
        <v>3703</v>
      </c>
      <c r="AJ3074" s="29" t="s">
        <v>4637</v>
      </c>
      <c r="AL3074" s="29" t="s">
        <v>3670</v>
      </c>
    </row>
    <row r="3075" spans="27:38">
      <c r="AA3075" s="29" t="s">
        <v>43</v>
      </c>
      <c r="AB3075">
        <v>31200</v>
      </c>
      <c r="AC3075">
        <v>170</v>
      </c>
      <c r="AD3075">
        <v>4</v>
      </c>
      <c r="AE3075">
        <v>4.24</v>
      </c>
      <c r="AF3075">
        <v>4.24</v>
      </c>
      <c r="AG3075" s="29" t="s">
        <v>3669</v>
      </c>
      <c r="AH3075" s="29" t="s">
        <v>4638</v>
      </c>
      <c r="AI3075" s="29" t="s">
        <v>3703</v>
      </c>
      <c r="AJ3075" s="29" t="s">
        <v>4639</v>
      </c>
      <c r="AL3075" s="29" t="s">
        <v>3670</v>
      </c>
    </row>
    <row r="3076" spans="27:38">
      <c r="AA3076" s="29" t="s">
        <v>43</v>
      </c>
      <c r="AB3076">
        <v>31200</v>
      </c>
      <c r="AC3076">
        <v>170</v>
      </c>
      <c r="AD3076">
        <v>4</v>
      </c>
      <c r="AE3076">
        <v>6.3</v>
      </c>
      <c r="AF3076">
        <v>6.3</v>
      </c>
      <c r="AG3076" s="29" t="s">
        <v>3669</v>
      </c>
      <c r="AH3076" s="29" t="s">
        <v>4640</v>
      </c>
      <c r="AI3076" s="29" t="s">
        <v>3703</v>
      </c>
      <c r="AJ3076" s="29" t="s">
        <v>4641</v>
      </c>
      <c r="AL3076" s="29" t="s">
        <v>3670</v>
      </c>
    </row>
    <row r="3077" spans="27:38">
      <c r="AA3077" s="29" t="s">
        <v>43</v>
      </c>
      <c r="AB3077">
        <v>31200</v>
      </c>
      <c r="AC3077">
        <v>170</v>
      </c>
      <c r="AD3077">
        <v>4</v>
      </c>
      <c r="AE3077">
        <v>3.64</v>
      </c>
      <c r="AF3077">
        <v>3.64</v>
      </c>
      <c r="AG3077" s="29" t="s">
        <v>3669</v>
      </c>
      <c r="AH3077" s="29" t="s">
        <v>4348</v>
      </c>
      <c r="AI3077" s="29" t="s">
        <v>3703</v>
      </c>
      <c r="AJ3077" s="29" t="s">
        <v>4349</v>
      </c>
      <c r="AL3077" s="29" t="s">
        <v>3670</v>
      </c>
    </row>
    <row r="3078" spans="27:38">
      <c r="AA3078" s="29" t="s">
        <v>43</v>
      </c>
      <c r="AB3078">
        <v>31200</v>
      </c>
      <c r="AC3078">
        <v>170</v>
      </c>
      <c r="AD3078">
        <v>4</v>
      </c>
      <c r="AE3078">
        <v>3</v>
      </c>
      <c r="AF3078">
        <v>3</v>
      </c>
      <c r="AG3078" s="29" t="s">
        <v>3669</v>
      </c>
      <c r="AH3078" s="29" t="s">
        <v>4528</v>
      </c>
      <c r="AI3078" s="29" t="s">
        <v>3703</v>
      </c>
      <c r="AJ3078" s="29" t="s">
        <v>865</v>
      </c>
      <c r="AL3078" s="29" t="s">
        <v>3670</v>
      </c>
    </row>
    <row r="3079" spans="27:38">
      <c r="AA3079" s="29" t="s">
        <v>43</v>
      </c>
      <c r="AB3079">
        <v>31200</v>
      </c>
      <c r="AC3079">
        <v>170</v>
      </c>
      <c r="AD3079">
        <v>4</v>
      </c>
      <c r="AE3079">
        <v>3</v>
      </c>
      <c r="AF3079">
        <v>3</v>
      </c>
      <c r="AG3079" s="29" t="s">
        <v>3669</v>
      </c>
      <c r="AH3079" s="29" t="s">
        <v>4528</v>
      </c>
      <c r="AI3079" s="29" t="s">
        <v>3703</v>
      </c>
      <c r="AJ3079" s="29" t="s">
        <v>4642</v>
      </c>
      <c r="AL3079" s="29" t="s">
        <v>3670</v>
      </c>
    </row>
    <row r="3080" spans="27:38">
      <c r="AA3080" s="29" t="s">
        <v>43</v>
      </c>
      <c r="AB3080">
        <v>31200</v>
      </c>
      <c r="AC3080">
        <v>170</v>
      </c>
      <c r="AD3080">
        <v>4</v>
      </c>
      <c r="AE3080">
        <v>2.13</v>
      </c>
      <c r="AF3080">
        <v>2.13</v>
      </c>
      <c r="AG3080" s="29" t="s">
        <v>3669</v>
      </c>
      <c r="AH3080" s="29" t="s">
        <v>4643</v>
      </c>
      <c r="AI3080" s="29" t="s">
        <v>3703</v>
      </c>
      <c r="AJ3080" s="29" t="s">
        <v>4644</v>
      </c>
      <c r="AL3080" s="29" t="s">
        <v>3670</v>
      </c>
    </row>
    <row r="3081" spans="27:38">
      <c r="AA3081" s="29" t="s">
        <v>43</v>
      </c>
      <c r="AB3081">
        <v>31200</v>
      </c>
      <c r="AC3081">
        <v>170</v>
      </c>
      <c r="AD3081">
        <v>4</v>
      </c>
      <c r="AE3081">
        <v>1.27</v>
      </c>
      <c r="AF3081">
        <v>1.27</v>
      </c>
      <c r="AG3081" s="29" t="s">
        <v>3669</v>
      </c>
      <c r="AH3081" s="29" t="s">
        <v>4645</v>
      </c>
      <c r="AI3081" s="29" t="s">
        <v>3703</v>
      </c>
      <c r="AJ3081" s="29" t="s">
        <v>4646</v>
      </c>
      <c r="AL3081" s="29" t="s">
        <v>3670</v>
      </c>
    </row>
    <row r="3082" spans="27:38">
      <c r="AA3082" s="29" t="s">
        <v>43</v>
      </c>
      <c r="AB3082">
        <v>31200</v>
      </c>
      <c r="AC3082">
        <v>170</v>
      </c>
      <c r="AD3082">
        <v>4</v>
      </c>
      <c r="AE3082">
        <v>3.08</v>
      </c>
      <c r="AF3082">
        <v>3.08</v>
      </c>
      <c r="AG3082" s="29" t="s">
        <v>3669</v>
      </c>
      <c r="AH3082" s="29" t="s">
        <v>4647</v>
      </c>
      <c r="AI3082" s="29" t="s">
        <v>3703</v>
      </c>
      <c r="AJ3082" s="29" t="s">
        <v>885</v>
      </c>
      <c r="AL3082" s="29" t="s">
        <v>3670</v>
      </c>
    </row>
    <row r="3083" spans="27:38">
      <c r="AA3083" s="29" t="s">
        <v>43</v>
      </c>
      <c r="AB3083">
        <v>31200</v>
      </c>
      <c r="AC3083">
        <v>170</v>
      </c>
      <c r="AD3083">
        <v>4</v>
      </c>
      <c r="AE3083">
        <v>0.48</v>
      </c>
      <c r="AF3083">
        <v>0.48</v>
      </c>
      <c r="AG3083" s="29" t="s">
        <v>3669</v>
      </c>
      <c r="AH3083" s="29" t="s">
        <v>4648</v>
      </c>
      <c r="AI3083" s="29" t="s">
        <v>3703</v>
      </c>
      <c r="AJ3083" s="29" t="s">
        <v>4649</v>
      </c>
      <c r="AL3083" s="29" t="s">
        <v>3670</v>
      </c>
    </row>
    <row r="3084" spans="27:38">
      <c r="AA3084" s="29" t="s">
        <v>43</v>
      </c>
      <c r="AB3084">
        <v>31200</v>
      </c>
      <c r="AC3084">
        <v>170</v>
      </c>
      <c r="AD3084">
        <v>4</v>
      </c>
      <c r="AE3084">
        <v>0.39</v>
      </c>
      <c r="AF3084">
        <v>0.39</v>
      </c>
      <c r="AG3084" s="29" t="s">
        <v>3669</v>
      </c>
      <c r="AH3084" s="29" t="s">
        <v>4650</v>
      </c>
      <c r="AI3084" s="29" t="s">
        <v>3703</v>
      </c>
      <c r="AJ3084" s="29" t="s">
        <v>4651</v>
      </c>
      <c r="AL3084" s="29" t="s">
        <v>3670</v>
      </c>
    </row>
    <row r="3085" spans="27:38">
      <c r="AA3085" s="29" t="s">
        <v>43</v>
      </c>
      <c r="AB3085">
        <v>31200</v>
      </c>
      <c r="AC3085">
        <v>170</v>
      </c>
      <c r="AD3085">
        <v>4</v>
      </c>
      <c r="AE3085">
        <v>0.33</v>
      </c>
      <c r="AF3085">
        <v>0.33</v>
      </c>
      <c r="AG3085" s="29" t="s">
        <v>3669</v>
      </c>
      <c r="AH3085" s="29" t="s">
        <v>3787</v>
      </c>
      <c r="AI3085" s="29" t="s">
        <v>3703</v>
      </c>
      <c r="AJ3085" s="29" t="s">
        <v>4652</v>
      </c>
      <c r="AL3085" s="29" t="s">
        <v>3670</v>
      </c>
    </row>
    <row r="3086" spans="27:38">
      <c r="AA3086" s="29" t="s">
        <v>43</v>
      </c>
      <c r="AB3086">
        <v>31200</v>
      </c>
      <c r="AC3086">
        <v>170</v>
      </c>
      <c r="AD3086">
        <v>4</v>
      </c>
      <c r="AE3086">
        <v>6.15</v>
      </c>
      <c r="AF3086">
        <v>6.15</v>
      </c>
      <c r="AG3086" s="29" t="s">
        <v>3669</v>
      </c>
      <c r="AH3086" s="29" t="s">
        <v>4653</v>
      </c>
      <c r="AI3086" s="29" t="s">
        <v>3703</v>
      </c>
      <c r="AJ3086" s="29" t="s">
        <v>4654</v>
      </c>
      <c r="AL3086" s="29" t="s">
        <v>3670</v>
      </c>
    </row>
    <row r="3087" spans="27:38">
      <c r="AA3087" s="29" t="s">
        <v>43</v>
      </c>
      <c r="AB3087">
        <v>31200</v>
      </c>
      <c r="AC3087">
        <v>170</v>
      </c>
      <c r="AD3087">
        <v>4</v>
      </c>
      <c r="AE3087">
        <v>4.2699999999999996</v>
      </c>
      <c r="AF3087">
        <v>4.2699999999999996</v>
      </c>
      <c r="AG3087" s="29" t="s">
        <v>3669</v>
      </c>
      <c r="AH3087" s="29" t="s">
        <v>3791</v>
      </c>
      <c r="AI3087" s="29" t="s">
        <v>3703</v>
      </c>
      <c r="AJ3087" s="29" t="s">
        <v>3030</v>
      </c>
      <c r="AL3087" s="29" t="s">
        <v>3670</v>
      </c>
    </row>
    <row r="3088" spans="27:38">
      <c r="AA3088" s="29" t="s">
        <v>43</v>
      </c>
      <c r="AB3088">
        <v>31200</v>
      </c>
      <c r="AC3088">
        <v>170</v>
      </c>
      <c r="AD3088">
        <v>4</v>
      </c>
      <c r="AE3088">
        <v>42.37</v>
      </c>
      <c r="AF3088">
        <v>42.37</v>
      </c>
      <c r="AG3088" s="29" t="s">
        <v>3669</v>
      </c>
      <c r="AH3088" s="29" t="s">
        <v>4655</v>
      </c>
      <c r="AI3088" s="29" t="s">
        <v>3703</v>
      </c>
      <c r="AJ3088" s="29" t="s">
        <v>4656</v>
      </c>
      <c r="AL3088" s="29" t="s">
        <v>3670</v>
      </c>
    </row>
    <row r="3089" spans="27:38">
      <c r="AA3089" s="29" t="s">
        <v>43</v>
      </c>
      <c r="AB3089">
        <v>31200</v>
      </c>
      <c r="AC3089">
        <v>170</v>
      </c>
      <c r="AD3089">
        <v>4</v>
      </c>
      <c r="AE3089">
        <v>2.13</v>
      </c>
      <c r="AF3089">
        <v>2.13</v>
      </c>
      <c r="AG3089" s="29" t="s">
        <v>3669</v>
      </c>
      <c r="AH3089" s="29" t="s">
        <v>4643</v>
      </c>
      <c r="AI3089" s="29" t="s">
        <v>3703</v>
      </c>
      <c r="AJ3089" s="29" t="s">
        <v>4644</v>
      </c>
      <c r="AL3089" s="29" t="s">
        <v>3670</v>
      </c>
    </row>
    <row r="3090" spans="27:38">
      <c r="AA3090" s="29" t="s">
        <v>43</v>
      </c>
      <c r="AB3090">
        <v>31200</v>
      </c>
      <c r="AC3090">
        <v>170</v>
      </c>
      <c r="AD3090">
        <v>4</v>
      </c>
      <c r="AE3090">
        <v>0.8</v>
      </c>
      <c r="AF3090">
        <v>0.8</v>
      </c>
      <c r="AG3090" s="29" t="s">
        <v>3669</v>
      </c>
      <c r="AH3090" s="29" t="s">
        <v>4657</v>
      </c>
      <c r="AI3090" s="29" t="s">
        <v>3703</v>
      </c>
      <c r="AJ3090" s="29" t="s">
        <v>4658</v>
      </c>
      <c r="AL3090" s="29" t="s">
        <v>3670</v>
      </c>
    </row>
    <row r="3091" spans="27:38">
      <c r="AA3091" s="29" t="s">
        <v>43</v>
      </c>
      <c r="AB3091">
        <v>31200</v>
      </c>
      <c r="AC3091">
        <v>170</v>
      </c>
      <c r="AD3091">
        <v>4</v>
      </c>
      <c r="AE3091">
        <v>103.6</v>
      </c>
      <c r="AF3091">
        <v>103.6</v>
      </c>
      <c r="AG3091" s="29" t="s">
        <v>3669</v>
      </c>
      <c r="AH3091" s="29" t="s">
        <v>4659</v>
      </c>
      <c r="AI3091" s="29" t="s">
        <v>3703</v>
      </c>
      <c r="AJ3091" s="29" t="s">
        <v>4660</v>
      </c>
      <c r="AL3091" s="29" t="s">
        <v>3670</v>
      </c>
    </row>
    <row r="3092" spans="27:38">
      <c r="AA3092" s="29" t="s">
        <v>43</v>
      </c>
      <c r="AB3092">
        <v>31200</v>
      </c>
      <c r="AC3092">
        <v>170</v>
      </c>
      <c r="AD3092">
        <v>4</v>
      </c>
      <c r="AE3092">
        <v>10.71</v>
      </c>
      <c r="AF3092">
        <v>10.71</v>
      </c>
      <c r="AG3092" s="29" t="s">
        <v>3669</v>
      </c>
      <c r="AH3092" s="29" t="s">
        <v>4661</v>
      </c>
      <c r="AI3092" s="29" t="s">
        <v>3703</v>
      </c>
      <c r="AJ3092" s="29" t="s">
        <v>4662</v>
      </c>
      <c r="AL3092" s="29" t="s">
        <v>3670</v>
      </c>
    </row>
    <row r="3093" spans="27:38">
      <c r="AA3093" s="29" t="s">
        <v>43</v>
      </c>
      <c r="AB3093">
        <v>31200</v>
      </c>
      <c r="AC3093">
        <v>170</v>
      </c>
      <c r="AD3093">
        <v>4</v>
      </c>
      <c r="AE3093">
        <v>24.84</v>
      </c>
      <c r="AF3093">
        <v>24.84</v>
      </c>
      <c r="AG3093" s="29" t="s">
        <v>3669</v>
      </c>
      <c r="AH3093" s="29" t="s">
        <v>4663</v>
      </c>
      <c r="AI3093" s="29" t="s">
        <v>3703</v>
      </c>
      <c r="AJ3093" s="29" t="s">
        <v>4664</v>
      </c>
      <c r="AL3093" s="29" t="s">
        <v>3670</v>
      </c>
    </row>
    <row r="3094" spans="27:38">
      <c r="AA3094" s="29" t="s">
        <v>43</v>
      </c>
      <c r="AB3094">
        <v>31200</v>
      </c>
      <c r="AC3094">
        <v>170</v>
      </c>
      <c r="AD3094">
        <v>4</v>
      </c>
      <c r="AE3094">
        <v>15.38</v>
      </c>
      <c r="AF3094">
        <v>15.38</v>
      </c>
      <c r="AG3094" s="29" t="s">
        <v>3669</v>
      </c>
      <c r="AH3094" s="29" t="s">
        <v>4665</v>
      </c>
      <c r="AI3094" s="29" t="s">
        <v>3703</v>
      </c>
      <c r="AJ3094" s="29" t="s">
        <v>4666</v>
      </c>
      <c r="AL3094" s="29" t="s">
        <v>3670</v>
      </c>
    </row>
    <row r="3095" spans="27:38">
      <c r="AA3095" s="29" t="s">
        <v>43</v>
      </c>
      <c r="AB3095">
        <v>31200</v>
      </c>
      <c r="AC3095">
        <v>170</v>
      </c>
      <c r="AD3095">
        <v>4</v>
      </c>
      <c r="AE3095">
        <v>4</v>
      </c>
      <c r="AF3095">
        <v>4</v>
      </c>
      <c r="AG3095" s="29" t="s">
        <v>3669</v>
      </c>
      <c r="AH3095" s="29" t="s">
        <v>4667</v>
      </c>
      <c r="AI3095" s="29" t="s">
        <v>3703</v>
      </c>
      <c r="AJ3095" s="29" t="s">
        <v>4668</v>
      </c>
      <c r="AL3095" s="29" t="s">
        <v>3670</v>
      </c>
    </row>
    <row r="3096" spans="27:38">
      <c r="AA3096" s="29" t="s">
        <v>43</v>
      </c>
      <c r="AB3096">
        <v>31200</v>
      </c>
      <c r="AC3096">
        <v>170</v>
      </c>
      <c r="AD3096">
        <v>4</v>
      </c>
      <c r="AE3096">
        <v>0.56000000000000005</v>
      </c>
      <c r="AF3096">
        <v>0.56000000000000005</v>
      </c>
      <c r="AG3096" s="29" t="s">
        <v>3669</v>
      </c>
      <c r="AH3096" s="29" t="s">
        <v>4669</v>
      </c>
      <c r="AI3096" s="29" t="s">
        <v>3703</v>
      </c>
      <c r="AJ3096" s="29" t="s">
        <v>4670</v>
      </c>
      <c r="AL3096" s="29" t="s">
        <v>3670</v>
      </c>
    </row>
    <row r="3097" spans="27:38">
      <c r="AA3097" s="29" t="s">
        <v>43</v>
      </c>
      <c r="AB3097">
        <v>31200</v>
      </c>
      <c r="AC3097">
        <v>170</v>
      </c>
      <c r="AD3097">
        <v>4</v>
      </c>
      <c r="AE3097">
        <v>0.38</v>
      </c>
      <c r="AF3097">
        <v>0.38</v>
      </c>
      <c r="AG3097" s="29" t="s">
        <v>3669</v>
      </c>
      <c r="AH3097" s="29" t="s">
        <v>4671</v>
      </c>
      <c r="AI3097" s="29" t="s">
        <v>3703</v>
      </c>
      <c r="AJ3097" s="29" t="s">
        <v>4672</v>
      </c>
      <c r="AL3097" s="29" t="s">
        <v>3670</v>
      </c>
    </row>
    <row r="3098" spans="27:38">
      <c r="AA3098" s="29" t="s">
        <v>43</v>
      </c>
      <c r="AB3098">
        <v>31200</v>
      </c>
      <c r="AC3098">
        <v>170</v>
      </c>
      <c r="AD3098">
        <v>4</v>
      </c>
      <c r="AE3098">
        <v>11.7</v>
      </c>
      <c r="AF3098">
        <v>11.7</v>
      </c>
      <c r="AG3098" s="29" t="s">
        <v>3669</v>
      </c>
      <c r="AH3098" s="29" t="s">
        <v>4380</v>
      </c>
      <c r="AI3098" s="29" t="s">
        <v>3703</v>
      </c>
      <c r="AJ3098" s="29" t="s">
        <v>4381</v>
      </c>
      <c r="AL3098" s="29" t="s">
        <v>3670</v>
      </c>
    </row>
    <row r="3099" spans="27:38">
      <c r="AA3099" s="29" t="s">
        <v>43</v>
      </c>
      <c r="AB3099">
        <v>31200</v>
      </c>
      <c r="AC3099">
        <v>170</v>
      </c>
      <c r="AD3099">
        <v>4</v>
      </c>
      <c r="AE3099">
        <v>22.6</v>
      </c>
      <c r="AF3099">
        <v>22.6</v>
      </c>
      <c r="AG3099" s="29" t="s">
        <v>3669</v>
      </c>
      <c r="AH3099" s="29" t="s">
        <v>4673</v>
      </c>
      <c r="AI3099" s="29" t="s">
        <v>3703</v>
      </c>
      <c r="AJ3099" s="29" t="s">
        <v>4674</v>
      </c>
      <c r="AL3099" s="29" t="s">
        <v>3670</v>
      </c>
    </row>
    <row r="3100" spans="27:38">
      <c r="AA3100" s="29" t="s">
        <v>43</v>
      </c>
      <c r="AB3100">
        <v>31200</v>
      </c>
      <c r="AC3100">
        <v>170</v>
      </c>
      <c r="AD3100">
        <v>4</v>
      </c>
      <c r="AE3100">
        <v>0</v>
      </c>
      <c r="AF3100">
        <v>0</v>
      </c>
      <c r="AG3100" s="29" t="s">
        <v>3669</v>
      </c>
      <c r="AH3100" s="29" t="s">
        <v>3673</v>
      </c>
      <c r="AI3100" s="29" t="s">
        <v>3703</v>
      </c>
      <c r="AJ3100" s="29" t="s">
        <v>4675</v>
      </c>
      <c r="AL3100" s="29" t="s">
        <v>3670</v>
      </c>
    </row>
    <row r="3101" spans="27:38">
      <c r="AA3101" s="29" t="s">
        <v>43</v>
      </c>
      <c r="AB3101">
        <v>31200</v>
      </c>
      <c r="AC3101">
        <v>170</v>
      </c>
      <c r="AD3101">
        <v>4</v>
      </c>
      <c r="AE3101">
        <v>27.2</v>
      </c>
      <c r="AF3101">
        <v>27.2</v>
      </c>
      <c r="AG3101" s="29" t="s">
        <v>3669</v>
      </c>
      <c r="AH3101" s="29" t="s">
        <v>4676</v>
      </c>
      <c r="AI3101" s="29" t="s">
        <v>3703</v>
      </c>
      <c r="AJ3101" s="29" t="s">
        <v>4677</v>
      </c>
      <c r="AL3101" s="29" t="s">
        <v>3670</v>
      </c>
    </row>
    <row r="3102" spans="27:38">
      <c r="AA3102" s="29" t="s">
        <v>43</v>
      </c>
      <c r="AB3102">
        <v>31200</v>
      </c>
      <c r="AC3102">
        <v>170</v>
      </c>
      <c r="AD3102">
        <v>4</v>
      </c>
      <c r="AE3102">
        <v>27</v>
      </c>
      <c r="AF3102">
        <v>27</v>
      </c>
      <c r="AG3102" s="29" t="s">
        <v>3669</v>
      </c>
      <c r="AH3102" s="29" t="s">
        <v>4678</v>
      </c>
      <c r="AI3102" s="29" t="s">
        <v>3703</v>
      </c>
      <c r="AJ3102" s="29" t="s">
        <v>4679</v>
      </c>
      <c r="AL3102" s="29" t="s">
        <v>3670</v>
      </c>
    </row>
    <row r="3103" spans="27:38">
      <c r="AA3103" s="29" t="s">
        <v>43</v>
      </c>
      <c r="AB3103">
        <v>31200</v>
      </c>
      <c r="AC3103">
        <v>170</v>
      </c>
      <c r="AD3103">
        <v>4</v>
      </c>
      <c r="AE3103">
        <v>30.6</v>
      </c>
      <c r="AF3103">
        <v>30.6</v>
      </c>
      <c r="AG3103" s="29" t="s">
        <v>3669</v>
      </c>
      <c r="AH3103" s="29" t="s">
        <v>4680</v>
      </c>
      <c r="AI3103" s="29" t="s">
        <v>3703</v>
      </c>
      <c r="AJ3103" s="29" t="s">
        <v>4681</v>
      </c>
      <c r="AL3103" s="29" t="s">
        <v>3670</v>
      </c>
    </row>
    <row r="3104" spans="27:38">
      <c r="AA3104" s="29" t="s">
        <v>43</v>
      </c>
      <c r="AB3104">
        <v>31200</v>
      </c>
      <c r="AC3104">
        <v>170</v>
      </c>
      <c r="AD3104">
        <v>4</v>
      </c>
      <c r="AE3104">
        <v>3</v>
      </c>
      <c r="AF3104">
        <v>3</v>
      </c>
      <c r="AG3104" s="29" t="s">
        <v>3669</v>
      </c>
      <c r="AH3104" s="29" t="s">
        <v>4528</v>
      </c>
      <c r="AI3104" s="29" t="s">
        <v>3703</v>
      </c>
      <c r="AJ3104" s="29" t="s">
        <v>865</v>
      </c>
      <c r="AL3104" s="29" t="s">
        <v>3670</v>
      </c>
    </row>
    <row r="3105" spans="27:38">
      <c r="AA3105" s="29" t="s">
        <v>43</v>
      </c>
      <c r="AB3105">
        <v>31200</v>
      </c>
      <c r="AC3105">
        <v>170</v>
      </c>
      <c r="AD3105">
        <v>4</v>
      </c>
      <c r="AE3105">
        <v>3</v>
      </c>
      <c r="AF3105">
        <v>3</v>
      </c>
      <c r="AG3105" s="29" t="s">
        <v>3669</v>
      </c>
      <c r="AH3105" s="29" t="s">
        <v>4528</v>
      </c>
      <c r="AI3105" s="29" t="s">
        <v>3703</v>
      </c>
      <c r="AJ3105" s="29" t="s">
        <v>4642</v>
      </c>
      <c r="AL3105" s="29" t="s">
        <v>3670</v>
      </c>
    </row>
    <row r="3106" spans="27:38">
      <c r="AA3106" s="29" t="s">
        <v>43</v>
      </c>
      <c r="AB3106">
        <v>31200</v>
      </c>
      <c r="AC3106">
        <v>170</v>
      </c>
      <c r="AD3106">
        <v>4</v>
      </c>
      <c r="AE3106">
        <v>11.7</v>
      </c>
      <c r="AF3106">
        <v>11.7</v>
      </c>
      <c r="AG3106" s="29" t="s">
        <v>3669</v>
      </c>
      <c r="AH3106" s="29" t="s">
        <v>4380</v>
      </c>
      <c r="AI3106" s="29" t="s">
        <v>3703</v>
      </c>
      <c r="AJ3106" s="29" t="s">
        <v>4381</v>
      </c>
      <c r="AL3106" s="29" t="s">
        <v>3670</v>
      </c>
    </row>
    <row r="3107" spans="27:38">
      <c r="AA3107" s="29" t="s">
        <v>43</v>
      </c>
      <c r="AB3107">
        <v>31200</v>
      </c>
      <c r="AC3107">
        <v>170</v>
      </c>
      <c r="AD3107">
        <v>4</v>
      </c>
      <c r="AE3107">
        <v>177.69</v>
      </c>
      <c r="AF3107">
        <v>177.69</v>
      </c>
      <c r="AG3107" s="29" t="s">
        <v>3669</v>
      </c>
      <c r="AH3107" s="29" t="s">
        <v>4682</v>
      </c>
      <c r="AI3107" s="29" t="s">
        <v>3703</v>
      </c>
      <c r="AJ3107" s="29" t="s">
        <v>4683</v>
      </c>
      <c r="AL3107" s="29" t="s">
        <v>3670</v>
      </c>
    </row>
    <row r="3108" spans="27:38">
      <c r="AA3108" s="29" t="s">
        <v>43</v>
      </c>
      <c r="AB3108">
        <v>31200</v>
      </c>
      <c r="AC3108">
        <v>170</v>
      </c>
      <c r="AD3108">
        <v>4</v>
      </c>
      <c r="AE3108">
        <v>9.3000000000000007</v>
      </c>
      <c r="AF3108">
        <v>9.3000000000000007</v>
      </c>
      <c r="AG3108" s="29" t="s">
        <v>3669</v>
      </c>
      <c r="AH3108" s="29" t="s">
        <v>3888</v>
      </c>
      <c r="AI3108" s="29" t="s">
        <v>3703</v>
      </c>
      <c r="AJ3108" s="29" t="s">
        <v>3889</v>
      </c>
      <c r="AL3108" s="29" t="s">
        <v>3670</v>
      </c>
    </row>
    <row r="3109" spans="27:38">
      <c r="AA3109" s="29" t="s">
        <v>43</v>
      </c>
      <c r="AB3109">
        <v>31200</v>
      </c>
      <c r="AC3109">
        <v>170</v>
      </c>
      <c r="AD3109">
        <v>4</v>
      </c>
      <c r="AE3109">
        <v>12.2</v>
      </c>
      <c r="AF3109">
        <v>12.2</v>
      </c>
      <c r="AG3109" s="29" t="s">
        <v>3669</v>
      </c>
      <c r="AH3109" s="29" t="s">
        <v>4684</v>
      </c>
      <c r="AI3109" s="29" t="s">
        <v>3703</v>
      </c>
      <c r="AJ3109" s="29" t="s">
        <v>4685</v>
      </c>
      <c r="AL3109" s="29" t="s">
        <v>3670</v>
      </c>
    </row>
    <row r="3110" spans="27:38">
      <c r="AA3110" s="29" t="s">
        <v>43</v>
      </c>
      <c r="AB3110">
        <v>31200</v>
      </c>
      <c r="AC3110">
        <v>170</v>
      </c>
      <c r="AD3110">
        <v>4</v>
      </c>
      <c r="AE3110">
        <v>26.84</v>
      </c>
      <c r="AF3110">
        <v>26.84</v>
      </c>
      <c r="AG3110" s="29" t="s">
        <v>3669</v>
      </c>
      <c r="AH3110" s="29" t="s">
        <v>4686</v>
      </c>
      <c r="AI3110" s="29" t="s">
        <v>3703</v>
      </c>
      <c r="AJ3110" s="29" t="s">
        <v>4687</v>
      </c>
      <c r="AL3110" s="29" t="s">
        <v>3670</v>
      </c>
    </row>
    <row r="3111" spans="27:38">
      <c r="AA3111" s="29" t="s">
        <v>43</v>
      </c>
      <c r="AB3111">
        <v>31200</v>
      </c>
      <c r="AC3111">
        <v>170</v>
      </c>
      <c r="AD3111">
        <v>4</v>
      </c>
      <c r="AE3111">
        <v>23.2</v>
      </c>
      <c r="AF3111">
        <v>23.2</v>
      </c>
      <c r="AG3111" s="29" t="s">
        <v>3669</v>
      </c>
      <c r="AH3111" s="29" t="s">
        <v>4688</v>
      </c>
      <c r="AI3111" s="29" t="s">
        <v>3703</v>
      </c>
      <c r="AJ3111" s="29" t="s">
        <v>4689</v>
      </c>
      <c r="AL3111" s="29" t="s">
        <v>3670</v>
      </c>
    </row>
    <row r="3112" spans="27:38">
      <c r="AA3112" s="29" t="s">
        <v>43</v>
      </c>
      <c r="AB3112">
        <v>31200</v>
      </c>
      <c r="AC3112">
        <v>170</v>
      </c>
      <c r="AD3112">
        <v>4</v>
      </c>
      <c r="AE3112">
        <v>4.7</v>
      </c>
      <c r="AF3112">
        <v>4.7</v>
      </c>
      <c r="AG3112" s="29" t="s">
        <v>3669</v>
      </c>
      <c r="AH3112" s="29" t="s">
        <v>4690</v>
      </c>
      <c r="AI3112" s="29" t="s">
        <v>3703</v>
      </c>
      <c r="AJ3112" s="29" t="s">
        <v>4691</v>
      </c>
      <c r="AL3112" s="29" t="s">
        <v>3670</v>
      </c>
    </row>
    <row r="3113" spans="27:38">
      <c r="AA3113" s="29" t="s">
        <v>43</v>
      </c>
      <c r="AB3113">
        <v>31200</v>
      </c>
      <c r="AC3113">
        <v>170</v>
      </c>
      <c r="AD3113">
        <v>4</v>
      </c>
      <c r="AE3113">
        <v>0.64</v>
      </c>
      <c r="AF3113">
        <v>0.64</v>
      </c>
      <c r="AG3113" s="29" t="s">
        <v>3669</v>
      </c>
      <c r="AH3113" s="29" t="s">
        <v>4692</v>
      </c>
      <c r="AI3113" s="29" t="s">
        <v>3703</v>
      </c>
      <c r="AJ3113" s="29" t="s">
        <v>4693</v>
      </c>
      <c r="AL3113" s="29" t="s">
        <v>3670</v>
      </c>
    </row>
    <row r="3114" spans="27:38">
      <c r="AA3114" s="29" t="s">
        <v>43</v>
      </c>
      <c r="AB3114">
        <v>31200</v>
      </c>
      <c r="AC3114">
        <v>170</v>
      </c>
      <c r="AD3114">
        <v>4</v>
      </c>
      <c r="AE3114">
        <v>28</v>
      </c>
      <c r="AF3114">
        <v>28</v>
      </c>
      <c r="AG3114" s="29" t="s">
        <v>3669</v>
      </c>
      <c r="AH3114" s="29" t="s">
        <v>4694</v>
      </c>
      <c r="AI3114" s="29" t="s">
        <v>3703</v>
      </c>
      <c r="AJ3114" s="29" t="s">
        <v>4695</v>
      </c>
      <c r="AL3114" s="29" t="s">
        <v>3670</v>
      </c>
    </row>
    <row r="3115" spans="27:38">
      <c r="AA3115" s="29" t="s">
        <v>43</v>
      </c>
      <c r="AB3115">
        <v>31200</v>
      </c>
      <c r="AC3115">
        <v>170</v>
      </c>
      <c r="AD3115">
        <v>4</v>
      </c>
      <c r="AE3115">
        <v>14.9</v>
      </c>
      <c r="AF3115">
        <v>14.9</v>
      </c>
      <c r="AG3115" s="29" t="s">
        <v>3669</v>
      </c>
      <c r="AH3115" s="29" t="s">
        <v>4325</v>
      </c>
      <c r="AI3115" s="29" t="s">
        <v>3703</v>
      </c>
      <c r="AJ3115" s="29" t="s">
        <v>4326</v>
      </c>
      <c r="AL3115" s="29" t="s">
        <v>3670</v>
      </c>
    </row>
    <row r="3116" spans="27:38">
      <c r="AA3116" s="29" t="s">
        <v>43</v>
      </c>
      <c r="AB3116">
        <v>31200</v>
      </c>
      <c r="AC3116">
        <v>170</v>
      </c>
      <c r="AD3116">
        <v>4</v>
      </c>
      <c r="AE3116">
        <v>15.38</v>
      </c>
      <c r="AF3116">
        <v>15.38</v>
      </c>
      <c r="AG3116" s="29" t="s">
        <v>3669</v>
      </c>
      <c r="AH3116" s="29" t="s">
        <v>4665</v>
      </c>
      <c r="AI3116" s="29" t="s">
        <v>3703</v>
      </c>
      <c r="AJ3116" s="29" t="s">
        <v>4666</v>
      </c>
      <c r="AL3116" s="29" t="s">
        <v>3670</v>
      </c>
    </row>
    <row r="3117" spans="27:38">
      <c r="AA3117" s="29" t="s">
        <v>43</v>
      </c>
      <c r="AB3117">
        <v>31200</v>
      </c>
      <c r="AC3117">
        <v>170</v>
      </c>
      <c r="AD3117">
        <v>4</v>
      </c>
      <c r="AE3117">
        <v>143</v>
      </c>
      <c r="AF3117">
        <v>143</v>
      </c>
      <c r="AG3117" s="29" t="s">
        <v>3669</v>
      </c>
      <c r="AH3117" s="29" t="s">
        <v>4696</v>
      </c>
      <c r="AI3117" s="29" t="s">
        <v>3703</v>
      </c>
      <c r="AJ3117" s="29" t="s">
        <v>4697</v>
      </c>
      <c r="AL3117" s="29" t="s">
        <v>3670</v>
      </c>
    </row>
    <row r="3118" spans="27:38">
      <c r="AA3118" s="29" t="s">
        <v>43</v>
      </c>
      <c r="AB3118">
        <v>31200</v>
      </c>
      <c r="AC3118">
        <v>170</v>
      </c>
      <c r="AD3118">
        <v>4</v>
      </c>
      <c r="AE3118">
        <v>30.75</v>
      </c>
      <c r="AF3118">
        <v>30.75</v>
      </c>
      <c r="AG3118" s="29" t="s">
        <v>3669</v>
      </c>
      <c r="AH3118" s="29" t="s">
        <v>4698</v>
      </c>
      <c r="AI3118" s="29" t="s">
        <v>3703</v>
      </c>
      <c r="AJ3118" s="29" t="s">
        <v>4699</v>
      </c>
      <c r="AL3118" s="29" t="s">
        <v>3670</v>
      </c>
    </row>
    <row r="3119" spans="27:38">
      <c r="AA3119" s="29" t="s">
        <v>43</v>
      </c>
      <c r="AB3119">
        <v>31200</v>
      </c>
      <c r="AC3119">
        <v>170</v>
      </c>
      <c r="AD3119">
        <v>4</v>
      </c>
      <c r="AE3119">
        <v>4.2</v>
      </c>
      <c r="AF3119">
        <v>4.2</v>
      </c>
      <c r="AG3119" s="29" t="s">
        <v>3669</v>
      </c>
      <c r="AH3119" s="29" t="s">
        <v>4700</v>
      </c>
      <c r="AI3119" s="29" t="s">
        <v>3703</v>
      </c>
      <c r="AJ3119" s="29" t="s">
        <v>4701</v>
      </c>
      <c r="AL3119" s="29" t="s">
        <v>3670</v>
      </c>
    </row>
    <row r="3120" spans="27:38">
      <c r="AA3120" s="29" t="s">
        <v>43</v>
      </c>
      <c r="AB3120">
        <v>31200</v>
      </c>
      <c r="AC3120">
        <v>170</v>
      </c>
      <c r="AD3120">
        <v>4</v>
      </c>
      <c r="AE3120">
        <v>26.1</v>
      </c>
      <c r="AF3120">
        <v>26.1</v>
      </c>
      <c r="AG3120" s="29" t="s">
        <v>3669</v>
      </c>
      <c r="AH3120" s="29" t="s">
        <v>4702</v>
      </c>
      <c r="AI3120" s="29" t="s">
        <v>3703</v>
      </c>
      <c r="AJ3120" s="29" t="s">
        <v>4703</v>
      </c>
      <c r="AL3120" s="29" t="s">
        <v>3670</v>
      </c>
    </row>
    <row r="3121" spans="27:38">
      <c r="AA3121" s="29" t="s">
        <v>43</v>
      </c>
      <c r="AB3121">
        <v>31200</v>
      </c>
      <c r="AC3121">
        <v>170</v>
      </c>
      <c r="AD3121">
        <v>4</v>
      </c>
      <c r="AE3121">
        <v>57.75</v>
      </c>
      <c r="AF3121">
        <v>57.75</v>
      </c>
      <c r="AG3121" s="29" t="s">
        <v>3669</v>
      </c>
      <c r="AH3121" s="29" t="s">
        <v>4459</v>
      </c>
      <c r="AI3121" s="29" t="s">
        <v>3703</v>
      </c>
      <c r="AJ3121" s="29" t="s">
        <v>2950</v>
      </c>
      <c r="AL3121" s="29" t="s">
        <v>3670</v>
      </c>
    </row>
    <row r="3122" spans="27:38">
      <c r="AA3122" s="29" t="s">
        <v>43</v>
      </c>
      <c r="AB3122">
        <v>31200</v>
      </c>
      <c r="AC3122">
        <v>170</v>
      </c>
      <c r="AD3122">
        <v>4</v>
      </c>
      <c r="AE3122">
        <v>-57.75</v>
      </c>
      <c r="AF3122">
        <v>-57.75</v>
      </c>
      <c r="AG3122" s="29" t="s">
        <v>3669</v>
      </c>
      <c r="AH3122" s="29" t="s">
        <v>4504</v>
      </c>
      <c r="AI3122" s="29" t="s">
        <v>3703</v>
      </c>
      <c r="AJ3122" s="29" t="s">
        <v>2997</v>
      </c>
      <c r="AL3122" s="29" t="s">
        <v>3670</v>
      </c>
    </row>
    <row r="3123" spans="27:38">
      <c r="AA3123" s="29" t="s">
        <v>43</v>
      </c>
      <c r="AB3123">
        <v>31200</v>
      </c>
      <c r="AC3123">
        <v>170</v>
      </c>
      <c r="AD3123">
        <v>4</v>
      </c>
      <c r="AE3123">
        <v>57.75</v>
      </c>
      <c r="AF3123">
        <v>57.75</v>
      </c>
      <c r="AG3123" s="29" t="s">
        <v>3669</v>
      </c>
      <c r="AH3123" s="29" t="s">
        <v>4459</v>
      </c>
      <c r="AI3123" s="29" t="s">
        <v>3703</v>
      </c>
      <c r="AJ3123" s="29" t="s">
        <v>2950</v>
      </c>
      <c r="AL3123" s="29" t="s">
        <v>3670</v>
      </c>
    </row>
    <row r="3124" spans="27:38">
      <c r="AA3124" s="29" t="s">
        <v>43</v>
      </c>
      <c r="AB3124">
        <v>31200</v>
      </c>
      <c r="AC3124">
        <v>170</v>
      </c>
      <c r="AD3124">
        <v>4</v>
      </c>
      <c r="AE3124">
        <v>28.88</v>
      </c>
      <c r="AF3124">
        <v>28.88</v>
      </c>
      <c r="AG3124" s="29" t="s">
        <v>3669</v>
      </c>
      <c r="AH3124" s="29" t="s">
        <v>4704</v>
      </c>
      <c r="AI3124" s="29" t="s">
        <v>3703</v>
      </c>
      <c r="AJ3124" s="29" t="s">
        <v>4705</v>
      </c>
      <c r="AL3124" s="29" t="s">
        <v>3670</v>
      </c>
    </row>
    <row r="3125" spans="27:38">
      <c r="AA3125" s="29" t="s">
        <v>43</v>
      </c>
      <c r="AB3125">
        <v>31200</v>
      </c>
      <c r="AC3125">
        <v>170</v>
      </c>
      <c r="AD3125">
        <v>4</v>
      </c>
      <c r="AE3125">
        <v>81.2</v>
      </c>
      <c r="AF3125">
        <v>81.2</v>
      </c>
      <c r="AG3125" s="29" t="s">
        <v>3669</v>
      </c>
      <c r="AH3125" s="29" t="s">
        <v>4706</v>
      </c>
      <c r="AI3125" s="29" t="s">
        <v>3703</v>
      </c>
      <c r="AJ3125" s="29" t="s">
        <v>4707</v>
      </c>
      <c r="AL3125" s="29" t="s">
        <v>3670</v>
      </c>
    </row>
    <row r="3126" spans="27:38">
      <c r="AA3126" s="29" t="s">
        <v>43</v>
      </c>
      <c r="AB3126">
        <v>31200</v>
      </c>
      <c r="AC3126">
        <v>170</v>
      </c>
      <c r="AD3126">
        <v>4</v>
      </c>
      <c r="AE3126">
        <v>610.36</v>
      </c>
      <c r="AF3126">
        <v>610.36</v>
      </c>
      <c r="AG3126" s="29" t="s">
        <v>3669</v>
      </c>
      <c r="AH3126" s="29" t="s">
        <v>4708</v>
      </c>
      <c r="AI3126" s="29" t="s">
        <v>3703</v>
      </c>
      <c r="AJ3126" s="29" t="s">
        <v>4709</v>
      </c>
      <c r="AL3126" s="29" t="s">
        <v>3670</v>
      </c>
    </row>
    <row r="3127" spans="27:38">
      <c r="AA3127" s="29" t="s">
        <v>43</v>
      </c>
      <c r="AB3127">
        <v>31200</v>
      </c>
      <c r="AC3127">
        <v>170</v>
      </c>
      <c r="AD3127">
        <v>4</v>
      </c>
      <c r="AE3127">
        <v>0</v>
      </c>
      <c r="AF3127">
        <v>0</v>
      </c>
      <c r="AG3127" s="29" t="s">
        <v>3669</v>
      </c>
      <c r="AH3127" s="29" t="s">
        <v>3673</v>
      </c>
      <c r="AI3127" s="29" t="s">
        <v>3703</v>
      </c>
      <c r="AJ3127" s="29" t="s">
        <v>4710</v>
      </c>
      <c r="AL3127" s="29" t="s">
        <v>3670</v>
      </c>
    </row>
    <row r="3128" spans="27:38">
      <c r="AA3128" s="29" t="s">
        <v>43</v>
      </c>
      <c r="AB3128">
        <v>31200</v>
      </c>
      <c r="AC3128">
        <v>170</v>
      </c>
      <c r="AD3128">
        <v>4</v>
      </c>
      <c r="AE3128">
        <v>7.29</v>
      </c>
      <c r="AF3128">
        <v>7.29</v>
      </c>
      <c r="AG3128" s="29" t="s">
        <v>3669</v>
      </c>
      <c r="AH3128" s="29" t="s">
        <v>4198</v>
      </c>
      <c r="AI3128" s="29" t="s">
        <v>3703</v>
      </c>
      <c r="AJ3128" s="29" t="s">
        <v>4199</v>
      </c>
      <c r="AL3128" s="29" t="s">
        <v>3670</v>
      </c>
    </row>
    <row r="3129" spans="27:38">
      <c r="AA3129" s="29" t="s">
        <v>43</v>
      </c>
      <c r="AB3129">
        <v>31200</v>
      </c>
      <c r="AC3129">
        <v>170</v>
      </c>
      <c r="AD3129">
        <v>4</v>
      </c>
      <c r="AE3129">
        <v>13.55</v>
      </c>
      <c r="AF3129">
        <v>13.55</v>
      </c>
      <c r="AG3129" s="29" t="s">
        <v>3669</v>
      </c>
      <c r="AH3129" s="29" t="s">
        <v>4711</v>
      </c>
      <c r="AI3129" s="29" t="s">
        <v>3703</v>
      </c>
      <c r="AJ3129" s="29" t="s">
        <v>1568</v>
      </c>
      <c r="AL3129" s="29" t="s">
        <v>3670</v>
      </c>
    </row>
    <row r="3130" spans="27:38">
      <c r="AA3130" s="29" t="s">
        <v>43</v>
      </c>
      <c r="AB3130">
        <v>31200</v>
      </c>
      <c r="AC3130">
        <v>170</v>
      </c>
      <c r="AD3130">
        <v>4</v>
      </c>
      <c r="AE3130">
        <v>0.96</v>
      </c>
      <c r="AF3130">
        <v>0.96</v>
      </c>
      <c r="AG3130" s="29" t="s">
        <v>3669</v>
      </c>
      <c r="AH3130" s="29" t="s">
        <v>4712</v>
      </c>
      <c r="AI3130" s="29" t="s">
        <v>3703</v>
      </c>
      <c r="AJ3130" s="29" t="s">
        <v>4713</v>
      </c>
      <c r="AL3130" s="29" t="s">
        <v>3670</v>
      </c>
    </row>
    <row r="3131" spans="27:38">
      <c r="AA3131" s="29" t="s">
        <v>43</v>
      </c>
      <c r="AB3131">
        <v>31200</v>
      </c>
      <c r="AC3131">
        <v>170</v>
      </c>
      <c r="AD3131">
        <v>4</v>
      </c>
      <c r="AE3131">
        <v>0.22</v>
      </c>
      <c r="AF3131">
        <v>0.22</v>
      </c>
      <c r="AG3131" s="29" t="s">
        <v>3669</v>
      </c>
      <c r="AH3131" s="29" t="s">
        <v>4714</v>
      </c>
      <c r="AI3131" s="29" t="s">
        <v>3703</v>
      </c>
      <c r="AJ3131" s="29" t="s">
        <v>4715</v>
      </c>
      <c r="AL3131" s="29" t="s">
        <v>3670</v>
      </c>
    </row>
    <row r="3132" spans="27:38">
      <c r="AA3132" s="29" t="s">
        <v>43</v>
      </c>
      <c r="AB3132">
        <v>31200</v>
      </c>
      <c r="AC3132">
        <v>170</v>
      </c>
      <c r="AD3132">
        <v>4</v>
      </c>
      <c r="AE3132">
        <v>9.6</v>
      </c>
      <c r="AF3132">
        <v>9.6</v>
      </c>
      <c r="AG3132" s="29" t="s">
        <v>3669</v>
      </c>
      <c r="AH3132" s="29" t="s">
        <v>4716</v>
      </c>
      <c r="AI3132" s="29" t="s">
        <v>3703</v>
      </c>
      <c r="AJ3132" s="29" t="s">
        <v>4717</v>
      </c>
      <c r="AL3132" s="29" t="s">
        <v>3670</v>
      </c>
    </row>
    <row r="3133" spans="27:38">
      <c r="AA3133" s="29" t="s">
        <v>43</v>
      </c>
      <c r="AB3133">
        <v>31200</v>
      </c>
      <c r="AC3133">
        <v>170</v>
      </c>
      <c r="AD3133">
        <v>4</v>
      </c>
      <c r="AE3133">
        <v>27.3</v>
      </c>
      <c r="AF3133">
        <v>27.3</v>
      </c>
      <c r="AG3133" s="29" t="s">
        <v>3669</v>
      </c>
      <c r="AH3133" s="29" t="s">
        <v>3801</v>
      </c>
      <c r="AI3133" s="29" t="s">
        <v>3703</v>
      </c>
      <c r="AJ3133" s="29" t="s">
        <v>1667</v>
      </c>
      <c r="AL3133" s="29" t="s">
        <v>3670</v>
      </c>
    </row>
    <row r="3134" spans="27:38">
      <c r="AA3134" s="29" t="s">
        <v>43</v>
      </c>
      <c r="AB3134">
        <v>31200</v>
      </c>
      <c r="AC3134">
        <v>170</v>
      </c>
      <c r="AD3134">
        <v>4</v>
      </c>
      <c r="AE3134">
        <v>1.35</v>
      </c>
      <c r="AF3134">
        <v>1.35</v>
      </c>
      <c r="AG3134" s="29" t="s">
        <v>3669</v>
      </c>
      <c r="AH3134" s="29" t="s">
        <v>4354</v>
      </c>
      <c r="AI3134" s="29" t="s">
        <v>3703</v>
      </c>
      <c r="AJ3134" s="29" t="s">
        <v>4718</v>
      </c>
      <c r="AL3134" s="29" t="s">
        <v>3670</v>
      </c>
    </row>
    <row r="3135" spans="27:38">
      <c r="AA3135" s="29" t="s">
        <v>43</v>
      </c>
      <c r="AB3135">
        <v>31200</v>
      </c>
      <c r="AC3135">
        <v>170</v>
      </c>
      <c r="AD3135">
        <v>4</v>
      </c>
      <c r="AE3135">
        <v>10.67</v>
      </c>
      <c r="AF3135">
        <v>10.67</v>
      </c>
      <c r="AG3135" s="29" t="s">
        <v>3669</v>
      </c>
      <c r="AH3135" s="29" t="s">
        <v>4719</v>
      </c>
      <c r="AI3135" s="29" t="s">
        <v>3703</v>
      </c>
      <c r="AJ3135" s="29" t="s">
        <v>4720</v>
      </c>
      <c r="AL3135" s="29" t="s">
        <v>3670</v>
      </c>
    </row>
    <row r="3136" spans="27:38">
      <c r="AA3136" s="29" t="s">
        <v>43</v>
      </c>
      <c r="AB3136">
        <v>31200</v>
      </c>
      <c r="AC3136">
        <v>170</v>
      </c>
      <c r="AD3136">
        <v>4</v>
      </c>
      <c r="AE3136">
        <v>22.5</v>
      </c>
      <c r="AF3136">
        <v>22.5</v>
      </c>
      <c r="AG3136" s="29" t="s">
        <v>3669</v>
      </c>
      <c r="AH3136" s="29" t="s">
        <v>4721</v>
      </c>
      <c r="AI3136" s="29" t="s">
        <v>3703</v>
      </c>
      <c r="AJ3136" s="29" t="s">
        <v>4722</v>
      </c>
      <c r="AL3136" s="29" t="s">
        <v>3670</v>
      </c>
    </row>
    <row r="3137" spans="27:38">
      <c r="AA3137" s="29" t="s">
        <v>43</v>
      </c>
      <c r="AB3137">
        <v>31200</v>
      </c>
      <c r="AC3137">
        <v>170</v>
      </c>
      <c r="AD3137">
        <v>4</v>
      </c>
      <c r="AE3137">
        <v>105</v>
      </c>
      <c r="AF3137">
        <v>105</v>
      </c>
      <c r="AG3137" s="29" t="s">
        <v>3669</v>
      </c>
      <c r="AH3137" s="29" t="s">
        <v>3687</v>
      </c>
      <c r="AI3137" s="29" t="s">
        <v>3703</v>
      </c>
      <c r="AJ3137" s="29" t="s">
        <v>833</v>
      </c>
      <c r="AL3137" s="29" t="s">
        <v>3670</v>
      </c>
    </row>
    <row r="3138" spans="27:38">
      <c r="AA3138" s="29" t="s">
        <v>43</v>
      </c>
      <c r="AB3138">
        <v>31200</v>
      </c>
      <c r="AC3138">
        <v>170</v>
      </c>
      <c r="AD3138">
        <v>4</v>
      </c>
      <c r="AE3138">
        <v>10.67</v>
      </c>
      <c r="AF3138">
        <v>10.67</v>
      </c>
      <c r="AG3138" s="29" t="s">
        <v>3669</v>
      </c>
      <c r="AH3138" s="29" t="s">
        <v>4719</v>
      </c>
      <c r="AI3138" s="29" t="s">
        <v>3703</v>
      </c>
      <c r="AJ3138" s="29" t="s">
        <v>4720</v>
      </c>
      <c r="AL3138" s="29" t="s">
        <v>3670</v>
      </c>
    </row>
    <row r="3139" spans="27:38">
      <c r="AA3139" s="29" t="s">
        <v>43</v>
      </c>
      <c r="AB3139">
        <v>31200</v>
      </c>
      <c r="AC3139">
        <v>170</v>
      </c>
      <c r="AD3139">
        <v>4</v>
      </c>
      <c r="AE3139">
        <v>9.6</v>
      </c>
      <c r="AF3139">
        <v>9.6</v>
      </c>
      <c r="AG3139" s="29" t="s">
        <v>3669</v>
      </c>
      <c r="AH3139" s="29" t="s">
        <v>4716</v>
      </c>
      <c r="AI3139" s="29" t="s">
        <v>3703</v>
      </c>
      <c r="AJ3139" s="29" t="s">
        <v>4723</v>
      </c>
      <c r="AL3139" s="29" t="s">
        <v>3670</v>
      </c>
    </row>
    <row r="3140" spans="27:38">
      <c r="AA3140" s="29" t="s">
        <v>43</v>
      </c>
      <c r="AB3140">
        <v>31200</v>
      </c>
      <c r="AC3140">
        <v>170</v>
      </c>
      <c r="AD3140">
        <v>4</v>
      </c>
      <c r="AE3140">
        <v>0.5</v>
      </c>
      <c r="AF3140">
        <v>0.5</v>
      </c>
      <c r="AG3140" s="29" t="s">
        <v>3669</v>
      </c>
      <c r="AH3140" s="29" t="s">
        <v>4724</v>
      </c>
      <c r="AI3140" s="29" t="s">
        <v>3703</v>
      </c>
      <c r="AJ3140" s="29" t="s">
        <v>4725</v>
      </c>
      <c r="AL3140" s="29" t="s">
        <v>3670</v>
      </c>
    </row>
    <row r="3141" spans="27:38">
      <c r="AA3141" s="29" t="s">
        <v>43</v>
      </c>
      <c r="AB3141">
        <v>31200</v>
      </c>
      <c r="AC3141">
        <v>170</v>
      </c>
      <c r="AD3141">
        <v>4</v>
      </c>
      <c r="AE3141">
        <v>21.19</v>
      </c>
      <c r="AF3141">
        <v>21.19</v>
      </c>
      <c r="AG3141" s="29" t="s">
        <v>3669</v>
      </c>
      <c r="AH3141" s="29" t="s">
        <v>4726</v>
      </c>
      <c r="AI3141" s="29" t="s">
        <v>3703</v>
      </c>
      <c r="AJ3141" s="29" t="s">
        <v>1497</v>
      </c>
      <c r="AL3141" s="29" t="s">
        <v>3670</v>
      </c>
    </row>
    <row r="3142" spans="27:38">
      <c r="AA3142" s="29" t="s">
        <v>43</v>
      </c>
      <c r="AB3142">
        <v>31200</v>
      </c>
      <c r="AC3142">
        <v>170</v>
      </c>
      <c r="AD3142">
        <v>4</v>
      </c>
      <c r="AE3142">
        <v>8.25</v>
      </c>
      <c r="AF3142">
        <v>8.25</v>
      </c>
      <c r="AG3142" s="29" t="s">
        <v>3669</v>
      </c>
      <c r="AH3142" s="29" t="s">
        <v>4727</v>
      </c>
      <c r="AI3142" s="29" t="s">
        <v>3703</v>
      </c>
      <c r="AJ3142" s="29" t="s">
        <v>4728</v>
      </c>
      <c r="AL3142" s="29" t="s">
        <v>3670</v>
      </c>
    </row>
    <row r="3143" spans="27:38">
      <c r="AA3143" s="29" t="s">
        <v>43</v>
      </c>
      <c r="AB3143">
        <v>31200</v>
      </c>
      <c r="AC3143">
        <v>170</v>
      </c>
      <c r="AD3143">
        <v>4</v>
      </c>
      <c r="AE3143">
        <v>1.45</v>
      </c>
      <c r="AF3143">
        <v>1.45</v>
      </c>
      <c r="AG3143" s="29" t="s">
        <v>3669</v>
      </c>
      <c r="AH3143" s="29" t="s">
        <v>4729</v>
      </c>
      <c r="AI3143" s="29" t="s">
        <v>3703</v>
      </c>
      <c r="AJ3143" s="29" t="s">
        <v>4730</v>
      </c>
      <c r="AL3143" s="29" t="s">
        <v>3670</v>
      </c>
    </row>
    <row r="3144" spans="27:38">
      <c r="AA3144" s="29" t="s">
        <v>43</v>
      </c>
      <c r="AB3144">
        <v>31200</v>
      </c>
      <c r="AC3144">
        <v>170</v>
      </c>
      <c r="AD3144">
        <v>4</v>
      </c>
      <c r="AE3144">
        <v>3</v>
      </c>
      <c r="AF3144">
        <v>3</v>
      </c>
      <c r="AG3144" s="29" t="s">
        <v>3669</v>
      </c>
      <c r="AH3144" s="29" t="s">
        <v>4528</v>
      </c>
      <c r="AI3144" s="29" t="s">
        <v>3703</v>
      </c>
      <c r="AJ3144" s="29" t="s">
        <v>865</v>
      </c>
      <c r="AL3144" s="29" t="s">
        <v>3670</v>
      </c>
    </row>
    <row r="3145" spans="27:38">
      <c r="AA3145" s="29" t="s">
        <v>43</v>
      </c>
      <c r="AB3145">
        <v>31200</v>
      </c>
      <c r="AC3145">
        <v>170</v>
      </c>
      <c r="AD3145">
        <v>4</v>
      </c>
      <c r="AE3145">
        <v>9.6</v>
      </c>
      <c r="AF3145">
        <v>9.6</v>
      </c>
      <c r="AG3145" s="29" t="s">
        <v>3669</v>
      </c>
      <c r="AH3145" s="29" t="s">
        <v>4716</v>
      </c>
      <c r="AI3145" s="29" t="s">
        <v>3703</v>
      </c>
      <c r="AJ3145" s="29" t="s">
        <v>4731</v>
      </c>
      <c r="AL3145" s="29" t="s">
        <v>3670</v>
      </c>
    </row>
    <row r="3146" spans="27:38">
      <c r="AA3146" s="29" t="s">
        <v>43</v>
      </c>
      <c r="AB3146">
        <v>31200</v>
      </c>
      <c r="AC3146">
        <v>170</v>
      </c>
      <c r="AD3146">
        <v>4</v>
      </c>
      <c r="AE3146">
        <v>3</v>
      </c>
      <c r="AF3146">
        <v>3</v>
      </c>
      <c r="AG3146" s="29" t="s">
        <v>3669</v>
      </c>
      <c r="AH3146" s="29" t="s">
        <v>4528</v>
      </c>
      <c r="AI3146" s="29" t="s">
        <v>3703</v>
      </c>
      <c r="AJ3146" s="29" t="s">
        <v>4642</v>
      </c>
      <c r="AL3146" s="29" t="s">
        <v>3670</v>
      </c>
    </row>
    <row r="3147" spans="27:38">
      <c r="AA3147" s="29" t="s">
        <v>43</v>
      </c>
      <c r="AB3147">
        <v>31200</v>
      </c>
      <c r="AC3147">
        <v>180</v>
      </c>
      <c r="AD3147">
        <v>1</v>
      </c>
      <c r="AE3147">
        <v>0</v>
      </c>
      <c r="AF3147">
        <v>0</v>
      </c>
      <c r="AG3147" s="29" t="s">
        <v>4732</v>
      </c>
      <c r="AH3147" s="29"/>
      <c r="AI3147" s="29"/>
      <c r="AJ3147" s="29"/>
      <c r="AL3147" s="29" t="s">
        <v>4733</v>
      </c>
    </row>
    <row r="3148" spans="27:38">
      <c r="AA3148" s="29" t="s">
        <v>43</v>
      </c>
      <c r="AB3148">
        <v>31200</v>
      </c>
      <c r="AC3148">
        <v>180</v>
      </c>
      <c r="AD3148">
        <v>3</v>
      </c>
      <c r="AE3148">
        <v>0</v>
      </c>
      <c r="AF3148">
        <v>0</v>
      </c>
      <c r="AG3148" s="29" t="s">
        <v>4732</v>
      </c>
      <c r="AH3148" s="29" t="s">
        <v>4734</v>
      </c>
      <c r="AI3148" s="29" t="s">
        <v>4735</v>
      </c>
      <c r="AJ3148" s="29"/>
      <c r="AL3148" s="29" t="s">
        <v>4733</v>
      </c>
    </row>
    <row r="3149" spans="27:38">
      <c r="AA3149" s="29" t="s">
        <v>43</v>
      </c>
      <c r="AB3149">
        <v>31200</v>
      </c>
      <c r="AC3149">
        <v>180</v>
      </c>
      <c r="AD3149">
        <v>3</v>
      </c>
      <c r="AE3149">
        <v>17811.900000000001</v>
      </c>
      <c r="AF3149">
        <v>17811.900000000001</v>
      </c>
      <c r="AG3149" s="29" t="s">
        <v>4732</v>
      </c>
      <c r="AH3149" s="29" t="s">
        <v>4736</v>
      </c>
      <c r="AI3149" s="29" t="s">
        <v>4737</v>
      </c>
      <c r="AJ3149" s="29"/>
      <c r="AL3149" s="29" t="s">
        <v>4733</v>
      </c>
    </row>
    <row r="3150" spans="27:38">
      <c r="AA3150" s="29" t="s">
        <v>43</v>
      </c>
      <c r="AB3150">
        <v>31200</v>
      </c>
      <c r="AC3150">
        <v>180</v>
      </c>
      <c r="AD3150">
        <v>3</v>
      </c>
      <c r="AE3150">
        <v>2612</v>
      </c>
      <c r="AF3150">
        <v>2612</v>
      </c>
      <c r="AG3150" s="29" t="s">
        <v>4732</v>
      </c>
      <c r="AH3150" s="29" t="s">
        <v>4738</v>
      </c>
      <c r="AI3150" s="29" t="s">
        <v>4739</v>
      </c>
      <c r="AJ3150" s="29"/>
      <c r="AL3150" s="29" t="s">
        <v>4733</v>
      </c>
    </row>
    <row r="3151" spans="27:38">
      <c r="AA3151" s="29" t="s">
        <v>43</v>
      </c>
      <c r="AB3151">
        <v>31200</v>
      </c>
      <c r="AC3151">
        <v>180</v>
      </c>
      <c r="AD3151">
        <v>3</v>
      </c>
      <c r="AE3151">
        <v>28463.9</v>
      </c>
      <c r="AF3151">
        <v>28463.9</v>
      </c>
      <c r="AG3151" s="29" t="s">
        <v>4732</v>
      </c>
      <c r="AH3151" s="29" t="s">
        <v>4740</v>
      </c>
      <c r="AI3151" s="29" t="s">
        <v>4741</v>
      </c>
      <c r="AJ3151" s="29"/>
      <c r="AL3151" s="29" t="s">
        <v>4733</v>
      </c>
    </row>
    <row r="3152" spans="27:38">
      <c r="AA3152" s="29" t="s">
        <v>43</v>
      </c>
      <c r="AB3152">
        <v>31200</v>
      </c>
      <c r="AC3152">
        <v>180</v>
      </c>
      <c r="AD3152">
        <v>3</v>
      </c>
      <c r="AE3152">
        <v>8840</v>
      </c>
      <c r="AF3152">
        <v>8840</v>
      </c>
      <c r="AG3152" s="29" t="s">
        <v>4732</v>
      </c>
      <c r="AH3152" s="29" t="s">
        <v>4742</v>
      </c>
      <c r="AI3152" s="29" t="s">
        <v>4743</v>
      </c>
      <c r="AJ3152" s="29"/>
      <c r="AL3152" s="29" t="s">
        <v>4733</v>
      </c>
    </row>
    <row r="3153" spans="27:38">
      <c r="AA3153" s="29" t="s">
        <v>43</v>
      </c>
      <c r="AB3153">
        <v>31200</v>
      </c>
      <c r="AC3153">
        <v>180</v>
      </c>
      <c r="AD3153">
        <v>3</v>
      </c>
      <c r="AE3153">
        <v>8135</v>
      </c>
      <c r="AF3153">
        <v>8135</v>
      </c>
      <c r="AG3153" s="29" t="s">
        <v>4732</v>
      </c>
      <c r="AH3153" s="29" t="s">
        <v>4744</v>
      </c>
      <c r="AI3153" s="29" t="s">
        <v>4745</v>
      </c>
      <c r="AJ3153" s="29"/>
      <c r="AL3153" s="29" t="s">
        <v>4733</v>
      </c>
    </row>
    <row r="3154" spans="27:38">
      <c r="AA3154" s="29" t="s">
        <v>43</v>
      </c>
      <c r="AB3154">
        <v>31200</v>
      </c>
      <c r="AC3154">
        <v>180</v>
      </c>
      <c r="AD3154">
        <v>3</v>
      </c>
      <c r="AE3154">
        <v>41561.1</v>
      </c>
      <c r="AF3154">
        <v>41561.1</v>
      </c>
      <c r="AG3154" s="29" t="s">
        <v>4732</v>
      </c>
      <c r="AH3154" s="29" t="s">
        <v>4746</v>
      </c>
      <c r="AI3154" s="29" t="s">
        <v>4747</v>
      </c>
      <c r="AJ3154" s="29"/>
      <c r="AL3154" s="29" t="s">
        <v>4733</v>
      </c>
    </row>
    <row r="3155" spans="27:38">
      <c r="AA3155" s="29" t="s">
        <v>43</v>
      </c>
      <c r="AB3155">
        <v>31200</v>
      </c>
      <c r="AC3155">
        <v>180</v>
      </c>
      <c r="AD3155">
        <v>3</v>
      </c>
      <c r="AE3155">
        <v>2415</v>
      </c>
      <c r="AF3155">
        <v>2415</v>
      </c>
      <c r="AG3155" s="29" t="s">
        <v>4732</v>
      </c>
      <c r="AH3155" s="29" t="s">
        <v>4748</v>
      </c>
      <c r="AI3155" s="29" t="s">
        <v>4749</v>
      </c>
      <c r="AJ3155" s="29"/>
      <c r="AL3155" s="29" t="s">
        <v>4733</v>
      </c>
    </row>
    <row r="3156" spans="27:38">
      <c r="AA3156" s="29" t="s">
        <v>43</v>
      </c>
      <c r="AB3156">
        <v>31200</v>
      </c>
      <c r="AC3156">
        <v>180</v>
      </c>
      <c r="AD3156">
        <v>3</v>
      </c>
      <c r="AE3156">
        <v>745</v>
      </c>
      <c r="AF3156">
        <v>745</v>
      </c>
      <c r="AG3156" s="29" t="s">
        <v>4732</v>
      </c>
      <c r="AH3156" s="29" t="s">
        <v>4750</v>
      </c>
      <c r="AI3156" s="29" t="s">
        <v>4751</v>
      </c>
      <c r="AJ3156" s="29"/>
      <c r="AL3156" s="29" t="s">
        <v>4733</v>
      </c>
    </row>
    <row r="3157" spans="27:38">
      <c r="AA3157" s="29" t="s">
        <v>43</v>
      </c>
      <c r="AB3157">
        <v>31200</v>
      </c>
      <c r="AC3157">
        <v>180</v>
      </c>
      <c r="AD3157">
        <v>3</v>
      </c>
      <c r="AE3157">
        <v>1035</v>
      </c>
      <c r="AF3157">
        <v>1035</v>
      </c>
      <c r="AG3157" s="29" t="s">
        <v>4732</v>
      </c>
      <c r="AH3157" s="29" t="s">
        <v>4752</v>
      </c>
      <c r="AI3157" s="29" t="s">
        <v>4753</v>
      </c>
      <c r="AJ3157" s="29"/>
      <c r="AL3157" s="29" t="s">
        <v>4733</v>
      </c>
    </row>
    <row r="3158" spans="27:38">
      <c r="AA3158" s="29" t="s">
        <v>43</v>
      </c>
      <c r="AB3158">
        <v>31200</v>
      </c>
      <c r="AC3158">
        <v>180</v>
      </c>
      <c r="AD3158">
        <v>3</v>
      </c>
      <c r="AE3158">
        <v>26653.7</v>
      </c>
      <c r="AF3158">
        <v>26653.7</v>
      </c>
      <c r="AG3158" s="29" t="s">
        <v>4732</v>
      </c>
      <c r="AH3158" s="29" t="s">
        <v>4754</v>
      </c>
      <c r="AI3158" s="29" t="s">
        <v>4755</v>
      </c>
      <c r="AJ3158" s="29"/>
      <c r="AL3158" s="29" t="s">
        <v>4733</v>
      </c>
    </row>
    <row r="3159" spans="27:38">
      <c r="AA3159" s="29" t="s">
        <v>43</v>
      </c>
      <c r="AB3159">
        <v>31200</v>
      </c>
      <c r="AC3159">
        <v>180</v>
      </c>
      <c r="AD3159">
        <v>3</v>
      </c>
      <c r="AE3159">
        <v>2415</v>
      </c>
      <c r="AF3159">
        <v>2415</v>
      </c>
      <c r="AG3159" s="29" t="s">
        <v>4732</v>
      </c>
      <c r="AH3159" s="29" t="s">
        <v>4748</v>
      </c>
      <c r="AI3159" s="29" t="s">
        <v>4756</v>
      </c>
      <c r="AJ3159" s="29"/>
      <c r="AL3159" s="29" t="s">
        <v>4733</v>
      </c>
    </row>
    <row r="3160" spans="27:38">
      <c r="AA3160" s="29" t="s">
        <v>43</v>
      </c>
      <c r="AB3160">
        <v>31200</v>
      </c>
      <c r="AC3160">
        <v>180</v>
      </c>
      <c r="AD3160">
        <v>3</v>
      </c>
      <c r="AE3160">
        <v>25615.94</v>
      </c>
      <c r="AF3160">
        <v>25615.94</v>
      </c>
      <c r="AG3160" s="29" t="s">
        <v>4732</v>
      </c>
      <c r="AH3160" s="29" t="s">
        <v>4757</v>
      </c>
      <c r="AI3160" s="29" t="s">
        <v>4758</v>
      </c>
      <c r="AJ3160" s="29"/>
      <c r="AL3160" s="29" t="s">
        <v>4733</v>
      </c>
    </row>
    <row r="3161" spans="27:38">
      <c r="AA3161" s="29" t="s">
        <v>43</v>
      </c>
      <c r="AB3161">
        <v>31200</v>
      </c>
      <c r="AC3161">
        <v>180</v>
      </c>
      <c r="AD3161">
        <v>3</v>
      </c>
      <c r="AE3161">
        <v>29663.58</v>
      </c>
      <c r="AF3161">
        <v>29663.58</v>
      </c>
      <c r="AG3161" s="29" t="s">
        <v>4732</v>
      </c>
      <c r="AH3161" s="29" t="s">
        <v>4759</v>
      </c>
      <c r="AI3161" s="29" t="s">
        <v>4760</v>
      </c>
      <c r="AJ3161" s="29"/>
      <c r="AL3161" s="29" t="s">
        <v>4733</v>
      </c>
    </row>
    <row r="3162" spans="27:38">
      <c r="AA3162" s="29" t="s">
        <v>43</v>
      </c>
      <c r="AB3162">
        <v>31200</v>
      </c>
      <c r="AC3162">
        <v>180</v>
      </c>
      <c r="AD3162">
        <v>3</v>
      </c>
      <c r="AE3162">
        <v>23249.96</v>
      </c>
      <c r="AF3162">
        <v>23249.96</v>
      </c>
      <c r="AG3162" s="29" t="s">
        <v>4732</v>
      </c>
      <c r="AH3162" s="29" t="s">
        <v>4761</v>
      </c>
      <c r="AI3162" s="29" t="s">
        <v>4762</v>
      </c>
      <c r="AJ3162" s="29"/>
      <c r="AL3162" s="29" t="s">
        <v>4733</v>
      </c>
    </row>
    <row r="3163" spans="27:38">
      <c r="AA3163" s="29" t="s">
        <v>43</v>
      </c>
      <c r="AB3163">
        <v>31200</v>
      </c>
      <c r="AC3163">
        <v>180</v>
      </c>
      <c r="AD3163">
        <v>3</v>
      </c>
      <c r="AE3163">
        <v>26908.44</v>
      </c>
      <c r="AF3163">
        <v>26908.44</v>
      </c>
      <c r="AG3163" s="29" t="s">
        <v>4732</v>
      </c>
      <c r="AH3163" s="29" t="s">
        <v>4763</v>
      </c>
      <c r="AI3163" s="29" t="s">
        <v>4764</v>
      </c>
      <c r="AJ3163" s="29"/>
      <c r="AL3163" s="29" t="s">
        <v>4733</v>
      </c>
    </row>
    <row r="3164" spans="27:38">
      <c r="AA3164" s="29" t="s">
        <v>43</v>
      </c>
      <c r="AB3164">
        <v>31200</v>
      </c>
      <c r="AC3164">
        <v>180</v>
      </c>
      <c r="AD3164">
        <v>3</v>
      </c>
      <c r="AE3164">
        <v>29663.58</v>
      </c>
      <c r="AF3164">
        <v>29663.58</v>
      </c>
      <c r="AG3164" s="29" t="s">
        <v>4732</v>
      </c>
      <c r="AH3164" s="29" t="s">
        <v>4759</v>
      </c>
      <c r="AI3164" s="29" t="s">
        <v>4765</v>
      </c>
      <c r="AJ3164" s="29"/>
      <c r="AL3164" s="29" t="s">
        <v>4733</v>
      </c>
    </row>
    <row r="3165" spans="27:38">
      <c r="AA3165" s="29" t="s">
        <v>43</v>
      </c>
      <c r="AB3165">
        <v>31200</v>
      </c>
      <c r="AC3165">
        <v>180</v>
      </c>
      <c r="AD3165">
        <v>3</v>
      </c>
      <c r="AE3165">
        <v>13232.38</v>
      </c>
      <c r="AF3165">
        <v>13232.38</v>
      </c>
      <c r="AG3165" s="29" t="s">
        <v>4732</v>
      </c>
      <c r="AH3165" s="29" t="s">
        <v>4766</v>
      </c>
      <c r="AI3165" s="29" t="s">
        <v>4767</v>
      </c>
      <c r="AJ3165" s="29"/>
      <c r="AL3165" s="29" t="s">
        <v>4733</v>
      </c>
    </row>
    <row r="3166" spans="27:38">
      <c r="AA3166" s="29" t="s">
        <v>43</v>
      </c>
      <c r="AB3166">
        <v>31200</v>
      </c>
      <c r="AC3166">
        <v>180</v>
      </c>
      <c r="AD3166">
        <v>3</v>
      </c>
      <c r="AE3166">
        <v>1035</v>
      </c>
      <c r="AF3166">
        <v>1035</v>
      </c>
      <c r="AG3166" s="29" t="s">
        <v>4732</v>
      </c>
      <c r="AH3166" s="29" t="s">
        <v>4752</v>
      </c>
      <c r="AI3166" s="29" t="s">
        <v>4753</v>
      </c>
      <c r="AJ3166" s="29"/>
      <c r="AL3166" s="29" t="s">
        <v>4733</v>
      </c>
    </row>
    <row r="3167" spans="27:38">
      <c r="AA3167" s="29" t="s">
        <v>43</v>
      </c>
      <c r="AB3167">
        <v>31200</v>
      </c>
      <c r="AC3167">
        <v>180</v>
      </c>
      <c r="AD3167">
        <v>3</v>
      </c>
      <c r="AE3167">
        <v>16439.66</v>
      </c>
      <c r="AF3167">
        <v>16439.66</v>
      </c>
      <c r="AG3167" s="29" t="s">
        <v>4732</v>
      </c>
      <c r="AH3167" s="29" t="s">
        <v>4768</v>
      </c>
      <c r="AI3167" s="29" t="s">
        <v>4769</v>
      </c>
      <c r="AJ3167" s="29"/>
      <c r="AL3167" s="29" t="s">
        <v>4733</v>
      </c>
    </row>
    <row r="3168" spans="27:38">
      <c r="AA3168" s="29" t="s">
        <v>43</v>
      </c>
      <c r="AB3168">
        <v>31200</v>
      </c>
      <c r="AC3168">
        <v>180</v>
      </c>
      <c r="AD3168">
        <v>3</v>
      </c>
      <c r="AE3168">
        <v>16439.66</v>
      </c>
      <c r="AF3168">
        <v>16439.66</v>
      </c>
      <c r="AG3168" s="29" t="s">
        <v>4732</v>
      </c>
      <c r="AH3168" s="29" t="s">
        <v>4768</v>
      </c>
      <c r="AI3168" s="29" t="s">
        <v>4770</v>
      </c>
      <c r="AJ3168" s="29"/>
      <c r="AL3168" s="29" t="s">
        <v>4733</v>
      </c>
    </row>
    <row r="3169" spans="27:38">
      <c r="AA3169" s="29" t="s">
        <v>43</v>
      </c>
      <c r="AB3169">
        <v>31200</v>
      </c>
      <c r="AC3169">
        <v>180</v>
      </c>
      <c r="AD3169">
        <v>3</v>
      </c>
      <c r="AE3169">
        <v>8352</v>
      </c>
      <c r="AF3169">
        <v>8352</v>
      </c>
      <c r="AG3169" s="29" t="s">
        <v>4732</v>
      </c>
      <c r="AH3169" s="29" t="s">
        <v>4771</v>
      </c>
      <c r="AI3169" s="29" t="s">
        <v>4772</v>
      </c>
      <c r="AJ3169" s="29"/>
      <c r="AL3169" s="29" t="s">
        <v>4733</v>
      </c>
    </row>
    <row r="3170" spans="27:38">
      <c r="AA3170" s="29" t="s">
        <v>43</v>
      </c>
      <c r="AB3170">
        <v>31200</v>
      </c>
      <c r="AC3170">
        <v>180</v>
      </c>
      <c r="AD3170">
        <v>3</v>
      </c>
      <c r="AE3170">
        <v>26797.5</v>
      </c>
      <c r="AF3170">
        <v>26797.5</v>
      </c>
      <c r="AG3170" s="29" t="s">
        <v>4732</v>
      </c>
      <c r="AH3170" s="29" t="s">
        <v>4773</v>
      </c>
      <c r="AI3170" s="29" t="s">
        <v>4774</v>
      </c>
      <c r="AJ3170" s="29"/>
      <c r="AL3170" s="29" t="s">
        <v>4733</v>
      </c>
    </row>
    <row r="3171" spans="27:38">
      <c r="AA3171" s="29" t="s">
        <v>43</v>
      </c>
      <c r="AB3171">
        <v>31200</v>
      </c>
      <c r="AC3171">
        <v>180</v>
      </c>
      <c r="AD3171">
        <v>3</v>
      </c>
      <c r="AE3171">
        <v>62527.5</v>
      </c>
      <c r="AF3171">
        <v>62527.5</v>
      </c>
      <c r="AG3171" s="29" t="s">
        <v>4732</v>
      </c>
      <c r="AH3171" s="29" t="s">
        <v>4775</v>
      </c>
      <c r="AI3171" s="29" t="s">
        <v>4776</v>
      </c>
      <c r="AJ3171" s="29"/>
      <c r="AL3171" s="29" t="s">
        <v>4733</v>
      </c>
    </row>
    <row r="3172" spans="27:38">
      <c r="AA3172" s="29" t="s">
        <v>43</v>
      </c>
      <c r="AB3172">
        <v>31200</v>
      </c>
      <c r="AC3172">
        <v>180</v>
      </c>
      <c r="AD3172">
        <v>3</v>
      </c>
      <c r="AE3172">
        <v>0</v>
      </c>
      <c r="AF3172">
        <v>0</v>
      </c>
      <c r="AG3172" s="29" t="s">
        <v>4732</v>
      </c>
      <c r="AH3172" s="29" t="s">
        <v>4734</v>
      </c>
      <c r="AI3172" s="29" t="s">
        <v>4777</v>
      </c>
      <c r="AJ3172" s="29"/>
      <c r="AL3172" s="29" t="s">
        <v>4733</v>
      </c>
    </row>
    <row r="3173" spans="27:38">
      <c r="AA3173" s="29" t="s">
        <v>43</v>
      </c>
      <c r="AB3173">
        <v>31200</v>
      </c>
      <c r="AC3173">
        <v>190</v>
      </c>
      <c r="AD3173">
        <v>1</v>
      </c>
      <c r="AE3173">
        <v>0</v>
      </c>
      <c r="AF3173">
        <v>0</v>
      </c>
      <c r="AG3173" s="29" t="s">
        <v>4778</v>
      </c>
      <c r="AH3173" s="29"/>
      <c r="AI3173" s="29"/>
      <c r="AJ3173" s="29"/>
      <c r="AL3173" s="29" t="s">
        <v>4779</v>
      </c>
    </row>
    <row r="3174" spans="27:38">
      <c r="AA3174" s="29" t="s">
        <v>43</v>
      </c>
      <c r="AB3174">
        <v>31200</v>
      </c>
      <c r="AC3174">
        <v>190</v>
      </c>
      <c r="AD3174">
        <v>3</v>
      </c>
      <c r="AE3174">
        <v>0</v>
      </c>
      <c r="AF3174">
        <v>0</v>
      </c>
      <c r="AG3174" s="29" t="s">
        <v>4778</v>
      </c>
      <c r="AH3174" s="29" t="s">
        <v>4780</v>
      </c>
      <c r="AI3174" s="29" t="s">
        <v>4781</v>
      </c>
      <c r="AJ3174" s="29"/>
      <c r="AL3174" s="29" t="s">
        <v>4779</v>
      </c>
    </row>
    <row r="3175" spans="27:38">
      <c r="AA3175" s="29" t="s">
        <v>43</v>
      </c>
      <c r="AB3175">
        <v>31200</v>
      </c>
      <c r="AC3175">
        <v>190</v>
      </c>
      <c r="AD3175">
        <v>3</v>
      </c>
      <c r="AE3175">
        <v>2.6</v>
      </c>
      <c r="AF3175">
        <v>2.6</v>
      </c>
      <c r="AG3175" s="29" t="s">
        <v>4778</v>
      </c>
      <c r="AH3175" s="29" t="s">
        <v>4782</v>
      </c>
      <c r="AI3175" s="29" t="s">
        <v>4783</v>
      </c>
      <c r="AJ3175" s="29"/>
      <c r="AL3175" s="29" t="s">
        <v>4779</v>
      </c>
    </row>
    <row r="3176" spans="27:38">
      <c r="AA3176" s="29" t="s">
        <v>43</v>
      </c>
      <c r="AB3176">
        <v>31200</v>
      </c>
      <c r="AC3176">
        <v>190</v>
      </c>
      <c r="AD3176">
        <v>3</v>
      </c>
      <c r="AE3176">
        <v>21106.32</v>
      </c>
      <c r="AF3176">
        <v>21106.32</v>
      </c>
      <c r="AG3176" s="29" t="s">
        <v>4778</v>
      </c>
      <c r="AH3176" s="29" t="s">
        <v>4784</v>
      </c>
      <c r="AI3176" s="29" t="s">
        <v>4785</v>
      </c>
      <c r="AJ3176" s="29"/>
      <c r="AL3176" s="29" t="s">
        <v>4779</v>
      </c>
    </row>
    <row r="3177" spans="27:38">
      <c r="AA3177" s="29" t="s">
        <v>43</v>
      </c>
      <c r="AB3177">
        <v>31200</v>
      </c>
      <c r="AC3177">
        <v>190</v>
      </c>
      <c r="AD3177">
        <v>3</v>
      </c>
      <c r="AE3177">
        <v>12352</v>
      </c>
      <c r="AF3177">
        <v>12352</v>
      </c>
      <c r="AG3177" s="29" t="s">
        <v>4778</v>
      </c>
      <c r="AH3177" s="29" t="s">
        <v>4786</v>
      </c>
      <c r="AI3177" s="29" t="s">
        <v>4787</v>
      </c>
      <c r="AJ3177" s="29"/>
      <c r="AL3177" s="29" t="s">
        <v>4779</v>
      </c>
    </row>
    <row r="3178" spans="27:38">
      <c r="AA3178" s="29" t="s">
        <v>43</v>
      </c>
      <c r="AB3178">
        <v>31200</v>
      </c>
      <c r="AC3178">
        <v>190</v>
      </c>
      <c r="AD3178">
        <v>3</v>
      </c>
      <c r="AE3178">
        <v>11967</v>
      </c>
      <c r="AF3178">
        <v>11967</v>
      </c>
      <c r="AG3178" s="29" t="s">
        <v>4778</v>
      </c>
      <c r="AH3178" s="29" t="s">
        <v>4788</v>
      </c>
      <c r="AI3178" s="29" t="s">
        <v>4789</v>
      </c>
      <c r="AJ3178" s="29"/>
      <c r="AL3178" s="29" t="s">
        <v>4779</v>
      </c>
    </row>
    <row r="3179" spans="27:38">
      <c r="AA3179" s="29" t="s">
        <v>43</v>
      </c>
      <c r="AB3179">
        <v>31200</v>
      </c>
      <c r="AC3179">
        <v>190</v>
      </c>
      <c r="AD3179">
        <v>3</v>
      </c>
      <c r="AE3179">
        <v>76221</v>
      </c>
      <c r="AF3179">
        <v>76221</v>
      </c>
      <c r="AG3179" s="29" t="s">
        <v>4778</v>
      </c>
      <c r="AH3179" s="29" t="s">
        <v>4790</v>
      </c>
      <c r="AI3179" s="29" t="s">
        <v>4791</v>
      </c>
      <c r="AJ3179" s="29"/>
      <c r="AL3179" s="29" t="s">
        <v>4779</v>
      </c>
    </row>
    <row r="3180" spans="27:38">
      <c r="AA3180" s="29" t="s">
        <v>43</v>
      </c>
      <c r="AB3180">
        <v>31200</v>
      </c>
      <c r="AC3180">
        <v>190</v>
      </c>
      <c r="AD3180">
        <v>3</v>
      </c>
      <c r="AE3180">
        <v>12352</v>
      </c>
      <c r="AF3180">
        <v>12352</v>
      </c>
      <c r="AG3180" s="29" t="s">
        <v>4778</v>
      </c>
      <c r="AH3180" s="29" t="s">
        <v>4786</v>
      </c>
      <c r="AI3180" s="29" t="s">
        <v>4792</v>
      </c>
      <c r="AJ3180" s="29"/>
      <c r="AL3180" s="29" t="s">
        <v>4779</v>
      </c>
    </row>
    <row r="3181" spans="27:38">
      <c r="AA3181" s="29" t="s">
        <v>43</v>
      </c>
      <c r="AB3181">
        <v>31200</v>
      </c>
      <c r="AC3181">
        <v>190</v>
      </c>
      <c r="AD3181">
        <v>3</v>
      </c>
      <c r="AE3181">
        <v>128197</v>
      </c>
      <c r="AF3181">
        <v>128197</v>
      </c>
      <c r="AG3181" s="29" t="s">
        <v>4778</v>
      </c>
      <c r="AH3181" s="29" t="s">
        <v>4793</v>
      </c>
      <c r="AI3181" s="29" t="s">
        <v>4794</v>
      </c>
      <c r="AJ3181" s="29"/>
      <c r="AL3181" s="29" t="s">
        <v>4779</v>
      </c>
    </row>
    <row r="3182" spans="27:38">
      <c r="AA3182" s="29" t="s">
        <v>43</v>
      </c>
      <c r="AB3182">
        <v>31200</v>
      </c>
      <c r="AC3182">
        <v>190</v>
      </c>
      <c r="AD3182">
        <v>3</v>
      </c>
      <c r="AE3182">
        <v>91339</v>
      </c>
      <c r="AF3182">
        <v>91339</v>
      </c>
      <c r="AG3182" s="29" t="s">
        <v>4778</v>
      </c>
      <c r="AH3182" s="29" t="s">
        <v>4795</v>
      </c>
      <c r="AI3182" s="29" t="s">
        <v>4796</v>
      </c>
      <c r="AJ3182" s="29"/>
      <c r="AL3182" s="29" t="s">
        <v>4779</v>
      </c>
    </row>
    <row r="3183" spans="27:38">
      <c r="AA3183" s="29" t="s">
        <v>43</v>
      </c>
      <c r="AB3183">
        <v>31200</v>
      </c>
      <c r="AC3183">
        <v>190</v>
      </c>
      <c r="AD3183">
        <v>3</v>
      </c>
      <c r="AE3183">
        <v>135821</v>
      </c>
      <c r="AF3183">
        <v>135821</v>
      </c>
      <c r="AG3183" s="29" t="s">
        <v>4778</v>
      </c>
      <c r="AH3183" s="29" t="s">
        <v>4797</v>
      </c>
      <c r="AI3183" s="29" t="s">
        <v>4798</v>
      </c>
      <c r="AJ3183" s="29"/>
      <c r="AL3183" s="29" t="s">
        <v>4779</v>
      </c>
    </row>
    <row r="3184" spans="27:38">
      <c r="AA3184" s="29" t="s">
        <v>43</v>
      </c>
      <c r="AB3184">
        <v>31200</v>
      </c>
      <c r="AC3184">
        <v>190</v>
      </c>
      <c r="AD3184">
        <v>3</v>
      </c>
      <c r="AE3184">
        <v>9747</v>
      </c>
      <c r="AF3184">
        <v>9747</v>
      </c>
      <c r="AG3184" s="29" t="s">
        <v>4778</v>
      </c>
      <c r="AH3184" s="29" t="s">
        <v>4799</v>
      </c>
      <c r="AI3184" s="29" t="s">
        <v>4800</v>
      </c>
      <c r="AJ3184" s="29"/>
      <c r="AL3184" s="29" t="s">
        <v>4779</v>
      </c>
    </row>
    <row r="3185" spans="27:38">
      <c r="AA3185" s="29" t="s">
        <v>43</v>
      </c>
      <c r="AB3185">
        <v>31200</v>
      </c>
      <c r="AC3185">
        <v>200</v>
      </c>
      <c r="AD3185">
        <v>1</v>
      </c>
      <c r="AE3185">
        <v>0</v>
      </c>
      <c r="AF3185">
        <v>0</v>
      </c>
      <c r="AG3185" s="29" t="s">
        <v>4801</v>
      </c>
      <c r="AH3185" s="29"/>
      <c r="AI3185" s="29"/>
      <c r="AJ3185" s="29"/>
      <c r="AL3185" s="29" t="s">
        <v>4802</v>
      </c>
    </row>
    <row r="3186" spans="27:38">
      <c r="AA3186" s="29" t="s">
        <v>43</v>
      </c>
      <c r="AB3186">
        <v>31200</v>
      </c>
      <c r="AC3186">
        <v>200</v>
      </c>
      <c r="AD3186">
        <v>3</v>
      </c>
      <c r="AE3186">
        <v>3693.28</v>
      </c>
      <c r="AF3186">
        <v>3693.28</v>
      </c>
      <c r="AG3186" s="29" t="s">
        <v>4801</v>
      </c>
      <c r="AH3186" s="29" t="s">
        <v>4803</v>
      </c>
      <c r="AI3186" s="29" t="s">
        <v>4804</v>
      </c>
      <c r="AJ3186" s="29"/>
      <c r="AL3186" s="29" t="s">
        <v>4802</v>
      </c>
    </row>
    <row r="3187" spans="27:38">
      <c r="AA3187" s="29" t="s">
        <v>43</v>
      </c>
      <c r="AB3187">
        <v>31200</v>
      </c>
      <c r="AC3187">
        <v>200</v>
      </c>
      <c r="AD3187">
        <v>3</v>
      </c>
      <c r="AE3187">
        <v>9920.06</v>
      </c>
      <c r="AF3187">
        <v>9920.06</v>
      </c>
      <c r="AG3187" s="29" t="s">
        <v>4801</v>
      </c>
      <c r="AH3187" s="29" t="s">
        <v>4805</v>
      </c>
      <c r="AI3187" s="29" t="s">
        <v>4806</v>
      </c>
      <c r="AJ3187" s="29"/>
      <c r="AL3187" s="29" t="s">
        <v>4802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3367-E41E-46DE-9B7F-788E528A3B9C}">
  <sheetPr codeName="Sheet12"/>
  <dimension ref="A1:L26"/>
  <sheetViews>
    <sheetView zoomScale="271" zoomScaleNormal="150" workbookViewId="0">
      <selection activeCell="C2" sqref="C2"/>
    </sheetView>
  </sheetViews>
  <sheetFormatPr baseColWidth="10" defaultColWidth="11.5" defaultRowHeight="12"/>
  <cols>
    <col min="1" max="1" width="1.83203125" style="1" bestFit="1" customWidth="1"/>
    <col min="2" max="2" width="8.6640625" style="10" customWidth="1"/>
    <col min="3" max="3" width="6.5" style="27" customWidth="1"/>
    <col min="4" max="4" width="4.33203125" style="7" bestFit="1" customWidth="1"/>
    <col min="5" max="5" width="1.83203125" style="26" bestFit="1" customWidth="1"/>
    <col min="6" max="7" width="5" style="10" bestFit="1" customWidth="1"/>
    <col min="8" max="8" width="11.5" style="10"/>
    <col min="9" max="9" width="20" style="10" bestFit="1" customWidth="1"/>
    <col min="10" max="10" width="13.6640625" style="10" bestFit="1" customWidth="1"/>
    <col min="11" max="11" width="5.5" style="10" bestFit="1" customWidth="1"/>
    <col min="12" max="12" width="6.83203125" style="10" bestFit="1" customWidth="1"/>
    <col min="13" max="16384" width="11.5" style="10"/>
  </cols>
  <sheetData>
    <row r="1" spans="1:12" s="1" customFormat="1" ht="35" customHeight="1" thickBot="1">
      <c r="B1" s="2" t="e" cm="1">
        <f t="array" aca="1" ref="B1" ca="1">CELL(IF(LngS="r","filename","nombrearchivo"))</f>
        <v>#NAME?</v>
      </c>
      <c r="D1" s="3"/>
      <c r="I1" s="4"/>
      <c r="J1" s="4"/>
      <c r="K1" s="4"/>
      <c r="L1" s="4"/>
    </row>
    <row r="2" spans="1:12" ht="107">
      <c r="B2" s="5" t="s">
        <v>14</v>
      </c>
      <c r="C2" s="6" t="e">
        <f ca="1">LEFT($B$1,FIND("[",$B$1)-1)</f>
        <v>#NAME?</v>
      </c>
      <c r="E2" s="8" t="s">
        <v>35</v>
      </c>
      <c r="F2" s="9" t="s">
        <v>13</v>
      </c>
      <c r="G2" s="9" t="s">
        <v>8</v>
      </c>
    </row>
    <row r="3" spans="1:12">
      <c r="A3" s="1" t="s">
        <v>7</v>
      </c>
      <c r="B3" s="11" t="s">
        <v>15</v>
      </c>
      <c r="C3" s="12" t="e" cm="1">
        <f t="array" aca="1" ref="C3" ca="1">GetOperatingSystem()</f>
        <v>#NAME?</v>
      </c>
      <c r="E3" s="10"/>
      <c r="F3" s="10" t="s">
        <v>24</v>
      </c>
      <c r="G3" s="13" t="s">
        <v>36</v>
      </c>
    </row>
    <row r="4" spans="1:12">
      <c r="B4" s="14" t="s">
        <v>16</v>
      </c>
      <c r="C4" s="12" t="e" cm="1">
        <f t="array" aca="1" ref="C4" ca="1">GetLanguage()</f>
        <v>#NAME?</v>
      </c>
      <c r="E4" s="15"/>
      <c r="F4" s="10" t="s">
        <v>24</v>
      </c>
      <c r="G4" s="13" t="s">
        <v>31</v>
      </c>
    </row>
    <row r="5" spans="1:12">
      <c r="B5" s="14" t="s">
        <v>30</v>
      </c>
      <c r="C5" s="16" t="e">
        <f ca="1">_xlfn.TEXTAFTER(B1,"]")</f>
        <v>#NAME?</v>
      </c>
      <c r="E5" s="17"/>
      <c r="F5" s="10" t="s">
        <v>24</v>
      </c>
      <c r="G5" s="13" t="s">
        <v>32</v>
      </c>
    </row>
    <row r="6" spans="1:12" ht="13" thickBot="1">
      <c r="B6" s="11" t="s">
        <v>41</v>
      </c>
      <c r="C6" s="18">
        <v>31200</v>
      </c>
      <c r="E6" s="15"/>
      <c r="F6" s="10" t="s">
        <v>24</v>
      </c>
      <c r="G6" s="13" t="s">
        <v>33</v>
      </c>
    </row>
    <row r="7" spans="1:12" ht="14" customHeight="1" thickBot="1">
      <c r="B7" s="19" t="s">
        <v>72</v>
      </c>
      <c r="C7" s="20"/>
      <c r="E7" s="15"/>
      <c r="F7" s="10" t="s">
        <v>24</v>
      </c>
      <c r="G7" s="13" t="s">
        <v>38</v>
      </c>
    </row>
    <row r="8" spans="1:12">
      <c r="B8" s="21" t="s">
        <v>73</v>
      </c>
      <c r="C8" s="22">
        <v>4</v>
      </c>
      <c r="E8" s="15"/>
      <c r="F8" s="10" t="s">
        <v>24</v>
      </c>
      <c r="G8" s="13" t="s">
        <v>40</v>
      </c>
    </row>
    <row r="9" spans="1:12">
      <c r="B9" s="23" t="s">
        <v>74</v>
      </c>
      <c r="C9" s="24">
        <v>5</v>
      </c>
      <c r="E9" s="15"/>
      <c r="F9" s="10" t="s">
        <v>24</v>
      </c>
      <c r="G9" s="13" t="s">
        <v>37</v>
      </c>
    </row>
    <row r="10" spans="1:12">
      <c r="B10" s="23" t="s">
        <v>75</v>
      </c>
      <c r="C10" s="24">
        <v>5</v>
      </c>
      <c r="E10" s="15"/>
      <c r="F10" s="10" t="s">
        <v>24</v>
      </c>
      <c r="G10" s="13" t="s">
        <v>39</v>
      </c>
    </row>
    <row r="11" spans="1:12">
      <c r="B11" s="23" t="s">
        <v>76</v>
      </c>
      <c r="C11" s="24">
        <v>3</v>
      </c>
      <c r="D11" s="25"/>
      <c r="E11" s="15"/>
    </row>
    <row r="12" spans="1:12">
      <c r="B12" s="23" t="s">
        <v>77</v>
      </c>
      <c r="C12" s="24">
        <v>3</v>
      </c>
      <c r="D12" s="25"/>
      <c r="E12" s="15"/>
    </row>
    <row r="13" spans="1:12">
      <c r="B13" s="23" t="s">
        <v>78</v>
      </c>
      <c r="C13" s="24">
        <v>3</v>
      </c>
    </row>
    <row r="14" spans="1:12">
      <c r="B14" s="23" t="s">
        <v>79</v>
      </c>
      <c r="C14" s="24">
        <v>5</v>
      </c>
    </row>
    <row r="15" spans="1:12">
      <c r="B15" s="23" t="s">
        <v>80</v>
      </c>
      <c r="C15" s="24">
        <v>5</v>
      </c>
    </row>
    <row r="22" spans="2:3">
      <c r="B22" s="28"/>
      <c r="C22" s="28"/>
    </row>
    <row r="23" spans="2:3">
      <c r="B23" s="28"/>
      <c r="C23" s="28"/>
    </row>
    <row r="24" spans="2:3">
      <c r="B24" s="28"/>
      <c r="C24" s="28"/>
    </row>
    <row r="25" spans="2:3">
      <c r="B25" s="28"/>
      <c r="C25" s="28"/>
    </row>
    <row r="26" spans="2:3">
      <c r="B26" s="28"/>
      <c r="C26" s="28"/>
    </row>
  </sheetData>
  <dataConsolidate/>
  <mergeCells count="1">
    <mergeCell ref="B7:C7"/>
  </mergeCells>
  <phoneticPr fontId="25" type="noConversion"/>
  <dataValidations count="1">
    <dataValidation type="list" allowBlank="1" showInputMessage="1" showErrorMessage="1" sqref="D11:D12" xr:uid="{8B2A1EBB-CC72-4072-B9C4-9E812A7F321B}">
      <formula1>"O,X"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F_Asg4</vt:lpstr>
      <vt:lpstr>OutData</vt:lpstr>
      <vt:lpstr>InData</vt:lpstr>
      <vt:lpstr>LngS</vt:lpstr>
      <vt:lpstr>OsyS</vt:lpstr>
      <vt:lpstr>PrjX_Id</vt:lpstr>
      <vt:lpstr>Pth</vt:lpstr>
      <vt:lpstr>Vrs</vt:lpstr>
      <vt:lpstr>VrsClc</vt:lpstr>
      <vt:lpstr>VrsLup</vt:lpstr>
      <vt:lpstr>VrsPck</vt:lpstr>
      <vt:lpstr>VrsPts</vt:lpstr>
      <vt:lpstr>VrsTch</vt:lpstr>
      <vt:lpstr>VrsTrk</vt:lpstr>
      <vt:lpstr>VrsXpl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Dídac Pérez Gil</cp:lastModifiedBy>
  <cp:lastPrinted>2013-04-30T09:28:39Z</cp:lastPrinted>
  <dcterms:created xsi:type="dcterms:W3CDTF">2003-03-06T12:03:29Z</dcterms:created>
  <dcterms:modified xsi:type="dcterms:W3CDTF">2025-03-28T00:04:03Z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