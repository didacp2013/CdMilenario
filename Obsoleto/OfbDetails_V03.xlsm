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97DA1ED6-422F-49FE-A077-5E90B94CAB26}" xr6:coauthVersionLast="47" xr6:coauthVersionMax="47" xr10:uidLastSave="{00000000-0000-0000-0000-000000000000}"/>
  <bookViews>
    <workbookView xWindow="-120" yWindow="-120" windowWidth="29040" windowHeight="16440" xr2:uid="{1DED43E1-C979-419C-90BB-6D754B3B8A13}"/>
  </bookViews>
  <sheets>
    <sheet name="InOutData" sheetId="4" r:id="rId1"/>
  </sheets>
  <functionGroups builtInGroupCount="19"/>
  <definedNames>
    <definedName name="_xlnm._FilterDatabase" localSheetId="0" hidden="1">InOutData!#REF!</definedName>
    <definedName name="_xlpm.x" hidden="1" xlm="1">#NAME?</definedName>
    <definedName name="ExternalData_1" localSheetId="0" hidden="1">InOutData!$C$20:$F$21</definedName>
    <definedName name="ExternalData_3" localSheetId="0" hidden="1">InOutData!#REF!</definedName>
    <definedName name="LngS">InOutData!$M$2</definedName>
    <definedName name="LvE">InOutData!$C$4</definedName>
    <definedName name="OsyS">InOutData!$M$3</definedName>
    <definedName name="Prj0_Id">InOutData!$C$11</definedName>
    <definedName name="Prj0M_Id">InOutData!$G$11</definedName>
    <definedName name="Prj1_Id">InOutData!$C$12</definedName>
    <definedName name="Prj1M_Id">InOutData!$G$12</definedName>
    <definedName name="Prj2_Id">InOutData!$C$13</definedName>
    <definedName name="Prj2M_Id">InOutData!$G$13</definedName>
    <definedName name="PrjX_Id">InOutData!$C$6</definedName>
    <definedName name="Pth">InOutData!$C$2</definedName>
    <definedName name="Vrs">InOutData!$C$7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4" l="1"/>
  <c r="G13" i="4"/>
  <c r="G12" i="4"/>
  <c r="M2" i="4"/>
  <c r="M3" i="4" a="1"/>
  <c r="D5" i="4" a="1"/>
  <c r="M3" i="4" l="1"/>
  <c r="C3" i="4" s="1"/>
  <c r="C4" i="4"/>
  <c r="D5" i="4"/>
  <c r="C2" i="4" l="1"/>
  <c r="C5" i="4"/>
  <c r="G11" i="4" l="1"/>
  <c r="C6" i="4"/>
  <c r="I3" i="4" s="1" a="1"/>
  <c r="I3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2" xr16:uid="{C6B3D2A1-EFED-493C-855C-4317D65CEC3B}" keepAlive="1" name="Query - DetailsCst5" description="Connection to the 'DetailsCst5' query in the workbook." type="5" refreshedVersion="8" background="1" saveData="1">
    <dbPr connection="Provider=Microsoft.Mashup.OleDb.1;Data Source=$Workbook$;Location=DetailsCst5;Extended Properties=&quot;&quot;" command="SELECT * FROM [DetailsCst5]"/>
  </connection>
  <connection id="3" xr16:uid="{32D70CDB-4A0A-4D1A-98C5-970E6B291B4A}" keepAlive="1" name="Query - DetailsExp0" description="Connection to the 'DetailsExp0' query in the workbook." type="5" refreshedVersion="0" background="1">
    <dbPr connection="Provider=Microsoft.Mashup.OleDb.1;Data Source=$Workbook$;Location=DetailsExp0;Extended Properties=&quot;&quot;" command="SELECT * FROM [DetailsExp0]"/>
  </connection>
  <connection id="4" xr16:uid="{57133165-6099-4538-9D11-CE6401729077}" keepAlive="1" name="Query - DetailsExp1" description="Connection to the 'DetailsExp1' query in the workbook." type="5" refreshedVersion="8" background="1" saveData="1">
    <dbPr connection="Provider=Microsoft.Mashup.OleDb.1;Data Source=$Workbook$;Location=DetailsExp1;Extended Properties=&quot;&quot;" command="SELECT * FROM [DetailsExp1]"/>
  </connection>
  <connection id="5" xr16:uid="{D08EF113-A0C7-4685-AB93-53A304883808}" keepAlive="1" name="Query - DetailsExp2" description="Connection to the 'DetailsExp2' query in the workbook." type="5" refreshedVersion="8" background="1" saveData="1">
    <dbPr connection="Provider=Microsoft.Mashup.OleDb.1;Data Source=$Workbook$;Location=DetailsExp2;Extended Properties=&quot;&quot;" command="SELECT * FROM [DetailsExp2]"/>
  </connection>
  <connection id="6" xr16:uid="{28BB02EF-6978-4663-BE30-7CDA0C97D1A1}" keepAlive="1" name="Query - DetailsExp4" description="Connection to the 'DetailsExp4' query in the workbook." type="5" refreshedVersion="8" background="1" saveData="1">
    <dbPr connection="Provider=Microsoft.Mashup.OleDb.1;Data Source=$Workbook$;Location=DetailsExp4;Extended Properties=&quot;&quot;" command="SELECT * FROM [DetailsExp4]"/>
  </connection>
  <connection id="7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8" xr16:uid="{210C37F9-4C74-4176-B927-EEE95F416030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9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10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11" xr16:uid="{716B3A68-D688-4694-9C61-52CA9BA4B372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12" xr16:uid="{F0D39BCA-0179-4628-813B-EFF021D74788}" keepAlive="1" name="Query - FilGEn" description="Connection to the 'FilGEn' query in the workbook." type="5" refreshedVersion="0" background="1">
    <dbPr connection="Provider=Microsoft.Mashup.OleDb.1;Data Source=$Workbook$;Location=FilGEn;Extended Properties=&quot;&quot;" command="SELECT * FROM [FilGEn]"/>
  </connection>
  <connection id="13" xr16:uid="{37EB9028-283A-4AC2-B1A6-F54089D24D5F}" keepAlive="1" name="Query - FilItm" description="Connection to the 'FilItm' query in the workbook." type="5" refreshedVersion="0" background="1">
    <dbPr connection="Provider=Microsoft.Mashup.OleDb.1;Data Source=$Workbook$;Location=FilItm;Extended Properties=&quot;&quot;" command="SELECT * FROM [FilItm]"/>
  </connection>
  <connection id="14" xr16:uid="{4FCD8611-8F47-450B-878F-EE7034FFD9AD}" keepAlive="1" name="Query - FilMod" description="Connection to the 'FilMod' query in the workbook." type="5" refreshedVersion="0" background="1">
    <dbPr connection="Provider=Microsoft.Mashup.OleDb.1;Data Source=$Workbook$;Location=FilMod;Extended Properties=&quot;&quot;" command="SELECT * FROM [FilMod]"/>
  </connection>
  <connection id="15" xr16:uid="{A2E45655-7076-48C3-BF84-7AA425ED6BC0}" keepAlive="1" name="Query - GEn_00" description="Connection to the 'GEn_00' query in the workbook." type="5" refreshedVersion="0" background="1">
    <dbPr connection="Provider=Microsoft.Mashup.OleDb.1;Data Source=$Workbook$;Location=GEn_00;Extended Properties=&quot;&quot;" command="SELECT * FROM [GEn_00]"/>
  </connection>
  <connection id="16" xr16:uid="{E80904FF-7002-4CA5-BBE5-323773F54364}" keepAlive="1" name="Query - GEn_01" description="Connection to the 'GEn_01' query in the workbook." type="5" refreshedVersion="0" background="1">
    <dbPr connection="Provider=Microsoft.Mashup.OleDb.1;Data Source=$Workbook$;Location=GEn_01;Extended Properties=&quot;&quot;" command="SELECT * FROM [GEn_01]"/>
  </connection>
  <connection id="17" xr16:uid="{B677B82F-6A45-40E7-BD1F-9019B2A9DAA9}" keepAlive="1" name="Query - GEn_02" description="Connection to the 'GEn_02' query in the workbook." type="5" refreshedVersion="0" background="1">
    <dbPr connection="Provider=Microsoft.Mashup.OleDb.1;Data Source=$Workbook$;Location=GEn_02;Extended Properties=&quot;&quot;" command="SELECT * FROM [GEn_02]"/>
  </connection>
  <connection id="18" xr16:uid="{109215D4-9E67-48DE-9AAD-D62A78AD15B5}" keepAlive="1" name="Query - ItmCst0" description="Connection to the 'ItmCst0' query in the workbook." type="5" refreshedVersion="0" background="1">
    <dbPr connection="Provider=Microsoft.Mashup.OleDb.1;Data Source=$Workbook$;Location=ItmCst0;Extended Properties=&quot;&quot;" command="SELECT * FROM [ItmCst0]"/>
  </connection>
  <connection id="19" xr16:uid="{2FBA1332-2F30-4DC6-9F60-22018F4DD546}" keepAlive="1" name="Query - ItmCst1" description="Connection to the 'ItmCst1' query in the workbook." type="5" refreshedVersion="8" background="1" saveData="1">
    <dbPr connection="Provider=Microsoft.Mashup.OleDb.1;Data Source=$Workbook$;Location=ItmCst1;Extended Properties=&quot;&quot;" command="SELECT * FROM [ItmCst1]"/>
  </connection>
  <connection id="20" xr16:uid="{285A9125-1665-4DAE-8612-E1C997180636}" keepAlive="1" name="Query - ItmCst2" description="Connection to the 'ItmCst2' query in the workbook." type="5" refreshedVersion="0" background="1">
    <dbPr connection="Provider=Microsoft.Mashup.OleDb.1;Data Source=$Workbook$;Location=ItmCst2;Extended Properties=&quot;&quot;" command="SELECT * FROM [ItmCst2]"/>
  </connection>
  <connection id="21" xr16:uid="{E861FA25-99C2-464D-9855-5B687341C93F}" keepAlive="1" name="Query - ModCst0" description="Connection to the 'ModCst0' query in the workbook." type="5" refreshedVersion="8" background="1" saveData="1">
    <dbPr connection="Provider=Microsoft.Mashup.OleDb.1;Data Source=$Workbook$;Location=ModCst0;Extended Properties=&quot;&quot;" command="SELECT * FROM [ModCst0]"/>
  </connection>
  <connection id="22" xr16:uid="{F5C35402-E4BB-4635-B96E-B1897F994EC5}" keepAlive="1" name="Query - ParamGEn" description="Connection to the 'ParamGEn' query in the workbook." type="5" refreshedVersion="0" background="1">
    <dbPr connection="Provider=Microsoft.Mashup.OleDb.1;Data Source=$Workbook$;Location=ParamGEn;Extended Properties=&quot;&quot;" command="SELECT * FROM [ParamGEn]"/>
  </connection>
  <connection id="23" xr16:uid="{D846246C-7F82-4AF7-9D19-795B39750E41}" keepAlive="1" name="Query - SampleGEn" description="Connection to the 'SampleGEn' query in the workbook." type="5" refreshedVersion="0" background="1">
    <dbPr connection="Provider=Microsoft.Mashup.OleDb.1;Data Source=$Workbook$;Location=SampleGEn;Extended Properties=&quot;&quot;" command="SELECT * FROM [SampleGEn]"/>
  </connection>
  <connection id="24" xr16:uid="{B7812FB5-F340-4EFA-8AD2-212CE7F75367}" keepAlive="1" name="Query - TrfGEn" description="Connection to the 'TrfGEn' query in the workbook." type="5" refreshedVersion="0" background="1">
    <dbPr connection="Provider=Microsoft.Mashup.OleDb.1;Data Source=$Workbook$;Location=TrfGEn;Extended Properties=&quot;&quot;" command="SELECT * FROM [TrfGE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<sst xmlns="http://schemas.openxmlformats.org/spreadsheetml/2006/main" count="37" uniqueCount="32">
  <si>
    <t>EOL</t>
  </si>
  <si>
    <t>PathName</t>
  </si>
  <si>
    <t>SelPrj</t>
  </si>
  <si>
    <t>SOR</t>
  </si>
  <si>
    <t>Windows System</t>
  </si>
  <si>
    <t>English Version</t>
  </si>
  <si>
    <t>Sheet Name</t>
  </si>
  <si>
    <t>Multi</t>
  </si>
  <si>
    <t>Attribute</t>
  </si>
  <si>
    <t>Spain</t>
  </si>
  <si>
    <t>ValSp</t>
  </si>
  <si>
    <t>Mexico</t>
  </si>
  <si>
    <t>ValMx</t>
  </si>
  <si>
    <t>Main</t>
  </si>
  <si>
    <t>Auxiliary 0</t>
  </si>
  <si>
    <t>O</t>
  </si>
  <si>
    <t>X</t>
  </si>
  <si>
    <t>Auxiliary 1</t>
  </si>
  <si>
    <t>Auxiliary 2</t>
  </si>
  <si>
    <t>31199</t>
  </si>
  <si>
    <t>LngS</t>
  </si>
  <si>
    <t>ItmCls</t>
  </si>
  <si>
    <t>N02</t>
  </si>
  <si>
    <t>624323.0010</t>
  </si>
  <si>
    <t>Version</t>
  </si>
  <si>
    <t>DetailsCst5</t>
  </si>
  <si>
    <t>ItmCur</t>
  </si>
  <si>
    <t>ItmXpl</t>
  </si>
  <si>
    <t>000:001</t>
  </si>
  <si>
    <t>001037=(51890,16)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</si>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</sst>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10"/>
      <name val="Arial Nova Cond Light"/>
      <family val="2"/>
    </font>
    <font>
      <sz val="8"/>
      <name val="Arial Nova Cond Light"/>
      <family val="2"/>
    </font>
    <font>
      <sz val="8"/>
      <color theme="0" tint="-0.499984740745262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  <font>
      <b/>
      <sz val="8"/>
      <name val="Arial Nova Cond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</borders>
  <cellStyleXfs count="7">
    <xf numFmtId="0" fontId="0" fillId="0" borderId="0"/>
    <xf numFmtId="0" fontId="3" fillId="0" borderId="0"/>
    <xf numFmtId="0" fontId="5" fillId="0" borderId="0"/>
    <xf numFmtId="0" fontId="10" fillId="0" borderId="0"/>
    <xf numFmtId="0" fontId="11" fillId="0" borderId="0"/>
    <xf numFmtId="0" fontId="12" fillId="0" borderId="0"/>
    <xf numFmtId="0" fontId="13" fillId="0" borderId="0"/>
  </cellStyleXfs>
  <cellXfs count="46">
    <xf numFmtId="0" fontId="0" fillId="0" borderId="0" xfId="0"/>
    <xf numFmtId="0" fontId="4" fillId="2" borderId="0" xfId="1" applyFont="1" applyFill="1" applyAlignment="1">
      <alignment horizontal="center" vertical="top" textRotation="90"/>
    </xf>
    <xf numFmtId="0" fontId="6" fillId="2" borderId="0" xfId="2" applyFont="1" applyFill="1" applyAlignment="1">
      <alignment horizontal="center" vertical="top" textRotation="90"/>
    </xf>
    <xf numFmtId="0" fontId="6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7" fillId="0" borderId="0" xfId="2" applyFont="1" applyAlignment="1">
      <alignment vertical="top"/>
    </xf>
    <xf numFmtId="0" fontId="1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1" fillId="4" borderId="6" xfId="1" applyFont="1" applyFill="1" applyBorder="1" applyAlignment="1">
      <alignment horizontal="left" vertical="top" shrinkToFit="1"/>
    </xf>
    <xf numFmtId="0" fontId="1" fillId="0" borderId="0" xfId="1" applyFont="1" applyAlignment="1">
      <alignment horizontal="left" vertical="top"/>
    </xf>
    <xf numFmtId="0" fontId="8" fillId="0" borderId="0" xfId="1" applyFont="1" applyAlignment="1">
      <alignment horizontal="center" vertical="top"/>
    </xf>
    <xf numFmtId="0" fontId="1" fillId="0" borderId="0" xfId="1" applyFont="1" applyAlignment="1">
      <alignment horizontal="left" vertical="top" textRotation="90"/>
    </xf>
    <xf numFmtId="0" fontId="8" fillId="0" borderId="0" xfId="2" applyFont="1" applyAlignment="1">
      <alignment horizontal="left" vertical="top" textRotation="90"/>
    </xf>
    <xf numFmtId="0" fontId="8" fillId="0" borderId="0" xfId="1" applyFont="1" applyAlignment="1">
      <alignment horizontal="left" vertical="top" textRotation="90"/>
    </xf>
    <xf numFmtId="0" fontId="8" fillId="0" borderId="0" xfId="4" applyFont="1" applyAlignment="1">
      <alignment horizontal="left" vertical="top" textRotation="90"/>
    </xf>
    <xf numFmtId="0" fontId="0" fillId="3" borderId="3" xfId="1" applyFont="1" applyFill="1" applyBorder="1" applyAlignment="1">
      <alignment vertical="top"/>
    </xf>
    <xf numFmtId="0" fontId="4" fillId="2" borderId="0" xfId="1" applyFont="1" applyFill="1" applyAlignment="1">
      <alignment horizontal="left" vertical="top" textRotation="90"/>
    </xf>
    <xf numFmtId="0" fontId="1" fillId="3" borderId="7" xfId="1" applyFont="1" applyFill="1" applyBorder="1" applyAlignment="1">
      <alignment horizontal="left" vertical="top" textRotation="90"/>
    </xf>
    <xf numFmtId="0" fontId="0" fillId="0" borderId="0" xfId="0" applyAlignment="1">
      <alignment horizontal="left" vertical="top" textRotation="90"/>
    </xf>
    <xf numFmtId="0" fontId="2" fillId="6" borderId="0" xfId="4" applyFont="1" applyFill="1" applyAlignment="1">
      <alignment horizontal="center" vertical="top" textRotation="90"/>
    </xf>
    <xf numFmtId="0" fontId="8" fillId="0" borderId="0" xfId="2" applyFont="1" applyAlignment="1">
      <alignment vertical="top"/>
    </xf>
    <xf numFmtId="0" fontId="8" fillId="0" borderId="0" xfId="4" applyFont="1" applyAlignment="1">
      <alignment vertical="top"/>
    </xf>
    <xf numFmtId="3" fontId="14" fillId="0" borderId="0" xfId="6" applyNumberFormat="1" applyFont="1" applyAlignment="1">
      <alignment vertical="top"/>
    </xf>
    <xf numFmtId="0" fontId="5" fillId="0" borderId="0" xfId="2" applyAlignment="1">
      <alignment vertical="top"/>
    </xf>
    <xf numFmtId="0" fontId="0" fillId="0" borderId="0" xfId="0" applyAlignment="1">
      <alignment vertical="top"/>
    </xf>
    <xf numFmtId="0" fontId="1" fillId="3" borderId="8" xfId="1" applyFont="1" applyFill="1" applyBorder="1" applyAlignment="1">
      <alignment horizontal="left" vertical="top"/>
    </xf>
    <xf numFmtId="0" fontId="1" fillId="3" borderId="9" xfId="1" applyFont="1" applyFill="1" applyBorder="1" applyAlignment="1">
      <alignment horizontal="left" vertical="top"/>
    </xf>
    <xf numFmtId="0" fontId="15" fillId="3" borderId="11" xfId="1" applyFont="1" applyFill="1" applyBorder="1" applyAlignment="1">
      <alignment vertical="top"/>
    </xf>
    <xf numFmtId="0" fontId="15" fillId="3" borderId="12" xfId="1" applyFont="1" applyFill="1" applyBorder="1" applyAlignment="1">
      <alignment horizontal="center" vertical="top"/>
    </xf>
    <xf numFmtId="0" fontId="15" fillId="3" borderId="13" xfId="1" applyFont="1" applyFill="1" applyBorder="1" applyAlignment="1">
      <alignment horizontal="center" vertical="top"/>
    </xf>
    <xf numFmtId="0" fontId="1" fillId="3" borderId="14" xfId="1" applyFont="1" applyFill="1" applyBorder="1" applyAlignment="1">
      <alignment vertical="top"/>
    </xf>
    <xf numFmtId="0" fontId="1" fillId="5" borderId="10" xfId="1" applyFont="1" applyFill="1" applyBorder="1" applyAlignment="1">
      <alignment horizontal="left" vertical="top"/>
    </xf>
    <xf numFmtId="0" fontId="8" fillId="0" borderId="10" xfId="1" applyFont="1" applyBorder="1" applyAlignment="1">
      <alignment horizontal="center" vertical="top"/>
    </xf>
    <xf numFmtId="0" fontId="8" fillId="0" borderId="15" xfId="1" applyFont="1" applyBorder="1" applyAlignment="1">
      <alignment horizontal="center" vertical="top"/>
    </xf>
    <xf numFmtId="0" fontId="1" fillId="3" borderId="10" xfId="1" quotePrefix="1" applyFont="1" applyFill="1" applyBorder="1" applyAlignment="1">
      <alignment horizontal="left" vertical="top"/>
    </xf>
    <xf numFmtId="0" fontId="1" fillId="3" borderId="16" xfId="1" applyFont="1" applyFill="1" applyBorder="1" applyAlignment="1">
      <alignment vertical="top"/>
    </xf>
    <xf numFmtId="0" fontId="1" fillId="5" borderId="17" xfId="1" applyFont="1" applyFill="1" applyBorder="1" applyAlignment="1">
      <alignment horizontal="left" vertical="top"/>
    </xf>
    <xf numFmtId="0" fontId="8" fillId="0" borderId="17" xfId="1" applyFont="1" applyBorder="1" applyAlignment="1">
      <alignment horizontal="center" vertical="top"/>
    </xf>
    <xf numFmtId="0" fontId="1" fillId="3" borderId="17" xfId="1" quotePrefix="1" applyFont="1" applyFill="1" applyBorder="1" applyAlignment="1">
      <alignment horizontal="left" vertical="top"/>
    </xf>
    <xf numFmtId="0" fontId="8" fillId="0" borderId="18" xfId="1" applyFont="1" applyBorder="1" applyAlignment="1">
      <alignment horizontal="center" vertical="top"/>
    </xf>
    <xf numFmtId="0" fontId="9" fillId="0" borderId="0" xfId="1" applyFont="1" applyAlignment="1">
      <alignment horizontal="left" vertical="top"/>
    </xf>
  </cellXfs>
  <cellStyles count="7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Normal_ED0D" xfId="6" xr:uid="{97B5C73F-F931-4819-9890-4B49FB06288F}"/>
  </cellStyles>
  <dxfs count="20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alignment vertical="top" indent="0" justifyLastLine="0" readingOrder="0"/>
    </dxf>
    <dxf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27" formatCode="dd/mm/yyyy\ h:mm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 tint="0.499984740745262"/>
        <name val="Arial Nova Cond Light"/>
        <family val="2"/>
        <scheme val="none"/>
      </font>
      <fill>
        <patternFill patternType="solid">
          <fgColor indexed="64"/>
          <bgColor theme="0" tint="-0.499984740745262"/>
        </patternFill>
      </fill>
      <alignment vertical="top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164" formatCode="dd/mm/yy\ hh:mm:ss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FFFF00"/>
        </patternFill>
      </fill>
      <alignment vertical="top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border>
        <bottom style="hair">
          <color auto="1"/>
        </bottom>
      </border>
    </dxf>
    <dxf>
      <font>
        <b/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vertical="top" indent="0" justifyLastLine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EE16220-5DF9-4391-9CD1-72F387DC394A}" autoFormatId="16" applyNumberFormats="0" applyBorderFormats="0" applyFontFormats="0" applyPatternFormats="0" applyAlignmentFormats="0" applyWidthHeightFormats="0">
  <queryTableRefresh nextId="10">
    <queryTableFields count="4">
      <queryTableField id="1" name="ItmCls" tableColumnId="1"/>
      <queryTableField id="6" name="ItmCur" tableColumnId="3"/>
      <queryTableField id="7" name="ItmXpl" tableColumnId="4"/>
      <queryTableField id="2" name="N02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03166-69CC-4588-800A-0EC03A0D9F64}" name="FilData" displayName="FilData" ref="B10:I13" totalsRowShown="0" headerRowDxfId="17" dataDxfId="15" headerRowBorderDxfId="16" tableBorderDxfId="14" totalsRowBorderDxfId="13">
  <autoFilter ref="B10:I13" xr:uid="{7208533D-FF39-41E3-AB10-6E02C80A58F9}"/>
  <tableColumns count="8">
    <tableColumn id="1" xr3:uid="{E2D857EA-9513-49B2-9E37-3C998866836D}" name="Attribute" dataDxfId="12" dataCellStyle="Normal 8"/>
    <tableColumn id="2" xr3:uid="{60D9C90C-8593-4F8D-8ACD-0FC6F6431190}" name="Spain" dataDxfId="11" dataCellStyle="Normal 8"/>
    <tableColumn id="3" xr3:uid="{8B6FA7B0-22A4-49F8-987F-5B66F0CC7FB5}" name="ValSp" dataDxfId="10"/>
    <tableColumn id="7" xr3:uid="{12E8E871-31B8-4828-A9DC-2A51E2DA1E12}" name="Column1" dataDxfId="9" dataCellStyle="Normal 8"/>
    <tableColumn id="8" xr3:uid="{3D891028-5016-40B2-B962-0A7F7951C9A0}" name="Column2" dataDxfId="8" dataCellStyle="Normal 8"/>
    <tableColumn id="4" xr3:uid="{25C7C505-ED5B-4ECB-A960-064C1C48678A}" name="Mexico" dataDxfId="7" dataCellStyle="Normal 8"/>
    <tableColumn id="5" xr3:uid="{A1146798-37E0-4F92-A897-2ED52E114868}" name="ValMx" dataDxfId="6" dataCellStyle="Normal 8"/>
    <tableColumn id="6" xr3:uid="{207C4970-2D53-493B-95C9-03B5E88396F6}" name="Main" dataDxfId="5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44CE37-FE9F-47FB-985E-146E63267379}" name="DetailsCst5" displayName="DetailsCst5" ref="C20:F21" tableType="queryTable" totalsRowShown="0" headerRowDxfId="4" dataDxfId="3">
  <autoFilter ref="C20:F21" xr:uid="{4A44CE37-FE9F-47FB-985E-146E63267379}"/>
  <tableColumns count="4">
    <tableColumn id="1" xr3:uid="{D134D6F7-1575-4B2F-9F79-70D68877BFEC}" uniqueName="1" name="ItmCls" queryTableFieldId="1" dataDxfId="2"/>
    <tableColumn id="3" xr3:uid="{273830DD-9CAF-45E9-ABE0-E2B8888BB7FE}" uniqueName="3" name="ItmCur" queryTableFieldId="6"/>
    <tableColumn id="4" xr3:uid="{D9AAA4B0-FF88-4503-981D-FC94B86FF4DE}" uniqueName="4" name="ItmXpl" queryTableFieldId="7" dataDxfId="1"/>
    <tableColumn id="2" xr3:uid="{8CBF16EA-3F60-47F2-A660-C3EB9EF32F81}" uniqueName="2" name="N02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N26"/>
  <sheetViews>
    <sheetView tabSelected="1" topLeftCell="A3" zoomScale="175" zoomScaleNormal="175" workbookViewId="0">
      <selection activeCell="E18" sqref="E18"/>
    </sheetView>
  </sheetViews>
  <sheetFormatPr defaultColWidth="16" defaultRowHeight="11.25" x14ac:dyDescent="0.2"/>
  <cols>
    <col min="1" max="1" width="2.796875" style="1" bestFit="1" customWidth="1"/>
    <col min="2" max="2" width="12.59765625" style="7" bestFit="1" customWidth="1"/>
    <col min="3" max="3" width="8" style="14" bestFit="1" customWidth="1"/>
    <col min="4" max="4" width="10.3984375" style="6" bestFit="1" customWidth="1"/>
    <col min="5" max="5" width="17.3984375" style="6" bestFit="1" customWidth="1"/>
    <col min="6" max="6" width="12" style="6" bestFit="1" customWidth="1"/>
    <col min="7" max="7" width="26" style="6" customWidth="1"/>
    <col min="8" max="8" width="26" style="14" customWidth="1"/>
    <col min="9" max="9" width="26" style="6" customWidth="1"/>
    <col min="10" max="10" width="6" style="8" bestFit="1" customWidth="1"/>
    <col min="11" max="11" width="2.59765625" style="7" bestFit="1" customWidth="1"/>
    <col min="12" max="12" width="3.19921875" style="25" bestFit="1" customWidth="1"/>
    <col min="13" max="13" width="3.19921875" style="26" bestFit="1" customWidth="1"/>
    <col min="14" max="14" width="12.796875" style="25"/>
    <col min="15" max="16384" width="16" style="7"/>
  </cols>
  <sheetData>
    <row r="1" spans="1:14" s="1" customFormat="1" ht="12.75" thickBot="1" x14ac:dyDescent="0.25">
      <c r="D1" s="2"/>
      <c r="E1" s="2"/>
      <c r="F1" s="2"/>
      <c r="G1" s="2"/>
      <c r="I1" s="2"/>
      <c r="J1" s="3"/>
      <c r="K1" s="1" t="s">
        <v>0</v>
      </c>
      <c r="M1" s="1" t="str">
        <f>IF(TRUE,"LNG","LNG")</f>
        <v>LNG</v>
      </c>
    </row>
    <row r="2" spans="1:14" ht="56.25" customHeight="1" x14ac:dyDescent="0.2">
      <c r="B2" s="4" t="s">
        <v>1</v>
      </c>
      <c r="C2" s="5" t="str">
        <f ca="1">LEFT($D$5,FIND("[",$D$5)-1)</f>
        <v>C:\Users\127839\Downloads\Story\DataTracker\Projects\</v>
      </c>
      <c r="H2" s="7"/>
      <c r="I2" s="22" t="s">
        <v>2</v>
      </c>
      <c r="L2" s="17" t="s">
        <v>20</v>
      </c>
      <c r="M2" s="24" t="str">
        <f>IF(Detect_Language()=1033,"R","F")</f>
        <v>R</v>
      </c>
      <c r="N2" s="17"/>
    </row>
    <row r="3" spans="1:14" ht="12.75" x14ac:dyDescent="0.2">
      <c r="A3" s="1" t="s">
        <v>3</v>
      </c>
      <c r="B3" s="9" t="s">
        <v>4</v>
      </c>
      <c r="C3" s="10" t="b">
        <f>(OsyS&lt;&gt;"M")</f>
        <v>1</v>
      </c>
      <c r="H3" s="7"/>
      <c r="I3" s="30" t="str" cm="1">
        <f t="array" ref="I3:I5">_xlfn._xlws.SORT(_xlfn.UNIQUE(TRANSPOSE(_xlfn.TEXTSPLIT(PrjX_Id,":"))))</f>
        <v>31199</v>
      </c>
      <c r="M3" s="24" t="str" cm="1">
        <f t="array" ref="M3">LEFT(Detect_OS(),1)</f>
        <v>W</v>
      </c>
    </row>
    <row r="4" spans="1:14" x14ac:dyDescent="0.2">
      <c r="B4" s="11" t="s">
        <v>5</v>
      </c>
      <c r="C4" s="12" t="b">
        <f>(LngS="R")</f>
        <v>1</v>
      </c>
      <c r="D4" s="8"/>
      <c r="E4" s="8"/>
      <c r="F4" s="8"/>
      <c r="G4" s="8"/>
      <c r="H4" s="7"/>
      <c r="I4" s="30" t="str">
        <v>31200</v>
      </c>
    </row>
    <row r="5" spans="1:14" ht="12.75" x14ac:dyDescent="0.2">
      <c r="B5" s="11" t="s">
        <v>6</v>
      </c>
      <c r="C5" s="12" t="str">
        <f ca="1">_xlfn.TEXTAFTER(D5,"]")</f>
        <v>InOutData</v>
      </c>
      <c r="D5" s="45" t="str" cm="1">
        <f t="array" aca="1" ref="D5" ca="1">CELL("filename",INDIRECT("A1"))</f>
        <v>C:\Users\127839\Downloads\Story\DataTracker\Projects\[OfbDetails_V03.xlsm]InOutData</v>
      </c>
      <c r="E5" s="45"/>
      <c r="F5" s="45"/>
      <c r="H5" s="7"/>
      <c r="I5" s="30" t="str">
        <v>X</v>
      </c>
    </row>
    <row r="6" spans="1:14" ht="12.75" x14ac:dyDescent="0.2">
      <c r="B6" s="9" t="s">
        <v>7</v>
      </c>
      <c r="C6" s="13" t="str">
        <f>IF($D$11="X","X",Prj0_Id)&amp;":"&amp;IF($D$12="X","X",Prj1_Id)&amp;":"&amp;IF($D$13="X","X",Prj2_Id)</f>
        <v>31200:X:31199</v>
      </c>
      <c r="H6" s="7"/>
      <c r="I6" s="30"/>
    </row>
    <row r="7" spans="1:14" ht="12.75" x14ac:dyDescent="0.2">
      <c r="B7" s="20" t="s">
        <v>24</v>
      </c>
      <c r="C7" s="13">
        <v>3</v>
      </c>
      <c r="H7" s="7"/>
      <c r="I7" s="31"/>
    </row>
    <row r="8" spans="1:14" ht="12.75" x14ac:dyDescent="0.2">
      <c r="H8" s="7"/>
      <c r="M8" s="27"/>
    </row>
    <row r="9" spans="1:14" ht="12.75" x14ac:dyDescent="0.2">
      <c r="M9" s="27"/>
    </row>
    <row r="10" spans="1:14" x14ac:dyDescent="0.2">
      <c r="B10" s="32" t="s">
        <v>8</v>
      </c>
      <c r="C10" s="33" t="s">
        <v>9</v>
      </c>
      <c r="D10" s="33" t="s">
        <v>10</v>
      </c>
      <c r="E10" s="33" t="s">
        <v>30</v>
      </c>
      <c r="F10" s="33" t="s">
        <v>31</v>
      </c>
      <c r="G10" s="33" t="s">
        <v>11</v>
      </c>
      <c r="H10" s="33" t="s">
        <v>12</v>
      </c>
      <c r="I10" s="34" t="s">
        <v>13</v>
      </c>
      <c r="M10" s="27"/>
    </row>
    <row r="11" spans="1:14" x14ac:dyDescent="0.2">
      <c r="B11" s="35" t="s">
        <v>14</v>
      </c>
      <c r="C11" s="36">
        <v>31200</v>
      </c>
      <c r="D11" s="37" t="s">
        <v>15</v>
      </c>
      <c r="E11" s="37"/>
      <c r="F11" s="37"/>
      <c r="G11" s="36" t="str">
        <f>Prj0_Id&amp;"M"</f>
        <v>31200M</v>
      </c>
      <c r="H11" s="37" t="s">
        <v>16</v>
      </c>
      <c r="I11" s="38"/>
      <c r="J11" s="15"/>
    </row>
    <row r="12" spans="1:14" x14ac:dyDescent="0.2">
      <c r="B12" s="35" t="s">
        <v>17</v>
      </c>
      <c r="C12" s="36" t="s">
        <v>16</v>
      </c>
      <c r="D12" s="37" t="s">
        <v>16</v>
      </c>
      <c r="E12" s="37"/>
      <c r="F12" s="37"/>
      <c r="G12" s="39" t="str">
        <f>_xlfn.LET(_xlpm.x,Prj1_Id,IF(_xlpm.x="X","X",_xlpm.x&amp;"M"))</f>
        <v>X</v>
      </c>
      <c r="H12" s="37" t="s">
        <v>16</v>
      </c>
      <c r="I12" s="38"/>
      <c r="J12" s="15"/>
    </row>
    <row r="13" spans="1:14" x14ac:dyDescent="0.2">
      <c r="B13" s="40" t="s">
        <v>18</v>
      </c>
      <c r="C13" s="41" t="s">
        <v>19</v>
      </c>
      <c r="D13" s="42" t="s">
        <v>15</v>
      </c>
      <c r="E13" s="42"/>
      <c r="F13" s="42"/>
      <c r="G13" s="43" t="str">
        <f>Prj2_Id&amp;"M"</f>
        <v>31199M</v>
      </c>
      <c r="H13" s="42" t="s">
        <v>16</v>
      </c>
      <c r="I13" s="44"/>
    </row>
    <row r="15" spans="1:14" ht="12.75" x14ac:dyDescent="0.2">
      <c r="B15" s="28"/>
      <c r="C15" s="28"/>
      <c r="D15" s="28"/>
      <c r="E15" s="28"/>
      <c r="F15" s="28"/>
      <c r="G15" s="28"/>
      <c r="H15" s="28"/>
      <c r="I15" s="28"/>
    </row>
    <row r="16" spans="1:14" ht="12.75" x14ac:dyDescent="0.2">
      <c r="B16" s="28"/>
      <c r="C16" s="28"/>
      <c r="D16" s="28"/>
      <c r="E16" s="28"/>
      <c r="F16" s="28"/>
      <c r="G16" s="28"/>
      <c r="H16" s="28"/>
      <c r="I16" s="28"/>
      <c r="M16" s="27"/>
    </row>
    <row r="17" spans="1:14" ht="12.75" x14ac:dyDescent="0.2">
      <c r="B17" s="28"/>
      <c r="C17" s="28"/>
      <c r="D17" s="28"/>
      <c r="E17" s="28"/>
      <c r="F17" s="28"/>
      <c r="G17" s="28"/>
      <c r="H17" s="28"/>
      <c r="I17" s="28"/>
      <c r="M17" s="27"/>
    </row>
    <row r="18" spans="1:14" ht="12.75" x14ac:dyDescent="0.2">
      <c r="B18" s="28"/>
      <c r="C18" s="28"/>
      <c r="D18" s="28"/>
      <c r="E18" s="28"/>
      <c r="F18" s="28"/>
      <c r="G18" s="28"/>
      <c r="H18" s="28"/>
      <c r="I18" s="28"/>
    </row>
    <row r="19" spans="1:14" ht="12.75" x14ac:dyDescent="0.2">
      <c r="B19" s="28"/>
      <c r="C19" s="28"/>
      <c r="D19" s="28"/>
      <c r="E19" s="28"/>
      <c r="F19" s="28"/>
      <c r="G19" s="28"/>
      <c r="H19" s="28"/>
      <c r="I19" s="28"/>
    </row>
    <row r="20" spans="1:14" s="16" customFormat="1" ht="36.75" x14ac:dyDescent="0.2">
      <c r="A20" s="21"/>
      <c r="B20" s="16" t="s">
        <v>25</v>
      </c>
      <c r="C20" s="23" t="s">
        <v>21</v>
      </c>
      <c r="D20" t="s">
        <v>26</v>
      </c>
      <c r="E20" t="s">
        <v>27</v>
      </c>
      <c r="F20" s="23" t="s">
        <v>22</v>
      </c>
      <c r="G20" s="18"/>
      <c r="I20" s="17"/>
      <c r="J20" s="19"/>
      <c r="K20" s="17"/>
    </row>
    <row r="21" spans="1:14" x14ac:dyDescent="0.2">
      <c r="C21" s="29" t="s">
        <v>28</v>
      </c>
      <c r="D21">
        <v>51890.16</v>
      </c>
      <c r="E21" t="s">
        <v>29</v>
      </c>
      <c r="F21" s="29" t="s">
        <v>23</v>
      </c>
      <c r="G21" s="8"/>
      <c r="H21" s="7"/>
      <c r="I21" s="25"/>
      <c r="J21" s="26"/>
      <c r="K21" s="25"/>
      <c r="L21" s="7"/>
      <c r="M21" s="7"/>
      <c r="N21" s="7"/>
    </row>
    <row r="22" spans="1:14" ht="12.75" x14ac:dyDescent="0.2">
      <c r="B22" s="28"/>
      <c r="C22" s="28"/>
      <c r="D22" s="28"/>
      <c r="E22" s="28"/>
      <c r="F22" s="28"/>
      <c r="G22" s="28"/>
      <c r="H22" s="28"/>
      <c r="I22" s="28"/>
    </row>
    <row r="23" spans="1:14" ht="12.75" x14ac:dyDescent="0.2">
      <c r="B23" s="28"/>
      <c r="C23" s="28"/>
      <c r="D23" s="28"/>
      <c r="E23" s="28"/>
      <c r="F23" s="28"/>
      <c r="G23" s="28"/>
      <c r="H23" s="28"/>
      <c r="I23" s="28"/>
    </row>
    <row r="24" spans="1:14" ht="12.75" x14ac:dyDescent="0.2">
      <c r="B24" s="28"/>
      <c r="C24" s="28"/>
      <c r="D24" s="28"/>
      <c r="E24" s="28"/>
      <c r="F24" s="28"/>
      <c r="G24" s="28"/>
      <c r="H24" s="28"/>
      <c r="I24" s="28"/>
    </row>
    <row r="25" spans="1:14" ht="12.75" x14ac:dyDescent="0.2">
      <c r="B25" s="28"/>
      <c r="C25" s="28"/>
      <c r="D25" s="28"/>
      <c r="E25" s="28"/>
      <c r="F25" s="28"/>
      <c r="G25" s="28"/>
      <c r="H25" s="28"/>
      <c r="I25" s="28"/>
    </row>
    <row r="26" spans="1:14" ht="12.75" x14ac:dyDescent="0.2">
      <c r="B26" s="28"/>
      <c r="C26" s="28"/>
      <c r="D26" s="28"/>
      <c r="E26" s="28"/>
      <c r="F26" s="28"/>
      <c r="G26" s="28"/>
      <c r="H26" s="28"/>
      <c r="I26" s="28"/>
    </row>
  </sheetData>
  <dataConsolidate link="1"/>
  <phoneticPr fontId="8" type="noConversion"/>
  <conditionalFormatting sqref="C11:I13">
    <cfRule type="cellIs" dxfId="19" priority="1" operator="equal">
      <formula>"X"</formula>
    </cfRule>
    <cfRule type="expression" dxfId="18" priority="2">
      <formula>(C11&lt;&gt;"X")</formula>
    </cfRule>
  </conditionalFormatting>
  <dataValidations count="3">
    <dataValidation type="list" allowBlank="1" showInputMessage="1" showErrorMessage="1" sqref="I11:I13" xr:uid="{C2D0060C-3E53-4BC1-BD14-9A438B18774C}">
      <formula1>"X,O"</formula1>
    </dataValidation>
    <dataValidation type="list" allowBlank="1" showInputMessage="1" showErrorMessage="1" sqref="C12:C13" xr:uid="{05A4D004-954C-42B4-A277-6D2F54B86498}">
      <formula1>_xlfn.ANCHORARRAY($I$3)</formula1>
    </dataValidation>
    <dataValidation type="list" allowBlank="1" showInputMessage="1" showErrorMessage="1" sqref="J11:J12 D11:F13 H11:H13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InOutData</vt:lpstr>
      <vt:lpstr>LngS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PrjX_Id</vt:lpstr>
      <vt:lpstr>Pth</vt:lpstr>
      <vt:lpstr>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2024-11-27T21:01:14Z</dcterms:created>
  <dcterms:modified xsi:type="dcterms:W3CDTF">2024-12-02T14:35:21Z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